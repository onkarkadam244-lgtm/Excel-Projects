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onkar\Downloads\"/>
    </mc:Choice>
  </mc:AlternateContent>
  <xr:revisionPtr revIDLastSave="0" documentId="13_ncr:1_{73F31EA9-0475-4A63-9463-EE8836F4A872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ivot Table" sheetId="1" r:id="rId1"/>
    <sheet name="Lookup" sheetId="2" r:id="rId2"/>
    <sheet name="Conditional Aggregation" sheetId="3" r:id="rId3"/>
    <sheet name="Conditional Formatting" sheetId="4" r:id="rId4"/>
    <sheet name="Consolidation" sheetId="5" r:id="rId5"/>
    <sheet name="Subtotal" sheetId="6" r:id="rId6"/>
    <sheet name="VBA Macros" sheetId="7" r:id="rId7"/>
  </sheets>
  <definedNames>
    <definedName name="_xlnm._FilterDatabase" localSheetId="2" hidden="1">'Conditional Aggregation'!$B$2:$C$3316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9" i="6" l="1"/>
  <c r="B127" i="6"/>
  <c r="B26" i="6"/>
  <c r="B160" i="6" s="1"/>
  <c r="N6" i="3"/>
  <c r="N5" i="3"/>
  <c r="F6" i="3"/>
  <c r="C3316" i="3"/>
  <c r="C3315" i="3"/>
  <c r="F5" i="3"/>
  <c r="F4" i="3"/>
  <c r="J12" i="2"/>
  <c r="I12" i="2"/>
  <c r="J5" i="2"/>
  <c r="I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" i="2"/>
</calcChain>
</file>

<file path=xl/sharedStrings.xml><?xml version="1.0" encoding="utf-8"?>
<sst xmlns="http://schemas.openxmlformats.org/spreadsheetml/2006/main" count="23520" uniqueCount="3186">
  <si>
    <t>Sales</t>
  </si>
  <si>
    <t>Order Date</t>
  </si>
  <si>
    <t>Category</t>
  </si>
  <si>
    <t>Furniture</t>
  </si>
  <si>
    <t>Technology</t>
  </si>
  <si>
    <t>Office Supplies</t>
  </si>
  <si>
    <t>Row Labels</t>
  </si>
  <si>
    <t>Grand Total</t>
  </si>
  <si>
    <t>(Multiple Items)</t>
  </si>
  <si>
    <t>Basic Components of a Pivot Table</t>
  </si>
  <si>
    <r>
      <t>1. Rows Area</t>
    </r>
    <r>
      <rPr>
        <sz val="11"/>
        <color theme="1"/>
        <rFont val="Calibri"/>
        <family val="2"/>
        <scheme val="minor"/>
      </rPr>
      <t xml:space="preserve"> – Displays data as row labels to categorize and organize information.</t>
    </r>
  </si>
  <si>
    <r>
      <t>2. Columns Area</t>
    </r>
    <r>
      <rPr>
        <sz val="11"/>
        <color theme="1"/>
        <rFont val="Calibri"/>
        <family val="2"/>
        <scheme val="minor"/>
      </rPr>
      <t xml:space="preserve"> – Displays data as column labels for easy comparison across categories.</t>
    </r>
  </si>
  <si>
    <r>
      <t>3. Values Area</t>
    </r>
    <r>
      <rPr>
        <sz val="11"/>
        <color theme="1"/>
        <rFont val="Calibri"/>
        <family val="2"/>
        <scheme val="minor"/>
      </rPr>
      <t xml:space="preserve"> – Performs calculations such as Sum, Count, Average, Maximum, and Minimum on selected data.</t>
    </r>
  </si>
  <si>
    <r>
      <t>4. Filters Area</t>
    </r>
    <r>
      <rPr>
        <sz val="11"/>
        <color theme="1"/>
        <rFont val="Calibri"/>
        <family val="2"/>
        <scheme val="minor"/>
      </rPr>
      <t xml:space="preserve"> – Allows users to filter the entire Pivot Table based on specific criteria.</t>
    </r>
  </si>
  <si>
    <r>
      <t>5. Field List</t>
    </r>
    <r>
      <rPr>
        <sz val="11"/>
        <color theme="1"/>
        <rFont val="Calibri"/>
        <family val="2"/>
        <scheme val="minor"/>
      </rPr>
      <t xml:space="preserve"> – Contains all the fields (column headings) from the source data that can be dragged into the Pivot Table areas.</t>
    </r>
  </si>
  <si>
    <t>Functionalities of a Pivot Table</t>
  </si>
  <si>
    <r>
      <t>1. Summarizes Large Data</t>
    </r>
    <r>
      <rPr>
        <sz val="11"/>
        <color theme="1"/>
        <rFont val="Calibri"/>
        <family val="2"/>
        <scheme val="minor"/>
      </rPr>
      <t xml:space="preserve"> – Quickly organizes and summarizes large datasets into meaningful reports.</t>
    </r>
  </si>
  <si>
    <r>
      <t>2. Performs Automatic Calculations</t>
    </r>
    <r>
      <rPr>
        <sz val="11"/>
        <color theme="1"/>
        <rFont val="Calibri"/>
        <family val="2"/>
        <scheme val="minor"/>
      </rPr>
      <t xml:space="preserve"> – Calculates totals, averages, counts, and other statistical values automatically.</t>
    </r>
  </si>
  <si>
    <r>
      <t>3. Sorts and Filters Data</t>
    </r>
    <r>
      <rPr>
        <sz val="11"/>
        <color theme="1"/>
        <rFont val="Calibri"/>
        <family val="2"/>
        <scheme val="minor"/>
      </rPr>
      <t xml:space="preserve"> – Makes it easy to arrange and display only the required information.</t>
    </r>
  </si>
  <si>
    <r>
      <t>4. Groups Data</t>
    </r>
    <r>
      <rPr>
        <sz val="11"/>
        <color theme="1"/>
        <rFont val="Calibri"/>
        <family val="2"/>
        <scheme val="minor"/>
      </rPr>
      <t xml:space="preserve"> – Groups data by categories, dates, or numerical ranges for better analysis.</t>
    </r>
  </si>
  <si>
    <r>
      <t>5. Creates Interactive Reports</t>
    </r>
    <r>
      <rPr>
        <sz val="11"/>
        <color theme="1"/>
        <rFont val="Calibri"/>
        <family val="2"/>
        <scheme val="minor"/>
      </rPr>
      <t xml:space="preserve"> – Allows users to rearrange fields dynamically for different views of the same data.</t>
    </r>
  </si>
  <si>
    <r>
      <t>6. Supports Data Analysis</t>
    </r>
    <r>
      <rPr>
        <sz val="11"/>
        <color theme="1"/>
        <rFont val="Calibri"/>
        <family val="2"/>
        <scheme val="minor"/>
      </rPr>
      <t xml:space="preserve"> – Helps identify trends, patterns, and comparisons for better decision-making.</t>
    </r>
  </si>
  <si>
    <t>Benefits of Grouping and Using Multiple Tables in Pivot Tables</t>
  </si>
  <si>
    <r>
      <t>1. Simplifies Data Analysis</t>
    </r>
    <r>
      <rPr>
        <sz val="11"/>
        <color theme="1"/>
        <rFont val="Calibri"/>
        <family val="2"/>
        <scheme val="minor"/>
      </rPr>
      <t xml:space="preserve"> – Groups similar data (such as dates, numbers, or categories) to make analysis easier.</t>
    </r>
  </si>
  <si>
    <r>
      <t>2. Improves Data Organization</t>
    </r>
    <r>
      <rPr>
        <sz val="11"/>
        <color theme="1"/>
        <rFont val="Calibri"/>
        <family val="2"/>
        <scheme val="minor"/>
      </rPr>
      <t xml:space="preserve"> – Arranges related information into meaningful groups for better understanding.</t>
    </r>
  </si>
  <si>
    <r>
      <t>3. Provides Detailed Insights</t>
    </r>
    <r>
      <rPr>
        <sz val="11"/>
        <color theme="1"/>
        <rFont val="Calibri"/>
        <family val="2"/>
        <scheme val="minor"/>
      </rPr>
      <t xml:space="preserve"> – Enables analysis at different levels, such as by month, quarter, year, or product category.</t>
    </r>
  </si>
  <si>
    <r>
      <t>4. Combines Data from Multiple Tables</t>
    </r>
    <r>
      <rPr>
        <sz val="11"/>
        <color theme="1"/>
        <rFont val="Calibri"/>
        <family val="2"/>
        <scheme val="minor"/>
      </rPr>
      <t xml:space="preserve"> – Allows users to analyze related data from different tables in a single Pivot Table.</t>
    </r>
  </si>
  <si>
    <r>
      <t>5. Reduces Data Redundancy</t>
    </r>
    <r>
      <rPr>
        <sz val="11"/>
        <color theme="1"/>
        <rFont val="Calibri"/>
        <family val="2"/>
        <scheme val="minor"/>
      </rPr>
      <t xml:space="preserve"> – Eliminates the need to merge data manually by using relationships between tables.</t>
    </r>
  </si>
  <si>
    <t>Importance of Managing Blank Cells in Pivot Table Analysis</t>
  </si>
  <si>
    <r>
      <t>1. Improves Data Accuracy</t>
    </r>
    <r>
      <rPr>
        <sz val="11"/>
        <color theme="1"/>
        <rFont val="Calibri"/>
        <family val="2"/>
        <scheme val="minor"/>
      </rPr>
      <t xml:space="preserve"> – Prevents incorrect summaries and calculations caused by missing values.</t>
    </r>
  </si>
  <si>
    <r>
      <t>2. Enhances Report Clarity</t>
    </r>
    <r>
      <rPr>
        <sz val="11"/>
        <color theme="1"/>
        <rFont val="Calibri"/>
        <family val="2"/>
        <scheme val="minor"/>
      </rPr>
      <t xml:space="preserve"> – Replacing or managing blank cells makes Pivot Table reports easier to read and understand.</t>
    </r>
  </si>
  <si>
    <r>
      <t>3. Ensures Reliable Analysis</t>
    </r>
    <r>
      <rPr>
        <sz val="11"/>
        <color theme="1"/>
        <rFont val="Calibri"/>
        <family val="2"/>
        <scheme val="minor"/>
      </rPr>
      <t xml:space="preserve"> – Reduces the risk of misleading results due to incomplete data.</t>
    </r>
  </si>
  <si>
    <r>
      <t>4. Supports Better Decision-Making</t>
    </r>
    <r>
      <rPr>
        <sz val="11"/>
        <color theme="1"/>
        <rFont val="Calibri"/>
        <family val="2"/>
        <scheme val="minor"/>
      </rPr>
      <t xml:space="preserve"> – Provides complete and meaningful information for making informed decisions.</t>
    </r>
  </si>
  <si>
    <r>
      <t>5. Maintains Data Consistency</t>
    </r>
    <r>
      <rPr>
        <sz val="11"/>
        <color theme="1"/>
        <rFont val="Calibri"/>
        <family val="2"/>
        <scheme val="minor"/>
      </rPr>
      <t xml:space="preserve"> – Displays uniform values (such as 0 or "N/A") instead of empty cells.</t>
    </r>
  </si>
  <si>
    <t>Custom Grouping and Conditional Formatting Enhance Pivot Table Analysis</t>
  </si>
  <si>
    <r>
      <t>1. Organizes Data Efficiently</t>
    </r>
    <r>
      <rPr>
        <sz val="11"/>
        <color theme="1"/>
        <rFont val="Calibri"/>
        <family val="2"/>
        <scheme val="minor"/>
      </rPr>
      <t xml:space="preserve"> – Custom grouping combines similar items, dates, or numerical ranges into meaningful categories for easier analysis.</t>
    </r>
  </si>
  <si>
    <r>
      <t>2. Simplifies Large Datasets</t>
    </r>
    <r>
      <rPr>
        <sz val="11"/>
        <color theme="1"/>
        <rFont val="Calibri"/>
        <family val="2"/>
        <scheme val="minor"/>
      </rPr>
      <t xml:space="preserve"> – Reduces complexity by grouping related records, making Pivot Tables easier to understand.</t>
    </r>
  </si>
  <si>
    <r>
      <t>3. Improves Trend Analysis</t>
    </r>
    <r>
      <rPr>
        <sz val="11"/>
        <color theme="1"/>
        <rFont val="Calibri"/>
        <family val="2"/>
        <scheme val="minor"/>
      </rPr>
      <t xml:space="preserve"> – Groups data by months, quarters, years, or value ranges to identify patterns and trends.</t>
    </r>
  </si>
  <si>
    <r>
      <t>4. Highlights Important Data</t>
    </r>
    <r>
      <rPr>
        <sz val="11"/>
        <color theme="1"/>
        <rFont val="Calibri"/>
        <family val="2"/>
        <scheme val="minor"/>
      </rPr>
      <t xml:space="preserve"> – Conditional formatting uses colors, data bars, and icons to emphasize key values, high performers, or low performers.</t>
    </r>
  </si>
  <si>
    <t>Product ID</t>
  </si>
  <si>
    <t>Product Name</t>
  </si>
  <si>
    <t>OFF-PA-10002365</t>
  </si>
  <si>
    <t>Xerox 1967</t>
  </si>
  <si>
    <t>FUR-CH-10002774</t>
  </si>
  <si>
    <t>Global Deluxe Stacking Chair, Gray</t>
  </si>
  <si>
    <t>OFF-PA-10000249</t>
  </si>
  <si>
    <t>Easy-staple paper</t>
  </si>
  <si>
    <t>TEC-PH-10004093</t>
  </si>
  <si>
    <t>Panasonic Kx-TS550</t>
  </si>
  <si>
    <t>OFF-ST-10003282</t>
  </si>
  <si>
    <t>Advantus 10-Drawer Portable Organizer, Chrome Metal Frame, Smoke Drawers</t>
  </si>
  <si>
    <t>OFF-PA-10004675</t>
  </si>
  <si>
    <t>Telephone Message Books with Fax/Mobile Section, 5 1/2" x 3 3/16"</t>
  </si>
  <si>
    <t>OFF-BI-10004182</t>
  </si>
  <si>
    <t>FUR-FU-10000260</t>
  </si>
  <si>
    <t>OFF-ST-10000615</t>
  </si>
  <si>
    <t>Economy Binders</t>
  </si>
  <si>
    <t>6" Cubicle Wall Clock, Black</t>
  </si>
  <si>
    <t>SimpliFile Personal File, Black Granite, 15w x 6-15/16d x 11-1/4h</t>
  </si>
  <si>
    <t>OFF-ST-10003656</t>
  </si>
  <si>
    <t>FUR-CH-10000863</t>
  </si>
  <si>
    <t>TEC-AC-10001998</t>
  </si>
  <si>
    <t>OFF-LA-10000134</t>
  </si>
  <si>
    <t>Safco Industrial Wire Shelving</t>
  </si>
  <si>
    <t>Novimex Swivel Fabric Task Chair</t>
  </si>
  <si>
    <t>Logitech LS21 Speaker System - PC Multimedia - 2.1-CH - Wired</t>
  </si>
  <si>
    <t>Avery 511</t>
  </si>
  <si>
    <t>OFF-BI-10004738</t>
  </si>
  <si>
    <t>FUR-FU-10000629</t>
  </si>
  <si>
    <t>OFF-BI-10001721</t>
  </si>
  <si>
    <t>Flexible Leather- Look Classic Collection Ring Binder</t>
  </si>
  <si>
    <t>9-3/4 Diameter Round Wall Clock</t>
  </si>
  <si>
    <t>Trimflex Flexible Post Binders</t>
  </si>
  <si>
    <t>TEC-AC-10003499</t>
  </si>
  <si>
    <t>TEC-PH-10002844</t>
  </si>
  <si>
    <t>OFF-AR-10000390</t>
  </si>
  <si>
    <t>Memorex Mini Travel Drive 8 GB USB 2.0 Flash Drive</t>
  </si>
  <si>
    <t>Speck Products Candyshell Flip Case</t>
  </si>
  <si>
    <t>Newell Chalk Holder</t>
  </si>
  <si>
    <t>FUR-FU-10001934</t>
  </si>
  <si>
    <t>Magnifier Swing Arm Lamp</t>
  </si>
  <si>
    <t>OFF-BI-10003274</t>
  </si>
  <si>
    <t>OFF-ST-10002974</t>
  </si>
  <si>
    <t>Avery Durable Slant Ring Binders, No Labels</t>
  </si>
  <si>
    <t>Trav-L-File Heavy-Duty Shuttle II, Black</t>
  </si>
  <si>
    <t>TEC-PH-10002293</t>
  </si>
  <si>
    <t>OFF-PA-10002377</t>
  </si>
  <si>
    <t>OFF-FA-10002780</t>
  </si>
  <si>
    <t>Anker 36W 4-Port USB Wall Charger Travel Power Adapter for iPhone 5s 5c 5</t>
  </si>
  <si>
    <t>Xerox 1916</t>
  </si>
  <si>
    <t>Staples</t>
  </si>
  <si>
    <t>OFF-AR-10000940</t>
  </si>
  <si>
    <t>OFF-EN-10004030</t>
  </si>
  <si>
    <t>OFF-PA-10004327</t>
  </si>
  <si>
    <t>OFF-AP-10001058</t>
  </si>
  <si>
    <t>Newell 343</t>
  </si>
  <si>
    <t>Convenience Packs of Business Envelopes</t>
  </si>
  <si>
    <t>Xerox 1911</t>
  </si>
  <si>
    <t>Sanyo 2.5 Cubic Foot Mid-Size Office Refrigerators</t>
  </si>
  <si>
    <t>OFF-AP-10002684</t>
  </si>
  <si>
    <t>Acco 7-Outlet Masterpiece Power Center, Wihtout Fax/Phone Line Protection</t>
  </si>
  <si>
    <t>OFF-ST-10001414</t>
  </si>
  <si>
    <t>OFF-BI-10000343</t>
  </si>
  <si>
    <t>OFF-PA-10002749</t>
  </si>
  <si>
    <t>OFF-PA-10002666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</si>
  <si>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</si>
  <si>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</si>
  <si>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</si>
  <si>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</si>
  <si>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</si>
  <si>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</si>
  <si>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</si>
  <si>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</si>
  <si>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</si>
  <si>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</si>
  <si>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</si>
  <si>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</si>
  <si>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</si>
  <si>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</si>
  <si>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</si>
  <si>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</si>
  <si>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</si>
  <si>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</si>
  <si>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FUR-TA-10001705</t>
  </si>
  <si>
    <t>FUR-TA-10003473</t>
  </si>
  <si>
    <t>OFF-BI-10001679</t>
  </si>
  <si>
    <t>FUR-FU-10004017</t>
  </si>
  <si>
    <t>TEC-AC-10003832</t>
  </si>
  <si>
    <t>OFF-PA-10002479</t>
  </si>
  <si>
    <t>Bush Advantage Collection Round Conference Table</t>
  </si>
  <si>
    <t>Bretford Rectangular Conference Table Tops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</si>
  <si>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</si>
  <si>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</si>
  <si>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</si>
  <si>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</si>
  <si>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TEC-AC-10000290</t>
  </si>
  <si>
    <t>OFF-ST-10002790</t>
  </si>
  <si>
    <t>OFF-BI-10003460</t>
  </si>
  <si>
    <t>OFF-AP-10002203</t>
  </si>
  <si>
    <t>Sabrent 4-Port USB 2.0 Hub</t>
  </si>
  <si>
    <t>Safco Industrial Shelving</t>
  </si>
  <si>
    <t>Acco 3-Hole Punch</t>
  </si>
  <si>
    <t>Eureka Disposable Bags for Sanitaire Vibra Groomer I Upright Vac</t>
  </si>
  <si>
    <t>OFF-AR-10003602</t>
  </si>
  <si>
    <t>Quartet Omega Colored Chalk, 12/Pack</t>
  </si>
  <si>
    <t>OFF-ST-10004180</t>
  </si>
  <si>
    <t>OFF-EN-10004386</t>
  </si>
  <si>
    <t>OFF-ST-10003208</t>
  </si>
  <si>
    <t>Safco Commercial Shelving</t>
  </si>
  <si>
    <t>Recycled Interoffice Envelopes with String and Button Closure, 10 x 13</t>
  </si>
  <si>
    <t>Adjustable Depth Letter/Legal Cart</t>
  </si>
  <si>
    <t>OFF-PA-10002615</t>
  </si>
  <si>
    <t>OFF-AR-10001427</t>
  </si>
  <si>
    <t>OFF-PA-10000673</t>
  </si>
  <si>
    <t>OFF-PA-10004470</t>
  </si>
  <si>
    <t>OFF-ST-10000876</t>
  </si>
  <si>
    <t>OFF-LA-10002043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</si>
  <si>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</si>
  <si>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</si>
  <si>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</si>
  <si>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</si>
  <si>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</si>
  <si>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</si>
  <si>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FUR-TA-10002533</t>
  </si>
  <si>
    <t>BPI Conference Tables</t>
  </si>
  <si>
    <t>OFF-AR-10002804</t>
  </si>
  <si>
    <t>Faber Castell Col-Erase Pencils</t>
  </si>
  <si>
    <t>FUR-FU-10001967</t>
  </si>
  <si>
    <t>Telescoping Adjustable Floor Lamp</t>
  </si>
  <si>
    <t>OFF-AR-10004027</t>
  </si>
  <si>
    <t>OFF-AR-10001374</t>
  </si>
  <si>
    <t>Binney &amp; Smith inkTank Erasable Desk Highlighter, Chisel Tip, Yellow, 12/Box</t>
  </si>
  <si>
    <t>BIC Brite Liner Highlighters, Chisel Tip</t>
  </si>
  <si>
    <t>OFF-AP-10001124</t>
  </si>
  <si>
    <t>OFF-LA-10001158</t>
  </si>
  <si>
    <t>FUR-CH-10000785</t>
  </si>
  <si>
    <t>OFF-AR-10003732</t>
  </si>
  <si>
    <t>FUR-FU-10000023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</si>
  <si>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</si>
  <si>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</si>
  <si>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</si>
  <si>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</si>
  <si>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</si>
  <si>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OFF-PA-10002036</t>
  </si>
  <si>
    <t>OFF-ST-10002205</t>
  </si>
  <si>
    <t>Xerox 1930</t>
  </si>
  <si>
    <t>File Shuttle I and Handi-File</t>
  </si>
  <si>
    <t>FUR-TA-10004915</t>
  </si>
  <si>
    <t>Office Impressions End Table, 20-1/2"H x 24"W x 20"D</t>
  </si>
  <si>
    <t>OFF-BI-10000050</t>
  </si>
  <si>
    <t>Angle-D Binders with Locking Rings, Label Holders</t>
  </si>
  <si>
    <t>OFF-BI-10004492</t>
  </si>
  <si>
    <t>OFF-ST-10000798</t>
  </si>
  <si>
    <t>OFF-PA-10002552</t>
  </si>
  <si>
    <t>Tuf-Vin Binders</t>
  </si>
  <si>
    <t>2300 Heavy-Duty Transfer File Systems by Perma</t>
  </si>
  <si>
    <t>Xerox 1958</t>
  </si>
  <si>
    <t>OFF-AP-10004249</t>
  </si>
  <si>
    <t>TEC-AC-10000158</t>
  </si>
  <si>
    <t>TEC-CO-10004115</t>
  </si>
  <si>
    <t>OFF-PA-10003724</t>
  </si>
  <si>
    <t>FUR-TA-10002041</t>
  </si>
  <si>
    <t>OFF-PA-10002893</t>
  </si>
  <si>
    <t>OFF-LA-10003766</t>
  </si>
  <si>
    <t>OFF-PA-10001970</t>
  </si>
  <si>
    <t>FUR-BO-10001972</t>
  </si>
  <si>
    <t>FUR-CH-10003956</t>
  </si>
  <si>
    <t>OFF-PA-10000157</t>
  </si>
  <si>
    <t>FUR-CH-10001891</t>
  </si>
  <si>
    <t>OFF-AR-10004344</t>
  </si>
  <si>
    <t>Staple holder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</si>
  <si>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</si>
  <si>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</si>
  <si>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</si>
  <si>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</si>
  <si>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</si>
  <si>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</si>
  <si>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</si>
  <si>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</si>
  <si>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</si>
  <si>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</si>
  <si>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Global Deluxe Office Fabric Chairs</t>
  </si>
  <si>
    <t>Bulldog Vacuum Base Pencil Sharpener</t>
  </si>
  <si>
    <t>OFF-PA-10003845</t>
  </si>
  <si>
    <t>OFF-AR-10001573</t>
  </si>
  <si>
    <t>OFF-EN-10000483</t>
  </si>
  <si>
    <t>Xerox 1987</t>
  </si>
  <si>
    <t>American Pencil</t>
  </si>
  <si>
    <t>White Envelopes, White Envelopes with Clear Poly Window</t>
  </si>
  <si>
    <t>FUR-FU-10004712</t>
  </si>
  <si>
    <t>OFF-ST-10000918</t>
  </si>
  <si>
    <t>FUR-CH-10000015</t>
  </si>
  <si>
    <t>FUR-FU-10003347</t>
  </si>
  <si>
    <t>OFF-BI-10001543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</si>
  <si>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</si>
  <si>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</si>
  <si>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</si>
  <si>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</si>
  <si>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</si>
  <si>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OFF-AR-10000369</t>
  </si>
  <si>
    <t>Design Ebony Sketching Pencil</t>
  </si>
  <si>
    <t>OFF-PA-10002230</t>
  </si>
  <si>
    <t>FUR-CH-10003396</t>
  </si>
  <si>
    <t>Xerox 1897</t>
  </si>
  <si>
    <t>Global Deluxe Steno Chair</t>
  </si>
  <si>
    <t>FUR-FU-10000206</t>
  </si>
  <si>
    <t>GE General Purpose, Extra Long Life, Showcase &amp; Floodlight Incandescent Bulbs</t>
  </si>
  <si>
    <t>FUR-TA-10001539</t>
  </si>
  <si>
    <t>OFF-ST-10000142</t>
  </si>
  <si>
    <t>Chromcraft Rectangular Conference Tables</t>
  </si>
  <si>
    <t>Deluxe Rollaway Locking File with Drawer</t>
  </si>
  <si>
    <t>FUR-BO-10002824</t>
  </si>
  <si>
    <t>Bush Mission Pointe Library</t>
  </si>
  <si>
    <t>OFF-LA-10003923</t>
  </si>
  <si>
    <t>FUR-BO-10001337</t>
  </si>
  <si>
    <t>TEC-PH-10001924</t>
  </si>
  <si>
    <t>Alphabetical Labels for Top Tab Filing</t>
  </si>
  <si>
    <t>O'Sullivan Living Dimensions 2-Shelf Bookcases</t>
  </si>
  <si>
    <t>iHome FM Clock Radio with Lightning Dock</t>
  </si>
  <si>
    <t>FUR-FU-10001290</t>
  </si>
  <si>
    <t>TEC-AC-10002399</t>
  </si>
  <si>
    <t>Executive Impressions Supervisor Wall Clock</t>
  </si>
  <si>
    <t>SanDisk Cruzer 32 GB USB Flash Drive</t>
  </si>
  <si>
    <t>OFF-AR-10003811</t>
  </si>
  <si>
    <t>OFF-AR-10001246</t>
  </si>
  <si>
    <t>TEC-CO-10003236</t>
  </si>
  <si>
    <t>OFF-ST-10004507</t>
  </si>
  <si>
    <t>OFF-PA-10001667</t>
  </si>
  <si>
    <t>OFF-ST-10004459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</si>
  <si>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</si>
  <si>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</si>
  <si>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</si>
  <si>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</si>
  <si>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</si>
  <si>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</si>
  <si>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FUR-TA-10001857</t>
  </si>
  <si>
    <t>Balt Solid Wood Rectangular Table</t>
  </si>
  <si>
    <t>FUR-CH-10003379</t>
  </si>
  <si>
    <t>FUR-FU-10001756</t>
  </si>
  <si>
    <t>Global Commerce Series High-Back Swivel/Tilt Chairs</t>
  </si>
  <si>
    <t>Eldon Expressions Desk Accessory, Wood Photo Frame, Mahogany</t>
  </si>
  <si>
    <t>FUR-FU-10000448</t>
  </si>
  <si>
    <t>Tenex Chairmats For Use With Carpeted Floors</t>
  </si>
  <si>
    <t>OFF-BI-10002429</t>
  </si>
  <si>
    <t>Premier Elliptical Ring Binder, Black</t>
  </si>
  <si>
    <t>OFF-BI-10000404</t>
  </si>
  <si>
    <t>OFF-PA-10002986</t>
  </si>
  <si>
    <t>Avery Printable Repositionable Plastic Tabs</t>
  </si>
  <si>
    <t>Xerox 1898</t>
  </si>
  <si>
    <t>FUR-FU-10003039</t>
  </si>
  <si>
    <t>OFF-FA-10004248</t>
  </si>
  <si>
    <t>OFF-ST-10001780</t>
  </si>
  <si>
    <t>Howard Miller 11-1/2" Diameter Grantwood Wall Clock</t>
  </si>
  <si>
    <t>Advantus T-Pin Paper Clips</t>
  </si>
  <si>
    <t>Tennsco 16-Compartment Lockers with Coat Rack</t>
  </si>
  <si>
    <t>OFF-BI-10000069</t>
  </si>
  <si>
    <t>GBC Prepunched Paper, 19-Hole, for Binding Systems, 24-lb</t>
  </si>
  <si>
    <t>TEC-PH-10002496</t>
  </si>
  <si>
    <t>OFF-PA-10004530</t>
  </si>
  <si>
    <t>OFF-BI-10001107</t>
  </si>
  <si>
    <t>OFF-PA-10004451</t>
  </si>
  <si>
    <t>FUR-CH-10004997</t>
  </si>
  <si>
    <t>OFF-LA-10001297</t>
  </si>
  <si>
    <t>OFF-FA-10000585</t>
  </si>
  <si>
    <t>OFF-BI-10001922</t>
  </si>
  <si>
    <t>TEC-PH-10000347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</si>
  <si>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</si>
  <si>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</si>
  <si>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</si>
  <si>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</si>
  <si>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</si>
  <si>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Avery 473</t>
  </si>
  <si>
    <t>OIC Bulk Pack Metal Binder Clips</t>
  </si>
  <si>
    <t>Storex Dura Pro Binders</t>
  </si>
  <si>
    <t>Cush Cases Heavy Duty Rugged Cover Case for Samsung Galaxy S5 - Purple</t>
  </si>
  <si>
    <t>FUR-FU-10001475</t>
  </si>
  <si>
    <t>Contract Clock, 14", Brown</t>
  </si>
  <si>
    <t>TEC-PH-10004977</t>
  </si>
  <si>
    <t>TEC-PH-10000586</t>
  </si>
  <si>
    <t>OFF-AP-10000358</t>
  </si>
  <si>
    <t>OFF-BI-10002764</t>
  </si>
  <si>
    <t>TEC-PH-10001254</t>
  </si>
  <si>
    <t>GE 30524EE4</t>
  </si>
  <si>
    <t>AT&amp;T SB67148 SynJ</t>
  </si>
  <si>
    <t>Fellowes Basic Home/Office Series Surge Protectors</t>
  </si>
  <si>
    <t>Recycled Pressboard Report Cover with Reinforced Top Hinge</t>
  </si>
  <si>
    <t>Jabra BIZ 2300 Duo QD Duo Corded Headset</t>
  </si>
  <si>
    <t>TEC-PH-10000011</t>
  </si>
  <si>
    <t>OFF-BI-10002949</t>
  </si>
  <si>
    <t>FUR-FU-10003849</t>
  </si>
  <si>
    <t>FUR-FU-10000010</t>
  </si>
  <si>
    <t>OFF-BI-10002824</t>
  </si>
  <si>
    <t>TEC-PH-10002538</t>
  </si>
  <si>
    <t>FUR-FU-10000521</t>
  </si>
  <si>
    <t>PureGear Roll-On Screen Protector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</si>
  <si>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</si>
  <si>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</si>
  <si>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</si>
  <si>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</si>
  <si>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</si>
  <si>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Seth Thomas 14" Putty-Colored Wall Clock</t>
  </si>
  <si>
    <t>FUR-FU-10000221</t>
  </si>
  <si>
    <t>OFF-AP-10001563</t>
  </si>
  <si>
    <t>OFF-BI-10000605</t>
  </si>
  <si>
    <t>Master Caster Door Stop, Brown</t>
  </si>
  <si>
    <t>Belkin Premiere Surge Master II 8-outlet surge protector</t>
  </si>
  <si>
    <t>Acco Pressboard Covers with Storage Hooks, 9 1/2" x 11", Executive Red</t>
  </si>
  <si>
    <t>TEC-AC-10002857</t>
  </si>
  <si>
    <t>OFF-LA-10003930</t>
  </si>
  <si>
    <t>Verbatim 25 GB 6x Blu-ray Single Layer Recordable Disc, 1/Pack</t>
  </si>
  <si>
    <t>Dot Matrix Printer Tape Reel Labels, White, 5000/Box</t>
  </si>
  <si>
    <t>OFF-ST-10000585</t>
  </si>
  <si>
    <t>OFF-LA-10002787</t>
  </si>
  <si>
    <t>OFF-PA-10001934</t>
  </si>
  <si>
    <t>OFF-AP-10002457</t>
  </si>
  <si>
    <t>Economy Rollaway Files</t>
  </si>
  <si>
    <t>Avery 480</t>
  </si>
  <si>
    <t>Imation 16GB Mini TravelDrive USB 2.0 Flash Drive</t>
  </si>
  <si>
    <t>Xerox 1993</t>
  </si>
  <si>
    <t>Eureka The Boss Plus 12-Amp Hard Box Upright Vacuum, Red</t>
  </si>
  <si>
    <t>OFF-PA-10003892</t>
  </si>
  <si>
    <t>TEC-AC-10001101</t>
  </si>
  <si>
    <t>Xerox 1943</t>
  </si>
  <si>
    <t>Sony 16GB Class 10 Micro SDHC R40 Memory Card</t>
  </si>
  <si>
    <t>OFF-SU-10004231</t>
  </si>
  <si>
    <t>OFF-PA-10000474</t>
  </si>
  <si>
    <t>TEC-PH-10004042</t>
  </si>
  <si>
    <t>Acme Tagit Stainless Steel Antibacterial Scissors</t>
  </si>
  <si>
    <t>ClearOne Communications CHAT 70 OC Speaker Phone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</si>
  <si>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</si>
  <si>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</si>
  <si>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</si>
  <si>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</si>
  <si>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</si>
  <si>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</si>
  <si>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</si>
  <si>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</si>
  <si>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</si>
  <si>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</si>
  <si>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</si>
  <si>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</si>
  <si>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</si>
  <si>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</si>
  <si>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</si>
  <si>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</si>
  <si>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</si>
  <si>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</si>
  <si>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</si>
  <si>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TEC-MA-10004125</t>
  </si>
  <si>
    <t>Cubify CubeX 3D Printer Triple Head Print</t>
  </si>
  <si>
    <t>FUR-BO-10004015</t>
  </si>
  <si>
    <t>Bush Andora Bookcase, Maple/Graphite Gray Finish</t>
  </si>
  <si>
    <t>OFF-EN-10001219</t>
  </si>
  <si>
    <t>OFF-AP-10001154</t>
  </si>
  <si>
    <t>TEC-PH-10003012</t>
  </si>
  <si>
    <t>TEC-AC-10001606</t>
  </si>
  <si>
    <t>#10- 4 1/8" x 9 1/2" Security-Tint Envelopes</t>
  </si>
  <si>
    <t>Bionaire Personal Warm Mist Humidifier/Vaporizer</t>
  </si>
  <si>
    <t>Nortel Meridian M3904 Professional Digital phone</t>
  </si>
  <si>
    <t>Logitech Wireless Performance Mouse MX for PC and Mac</t>
  </si>
  <si>
    <t>FUR-FU-10002253</t>
  </si>
  <si>
    <t>Howard Miller 13" Diameter Pewter Finish Round Wall Clock</t>
  </si>
  <si>
    <t>OFF-EN-10001141</t>
  </si>
  <si>
    <t>TEC-PH-10002170</t>
  </si>
  <si>
    <t>Manila Recycled Extra-Heavyweight Clasp Envelopes, 6" x 9"</t>
  </si>
  <si>
    <t>ClearSounds CSC500 Amplified Spirit Phone Corded phone</t>
  </si>
  <si>
    <t>OFF-ST-10000736</t>
  </si>
  <si>
    <t>TEC-AC-10003610</t>
  </si>
  <si>
    <t>OFF-BI-10003982</t>
  </si>
  <si>
    <t>OFF-BI-10003291</t>
  </si>
  <si>
    <t>FUR-BO-10001619</t>
  </si>
  <si>
    <t>OFF-BI-10000138</t>
  </si>
  <si>
    <t>Carina Double Wide Media Storage Towers in Natural &amp; Black</t>
  </si>
  <si>
    <t>Logitech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</si>
  <si>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</si>
  <si>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</si>
  <si>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</si>
  <si>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</si>
  <si>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OFF-BI-10003638</t>
  </si>
  <si>
    <t>FUR-FU-10003577</t>
  </si>
  <si>
    <t>OFF-AR-10003478</t>
  </si>
  <si>
    <t>OFF-BI-10000546</t>
  </si>
  <si>
    <t>GBC Durable Plastic Covers</t>
  </si>
  <si>
    <t>Nu-Dell Leatherette Frames</t>
  </si>
  <si>
    <t>Avery Hi-Liter EverBold Pen Style Fluorescent Highlighters, 4/Pack</t>
  </si>
  <si>
    <t>Avery Durable Binders</t>
  </si>
  <si>
    <t>OFF-BI-10000848</t>
  </si>
  <si>
    <t>Angle-D Ring Binders</t>
  </si>
  <si>
    <t>OFF-LA-10004484</t>
  </si>
  <si>
    <t>Avery 476</t>
  </si>
  <si>
    <t>OFF-BI-10001036</t>
  </si>
  <si>
    <t>TEC-PH-10004614</t>
  </si>
  <si>
    <t>OFF-BI-10000301</t>
  </si>
  <si>
    <t>OFF-BI-10003910</t>
  </si>
  <si>
    <t>OFF-AR-10004648</t>
  </si>
  <si>
    <t>FUR-FU-10002597</t>
  </si>
  <si>
    <t>Cardinal EasyOpen D-Ring Binders</t>
  </si>
  <si>
    <t>AT&amp;T 841000 Phone</t>
  </si>
  <si>
    <t>GBC Instant Report Kit</t>
  </si>
  <si>
    <t>DXL Angle-View Binders with Locking Rings by Samsill</t>
  </si>
  <si>
    <t>Boston 19500 Mighty Mite Electric Pencil Sharpener</t>
  </si>
  <si>
    <t>C-Line Magnetic Cubicle Keepers, Clear Polypropylene</t>
  </si>
  <si>
    <t>OFF-BI-10000014</t>
  </si>
  <si>
    <t>Heavy-Duty E-Z-D Binders</t>
  </si>
  <si>
    <t>FUR-FU-10004090</t>
  </si>
  <si>
    <t>TEC-PH-10001580</t>
  </si>
  <si>
    <t>Executive Impressions 14" Contract Wall Clock</t>
  </si>
  <si>
    <t>Logitech Mobile Speakerphone P710e - speaker phone</t>
  </si>
  <si>
    <t>FUR-FU-10000794</t>
  </si>
  <si>
    <t>Eldon Stackable Tray, Side-Load, Legal, Smoke</t>
  </si>
  <si>
    <t>TEC-AC-10001838</t>
  </si>
  <si>
    <t>Razer Tiamat Over Ear 7.1 Surround Sound PC Gaming Headset</t>
  </si>
  <si>
    <t>TEC-AC-10002402</t>
  </si>
  <si>
    <t>OFF-LA-10003223</t>
  </si>
  <si>
    <t>Razer Kraken PRO Over Ear PC and Music Headset</t>
  </si>
  <si>
    <t>Avery 508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</si>
  <si>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</si>
  <si>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</si>
  <si>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</si>
  <si>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</si>
  <si>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</si>
  <si>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</si>
  <si>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</si>
  <si>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</si>
  <si>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</si>
  <si>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</si>
  <si>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</si>
  <si>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</si>
  <si>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</si>
  <si>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</si>
  <si>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OFF-PA-10001560</t>
  </si>
  <si>
    <t>Adams Telephone Message Books, 5 1/4” x 11”</t>
  </si>
  <si>
    <t>FUR-FU-10003878</t>
  </si>
  <si>
    <t>Linden 10" Round Wall Clock, Black</t>
  </si>
  <si>
    <t>OFF-PA-10004569</t>
  </si>
  <si>
    <t>OFF-FA-10000624</t>
  </si>
  <si>
    <t>Wirebound Message Books, Two 4 1/4" x 5" Forms per Page</t>
  </si>
  <si>
    <t>OIC Binder Clips</t>
  </si>
  <si>
    <t>OFF-PA-10001790</t>
  </si>
  <si>
    <t>Xerox 1910</t>
  </si>
  <si>
    <t>OFF-BI-10003984</t>
  </si>
  <si>
    <t>FUR-CH-10004287</t>
  </si>
  <si>
    <t>Lock-Up Easel 'Spel-Binder'</t>
  </si>
  <si>
    <t>SAFCO Arco Folding Chair</t>
  </si>
  <si>
    <t>OFF-AR-10001118</t>
  </si>
  <si>
    <t>Binney &amp; Smith Crayola Metallic Crayons, 16-Color Pack</t>
  </si>
  <si>
    <t>OFF-ST-10002486</t>
  </si>
  <si>
    <t>OFF-BI-10001078</t>
  </si>
  <si>
    <t>Eldon Shelf Savers Cubes and Bins</t>
  </si>
  <si>
    <t>Acco PRESSTEX Data Binder with Storage Hooks, Dark Blue, 14 7/8" X 11"</t>
  </si>
  <si>
    <t>TEC-AC-10000927</t>
  </si>
  <si>
    <t>OFF-BI-10001098</t>
  </si>
  <si>
    <t>OFF-PA-10001622</t>
  </si>
  <si>
    <t>OFF-AR-10003158</t>
  </si>
  <si>
    <t>TEC-PH-10002660</t>
  </si>
  <si>
    <t xml:space="preserve">Anker Ultrathin Bluetooth Wireless Keyboard Aluminum Cover with Stand </t>
  </si>
  <si>
    <t>Acco D-Ring Binder w/DublLock</t>
  </si>
  <si>
    <t>Ampad Poly Cover Wirebound Steno Book, 6" x 9" Assorted Colors, Gregg Ruled</t>
  </si>
  <si>
    <t>Fluorescent Highlighters by Dixon</t>
  </si>
  <si>
    <t>Nortel Networks T7316 E Nt8 B27</t>
  </si>
  <si>
    <t>OFF-PA-10002250</t>
  </si>
  <si>
    <t>Things To Do Today Pad</t>
  </si>
  <si>
    <t>OFF-LA-10001045</t>
  </si>
  <si>
    <t>OFF-BI-10001510</t>
  </si>
  <si>
    <t>TEC-PH-10004536</t>
  </si>
  <si>
    <t>Permanent Self-Adhesive File Folder Labels for Typewriters by Universal</t>
  </si>
  <si>
    <t>Deluxe Heavy-Duty Vinyl Round Ring Binder</t>
  </si>
  <si>
    <t>Avaya 5420 Digital phone</t>
  </si>
  <si>
    <t>FUR-BO-10003441</t>
  </si>
  <si>
    <t>TEC-PH-10004774</t>
  </si>
  <si>
    <t>OFF-BI-10003684</t>
  </si>
  <si>
    <t>TEC-PH-10001494</t>
  </si>
  <si>
    <t>TEC-AC-10004666</t>
  </si>
  <si>
    <t>OFF-ST-10003816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</si>
  <si>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</si>
  <si>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</si>
  <si>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</si>
  <si>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</si>
  <si>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</si>
  <si>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</si>
  <si>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FUR-FU-10004091</t>
  </si>
  <si>
    <t>TEC-AC-10001772</t>
  </si>
  <si>
    <t>Howard Miller 13" Diameter Goldtone Round Wall Clock</t>
  </si>
  <si>
    <t>Memorex Mini Travel Drive 16 GB USB 2.0 Flash Drive</t>
  </si>
  <si>
    <t>OFF-AR-10003560</t>
  </si>
  <si>
    <t>OFF-AR-10001468</t>
  </si>
  <si>
    <t>OFF-PA-10004971</t>
  </si>
  <si>
    <t>OFF-PA-10002195</t>
  </si>
  <si>
    <t>Zebra Zazzle Fluorescent Highlighters</t>
  </si>
  <si>
    <t>Sanford Prismacolor Professional Thick Lead Art Pencils, 36-Color Set</t>
  </si>
  <si>
    <t>Xerox 196</t>
  </si>
  <si>
    <t>RSVP Cards &amp; Envelopes, Blank White, 8-1/2" X 11", 24 Cards/25 Envelopes/Set</t>
  </si>
  <si>
    <t>TEC-AC-10003911</t>
  </si>
  <si>
    <t>NETGEAR AC1750 Dual Band Gigabit Smart WiFi Router</t>
  </si>
  <si>
    <t>FUR-FU-10003601</t>
  </si>
  <si>
    <t>FUR-FU-10000576</t>
  </si>
  <si>
    <t>FUR-TA-10004154</t>
  </si>
  <si>
    <t>OFF-PA-10000788</t>
  </si>
  <si>
    <t>FUR-FU-10001940</t>
  </si>
  <si>
    <t>OFF-AR-10001958</t>
  </si>
  <si>
    <t>FUR-BO-10004709</t>
  </si>
  <si>
    <t>OFF-ST-10000604</t>
  </si>
  <si>
    <t>TEC-PH-10002923</t>
  </si>
  <si>
    <t>OFF-BI-10004465</t>
  </si>
  <si>
    <t>OFF-PA-10002333</t>
  </si>
  <si>
    <t>Deflect-o RollaMat Studded, Beveled Mat for Medium Pile Carpeting</t>
  </si>
  <si>
    <t>Luxo Professional Fluorescent Magnifier Lamp with Clamp-Mount Base</t>
  </si>
  <si>
    <t>Riverside Furniture Oval Coffee Table, Oval End Table, End Table with Drawer</t>
  </si>
  <si>
    <t>Xerox 210</t>
  </si>
  <si>
    <t>Staple-based wall hangings</t>
  </si>
  <si>
    <t>Stanley Bostitch Contemporary Electric Pencil Sharpeners</t>
  </si>
  <si>
    <t>Bush Westfield Collection Bookcases, Medium Cherry Finish</t>
  </si>
  <si>
    <t>Home/Office Personal File Carts</t>
  </si>
  <si>
    <t>Logitech B530 USB Headset - headset - Full size, Binaural</t>
  </si>
  <si>
    <t>Avery Durable Slant Ring Binders</t>
  </si>
  <si>
    <t>Universal Ultra Bright White Copier/Laser Paper, 8 1/2" x 11", Ream</t>
  </si>
  <si>
    <t>FUR-CH-10002965</t>
  </si>
  <si>
    <t>Global Leather Highback Executive Chair with Pneumatic Height Adjustment, Black</t>
  </si>
  <si>
    <t>OFF-LA-10004055</t>
  </si>
  <si>
    <t>OFF-PA-10004621</t>
  </si>
  <si>
    <t>OFF-PA-10001281</t>
  </si>
  <si>
    <t>OFF-LA-10001613</t>
  </si>
  <si>
    <t>OFF-ST-10001097</t>
  </si>
  <si>
    <t>Color-Coded Legal Exhibit Labels</t>
  </si>
  <si>
    <t>Xerox 212</t>
  </si>
  <si>
    <t>Computer Printout Paper with Letter-Trim Fine Perforations</t>
  </si>
  <si>
    <t>Avery File Folder Labels</t>
  </si>
  <si>
    <t>Office Impressions Heavy Duty Welded Shelving &amp; Multimedia Storage Drawers</t>
  </si>
  <si>
    <t>TEC-PH-10003555</t>
  </si>
  <si>
    <t>OFF-BI-10002012</t>
  </si>
  <si>
    <t>TEC-MA-10000822</t>
  </si>
  <si>
    <t>Motorola HK250 Universal Bluetooth Headset</t>
  </si>
  <si>
    <t>Wilson Jones Easy Flow II Sheet Lifters</t>
  </si>
  <si>
    <t>Lexmark MX611dhe Monochrome Laser Printer</t>
  </si>
  <si>
    <t>OFF-LA-10001569</t>
  </si>
  <si>
    <t>OFF-EN-10000461</t>
  </si>
  <si>
    <t>TEC-MA-10003066</t>
  </si>
  <si>
    <t>Avery 499</t>
  </si>
  <si>
    <t>#10- 4 1/8" x 9 1/2" Recycled Envelopes</t>
  </si>
  <si>
    <t>Wasp CCD Handheld Bar Code Reader</t>
  </si>
  <si>
    <t>FUR-FU-10004071</t>
  </si>
  <si>
    <t>OFF-AR-10001988</t>
  </si>
  <si>
    <t>Luxo Professional Magnifying Clamp-On Fluorescent Lamps</t>
  </si>
  <si>
    <t>Bulldog Table or Wall-Mount Pencil Sharpener</t>
  </si>
  <si>
    <t>OFF-PA-10001509</t>
  </si>
  <si>
    <t>TEC-PH-10003931</t>
  </si>
  <si>
    <t>Recycled Desk Saver Line "While You Were Out" Book, 5 1/2" X 4"</t>
  </si>
  <si>
    <t>JBL Micro Wireless Portable Bluetooth Speaker</t>
  </si>
  <si>
    <t>FUR-FU-10004848</t>
  </si>
  <si>
    <t>OFF-ST-10003722</t>
  </si>
  <si>
    <t>Howard Miller 13-3/4" Diameter Brushed Chrome Round Wall Clock</t>
  </si>
  <si>
    <t>Project Tote Personal File</t>
  </si>
  <si>
    <t>OFF-BI-10000320</t>
  </si>
  <si>
    <t>GBC Plastic Binding Combs</t>
  </si>
  <si>
    <t>OFF-AR-10000203</t>
  </si>
  <si>
    <t>OFF-AR-10004790</t>
  </si>
  <si>
    <t>Newell 336</t>
  </si>
  <si>
    <t>Staples in misc. colors</t>
  </si>
  <si>
    <t>OFF-AR-10001130</t>
  </si>
  <si>
    <t>OFF-AP-10000055</t>
  </si>
  <si>
    <t>FUR-CH-10002304</t>
  </si>
  <si>
    <t>Quartet Alpha White Chalk, 12/Pack</t>
  </si>
  <si>
    <t>Belkin F9S820V06 8 Outlet Surge</t>
  </si>
  <si>
    <t>Global Stack Chair without Arms, Black</t>
  </si>
  <si>
    <t>OFF-BI-10001097</t>
  </si>
  <si>
    <t>OFF-BI-10001597</t>
  </si>
  <si>
    <t>Avery Hole Reinforcements</t>
  </si>
  <si>
    <t>Wilson Jones Ledger-Size, Piano-Hinge Binder, 2", Blue</t>
  </si>
  <si>
    <t>OFF-SU-10001935</t>
  </si>
  <si>
    <t>Staple remover</t>
  </si>
  <si>
    <t>OFF-BI-10003669</t>
  </si>
  <si>
    <t>3M Organizer Strips</t>
  </si>
  <si>
    <t>OFF-AP-10002191</t>
  </si>
  <si>
    <t>OFF-ST-10001325</t>
  </si>
  <si>
    <t>Belkin 8 Outlet SurgeMaster II Gold Surge Protector</t>
  </si>
  <si>
    <t>Sterilite Officeware Hinged File Box</t>
  </si>
  <si>
    <t>TEC-PH-10001819</t>
  </si>
  <si>
    <t>Innergie mMini Combo Duo USB Travel Charging Kit</t>
  </si>
  <si>
    <t>OFF-ST-10004340</t>
  </si>
  <si>
    <t>OFF-BI-10004001</t>
  </si>
  <si>
    <t>Fellowes Mobile File Cart, Black</t>
  </si>
  <si>
    <t>GBC Recycled VeloBinder Covers</t>
  </si>
  <si>
    <t>OFF-BI-10004140</t>
  </si>
  <si>
    <t>OFF-BI-10002049</t>
  </si>
  <si>
    <t>Avery Non-Stick Binders</t>
  </si>
  <si>
    <t>UniKeep View Case Binders</t>
  </si>
  <si>
    <t>OFF-BI-10003364</t>
  </si>
  <si>
    <t>FUR-BO-10002206</t>
  </si>
  <si>
    <t>Binding Machine Supplies</t>
  </si>
  <si>
    <t>Bush Saratoga Collection 5-Shelf Bookcase, Hanover Cherry, *Special Order</t>
  </si>
  <si>
    <t>OFF-AP-10000576</t>
  </si>
  <si>
    <t>OFF-BI-10004654</t>
  </si>
  <si>
    <t>Belkin 325VA UPS Surge Protector, 6'</t>
  </si>
  <si>
    <t>Avery Binding System Hidden Tab Executive Style Index Sets</t>
  </si>
  <si>
    <t>FUR-FU-10004952</t>
  </si>
  <si>
    <t>OFF-ST-10004123</t>
  </si>
  <si>
    <t>OFF-PA-10003172</t>
  </si>
  <si>
    <t>OFF-ST-10002352</t>
  </si>
  <si>
    <t>C-Line Cubicle Keepers Polyproplyene Holder w/Velcro Back, 8-1/2x11, 25/Bx</t>
  </si>
  <si>
    <t>Safco Industrial Wire Shelving System</t>
  </si>
  <si>
    <t>Xerox 1996</t>
  </si>
  <si>
    <t>Iris Project Case</t>
  </si>
  <si>
    <t>OFF-EN-10002504</t>
  </si>
  <si>
    <t>TEC-PH-10003655</t>
  </si>
  <si>
    <t>Tyvek  Top-Opening Peel &amp; Seel Envelopes, Plain White</t>
  </si>
  <si>
    <t>Sannysis Cute Owl Design Soft Skin Case Cover for Samsung Galaxy S4</t>
  </si>
  <si>
    <t>TEC-PH-10004447</t>
  </si>
  <si>
    <t>FUR-CH-10003973</t>
  </si>
  <si>
    <t>OFF-PA-10000682</t>
  </si>
  <si>
    <t>Toshiba IPT2010-SD IP Telephone</t>
  </si>
  <si>
    <t>GuestStacker Chair with Chrome Finish Legs</t>
  </si>
  <si>
    <t>Xerox 1924</t>
  </si>
  <si>
    <t>FUR-CH-10004860</t>
  </si>
  <si>
    <t>OFF-BI-10002432</t>
  </si>
  <si>
    <t>TEC-AC-10004469</t>
  </si>
  <si>
    <t>FUR-FU-10001867</t>
  </si>
  <si>
    <t>TEC-AC-10003174</t>
  </si>
  <si>
    <t>TEC-PH-10002200</t>
  </si>
  <si>
    <t>Global Low Back Tilter Chair</t>
  </si>
  <si>
    <t>Wilson Jones Standard D-Ring Binders</t>
  </si>
  <si>
    <t>Microsoft Sculpt Comfort Mouse</t>
  </si>
  <si>
    <t>Eldon Expressions Punched Metal &amp; Wood Desk Accessories, Pewter &amp; Cherry</t>
  </si>
  <si>
    <t>Plantronics S12 Corded Telephone Headset System</t>
  </si>
  <si>
    <t>Samsung Galaxy Note 2</t>
  </si>
  <si>
    <t>FUR-FU-10001424</t>
  </si>
  <si>
    <t>OFF-AR-10001022</t>
  </si>
  <si>
    <t>Dax Clear Box Frame</t>
  </si>
  <si>
    <t>SANFORD Liquid Accent Tank-Style Highlighters</t>
  </si>
  <si>
    <t>OFF-EN-10004955</t>
  </si>
  <si>
    <t>Fashion Color Clasp Envelopes</t>
  </si>
  <si>
    <t>OFF-AR-10002280</t>
  </si>
  <si>
    <t>FUR-CH-10001708</t>
  </si>
  <si>
    <t>OFF-AP-10000891</t>
  </si>
  <si>
    <t>OFF-AR-10000462</t>
  </si>
  <si>
    <t>Office Star - Contemporary Swivel Chair with Padded Adjustable Arms and Flex Back</t>
  </si>
  <si>
    <t>Kensington 7 Outlet MasterPiece HOMEOFFICE Power Control Center</t>
  </si>
  <si>
    <t>Sanford Pocket Accent Highlighters</t>
  </si>
  <si>
    <t>OFF-AR-10003958</t>
  </si>
  <si>
    <t>TEC-PH-10000149</t>
  </si>
  <si>
    <t>FUR-FU-10003724</t>
  </si>
  <si>
    <t>FUR-FU-10003535</t>
  </si>
  <si>
    <t>Newell 337</t>
  </si>
  <si>
    <t>Cisco SPA525G2 IP Phone - Wireless</t>
  </si>
  <si>
    <t>Westinghouse Clip-On Gooseneck Lamps</t>
  </si>
  <si>
    <t>Howard Miller Distant Time Traveler Alarm Clock</t>
  </si>
  <si>
    <t>TEC-PH-10004586</t>
  </si>
  <si>
    <t>Wilson SignalBoost 841262 DB PRO Amplifier Kit</t>
  </si>
  <si>
    <t>OFF-BI-10001634</t>
  </si>
  <si>
    <t>Wilson Jones Active Use Binders</t>
  </si>
  <si>
    <t>OFF-AR-10000422</t>
  </si>
  <si>
    <t>Pencil and Crayon Sharpener</t>
  </si>
  <si>
    <t>FUR-FU-10000246</t>
  </si>
  <si>
    <t>OFF-PA-10002870</t>
  </si>
  <si>
    <t>Aluminum Document Frame</t>
  </si>
  <si>
    <t>Ampad Phone Message Book, Recycled, 400 Message Capacity, 5 ¾” x 11”</t>
  </si>
  <si>
    <t>OFF-LA-10000121</t>
  </si>
  <si>
    <t>OFF-BI-10002026</t>
  </si>
  <si>
    <t>OFF-PA-10000994</t>
  </si>
  <si>
    <t>Avery 48</t>
  </si>
  <si>
    <t>Avery Arch Ring Binders</t>
  </si>
  <si>
    <t>Xerox 1915</t>
  </si>
  <si>
    <t>OFF-BI-10002103</t>
  </si>
  <si>
    <t>Cardinal Slant-D Ring Binder, Heavy Gauge Vinyl</t>
  </si>
  <si>
    <t>GBC Binding covers</t>
  </si>
  <si>
    <t>FUR-FU-10002554</t>
  </si>
  <si>
    <t>Westinghouse Floor Lamp with Metal Mesh Shade, Black</t>
  </si>
  <si>
    <t>TEC-AC-10003116</t>
  </si>
  <si>
    <t>Memorex Froggy Flash Drive 8 GB</t>
  </si>
  <si>
    <t>OFF-BI-10002071</t>
  </si>
  <si>
    <t>OFF-ST-10001490</t>
  </si>
  <si>
    <t>OFF-AP-10004859</t>
  </si>
  <si>
    <t>OFF-PA-10002659</t>
  </si>
  <si>
    <t>Fellowes Black Plastic Comb Bindings</t>
  </si>
  <si>
    <t>Hot File 7-Pocket, Floor Stand</t>
  </si>
  <si>
    <t>Acco 6 Outlet Guardian Premium Surge Suppressor</t>
  </si>
  <si>
    <t>Avoid Verbal Orders Carbonless Minifold Book</t>
  </si>
  <si>
    <t>OFF-AR-10002818</t>
  </si>
  <si>
    <t>Panasonic KP-310 Heavy-Duty Electric Pencil Sharpener</t>
  </si>
  <si>
    <t>FUR-FU-10004018</t>
  </si>
  <si>
    <t>TEC-PH-10002549</t>
  </si>
  <si>
    <t>OFF-PA-10004911</t>
  </si>
  <si>
    <t>TEC-MA-10002178</t>
  </si>
  <si>
    <t>OFF-BI-10003694</t>
  </si>
  <si>
    <t>OFF-BI-10000474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</si>
  <si>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</si>
  <si>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</si>
  <si>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</si>
  <si>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</si>
  <si>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Avery 3 1/2" Diskette Storage Pages, 10/Pack</t>
  </si>
  <si>
    <t>Avery Recycled Flexi-View Covers for Binding Systems</t>
  </si>
  <si>
    <t>TEC-PH-10003092</t>
  </si>
  <si>
    <t>Motorola L804</t>
  </si>
  <si>
    <t>OFF-AR-10002956</t>
  </si>
  <si>
    <t>OFF-PA-10004041</t>
  </si>
  <si>
    <t>TEC-PH-10001336</t>
  </si>
  <si>
    <t>TEC-MA-10003183</t>
  </si>
  <si>
    <t>TEC-AC-10001314</t>
  </si>
  <si>
    <t>TEC-PH-10002563</t>
  </si>
  <si>
    <t>FUR-CH-10003312</t>
  </si>
  <si>
    <t>FUR-FU-10001588</t>
  </si>
  <si>
    <t>Boston 16801 Nautilus Battery Pencil Sharpener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</si>
  <si>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</si>
  <si>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</si>
  <si>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</si>
  <si>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</si>
  <si>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Adtran 1202752G1</t>
  </si>
  <si>
    <t>Hon 2090 “Pillow Soft” Series Mid Back Swivel/Tilt Chairs</t>
  </si>
  <si>
    <t>Deflect-o SuperTray Unbreakable Stackable Tray, Letter, Black</t>
  </si>
  <si>
    <t>TEC-AC-10004510</t>
  </si>
  <si>
    <t>Logitech Desktop MK120 Mouse and keyboard Combo</t>
  </si>
  <si>
    <t>OFF-AR-10003514</t>
  </si>
  <si>
    <t>FUR-TA-10002958</t>
  </si>
  <si>
    <t>FUR-TA-10001676</t>
  </si>
  <si>
    <t>4009 Highlighters by Sanford</t>
  </si>
  <si>
    <t>Bevis Oval Conference Table, Walnut</t>
  </si>
  <si>
    <t>Hon 61000 Series Interactive Training Tables</t>
  </si>
  <si>
    <t>TEC-AC-10000580</t>
  </si>
  <si>
    <t>FUR-FU-10003976</t>
  </si>
  <si>
    <t>Logitech G13 Programmable Gameboard with LCD Display</t>
  </si>
  <si>
    <t>DAX Executive Solid Wood Document Frame, Desktop or Hang, Mahogany, 5 x 7</t>
  </si>
  <si>
    <t>OFF-PA-10001639</t>
  </si>
  <si>
    <t>OFF-AR-10003829</t>
  </si>
  <si>
    <t>Xerox 203</t>
  </si>
  <si>
    <t>Newell 35</t>
  </si>
  <si>
    <t>OFF-BI-10004364</t>
  </si>
  <si>
    <t>OFF-PA-10001712</t>
  </si>
  <si>
    <t>OFF-PA-10002713</t>
  </si>
  <si>
    <t>Xerox 1948</t>
  </si>
  <si>
    <t>Adams Phone Message Book, 200 Message Capacity, 8 1/16” x 11”</t>
  </si>
  <si>
    <t>OFF-ST-10004804</t>
  </si>
  <si>
    <t>FUR-CH-10004289</t>
  </si>
  <si>
    <t>TEC-PH-10002564</t>
  </si>
  <si>
    <t>Belkin 19" Vented Equipment Shelf, Black</t>
  </si>
  <si>
    <t>Global Super Steno Chair</t>
  </si>
  <si>
    <t>OtterBox Defender Series Case - Samsung Galaxy S4</t>
  </si>
  <si>
    <t>OFF-BI-10000977</t>
  </si>
  <si>
    <t>FUR-TA-10002530</t>
  </si>
  <si>
    <t>Ibico Plastic Spiral Binding Combs</t>
  </si>
  <si>
    <t>Iceberg OfficeWorks 42" Round Tables</t>
  </si>
  <si>
    <t>FUR-CH-10000847</t>
  </si>
  <si>
    <t>OFF-PA-10001293</t>
  </si>
  <si>
    <t>Global Executive Mid-Back Manager's Chair</t>
  </si>
  <si>
    <t>Xerox 1946</t>
  </si>
  <si>
    <t>OFF-LA-10004272</t>
  </si>
  <si>
    <t>Avery 482</t>
  </si>
  <si>
    <t>OFF-LA-10003121</t>
  </si>
  <si>
    <t>Avery 506</t>
  </si>
  <si>
    <t>TEC-PH-10000376</t>
  </si>
  <si>
    <t>Square Credit Card Reader</t>
  </si>
  <si>
    <t>OFF-PA-10000130</t>
  </si>
  <si>
    <t>Xerox 199</t>
  </si>
  <si>
    <t>OFF-EN-10002986</t>
  </si>
  <si>
    <t>OFF-PA-10001838</t>
  </si>
  <si>
    <t>FUR-FU-10002885</t>
  </si>
  <si>
    <t>#10-4 1/8" x 9 1/2" Premium Diagonal Seam Envelopes</t>
  </si>
  <si>
    <t>Adams Telephone Message Book W/Dividers/Space For Phone Numbers, 5 1/4"X8 1/2", 300/Messages</t>
  </si>
  <si>
    <t>Magna Visual Magnetic Picture Hangers</t>
  </si>
  <si>
    <t>OFF-AR-10003759</t>
  </si>
  <si>
    <t>OFF-ST-10004950</t>
  </si>
  <si>
    <t>OFF-AR-10001940</t>
  </si>
  <si>
    <t>Crayola Anti Dust Chalk, 12/Pack</t>
  </si>
  <si>
    <t>Acco Perma 3000 Stacking Storage Drawers</t>
  </si>
  <si>
    <t>Sanford Colorific Eraseable Coloring Pencils, 12 Count</t>
  </si>
  <si>
    <t>OFF-PA-10003823</t>
  </si>
  <si>
    <t>OFF-ST-10003716</t>
  </si>
  <si>
    <t>Xerox 197</t>
  </si>
  <si>
    <t>Tennsco Double-Tier Lockers</t>
  </si>
  <si>
    <t>OFF-BI-10003708</t>
  </si>
  <si>
    <t>Acco Four Pocket Poly Ring Binder with Label Holder, Smoke, 1"</t>
  </si>
  <si>
    <t>OFF-BI-10004965</t>
  </si>
  <si>
    <t>FUR-FU-10004270</t>
  </si>
  <si>
    <t>OFF-AR-10002135</t>
  </si>
  <si>
    <t>OFF-ST-10002276</t>
  </si>
  <si>
    <t>OFF-BI-10001636</t>
  </si>
  <si>
    <t>FUR-CH-10002961</t>
  </si>
  <si>
    <t>FUR-TA-10004256</t>
  </si>
  <si>
    <t>Ibico Covers for Plastic or Wire Binding Elements</t>
  </si>
  <si>
    <t>Eldon Image Series Desk Accessories, Burgundy</t>
  </si>
  <si>
    <t>Boston Heavy-Duty Trimline Electric Pencil Sharpeners</t>
  </si>
  <si>
    <t>Safco Steel Mobile File Cart</t>
  </si>
  <si>
    <t>Ibico Plastic and Wire Spiral Binding Combs</t>
  </si>
  <si>
    <t>Leather Task Chair, Black</t>
  </si>
  <si>
    <t>Bretford “Just In Time” Height-Adjustable Multi-Task Work Tables</t>
  </si>
  <si>
    <t>OFF-BI-10001759</t>
  </si>
  <si>
    <t>OFF-AR-10001419</t>
  </si>
  <si>
    <t>Acco Pressboard Covers with Storage Hooks, 14 7/8" x 11", Dark Blue</t>
  </si>
  <si>
    <t>Newell 325</t>
  </si>
  <si>
    <t>OFF-ST-10000344</t>
  </si>
  <si>
    <t>Neat Ideas Personal Hanging Folder Files, Black</t>
  </si>
  <si>
    <t>TEC-PH-10000439</t>
  </si>
  <si>
    <t>FUR-BO-10002545</t>
  </si>
  <si>
    <t>OFF-BI-10001765</t>
  </si>
  <si>
    <t>GE DSL Phone Line Filter</t>
  </si>
  <si>
    <t>Atlantic Metals Mobile 3-Shelf Bookcases, Custom Colors</t>
  </si>
  <si>
    <t>Wilson Jones Heavy-Duty Casebound Ring Binders with Metal Hinges</t>
  </si>
  <si>
    <t>OFF-AP-10004868</t>
  </si>
  <si>
    <t>Hoover Commercial Soft Guard Upright Vacuum And Disposable Filtration Bags</t>
  </si>
  <si>
    <t>OFF-BI-10003719</t>
  </si>
  <si>
    <t>Large Capacity Hanging Post Binders</t>
  </si>
  <si>
    <t>TEC-AC-10000171</t>
  </si>
  <si>
    <t>Verbatim 25 GB 6x Blu-ray Single Layer Recordable Disc, 25/Pack</t>
  </si>
  <si>
    <t>FUR-TA-10000577</t>
  </si>
  <si>
    <t>Bretford CR4500 Series Slim Rectangular Table</t>
  </si>
  <si>
    <t>OFF-PA-10000357</t>
  </si>
  <si>
    <t>OFF-AR-10003504</t>
  </si>
  <si>
    <t>White Dual Perf Computer Printout Paper, 2700 Sheets, 1 Part, Heavyweight, 20 lbs., 14 7/8 x 11</t>
  </si>
  <si>
    <t>Newell 347</t>
  </si>
  <si>
    <t>FUR-CH-10004540</t>
  </si>
  <si>
    <t>OFF-PA-10000308</t>
  </si>
  <si>
    <t>OFF-SU-10001165</t>
  </si>
  <si>
    <t>OFF-AR-10003373</t>
  </si>
  <si>
    <t>Global Chrome Stack Chair</t>
  </si>
  <si>
    <t>Xerox 1901</t>
  </si>
  <si>
    <t>Acme Elite Stainless Steel Scissors</t>
  </si>
  <si>
    <t>Boston School Pro Electric Pencil Sharpener, 1670</t>
  </si>
  <si>
    <t>OFF-AR-10001044</t>
  </si>
  <si>
    <t>BOSTON Ranger #55 Pencil Sharpener, Black</t>
  </si>
  <si>
    <t>OFF-ST-10003306</t>
  </si>
  <si>
    <t>Letter Size Cart</t>
  </si>
  <si>
    <t>FUR-FU-10002937</t>
  </si>
  <si>
    <t>TEC-AC-10003063</t>
  </si>
  <si>
    <t>GE 48" Fluorescent Tube, Cool White Energy Saver, 34 Watts, 30/Box</t>
  </si>
  <si>
    <t>Micro Innovations USB RF Wireless Keyboard with Mouse</t>
  </si>
  <si>
    <t>FUR-FU-10004415</t>
  </si>
  <si>
    <t>Stacking Tray, Side-Loading, Legal, Smoke</t>
  </si>
  <si>
    <t>OFF-ST-10003442</t>
  </si>
  <si>
    <t>OFF-FA-10000611</t>
  </si>
  <si>
    <t>OFF-BI-10001116</t>
  </si>
  <si>
    <t>OFF-ST-10000563</t>
  </si>
  <si>
    <t>Eldon Portable Mobile Manager</t>
  </si>
  <si>
    <t>Binder Clips by OIC</t>
  </si>
  <si>
    <t>Wilson Jones 1" Hanging DublLock Ring Binders</t>
  </si>
  <si>
    <t>Fellowes Bankers Box Stor/Drawer Steel Plus</t>
  </si>
  <si>
    <t>TEC-PH-10004922</t>
  </si>
  <si>
    <t>OFF-BI-10004330</t>
  </si>
  <si>
    <t>OFF-BI-10002072</t>
  </si>
  <si>
    <t>OFF-BI-10002353</t>
  </si>
  <si>
    <t>RCA Visys Integrated PBX 8-Line Router</t>
  </si>
  <si>
    <t>GBC Velobind Prepunched Cover Sets, Regency Series</t>
  </si>
  <si>
    <t>Cardinal Slant-D Ring Binders</t>
  </si>
  <si>
    <t>GBC VeloBind Cover Sets</t>
  </si>
  <si>
    <t>TEC-PH-10002185</t>
  </si>
  <si>
    <t>QVS USB Car Charger 2-Port 2.1Amp for iPod/iPhone/iPad/iPad 2/iPad 3</t>
  </si>
  <si>
    <t>TEC-PH-10002726</t>
  </si>
  <si>
    <t>netTALK DUO VoIP Telephone Service</t>
  </si>
  <si>
    <t>OFF-AP-10002495</t>
  </si>
  <si>
    <t>OFF-BI-10002813</t>
  </si>
  <si>
    <t>OFF-BI-10002414</t>
  </si>
  <si>
    <t>FUR-FU-10004306</t>
  </si>
  <si>
    <t>Acco Smartsocket Table Surge Protector, 6 Color-Coded Adapter Outlets</t>
  </si>
  <si>
    <t>Avery Reinforcements for Hole-Punch Pages</t>
  </si>
  <si>
    <t>GBC ProClick Spines for 32-Hole Punch</t>
  </si>
  <si>
    <t>Electrix Halogen Magnifier Lamp</t>
  </si>
  <si>
    <t>OFF-PA-10000575</t>
  </si>
  <si>
    <t>Wirebound Message Books, Four 2 3/4 x 5 White Forms per Page</t>
  </si>
  <si>
    <t>OFF-LA-10003077</t>
  </si>
  <si>
    <t>TEC-PH-10003505</t>
  </si>
  <si>
    <t>OFF-PA-10003424</t>
  </si>
  <si>
    <t>FUR-CH-10003061</t>
  </si>
  <si>
    <t>Avery 500</t>
  </si>
  <si>
    <t>Geemarc AmpliPOWER60</t>
  </si>
  <si>
    <t>"While you Were Out" Message Book, One Form per Page</t>
  </si>
  <si>
    <t>Global Leather Task Chair, Black</t>
  </si>
  <si>
    <t>FUR-TA-10004289</t>
  </si>
  <si>
    <t>FUR-BO-10003965</t>
  </si>
  <si>
    <t>BoxOffice By Design Rectangular and Half-Moon Meeting Room Tables</t>
  </si>
  <si>
    <t>O'Sullivan Manor Hill 2-Door Library in Brianna Oak</t>
  </si>
  <si>
    <t>FUR-TA-10001307</t>
  </si>
  <si>
    <t>SAFCO PlanMaster Heigh-Adjustable Drafting Table Base, 43w x 30d x 30-37h, Black</t>
  </si>
  <si>
    <t>OFF-AP-10002082</t>
  </si>
  <si>
    <t>TEC-PH-10003442</t>
  </si>
  <si>
    <t>OFF-AR-10002833</t>
  </si>
  <si>
    <t>Holmes HEPA Air Purifier</t>
  </si>
  <si>
    <t>Samsung Replacement EH64AVFWE Premium Headset</t>
  </si>
  <si>
    <t>Newell 322</t>
  </si>
  <si>
    <t>OFF-PA-10004355</t>
  </si>
  <si>
    <t>TEC-AC-10001142</t>
  </si>
  <si>
    <t>Xerox 231</t>
  </si>
  <si>
    <t>First Data FD10 PIN Pad</t>
  </si>
  <si>
    <t>FUR-FU-10001918</t>
  </si>
  <si>
    <t>OFF-PA-10004475</t>
  </si>
  <si>
    <t>OFF-PA-10003893</t>
  </si>
  <si>
    <t>C-Line Cubicle Keepers Polyproplyene Holder With Velcro Backings</t>
  </si>
  <si>
    <t>Xerox 1940</t>
  </si>
  <si>
    <t>Xerox 1962</t>
  </si>
  <si>
    <t>OFF-BI-10002976</t>
  </si>
  <si>
    <t>TEC-PH-10001615</t>
  </si>
  <si>
    <t>ACCOHIDE Binder by Acco</t>
  </si>
  <si>
    <t>AT&amp;T CL82213</t>
  </si>
  <si>
    <t>TEC-PH-10000455</t>
  </si>
  <si>
    <t>GE 30522EE2</t>
  </si>
  <si>
    <t>OFF-BI-10002498</t>
  </si>
  <si>
    <t>OFF-SU-10002881</t>
  </si>
  <si>
    <t>TEC-AC-10002926</t>
  </si>
  <si>
    <t>Clear Mylar Reinforcing Strips</t>
  </si>
  <si>
    <t>Martin Yale Chadless Opener Electric Letter Opener</t>
  </si>
  <si>
    <t>Logitech Wireless Marathon Mouse M705</t>
  </si>
  <si>
    <t>FUR-FU-10001861</t>
  </si>
  <si>
    <t>Floodlight Indoor Halogen Bulbs, 1 Bulb per Pack, 60 Watts</t>
  </si>
  <si>
    <t>TEC-PH-10000895</t>
  </si>
  <si>
    <t>FUR-TA-10002356</t>
  </si>
  <si>
    <t>Polycom VVX 310 VoIP phone</t>
  </si>
  <si>
    <t>Bevis Boat-Shaped Conference Table</t>
  </si>
  <si>
    <t>TEC-MA-10000488</t>
  </si>
  <si>
    <t>OFF-PA-10003729</t>
  </si>
  <si>
    <t>Bady BDG101FRU Card Printer</t>
  </si>
  <si>
    <t>Xerox 1998</t>
  </si>
  <si>
    <t>OFF-AP-10002518</t>
  </si>
  <si>
    <t>Kensington 7 Outlet MasterPiece Power Center</t>
  </si>
  <si>
    <t>TEC-AC-10003027</t>
  </si>
  <si>
    <t>OFF-PA-10001804</t>
  </si>
  <si>
    <t>FUR-FU-10004973</t>
  </si>
  <si>
    <t>FUR-CH-10002602</t>
  </si>
  <si>
    <t>Imation 8GB Mini TravelDrive USB 2.0 Flash Drive</t>
  </si>
  <si>
    <t>Xerox 195</t>
  </si>
  <si>
    <t>Flat Face Poster Frame</t>
  </si>
  <si>
    <t>DMI Arturo Collection Mission-style Design Wood Chair</t>
  </si>
  <si>
    <t>OFF-BI-10002133</t>
  </si>
  <si>
    <t>Wilson Jones Elliptical Ring 3 1/2" Capacity Binders, 800 sheets</t>
  </si>
  <si>
    <t>FUR-BO-10001918</t>
  </si>
  <si>
    <t>TEC-PH-10004896</t>
  </si>
  <si>
    <t>Sauder Forest Hills Library with Doors, Woodland Oak Finish</t>
  </si>
  <si>
    <t>Nokia Lumia 521 (T-Mobile)</t>
  </si>
  <si>
    <t>TEC-PH-10002824</t>
  </si>
  <si>
    <t>FUR-FU-10004460</t>
  </si>
  <si>
    <t>Jabra SPEAK 410 Multidevice Speakerphone</t>
  </si>
  <si>
    <t>Howard Miller 12" Round Wall Clock</t>
  </si>
  <si>
    <t>FUR-TA-10004767</t>
  </si>
  <si>
    <t>Safco Drafting Table</t>
  </si>
  <si>
    <t>TEC-PH-10000984</t>
  </si>
  <si>
    <t>FUR-CH-10002880</t>
  </si>
  <si>
    <t>OFF-BI-10001191</t>
  </si>
  <si>
    <t>Panasonic KX-TG9471B</t>
  </si>
  <si>
    <t>Global High-Back Leather Tilter, Burgundy</t>
  </si>
  <si>
    <t>Canvas Sectional Post Binders</t>
  </si>
  <si>
    <t>OFF-LA-10003714</t>
  </si>
  <si>
    <t>Avery 510</t>
  </si>
  <si>
    <t>OFF-EN-10002621</t>
  </si>
  <si>
    <t>Staple envelope</t>
  </si>
  <si>
    <t>OFF-AR-10001446</t>
  </si>
  <si>
    <t>Newell 309</t>
  </si>
  <si>
    <t>OFF-BI-10001359</t>
  </si>
  <si>
    <t>GBC DocuBind TL300 Electric Binding System</t>
  </si>
  <si>
    <t>OFF-PA-10003953</t>
  </si>
  <si>
    <t>FUR-CH-10000155</t>
  </si>
  <si>
    <t>OFF-ST-10002743</t>
  </si>
  <si>
    <t>Xerox 218</t>
  </si>
  <si>
    <t>Global Comet Stacking Armless Chair</t>
  </si>
  <si>
    <t>SAFCO Boltless Steel Shelving</t>
  </si>
  <si>
    <t>FUR-FU-10001037</t>
  </si>
  <si>
    <t>DAX Charcoal/Nickel-Tone Document Frame, 5 x 7</t>
  </si>
  <si>
    <t>OFF-PA-10001878</t>
  </si>
  <si>
    <t>TEC-MA-10003674</t>
  </si>
  <si>
    <t>Xerox 1891</t>
  </si>
  <si>
    <t>Hewlett-Packard Deskjet 5550 Printer</t>
  </si>
  <si>
    <t>OFF-LA-10003190</t>
  </si>
  <si>
    <t>Avery 474</t>
  </si>
  <si>
    <t>OFF-BI-10003091</t>
  </si>
  <si>
    <t>FUR-CH-10003981</t>
  </si>
  <si>
    <t>GBC DocuBind TL200 Manual Binding Machine</t>
  </si>
  <si>
    <t>Global Commerce Series Low-Back Swivel/Tilt Chairs</t>
  </si>
  <si>
    <t>OFF-PA-10003039</t>
  </si>
  <si>
    <t>TEC-AC-10001908</t>
  </si>
  <si>
    <t>Xerox 1960</t>
  </si>
  <si>
    <t>Logitech Wireless Headset h800</t>
  </si>
  <si>
    <t>OFF-PA-10004071</t>
  </si>
  <si>
    <t>OFF-PA-10001972</t>
  </si>
  <si>
    <t>TEC-PH-10004165</t>
  </si>
  <si>
    <t>Eaton Premium Continuous-Feed Paper, 25% Cotton, Letter Size, White, 1000 Shts/Box</t>
  </si>
  <si>
    <t>Xerox 214</t>
  </si>
  <si>
    <t>Mitel MiVoice 5330e IP Phone</t>
  </si>
  <si>
    <t>FUR-BO-10000468</t>
  </si>
  <si>
    <t>FUR-FU-10001706</t>
  </si>
  <si>
    <t>OFF-PA-10003129</t>
  </si>
  <si>
    <t>TEC-AC-10001284</t>
  </si>
  <si>
    <t>O'Sullivan 2-Shelf Heavy-Duty Bookcases</t>
  </si>
  <si>
    <t>Longer-Life Soft White Bulbs</t>
  </si>
  <si>
    <t>Tops White Computer Printout Paper</t>
  </si>
  <si>
    <t>Enermax Briskie RF Wireless Keyboard and Mouse Combo</t>
  </si>
  <si>
    <t>OFF-LA-10004544</t>
  </si>
  <si>
    <t>Avery 505</t>
  </si>
  <si>
    <t>OFF-AR-10000658</t>
  </si>
  <si>
    <t>FUR-FU-10001196</t>
  </si>
  <si>
    <t>FUR-TA-10001889</t>
  </si>
  <si>
    <t>OFF-BI-10004970</t>
  </si>
  <si>
    <t>TEC-PH-10003885</t>
  </si>
  <si>
    <t>OFF-LA-10001641</t>
  </si>
  <si>
    <t>OFF-AR-10004582</t>
  </si>
  <si>
    <t>TEC-AC-10002842</t>
  </si>
  <si>
    <t>TEC-AC-10000109</t>
  </si>
  <si>
    <t>OFF-AP-10004785</t>
  </si>
  <si>
    <t>TEC-AC-10003023</t>
  </si>
  <si>
    <t>TEC-AC-10002217</t>
  </si>
  <si>
    <t>OFF-BI-10002954</t>
  </si>
  <si>
    <t>OFF-PA-10002586</t>
  </si>
  <si>
    <t>OFF-ST-10000025</t>
  </si>
  <si>
    <t>OFF-AP-10003281</t>
  </si>
  <si>
    <t>TEC-PH-10002103</t>
  </si>
  <si>
    <t>OFF-SU-10000898</t>
  </si>
  <si>
    <t>OFF-PA-10001144</t>
  </si>
  <si>
    <t>TEC-AC-10004659</t>
  </si>
  <si>
    <t>OFF-AR-10004752</t>
  </si>
  <si>
    <t>Newell 324</t>
  </si>
  <si>
    <t>DAX Cubicle Frames - 8x10</t>
  </si>
  <si>
    <t>Bush Advantage Collection Racetrack Conference Table</t>
  </si>
  <si>
    <t>ACCOHIDE 3-Ring Binder, Blue, 1"</t>
  </si>
  <si>
    <t>Cisco SPA508G</t>
  </si>
  <si>
    <t>Avery 518</t>
  </si>
  <si>
    <t>BIC Brite Liner Grip Highlighters</t>
  </si>
  <si>
    <t>WD My Passport Ultra 2TB Portable External Hard Drive</t>
  </si>
  <si>
    <t>Sony Micro Vault Click 16 GB USB 2.0 Flash Drive</t>
  </si>
  <si>
    <t>Holmes Replacement Filter for HEPA Air Cleaner, Medium Room</t>
  </si>
  <si>
    <t>Logitech G105 Gaming Keyboard</t>
  </si>
  <si>
    <t>Imation Clip USB flash drive - 8 GB</t>
  </si>
  <si>
    <t>Newell 3-Hole Punched Plastic Slotted Magazine Holders for Binders</t>
  </si>
  <si>
    <t>Xerox 1970</t>
  </si>
  <si>
    <t>Fellowes Stor/Drawer Steel Plus Storage Drawers</t>
  </si>
  <si>
    <t>Acco 6 Outlet Guardian Standard Surge Suppressor</t>
  </si>
  <si>
    <t>Jabra SPEAK 410</t>
  </si>
  <si>
    <t>Acme Hot Forged Carbon Steel Scissors with Nickel-Plated Handles, 3 7/8" Cut, 8"L</t>
  </si>
  <si>
    <t>Xerox 1913</t>
  </si>
  <si>
    <t>Imation Secure+ Hardware Encrypted USB 2.0 Flash Drive; 16GB</t>
  </si>
  <si>
    <t>Blackstonian Pencils</t>
  </si>
  <si>
    <t>OFF-AR-10002257</t>
  </si>
  <si>
    <t>OFF-FA-10004395</t>
  </si>
  <si>
    <t>OFF-AP-10002534</t>
  </si>
  <si>
    <t>FUR-FU-10004020</t>
  </si>
  <si>
    <t>Eldon Spacemaker Box, Quick-Snap Lid, Clear</t>
  </si>
  <si>
    <t>Plymouth Boxed Rubber Bands by Plymouth</t>
  </si>
  <si>
    <t>3.6 Cubic Foot Counter Height Office Refrigerator</t>
  </si>
  <si>
    <t>Advantus Panel Wall Acrylic Frame</t>
  </si>
  <si>
    <t>TEC-AC-10001767</t>
  </si>
  <si>
    <t>OFF-AR-10001221</t>
  </si>
  <si>
    <t>FUR-CH-10001146</t>
  </si>
  <si>
    <t>SanDisk Ultra 64 GB MicroSDHC Class 10 Memory Card</t>
  </si>
  <si>
    <t>Dixon Ticonderoga Erasable Colored Pencil Set, 12-Color</t>
  </si>
  <si>
    <t>Global Value Mid-Back Manager's Chair, Gray</t>
  </si>
  <si>
    <t>FUR-BO-10003034</t>
  </si>
  <si>
    <t>O'Sullivan Elevations Bookcase, Cherry Finish</t>
  </si>
  <si>
    <t>OFF-BI-10002867</t>
  </si>
  <si>
    <t>GBC Recycled Regency Composition Covers</t>
  </si>
  <si>
    <t>OFF-AR-10001860</t>
  </si>
  <si>
    <t>BIC Liqua Brite Liner</t>
  </si>
  <si>
    <t>TEC-AC-10001114</t>
  </si>
  <si>
    <t>FUR-CH-10002335</t>
  </si>
  <si>
    <t>TEC-AC-10000844</t>
  </si>
  <si>
    <t>FUR-TA-10004534</t>
  </si>
  <si>
    <t>Microsoft Wireless Mobile Mouse 4000</t>
  </si>
  <si>
    <t>Hon GuestStacker Chair</t>
  </si>
  <si>
    <t>Logitech Gaming G510s - Keyboard</t>
  </si>
  <si>
    <t>Bevis 44 x 96 Conference Tables</t>
  </si>
  <si>
    <t>TEC-AC-10003289</t>
  </si>
  <si>
    <t>TEC-PH-10002468</t>
  </si>
  <si>
    <t>Anker Ultra-Slim Mini Bluetooth 3.0 Wireless Keyboard</t>
  </si>
  <si>
    <t>Plantronics CS 50-USB - headset - Convertible, Monaural</t>
  </si>
  <si>
    <t>OFF-PA-10004082</t>
  </si>
  <si>
    <t>OFF-PA-10004243</t>
  </si>
  <si>
    <t>Adams Telephone Message Book w/Frequently-Called Numbers Space, 400 Messages per Book</t>
  </si>
  <si>
    <t>Xerox 1939</t>
  </si>
  <si>
    <t>OFF-BI-10004094</t>
  </si>
  <si>
    <t>FUR-TA-10004607</t>
  </si>
  <si>
    <t>GBC Standard Plastic Binding Systems Combs</t>
  </si>
  <si>
    <t>Hon 2111 Invitation Series Straight Table</t>
  </si>
  <si>
    <t>OFF-ST-10000649</t>
  </si>
  <si>
    <t>Hanging Personal Folder File</t>
  </si>
  <si>
    <t>TEC-AC-10001266</t>
  </si>
  <si>
    <t>Xerox 1888</t>
  </si>
  <si>
    <t>Memorex Micro Travel Drive 8 GB</t>
  </si>
  <si>
    <t>OFF-BI-10000145</t>
  </si>
  <si>
    <t>OFF-EN-10003040</t>
  </si>
  <si>
    <t>TEC-PH-10000923</t>
  </si>
  <si>
    <t>Zipper Ring Binder Pockets</t>
  </si>
  <si>
    <t>Quality Park Security Envelopes</t>
  </si>
  <si>
    <t>Belkin SportFit Armband For iPhone 5s/5c, Fuchsia</t>
  </si>
  <si>
    <t>OFF-PA-10004092</t>
  </si>
  <si>
    <t>Tops Green Bar Computer Printout Paper</t>
  </si>
  <si>
    <t>TEC-PH-10001536</t>
  </si>
  <si>
    <t>FUR-CH-10001973</t>
  </si>
  <si>
    <t>Spigen Samsung Galaxy S5 Case Wallet</t>
  </si>
  <si>
    <t>Office Star Flex Back Scooter Chair with White Frame</t>
  </si>
  <si>
    <t>OFF-AR-10004956</t>
  </si>
  <si>
    <t>Newell 33</t>
  </si>
  <si>
    <t>OFF-PA-10004359</t>
  </si>
  <si>
    <t>Multicolor Computer Printout Paper</t>
  </si>
  <si>
    <t>OFF-AR-10004078</t>
  </si>
  <si>
    <t>FUR-CH-10004675</t>
  </si>
  <si>
    <t>Newell 312</t>
  </si>
  <si>
    <t>Lifetime Advantage Folding Chairs, 4/Carton</t>
  </si>
  <si>
    <t>OFF-BI-10002735</t>
  </si>
  <si>
    <t>GBC Prestige Therm-A-Bind Covers</t>
  </si>
  <si>
    <t>OFF-EN-10003134</t>
  </si>
  <si>
    <t>FUR-FU-10003708</t>
  </si>
  <si>
    <t>TEC-PH-10003645</t>
  </si>
  <si>
    <t>Tenex Traditional Chairmats for Medium Pile Carpet, Standard Lip, 36" x 48"</t>
  </si>
  <si>
    <t>Aastra 57i VoIP phone</t>
  </si>
  <si>
    <t>FUR-CH-10000553</t>
  </si>
  <si>
    <t>Metal Folding Chairs, Beige, 4/Carton</t>
  </si>
  <si>
    <t>OFF-ST-10001580</t>
  </si>
  <si>
    <t>TEC-PH-10001817</t>
  </si>
  <si>
    <t>Super Decoflex Portable Personal File</t>
  </si>
  <si>
    <t>Wilson Electronics DB Pro Signal Booster</t>
  </si>
  <si>
    <t>OFF-PA-10003790</t>
  </si>
  <si>
    <t>Xerox 1991</t>
  </si>
  <si>
    <t>OFF-FA-10003059</t>
  </si>
  <si>
    <t>Assorted Color Push Pins</t>
  </si>
  <si>
    <t>FUR-FU-10000293</t>
  </si>
  <si>
    <t>OFF-ST-10003692</t>
  </si>
  <si>
    <t>Eldon Antistatic Chair Mats for Low to Medium Pile Carpets</t>
  </si>
  <si>
    <t>Recycled Steel Personal File for Hanging File Folders</t>
  </si>
  <si>
    <t>TEC-AC-10001013</t>
  </si>
  <si>
    <t>Logitech ClearChat Comfort/USB Headset H390</t>
  </si>
  <si>
    <t>FUR-FU-10004597</t>
  </si>
  <si>
    <t>Eldon Cleatmat Chair Mats for Medium Pile Carpets</t>
  </si>
  <si>
    <t>OFF-AR-10003856</t>
  </si>
  <si>
    <t>OFF-AP-10001492</t>
  </si>
  <si>
    <t>Newell 344</t>
  </si>
  <si>
    <t>Acco Six-Outlet Power Strip, 4' Cord Length</t>
  </si>
  <si>
    <t>OFF-PA-10001776</t>
  </si>
  <si>
    <t>Wirebound Message Books, Four 2 3/4" x 5" Forms per Page, 600 Sets per Book</t>
  </si>
  <si>
    <t>OFF-PA-10003919</t>
  </si>
  <si>
    <t>OFF-PA-10002001</t>
  </si>
  <si>
    <t>OFF-PA-10002787</t>
  </si>
  <si>
    <t>Xerox 1989</t>
  </si>
  <si>
    <t>Xerox 1984</t>
  </si>
  <si>
    <t>Xerox 227</t>
  </si>
  <si>
    <t>FUR-CH-10003833</t>
  </si>
  <si>
    <t>FUR-BO-10004467</t>
  </si>
  <si>
    <t>Novimex Fabric Task Chair</t>
  </si>
  <si>
    <t>Bestar Classic Bookcase</t>
  </si>
  <si>
    <t>OFF-AP-10004036</t>
  </si>
  <si>
    <t>OFF-AP-10002287</t>
  </si>
  <si>
    <t>OFF-AR-10002375</t>
  </si>
  <si>
    <t>FUR-TA-10001950</t>
  </si>
  <si>
    <t>Bionaire 99.97% HEPA Air Cleaner</t>
  </si>
  <si>
    <t>Eureka Sanitaire  Multi-Pro Heavy-Duty Upright, Disposable Bags</t>
  </si>
  <si>
    <t>Newell 351</t>
  </si>
  <si>
    <t>Balt Solid Wood Round Tables</t>
  </si>
  <si>
    <t>TEC-AC-10001432</t>
  </si>
  <si>
    <t>FUR-CH-10001394</t>
  </si>
  <si>
    <t>OFF-ST-10002370</t>
  </si>
  <si>
    <t>OFF-AR-10001955</t>
  </si>
  <si>
    <t>OFF-ST-10001809</t>
  </si>
  <si>
    <t>OFF-LA-10004093</t>
  </si>
  <si>
    <t>OFF-AP-10002118</t>
  </si>
  <si>
    <t>TEC-AC-10003095</t>
  </si>
  <si>
    <t>Enermax Aurora Lite Keyboard</t>
  </si>
  <si>
    <t>Global Leather Executive Chair</t>
  </si>
  <si>
    <t>Sortfiler Multipurpose Personal File Organizer, Black</t>
  </si>
  <si>
    <t>Newell 319</t>
  </si>
  <si>
    <t>Fellowes Officeware Wire Shelving</t>
  </si>
  <si>
    <t>Avery 486</t>
  </si>
  <si>
    <t>1.7 Cubic Foot Compact "Cube" Office Refrigerators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</si>
  <si>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</si>
  <si>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</si>
  <si>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</si>
  <si>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</si>
  <si>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</si>
  <si>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OFF-AP-10000026</t>
  </si>
  <si>
    <t>Tripp Lite Isotel 6 Outlet Surge Protector with Fax/Modem Protection</t>
  </si>
  <si>
    <t>OFF-BI-10004187</t>
  </si>
  <si>
    <t>OFF-BI-10000632</t>
  </si>
  <si>
    <t>OFF-AP-10002765</t>
  </si>
  <si>
    <t>OFF-AR-10001868</t>
  </si>
  <si>
    <t>3-ring staple pack</t>
  </si>
  <si>
    <t>Satellite Sectional Post Binders</t>
  </si>
  <si>
    <t>Fellowes Advanced Computer Series Surge Protectors</t>
  </si>
  <si>
    <t>Prang Dustless Chalk Sticks</t>
  </si>
  <si>
    <t>OFF-BI-10001553</t>
  </si>
  <si>
    <t>SpineVue Locking Slant-D Ring Binders by Cardinal</t>
  </si>
  <si>
    <t>OFF-PA-10002464</t>
  </si>
  <si>
    <t>HP Office Recycled Paper (20Lb. and 87 Bright)</t>
  </si>
  <si>
    <t>TEC-AC-10004353</t>
  </si>
  <si>
    <t>Hypercom P1300 Pinpad</t>
  </si>
  <si>
    <t>OFF-FA-10000053</t>
  </si>
  <si>
    <t>Revere Boxed Rubber Bands by Revere</t>
  </si>
  <si>
    <t>OFF-AP-10002403</t>
  </si>
  <si>
    <t>OFF-AR-10003087</t>
  </si>
  <si>
    <t>TEC-PH-10000141</t>
  </si>
  <si>
    <t>TEC-CO-10000971</t>
  </si>
  <si>
    <t>Acco Smartsocket Color-Coded Six-Outlet AC Adapter Model Surge Protectors</t>
  </si>
  <si>
    <t>Clearsounds A400</t>
  </si>
  <si>
    <t>Hewlett Packard 310 Color Digital Copier</t>
  </si>
  <si>
    <t>OFF-AR-10000246</t>
  </si>
  <si>
    <t>OFF-ST-10002214</t>
  </si>
  <si>
    <t>OFF-EN-10001990</t>
  </si>
  <si>
    <t>Newell 318</t>
  </si>
  <si>
    <t>X-Rack File for Hanging Folders</t>
  </si>
  <si>
    <t>TEC-AC-10002049</t>
  </si>
  <si>
    <t>TEC-PH-10000702</t>
  </si>
  <si>
    <t>OFF-AR-10003631</t>
  </si>
  <si>
    <t>TEC-PH-10003072</t>
  </si>
  <si>
    <t>FUR-FU-10000758</t>
  </si>
  <si>
    <t>Logitech G19 Programmable Gaming Keyboard</t>
  </si>
  <si>
    <t>Square Credit Card Reader, 4 1/2" x 4 1/2" x 1", White</t>
  </si>
  <si>
    <t>Panasonic KX-TG9541B DECT 6.0 Digital 2-Line Expandable Cordless Phone With Digital Answering System</t>
  </si>
  <si>
    <t>DAX Natural Wood-Tone Poster Frame</t>
  </si>
  <si>
    <t>OFF-BI-10002082</t>
  </si>
  <si>
    <t>GBC Twin Loop Wire Binding Elements</t>
  </si>
  <si>
    <t>OFF-ST-10002289</t>
  </si>
  <si>
    <t>TEC-AC-10004171</t>
  </si>
  <si>
    <t>Safco Wire Cube Shelving System, For Use as 4 or 5 14" Cubes, Black</t>
  </si>
  <si>
    <t>Razer Kraken 7.1 Surround Sound Over Ear USB Gaming Headset</t>
  </si>
  <si>
    <t>TEC-AC-10002473</t>
  </si>
  <si>
    <t>FUR-TA-10002645</t>
  </si>
  <si>
    <t>OFF-FA-10002975</t>
  </si>
  <si>
    <t>Maxell 4.7GB DVD-R</t>
  </si>
  <si>
    <t>Hon Rectangular Conference Tables</t>
  </si>
  <si>
    <t>OFF-LA-10000240</t>
  </si>
  <si>
    <t>FUR-FU-10001935</t>
  </si>
  <si>
    <t>Self-Adhesive Address Labels for Typewriters by Universal</t>
  </si>
  <si>
    <t>3M Hangers With Command Adhesive</t>
  </si>
  <si>
    <t>OFF-LA-10000081</t>
  </si>
  <si>
    <t>TEC-AC-10003038</t>
  </si>
  <si>
    <t>OFF-AR-10001683</t>
  </si>
  <si>
    <t>OFF-ST-10003455</t>
  </si>
  <si>
    <t>OFF-AP-10002578</t>
  </si>
  <si>
    <t>Avery 496</t>
  </si>
  <si>
    <t>Kingston Digital DataTraveler 16GB USB 2.0</t>
  </si>
  <si>
    <t>Lumber Crayons</t>
  </si>
  <si>
    <t>Tenex File Box, Personal Filing Tote with Lid, Black</t>
  </si>
  <si>
    <t>Fellowes Premier Superior Surge Suppressor, 10-Outlet, With Phone and Remote</t>
  </si>
  <si>
    <t>OFF-BI-10001524</t>
  </si>
  <si>
    <t>TEC-PH-10000576</t>
  </si>
  <si>
    <t>OFF-LA-10001317</t>
  </si>
  <si>
    <t>OFF-PA-10000726</t>
  </si>
  <si>
    <t>OFF-PA-10004983</t>
  </si>
  <si>
    <t>OFF-ST-10001291</t>
  </si>
  <si>
    <t>GBC Premium Transparent Covers with Diagonal Lined Pattern</t>
  </si>
  <si>
    <t>AT&amp;T 1080 Corded phone</t>
  </si>
  <si>
    <t>Avery 520</t>
  </si>
  <si>
    <t>Black Print Carbonless Snap-Off Rapid Letter, 8 1/2" x 7"</t>
  </si>
  <si>
    <t>Xerox 23</t>
  </si>
  <si>
    <t>Tenex Personal Self-Stacking Standard File Box, Black/Gray</t>
  </si>
  <si>
    <t>FUR-TA-10000198</t>
  </si>
  <si>
    <t>Chromcraft Bull-Nose Wood Oval Conference Tables &amp; Bases</t>
  </si>
  <si>
    <t>OFF-SU-10002557</t>
  </si>
  <si>
    <t>TEC-PH-10000912</t>
  </si>
  <si>
    <t>FUR-TA-10000617</t>
  </si>
  <si>
    <t>OFF-BI-10001658</t>
  </si>
  <si>
    <t>Fiskars Spring-Action Scissors</t>
  </si>
  <si>
    <t>Anker 24W Portable Micro USB Car Charger</t>
  </si>
  <si>
    <t>Hon Practical Foundations 30 x 60 Training Table, Light Gray/Charcoal</t>
  </si>
  <si>
    <t>GBC Standard Therm-A-Bind Covers</t>
  </si>
  <si>
    <t>OFF-EN-10004483</t>
  </si>
  <si>
    <t>OFF-PA-10001892</t>
  </si>
  <si>
    <t>OFF-BI-10001294</t>
  </si>
  <si>
    <t>#10 White Business Envelopes,4 1/8 x 9 1/2</t>
  </si>
  <si>
    <t>Rediform Wirebound "Phone Memo" Message Book, 11 x 5-3/4</t>
  </si>
  <si>
    <t>Fellowes Binding Cases</t>
  </si>
  <si>
    <t>TEC-PH-10000675</t>
  </si>
  <si>
    <t>Panasonic KX TS3282B Corded phone</t>
  </si>
  <si>
    <t>FUR-FU-10003975</t>
  </si>
  <si>
    <t>Eldon Advantage Chair Mats for Low to Medium Pile Carpets</t>
  </si>
  <si>
    <t>FUR-FU-10004665</t>
  </si>
  <si>
    <t>OFF-BI-10000088</t>
  </si>
  <si>
    <t>3M Polarizing Task Lamp with Clamp Arm, Light Gray</t>
  </si>
  <si>
    <t>GBC Imprintable Covers</t>
  </si>
  <si>
    <t>OFF-BI-10001308</t>
  </si>
  <si>
    <t>FUR-TA-10003954</t>
  </si>
  <si>
    <t>OFF-AR-10004441</t>
  </si>
  <si>
    <t>GBC Standard Plastic Binding Systems' Combs</t>
  </si>
  <si>
    <t>Hon 94000 Series Round Tables</t>
  </si>
  <si>
    <t>BIC Brite Liner Highlighters</t>
  </si>
  <si>
    <t>OFF-ST-10001476</t>
  </si>
  <si>
    <t>FUR-FU-10002045</t>
  </si>
  <si>
    <t>Steel Personal Filing/Posting Tote</t>
  </si>
  <si>
    <t>Executive Impressions 14"</t>
  </si>
  <si>
    <t>TEC-PH-10002807</t>
  </si>
  <si>
    <t>OFF-EN-10003296</t>
  </si>
  <si>
    <t>TEC-PH-10002310</t>
  </si>
  <si>
    <t>OFF-ST-10000078</t>
  </si>
  <si>
    <t>OFF-PA-10001752</t>
  </si>
  <si>
    <t>OFF-SU-10002573</t>
  </si>
  <si>
    <t>Motorla HX550 Universal Bluetooth Headset</t>
  </si>
  <si>
    <t>Tyvek Side-Opening Peel &amp; Seel Expanding Envelopes</t>
  </si>
  <si>
    <t>Plantronics Calisto P620-M USB Wireless Speakerphone System</t>
  </si>
  <si>
    <t>Tennsco 6- and 18-Compartment Lockers</t>
  </si>
  <si>
    <t>Hammermill CopyPlus Copy Paper (20Lb. and 84 Bright)</t>
  </si>
  <si>
    <t>Acme 10" Easy Grip Assistive Scissors</t>
  </si>
  <si>
    <t>OFF-LA-10003663</t>
  </si>
  <si>
    <t>TEC-PH-10001300</t>
  </si>
  <si>
    <t>OFF-LA-10001404</t>
  </si>
  <si>
    <t>Avery 498</t>
  </si>
  <si>
    <t>iKross Bluetooth Portable Keyboard + Cell Phone Stand Holder + Brush for Apple iPhone 5S 5C 5, 4S 4</t>
  </si>
  <si>
    <t>Avery 517</t>
  </si>
  <si>
    <t>TEC-CO-10004722</t>
  </si>
  <si>
    <t>OFF-EN-10002500</t>
  </si>
  <si>
    <t>TEC-PH-10003800</t>
  </si>
  <si>
    <t>TEC-MA-10002210</t>
  </si>
  <si>
    <t>OFF-BI-10003196</t>
  </si>
  <si>
    <t>Canon imageCLASS 2200 Advanced Copier</t>
  </si>
  <si>
    <t>Globe Weis Peel &amp; Seel First Class Envelopes</t>
  </si>
  <si>
    <t>i.Sound Portable Power - 8000 mAh</t>
  </si>
  <si>
    <t>Epson TM-T88V Direct Thermal Printer - Monochrome - Desktop</t>
  </si>
  <si>
    <t>Accohide Poly Flexible Ring Binders</t>
  </si>
  <si>
    <t>FUR-FU-10000076</t>
  </si>
  <si>
    <t>FUR-CH-10002017</t>
  </si>
  <si>
    <t>24-Hour Round Wall Clock</t>
  </si>
  <si>
    <t>SAFCO Optional Arm Kit for Workspace Cribbage Stacking Chair</t>
  </si>
  <si>
    <t>OFF-PA-10000697</t>
  </si>
  <si>
    <t>OFF-AR-10004691</t>
  </si>
  <si>
    <t>FUR-CH-10000595</t>
  </si>
  <si>
    <t>TOPS Voice Message Log Book, Flash Format</t>
  </si>
  <si>
    <t>Boston 1730 StandUp Electric Pencil Sharpener</t>
  </si>
  <si>
    <t>Safco Contoured Stacking Chairs</t>
  </si>
  <si>
    <t>OFF-BI-10000829</t>
  </si>
  <si>
    <t>OFF-BI-10003712</t>
  </si>
  <si>
    <t>OFF-PA-10000062</t>
  </si>
  <si>
    <t>FUR-BO-10003404</t>
  </si>
  <si>
    <t>OFF-BI-10004233</t>
  </si>
  <si>
    <t>OFF-ST-10001272</t>
  </si>
  <si>
    <t>OFF-LA-10001175</t>
  </si>
  <si>
    <t>Acco Pressboard Covers with Storage Hooks, 14 7/8" x 11", Light Blue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</si>
  <si>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</si>
  <si>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</si>
  <si>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</si>
  <si>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</si>
  <si>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</si>
  <si>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TEC-PH-10002834</t>
  </si>
  <si>
    <t>OFF-EN-10003055</t>
  </si>
  <si>
    <t>Google Nexus 5</t>
  </si>
  <si>
    <t>Blue String-Tie &amp; Button Interoffice Envelopes, 10 x 13</t>
  </si>
  <si>
    <t>OFF-AP-10001205</t>
  </si>
  <si>
    <t>Belkin 5 Outlet SurgeMaster Power Centers</t>
  </si>
  <si>
    <t>OFF-BI-10001196</t>
  </si>
  <si>
    <t>TEC-MA-10002981</t>
  </si>
  <si>
    <t>TEC-PH-10003601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</si>
  <si>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</si>
  <si>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</si>
  <si>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</si>
  <si>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TEC-AC-10002323</t>
  </si>
  <si>
    <t>OFF-PA-10001246</t>
  </si>
  <si>
    <t>OFF-PA-10001815</t>
  </si>
  <si>
    <t>SanDisk Ultra 32 GB MicroSDHC Class 10 Memory Card</t>
  </si>
  <si>
    <t>Xerox 215</t>
  </si>
  <si>
    <t>Xerox 1885</t>
  </si>
  <si>
    <t>OFF-AR-10002656</t>
  </si>
  <si>
    <t>Sanford Liquid Accent Highlighters</t>
  </si>
  <si>
    <t>TEC-PH-10003811</t>
  </si>
  <si>
    <t>FUR-TA-10000849</t>
  </si>
  <si>
    <t>OFF-AR-10001547</t>
  </si>
  <si>
    <t>Jabra Supreme Plus Driver Edition Headset</t>
  </si>
  <si>
    <t>Bevis Rectangular Conference Tables</t>
  </si>
  <si>
    <t>Newell 311</t>
  </si>
  <si>
    <t>OFF-SU-10000157</t>
  </si>
  <si>
    <t>TEC-AC-10004227</t>
  </si>
  <si>
    <t>Compact Automatic Electric Letter Opener</t>
  </si>
  <si>
    <t>SanDisk Ultra 16 GB MicroSDHC Class 10 Memory Card</t>
  </si>
  <si>
    <t>TEC-AC-10004571</t>
  </si>
  <si>
    <t>Logitech G700s Rechargeable Gaming Mouse</t>
  </si>
  <si>
    <t>TEC-AC-10003709</t>
  </si>
  <si>
    <t>OFF-BI-10003166</t>
  </si>
  <si>
    <t>OFF-ST-10004835</t>
  </si>
  <si>
    <t>OFF-AP-10000159</t>
  </si>
  <si>
    <t>OFF-AP-10002945</t>
  </si>
  <si>
    <t>Maxell 4.7GB DVD-R 5/Pack</t>
  </si>
  <si>
    <t>GBC Plasticlear Binding Covers</t>
  </si>
  <si>
    <t>Plastic Stacking Crates &amp; Casters</t>
  </si>
  <si>
    <t>Belkin F9M820V08 8 Outlet Surge</t>
  </si>
  <si>
    <t>Honeywell Enviracaire Portable HEPA Air Cleaner for 17' x 22' Room</t>
  </si>
  <si>
    <t>TEC-AC-10003433</t>
  </si>
  <si>
    <t>OFF-AR-10001026</t>
  </si>
  <si>
    <t>Maxell 4.7GB DVD+R 5/Pack</t>
  </si>
  <si>
    <t>Sanford Uni-Blazer View Highlighters, Chisel Tip, Yellow</t>
  </si>
  <si>
    <t>OFF-PA-10001019</t>
  </si>
  <si>
    <t>Xerox 1884</t>
  </si>
  <si>
    <t>OFF-AR-10000122</t>
  </si>
  <si>
    <t>OFF-ST-10000352</t>
  </si>
  <si>
    <t>Newell 314</t>
  </si>
  <si>
    <t>Acco Perma 2700 Stacking Storage Drawers</t>
  </si>
  <si>
    <t>OFF-BI-10001890</t>
  </si>
  <si>
    <t>OFF-AP-10003971</t>
  </si>
  <si>
    <t>OFF-PA-10000520</t>
  </si>
  <si>
    <t>Avery Poly Binder Pockets</t>
  </si>
  <si>
    <t>Belkin 6 Outlet Metallic Surge Strip</t>
  </si>
  <si>
    <t>Xerox 201</t>
  </si>
  <si>
    <t>OFF-PA-10000100</t>
  </si>
  <si>
    <t>TEC-AC-10000387</t>
  </si>
  <si>
    <t>Xerox 1945</t>
  </si>
  <si>
    <t>KeyTronic KT800P2 - Keyboard - Black</t>
  </si>
  <si>
    <t>OFF-BI-10003527</t>
  </si>
  <si>
    <t>FUR-FU-10003832</t>
  </si>
  <si>
    <t>Fellowes PB500 Electric Punch Plastic Comb Binding Machine with Manual Bind</t>
  </si>
  <si>
    <t>Eldon Expressions Punched Metal &amp; Wood Desk Accessories, Black &amp; Cherry</t>
  </si>
  <si>
    <t>OFF-PA-10001745</t>
  </si>
  <si>
    <t>Wirebound Message Books, 2 7/8" x 5", 3 Forms per Page</t>
  </si>
  <si>
    <t>TEC-AC-10003441</t>
  </si>
  <si>
    <t>TEC-PH-10004389</t>
  </si>
  <si>
    <t>FUR-BO-10004695</t>
  </si>
  <si>
    <t>OFF-PA-10000223</t>
  </si>
  <si>
    <t>OFF-AR-10000588</t>
  </si>
  <si>
    <t>OFF-SU-10000946</t>
  </si>
  <si>
    <t>Kingston Digital DataTraveler 32GB USB 2.0</t>
  </si>
  <si>
    <t>Nokia Lumia 925</t>
  </si>
  <si>
    <t>O'Sullivan 2-Door Barrister Bookcase in Odessa Pine</t>
  </si>
  <si>
    <t>Xerox 2000</t>
  </si>
  <si>
    <t>Newell 345</t>
  </si>
  <si>
    <t>FUR-FU-10001546</t>
  </si>
  <si>
    <t>Dana Swing-Arm Lamps</t>
  </si>
  <si>
    <t>OFF-AR-10002399</t>
  </si>
  <si>
    <t>OFF-ST-10001963</t>
  </si>
  <si>
    <t>OFF-FA-10002988</t>
  </si>
  <si>
    <t>Dixon Prang Watercolor Pencils, 10-Color Set with Brush</t>
  </si>
  <si>
    <t>Tennsco Regal Shelving Units</t>
  </si>
  <si>
    <t>Ideal Clamps</t>
  </si>
  <si>
    <t>OFF-PA-10000289</t>
  </si>
  <si>
    <t>OFF-PA-10000791</t>
  </si>
  <si>
    <t>Xerox 213</t>
  </si>
  <si>
    <t>Wirebound Message Books, Four 2 3/4 x 5 Forms per Page, 200 Sets per Book</t>
  </si>
  <si>
    <t>OFF-PA-10003739</t>
  </si>
  <si>
    <t>FUR-FU-10000771</t>
  </si>
  <si>
    <t>TEC-PH-10001552</t>
  </si>
  <si>
    <t>Xerox 1969</t>
  </si>
  <si>
    <t>Eldon 200 Class Desk Accessories, Smoke</t>
  </si>
  <si>
    <t>I Need's 3d Hello Kitty Hybrid Silicone Case Cover for HTC One X 4g with 3d Hello Kitty Stylus Pen Green/pink</t>
  </si>
  <si>
    <t>OFF-PA-10003656</t>
  </si>
  <si>
    <t>Xerox 1935</t>
  </si>
  <si>
    <t>OFF-PA-10000327</t>
  </si>
  <si>
    <t>OFF-LA-10001771</t>
  </si>
  <si>
    <t>OFF-FA-10004968</t>
  </si>
  <si>
    <t>Xerox 1971</t>
  </si>
  <si>
    <t>Avery 513</t>
  </si>
  <si>
    <t>Rubber Band Ball</t>
  </si>
  <si>
    <t>OFF-AR-10003338</t>
  </si>
  <si>
    <t>Eberhard Faber 3 1/2" Golf Pencils</t>
  </si>
  <si>
    <t>OFF-ST-10001511</t>
  </si>
  <si>
    <t>Space Solutions Commercial Steel Shelving</t>
  </si>
  <si>
    <t>OFF-AR-10002255</t>
  </si>
  <si>
    <t>OFF-BI-10004995</t>
  </si>
  <si>
    <t>Newell 346</t>
  </si>
  <si>
    <t>GBC DocuBind P400 Electric Binding System</t>
  </si>
  <si>
    <t>FUR-CH-10000422</t>
  </si>
  <si>
    <t>OFF-ST-10000675</t>
  </si>
  <si>
    <t>FUR-FU-10002685</t>
  </si>
  <si>
    <t>Global Highback Leather Tilter in Burgundy</t>
  </si>
  <si>
    <t>File Shuttle II and Handi-File, Black</t>
  </si>
  <si>
    <t>Executive Impressions 13-1/2" Indoor/Outdoor Wall Clock</t>
  </si>
  <si>
    <t>FUR-FU-10004963</t>
  </si>
  <si>
    <t>OFF-BI-10000174</t>
  </si>
  <si>
    <t>OFF-PA-10002160</t>
  </si>
  <si>
    <t>FUR-CH-10004875</t>
  </si>
  <si>
    <t>FUR-FU-10000305</t>
  </si>
  <si>
    <t>TEC-PH-10001459</t>
  </si>
  <si>
    <t>Eldon 400 Class Desk Accessories, Black Carbon</t>
  </si>
  <si>
    <t>Wilson Jones Clip &amp; Carry Folder Binder Tool for Ring Binders, Clear</t>
  </si>
  <si>
    <t>Xerox 1978</t>
  </si>
  <si>
    <t>Harbour Creations 67200 Series Stacking Chairs</t>
  </si>
  <si>
    <t>Tenex V2T-RE Standard Weight Series Chair Mat, 45" x 53", Lip 25" x 12"</t>
  </si>
  <si>
    <t>Samsung Galaxy Mega 6.3</t>
  </si>
  <si>
    <t>FUR-CH-10002647</t>
  </si>
  <si>
    <t>Situations Contoured Folding Chairs, 4/Set</t>
  </si>
  <si>
    <t>OFF-PA-10003673</t>
  </si>
  <si>
    <t>OFF-LA-10002034</t>
  </si>
  <si>
    <t>FUR-CH-10003817</t>
  </si>
  <si>
    <t>FUR-FU-10002445</t>
  </si>
  <si>
    <t>Strathmore Photo Mount Cards</t>
  </si>
  <si>
    <t>Avery 478</t>
  </si>
  <si>
    <t>Global Value Steno Chair, Gray</t>
  </si>
  <si>
    <t>DAX Two-Tone Rosewood/Black Document Frame, Desktop, 5 x 7</t>
  </si>
  <si>
    <t>OFF-PA-10001800</t>
  </si>
  <si>
    <t>OFF-BI-10002827</t>
  </si>
  <si>
    <t>FUR-FU-10004671</t>
  </si>
  <si>
    <t>OFF-BI-10004656</t>
  </si>
  <si>
    <t>Xerox 220</t>
  </si>
  <si>
    <t>Avery Durable Poly Binders</t>
  </si>
  <si>
    <t>Executive Impressions 12" Wall Clock</t>
  </si>
  <si>
    <t>Peel &amp; Stick Add-On Corner Pockets</t>
  </si>
  <si>
    <t>FUR-CH-10001797</t>
  </si>
  <si>
    <t>Safco Chair Connectors, 6/Carton</t>
  </si>
  <si>
    <t>OFF-BI-10001628</t>
  </si>
  <si>
    <t>Acco Data Flex Cable Posts For Top &amp; Bottom Load Binders, 6" Capacity</t>
  </si>
  <si>
    <t>OFF-AP-10000828</t>
  </si>
  <si>
    <t>Avanti 4.4 Cu. Ft. Refrigerator</t>
  </si>
  <si>
    <t>OFF-BI-10000773</t>
  </si>
  <si>
    <t>OFF-BI-10003355</t>
  </si>
  <si>
    <t>OFF-PA-10002005</t>
  </si>
  <si>
    <t>Insertable Tab Post Binder Dividers</t>
  </si>
  <si>
    <t>Cardinal Holdit Business Card Pockets</t>
  </si>
  <si>
    <t>Xerox 225</t>
  </si>
  <si>
    <t>FUR-BO-10002202</t>
  </si>
  <si>
    <t>Atlantic Metals Mobile 2-Shelf Bookcases, Custom Colors</t>
  </si>
  <si>
    <t>FUR-FU-10001488</t>
  </si>
  <si>
    <t>Tenex 46" x 60" Computer Anti-Static Chairmat, Rectangular Shaped</t>
  </si>
  <si>
    <t>FUR-CH-10003846</t>
  </si>
  <si>
    <t>Hon Valutask Swivel Chairs</t>
  </si>
  <si>
    <t>FUR-TA-10001520</t>
  </si>
  <si>
    <t>Lesro Sheffield Collection Coffee Table, End Table, Center Table, Corner Table</t>
  </si>
  <si>
    <t>OFF-EN-10002312</t>
  </si>
  <si>
    <t>FUR-CH-10002320</t>
  </si>
  <si>
    <t>#10 Self-Seal White Envelopes</t>
  </si>
  <si>
    <t>Hon Pagoda Stacking Chairs</t>
  </si>
  <si>
    <t>OFF-AR-10001216</t>
  </si>
  <si>
    <t>OFF-PA-10003127</t>
  </si>
  <si>
    <t>Newell 339</t>
  </si>
  <si>
    <t>TEC-AC-10000892</t>
  </si>
  <si>
    <t>FUR-FU-10003247</t>
  </si>
  <si>
    <t>OFF-AP-10004336</t>
  </si>
  <si>
    <t>OFF-PA-10001295</t>
  </si>
  <si>
    <t>NETGEAR N750 Dual Band Wi-Fi Gigabit Router</t>
  </si>
  <si>
    <t>36X48 HARDFLOOR CHAIRMAT</t>
  </si>
  <si>
    <t>Conquest 14 Commercial Heavy-Duty Upright Vacuum, Collection System, Accessory Kit</t>
  </si>
  <si>
    <t>Computer Printout Paper with Letter-Trim Perforations</t>
  </si>
  <si>
    <t>OFF-EN-10002973</t>
  </si>
  <si>
    <t>FUR-TA-10003837</t>
  </si>
  <si>
    <t>Ampad #10 Peel &amp; Seel Holiday Envelopes</t>
  </si>
  <si>
    <t>Anderson Hickey Conga Table Tops &amp; Accessories</t>
  </si>
  <si>
    <t>OFF-PA-10001307</t>
  </si>
  <si>
    <t>Important Message Pads, 50 4-1/4 x 5-1/2 Forms per Pad</t>
  </si>
  <si>
    <t>TEC-PH-10004531</t>
  </si>
  <si>
    <t>TEC-AC-10004001</t>
  </si>
  <si>
    <t>OFF-PA-10001534</t>
  </si>
  <si>
    <t>OFF-AP-10003779</t>
  </si>
  <si>
    <t>OtterBox Commuter Series Case - iPhone 5 &amp; 5s</t>
  </si>
  <si>
    <t>Logitech Wireless Headset H600 Over-The-Head Design</t>
  </si>
  <si>
    <t>Xerox 230</t>
  </si>
  <si>
    <t>Kensington 7 Outlet MasterPiece Power Center with Fax/Phone Line Protection</t>
  </si>
  <si>
    <t>TEC-PH-10003589</t>
  </si>
  <si>
    <t>invisibleSHIELD by ZAGG Smudge-Free Screen Protector</t>
  </si>
  <si>
    <t>OFF-BI-10004584</t>
  </si>
  <si>
    <t>FUR-FU-10000550</t>
  </si>
  <si>
    <t>FUR-FU-10001591</t>
  </si>
  <si>
    <t>TEC-PH-10000526</t>
  </si>
  <si>
    <t>GBC ProClick 150 Presentation Binding System</t>
  </si>
  <si>
    <t>Stacking Trays by OIC</t>
  </si>
  <si>
    <t>Advantus Panel Wall Certificate Holder - 8.5x11</t>
  </si>
  <si>
    <t>Vtech CS6719</t>
  </si>
  <si>
    <t>FUR-BO-10002268</t>
  </si>
  <si>
    <t>OFF-SU-10003505</t>
  </si>
  <si>
    <t>FUR-BO-10003660</t>
  </si>
  <si>
    <t>Sauder Barrister Bookcases</t>
  </si>
  <si>
    <t>Premier Electric Letter Opener</t>
  </si>
  <si>
    <t>Bush Cubix Collection Bookcases, Fully Assembled</t>
  </si>
  <si>
    <t>OFF-PA-10002741</t>
  </si>
  <si>
    <t>Xerox 1980</t>
  </si>
  <si>
    <t>OFF-PA-10004438</t>
  </si>
  <si>
    <t>Aastra 6757i CT Wireless VoIP phone</t>
  </si>
  <si>
    <t>Xerox 1907</t>
  </si>
  <si>
    <t>OFF-BI-10000666</t>
  </si>
  <si>
    <t>OFF-ST-10002583</t>
  </si>
  <si>
    <t>TEC-PH-10004908</t>
  </si>
  <si>
    <t>TEC-AC-10004568</t>
  </si>
  <si>
    <t>Surelock Post Binders</t>
  </si>
  <si>
    <t>Fellowes Neat Ideas Storage Cubes</t>
  </si>
  <si>
    <t>Panasonic KX TS3282W Corded phone</t>
  </si>
  <si>
    <t>Maxell LTO Ultrium - 800 GB</t>
  </si>
  <si>
    <t>TEC-AC-10003628</t>
  </si>
  <si>
    <t>Logitech 910-002974 M325 Wireless Mouse for Web Scrolling</t>
  </si>
  <si>
    <t>FUR-CH-10004495</t>
  </si>
  <si>
    <t>Global Leather and Oak Executive Chair, Black</t>
  </si>
  <si>
    <t>OFF-BI-10004600</t>
  </si>
  <si>
    <t>Ibico Ibimaster 300 Manual Binding System</t>
  </si>
  <si>
    <t>OFF-BI-10002003</t>
  </si>
  <si>
    <t>Ibico Presentation Index for Binding Systems</t>
  </si>
  <si>
    <t>OFF-AR-10004260</t>
  </si>
  <si>
    <t>FUR-BO-10001811</t>
  </si>
  <si>
    <t>TEC-AC-10003280</t>
  </si>
  <si>
    <t>FUR-FU-10001487</t>
  </si>
  <si>
    <t>OFF-AP-10001271</t>
  </si>
  <si>
    <t>OFF-BI-10004728</t>
  </si>
  <si>
    <t>Boston 1799 Powerhouse Electric Pencil Sharpener</t>
  </si>
  <si>
    <t>Atlantic Metals Mobile 5-Shelf Bookcases, Custom Colors</t>
  </si>
  <si>
    <t>Belkin F8E887 USB Wired Ergonomic Keyboard</t>
  </si>
  <si>
    <t>Eldon Expressions Wood and Plastic Desk Accessories, Cherry Wood</t>
  </si>
  <si>
    <t>Eureka The Boss Cordless Rechargeable Stick Vac</t>
  </si>
  <si>
    <t>Wilson Jones Turn Tabs Binder Tool for Ring Binders</t>
  </si>
  <si>
    <t>TEC-PH-10004700</t>
  </si>
  <si>
    <t>OFF-BI-10001787</t>
  </si>
  <si>
    <t>PowerGen Dual USB Car Charger</t>
  </si>
  <si>
    <t>Wilson Jones Four-Pocket Poly Binders</t>
  </si>
  <si>
    <t>TEC-PH-10002115</t>
  </si>
  <si>
    <t>OFF-BI-10002557</t>
  </si>
  <si>
    <t>Plantronics 81402</t>
  </si>
  <si>
    <t>Presstex Flexible Ring Binders</t>
  </si>
  <si>
    <t>OFF-AR-10003183</t>
  </si>
  <si>
    <t>Avery Fluorescent Highlighter Four-Color Set</t>
  </si>
  <si>
    <t>OFF-EN-10001415</t>
  </si>
  <si>
    <t>OFF-LA-10002762</t>
  </si>
  <si>
    <t>Avery 485</t>
  </si>
  <si>
    <t>OFF-BI-10003925</t>
  </si>
  <si>
    <t>Fellowes PB300 Plastic Comb Binding Machine</t>
  </si>
  <si>
    <t>FUR-FU-10004960</t>
  </si>
  <si>
    <t>OFF-ST-10002301</t>
  </si>
  <si>
    <t>Seth Thomas 12" Clock w/ Goldtone Case</t>
  </si>
  <si>
    <t>Tennsco Commercial Shelving</t>
  </si>
  <si>
    <t>OFF-BI-10002799</t>
  </si>
  <si>
    <t>TEC-PH-10004912</t>
  </si>
  <si>
    <t>OFF-ST-10000060</t>
  </si>
  <si>
    <t>OFF-AR-10000799</t>
  </si>
  <si>
    <t>SlimView Poly Binder, 3/8"</t>
  </si>
  <si>
    <t>Cisco SPA112 2 Port Phone Adapter</t>
  </si>
  <si>
    <t>Fellowes Bankers Box Staxonsteel Drawer File/Stacking System</t>
  </si>
  <si>
    <t>Col-Erase Pencils with Erasers</t>
  </si>
  <si>
    <t>FUR-FU-10001473</t>
  </si>
  <si>
    <t>OFF-AR-10003045</t>
  </si>
  <si>
    <t>Eldon Executive Woodline II Desk Accessories, Mahogany</t>
  </si>
  <si>
    <t>Prang Colored Pencils</t>
  </si>
  <si>
    <t>TEC-CO-10001046</t>
  </si>
  <si>
    <t>OFF-FA-10003495</t>
  </si>
  <si>
    <t>OFF-AR-10004685</t>
  </si>
  <si>
    <t>Canon Imageclass D680 Copier / Fax</t>
  </si>
  <si>
    <t>Binney &amp; Smith Crayola Metallic Colored Pencils, 8-Color Set</t>
  </si>
  <si>
    <t>OFF-AP-10000595</t>
  </si>
  <si>
    <t>Disposable Triple-Filter Dust Bags</t>
  </si>
  <si>
    <t>TEC-MA-10002428</t>
  </si>
  <si>
    <t>Fellowes Powershred HS-440 4-Sheet High Security Shredder</t>
  </si>
  <si>
    <t>OFF-BI-10001900</t>
  </si>
  <si>
    <t>FUR-FU-10001468</t>
  </si>
  <si>
    <t>DXL Angle-View Binders with Locking Rings, Black</t>
  </si>
  <si>
    <t>Tenex Antistatic Computer Chair Mats</t>
  </si>
  <si>
    <t>TEC-AC-10000474</t>
  </si>
  <si>
    <t>TEC-PH-10003095</t>
  </si>
  <si>
    <t>FUR-FU-10002963</t>
  </si>
  <si>
    <t>TEC-PH-10004667</t>
  </si>
  <si>
    <t>FUR-FU-10000193</t>
  </si>
  <si>
    <t>OFF-BI-10000962</t>
  </si>
  <si>
    <t>OFF-AP-10002867</t>
  </si>
  <si>
    <t>Kensington Expert Mouse Optical USB Trackball for PC or Mac</t>
  </si>
  <si>
    <t>Samsung HM1900 Bluetooth Headset</t>
  </si>
  <si>
    <t>Master Caster Door Stop, Gray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</si>
  <si>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</si>
  <si>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</si>
  <si>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</si>
  <si>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</si>
  <si>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OFF-PA-10001685</t>
  </si>
  <si>
    <t>OFF-BI-10000822</t>
  </si>
  <si>
    <t>OFF-AP-10001242</t>
  </si>
  <si>
    <t>Acco PRESSTEX Data Binder with Storage Hooks, Light Blue, 9 1/2" X 11"</t>
  </si>
  <si>
    <t>APC 7 Outlet Network SurgeArrest Surge Protector</t>
  </si>
  <si>
    <t>OFF-PA-10004610</t>
  </si>
  <si>
    <t>FUR-FU-10000320</t>
  </si>
  <si>
    <t>Xerox 1900</t>
  </si>
  <si>
    <t>OIC Stacking Trays</t>
  </si>
  <si>
    <t>OFF-FA-10003112</t>
  </si>
  <si>
    <t>OFF-BI-10002854</t>
  </si>
  <si>
    <t>FUR-TA-10001039</t>
  </si>
  <si>
    <t>OFF-PA-10004239</t>
  </si>
  <si>
    <t>Performers Binder/Pad Holder, Black</t>
  </si>
  <si>
    <t>KI Adjustable-Height Table</t>
  </si>
  <si>
    <t>Xerox 1953</t>
  </si>
  <si>
    <t>OFF-PA-10000380</t>
  </si>
  <si>
    <t>OFF-ST-10001128</t>
  </si>
  <si>
    <t>OFF-BI-10003656</t>
  </si>
  <si>
    <t>OFF-PA-10003441</t>
  </si>
  <si>
    <t>REDIFORM Incoming/Outgoing Call Register, 11" X 8 1/2", 100 Messages</t>
  </si>
  <si>
    <t>Carina Mini System Audio Rack, Model AR050B</t>
  </si>
  <si>
    <t>Fellowes PB200 Plastic Comb Binding Machine</t>
  </si>
  <si>
    <t>Xerox 226</t>
  </si>
  <si>
    <t>FUR-FU-10003919</t>
  </si>
  <si>
    <t>Eldon Executive Woodline II Cherry Finish Desk Accessories</t>
  </si>
  <si>
    <t>OFF-PA-10000174</t>
  </si>
  <si>
    <t>OFF-PA-10002246</t>
  </si>
  <si>
    <t>OFF-ST-10003327</t>
  </si>
  <si>
    <t>FUR-FU-10002703</t>
  </si>
  <si>
    <t>OFF-PA-10003651</t>
  </si>
  <si>
    <t>OFF-BI-10001617</t>
  </si>
  <si>
    <t>Message Book, Wirebound, Four 5 1/2" X 4" Forms/Pg., 200 Dupl. Sets/Book</t>
  </si>
  <si>
    <t>Wirebound Four 2-3/4 x 5 Forms per Page, 400 Sets per Book</t>
  </si>
  <si>
    <t>Akro-Mils 12-Gallon Tote</t>
  </si>
  <si>
    <t>Tenex Traditional Chairmats for Hard Floors, Average Lip, 36" x 48"</t>
  </si>
  <si>
    <t>Xerox 1968</t>
  </si>
  <si>
    <t>GBC Wire Binding Combs</t>
  </si>
  <si>
    <t>OFF-AP-10003849</t>
  </si>
  <si>
    <t>Hoover Shoulder Vac Commercial Portable Vacuum</t>
  </si>
  <si>
    <t>OFF-AR-10001919</t>
  </si>
  <si>
    <t>OIC #2 Pencils, Medium Soft</t>
  </si>
  <si>
    <t>TEC-AC-10001109</t>
  </si>
  <si>
    <t>OFF-BI-10002393</t>
  </si>
  <si>
    <t>Logitech Trackman Marble Mouse</t>
  </si>
  <si>
    <t>Binder Posts</t>
  </si>
  <si>
    <t>TEC-AC-10001990</t>
  </si>
  <si>
    <t>Kensington Orbit Wireless Mobile Trackball for PC and Mac</t>
  </si>
  <si>
    <t>TEC-AC-10002305</t>
  </si>
  <si>
    <t>TEC-AC-10000990</t>
  </si>
  <si>
    <t>KeyTronic E03601U1 - Keyboard - Beige</t>
  </si>
  <si>
    <t>Imation Bio 2GB USB Flash Drive Imation Corp</t>
  </si>
  <si>
    <t>OFF-PA-10004101</t>
  </si>
  <si>
    <t>TEC-AC-10001714</t>
  </si>
  <si>
    <t>Xerox 1894</t>
  </si>
  <si>
    <t>Logitech MX Performance Wireless Mouse</t>
  </si>
  <si>
    <t>FUR-BO-10000112</t>
  </si>
  <si>
    <t>OFF-AR-10001149</t>
  </si>
  <si>
    <t>Bush Birmingham Collection Bookcase, Dark Cherry</t>
  </si>
  <si>
    <t>Sanford Colorific Colored Pencils, 12/Box</t>
  </si>
  <si>
    <t>TEC-PH-10000148</t>
  </si>
  <si>
    <t>OFF-BI-10003476</t>
  </si>
  <si>
    <t>Cyber Acoustics AC-202b Speech Recognition Stereo Headset</t>
  </si>
  <si>
    <t>Avery Metallic Poly Binders</t>
  </si>
  <si>
    <t>OFF-PA-10004519</t>
  </si>
  <si>
    <t>OFF-AP-10001947</t>
  </si>
  <si>
    <t>OFF-ST-10004963</t>
  </si>
  <si>
    <t>OFF-LA-10001982</t>
  </si>
  <si>
    <t>Spiral Phone Message Books with Labels by Adams</t>
  </si>
  <si>
    <t>Acco 6 Outlet Guardian Premium Plus Surge Suppressor</t>
  </si>
  <si>
    <t>Eldon Gobal File Keepers</t>
  </si>
  <si>
    <t>Smead Alpha-Z Color-Coded Name Labels First Letter Starter Set</t>
  </si>
  <si>
    <t>OFF-PA-10004735</t>
  </si>
  <si>
    <t>OFF-BI-10003429</t>
  </si>
  <si>
    <t>OFF-BI-10002982</t>
  </si>
  <si>
    <t>TEC-AC-10004975</t>
  </si>
  <si>
    <t>OFF-AR-10002335</t>
  </si>
  <si>
    <t>OFF-PA-10000007</t>
  </si>
  <si>
    <t>Xerox 1905</t>
  </si>
  <si>
    <t>Cardinal HOLDit! Binder Insert Strips,Extra Strips</t>
  </si>
  <si>
    <t>Avery Self-Adhesive Photo Pockets for Polaroid Photos</t>
  </si>
  <si>
    <t>Plantronics Audio 995 Wireless Stereo Headset</t>
  </si>
  <si>
    <t>DIXON Oriole Pencils</t>
  </si>
  <si>
    <t>Telephone Message Books with Fax/Mobile Section, 4 1/4" x 6"</t>
  </si>
  <si>
    <t>OFF-BI-10003650</t>
  </si>
  <si>
    <t>GBC DocuBind 300 Electric Binding Machine</t>
  </si>
  <si>
    <t>TEC-MA-10001148</t>
  </si>
  <si>
    <t>OFF-AR-10004062</t>
  </si>
  <si>
    <t>Okidata MB491 Multifunction Printer</t>
  </si>
  <si>
    <t>Plantronics Savi W720 Multi-Device Wireless Headset System</t>
  </si>
  <si>
    <t>OFF-AR-10002053</t>
  </si>
  <si>
    <t>TEC-PH-10002885</t>
  </si>
  <si>
    <t>OFF-ST-10001526</t>
  </si>
  <si>
    <t>Premium Writing Pencils, Soft, #2 by Central Association for the Blind</t>
  </si>
  <si>
    <t>Apple iPhone 5</t>
  </si>
  <si>
    <t xml:space="preserve">Iceberg Mobile Mega Data/Printer Cart </t>
  </si>
  <si>
    <t>OFF-AR-10004757</t>
  </si>
  <si>
    <t>Crayola Colored Pencils</t>
  </si>
  <si>
    <t>FUR-TA-10002622</t>
  </si>
  <si>
    <t>OFF-AR-10001915</t>
  </si>
  <si>
    <t>Bush Andora Conference Table, Maple/Graphite Gray Finish</t>
  </si>
  <si>
    <t>Peel-Off China Markers</t>
  </si>
  <si>
    <t>OFF-AR-10001315</t>
  </si>
  <si>
    <t>TEC-AC-10001465</t>
  </si>
  <si>
    <t>Newell 310</t>
  </si>
  <si>
    <t>SanDisk Cruzer 64 GB USB Flash Drive</t>
  </si>
  <si>
    <t>OFF-AP-10004708</t>
  </si>
  <si>
    <t>OFF-ST-10000464</t>
  </si>
  <si>
    <t>Fellowes Superior 10 Outlet Split Surge Protector</t>
  </si>
  <si>
    <t>Multi-Use Personal File Cart and Caster Set, Three Stacking Bins</t>
  </si>
  <si>
    <t>TEC-AC-10004859</t>
  </si>
  <si>
    <t>OFF-PA-10000349</t>
  </si>
  <si>
    <t>OFF-AP-10002439</t>
  </si>
  <si>
    <t>OFF-ST-10001370</t>
  </si>
  <si>
    <t>TEC-AC-10002558</t>
  </si>
  <si>
    <t>Maxell Pro 80 Minute CD-R, 10/Pack</t>
  </si>
  <si>
    <t>Tripp Lite Isotel 8 Ultra 8 Outlet Metal Surge</t>
  </si>
  <si>
    <t>Sensible Storage WireTech Storage Systems</t>
  </si>
  <si>
    <t>Imation Swivel Flash Drive USB flash drive - 8 GB</t>
  </si>
  <si>
    <t>TEC-AC-10003590</t>
  </si>
  <si>
    <t>TRENDnet 56K USB 2.0 Phone, Internet and Fax Modem</t>
  </si>
  <si>
    <t>Xerox 1881</t>
  </si>
  <si>
    <t>FUR-CH-10003774</t>
  </si>
  <si>
    <t>Global Wood Trimmed Manager's Task Chair, Khaki</t>
  </si>
  <si>
    <t>TEC-AC-10004114</t>
  </si>
  <si>
    <t>FUR-FU-10001602</t>
  </si>
  <si>
    <t>KeyTronic 6101 Series - Keyboard - Black</t>
  </si>
  <si>
    <t>Eldon Delta Triangular Chair Mat, 52" x 58", Clear</t>
  </si>
  <si>
    <t>OFF-PA-10000675</t>
  </si>
  <si>
    <t>TEC-AC-10000521</t>
  </si>
  <si>
    <t>FUR-FU-10004622</t>
  </si>
  <si>
    <t>Xerox 1919</t>
  </si>
  <si>
    <t>Verbatim Slim CD and DVD Storage Cases, 50/Pack</t>
  </si>
  <si>
    <t>Eldon Advantage Foldable Chair Mats for Low Pile Carpets</t>
  </si>
  <si>
    <t>OFF-PA-10002254</t>
  </si>
  <si>
    <t>Xerox 1883</t>
  </si>
  <si>
    <t>TEC-CO-10001571</t>
  </si>
  <si>
    <t>OFF-SU-10002503</t>
  </si>
  <si>
    <t>FUR-CH-10004886</t>
  </si>
  <si>
    <t>OFF-PA-10001289</t>
  </si>
  <si>
    <t>Sharp 1540cs Digital Laser Copier</t>
  </si>
  <si>
    <t>Acme Preferred Stainless Steel Scissors</t>
  </si>
  <si>
    <t>Bevis Steel Folding Chairs</t>
  </si>
  <si>
    <t>White Computer Printout Paper by Universal</t>
  </si>
  <si>
    <t>OFF-PA-10000659</t>
  </si>
  <si>
    <t>TOPS Carbonless Receipt Book, Four 2-3/4 x 7-1/4 Money Receipts per Page</t>
  </si>
  <si>
    <t>OFF-BI-10002609</t>
  </si>
  <si>
    <t>Avery Hidden Tab Dividers for Binding Systems</t>
  </si>
  <si>
    <t>OFF-PA-10003465</t>
  </si>
  <si>
    <t>Xerox 1912</t>
  </si>
  <si>
    <t>OFF-BI-10000494</t>
  </si>
  <si>
    <t>Acco Economy Flexible Poly Round Ring Binder</t>
  </si>
  <si>
    <t>OFF-PA-10003395</t>
  </si>
  <si>
    <t>FUR-TA-10004575</t>
  </si>
  <si>
    <t>TEC-PH-10002483</t>
  </si>
  <si>
    <t>Xerox 1941</t>
  </si>
  <si>
    <t>Hon 5100 Series Wood Tables</t>
  </si>
  <si>
    <t>Motorola Moto X</t>
  </si>
  <si>
    <t>OFF-LA-10003537</t>
  </si>
  <si>
    <t>Avery 515</t>
  </si>
  <si>
    <t>OFF-BI-10001031</t>
  </si>
  <si>
    <t>OFF-PA-10000069</t>
  </si>
  <si>
    <t>OFF-BI-10003655</t>
  </si>
  <si>
    <t>Pressboard Data Binders by Wilson Jones</t>
  </si>
  <si>
    <t>TOPS 4 x 6 Fluorescent Color Memo Sheets, 500 Sheets per Pack</t>
  </si>
  <si>
    <t>Durable Pressboard Binders</t>
  </si>
  <si>
    <t>FUR-CH-10004086</t>
  </si>
  <si>
    <t>Hon 4070 Series Pagoda Armless Upholstered Stacking Chairs</t>
  </si>
  <si>
    <t>OFF-BI-10004318</t>
  </si>
  <si>
    <t>TEC-AC-10004633</t>
  </si>
  <si>
    <t>Ibico EB-19 Dual Function Manual Binding System</t>
  </si>
  <si>
    <t>Verbatim 25 GB 6x Blu-ray Single Layer Recordable Disc, 3/Pack</t>
  </si>
  <si>
    <t>FUR-FU-10004164</t>
  </si>
  <si>
    <t>OFF-ST-10002957</t>
  </si>
  <si>
    <t>OFF-AR-10000634</t>
  </si>
  <si>
    <t>Eldon 300 Class Desk Accessories, Black</t>
  </si>
  <si>
    <t>Sterilite Show Offs Storage Containers</t>
  </si>
  <si>
    <t>Newell 320</t>
  </si>
  <si>
    <t>FUR-TA-10001932</t>
  </si>
  <si>
    <t>TEC-PH-10002789</t>
  </si>
  <si>
    <t>Chromcraft 48" x 96" Racetrack Double Pedestal Table</t>
  </si>
  <si>
    <t>LG Exalt</t>
  </si>
  <si>
    <t>OFF-AR-10001770</t>
  </si>
  <si>
    <t>Economy #2 Pencils</t>
  </si>
  <si>
    <t>OFF-BI-10001072</t>
  </si>
  <si>
    <t>GBC Clear Cover, 8-1/2 x 11, unpunched, 25 covers per pack</t>
  </si>
  <si>
    <t>TEC-AC-10002331</t>
  </si>
  <si>
    <t>OFF-PA-10000304</t>
  </si>
  <si>
    <t>TEC-AC-10002567</t>
  </si>
  <si>
    <t>Maxell 74 Minute CDR, 10/Pack</t>
  </si>
  <si>
    <t>Xerox 1995</t>
  </si>
  <si>
    <t>Logitech G602 Wireless Gaming Mouse</t>
  </si>
  <si>
    <t>TEC-PH-10001619</t>
  </si>
  <si>
    <t>FUR-FU-10002268</t>
  </si>
  <si>
    <t>FUR-CH-10004218</t>
  </si>
  <si>
    <t>OFF-PA-10000246</t>
  </si>
  <si>
    <t>OFF-BI-10003350</t>
  </si>
  <si>
    <t>FUR-CH-10000513</t>
  </si>
  <si>
    <t>LG G3</t>
  </si>
  <si>
    <t>Ultra Door Push Plate</t>
  </si>
  <si>
    <t>Global Fabric Manager's Chair, Dark Gray</t>
  </si>
  <si>
    <t>Riverleaf Stik-Withit Designer Note Cubes</t>
  </si>
  <si>
    <t>Acco Expandable Hanging Binders</t>
  </si>
  <si>
    <t>High-Back Leather Manager's Chair</t>
  </si>
  <si>
    <t>OFF-PA-10001461</t>
  </si>
  <si>
    <t>HP Office Paper (20Lb. and 87 Bright)</t>
  </si>
  <si>
    <t>TEC-PH-10003484</t>
  </si>
  <si>
    <t>Ooma Telo VoIP Home Phone System</t>
  </si>
  <si>
    <t>FUR-FU-10002456</t>
  </si>
  <si>
    <t>OFF-PA-10001166</t>
  </si>
  <si>
    <t>Master Caster Door Stop, Large Neon Orange</t>
  </si>
  <si>
    <t>Xerox 2</t>
  </si>
  <si>
    <t>OFF-PA-10001977</t>
  </si>
  <si>
    <t>OFF-SU-10001225</t>
  </si>
  <si>
    <t>Xerox 194</t>
  </si>
  <si>
    <t>FUR-FU-10003096</t>
  </si>
  <si>
    <t>Master Giant Foot Doorstop, Safety Yellow</t>
  </si>
  <si>
    <t>OFF-AP-10001962</t>
  </si>
  <si>
    <t>Black &amp; Decker Filter for Double Action Dustbuster Cordless Vac BLDV7210</t>
  </si>
  <si>
    <t>FUR-FU-10001215</t>
  </si>
  <si>
    <t>OFF-PA-10001204</t>
  </si>
  <si>
    <t>OFF-ST-10002444</t>
  </si>
  <si>
    <t>Howard Miller 11-1/2" Diameter Brentwood Wall Clock</t>
  </si>
  <si>
    <t>Xerox 1972</t>
  </si>
  <si>
    <t>Recycled Eldon Regeneration Jumbo File</t>
  </si>
  <si>
    <t>TEC-PH-10003215</t>
  </si>
  <si>
    <t>OFF-BI-10004209</t>
  </si>
  <si>
    <t>FUR-CH-10002439</t>
  </si>
  <si>
    <t>Jackery Bar Premium Fast-charging Portable Charger</t>
  </si>
  <si>
    <t>Fellowes Twister Kit, Gray/Clear, 3/pkg</t>
  </si>
  <si>
    <t>Iceberg Nesting Folding Chair, 19w x 6d x 43h</t>
  </si>
  <si>
    <t>OFF-ST-10002574</t>
  </si>
  <si>
    <t>SAFCO Commercial Wire Shelving, Black</t>
  </si>
  <si>
    <t>OFF-AP-10004655</t>
  </si>
  <si>
    <t>OFF-AP-10002906</t>
  </si>
  <si>
    <t>OFF-PA-10000740</t>
  </si>
  <si>
    <t>Holmes Visible Mist Ultrasonic Humidifier with 2.3-Gallon Output per Day, Replacement Filter</t>
  </si>
  <si>
    <t>Hoover Replacement Belt for Commercial Guardsman Heavy-Duty Upright Vacuum</t>
  </si>
  <si>
    <t>Xerox 1982</t>
  </si>
  <si>
    <t>TEC-AC-10000199</t>
  </si>
  <si>
    <t>OFF-LA-10004545</t>
  </si>
  <si>
    <t>Kingston Digital DataTraveler 8GB USB 2.0</t>
  </si>
  <si>
    <t>Avery 50</t>
  </si>
  <si>
    <t>OFF-AR-10003179</t>
  </si>
  <si>
    <t>Dixon Ticonderoga Core-Lock Colored Pencils</t>
  </si>
  <si>
    <t>OFF-ST-10001228</t>
  </si>
  <si>
    <t>FUR-FU-10003798</t>
  </si>
  <si>
    <t>Personal File Boxes with Fold-Down Carry Handle</t>
  </si>
  <si>
    <t>Ultra Door Kickplate, 8"H x 34"W</t>
  </si>
  <si>
    <t>OFF-AR-10001227</t>
  </si>
  <si>
    <t>Newell 338</t>
  </si>
  <si>
    <t>TEC-AC-10002942</t>
  </si>
  <si>
    <t>OFF-ST-10002344</t>
  </si>
  <si>
    <t>OFF-LA-10002475</t>
  </si>
  <si>
    <t>OFF-PA-10003072</t>
  </si>
  <si>
    <t>OFF-EN-10001509</t>
  </si>
  <si>
    <t>WD My Passport Ultra 1TB Portable External Hard Drive</t>
  </si>
  <si>
    <t>Carina 42"Hx23 3/4"W Media Storage Unit</t>
  </si>
  <si>
    <t>Avery 519</t>
  </si>
  <si>
    <t>Eureka Recycled Copy Paper 8 1/2" x 11", Ream</t>
  </si>
  <si>
    <t>Poly String Tie Envelopes</t>
  </si>
  <si>
    <t>OFF-ST-10003638</t>
  </si>
  <si>
    <t>Mobile Personal File Cube</t>
  </si>
  <si>
    <t>OFF-BI-10000756</t>
  </si>
  <si>
    <t>TEC-AC-10001539</t>
  </si>
  <si>
    <t>OFF-ST-10000991</t>
  </si>
  <si>
    <t>Storex DuraTech Recycled Plastic Frosted Binders</t>
  </si>
  <si>
    <t>Logitech G430 Surround Sound Gaming Headset with Dolby 7.1 Technology</t>
  </si>
  <si>
    <t>Space Solutions HD Industrial Steel Shelving.</t>
  </si>
  <si>
    <t>OFF-BI-10002571</t>
  </si>
  <si>
    <t>Avery Framed View Binder, EZD Ring (Locking), Navy, 1 1/2"</t>
  </si>
  <si>
    <t>OFF-PA-10004965</t>
  </si>
  <si>
    <t>Xerox 1921</t>
  </si>
  <si>
    <t>FUR-BO-10003894</t>
  </si>
  <si>
    <t>TEC-MA-10000418</t>
  </si>
  <si>
    <t>TEC-MA-10001570</t>
  </si>
  <si>
    <t>FUR-BO-10001519</t>
  </si>
  <si>
    <t>Safco Value Mate Steel Bookcase, Baked Enamel Finish on Steel, Black</t>
  </si>
  <si>
    <t>Cubify CubeX 3D Printer Double Head Print</t>
  </si>
  <si>
    <t>Cisco Desktop Collaboration Experience DX650 IP Video Phone</t>
  </si>
  <si>
    <t>O'Sullivan 3-Shelf Heavy-Duty Bookcases</t>
  </si>
  <si>
    <t>OFF-FA-10004854</t>
  </si>
  <si>
    <t>Vinyl Coated Wire Paper Clips in Organizer Box, 800/Box</t>
  </si>
  <si>
    <t>OFF-PA-10000232</t>
  </si>
  <si>
    <t>Xerox 1975</t>
  </si>
  <si>
    <t>Xerox 1966</t>
  </si>
  <si>
    <t>OFF-AR-10001972</t>
  </si>
  <si>
    <t>OFF-AR-10004587</t>
  </si>
  <si>
    <t>Newell 323</t>
  </si>
  <si>
    <t>Boston 1827 Commercial Additional Cutter, Drive Gear &amp; Gear Rack for 1606</t>
  </si>
  <si>
    <t>OFF-BI-10000778</t>
  </si>
  <si>
    <t>GBC VeloBinder Electric Binding Machine</t>
  </si>
  <si>
    <t>TEC-AC-10002006</t>
  </si>
  <si>
    <t>OFF-BI-10000216</t>
  </si>
  <si>
    <t>Memorex Micro Travel Drive 16 GB</t>
  </si>
  <si>
    <t>Mead 1st Gear 2" Zipper Binder, Asst. Colors</t>
  </si>
  <si>
    <t>TEC-PH-10004071</t>
  </si>
  <si>
    <t>PayAnywhere Card Reader</t>
  </si>
  <si>
    <t>OFF-ST-10000046</t>
  </si>
  <si>
    <t>Fellowes Super Stor/Drawer Files</t>
  </si>
  <si>
    <t>FUR-TA-10003748</t>
  </si>
  <si>
    <t>OFF-AP-10001394</t>
  </si>
  <si>
    <t>FUR-TA-10002607</t>
  </si>
  <si>
    <t>OFF-ST-10000419</t>
  </si>
  <si>
    <t>OFF-PA-10000241</t>
  </si>
  <si>
    <t>OFF-AP-10003040</t>
  </si>
  <si>
    <t>FUR-FU-10001852</t>
  </si>
  <si>
    <t>OFF-PA-10000141</t>
  </si>
  <si>
    <t>Bevis 36 x 72 Conference Tables</t>
  </si>
  <si>
    <t>Harmony Air Purifier</t>
  </si>
  <si>
    <t>KI Conference Tables</t>
  </si>
  <si>
    <t>Rogers Jumbo File, Granite</t>
  </si>
  <si>
    <t>IBM Multi-Purpose Copy Paper, 8 1/2 x 11", Case</t>
  </si>
  <si>
    <t>Fellowes 8 Outlet Superior Workstation Surge Protector w/o Phone/Fax/Modem Protection</t>
  </si>
  <si>
    <t>Eldon Regeneration Recycled Desk Accessories, Smoke</t>
  </si>
  <si>
    <t>Ampad Evidence Wirebond Steno Books, 6" x 9"</t>
  </si>
  <si>
    <t>FUR-FU-10000175</t>
  </si>
  <si>
    <t>DAX Wood Document Frame.</t>
  </si>
  <si>
    <t>OFF-PA-10000556</t>
  </si>
  <si>
    <t>Xerox 208</t>
  </si>
  <si>
    <t>OFF-PA-10004888</t>
  </si>
  <si>
    <t>Xerox 217</t>
  </si>
  <si>
    <t>TEC-PH-10000038</t>
  </si>
  <si>
    <t>TEC-AC-10001552</t>
  </si>
  <si>
    <t>Jawbone MINI JAMBOX Wireless Bluetooth Speaker</t>
  </si>
  <si>
    <t>Logitech K350 2.4Ghz Wireless Keyboard</t>
  </si>
  <si>
    <t>OFF-BI-10004230</t>
  </si>
  <si>
    <t>GBC Recycled Grain Textured Covers</t>
  </si>
  <si>
    <t>OFF-PA-10001937</t>
  </si>
  <si>
    <t>Xerox 21</t>
  </si>
  <si>
    <t>TEC-PH-10003875</t>
  </si>
  <si>
    <t>OFF-AR-10001953</t>
  </si>
  <si>
    <t>OFF-FA-10001843</t>
  </si>
  <si>
    <t>OFF-AR-10000657</t>
  </si>
  <si>
    <t>OFF-FA-10000936</t>
  </si>
  <si>
    <t>OFF-PA-10003657</t>
  </si>
  <si>
    <t>KLD Oscar II Style Snap-on Ultra Thin Side Flip Synthetic Leather Cover Case for HTC One HTC M7</t>
  </si>
  <si>
    <t>Boston 1645 Deluxe Heavier-Duty Electric Pencil Sharpener</t>
  </si>
  <si>
    <t>Binney &amp; Smith inkTank Desk Highlighter, Chisel Tip, Yellow, 12/Box</t>
  </si>
  <si>
    <t>Acco Hot Clips Clips to Go</t>
  </si>
  <si>
    <t>Xerox 1927</t>
  </si>
  <si>
    <t>TEC-AC-10002550</t>
  </si>
  <si>
    <t>Memorex 25GB 6X Branded Blu-Ray Recordable Disc, 30/Pack</t>
  </si>
  <si>
    <t>FUR-BO-10003159</t>
  </si>
  <si>
    <t>OFF-AR-10004602</t>
  </si>
  <si>
    <t>Sauder Camden County Collection Libraries, Planked Cherry Finish</t>
  </si>
  <si>
    <t>Boston KS Multi-Size Manual Pencil Sharpener</t>
  </si>
  <si>
    <t>FUR-BO-10003546</t>
  </si>
  <si>
    <t>OFF-BI-10000315</t>
  </si>
  <si>
    <t>TEC-PH-10002350</t>
  </si>
  <si>
    <t>OFF-AR-10001725</t>
  </si>
  <si>
    <t>Hon 4-Shelf Metal Bookcases</t>
  </si>
  <si>
    <t>Poly Designer Cover &amp; Back</t>
  </si>
  <si>
    <t>Apple EarPods with Remote and Mic</t>
  </si>
  <si>
    <t>Boston Home &amp; Office Model 2000 Electric Pencil Sharpeners</t>
  </si>
  <si>
    <t>FUR-FU-10001979</t>
  </si>
  <si>
    <t>TEC-AC-10003657</t>
  </si>
  <si>
    <t>OFF-BI-10001718</t>
  </si>
  <si>
    <t>OFF-PA-10003022</t>
  </si>
  <si>
    <t>Dana Halogen Swing-Arm Architect Lamp</t>
  </si>
  <si>
    <t>Lenovo 17-Key USB Numeric Keypad</t>
  </si>
  <si>
    <t>GBC DocuBind P50 Personal Binding Machine</t>
  </si>
  <si>
    <t>Xerox 1992</t>
  </si>
  <si>
    <t>OFF-EN-10003001</t>
  </si>
  <si>
    <t>FUR-BO-10000780</t>
  </si>
  <si>
    <t>FUR-CH-10003535</t>
  </si>
  <si>
    <t>FUR-TA-10004442</t>
  </si>
  <si>
    <t>FUR-FU-10004586</t>
  </si>
  <si>
    <t>OFF-PA-10002606</t>
  </si>
  <si>
    <t>OFF-ST-10000129</t>
  </si>
  <si>
    <t>Ames Color-File Green Diamond Border X-ray Mailers</t>
  </si>
  <si>
    <t>O'Sullivan Plantations 2-Door Library in Landvery Oak</t>
  </si>
  <si>
    <t>Global Armless Task Chair, Royal Blue</t>
  </si>
  <si>
    <t>Riverside Furniture Stanwyck Manor Table Series</t>
  </si>
  <si>
    <t>G.E. Longer-Life Indoor Recessed Floodlight Bulbs</t>
  </si>
  <si>
    <t>Xerox 1928</t>
  </si>
  <si>
    <t>Fellowes Recycled Storage Drawers</t>
  </si>
  <si>
    <t>FUR-TA-10001095</t>
  </si>
  <si>
    <t>Chromcraft Round Conference Tables</t>
  </si>
  <si>
    <t>OFF-ST-10003805</t>
  </si>
  <si>
    <t>24 Capacity Maxi Data Binder Racks, Pearl</t>
  </si>
  <si>
    <t>OFF-FA-10001229</t>
  </si>
  <si>
    <t>OFF-PA-10004353</t>
  </si>
  <si>
    <t>TEC-AC-10004864</t>
  </si>
  <si>
    <t>Southworth 25% Cotton Premium Laser Paper and Envelopes</t>
  </si>
  <si>
    <t>DAX Solid Wood Frames</t>
  </si>
  <si>
    <t>Memorex Micro Travel Drive 32 GB</t>
  </si>
  <si>
    <t>FUR-FU-10003142</t>
  </si>
  <si>
    <t>Master Big Foot Doorstop, Beige</t>
  </si>
  <si>
    <t>OFF-EN-10004206</t>
  </si>
  <si>
    <t>Multimedia Mailers</t>
  </si>
  <si>
    <t>OFF-LA-10003388</t>
  </si>
  <si>
    <t>Avery 5</t>
  </si>
  <si>
    <t>FUR-CH-10003298</t>
  </si>
  <si>
    <t>Office Star - Contemporary Task Swivel chair with Loop Arms, Charcoal</t>
  </si>
  <si>
    <t>OFF-AP-10002350</t>
  </si>
  <si>
    <t>Belkin F9H710-06 7 Outlet SurgeMaster Surge Protector</t>
  </si>
  <si>
    <t>TEC-CO-10004202</t>
  </si>
  <si>
    <t>Brother DCP1000 Digital 3 in 1 Multifunction Machine</t>
  </si>
  <si>
    <t>OFF-EN-10001335</t>
  </si>
  <si>
    <t>OFF-AR-10003469</t>
  </si>
  <si>
    <t>OFF-BI-10003718</t>
  </si>
  <si>
    <t>OFF-FA-10004838</t>
  </si>
  <si>
    <t>FUR-FU-10002508</t>
  </si>
  <si>
    <t>White Business Envelopes with Contemporary Seam, Recycled White Business Envelopes</t>
  </si>
  <si>
    <t>Nontoxic Chalk</t>
  </si>
  <si>
    <t>GBC Therma-A-Bind 250T Electric Binding System</t>
  </si>
  <si>
    <t>Super Bands, 12/Pack</t>
  </si>
  <si>
    <t>Document Clip Frames</t>
  </si>
  <si>
    <t>OFF-SU-10004115</t>
  </si>
  <si>
    <t>Acme Stainless Steel Office Snips</t>
  </si>
  <si>
    <t>TEC-CO-10001449</t>
  </si>
  <si>
    <t>OFF-BI-10001670</t>
  </si>
  <si>
    <t>Hewlett Packard LaserJet 3310 Copier</t>
  </si>
  <si>
    <t>Vinyl Sectional Post Binders</t>
  </si>
  <si>
    <t>FUR-FU-10000723</t>
  </si>
  <si>
    <t>Deflect-o EconoMat Studded, No Bevel Mat for Low Pile Carpeting</t>
  </si>
  <si>
    <t>OFF-BI-10000831</t>
  </si>
  <si>
    <t>FUR-CH-10000749</t>
  </si>
  <si>
    <t>Storex Flexible Poly Binders with Double Pockets</t>
  </si>
  <si>
    <t>Office Star - Ergonomic Mid Back Chair with 2-Way Adjustable Arms</t>
  </si>
  <si>
    <t>OFF-PA-10003228</t>
  </si>
  <si>
    <t>OFF-SU-10004498</t>
  </si>
  <si>
    <t>OFF-PA-10002923</t>
  </si>
  <si>
    <t>OFF-ST-10003123</t>
  </si>
  <si>
    <t>OFF-FA-10001332</t>
  </si>
  <si>
    <t>Xerox 1917</t>
  </si>
  <si>
    <t>Martin-Yale Premier Letter Opener</t>
  </si>
  <si>
    <t>Xerox 1942</t>
  </si>
  <si>
    <t>Fellowes Bases and Tops For Staxonsteel/High-Stak Systems</t>
  </si>
  <si>
    <t>Acco Banker's Clasps, 5 3/4"-Long</t>
  </si>
  <si>
    <t>FUR-BO-10001601</t>
  </si>
  <si>
    <t>OFF-ST-10001932</t>
  </si>
  <si>
    <t>Sauder Mission Library with Doors, Fruitwood Finish</t>
  </si>
  <si>
    <t>Fellowes Staxonsteel Drawer Files</t>
  </si>
  <si>
    <t>OFF-BI-10001525</t>
  </si>
  <si>
    <t>Acco Pressboard Covers with Storage Hooks, 14 7/8" x 11", Executive Red</t>
  </si>
  <si>
    <t>OFF-AR-10003481</t>
  </si>
  <si>
    <t>Newell 348</t>
  </si>
  <si>
    <t>OFF-AR-10000255</t>
  </si>
  <si>
    <t>Newell 328</t>
  </si>
  <si>
    <t>OFF-AR-10001166</t>
  </si>
  <si>
    <t>OFF-LA-10004853</t>
  </si>
  <si>
    <t>OFF-AR-10000315</t>
  </si>
  <si>
    <t>OFF-FA-10002763</t>
  </si>
  <si>
    <t>OFF-ST-10000877</t>
  </si>
  <si>
    <t>OFF-BI-10001071</t>
  </si>
  <si>
    <t>Avery 483</t>
  </si>
  <si>
    <t>Dixon Ticonderoga Maple Cedar Pencil, #2</t>
  </si>
  <si>
    <t>Advantus Map Pennant Flags and Round Head Tacks</t>
  </si>
  <si>
    <t>Recycled Steel Personal File for Standard File Folders</t>
  </si>
  <si>
    <t>GBC ProClick Punch Binding System</t>
  </si>
  <si>
    <t>FUR-CH-10001482</t>
  </si>
  <si>
    <t>Office Star - Mesh Screen back chair with Vinyl seat</t>
  </si>
  <si>
    <t>OFF-PA-10004381</t>
  </si>
  <si>
    <t>OFF-BI-10004141</t>
  </si>
  <si>
    <t>OFF-BI-10001575</t>
  </si>
  <si>
    <t>14-7/8 x 11 Blue Bar Computer Printout Paper</t>
  </si>
  <si>
    <t>Insertable Tab Indexes For Data Binders</t>
  </si>
  <si>
    <t>GBC Linen Binding Covers</t>
  </si>
  <si>
    <t>OFF-PA-10004733</t>
  </si>
  <si>
    <t>Things To Do Today Spiral Book</t>
  </si>
  <si>
    <t>FUR-FU-10004909</t>
  </si>
  <si>
    <t>Contemporary Wood/Metal Frame</t>
  </si>
  <si>
    <t>OFF-AP-10000696</t>
  </si>
  <si>
    <t>Holmes Odor Grabber</t>
  </si>
  <si>
    <t>OFF-PA-10000806</t>
  </si>
  <si>
    <t>Xerox 1934</t>
  </si>
  <si>
    <t>FUR-FU-10002501</t>
  </si>
  <si>
    <t>Nu-Dell Executive Frame</t>
  </si>
  <si>
    <t>OFF-BI-10004040</t>
  </si>
  <si>
    <t>Wilson Jones Impact Binders</t>
  </si>
  <si>
    <t>OFF-PA-10002581</t>
  </si>
  <si>
    <t>Xerox 1951</t>
  </si>
  <si>
    <t>OFF-ST-10001418</t>
  </si>
  <si>
    <t>Carina Media Storage Towers in Natural &amp; Black</t>
  </si>
  <si>
    <t>OFF-AR-10000823</t>
  </si>
  <si>
    <t>Newell 307</t>
  </si>
  <si>
    <t>TEC-PH-10001425</t>
  </si>
  <si>
    <t>FUR-CH-10001215</t>
  </si>
  <si>
    <t>TEC-PH-10003437</t>
  </si>
  <si>
    <t>OFF-FA-10000840</t>
  </si>
  <si>
    <t>Mophie Juice Pack Helium for iPhone</t>
  </si>
  <si>
    <t>Global Troy Executive Leather Low-Back Tilter</t>
  </si>
  <si>
    <t>Blue Parrot B250XT Professional Grade Wireless Bluetooth Headset with</t>
  </si>
  <si>
    <t>OIC Thumb-Tacks</t>
  </si>
  <si>
    <t>OFF-EN-10004846</t>
  </si>
  <si>
    <t>FUR-CH-10000454</t>
  </si>
  <si>
    <t>TEC-AC-10004145</t>
  </si>
  <si>
    <t>OFF-BI-10003876</t>
  </si>
  <si>
    <t>Letter or Legal Size Expandable Poly String Tie Envelopes</t>
  </si>
  <si>
    <t>Hon Deluxe Fabric Upholstered Stacking Chairs, Rounded Back</t>
  </si>
  <si>
    <t>Logitech diNovo Edge Keyboard</t>
  </si>
  <si>
    <t>Green Canvas Binder for 8-1/2" x 14" Sheets</t>
  </si>
  <si>
    <t>OFF-LA-10003510</t>
  </si>
  <si>
    <t>Avery 4027 File Folder Labels for Dot Matrix Printers, 5000 Labels per Box, White</t>
  </si>
  <si>
    <t>OFF-PA-10000019</t>
  </si>
  <si>
    <t>OFF-BI-10003727</t>
  </si>
  <si>
    <t>Xerox 1931</t>
  </si>
  <si>
    <t>Avery Durable Slant Ring Binders With Label Holder</t>
  </si>
  <si>
    <t>FUR-CH-10001802</t>
  </si>
  <si>
    <t>Hon Every-Day Chair Series Swivel Task Chairs</t>
  </si>
  <si>
    <t>TEC-PH-10002890</t>
  </si>
  <si>
    <t>FUR-TA-10003008</t>
  </si>
  <si>
    <t>AT&amp;T 17929 Lendline Telephone</t>
  </si>
  <si>
    <t>Lesro Round Back Collection Coffee Table, End Table</t>
  </si>
  <si>
    <t>OFF-BI-10001989</t>
  </si>
  <si>
    <t>FUR-FU-10000732</t>
  </si>
  <si>
    <t>Premium Transparent Presentation Covers by GBC</t>
  </si>
  <si>
    <t>Eldon 200 Class Desk Accessories</t>
  </si>
  <si>
    <t>OFF-AP-10002670</t>
  </si>
  <si>
    <t>Belkin 8-Outlet Premiere SurgeMaster II Surge Protectors</t>
  </si>
  <si>
    <t>OFF-BI-10004022</t>
  </si>
  <si>
    <t>OFF-BI-10001120</t>
  </si>
  <si>
    <t>Acco Suede Grain Vinyl Round Ring Binder</t>
  </si>
  <si>
    <t>Ibico EPK-21 Electric Binding System</t>
  </si>
  <si>
    <t>OFF-AP-10000390</t>
  </si>
  <si>
    <t>Euro Pro Shark Stick Mini Vacuum</t>
  </si>
  <si>
    <t>TEC-AC-10000736</t>
  </si>
  <si>
    <t>Logitech G600 MMO Gaming Mouse</t>
  </si>
  <si>
    <t>OFF-ST-10000136</t>
  </si>
  <si>
    <t>TEC-PH-10004522</t>
  </si>
  <si>
    <t>Letter Size File</t>
  </si>
  <si>
    <t>Dexim XPower Skin Super-Thin Power Case for iPhone 5 - Black</t>
  </si>
  <si>
    <t>OFF-BI-10004828</t>
  </si>
  <si>
    <t>OFF-AP-10002311</t>
  </si>
  <si>
    <t>FUR-CH-10004626</t>
  </si>
  <si>
    <t>GBC Poly Designer Binding Covers</t>
  </si>
  <si>
    <t>Holmes Replacement Filter for HEPA Air Cleaner, Very Large Room, HEPA Filter</t>
  </si>
  <si>
    <t>Office Star Flex Back Scooter Chair with Aluminum Finish Frame</t>
  </si>
  <si>
    <t>OFF-SU-10001664</t>
  </si>
  <si>
    <t>Acme Office Executive Series Stainless Steel Trimmers</t>
  </si>
  <si>
    <t>TEC-AC-10002001</t>
  </si>
  <si>
    <t>Logitech Wireless Gaming Headset G930</t>
  </si>
  <si>
    <t>FUR-BO-10002213</t>
  </si>
  <si>
    <t>Sauder Forest Hills Library, Woodland Oak Finish</t>
  </si>
  <si>
    <t>OFF-FA-10003472</t>
  </si>
  <si>
    <t>Bagged Rubber Bands</t>
  </si>
  <si>
    <t>OFF-LA-10004178</t>
  </si>
  <si>
    <t>OFF-ST-10003324</t>
  </si>
  <si>
    <t>Avery 491</t>
  </si>
  <si>
    <t>Belkin OmniView SE Rackmount Kit</t>
  </si>
  <si>
    <t>OFF-EN-10001539</t>
  </si>
  <si>
    <t>OFF-PA-10004996</t>
  </si>
  <si>
    <t>Speediset Carbonless Redi-Letter 7" x 8 1/2"</t>
  </si>
  <si>
    <t>OFF-AP-10000252</t>
  </si>
  <si>
    <t>FUR-FU-10001731</t>
  </si>
  <si>
    <t>Harmony HEPA Quiet Air Purifiers</t>
  </si>
  <si>
    <t>Acrylic Self-Standing Desk Frames</t>
  </si>
  <si>
    <t>TEC-PH-10002584</t>
  </si>
  <si>
    <t>FUR-CH-10000229</t>
  </si>
  <si>
    <t>FUR-FU-10003799</t>
  </si>
  <si>
    <t>Samsung Galaxy S4</t>
  </si>
  <si>
    <t>Global Enterprise Series Seating High-Back Swivel/Tilt Chairs</t>
  </si>
  <si>
    <t>Seth Thomas 13 1/2" Wall Clock</t>
  </si>
  <si>
    <t>FUR-BO-10004360</t>
  </si>
  <si>
    <t>Rush Hierlooms Collection Rich Wood Bookcases</t>
  </si>
  <si>
    <t>OFF-PA-10003797</t>
  </si>
  <si>
    <t>OFF-BI-10003707</t>
  </si>
  <si>
    <t>OFF-ST-10000885</t>
  </si>
  <si>
    <t>Xerox 209</t>
  </si>
  <si>
    <t>Aluminum Screw Posts</t>
  </si>
  <si>
    <t>Fellowes Desktop Hanging File Manager</t>
  </si>
  <si>
    <t>TEC-AC-10004855</t>
  </si>
  <si>
    <t>OFF-AR-10003582</t>
  </si>
  <si>
    <t>OFF-EN-10003448</t>
  </si>
  <si>
    <t>V7 USB Numeric Keypad</t>
  </si>
  <si>
    <t>Boston Electric Pencil Sharpener, Model 1818, Charcoal Black</t>
  </si>
  <si>
    <t>Peel &amp; Seel Recycled Catalog Envelopes, Brown</t>
  </si>
  <si>
    <t>OFF-AP-10000938</t>
  </si>
  <si>
    <t>OFF-BI-10001267</t>
  </si>
  <si>
    <t>Avanti 1.7 Cu. Ft. Refrigerator</t>
  </si>
  <si>
    <t>Universal Recycled Hanging Pressboard Report Binders, Letter Size</t>
  </si>
  <si>
    <t>FUR-FU-10001185</t>
  </si>
  <si>
    <t>Advantus Employee of the Month Certificate Frame, 11 x 13-1/2</t>
  </si>
  <si>
    <t>FUR-TA-10001768</t>
  </si>
  <si>
    <t>Hon Racetrack Conference Tables</t>
  </si>
  <si>
    <t>TEC-AC-10002345</t>
  </si>
  <si>
    <t>HP Standard 104 key PS/2 Keyboard</t>
  </si>
  <si>
    <t>OFF-PA-10000176</t>
  </si>
  <si>
    <t>Xerox 1887</t>
  </si>
  <si>
    <t>OFF-PA-10004039</t>
  </si>
  <si>
    <t>OFF-AP-10001626</t>
  </si>
  <si>
    <t>TEC-MA-10003173</t>
  </si>
  <si>
    <t>OFF-AP-10004487</t>
  </si>
  <si>
    <t>Xerox 1882</t>
  </si>
  <si>
    <t>Commercial WindTunnel Clean Air Upright Vacuum, Replacement Belts, Filtration Bags</t>
  </si>
  <si>
    <t>Hewlett-Packard 300S Scientific Calculator</t>
  </si>
  <si>
    <t>Kensington 4 Outlet MasterPiece Compact Power Control Center</t>
  </si>
  <si>
    <t>TEC-AC-10002134</t>
  </si>
  <si>
    <t>OFF-ST-10001837</t>
  </si>
  <si>
    <t>Rosewill 107 Normal Keys USB Wired Standard Keyboard</t>
  </si>
  <si>
    <t>SAFCO Mobile Desk Side File, Wire Frame</t>
  </si>
  <si>
    <t>OFF-EN-10002600</t>
  </si>
  <si>
    <t>Redi-Strip #10 Envelopes, 4 1/8 x 9 1/2</t>
  </si>
  <si>
    <t>OFF-LA-10000305</t>
  </si>
  <si>
    <t>Avery 495</t>
  </si>
  <si>
    <t>OFF-AR-10003876</t>
  </si>
  <si>
    <t>Avery Hi-Liter GlideStik Fluorescent Highlighter, Yellow Ink</t>
  </si>
  <si>
    <t>FUR-FU-10000222</t>
  </si>
  <si>
    <t>Seth Thomas 16" Steel Case Clock</t>
  </si>
  <si>
    <t>FUR-FU-10002364</t>
  </si>
  <si>
    <t>FUR-FU-10004864</t>
  </si>
  <si>
    <t>FUR-FU-10003691</t>
  </si>
  <si>
    <t>Eldon Expressions Wood Desk Accessories, Oak</t>
  </si>
  <si>
    <t>Eldon 500 Class Desk Accessories</t>
  </si>
  <si>
    <t>Eldon Image Series Desk Accessories, Ebony</t>
  </si>
  <si>
    <t>OFF-BI-10003981</t>
  </si>
  <si>
    <t>Avery Durable Plastic 1" Binders</t>
  </si>
  <si>
    <t>FUR-BO-10003433</t>
  </si>
  <si>
    <t>OFF-ST-10001496</t>
  </si>
  <si>
    <t>Sauder Cornerstone Collection Library</t>
  </si>
  <si>
    <t>Standard Rollaway File with Lock</t>
  </si>
  <si>
    <t>OFF-LA-10004689</t>
  </si>
  <si>
    <t>OFF-PA-10003302</t>
  </si>
  <si>
    <t>FUR-FU-10004188</t>
  </si>
  <si>
    <t>Avery 512</t>
  </si>
  <si>
    <t>Xerox 1906</t>
  </si>
  <si>
    <t>Luxo Professional Combination Clamp-On Lamps</t>
  </si>
  <si>
    <t>TEC-PH-10001760</t>
  </si>
  <si>
    <t>TEC-PH-10000673</t>
  </si>
  <si>
    <t>OFF-LA-10004345</t>
  </si>
  <si>
    <t>Bose SoundLink Bluetooth Speaker</t>
  </si>
  <si>
    <t>Plantronics Voyager Pro HD - Bluetooth Headset</t>
  </si>
  <si>
    <t>Avery 493</t>
  </si>
  <si>
    <t>TEC-AC-10000303</t>
  </si>
  <si>
    <t>Logitech M510 Wireless Mouse</t>
  </si>
  <si>
    <t>TEC-AC-10004992</t>
  </si>
  <si>
    <t>Standard Line “While You Were Out” Hardbound Telephone Message Book</t>
  </si>
  <si>
    <t>Kingston Digital DataTraveler 64GB USB 2.0</t>
  </si>
  <si>
    <t>TEC-PH-10004188</t>
  </si>
  <si>
    <t>OtterBox Commuter Series Case - Samsung Galaxy S4</t>
  </si>
  <si>
    <t>OFF-PA-10001215</t>
  </si>
  <si>
    <t>OFF-AR-10001545</t>
  </si>
  <si>
    <t>Xerox 1963</t>
  </si>
  <si>
    <t>Newell 326</t>
  </si>
  <si>
    <t>OFF-PA-10000859</t>
  </si>
  <si>
    <t>Unpadded Memo Slips</t>
  </si>
  <si>
    <t>OFF-AR-10003056</t>
  </si>
  <si>
    <t>OFF-FA-10000089</t>
  </si>
  <si>
    <t>FUR-FU-10004093</t>
  </si>
  <si>
    <t>FUR-TA-10001771</t>
  </si>
  <si>
    <t>Newell 341</t>
  </si>
  <si>
    <t>Acco Glide Clips</t>
  </si>
  <si>
    <t>Hand-Finished Solid Wood Document Frame</t>
  </si>
  <si>
    <t>Bush Cubix Conference Tables, Fully Assembled</t>
  </si>
  <si>
    <t>OFF-ST-10002554</t>
  </si>
  <si>
    <t>OFF-LA-10002312</t>
  </si>
  <si>
    <t>Tennsco Industrial Shelving</t>
  </si>
  <si>
    <t>Avery 490</t>
  </si>
  <si>
    <t>FUR-CH-10002044</t>
  </si>
  <si>
    <t>Office Star - Contemporary Task Swivel chair with 2-way adjustable arms, Plum</t>
  </si>
  <si>
    <t>TEC-PH-10004897</t>
  </si>
  <si>
    <t>OFF-LA-10000262</t>
  </si>
  <si>
    <t>OFF-AP-10002222</t>
  </si>
  <si>
    <t>Mediabridge Sport Armband iPhone 5s</t>
  </si>
  <si>
    <t>Avery 494</t>
  </si>
  <si>
    <t>OFF-AR-10001177</t>
  </si>
  <si>
    <t>OFF-LA-10000634</t>
  </si>
  <si>
    <t>TEC-AC-10004708</t>
  </si>
  <si>
    <t>FUR-CH-10002084</t>
  </si>
  <si>
    <t>FUR-FU-10001847</t>
  </si>
  <si>
    <t>OFF-EN-10003845</t>
  </si>
  <si>
    <t>Newell 349</t>
  </si>
  <si>
    <t>Avery 509</t>
  </si>
  <si>
    <t>Sony 32GB Class 10 Micro SDHC R40 Memory Card</t>
  </si>
  <si>
    <t>Hon Mobius Operator's Chair</t>
  </si>
  <si>
    <t>Eldon Image Series Black Desk Accessories</t>
  </si>
  <si>
    <t>Colored Envelopes</t>
  </si>
  <si>
    <t>OFF-PA-10001736</t>
  </si>
  <si>
    <t>Xerox 1880</t>
  </si>
  <si>
    <t>OFF-AR-10000716</t>
  </si>
  <si>
    <t>OFF-PA-10002709</t>
  </si>
  <si>
    <t>DIXON Ticonderoga Erasable Checking Pencils</t>
  </si>
  <si>
    <t>Xerox 1956</t>
  </si>
  <si>
    <t>OFF-FA-10002676</t>
  </si>
  <si>
    <t>Colored Push Pins</t>
  </si>
  <si>
    <t>TEC-PH-10001795</t>
  </si>
  <si>
    <t>ClearOne CHATAttach 160 - speaker phone</t>
  </si>
  <si>
    <t>OFF-ST-10001590</t>
  </si>
  <si>
    <t>FUR-FU-10002396</t>
  </si>
  <si>
    <t>Tenex Personal Project File with Scoop Front Design, Black</t>
  </si>
  <si>
    <t>DAX Copper Panel Document Frame, 5 x 7 Size</t>
  </si>
  <si>
    <t>OFF-BI-10001153</t>
  </si>
  <si>
    <t>TEC-MA-10002109</t>
  </si>
  <si>
    <t>FUR-CH-10003606</t>
  </si>
  <si>
    <t>TEC-PH-10001527</t>
  </si>
  <si>
    <t>Ibico Recycled Grain-Textured Covers</t>
  </si>
  <si>
    <t>HP Officejet Pro 8600 e-All-In-One Printer, Copier, Scanner, Fax</t>
  </si>
  <si>
    <t>SAFCO Folding Chair Trolley</t>
  </si>
  <si>
    <t>Plantronics MX500i Earset</t>
  </si>
  <si>
    <t>OFF-PA-10000143</t>
  </si>
  <si>
    <t>Astroparche Fine Business Paper</t>
  </si>
  <si>
    <t>OFF-ST-10002182</t>
  </si>
  <si>
    <t>TEC-PH-10001468</t>
  </si>
  <si>
    <t>Iris 3-Drawer Stacking Bin, Black</t>
  </si>
  <si>
    <t>Panasonic Business Telephones KX-T7736</t>
  </si>
  <si>
    <t>TEC-PH-10001944</t>
  </si>
  <si>
    <t>Wi-Ex zBoost YX540 Cellular Phone Signal Booster</t>
  </si>
  <si>
    <t>OFF-AR-10000614</t>
  </si>
  <si>
    <t>Barrel Sharpener</t>
  </si>
  <si>
    <t>TEC-AC-10003033</t>
  </si>
  <si>
    <t>Plantronics CS510 - Over-the-Head monaural Wireless Headset System</t>
  </si>
  <si>
    <t>TEC-AC-10002253</t>
  </si>
  <si>
    <t>Imation Bio 8GB USB Flash Drive Imation Corp</t>
  </si>
  <si>
    <t>FUR-CH-10001545</t>
  </si>
  <si>
    <t>Hon Comfortask Task/Swivel Chairs</t>
  </si>
  <si>
    <t>OFF-BI-10002225</t>
  </si>
  <si>
    <t>FUR-FU-10004245</t>
  </si>
  <si>
    <t>Square Ring Data Binders, Rigid 75 Pt. Covers, 11" x 14-7/8"</t>
  </si>
  <si>
    <t>Career Cubicle Clock, 8 1/4", Black</t>
  </si>
  <si>
    <t>OFF-PA-10004609</t>
  </si>
  <si>
    <t>OFF-EN-10002592</t>
  </si>
  <si>
    <t>FUR-BO-10002613</t>
  </si>
  <si>
    <t>OFF-PA-10001033</t>
  </si>
  <si>
    <t>Xerox 221</t>
  </si>
  <si>
    <t>Atlantic Metals Mobile 4-Shelf Bookcases, Custom Colors</t>
  </si>
  <si>
    <t>Xerox 1893</t>
  </si>
  <si>
    <t>OFF-EN-10003068</t>
  </si>
  <si>
    <t>#6 3/4 Gummed Flap White Envelopes</t>
  </si>
  <si>
    <t>OFF-BI-10000309</t>
  </si>
  <si>
    <t>OFF-BI-10004224</t>
  </si>
  <si>
    <t>GBC Twin Loop Wire Binding Elements, 9/16" Spine, Black</t>
  </si>
  <si>
    <t>Catalog Binders with Expanding Posts</t>
  </si>
  <si>
    <t>OFF-ST-10001031</t>
  </si>
  <si>
    <t>Adjustable Personal File Tote</t>
  </si>
  <si>
    <t>OFF-AP-10003590</t>
  </si>
  <si>
    <t>FUR-BO-10002598</t>
  </si>
  <si>
    <t>OFF-SU-10002537</t>
  </si>
  <si>
    <t>Hoover WindTunnel Plus Canister Vacuum</t>
  </si>
  <si>
    <t>Hon Metal Bookcases, Putty</t>
  </si>
  <si>
    <t>Acme Box Cutter Scissors</t>
  </si>
  <si>
    <t>FUR-FU-10001095</t>
  </si>
  <si>
    <t>TEC-MA-10004679</t>
  </si>
  <si>
    <t>OFF-PA-10000743</t>
  </si>
  <si>
    <t>FUR-FU-10003829</t>
  </si>
  <si>
    <t>DAX Black Cherry Wood-Tone Poster Frame</t>
  </si>
  <si>
    <t>StarTech.com 10/100 VDSL2 Ethernet Extender Kit</t>
  </si>
  <si>
    <t>Xerox 1977</t>
  </si>
  <si>
    <t>Stackable Trays</t>
  </si>
  <si>
    <t>DAX Wood Document Frame</t>
  </si>
  <si>
    <t>OFF-SU-10004664</t>
  </si>
  <si>
    <t>OFF-BI-10003676</t>
  </si>
  <si>
    <t>OFF-AR-10003727</t>
  </si>
  <si>
    <t>Acme Softgrip Scissors</t>
  </si>
  <si>
    <t>GBC Standard Recycled Report Covers, Clear Plastic Sheets</t>
  </si>
  <si>
    <t>Berol Giant Pencil Sharpener</t>
  </si>
  <si>
    <t>OFF-ST-10000943</t>
  </si>
  <si>
    <t>Eldon ProFile File 'N Store Portable File Tub Letter/Legal Size Black</t>
  </si>
  <si>
    <t>OFF-PA-10000418</t>
  </si>
  <si>
    <t>OFF-AR-10003251</t>
  </si>
  <si>
    <t>Xerox 189</t>
  </si>
  <si>
    <t>Prang Drawing Pencil Set</t>
  </si>
  <si>
    <t>TEC-PH-10004100</t>
  </si>
  <si>
    <t>Griffin GC17055 Auxiliary Audio Cable</t>
  </si>
  <si>
    <t>FUR-BO-10004218</t>
  </si>
  <si>
    <t>Bush Heritage Pine Collection 5-Shelf Bookcase, Albany Pine Finish, *Special Order</t>
  </si>
  <si>
    <t>OFF-BI-10004876</t>
  </si>
  <si>
    <t>Wilson Jones Suede Grain Vinyl Binders</t>
  </si>
  <si>
    <t>OFF-PA-10002764</t>
  </si>
  <si>
    <t>OFF-LA-10000414</t>
  </si>
  <si>
    <t>Avery 503</t>
  </si>
  <si>
    <t>OFF-PA-10004100</t>
  </si>
  <si>
    <t>TEC-PH-10001363</t>
  </si>
  <si>
    <t>TEC-AC-10002018</t>
  </si>
  <si>
    <t>Xerox 216</t>
  </si>
  <si>
    <t>Apple iPhone 5S</t>
  </si>
  <si>
    <t>AmazonBasics 3-Button USB Wired Mouse</t>
  </si>
  <si>
    <t>OFF-EN-10003862</t>
  </si>
  <si>
    <t>OFF-PA-10001826</t>
  </si>
  <si>
    <t>Laser &amp; Ink Jet Business Envelopes</t>
  </si>
  <si>
    <t>Ibico Recycled Linen-Style Covers</t>
  </si>
  <si>
    <t>Xerox 207</t>
  </si>
  <si>
    <t>OFF-SU-10004768</t>
  </si>
  <si>
    <t>OFF-ST-10000777</t>
  </si>
  <si>
    <t>TEC-PH-10003171</t>
  </si>
  <si>
    <t>Acme Kleencut Forged Steel Scissors</t>
  </si>
  <si>
    <t>Companion Letter/Legal File, Black</t>
  </si>
  <si>
    <t>Plantronics Encore H101 Dual Earpieces Headset</t>
  </si>
  <si>
    <t>OFF-BI-10004390</t>
  </si>
  <si>
    <t>GBC DocuBind 200 Manual Binding Machine</t>
  </si>
  <si>
    <t>OFF-BI-10002794</t>
  </si>
  <si>
    <t>Avery Trapezoid Ring Binder, 3" Capacity, Black, 1040 sheets</t>
  </si>
  <si>
    <t>FUR-FU-10004006</t>
  </si>
  <si>
    <t>Deflect-o DuraMat Lighweight, Studded, Beveled Mat for Low Pile Carpeting</t>
  </si>
  <si>
    <t>OFF-FA-10002701</t>
  </si>
  <si>
    <t>Alliance Rubber Bands</t>
  </si>
  <si>
    <t>OFF-SU-10001218</t>
  </si>
  <si>
    <t>Fiskars Softgrip Scissors</t>
  </si>
  <si>
    <t>TEC-MA-10001031</t>
  </si>
  <si>
    <t>Socket Bluetooth Cordless Hand Scanner (CHS)</t>
  </si>
  <si>
    <t>OFF-PA-10001526</t>
  </si>
  <si>
    <t>Xerox 1949</t>
  </si>
  <si>
    <t>FUR-CH-10000225</t>
  </si>
  <si>
    <t>FUR-FU-10002191</t>
  </si>
  <si>
    <t>TEC-MA-10003176</t>
  </si>
  <si>
    <t>Global Geo Office Task Chair, Gray</t>
  </si>
  <si>
    <t>G.E. Halogen Desk Lamp Bulbs</t>
  </si>
  <si>
    <t>Okidata B400 Printer</t>
  </si>
  <si>
    <t>OFF-ST-10002756</t>
  </si>
  <si>
    <t>Tennsco Stur-D-Stor Boltless Shelving, 5 Shelves, 24" Deep, Sand</t>
  </si>
  <si>
    <t>OFF-ST-10001172</t>
  </si>
  <si>
    <t>Tennsco Lockers, Sand</t>
  </si>
  <si>
    <t>TEC-AC-10002647</t>
  </si>
  <si>
    <t>OFF-PA-10000807</t>
  </si>
  <si>
    <t>OFF-FA-10000304</t>
  </si>
  <si>
    <t>TEC-PH-10000215</t>
  </si>
  <si>
    <t>Logitech Wireless Boombox Speaker - portable - wireless, wired</t>
  </si>
  <si>
    <t>TOPS "Important Message" Pads, Canary, 4-1/4 x 5-1/2, 50 Sheets per Pad</t>
  </si>
  <si>
    <t>Advantus Push Pins</t>
  </si>
  <si>
    <t>Plantronics Cordless Phone Headset with In-line Volume - M214C</t>
  </si>
  <si>
    <t>OFF-ST-10000532</t>
  </si>
  <si>
    <t>Howard Miller 14-1/2" Diameter Chrome Round Wall Clock</t>
  </si>
  <si>
    <t>Advantus Rolling Drawer Organizers</t>
  </si>
  <si>
    <t>OFF-PA-10001593</t>
  </si>
  <si>
    <t>Xerox 1947</t>
  </si>
  <si>
    <t>OFF-FA-10003021</t>
  </si>
  <si>
    <t>OFF-PA-10001497</t>
  </si>
  <si>
    <t>OFF-AR-10002987</t>
  </si>
  <si>
    <t>Xerox 1914</t>
  </si>
  <si>
    <t>Prismacolor Color Pencil Set</t>
  </si>
  <si>
    <t>OFF-AR-10003394</t>
  </si>
  <si>
    <t>Newell 332</t>
  </si>
  <si>
    <t>FUR-CH-10003968</t>
  </si>
  <si>
    <t>Novimex Turbo Task Chair</t>
  </si>
  <si>
    <t>OFF-ST-10002485</t>
  </si>
  <si>
    <t>FUR-FU-10001876</t>
  </si>
  <si>
    <t>Rogers Deluxe File Chest</t>
  </si>
  <si>
    <t>Computer Room Manger, 14"</t>
  </si>
  <si>
    <t>TEC-PH-10004345</t>
  </si>
  <si>
    <t>Cisco SPA 502G IP Phone</t>
  </si>
  <si>
    <t>FUR-FU-10000087</t>
  </si>
  <si>
    <t>Executive Impressions 14" Two-Color Numerals Wall Clock</t>
  </si>
  <si>
    <t>FUR-CH-10003199</t>
  </si>
  <si>
    <t>TEC-PH-10000127</t>
  </si>
  <si>
    <t>Office Star - Contemporary Task Swivel Chair</t>
  </si>
  <si>
    <t>iOttie XL Car Mount</t>
  </si>
  <si>
    <t>FUR-FU-10003981</t>
  </si>
  <si>
    <t>OFF-AP-10001564</t>
  </si>
  <si>
    <t>Hoover Commercial Lightweight Upright Vacuum with E-Z Empty Dirt Cup</t>
  </si>
  <si>
    <t>OFF-SU-10000646</t>
  </si>
  <si>
    <t>Premier Automatic Letter Opener</t>
  </si>
  <si>
    <t>TEC-PH-10001448</t>
  </si>
  <si>
    <t>FUR-CH-10004983</t>
  </si>
  <si>
    <t>OFF-AR-10004022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</si>
  <si>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</si>
  <si>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</si>
  <si>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</si>
  <si>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OFF-LA-10000443</t>
  </si>
  <si>
    <t>Avery 501</t>
  </si>
  <si>
    <t>FUR-CH-10001854</t>
  </si>
  <si>
    <t>Office Star - Professional Matrix Back Chair with 2-to-1 Synchro Tilt and Mesh Fabric Seat</t>
  </si>
  <si>
    <t>FUR-FU-10003489</t>
  </si>
  <si>
    <t>Contemporary Borderless Frame</t>
  </si>
  <si>
    <t>TEC-PH-10001305</t>
  </si>
  <si>
    <t>OFF-PA-10000167</t>
  </si>
  <si>
    <t>OFF-PA-10002947</t>
  </si>
  <si>
    <t>Panasonic KX TS208W Corded phone</t>
  </si>
  <si>
    <t>Xerox 1925</t>
  </si>
  <si>
    <t>Xerox 1923</t>
  </si>
  <si>
    <t>TEC-MA-10001047</t>
  </si>
  <si>
    <t>3D Systems Cube Printer, 2nd Generation, Magenta</t>
  </si>
  <si>
    <t>OFF-BI-10001757</t>
  </si>
  <si>
    <t>OFF-PA-10002262</t>
  </si>
  <si>
    <t>Pressboard Hanging Data Binders for Unburst Sheets</t>
  </si>
  <si>
    <t>Xerox 192</t>
  </si>
  <si>
    <t>TEC-MA-10002073</t>
  </si>
  <si>
    <t>TEC-PH-10004006</t>
  </si>
  <si>
    <t>TEC-PH-10002262</t>
  </si>
  <si>
    <t>3D Systems Cube Printer, 2nd Generation, White</t>
  </si>
  <si>
    <t>Panasonic KX - TS880B Telephone</t>
  </si>
  <si>
    <t>LG Electronics Tone+ HBS-730 Bluetooth Headset</t>
  </si>
  <si>
    <t>OFF-AR-10003651</t>
  </si>
  <si>
    <t>OFF-LA-10002195</t>
  </si>
  <si>
    <t>OFF-AR-10000380</t>
  </si>
  <si>
    <t>FUR-BO-10000330</t>
  </si>
  <si>
    <t>OFF-BI-10000591</t>
  </si>
  <si>
    <t>Newell 350</t>
  </si>
  <si>
    <t>Avery 481</t>
  </si>
  <si>
    <t>Hunt PowerHouse Electric Pencil Sharpener, Blue</t>
  </si>
  <si>
    <t>Sauder Camden County Barrister Bookcase, Planked Cherry Finish</t>
  </si>
  <si>
    <t>Avery Binder Labels</t>
  </si>
  <si>
    <t>FUR-CH-10002331</t>
  </si>
  <si>
    <t>OFF-PA-10000300</t>
  </si>
  <si>
    <t>OFF-PA-10003134</t>
  </si>
  <si>
    <t>OFF-BI-10004099</t>
  </si>
  <si>
    <t>Hon 4700 Series Mobuis Mid-Back Task Chairs with Adjustable Arms</t>
  </si>
  <si>
    <t>Xerox 1936</t>
  </si>
  <si>
    <t>Xerox 1937</t>
  </si>
  <si>
    <t>GBC VeloBinder Strips</t>
  </si>
  <si>
    <t>OFF-PA-10000552</t>
  </si>
  <si>
    <t>Xerox 200</t>
  </si>
  <si>
    <t>OFF-LA-10002381</t>
  </si>
  <si>
    <t>Avery 497</t>
  </si>
  <si>
    <t>OFF-AP-10003622</t>
  </si>
  <si>
    <t>OFF-PA-10000809</t>
  </si>
  <si>
    <t>TEC-PH-10000441</t>
  </si>
  <si>
    <t>OFF-PA-10004156</t>
  </si>
  <si>
    <t>Bravo II Megaboss 12-Amp Hard Body Upright, Replacement Belts, 2 Belts per Pack</t>
  </si>
  <si>
    <t>Xerox 206</t>
  </si>
  <si>
    <t>VTech DS6151</t>
  </si>
  <si>
    <t>Xerox 188</t>
  </si>
  <si>
    <t>OFF-PA-10004782</t>
  </si>
  <si>
    <t>Xerox 228</t>
  </si>
  <si>
    <t>TEC-AC-10002167</t>
  </si>
  <si>
    <t>Imation 8gb Micro Traveldrive Usb 2.0 Flash Drive</t>
  </si>
  <si>
    <t>OFF-LA-10004559</t>
  </si>
  <si>
    <t>OFF-BI-10004528</t>
  </si>
  <si>
    <t>OFF-PA-10001260</t>
  </si>
  <si>
    <t>Avery 49</t>
  </si>
  <si>
    <t>Cardinal Poly Pocket Divider Pockets for Ring Binders</t>
  </si>
  <si>
    <t>TOPS Money Receipt Book, Consecutively Numbered in Red,</t>
  </si>
  <si>
    <t>TEC-AC-10004595</t>
  </si>
  <si>
    <t>First Data TMFD35 PIN Pad</t>
  </si>
  <si>
    <t>OFF-PA-10001363</t>
  </si>
  <si>
    <t>FUR-FU-10003394</t>
  </si>
  <si>
    <t>OFF-BI-10003007</t>
  </si>
  <si>
    <t>OFF-LA-10000973</t>
  </si>
  <si>
    <t>OFF-PA-10000483</t>
  </si>
  <si>
    <t>Xerox 1933</t>
  </si>
  <si>
    <t>Tenex "The Solids" Textured Chair Mats</t>
  </si>
  <si>
    <t>Premium Transparent Presentation Covers, No Pattern/Clear, 8 1/2" x 11"</t>
  </si>
  <si>
    <t>Avery 502</t>
  </si>
  <si>
    <t>Xerox 19</t>
  </si>
  <si>
    <t>FUR-FU-10003274</t>
  </si>
  <si>
    <t>Regeneration Desk Collection</t>
  </si>
  <si>
    <t>OFF-BI-10000285</t>
  </si>
  <si>
    <t>XtraLife ClearVue Slant-D Ring Binders by Cardinal</t>
  </si>
  <si>
    <t>OFF-AR-10004010</t>
  </si>
  <si>
    <t>FUR-BO-10001608</t>
  </si>
  <si>
    <t>Hunt Boston Vacuum Mount KS Pencil Sharpener</t>
  </si>
  <si>
    <t>Hon Metal Bookcases, Black</t>
  </si>
  <si>
    <t>OFF-LA-10003498</t>
  </si>
  <si>
    <t>Avery 475</t>
  </si>
  <si>
    <t>TEC-CO-10001943</t>
  </si>
  <si>
    <t>OFF-PA-10000061</t>
  </si>
  <si>
    <t>Canon PC-428 Personal Copier</t>
  </si>
  <si>
    <t>Xerox 205</t>
  </si>
  <si>
    <t>OFF-EN-10002831</t>
  </si>
  <si>
    <t>Tyvek  Top-Opening Peel &amp; Seel  Envelopes, Gray</t>
  </si>
  <si>
    <t>FUR-FU-10000719</t>
  </si>
  <si>
    <t>OFF-LA-10002271</t>
  </si>
  <si>
    <t>OFF-SU-10004661</t>
  </si>
  <si>
    <t>DAX Cubicle Frames, 8-1/2 x 11</t>
  </si>
  <si>
    <t>Smead Alpha-Z Color-Coded Second Alphabetical Labels and Starter Set</t>
  </si>
  <si>
    <t>Acme Titanium Bonded Scissors</t>
  </si>
  <si>
    <t>OFF-PA-10002499</t>
  </si>
  <si>
    <t>Xerox 1890</t>
  </si>
  <si>
    <t>OFF-AR-10000817</t>
  </si>
  <si>
    <t>OFF-AP-10002472</t>
  </si>
  <si>
    <t>Manco Dry-Lighter Erasable Highlighter</t>
  </si>
  <si>
    <t>3M Office Air Cleaner</t>
  </si>
  <si>
    <t>OFF-PA-10003205</t>
  </si>
  <si>
    <t>FUR-CH-10000988</t>
  </si>
  <si>
    <t>Wirebound Message Forms, Four 2 3/4 x 5 Forms per Page, Pink Paper</t>
  </si>
  <si>
    <t>Hon Olson Stacker Stools</t>
  </si>
  <si>
    <t>FUR-FU-10002298</t>
  </si>
  <si>
    <t>Rubbermaid ClusterMat Chairmats, Mat Size- 66" x 60", Lip 20" x 11" -90 Degree Angle</t>
  </si>
  <si>
    <t>TEC-AC-10000057</t>
  </si>
  <si>
    <t>OFF-AR-10000914</t>
  </si>
  <si>
    <t>Microsoft Natural Ergonomic Keyboard 4000</t>
  </si>
  <si>
    <t>Boston 16765 Mini Stand Up Battery Pencil Sharpener</t>
  </si>
  <si>
    <t>Global Task Chair, Black</t>
  </si>
  <si>
    <t>OFF-PA-10002245</t>
  </si>
  <si>
    <t>Xerox 1895</t>
  </si>
  <si>
    <t>OFF-ST-10000934</t>
  </si>
  <si>
    <t>OFF-AR-10003903</t>
  </si>
  <si>
    <t>Contico 72"H Heavy-Duty Storage System</t>
  </si>
  <si>
    <t>Sanford 52201 APSCO Electric Pencil Sharpener</t>
  </si>
  <si>
    <t>OFF-AR-10002445</t>
  </si>
  <si>
    <t>OFF-BI-10000279</t>
  </si>
  <si>
    <t>SANFORD Major Accent Highlighters</t>
  </si>
  <si>
    <t>Acco Recycled 2" Capacity Laser Printer Hanging Data Binders</t>
  </si>
  <si>
    <t>TEC-AC-10002800</t>
  </si>
  <si>
    <t>Plantronics Audio 478 Stereo USB Headset</t>
  </si>
  <si>
    <t>OFF-SU-10004884</t>
  </si>
  <si>
    <t>Acme Galleria Hot Forged Steel Scissors with Colored Handles</t>
  </si>
  <si>
    <t>OFF-BI-10003314</t>
  </si>
  <si>
    <t>Tuff Stuff Recycled Round Ring Binders</t>
  </si>
  <si>
    <t>TEC-MA-10002930</t>
  </si>
  <si>
    <t>FUR-CH-10002372</t>
  </si>
  <si>
    <t>FUR-FU-10001057</t>
  </si>
  <si>
    <t>TEC-MA-10001681</t>
  </si>
  <si>
    <t>Ricoh - Ink Collector Unit for GX3000 Series Printers</t>
  </si>
  <si>
    <t>Office Star - Ergonomically Designed Knee Chair</t>
  </si>
  <si>
    <t>Tensor Track Tree Floor Lamp</t>
  </si>
  <si>
    <t>Lexmark MarkNet N8150 Wireless Print Server</t>
  </si>
  <si>
    <t>OFF-BI-10003784</t>
  </si>
  <si>
    <t>FUR-CH-10004698</t>
  </si>
  <si>
    <t>Computer Printout Index Tabs</t>
  </si>
  <si>
    <t>Padded Folding Chairs, Black, 4/Carton</t>
  </si>
  <si>
    <t>OFF-AP-10000275</t>
  </si>
  <si>
    <t>Sanyo Counter Height Refrigerator with Crisper, 3.6 Cubic Foot, Stainless Steel/Black</t>
  </si>
  <si>
    <t>OFF-ST-10001328</t>
  </si>
  <si>
    <t>OFF-PA-10001994</t>
  </si>
  <si>
    <t>OFF-EN-10001453</t>
  </si>
  <si>
    <t>OFF-FA-10001561</t>
  </si>
  <si>
    <t>TEC-AC-10001383</t>
  </si>
  <si>
    <t>Personal Filing Tote with Lid, Black/Gray</t>
  </si>
  <si>
    <t>Ink Jet Note and Greeting Cards, 8-1/2" x 5-1/2" Card Size</t>
  </si>
  <si>
    <t>Tyvek Interoffice Envelopes, 9 1/2" x 12 1/2", 100/Box</t>
  </si>
  <si>
    <t>Stockwell Push Pins</t>
  </si>
  <si>
    <t>Logitech Wireless Touch Keyboard K400</t>
  </si>
  <si>
    <t>TEC-PH-10003580</t>
  </si>
  <si>
    <t>OFF-PA-10003848</t>
  </si>
  <si>
    <t>TEC-PH-10002447</t>
  </si>
  <si>
    <t>OFF-SU-10004261</t>
  </si>
  <si>
    <t>OFF-BI-10004817</t>
  </si>
  <si>
    <t>Cisco IP Phone 7961G-GE VoIP phone</t>
  </si>
  <si>
    <t>Xerox 1997</t>
  </si>
  <si>
    <t>AT&amp;T CL83451 4-Handset Telephone</t>
  </si>
  <si>
    <t>Fiskars 8" Scissors, 2/Pack</t>
  </si>
  <si>
    <t>GBC Personal VeloBind Strips</t>
  </si>
  <si>
    <t>OFF-AP-10003278</t>
  </si>
  <si>
    <t>OFF-ST-10003994</t>
  </si>
  <si>
    <t>OFF-ST-10003221</t>
  </si>
  <si>
    <t>Belkin 7-Outlet SurgeMaster Home Series</t>
  </si>
  <si>
    <t>Belkin 19" Center-Weighted Shelf, Gray</t>
  </si>
  <si>
    <t>Staple magnet</t>
  </si>
  <si>
    <t>OFF-AP-10003287</t>
  </si>
  <si>
    <t>OFF-EN-10001532</t>
  </si>
  <si>
    <t>Tripp Lite TLP810NET Broadband Surge for Modem/Fax</t>
  </si>
  <si>
    <t>Brown Kraft Recycled Envelopes</t>
  </si>
  <si>
    <t>OFF-AR-10002221</t>
  </si>
  <si>
    <t>12 Colored Short Pencils</t>
  </si>
  <si>
    <t>OFF-ST-10000321</t>
  </si>
  <si>
    <t>TEC-PH-10002415</t>
  </si>
  <si>
    <t>OFF-BI-10001460</t>
  </si>
  <si>
    <t>Akro Stacking Bins</t>
  </si>
  <si>
    <t>Polycom VoiceStation 500 Conference phone</t>
  </si>
  <si>
    <t>Plastic Binding Combs</t>
  </si>
  <si>
    <t>OFF-AP-10002651</t>
  </si>
  <si>
    <t>OFF-AP-10001634</t>
  </si>
  <si>
    <t>Hoover Upright Vacuum With Dirt Cup</t>
  </si>
  <si>
    <t>Hoover Commercial Lightweight Upright Vacuum</t>
  </si>
  <si>
    <t>OFF-BI-10004002</t>
  </si>
  <si>
    <t>Wilson Jones International Size A4 Ring Binders</t>
  </si>
  <si>
    <t>OFF-PA-10004255</t>
  </si>
  <si>
    <t>OFF-AR-10003896</t>
  </si>
  <si>
    <t>FUR-FU-10000308</t>
  </si>
  <si>
    <t>Xerox 219</t>
  </si>
  <si>
    <t>Stride Job 150 Highlighters, Chisel Tip, Assorted Colors</t>
  </si>
  <si>
    <t>Deflect-o Glass Clear Studded Chair Mats</t>
  </si>
  <si>
    <t>OFF-SU-10002522</t>
  </si>
  <si>
    <t>Acme Kleen Earth Office Shears</t>
  </si>
  <si>
    <t>TEC-PH-10001809</t>
  </si>
  <si>
    <t>Panasonic KX T7736-B Digital phone</t>
  </si>
  <si>
    <t>TEC-AC-10001553</t>
  </si>
  <si>
    <t>Memorex 25GB 6X Branded Blu-Ray Recordable Disc, 15/Pack</t>
  </si>
  <si>
    <t>OFF-PA-10001184</t>
  </si>
  <si>
    <t>Xerox 1903</t>
  </si>
  <si>
    <t>TEC-PH-10002624</t>
  </si>
  <si>
    <t>Samsung Galaxy S4 Mini</t>
  </si>
  <si>
    <t>FUR-FU-10003623</t>
  </si>
  <si>
    <t>DataProducts Ampli Magnifier Task Lamp, Black,</t>
  </si>
  <si>
    <t>TEC-PH-10002555</t>
  </si>
  <si>
    <t>FUR-TA-10004086</t>
  </si>
  <si>
    <t>OFF-ST-10004946</t>
  </si>
  <si>
    <t>Nortel Meridian M5316 Digital phone</t>
  </si>
  <si>
    <t>Desktop 3-Pocket Hot File</t>
  </si>
  <si>
    <t>TEC-CO-10002313</t>
  </si>
  <si>
    <t>OFF-BI-10002897</t>
  </si>
  <si>
    <t>Canon PC1080F Personal Copier</t>
  </si>
  <si>
    <t>Black Avery Memo-Size 3-Ring Binder, 5 1/2" x 8 1/2"</t>
  </si>
  <si>
    <t>OFF-SU-10000432</t>
  </si>
  <si>
    <t>Acco Side-Punched Conventional Columnar Pads</t>
  </si>
  <si>
    <t>TEC-PH-10000193</t>
  </si>
  <si>
    <t>Jensen SMPS-640 - speaker phone</t>
  </si>
  <si>
    <t>OFF-PA-10001125</t>
  </si>
  <si>
    <t>Xerox 1988</t>
  </si>
  <si>
    <t>FUR-CH-10002024</t>
  </si>
  <si>
    <t>HON 5400 Series Task Chairs for Big and Tall</t>
  </si>
  <si>
    <t>OFF-AR-10001231</t>
  </si>
  <si>
    <t>TEC-PH-10003988</t>
  </si>
  <si>
    <t>Sanford EarthWrite Recycled Pencils, Medium Soft, #2</t>
  </si>
  <si>
    <t>LF Elite 3D Dazzle Designer Hard Case Cover, Lf Stylus Pen and Wiper For Apple Iphone 5c Mini Lite</t>
  </si>
  <si>
    <t>Swingline SM12-08 MicroCut Jam Free Shredder</t>
  </si>
  <si>
    <t>TEC-MA-10001856</t>
  </si>
  <si>
    <t>Okidata C610n Printer</t>
  </si>
  <si>
    <t>OFF-AR-10004456</t>
  </si>
  <si>
    <t>Panasonic KP-4ABK Battery-Operated Pencil Sharpener</t>
  </si>
  <si>
    <t>OFF-AP-10004540</t>
  </si>
  <si>
    <t>Eureka The Boss Lite 10-Amp Upright Vacuum, Blue</t>
  </si>
  <si>
    <t>TEC-PH-10001433</t>
  </si>
  <si>
    <t>Cisco Small Business SPA 502G VoIP phone</t>
  </si>
  <si>
    <t>Tenex Personal Filing Tote With Secure Closure Lid, Black/Frost</t>
  </si>
  <si>
    <t>VariCap6 Expandable Binder</t>
  </si>
  <si>
    <t>OFF-ST-10000760</t>
  </si>
  <si>
    <t>Eldon Fold 'N Roll Cart System</t>
  </si>
  <si>
    <t>OFF-PA-10003016</t>
  </si>
  <si>
    <t>OFF-AR-10001615</t>
  </si>
  <si>
    <t>Executive Impressions 13" Chairman Wall Clock</t>
  </si>
  <si>
    <t>Adams "While You Were Out" Message Pads</t>
  </si>
  <si>
    <t>Newell 34</t>
  </si>
  <si>
    <t>FUR-FU-10000820</t>
  </si>
  <si>
    <t>Tensor Brushed Steel Torchiere Floor Lamp</t>
  </si>
  <si>
    <t>OFF-BI-10002412</t>
  </si>
  <si>
    <t>Wilson Jones “Snap” Scratch Pad Binder Tool for Ring Binders</t>
  </si>
  <si>
    <t>OFF-AR-10004707</t>
  </si>
  <si>
    <t>TEC-PH-10002583</t>
  </si>
  <si>
    <t>FUR-TA-10002855</t>
  </si>
  <si>
    <t>OFF-FA-10000490</t>
  </si>
  <si>
    <t>OFF-AR-10004042</t>
  </si>
  <si>
    <t>TEC-AC-10000991</t>
  </si>
  <si>
    <t>iOttie HLCRIO102 Car Mount</t>
  </si>
  <si>
    <t>Bevis Round Conference Table Top &amp; Single Column Base</t>
  </si>
  <si>
    <t>OIC Binder Clips, Mini, 1/4" Capacity, Black</t>
  </si>
  <si>
    <t>BOSTON Model 1800 Electric Pencil Sharpeners, Putty/Woodgrain</t>
  </si>
  <si>
    <t>Sony Micro Vault Click 8 GB USB 2.0 Flash Drive</t>
  </si>
  <si>
    <t>OFF-PA-10000605</t>
  </si>
  <si>
    <t>TEC-PH-10000560</t>
  </si>
  <si>
    <t>OFF-BI-10004236</t>
  </si>
  <si>
    <t>OFF-LA-10004409</t>
  </si>
  <si>
    <t>Xerox 1950</t>
  </si>
  <si>
    <t>Samsung Galaxy S III - 16GB - pebble blue (T-Mobile)</t>
  </si>
  <si>
    <t>XtraLife ClearVue Slant-D Ring Binder, White, 3"</t>
  </si>
  <si>
    <t>Avery 492</t>
  </si>
  <si>
    <t>OFF-EN-10001028</t>
  </si>
  <si>
    <t>OFF-BI-10002215</t>
  </si>
  <si>
    <t>Wilson Jones Hanging View Binder, White, 1"</t>
  </si>
  <si>
    <t>TEC-PH-10000213</t>
  </si>
  <si>
    <t>TEC-PH-10004833</t>
  </si>
  <si>
    <t>Seidio BD2-HK3IPH5-BK DILEX Case and Holster Combo for Apple iPhone 5/5s - Black</t>
  </si>
  <si>
    <t>Macally Suction Cup Mount</t>
  </si>
  <si>
    <t>OFF-PA-10003641</t>
  </si>
  <si>
    <t>OFF-BI-10004519</t>
  </si>
  <si>
    <t>Xerox 1909</t>
  </si>
  <si>
    <t>GBC DocuBind P100 Manual Binding Machine</t>
  </si>
  <si>
    <t>OFF-AR-10003696</t>
  </si>
  <si>
    <t>FUR-CH-10001270</t>
  </si>
  <si>
    <t>OFF-EN-10003286</t>
  </si>
  <si>
    <t>Panasonic KP-350BK Electric Pencil Sharpener with Auto Stop</t>
  </si>
  <si>
    <t>Harbour Creations Steel Folding Chair</t>
  </si>
  <si>
    <t>OFF-AR-10002067</t>
  </si>
  <si>
    <t>Newell 334</t>
  </si>
  <si>
    <t>OFF-PA-10003177</t>
  </si>
  <si>
    <t>Xerox 1999</t>
  </si>
  <si>
    <t>OFF-AR-10001761</t>
  </si>
  <si>
    <t>Avery Hi-Liter Smear-Safe Highlighters</t>
  </si>
  <si>
    <t>OFF-AP-10000027</t>
  </si>
  <si>
    <t>Hoover Commercial SteamVac</t>
  </si>
  <si>
    <t>OFF-EN-10000927</t>
  </si>
  <si>
    <t>Jet-Pak Recycled Peel 'N' Seal Padded Mailers</t>
  </si>
  <si>
    <t>OFF-PA-10002558</t>
  </si>
  <si>
    <t>FUR-FU-10004845</t>
  </si>
  <si>
    <t>Xerox 1938</t>
  </si>
  <si>
    <t>Deflect-o EconoMat Nonstudded, No Bevel Mat</t>
  </si>
  <si>
    <t>OFF-BI-10001132</t>
  </si>
  <si>
    <t>Acco PRESSTEX Data Binder with Storage Hooks, Dark Blue, 9 1/2" X 11"</t>
  </si>
  <si>
    <t>FUR-BO-10004834</t>
  </si>
  <si>
    <t>TEC-PH-10000307</t>
  </si>
  <si>
    <t>Riverside Palais Royal Lawyers Bookcase, Royale Cherry Finish</t>
  </si>
  <si>
    <t>Shocksock Galaxy S4 Armband</t>
  </si>
  <si>
    <t>OFF-ST-10000036</t>
  </si>
  <si>
    <t>Recycled Data-Pak for Archival Bound Computer Printouts, 12-1/2 x 12-1/2 x 16</t>
  </si>
  <si>
    <t>OFF-EN-10001137</t>
  </si>
  <si>
    <t>#10 Gummed Flap White Envelopes, 100/Box</t>
  </si>
  <si>
    <t>OFF-SU-10004782</t>
  </si>
  <si>
    <t>FUR-FU-10004351</t>
  </si>
  <si>
    <t>FUR-FU-10004053</t>
  </si>
  <si>
    <t>Elite 5" Scissors</t>
  </si>
  <si>
    <t>DAX Two-Tone Silver Metal Document Frame</t>
  </si>
  <si>
    <t>OFF-BI-10002852</t>
  </si>
  <si>
    <t>FUR-FU-10003268</t>
  </si>
  <si>
    <t>FUR-CH-10002073</t>
  </si>
  <si>
    <t>Ibico Standard Transparent Covers</t>
  </si>
  <si>
    <t>Eldon Radial Chair Mat for Low to Medium Pile Carpets</t>
  </si>
  <si>
    <t>Hon Olson Stacker Chairs</t>
  </si>
  <si>
    <t>OFF-ST-10003996</t>
  </si>
  <si>
    <t>TEC-MA-10003673</t>
  </si>
  <si>
    <t>Letter/Legal File Tote with Clear Snap-On Lid, Black Granite</t>
  </si>
  <si>
    <t>Hewlett-Packard Desktjet 6988DT Refurbished Printer</t>
  </si>
  <si>
    <t>TEC-AC-10001090</t>
  </si>
  <si>
    <t>Micro Innovations Wireless Classic Keyboard with Mouse</t>
  </si>
  <si>
    <t>FUR-CH-10001190</t>
  </si>
  <si>
    <t>OFF-AP-10004052</t>
  </si>
  <si>
    <t>FUR-FU-10004666</t>
  </si>
  <si>
    <t>OFF-PA-10003309</t>
  </si>
  <si>
    <t>Global Deluxe High-Back Office Chair in Storm</t>
  </si>
  <si>
    <t>Hoover Replacement Belts For Soft Guard &amp; Commercial Ltweight Upright Vacs, 2/Pk</t>
  </si>
  <si>
    <t>DAX Clear Channel Poster Frame</t>
  </si>
  <si>
    <t>Xerox 211</t>
  </si>
  <si>
    <t>FUR-BO-10003966</t>
  </si>
  <si>
    <t>TEC-AC-10000682</t>
  </si>
  <si>
    <t>FUR-FU-10001379</t>
  </si>
  <si>
    <t>Sauder Facets Collection Library, Sky Alder Finish</t>
  </si>
  <si>
    <t>Kensington K72356US Mouse-in-a-Box USB Desktop Mouse</t>
  </si>
  <si>
    <t>Executive Impressions 16-1/2" Circular Wall Clock</t>
  </si>
  <si>
    <t>FUR-FU-10002116</t>
  </si>
  <si>
    <t>Tenex Carpeted, Granite-Look or Clear Contemporary Contour Shape Chair Mats</t>
  </si>
  <si>
    <t>OFF-PA-10003883</t>
  </si>
  <si>
    <t>OFF-ST-10003058</t>
  </si>
  <si>
    <t>Message Book, Phone, Wirebound Standard Line Memo, 2 3/4" X 5"</t>
  </si>
  <si>
    <t>Eldon Mobile Mega Data Cart  Mega Stackable  Add-On Trays</t>
  </si>
  <si>
    <t>OFF-AR-10000937</t>
  </si>
  <si>
    <t>Dixon Ticonderoga Core-Lock Colored Pencils, 48-Color Set</t>
  </si>
  <si>
    <t>OFF-AR-10004817</t>
  </si>
  <si>
    <t>FUR-FU-10003374</t>
  </si>
  <si>
    <t>Colorific Watercolor Pencils</t>
  </si>
  <si>
    <t>Electrix Fluorescent Magnifier Lamps &amp; Weighted Base</t>
  </si>
  <si>
    <t>OFF-ST-10001558</t>
  </si>
  <si>
    <t>Acco Perma 4000 Stacking Storage Drawers</t>
  </si>
  <si>
    <t>OFF-PA-10004285</t>
  </si>
  <si>
    <t>Xerox 1959</t>
  </si>
  <si>
    <t>OFF-AR-10001897</t>
  </si>
  <si>
    <t>Model L Table or Wall-Mount Pencil Sharpener</t>
  </si>
  <si>
    <t>OFF-SU-10001212</t>
  </si>
  <si>
    <t>OFF-ST-10000617</t>
  </si>
  <si>
    <t>Kleencut Forged Office Shears by Acme United Corporation</t>
  </si>
  <si>
    <t>Woodgrain Magazine Files by Perma</t>
  </si>
  <si>
    <t>TEC-AC-10000397</t>
  </si>
  <si>
    <t>OFF-BI-10004308</t>
  </si>
  <si>
    <t>Perixx PERIBOARD-512B, Ergonomic Split Keyboard</t>
  </si>
  <si>
    <t>Avery Legal 4-Ring Binder</t>
  </si>
  <si>
    <t>FUR-TA-10003469</t>
  </si>
  <si>
    <t>Balt Split Level Computer Training Table</t>
  </si>
  <si>
    <t>OFF-ST-10002615</t>
  </si>
  <si>
    <t>Dual Level, Single-Width Filing Carts</t>
  </si>
  <si>
    <t>TEC-AC-10003870</t>
  </si>
  <si>
    <t>Logitech Z-906 Speaker sys - home theater - 5.1-CH</t>
  </si>
  <si>
    <t>FUR-TA-10001086</t>
  </si>
  <si>
    <t>SAFCO PlanMaster Boards, 60w x 37-1/2d, White Melamine</t>
  </si>
  <si>
    <t>FUR-FU-10002157</t>
  </si>
  <si>
    <t>Artistic Insta-Plaque</t>
  </si>
  <si>
    <t>OFF-AR-10000127</t>
  </si>
  <si>
    <t>OFF-ST-10004634</t>
  </si>
  <si>
    <t>Newell 321</t>
  </si>
  <si>
    <t>Personal Folder Holder, Ebony</t>
  </si>
  <si>
    <t>OFF-ST-10001321</t>
  </si>
  <si>
    <t>TEC-PH-10001750</t>
  </si>
  <si>
    <t>OFF-PA-10001357</t>
  </si>
  <si>
    <t>TEC-AC-10002370</t>
  </si>
  <si>
    <t>Decoflex Hanging Personal Folder File, Blue</t>
  </si>
  <si>
    <t>Samsung Rugby III</t>
  </si>
  <si>
    <t>Xerox 1886</t>
  </si>
  <si>
    <t>Maxell CD-R Discs</t>
  </si>
  <si>
    <t>TEC-PH-10002275</t>
  </si>
  <si>
    <t>Mitel 5320 IP Phone VoIP phone</t>
  </si>
  <si>
    <t>FUR-TA-10002228</t>
  </si>
  <si>
    <t>Bevis Traditional Conference Table Top, Plinth Base</t>
  </si>
  <si>
    <t>OFF-ST-10000636</t>
  </si>
  <si>
    <t>OFF-FA-10000621</t>
  </si>
  <si>
    <t>Rogers Profile Extra Capacity Storage Tub</t>
  </si>
  <si>
    <t>OIC Colored Binder Clips, Assorted Sizes</t>
  </si>
  <si>
    <t>FUR-FU-10000277</t>
  </si>
  <si>
    <t>Deflect-o DuraMat Antistatic Studded Beveled Mat for Medium Pile Carpeting</t>
  </si>
  <si>
    <t>OFF-AR-10002578</t>
  </si>
  <si>
    <t>Newell 335</t>
  </si>
  <si>
    <t>OFF-FA-10001135</t>
  </si>
  <si>
    <t>Brites Rubber Bands, 1 1/2 oz. Box</t>
  </si>
  <si>
    <t>FUR-FU-10002506</t>
  </si>
  <si>
    <t>Tensor "Hersey Kiss" Styled Floor Lamp</t>
  </si>
  <si>
    <t>TEC-PH-10004348</t>
  </si>
  <si>
    <t>FUR-FU-10003424</t>
  </si>
  <si>
    <t>FUR-CH-10001714</t>
  </si>
  <si>
    <t>OtterBox Defender Series Case - iPhone 5c</t>
  </si>
  <si>
    <t>Nu-Dell Oak Frame</t>
  </si>
  <si>
    <t>Global Leather &amp; Oak Executive Chair, Burgundy</t>
  </si>
  <si>
    <t>FUR-FU-10000747</t>
  </si>
  <si>
    <t>Tenex B1-RE Series Chair Mats for Low Pile Carpets</t>
  </si>
  <si>
    <t>FUR-FU-10001025</t>
  </si>
  <si>
    <t>TEC-PH-10004094</t>
  </si>
  <si>
    <t>Eldon Imàge Series Desk Accessories, Clear</t>
  </si>
  <si>
    <t>Motorola L703CM</t>
  </si>
  <si>
    <t>FUR-BO-10001798</t>
  </si>
  <si>
    <t>Bush Somerset Collection Bookcase</t>
  </si>
  <si>
    <t>FUR-FU-10000397</t>
  </si>
  <si>
    <t>Luxo Economy Swing Arm Lamp</t>
  </si>
  <si>
    <t>OFF-BI-10000545</t>
  </si>
  <si>
    <t>GBC Ibimaster 500 Manual ProClick Binding System</t>
  </si>
  <si>
    <t>FUR-CH-10004063</t>
  </si>
  <si>
    <t>Global Deluxe High-Back Manager's Chair</t>
  </si>
  <si>
    <t>Executive Impressions 13" Clairmont Wall Clock</t>
  </si>
  <si>
    <t>TEC-PH-10001051</t>
  </si>
  <si>
    <t>FUR-TA-10004152</t>
  </si>
  <si>
    <t>OFF-PA-10000312</t>
  </si>
  <si>
    <t>HTC One</t>
  </si>
  <si>
    <t>Barricks 18" x 48" Non-Folding Utility Table with Bottom Storage Shelf</t>
  </si>
  <si>
    <t>Xerox 1955</t>
  </si>
  <si>
    <t>TEC-PH-10000004</t>
  </si>
  <si>
    <t>Belkin iPhone and iPad Lightning Cable</t>
  </si>
  <si>
    <t>OFF-AR-10003752</t>
  </si>
  <si>
    <t>Deluxe Chalkboard Eraser Cleaner</t>
  </si>
  <si>
    <t>OFF-AR-10000034</t>
  </si>
  <si>
    <t>BIC Brite Liner Grip Highlighters, Assorted, 5/Pack</t>
  </si>
  <si>
    <t>OFF-PA-10002222</t>
  </si>
  <si>
    <t>Xerox Color Copier Paper, 11" x 17", Ream</t>
  </si>
  <si>
    <t>TEC-AC-10002335</t>
  </si>
  <si>
    <t>TEC-PH-10003187</t>
  </si>
  <si>
    <t>Logitech Media Keyboard K200</t>
  </si>
  <si>
    <t>Anker Astro Mini 3000mAh Ultra-Compact Portable Charger</t>
  </si>
  <si>
    <t>TEC-MA-10004626</t>
  </si>
  <si>
    <t>Lexmark 20R1285 X6650 Wireless All-in-One Printer</t>
  </si>
  <si>
    <t>OFF-PA-10000528</t>
  </si>
  <si>
    <t>Xerox 1981</t>
  </si>
  <si>
    <t>OFF-BI-10000201</t>
  </si>
  <si>
    <t>Avery Triangle Shaped Sheet Lifters, Black, 2/Pack</t>
  </si>
  <si>
    <t>FUR-TA-10002903</t>
  </si>
  <si>
    <t>OFF-AP-10003266</t>
  </si>
  <si>
    <t>Bevis Round Bullnose 29" High Table Top</t>
  </si>
  <si>
    <t>Holmes Replacement Filter for HEPA Air Cleaner, Large Room</t>
  </si>
  <si>
    <t>FUR-CH-10002126</t>
  </si>
  <si>
    <t>Hon Deluxe Fabric Upholstered Stacking Chairs</t>
  </si>
  <si>
    <t>OFF-AR-10001662</t>
  </si>
  <si>
    <t>Rogers Handheld Barrel Pencil Sharpener</t>
  </si>
  <si>
    <t>AT&amp;T CL2909</t>
  </si>
  <si>
    <t>OFF-PA-10000477</t>
  </si>
  <si>
    <t>Xerox 22</t>
  </si>
  <si>
    <t>OFF-LA-10003720</t>
  </si>
  <si>
    <t>Avery 487</t>
  </si>
  <si>
    <t>OFF-AR-10002766</t>
  </si>
  <si>
    <t>OFF-EN-10003072</t>
  </si>
  <si>
    <t>Peel &amp; Seel Envelopes</t>
  </si>
  <si>
    <t>OFF-AP-10001005</t>
  </si>
  <si>
    <t>Honeywell Quietcare HEPA Air Cleaner</t>
  </si>
  <si>
    <t>FUR-CH-10000309</t>
  </si>
  <si>
    <t>Global Comet Stacking Arm Chair</t>
  </si>
  <si>
    <t>OFF-BI-10002931</t>
  </si>
  <si>
    <t>Avery Trapezoid Extra Heavy Duty 4" Binders</t>
  </si>
  <si>
    <t>OFF-AP-10001469</t>
  </si>
  <si>
    <t>Fellowes 8 Outlet Superior Workstation Surge Protector</t>
  </si>
  <si>
    <t>TEC-AC-10004803</t>
  </si>
  <si>
    <t>FUR-CH-10002317</t>
  </si>
  <si>
    <t>Sony Micro Vault Click 4 GB USB 2.0 Flash Drive</t>
  </si>
  <si>
    <t>Global Enterprise Series Seating Low-Back Swivel/Tilt Chairs</t>
  </si>
  <si>
    <t>OFF-EN-10003160</t>
  </si>
  <si>
    <t>Pastel Pink Envelopes</t>
  </si>
  <si>
    <t>OFF-LA-10004677</t>
  </si>
  <si>
    <t>Self-Adhesive Address Labels for Typewriters with Dispenser Box</t>
  </si>
  <si>
    <t>OFF-LA-10000248</t>
  </si>
  <si>
    <t>OFF-BI-10003094</t>
  </si>
  <si>
    <t>Avery 52</t>
  </si>
  <si>
    <t>Self-Adhesive Ring Binder Labels</t>
  </si>
  <si>
    <t>OFF-PA-10002689</t>
  </si>
  <si>
    <t>Weyerhaeuser First Choice Laser/Copy Paper (20Lb. and 88 Bright)</t>
  </si>
  <si>
    <t>TEC-AC-10002076</t>
  </si>
  <si>
    <t>FUR-CH-10002780</t>
  </si>
  <si>
    <t>Microsoft Natural Keyboard Elite</t>
  </si>
  <si>
    <t>Office Star - Task Chair with Contemporary Loop Arms</t>
  </si>
  <si>
    <t>TEC-PH-10002033</t>
  </si>
  <si>
    <t>Konftel 250 Conference phone - Charcoal black</t>
  </si>
  <si>
    <t>OFF-FA-10000992</t>
  </si>
  <si>
    <t>Acco Clips to Go Binder Clips, 24 Clips in Two Sizes</t>
  </si>
  <si>
    <t>OFF-PA-10002109</t>
  </si>
  <si>
    <t>Wirebound Voice Message Log Book</t>
  </si>
  <si>
    <t>OFF-BI-10004410</t>
  </si>
  <si>
    <t>C-Line Peel &amp; Stick Add-On Filing Pockets, 8-3/4 x 5-1/8, 10/Pack</t>
  </si>
  <si>
    <t>TEC-AC-10003237</t>
  </si>
  <si>
    <t>Memorex Micro Travel Drive 4 GB</t>
  </si>
  <si>
    <t>OFF-FA-10004076</t>
  </si>
  <si>
    <t>Translucent Push Pins by OIC</t>
  </si>
  <si>
    <t>TEC-PH-10001079</t>
  </si>
  <si>
    <t>Polycom SoundPoint Pro SE-225 Corded phone</t>
  </si>
  <si>
    <t>OFF-AR-10003156</t>
  </si>
  <si>
    <t>50 Colored Long Pencils</t>
  </si>
  <si>
    <t>FUR-FU-10003664</t>
  </si>
  <si>
    <t>Electrix Architect's Clamp-On Swing Arm Lamp, Black</t>
  </si>
  <si>
    <t>TEC-AC-10002380</t>
  </si>
  <si>
    <t>Sony 8GB Class 10 Micro SDHC R40 Memory Card</t>
  </si>
  <si>
    <t>OFF-PA-10001870</t>
  </si>
  <si>
    <t>OFF-BI-10002706</t>
  </si>
  <si>
    <t>Xerox 202</t>
  </si>
  <si>
    <t>Avery Premier Heavy-Duty Binder with Round Locking Rings</t>
  </si>
  <si>
    <t>OFF-PA-10000565</t>
  </si>
  <si>
    <t>OFF-AP-10000692</t>
  </si>
  <si>
    <t>Fellowes Mighty 8 Compact Surge Protector</t>
  </si>
  <si>
    <t>DMI Eclipse Executive Suite Bookcases</t>
  </si>
  <si>
    <t>OFF-FA-10000735</t>
  </si>
  <si>
    <t>TEC-CO-10002095</t>
  </si>
  <si>
    <t>Hewlett Packard 610 Color Digital Copier / Printer</t>
  </si>
  <si>
    <t>OFF-AP-10000240</t>
  </si>
  <si>
    <t>OFF-PA-10001846</t>
  </si>
  <si>
    <t>Belkin F9G930V10-GRY 9 Outlet Surge</t>
  </si>
  <si>
    <t>Xerox 1899</t>
  </si>
  <si>
    <t>TEC-AC-10001874</t>
  </si>
  <si>
    <t>OFF-BI-10004506</t>
  </si>
  <si>
    <t>Logitech Wireless Anywhere Mouse MX for PC and Mac</t>
  </si>
  <si>
    <t>Wilson Jones data.warehouse D-Ring Binders with DublLock</t>
  </si>
  <si>
    <t>OFF-AR-10003405</t>
  </si>
  <si>
    <t>TEC-PH-10003691</t>
  </si>
  <si>
    <t>Dixon My First Ticonderoga Pencil, #2</t>
  </si>
  <si>
    <t>BlackBerry Q10</t>
  </si>
  <si>
    <t>OFF-PA-10000551</t>
  </si>
  <si>
    <t>OFF-SU-10001574</t>
  </si>
  <si>
    <t>Array Memo Cubes</t>
  </si>
  <si>
    <t>Acme Value Line Scissors</t>
  </si>
  <si>
    <t>OFF-PA-10003256</t>
  </si>
  <si>
    <t>OFF-BI-10004826</t>
  </si>
  <si>
    <t>Avery Personal Creations Heavyweight Cards</t>
  </si>
  <si>
    <t>JM Magazine Binder</t>
  </si>
  <si>
    <t>OFF-AP-10001293</t>
  </si>
  <si>
    <t>Belkin 8 Outlet Surge Protector</t>
  </si>
  <si>
    <t>OFF-LA-10001074</t>
  </si>
  <si>
    <t>Round Specialty Laser Printer Labels</t>
  </si>
  <si>
    <t>OFF-EN-10002230</t>
  </si>
  <si>
    <t>Airmail Envelopes</t>
  </si>
  <si>
    <t>OFF-LA-10000476</t>
  </si>
  <si>
    <t>Avery 05222 Permanent Self-Adhesive File Folder Labels for Typewriters, on Rolls, White, 250/Roll</t>
  </si>
  <si>
    <t>TEC-AC-10004901</t>
  </si>
  <si>
    <t xml:space="preserve">Kensington SlimBlade Notebook Wireless Mouse with Nano Receiver </t>
  </si>
  <si>
    <t>TEC-PH-10000169</t>
  </si>
  <si>
    <t>OFF-ST-10002562</t>
  </si>
  <si>
    <t>TEC-AC-10001445</t>
  </si>
  <si>
    <t>ARKON Windshield Dashboard Air Vent Car Mount Holder</t>
  </si>
  <si>
    <t>Imation USB 2.0 Swivel Flash Drive USB flash drive - 4 GB - Pink</t>
  </si>
  <si>
    <t>TEC-PH-10004080</t>
  </si>
  <si>
    <t>Avaya 5410 Digital phone</t>
  </si>
  <si>
    <t>Xerox 1952</t>
  </si>
  <si>
    <t>OFF-AR-10002467</t>
  </si>
  <si>
    <t>Dixon Ticonderoga Pencils</t>
  </si>
  <si>
    <t>OFF-PA-10001950</t>
  </si>
  <si>
    <t>Southworth 25% Cotton Antique Laid Paper &amp; Envelopes</t>
  </si>
  <si>
    <t>FUR-CH-10003746</t>
  </si>
  <si>
    <t>Hon 4070 Series Pagoda Round Back Stacking Chairs</t>
  </si>
  <si>
    <t>Quantity</t>
  </si>
  <si>
    <t>Price</t>
  </si>
  <si>
    <t>Vlookup</t>
  </si>
  <si>
    <t>Hlookup</t>
  </si>
  <si>
    <t>Mango</t>
  </si>
  <si>
    <t>Apple</t>
  </si>
  <si>
    <t>Basic Syntax and Functionality of the VLOOKUP Function</t>
  </si>
  <si>
    <t>Syntax</t>
  </si>
  <si>
    <t>=VLOOKUP(lookup_value, table_array, col_index_num, [range_lookup])</t>
  </si>
  <si>
    <t>Explanation of Arguments:</t>
  </si>
  <si>
    <r>
      <t>lookup_value</t>
    </r>
    <r>
      <rPr>
        <sz val="11"/>
        <color theme="1"/>
        <rFont val="Calibri"/>
        <family val="2"/>
        <scheme val="minor"/>
      </rPr>
      <t xml:space="preserve"> – The value to search for in the first column of the table.</t>
    </r>
  </si>
  <si>
    <r>
      <t>table_array</t>
    </r>
    <r>
      <rPr>
        <sz val="11"/>
        <color theme="1"/>
        <rFont val="Calibri"/>
        <family val="2"/>
        <scheme val="minor"/>
      </rPr>
      <t xml:space="preserve"> – The range of cells containing the data.</t>
    </r>
  </si>
  <si>
    <r>
      <t>col_index_num</t>
    </r>
    <r>
      <rPr>
        <sz val="11"/>
        <color theme="1"/>
        <rFont val="Calibri"/>
        <family val="2"/>
        <scheme val="minor"/>
      </rPr>
      <t xml:space="preserve"> – The column number in the table from which the result should be returned.</t>
    </r>
  </si>
  <si>
    <r>
      <t>range_lookup</t>
    </r>
    <r>
      <rPr>
        <sz val="11"/>
        <color theme="1"/>
        <rFont val="Calibri"/>
        <family val="2"/>
        <scheme val="minor"/>
      </rPr>
      <t xml:space="preserve"> – Specifies the type of match:</t>
    </r>
  </si>
  <si>
    <r>
      <t>FALSE</t>
    </r>
    <r>
      <rPr>
        <sz val="11"/>
        <color theme="1"/>
        <rFont val="Calibri"/>
        <family val="2"/>
        <scheme val="minor"/>
      </rPr>
      <t xml:space="preserve"> – Exact match.</t>
    </r>
  </si>
  <si>
    <r>
      <t>TRUE</t>
    </r>
    <r>
      <rPr>
        <sz val="11"/>
        <color theme="1"/>
        <rFont val="Calibri"/>
        <family val="2"/>
        <scheme val="minor"/>
      </rPr>
      <t xml:space="preserve"> – Approximate match (or omitted by default).</t>
    </r>
  </si>
  <si>
    <t>Functionality of VLOOKUP</t>
  </si>
  <si>
    <r>
      <t>1. Searches for Data</t>
    </r>
    <r>
      <rPr>
        <sz val="11"/>
        <color theme="1"/>
        <rFont val="Calibri"/>
        <family val="2"/>
        <scheme val="minor"/>
      </rPr>
      <t xml:space="preserve"> – Finds a specified value in the first column of a table.</t>
    </r>
  </si>
  <si>
    <r>
      <t>2. Returns Related Information</t>
    </r>
    <r>
      <rPr>
        <sz val="11"/>
        <color theme="1"/>
        <rFont val="Calibri"/>
        <family val="2"/>
        <scheme val="minor"/>
      </rPr>
      <t xml:space="preserve"> – Retrieves the corresponding value from another column in the same row.</t>
    </r>
  </si>
  <si>
    <r>
      <t>3. Automates Data Retrieval</t>
    </r>
    <r>
      <rPr>
        <sz val="11"/>
        <color theme="1"/>
        <rFont val="Calibri"/>
        <family val="2"/>
        <scheme val="minor"/>
      </rPr>
      <t xml:space="preserve"> – Eliminates the need to search for information manually.</t>
    </r>
  </si>
  <si>
    <r>
      <t>4. Improves Accuracy</t>
    </r>
    <r>
      <rPr>
        <sz val="11"/>
        <color theme="1"/>
        <rFont val="Calibri"/>
        <family val="2"/>
        <scheme val="minor"/>
      </rPr>
      <t xml:space="preserve"> – Reduces errors by automatically matching and returning the correct data.</t>
    </r>
  </si>
  <si>
    <r>
      <t>5. Saves Time</t>
    </r>
    <r>
      <rPr>
        <sz val="11"/>
        <color theme="1"/>
        <rFont val="Calibri"/>
        <family val="2"/>
        <scheme val="minor"/>
      </rPr>
      <t xml:space="preserve"> – Quickly retrieves information from large datasets.</t>
    </r>
  </si>
  <si>
    <r>
      <t>6. Supports Data Analysis</t>
    </r>
    <r>
      <rPr>
        <sz val="11"/>
        <color theme="1"/>
        <rFont val="Calibri"/>
        <family val="2"/>
        <scheme val="minor"/>
      </rPr>
      <t xml:space="preserve"> – Commonly used for preparing reports, managing records, and analyzing business data.</t>
    </r>
  </si>
  <si>
    <r>
      <t xml:space="preserve">Use </t>
    </r>
    <r>
      <rPr>
        <b/>
        <sz val="11"/>
        <color theme="1"/>
        <rFont val="Calibri"/>
        <family val="2"/>
        <scheme val="minor"/>
      </rPr>
      <t>Exact Match (</t>
    </r>
    <r>
      <rPr>
        <b/>
        <sz val="10"/>
        <color theme="1"/>
        <rFont val="Arial Unicode MS"/>
      </rPr>
      <t>FALSE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when you need a precise result, such as searching for IDs or codes.</t>
    </r>
  </si>
  <si>
    <r>
      <t xml:space="preserve">Use </t>
    </r>
    <r>
      <rPr>
        <b/>
        <sz val="11"/>
        <color theme="1"/>
        <rFont val="Calibri"/>
        <family val="2"/>
        <scheme val="minor"/>
      </rPr>
      <t>Approximate Match (</t>
    </r>
    <r>
      <rPr>
        <b/>
        <sz val="10"/>
        <color theme="1"/>
        <rFont val="Arial Unicode MS"/>
      </rPr>
      <t>TRUE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when working with value ranges, such as grades, discounts, or tax calculations.</t>
    </r>
  </si>
  <si>
    <t>When to Use Approximate Match vs Exact Match in VLOOKUP</t>
  </si>
  <si>
    <t>When to Use VLOOKUP</t>
  </si>
  <si>
    <r>
      <t>1. Data is arranged vertically</t>
    </r>
    <r>
      <rPr>
        <sz val="11"/>
        <color theme="1"/>
        <rFont val="Calibri"/>
        <family val="2"/>
        <scheme val="minor"/>
      </rPr>
      <t xml:space="preserve"> with lookup values in the first column.</t>
    </r>
  </si>
  <si>
    <r>
      <t>2. Searches for a value in a column</t>
    </r>
    <r>
      <rPr>
        <sz val="11"/>
        <color theme="1"/>
        <rFont val="Calibri"/>
        <family val="2"/>
        <scheme val="minor"/>
      </rPr>
      <t xml:space="preserve"> and returns data from another column in the same row.</t>
    </r>
  </si>
  <si>
    <t>3. Suitable for employee records, student databases, product lists, and sales reports.</t>
  </si>
  <si>
    <r>
      <t>4. Best for large datasets</t>
    </r>
    <r>
      <rPr>
        <sz val="11"/>
        <color theme="1"/>
        <rFont val="Calibri"/>
        <family val="2"/>
        <scheme val="minor"/>
      </rPr>
      <t xml:space="preserve"> where information is organized in rows.</t>
    </r>
  </si>
  <si>
    <t>When to Use HLOOKUP</t>
  </si>
  <si>
    <r>
      <t>1. Data is arranged horizontally</t>
    </r>
    <r>
      <rPr>
        <sz val="11"/>
        <color theme="1"/>
        <rFont val="Calibri"/>
        <family val="2"/>
        <scheme val="minor"/>
      </rPr>
      <t xml:space="preserve"> with lookup values in the first row.</t>
    </r>
  </si>
  <si>
    <r>
      <t>2. Searches for a value in a row</t>
    </r>
    <r>
      <rPr>
        <sz val="11"/>
        <color theme="1"/>
        <rFont val="Calibri"/>
        <family val="2"/>
        <scheme val="minor"/>
      </rPr>
      <t xml:space="preserve"> and returns data from another row in the same column.</t>
    </r>
  </si>
  <si>
    <t>3. Suitable for monthly reports, horizontal data tables, and performance summaries.</t>
  </si>
  <si>
    <t>4. Useful when categories or headings are placed across the top of the worksheet.</t>
  </si>
  <si>
    <t>Sub-Category</t>
  </si>
  <si>
    <t>Paper</t>
  </si>
  <si>
    <t>Chairs</t>
  </si>
  <si>
    <t>Phones</t>
  </si>
  <si>
    <t>Storage</t>
  </si>
  <si>
    <t>Binders</t>
  </si>
  <si>
    <t>Furnishings</t>
  </si>
  <si>
    <t>Accessories</t>
  </si>
  <si>
    <t>Labels</t>
  </si>
  <si>
    <t>Art</t>
  </si>
  <si>
    <t>Fasteners</t>
  </si>
  <si>
    <t>Envelopes</t>
  </si>
  <si>
    <t>Appliances</t>
  </si>
  <si>
    <t>Tables</t>
  </si>
  <si>
    <t>Copiers</t>
  </si>
  <si>
    <t>Bookcases</t>
  </si>
  <si>
    <t>Supplies</t>
  </si>
  <si>
    <t>Machines</t>
  </si>
  <si>
    <t>CountIf&gt;500</t>
  </si>
  <si>
    <t>SumIf</t>
  </si>
  <si>
    <t>AverageIf</t>
  </si>
  <si>
    <t>Region</t>
  </si>
  <si>
    <t>South</t>
  </si>
  <si>
    <t>East</t>
  </si>
  <si>
    <t>Central</t>
  </si>
  <si>
    <t>West</t>
  </si>
  <si>
    <t>CountIfs</t>
  </si>
  <si>
    <t>SumIfs</t>
  </si>
  <si>
    <t>Products</t>
  </si>
  <si>
    <t>Excel</t>
  </si>
  <si>
    <t>Word</t>
  </si>
  <si>
    <t>Outlook</t>
  </si>
  <si>
    <t>Loop</t>
  </si>
  <si>
    <t>Teams</t>
  </si>
  <si>
    <t>Sharepoint</t>
  </si>
  <si>
    <t>Jan</t>
  </si>
  <si>
    <t>Feb</t>
  </si>
  <si>
    <t>Mar</t>
  </si>
  <si>
    <t>Importance of Using COUNTIFS and SUMIFS for Complex Data Analysis</t>
  </si>
  <si>
    <r>
      <t>1. Supports Multiple Criteria</t>
    </r>
    <r>
      <rPr>
        <sz val="11"/>
        <color theme="1"/>
        <rFont val="Calibri"/>
        <family val="2"/>
        <scheme val="minor"/>
      </rPr>
      <t xml:space="preserve"> – Allows users to count or sum data based on more than one condition, making analysis more precise.</t>
    </r>
  </si>
  <si>
    <r>
      <t>2. Improves Data Accuracy</t>
    </r>
    <r>
      <rPr>
        <sz val="11"/>
        <color theme="1"/>
        <rFont val="Calibri"/>
        <family val="2"/>
        <scheme val="minor"/>
      </rPr>
      <t xml:space="preserve"> – Ensures calculations are performed only on records that meet all specified criteria.</t>
    </r>
  </si>
  <si>
    <r>
      <t>3. Saves Time</t>
    </r>
    <r>
      <rPr>
        <sz val="11"/>
        <color theme="1"/>
        <rFont val="Calibri"/>
        <family val="2"/>
        <scheme val="minor"/>
      </rPr>
      <t xml:space="preserve"> – Eliminates the need for manual filtering and calculations, especially with large datasets.</t>
    </r>
  </si>
  <si>
    <r>
      <t>4. Enhances Data Analysis</t>
    </r>
    <r>
      <rPr>
        <sz val="11"/>
        <color theme="1"/>
        <rFont val="Calibri"/>
        <family val="2"/>
        <scheme val="minor"/>
      </rPr>
      <t xml:space="preserve"> – Helps analyze data based on combinations of conditions such as department, region, product, or date.</t>
    </r>
  </si>
  <si>
    <t>Benefits of Using the Consolidate Feature for Report Aggregation</t>
  </si>
  <si>
    <r>
      <t>1. Combines Data from Multiple Sources</t>
    </r>
    <r>
      <rPr>
        <sz val="11"/>
        <color theme="1"/>
        <rFont val="Calibri"/>
        <family val="2"/>
        <scheme val="minor"/>
      </rPr>
      <t xml:space="preserve"> – Merges data from different worksheets or workbooks into a single report.</t>
    </r>
  </si>
  <si>
    <r>
      <t>2. Saves Time</t>
    </r>
    <r>
      <rPr>
        <sz val="11"/>
        <color theme="1"/>
        <rFont val="Calibri"/>
        <family val="2"/>
        <scheme val="minor"/>
      </rPr>
      <t xml:space="preserve"> – Eliminates the need to manually copy and combine data from multiple files.</t>
    </r>
  </si>
  <si>
    <r>
      <t>3. Improves Accuracy</t>
    </r>
    <r>
      <rPr>
        <sz val="11"/>
        <color theme="1"/>
        <rFont val="Calibri"/>
        <family val="2"/>
        <scheme val="minor"/>
      </rPr>
      <t xml:space="preserve"> – Reduces errors that may occur during manual data aggregation.</t>
    </r>
  </si>
  <si>
    <r>
      <t>4. Supports Automatic Calculations</t>
    </r>
    <r>
      <rPr>
        <sz val="11"/>
        <color theme="1"/>
        <rFont val="Calibri"/>
        <family val="2"/>
        <scheme val="minor"/>
      </rPr>
      <t xml:space="preserve"> – Performs functions such as Sum, Average, Count, Maximum, and Minimum while consolidating data.</t>
    </r>
  </si>
  <si>
    <t>How the CONSOLIDATE Feature Improves Data Management</t>
  </si>
  <si>
    <r>
      <t>1. Combines Data from Multiple Worksheets</t>
    </r>
    <r>
      <rPr>
        <sz val="11"/>
        <color theme="1"/>
        <rFont val="Calibri"/>
        <family val="2"/>
        <scheme val="minor"/>
      </rPr>
      <t xml:space="preserve"> – Merges information from different worksheets or workbooks into a single dataset.</t>
    </r>
  </si>
  <si>
    <r>
      <t>2. Reduces Manual Work</t>
    </r>
    <r>
      <rPr>
        <sz val="11"/>
        <color theme="1"/>
        <rFont val="Calibri"/>
        <family val="2"/>
        <scheme val="minor"/>
      </rPr>
      <t xml:space="preserve"> – Eliminates the need to copy and paste data from multiple sources manually.</t>
    </r>
  </si>
  <si>
    <r>
      <t>3. Improves Data Accuracy</t>
    </r>
    <r>
      <rPr>
        <sz val="11"/>
        <color theme="1"/>
        <rFont val="Calibri"/>
        <family val="2"/>
        <scheme val="minor"/>
      </rPr>
      <t xml:space="preserve"> – Minimizes errors that can occur during manual data entry and aggregation.</t>
    </r>
  </si>
  <si>
    <r>
      <t>4. Supports Multiple Calculation Methods</t>
    </r>
    <r>
      <rPr>
        <sz val="11"/>
        <color theme="1"/>
        <rFont val="Calibri"/>
        <family val="2"/>
        <scheme val="minor"/>
      </rPr>
      <t xml:space="preserve"> – Performs calculations such as Sum, Average, Count, Maximum, and Minimum while consolidating data.</t>
    </r>
  </si>
  <si>
    <t>Furniture Total</t>
  </si>
  <si>
    <t>Office Supplies Total</t>
  </si>
  <si>
    <t>Technology Total</t>
  </si>
  <si>
    <t>Importance of the SUBTOTAL Feature in Detailed Data Analysis</t>
  </si>
  <si>
    <r>
      <t>1. Performs Automatic Calculations</t>
    </r>
    <r>
      <rPr>
        <sz val="11"/>
        <color theme="1"/>
        <rFont val="Calibri"/>
        <family val="2"/>
        <scheme val="minor"/>
      </rPr>
      <t xml:space="preserve"> – Calculates Sum, Average, Count, Maximum, Minimum, and other functions for selected data.</t>
    </r>
  </si>
  <si>
    <r>
      <t>2. Works with Filtered Data</t>
    </r>
    <r>
      <rPr>
        <sz val="11"/>
        <color theme="1"/>
        <rFont val="Calibri"/>
        <family val="2"/>
        <scheme val="minor"/>
      </rPr>
      <t xml:space="preserve"> – Displays results only for visible (filtered) rows, making analysis more accurate.</t>
    </r>
  </si>
  <si>
    <r>
      <t>3. Improves Data Accuracy</t>
    </r>
    <r>
      <rPr>
        <sz val="11"/>
        <color theme="1"/>
        <rFont val="Calibri"/>
        <family val="2"/>
        <scheme val="minor"/>
      </rPr>
      <t xml:space="preserve"> – Excludes hidden or filtered rows when required, reducing calculation errors.</t>
    </r>
  </si>
  <si>
    <r>
      <t>4. Simplifies Large Dataset Analysis</t>
    </r>
    <r>
      <rPr>
        <sz val="11"/>
        <color theme="1"/>
        <rFont val="Calibri"/>
        <family val="2"/>
        <scheme val="minor"/>
      </rPr>
      <t xml:space="preserve"> – Helps summarize and analyze large amounts of data efficiently.</t>
    </r>
  </si>
  <si>
    <t>Row ID</t>
  </si>
  <si>
    <t>Order ID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</si>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</sst>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0000"/>
        <bgColor theme="4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/>
    <xf numFmtId="0" fontId="4" fillId="0" borderId="0" xfId="0" applyFont="1" applyAlignment="1">
      <alignment horizontal="left" vertical="center" indent="2"/>
    </xf>
    <xf numFmtId="0" fontId="5" fillId="0" borderId="1" xfId="0" applyFont="1" applyBorder="1"/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2" borderId="8" xfId="0" applyFont="1" applyFill="1" applyBorder="1"/>
    <xf numFmtId="0" fontId="9" fillId="2" borderId="9" xfId="0" applyFont="1" applyFill="1" applyBorder="1"/>
    <xf numFmtId="0" fontId="0" fillId="4" borderId="10" xfId="0" applyFill="1" applyBorder="1"/>
    <xf numFmtId="0" fontId="0" fillId="4" borderId="1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4" fillId="5" borderId="10" xfId="0" applyFont="1" applyFill="1" applyBorder="1"/>
    <xf numFmtId="0" fontId="0" fillId="5" borderId="11" xfId="0" applyFill="1" applyBorder="1"/>
    <xf numFmtId="0" fontId="4" fillId="6" borderId="0" xfId="0" applyFont="1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03.855916898145" createdVersion="8" refreshedVersion="8" minRefreshableVersion="3" recordCount="155" xr:uid="{4598DBDB-7D00-49F5-8246-4D82AB7F900B}">
  <cacheSource type="worksheet">
    <worksheetSource ref="B2:D157" sheet="Pivot Table"/>
  </cacheSource>
  <cacheFields count="3">
    <cacheField name="Order Date" numFmtId="14">
      <sharedItems containsSemiMixedTypes="0" containsNonDate="0" containsDate="1" containsString="0" minDate="2017-01-01T00:00:00" maxDate="2017-01-31T00:00:00" count="23">
        <d v="2017-01-20T00:00:00"/>
        <d v="2017-01-22T00:00:00"/>
        <d v="2017-01-23T00:00:00"/>
        <d v="2017-01-21T00:00:00"/>
        <d v="2017-01-30T00:00:00"/>
        <d v="2017-01-01T00:00:00"/>
        <d v="2017-01-07T00:00:00"/>
        <d v="2017-01-14T00:00:00"/>
        <d v="2017-01-02T00:00:00"/>
        <d v="2017-01-28T00:00:00"/>
        <d v="2017-01-12T00:00:00"/>
        <d v="2017-01-19T00:00:00"/>
        <d v="2017-01-27T00:00:00"/>
        <d v="2017-01-08T00:00:00"/>
        <d v="2017-01-24T00:00:00"/>
        <d v="2017-01-15T00:00:00"/>
        <d v="2017-01-26T00:00:00"/>
        <d v="2017-01-29T00:00:00"/>
        <d v="2017-01-06T00:00:00"/>
        <d v="2017-01-03T00:00:00"/>
        <d v="2017-01-16T00:00:00"/>
        <d v="2017-01-13T00:00:00"/>
        <d v="2017-01-09T00:00:00"/>
      </sharedItems>
    </cacheField>
    <cacheField name="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minValue="2.04" maxValue="5443.96" count="155">
        <n v="207.84600000000003"/>
        <n v="2999.95"/>
        <n v="51.449999999999996"/>
        <n v="11.96"/>
        <n v="1126.02"/>
        <n v="210.98"/>
        <n v="242.94"/>
        <n v="179.97"/>
        <n v="99.695999999999998"/>
        <n v="27.936000000000003"/>
        <n v="84.98"/>
        <n v="18.72"/>
        <n v="18.28"/>
        <n v="207"/>
        <n v="32.35"/>
        <n v="7.71"/>
        <n v="40.299999999999997"/>
        <n v="34.580000000000005"/>
        <n v="48.896000000000001"/>
        <n v="3059.982"/>
        <n v="348.20799999999997"/>
        <n v="35.783999999999999"/>
        <n v="21.744"/>
        <n v="7.92"/>
        <n v="695.7"/>
        <n v="15.66"/>
        <n v="28.854000000000006"/>
        <n v="239.96999999999997"/>
        <n v="37.74"/>
        <n v="160.77600000000001"/>
        <n v="40.08"/>
        <n v="37.68"/>
        <n v="6"/>
        <n v="2.8080000000000007"/>
        <n v="14.015999999999998"/>
        <n v="71.975999999999999"/>
        <n v="107.982"/>
        <n v="892.98"/>
        <n v="5.67"/>
        <n v="24.2"/>
        <n v="359.97600000000006"/>
        <n v="14.399999999999999"/>
        <n v="619.94999999999993"/>
        <n v="89.52"/>
        <n v="350.97300000000007"/>
        <n v="164.99"/>
        <n v="34.384"/>
        <n v="1924.1599999999999"/>
        <n v="15.469999999999999"/>
        <n v="7.16"/>
        <n v="129.30000000000001"/>
        <n v="12.127999999999997"/>
        <n v="12.7"/>
        <n v="474.43"/>
        <n v="12.74"/>
        <n v="8.82"/>
        <n v="120.78399999999999"/>
        <n v="169.06400000000002"/>
        <n v="168.624"/>
        <n v="279.89999999999998"/>
        <n v="18.335999999999999"/>
        <n v="36.288000000000011"/>
        <n v="111.98399999999999"/>
        <n v="5.9700000000000006"/>
        <n v="2.508"/>
        <n v="33.74"/>
        <n v="8.34"/>
        <n v="8.57"/>
        <n v="119.61600000000001"/>
        <n v="21.400000000000002"/>
        <n v="38.880000000000003"/>
        <n v="27.92"/>
        <n v="399.67200000000003"/>
        <n v="3.52"/>
        <n v="419.13599999999997"/>
        <n v="18.16"/>
        <n v="9.7799999999999994"/>
        <n v="19.68"/>
        <n v="25.92"/>
        <n v="6.48"/>
        <n v="86.352000000000004"/>
        <n v="32.783999999999992"/>
        <n v="47.984000000000002"/>
        <n v="62.591999999999999"/>
        <n v="4.2759999999999989"/>
        <n v="5443.96"/>
        <n v="302.67"/>
        <n v="56.07"/>
        <n v="32.400000000000006"/>
        <n v="209.94"/>
        <n v="4164.0499999999993"/>
        <n v="212.94"/>
        <n v="3.6"/>
        <n v="449.91"/>
        <n v="154.9"/>
        <n v="5.22"/>
        <n v="274.49100000000004"/>
        <n v="137.94"/>
        <n v="153.78"/>
        <n v="61.019999999999996"/>
        <n v="110.11"/>
        <n v="7.89"/>
        <n v="11.52"/>
        <n v="11.84"/>
        <n v="15.120000000000001"/>
        <n v="7.8719999999999999"/>
        <n v="454.56000000000006"/>
        <n v="141.41999999999999"/>
        <n v="310.74399999999997"/>
        <n v="12.736000000000001"/>
        <n v="6.469999999999998"/>
        <n v="13.747999999999998"/>
        <n v="15.223999999999997"/>
        <n v="69.375"/>
        <n v="31.680000000000003"/>
        <n v="2003.1680000000001"/>
        <n v="9.3439999999999994"/>
        <n v="62.72"/>
        <n v="2939.9300000000003"/>
        <n v="31.744"/>
        <n v="5.4319999999999986"/>
        <n v="913.43000000000006"/>
        <n v="372.14400000000001"/>
        <n v="604.76800000000003"/>
        <n v="4.7679999999999998"/>
        <n v="760.97999999999979"/>
        <n v="429.59999999999997"/>
        <n v="31.968000000000004"/>
        <n v="887.27099999999984"/>
        <n v="21.696000000000002"/>
        <n v="79.92"/>
        <n v="12.28"/>
        <n v="542.93999999999994"/>
        <n v="2.04"/>
        <n v="2022.2720000000002"/>
        <n v="9.120000000000001"/>
        <n v="25.86"/>
        <n v="276.78400000000005"/>
        <n v="110.352"/>
        <n v="95.984000000000009"/>
        <n v="4.9380000000000006"/>
        <n v="16.59"/>
        <n v="268.57600000000002"/>
        <n v="67.400000000000006"/>
        <n v="2.52"/>
        <n v="67.8"/>
        <n v="18.760000000000002"/>
        <n v="12.12"/>
        <n v="11.34"/>
        <n v="159.80000000000001"/>
        <n v="18.96"/>
        <n v="12.96"/>
        <n v="94.85"/>
        <n v="13.48"/>
        <n v="14.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04.615276388889" createdVersion="8" refreshedVersion="8" minRefreshableVersion="3" recordCount="3312" xr:uid="{E2FBA1E4-E1DD-4E65-88F7-1E23DBC2F93B}">
  <cacheSource type="worksheet">
    <worksheetSource ref="B2:D3314" sheet="Pivot Table"/>
  </cacheSource>
  <cacheFields count="3">
    <cacheField name="Order Date" numFmtId="14">
      <sharedItems containsSemiMixedTypes="0" containsNonDate="0" containsDate="1" containsString="0" minDate="2017-01-01T00:00:00" maxDate="2017-12-31T00:00:00" count="322">
        <d v="2017-04-15T00:00:00"/>
        <d v="2017-07-16T00:00:00"/>
        <d v="2017-10-19T00:00:00"/>
        <d v="2017-09-10T00:00:00"/>
        <d v="2017-09-19T00:00:00"/>
        <d v="2017-09-14T00:00:00"/>
        <d v="2017-12-09T00:00:00"/>
        <d v="2017-11-13T00:00:00"/>
        <d v="2017-05-28T00:00:00"/>
        <d v="2017-10-26T00:00:00"/>
        <d v="2017-11-06T00:00:00"/>
        <d v="2017-11-09T00:00:00"/>
        <d v="2017-06-17T00:00:00"/>
        <d v="2017-11-23T00:00:00"/>
        <d v="2017-12-25T00:00:00"/>
        <d v="2017-11-05T00:00:00"/>
        <d v="2017-02-02T00:00:00"/>
        <d v="2017-09-18T00:00:00"/>
        <d v="2017-12-22T00:00:00"/>
        <d v="2017-04-21T00:00:00"/>
        <d v="2017-07-06T00:00:00"/>
        <d v="2017-06-24T00:00:00"/>
        <d v="2017-12-17T00:00:00"/>
        <d v="2017-06-03T00:00:00"/>
        <d v="2017-12-01T00:00:00"/>
        <d v="2017-04-07T00:00:00"/>
        <d v="2017-11-12T00:00:00"/>
        <d v="2017-06-08T00:00:00"/>
        <d v="2017-06-16T00:00:00"/>
        <d v="2017-12-28T00:00:00"/>
        <d v="2017-09-16T00:00:00"/>
        <d v="2017-10-13T00:00:00"/>
        <d v="2017-11-19T00:00:00"/>
        <d v="2017-11-03T00:00:00"/>
        <d v="2017-06-15T00:00:00"/>
        <d v="2017-07-08T00:00:00"/>
        <d v="2017-03-08T00:00:00"/>
        <d v="2017-09-25T00:00:00"/>
        <d v="2017-05-29T00:00:00"/>
        <d v="2017-08-27T00:00:00"/>
        <d v="2017-12-11T00:00:00"/>
        <d v="2017-06-30T00:00:00"/>
        <d v="2017-10-17T00:00:00"/>
        <d v="2017-12-24T00:00:00"/>
        <d v="2017-12-08T00:00:00"/>
        <d v="2017-03-04T00:00:00"/>
        <d v="2017-08-21T00:00:00"/>
        <d v="2017-10-01T00:00:00"/>
        <d v="2017-09-15T00:00:00"/>
        <d v="2017-01-20T00:00:00"/>
        <d v="2017-03-20T00:00:00"/>
        <d v="2017-10-20T00:00:00"/>
        <d v="2017-03-31T00:00:00"/>
        <d v="2017-06-10T00:00:00"/>
        <d v="2017-11-26T00:00:00"/>
        <d v="2017-12-21T00:00:00"/>
        <d v="2017-01-22T00:00:00"/>
        <d v="2017-01-23T00:00:00"/>
        <d v="2017-10-21T00:00:00"/>
        <d v="2017-09-07T00:00:00"/>
        <d v="2017-09-03T00:00:00"/>
        <d v="2017-09-11T00:00:00"/>
        <d v="2017-11-24T00:00:00"/>
        <d v="2017-06-29T00:00:00"/>
        <d v="2017-11-20T00:00:00"/>
        <d v="2017-12-07T00:00:00"/>
        <d v="2017-07-20T00:00:00"/>
        <d v="2017-11-14T00:00:00"/>
        <d v="2017-08-18T00:00:00"/>
        <d v="2017-05-19T00:00:00"/>
        <d v="2017-09-24T00:00:00"/>
        <d v="2017-07-30T00:00:00"/>
        <d v="2017-07-21T00:00:00"/>
        <d v="2017-12-30T00:00:00"/>
        <d v="2017-06-19T00:00:00"/>
        <d v="2017-06-09T00:00:00"/>
        <d v="2017-12-05T00:00:00"/>
        <d v="2017-03-18T00:00:00"/>
        <d v="2017-11-04T00:00:00"/>
        <d v="2017-09-02T00:00:00"/>
        <d v="2017-01-21T00:00:00"/>
        <d v="2017-10-02T00:00:00"/>
        <d v="2017-07-23T00:00:00"/>
        <d v="2017-01-30T00:00:00"/>
        <d v="2017-03-17T00:00:00"/>
        <d v="2017-09-21T00:00:00"/>
        <d v="2017-02-20T00:00:00"/>
        <d v="2017-04-22T00:00:00"/>
        <d v="2017-05-14T00:00:00"/>
        <d v="2017-06-20T00:00:00"/>
        <d v="2017-01-01T00:00:00"/>
        <d v="2017-04-10T00:00:00"/>
        <d v="2017-08-25T00:00:00"/>
        <d v="2017-11-30T00:00:00"/>
        <d v="2017-12-23T00:00:00"/>
        <d v="2017-06-26T00:00:00"/>
        <d v="2017-10-14T00:00:00"/>
        <d v="2017-10-29T00:00:00"/>
        <d v="2017-11-11T00:00:00"/>
        <d v="2017-11-27T00:00:00"/>
        <d v="2017-04-14T00:00:00"/>
        <d v="2017-11-28T00:00:00"/>
        <d v="2017-04-03T00:00:00"/>
        <d v="2017-05-15T00:00:00"/>
        <d v="2017-04-09T00:00:00"/>
        <d v="2017-10-05T00:00:00"/>
        <d v="2017-07-09T00:00:00"/>
        <d v="2017-01-07T00:00:00"/>
        <d v="2017-09-29T00:00:00"/>
        <d v="2017-05-21T00:00:00"/>
        <d v="2017-12-26T00:00:00"/>
        <d v="2017-08-01T00:00:00"/>
        <d v="2017-10-12T00:00:00"/>
        <d v="2017-12-10T00:00:00"/>
        <d v="2017-09-28T00:00:00"/>
        <d v="2017-09-23T00:00:00"/>
        <d v="2017-06-04T00:00:00"/>
        <d v="2017-12-18T00:00:00"/>
        <d v="2017-01-14T00:00:00"/>
        <d v="2017-02-26T00:00:00"/>
        <d v="2017-09-09T00:00:00"/>
        <d v="2017-03-10T00:00:00"/>
        <d v="2017-10-23T00:00:00"/>
        <d v="2017-07-07T00:00:00"/>
        <d v="2017-07-03T00:00:00"/>
        <d v="2017-02-03T00:00:00"/>
        <d v="2017-03-03T00:00:00"/>
        <d v="2017-10-09T00:00:00"/>
        <d v="2017-10-15T00:00:00"/>
        <d v="2017-06-02T00:00:00"/>
        <d v="2017-04-02T00:00:00"/>
        <d v="2017-01-02T00:00:00"/>
        <d v="2017-05-04T00:00:00"/>
        <d v="2017-04-26T00:00:00"/>
        <d v="2017-11-10T00:00:00"/>
        <d v="2017-03-07T00:00:00"/>
        <d v="2017-01-28T00:00:00"/>
        <d v="2017-04-12T00:00:00"/>
        <d v="2017-12-19T00:00:00"/>
        <d v="2017-08-05T00:00:00"/>
        <d v="2017-06-13T00:00:00"/>
        <d v="2017-06-12T00:00:00"/>
        <d v="2017-07-11T00:00:00"/>
        <d v="2017-03-19T00:00:00"/>
        <d v="2017-04-30T00:00:00"/>
        <d v="2017-10-30T00:00:00"/>
        <d v="2017-09-04T00:00:00"/>
        <d v="2017-09-12T00:00:00"/>
        <d v="2017-02-11T00:00:00"/>
        <d v="2017-04-16T00:00:00"/>
        <d v="2017-08-31T00:00:00"/>
        <d v="2017-02-10T00:00:00"/>
        <d v="2017-10-16T00:00:00"/>
        <d v="2017-09-05T00:00:00"/>
        <d v="2017-06-11T00:00:00"/>
        <d v="2017-05-08T00:00:00"/>
        <d v="2017-06-21T00:00:00"/>
        <d v="2017-11-18T00:00:00"/>
        <d v="2017-04-24T00:00:00"/>
        <d v="2017-09-08T00:00:00"/>
        <d v="2017-10-07T00:00:00"/>
        <d v="2017-04-29T00:00:00"/>
        <d v="2017-07-29T00:00:00"/>
        <d v="2017-12-02T00:00:00"/>
        <d v="2017-03-02T00:00:00"/>
        <d v="2017-09-22T00:00:00"/>
        <d v="2017-02-19T00:00:00"/>
        <d v="2017-01-12T00:00:00"/>
        <d v="2017-05-12T00:00:00"/>
        <d v="2017-03-26T00:00:00"/>
        <d v="2017-11-21T00:00:00"/>
        <d v="2017-03-25T00:00:00"/>
        <d v="2017-12-29T00:00:00"/>
        <d v="2017-03-28T00:00:00"/>
        <d v="2017-01-19T00:00:00"/>
        <d v="2017-10-03T00:00:00"/>
        <d v="2017-08-17T00:00:00"/>
        <d v="2017-03-09T00:00:00"/>
        <d v="2017-03-16T00:00:00"/>
        <d v="2017-08-06T00:00:00"/>
        <d v="2017-08-29T00:00:00"/>
        <d v="2017-05-06T00:00:00"/>
        <d v="2017-02-24T00:00:00"/>
        <d v="2017-06-25T00:00:00"/>
        <d v="2017-04-11T00:00:00"/>
        <d v="2017-08-03T00:00:00"/>
        <d v="2017-08-20T00:00:00"/>
        <d v="2017-11-07T00:00:00"/>
        <d v="2017-02-23T00:00:00"/>
        <d v="2017-07-15T00:00:00"/>
        <d v="2017-03-24T00:00:00"/>
        <d v="2017-04-13T00:00:00"/>
        <d v="2017-11-16T00:00:00"/>
        <d v="2017-03-13T00:00:00"/>
        <d v="2017-01-27T00:00:00"/>
        <d v="2017-08-10T00:00:00"/>
        <d v="2017-07-28T00:00:00"/>
        <d v="2017-07-31T00:00:00"/>
        <d v="2017-04-20T00:00:00"/>
        <d v="2017-02-06T00:00:00"/>
        <d v="2017-09-17T00:00:00"/>
        <d v="2017-12-20T00:00:00"/>
        <d v="2017-11-17T00:00:00"/>
        <d v="2017-06-01T00:00:00"/>
        <d v="2017-01-08T00:00:00"/>
        <d v="2017-03-21T00:00:00"/>
        <d v="2017-01-24T00:00:00"/>
        <d v="2017-08-14T00:00:00"/>
        <d v="2017-04-01T00:00:00"/>
        <d v="2017-03-23T00:00:00"/>
        <d v="2017-05-13T00:00:00"/>
        <d v="2017-07-17T00:00:00"/>
        <d v="2017-08-15T00:00:00"/>
        <d v="2017-12-03T00:00:00"/>
        <d v="2017-08-28T00:00:00"/>
        <d v="2017-06-22T00:00:00"/>
        <d v="2017-05-02T00:00:00"/>
        <d v="2017-11-01T00:00:00"/>
        <d v="2017-12-27T00:00:00"/>
        <d v="2017-04-23T00:00:00"/>
        <d v="2017-10-22T00:00:00"/>
        <d v="2017-12-04T00:00:00"/>
        <d v="2017-08-26T00:00:00"/>
        <d v="2017-02-13T00:00:00"/>
        <d v="2017-08-07T00:00:00"/>
        <d v="2017-01-15T00:00:00"/>
        <d v="2017-01-26T00:00:00"/>
        <d v="2017-05-18T00:00:00"/>
        <d v="2017-04-08T00:00:00"/>
        <d v="2017-07-25T00:00:00"/>
        <d v="2017-08-12T00:00:00"/>
        <d v="2017-08-13T00:00:00"/>
        <d v="2017-11-02T00:00:00"/>
        <d v="2017-07-10T00:00:00"/>
        <d v="2017-12-14T00:00:00"/>
        <d v="2017-06-27T00:00:00"/>
        <d v="2017-12-16T00:00:00"/>
        <d v="2017-03-11T00:00:00"/>
        <d v="2017-04-17T00:00:00"/>
        <d v="2017-10-06T00:00:00"/>
        <d v="2017-05-27T00:00:00"/>
        <d v="2017-02-09T00:00:00"/>
        <d v="2017-04-27T00:00:00"/>
        <d v="2017-03-12T00:00:00"/>
        <d v="2017-07-22T00:00:00"/>
        <d v="2017-09-01T00:00:00"/>
        <d v="2017-10-27T00:00:00"/>
        <d v="2017-07-01T00:00:00"/>
        <d v="2017-05-03T00:00:00"/>
        <d v="2017-11-22T00:00:00"/>
        <d v="2017-03-06T00:00:00"/>
        <d v="2017-02-25T00:00:00"/>
        <d v="2017-02-16T00:00:00"/>
        <d v="2017-03-05T00:00:00"/>
        <d v="2017-05-07T00:00:00"/>
        <d v="2017-11-25T00:00:00"/>
        <d v="2017-06-06T00:00:00"/>
        <d v="2017-02-17T00:00:00"/>
        <d v="2017-01-29T00:00:00"/>
        <d v="2017-05-01T00:00:00"/>
        <d v="2017-06-05T00:00:00"/>
        <d v="2017-07-18T00:00:00"/>
        <d v="2017-12-15T00:00:00"/>
        <d v="2017-08-11T00:00:00"/>
        <d v="2017-11-15T00:00:00"/>
        <d v="2017-05-16T00:00:00"/>
        <d v="2017-05-11T00:00:00"/>
        <d v="2017-07-27T00:00:00"/>
        <d v="2017-07-05T00:00:00"/>
        <d v="2017-10-28T00:00:00"/>
        <d v="2017-08-23T00:00:00"/>
        <d v="2017-05-20T00:00:00"/>
        <d v="2017-08-19T00:00:00"/>
        <d v="2017-06-18T00:00:00"/>
        <d v="2017-05-23T00:00:00"/>
        <d v="2017-03-30T00:00:00"/>
        <d v="2017-09-26T00:00:00"/>
        <d v="2017-03-27T00:00:00"/>
        <d v="2017-07-13T00:00:00"/>
        <d v="2017-01-06T00:00:00"/>
        <d v="2017-04-25T00:00:00"/>
        <d v="2017-08-04T00:00:00"/>
        <d v="2017-05-05T00:00:00"/>
        <d v="2017-08-22T00:00:00"/>
        <d v="2017-01-03T00:00:00"/>
        <d v="2017-09-30T00:00:00"/>
        <d v="2017-01-16T00:00:00"/>
        <d v="2017-02-18T00:00:00"/>
        <d v="2017-08-24T00:00:00"/>
        <d v="2017-04-28T00:00:00"/>
        <d v="2017-10-08T00:00:00"/>
        <d v="2017-05-22T00:00:00"/>
        <d v="2017-10-04T00:00:00"/>
        <d v="2017-03-29T00:00:00"/>
        <d v="2017-09-20T00:00:00"/>
        <d v="2017-04-04T00:00:00"/>
        <d v="2017-12-13T00:00:00"/>
        <d v="2017-10-31T00:00:00"/>
        <d v="2017-05-30T00:00:00"/>
        <d v="2017-02-05T00:00:00"/>
        <d v="2017-01-13T00:00:00"/>
        <d v="2017-05-25T00:00:00"/>
        <d v="2017-07-24T00:00:00"/>
        <d v="2017-12-06T00:00:00"/>
        <d v="2017-05-26T00:00:00"/>
        <d v="2017-02-04T00:00:00"/>
        <d v="2017-01-09T00:00:00"/>
        <d v="2017-08-16T00:00:00"/>
        <d v="2017-11-29T00:00:00"/>
        <d v="2017-07-14T00:00:00"/>
        <d v="2017-09-13T00:00:00"/>
        <d v="2017-07-02T00:00:00"/>
        <d v="2017-11-08T00:00:00"/>
        <d v="2017-05-09T00:00:00"/>
        <d v="2017-07-26T00:00:00"/>
        <d v="2017-04-06T00:00:00"/>
        <d v="2017-03-14T00:00:00"/>
        <d v="2017-10-24T00:00:00"/>
        <d v="2017-10-10T00:00:00"/>
        <d v="2017-07-12T00:00:00"/>
        <d v="2017-02-21T00:00:00"/>
        <d v="2017-02-28T00:00:00"/>
      </sharedItems>
    </cacheField>
    <cacheField name="Category" numFmtId="0">
      <sharedItems/>
    </cacheField>
    <cacheField name="Sales" numFmtId="0">
      <sharedItems containsSemiMixedTypes="0" containsString="0" containsNumber="1" minValue="0.44399999999999995" maxValue="13999.96" count="2623">
        <n v="15.552000000000003"/>
        <n v="71.371999999999986"/>
        <n v="29.472000000000001"/>
        <n v="147.16800000000001"/>
        <n v="95.616"/>
        <n v="19.049999999999997"/>
        <n v="1.2479999999999998"/>
        <n v="9.7080000000000002"/>
        <n v="27.240000000000002"/>
        <n v="230.376"/>
        <n v="301.95999999999998"/>
        <n v="19.989999999999998"/>
        <n v="6.16"/>
        <n v="5.6820000000000013"/>
        <n v="96.53"/>
        <n v="51.311999999999998"/>
        <n v="74.112000000000009"/>
        <n v="27.992000000000004"/>
        <n v="3.3040000000000003"/>
        <n v="41.96"/>
        <n v="2.3880000000000003"/>
        <n v="243.99200000000002"/>
        <n v="59.969999999999992"/>
        <n v="78.304000000000002"/>
        <n v="21.456"/>
        <n v="8.82"/>
        <n v="10.86"/>
        <n v="143.69999999999999"/>
        <n v="839.43000000000006"/>
        <n v="97.263999999999982"/>
        <n v="46.26"/>
        <n v="2.9460000000000006"/>
        <n v="16.056000000000001"/>
        <n v="21.744000000000003"/>
        <n v="66.283999999999992"/>
        <n v="35.168000000000006"/>
        <n v="444.76800000000003"/>
        <n v="83.92"/>
        <n v="131.97999999999999"/>
        <n v="15.92"/>
        <n v="52.29"/>
        <n v="91.99"/>
        <n v="233.86"/>
        <n v="620.61450000000013"/>
        <n v="5.3280000000000012"/>
        <n v="258.072"/>
        <n v="617.97600000000011"/>
        <n v="10.56"/>
        <n v="20.37"/>
        <n v="221.54999999999998"/>
        <n v="17.52"/>
        <n v="1.6239999999999994"/>
        <n v="14.015999999999998"/>
        <n v="37.207999999999998"/>
        <n v="57.576000000000001"/>
        <n v="725.84"/>
        <n v="5.98"/>
        <n v="11.648000000000001"/>
        <n v="18.175999999999998"/>
        <n v="59.712000000000003"/>
        <n v="24.839999999999996"/>
        <n v="219.07500000000002"/>
        <n v="4.8899999999999997"/>
        <n v="15.991999999999999"/>
        <n v="47.975999999999999"/>
        <n v="7.5600000000000005"/>
        <n v="24.56"/>
        <n v="12.96"/>
        <n v="647.84"/>
        <n v="20.7"/>
        <n v="488.64600000000002"/>
        <n v="5.56"/>
        <n v="47.12"/>
        <n v="25.920000000000005"/>
        <n v="53.424000000000007"/>
        <n v="1488.4239999999998"/>
        <n v="23.36"/>
        <n v="39.979999999999997"/>
        <n v="75.792000000000002"/>
        <n v="49.96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5.78"/>
        <n v="9.32"/>
        <n v="15.25"/>
        <n v="56.56"/>
        <n v="32.700000000000003"/>
        <n v="866.4"/>
        <n v="28.4"/>
        <n v="287.92"/>
        <n v="6.6719999999999988"/>
        <n v="31.872000000000003"/>
        <n v="207.84600000000003"/>
        <n v="2.91"/>
        <n v="284.36399999999998"/>
        <n v="665.40800000000002"/>
        <n v="205.33279999999996"/>
        <n v="29.6"/>
        <n v="514.16499999999996"/>
        <n v="279.95999999999998"/>
        <n v="15.920000000000002"/>
        <n v="126.30000000000001"/>
        <n v="38.04"/>
        <n v="6.63"/>
        <n v="5.88"/>
        <n v="2999.95"/>
        <n v="51.449999999999996"/>
        <n v="11.96"/>
        <n v="1126.02"/>
        <n v="210.98"/>
        <n v="683.95200000000011"/>
        <n v="45.695999999999998"/>
        <n v="47.94"/>
        <n v="42.615999999999993"/>
        <n v="41.28"/>
        <n v="13.36"/>
        <n v="34.504000000000005"/>
        <n v="10.824"/>
        <n v="1295.78"/>
        <n v="42.599999999999994"/>
        <n v="84.056000000000012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69.712000000000003"/>
        <n v="8.7919999999999998"/>
        <n v="470.37600000000009"/>
        <n v="105.584"/>
        <n v="31.152000000000001"/>
        <n v="6.7830000000000004"/>
        <n v="406.36799999999999"/>
        <n v="119.93999999999998"/>
        <n v="3.6480000000000006"/>
        <n v="40.479999999999997"/>
        <n v="9.94"/>
        <n v="107.42400000000001"/>
        <n v="37.909999999999997"/>
        <n v="88.02"/>
        <n v="35.56"/>
        <n v="97.16"/>
        <n v="15.24"/>
        <n v="13.23"/>
        <n v="17.880000000000003"/>
        <n v="235.94400000000002"/>
        <n v="330.4"/>
        <n v="26.25"/>
        <n v="132.52000000000001"/>
        <n v="6.48"/>
        <n v="209.3"/>
        <n v="97.82"/>
        <n v="103.12"/>
        <n v="23.76"/>
        <n v="85.055999999999997"/>
        <n v="381.57600000000002"/>
        <n v="23.976000000000003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7999.98"/>
        <n v="167.44000000000003"/>
        <n v="191.98400000000001"/>
        <n v="15.072000000000003"/>
        <n v="24.448"/>
        <n v="281.34000000000003"/>
        <n v="307.98"/>
        <n v="299.96999999999997"/>
        <n v="103.05599999999998"/>
        <n v="17.568000000000001"/>
        <n v="55.991999999999997"/>
        <n v="242.94"/>
        <n v="179.97"/>
        <n v="99.695999999999998"/>
        <n v="27.936000000000003"/>
        <n v="84.98"/>
        <n v="18.72"/>
        <n v="58.050000000000004"/>
        <n v="157.74"/>
        <n v="56.980000000000004"/>
        <n v="2.88"/>
        <n v="13.128"/>
        <n v="22.72"/>
        <n v="12.39"/>
        <n v="18.28"/>
        <n v="207"/>
        <n v="32.35"/>
        <n v="7.71"/>
        <n v="40.299999999999997"/>
        <n v="34.580000000000005"/>
        <n v="17.456"/>
        <n v="20.16"/>
        <n v="22.23"/>
        <n v="215.96799999999999"/>
        <n v="1399.93"/>
        <n v="239.96999999999997"/>
        <n v="9.82"/>
        <n v="35"/>
        <n v="37.24"/>
        <n v="15.28"/>
        <n v="180.66"/>
        <n v="191.98"/>
        <n v="65.989999999999995"/>
        <n v="9.6640000000000015"/>
        <n v="48.896000000000001"/>
        <n v="7.61"/>
        <n v="7.16"/>
        <n v="192.16000000000003"/>
        <n v="68.472000000000008"/>
        <n v="1242.8999999999999"/>
        <n v="13.48"/>
        <n v="83.76"/>
        <n v="37.659999999999997"/>
        <n v="149.94999999999999"/>
        <n v="4.54"/>
        <n v="543.91999999999996"/>
        <n v="46.96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14.592000000000002"/>
        <n v="89.855999999999995"/>
        <n v="13.872000000000002"/>
        <n v="12.192"/>
        <n v="159.99"/>
        <n v="516.48800000000006"/>
        <n v="1007.2320000000001"/>
        <n v="2065.3200000000002"/>
        <n v="25.344000000000001"/>
        <n v="25.472000000000001"/>
        <n v="27.168000000000003"/>
        <n v="78.852799999999988"/>
        <n v="173.79999999999998"/>
        <n v="29.592000000000002"/>
        <n v="4.7520000000000007"/>
        <n v="321.56799999999998"/>
        <n v="35.97"/>
        <n v="191.6"/>
        <n v="8.64"/>
        <n v="501.81000000000006"/>
        <n v="160.92999999999998"/>
        <n v="1.0800000000000003"/>
        <n v="3059.982"/>
        <n v="7.9680000000000009"/>
        <n v="27.968000000000004"/>
        <n v="336.51"/>
        <n v="520.05000000000007"/>
        <n v="17.97"/>
        <n v="44.75"/>
        <n v="95.984000000000009"/>
        <n v="155.25"/>
        <n v="14.03"/>
        <n v="11.808"/>
        <n v="23.968000000000004"/>
        <n v="28.728000000000002"/>
        <n v="8.84"/>
        <n v="58.463999999999977"/>
        <n v="254.60399999999998"/>
        <n v="19.936000000000003"/>
        <n v="65.567999999999998"/>
        <n v="1.7440000000000002"/>
        <n v="119.96"/>
        <n v="31.44"/>
        <n v="6.88"/>
        <n v="31.983999999999998"/>
        <n v="71.984000000000009"/>
        <n v="348.20799999999997"/>
        <n v="35.783999999999999"/>
        <n v="2.6939999999999995"/>
        <n v="2.9339999999999993"/>
        <n v="46.672000000000004"/>
        <n v="119.83299999999998"/>
        <n v="119.98"/>
        <n v="362.94"/>
        <n v="11.54"/>
        <n v="109.48"/>
        <n v="272.94"/>
        <n v="31.92"/>
        <n v="21.744"/>
        <n v="7.92"/>
        <n v="81.92"/>
        <n v="889.53600000000006"/>
        <n v="892.22400000000005"/>
        <n v="223.92"/>
        <n v="23.12"/>
        <n v="271.95999999999998"/>
        <n v="141.37199999999999"/>
        <n v="3.036"/>
        <n v="4.503000000000001"/>
        <n v="4.6719999999999997"/>
        <n v="95.88000000000001"/>
        <n v="17.024000000000001"/>
        <n v="258.69600000000003"/>
        <n v="1931.9579999999999"/>
        <n v="8.73"/>
        <n v="5.68"/>
        <n v="48.69"/>
        <n v="38.82"/>
        <n v="1141.9379999999999"/>
        <n v="1704.56"/>
        <n v="3.2"/>
        <n v="5.2480000000000002"/>
        <n v="35.909999999999997"/>
        <n v="6.6959999999999997"/>
        <n v="43.872000000000007"/>
        <n v="863.87999999999988"/>
        <n v="17.472000000000001"/>
        <n v="6.57"/>
        <n v="29.328000000000003"/>
        <n v="12.48"/>
        <n v="15.120000000000001"/>
        <n v="17.430000000000003"/>
        <n v="251.64"/>
        <n v="13.904"/>
        <n v="20.72"/>
        <n v="23.99"/>
        <n v="287.96999999999997"/>
        <n v="14.200000000000001"/>
        <n v="5.2290000000000001"/>
        <n v="285.55200000000002"/>
        <n v="72.8"/>
        <n v="10.816000000000001"/>
        <n v="87.92"/>
        <n v="2.97"/>
        <n v="27.439999999999998"/>
        <n v="25.11"/>
        <n v="29.78"/>
        <n v="677.58"/>
        <n v="75.040000000000006"/>
        <n v="695.7"/>
        <n v="15.66"/>
        <n v="28.854000000000006"/>
        <n v="183.96"/>
        <n v="17.61"/>
        <n v="300.904"/>
        <n v="1.988"/>
        <n v="123.256"/>
        <n v="23.680000000000003"/>
        <n v="309.57600000000002"/>
        <n v="38.388000000000005"/>
        <n v="95.994000000000014"/>
        <n v="239.95200000000003"/>
        <n v="201.584"/>
        <n v="899.13600000000008"/>
        <n v="145.9"/>
        <n v="49.08"/>
        <n v="9.5519999999999996"/>
        <n v="652.45000000000005"/>
        <n v="66.644999999999996"/>
        <n v="37.74"/>
        <n v="220.75200000000001"/>
        <n v="31.104000000000006"/>
        <n v="29.700000000000003"/>
        <n v="39.96"/>
        <n v="36.672000000000004"/>
        <n v="13.76"/>
        <n v="164.73599999999999"/>
        <n v="470.30199999999996"/>
        <n v="47.984000000000002"/>
        <n v="91.199999999999989"/>
        <n v="452.93999999999994"/>
        <n v="872.94"/>
        <n v="41.54"/>
        <n v="8.67"/>
        <n v="28.91"/>
        <n v="31.968000000000004"/>
        <n v="9.7280000000000015"/>
        <n v="3.4240000000000004"/>
        <n v="62.96"/>
        <n v="977.29200000000003"/>
        <n v="9.64"/>
        <n v="10.192000000000002"/>
        <n v="16.784000000000002"/>
        <n v="13.120000000000001"/>
        <n v="223.05600000000001"/>
        <n v="540.048"/>
        <n v="34.5"/>
        <n v="8.36"/>
        <n v="385.6"/>
        <n v="35.82"/>
        <n v="200.06400000000002"/>
        <n v="21.379999999999995"/>
        <n v="6.743999999999998"/>
        <n v="63.686"/>
        <n v="1669.6"/>
        <n v="21.335999999999999"/>
        <n v="16.520000000000003"/>
        <n v="10.744"/>
        <n v="8.3760000000000012"/>
        <n v="203.98299999999998"/>
        <n v="39.99"/>
        <n v="16.28"/>
        <n v="782.94"/>
        <n v="242.48000000000002"/>
        <n v="9.3239999999999981"/>
        <n v="124.75"/>
        <n v="91.96"/>
        <n v="2.78"/>
        <n v="1044.6299999999999"/>
        <n v="122.97"/>
        <n v="12.84"/>
        <n v="47.991999999999997"/>
        <n v="547.30000000000007"/>
        <n v="16.896000000000001"/>
        <n v="6.6720000000000006"/>
        <n v="99.13600000000001"/>
        <n v="155.94"/>
        <n v="1000.0200000000001"/>
        <n v="198.46"/>
        <n v="786.48"/>
        <n v="23.168000000000003"/>
        <n v="50"/>
        <n v="17.920000000000002"/>
        <n v="41.256000000000007"/>
        <n v="169.68"/>
        <n v="2.96"/>
        <n v="8.4480000000000004"/>
        <n v="95.94"/>
        <n v="160.77600000000001"/>
        <n v="88.751999999999995"/>
        <n v="677.57999999999993"/>
        <n v="13.896000000000001"/>
        <n v="16.68"/>
        <n v="167.96800000000002"/>
        <n v="99.28"/>
        <n v="1.1880000000000002"/>
        <n v="7.5180000000000007"/>
        <n v="10.368000000000002"/>
        <n v="310.88000000000005"/>
        <n v="33.450000000000003"/>
        <n v="10.4"/>
        <n v="43.86"/>
        <n v="148.47999999999999"/>
        <n v="7.42"/>
        <n v="71.992000000000004"/>
        <n v="19.899999999999999"/>
        <n v="1702.12"/>
        <n v="765.625"/>
        <n v="307.666"/>
        <n v="1048.3499999999999"/>
        <n v="34.848000000000006"/>
        <n v="22"/>
        <n v="4.3680000000000003"/>
        <n v="20.736000000000004"/>
        <n v="7.168000000000001"/>
        <n v="11.168000000000001"/>
        <n v="442.40000000000003"/>
        <n v="9.4600000000000009"/>
        <n v="559.62"/>
        <n v="109.92"/>
        <n v="8.56"/>
        <n v="6.9760000000000009"/>
        <n v="12.221999999999998"/>
        <n v="219.84"/>
        <n v="98.16"/>
        <n v="33.04"/>
        <n v="86.97"/>
        <n v="63.84"/>
        <n v="347.96999999999997"/>
        <n v="37.008000000000003"/>
        <n v="5.6070000000000011"/>
        <n v="4663.7360000000008"/>
        <n v="79.984000000000009"/>
        <n v="77.599999999999994"/>
        <n v="4.6560000000000006"/>
        <n v="1439.92"/>
        <n v="262.11"/>
        <n v="1439.982"/>
        <n v="36.288000000000011"/>
        <n v="1245.8599999999999"/>
        <n v="90.570000000000007"/>
        <n v="40.08"/>
        <n v="37.68"/>
        <n v="362.35199999999998"/>
        <n v="7.1840000000000011"/>
        <n v="127.92000000000002"/>
        <n v="34.239999999999988"/>
        <n v="257.56799999999998"/>
        <n v="370.78199999999998"/>
        <n v="196.45"/>
        <n v="70.98"/>
        <n v="393.56799999999998"/>
        <n v="302.37599999999998"/>
        <n v="68.742000000000019"/>
        <n v="6"/>
        <n v="7.8239999999999998"/>
        <n v="34.650000000000006"/>
        <n v="1793.98"/>
        <n v="5.1840000000000011"/>
        <n v="478.48"/>
        <n v="28.400000000000002"/>
        <n v="909.12"/>
        <n v="18.96"/>
        <n v="273.89600000000002"/>
        <n v="597.13200000000006"/>
        <n v="4.6079999999999997"/>
        <n v="15.528"/>
        <n v="11.952000000000002"/>
        <n v="895.92"/>
        <n v="462.56400000000002"/>
        <n v="92.94"/>
        <n v="199.98"/>
        <n v="88.768000000000001"/>
        <n v="46.51"/>
        <n v="659.97600000000011"/>
        <n v="145.74"/>
        <n v="15.4"/>
        <n v="244.54999999999998"/>
        <n v="166.16"/>
        <n v="47.360000000000007"/>
        <n v="3.2399999999999993"/>
        <n v="23.1"/>
        <n v="254.52599999999998"/>
        <n v="12.98"/>
        <n v="26.432000000000002"/>
        <n v="197.96999999999997"/>
        <n v="18.899999999999999"/>
        <n v="1282.4100000000001"/>
        <n v="4.92"/>
        <n v="238"/>
        <n v="167.97"/>
        <n v="17.12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291.95999999999998"/>
        <n v="6.4080000000000004"/>
        <n v="408.74399999999997"/>
        <n v="4.9560000000000004"/>
        <n v="71.040000000000006"/>
        <n v="5.3440000000000003"/>
        <n v="11.304"/>
        <n v="294.61999999999995"/>
        <n v="8.7520000000000007"/>
        <n v="199.95000000000002"/>
        <n v="41.86"/>
        <n v="304.45"/>
        <n v="11.363999999999997"/>
        <n v="183.37199999999999"/>
        <n v="239.12000000000003"/>
        <n v="8.26"/>
        <n v="269.96999999999997"/>
        <n v="38.864000000000004"/>
        <n v="1586.6899999999998"/>
        <n v="84.99"/>
        <n v="411.8"/>
        <n v="283.92"/>
        <n v="59.97"/>
        <n v="761.5440000000001"/>
        <n v="39.900000000000006"/>
        <n v="90.86"/>
        <n v="94.85"/>
        <n v="37.44"/>
        <n v="26.549999999999997"/>
        <n v="310.44300000000004"/>
        <n v="279.94400000000002"/>
        <n v="221.92"/>
        <n v="26"/>
        <n v="5.28"/>
        <n v="2.8080000000000007"/>
        <n v="215.976"/>
        <n v="241.96"/>
        <n v="27.72"/>
        <n v="104.68000000000002"/>
        <n v="62.957999999999998"/>
        <n v="146.82"/>
        <n v="84.949999999999989"/>
        <n v="233.05799999999999"/>
        <n v="17.856000000000002"/>
        <n v="314.54999999999995"/>
        <n v="71.975999999999999"/>
        <n v="107.982"/>
        <n v="305.31200000000001"/>
        <n v="54.896000000000008"/>
        <n v="70.08"/>
        <n v="121.3"/>
        <n v="1454.4900000000002"/>
        <n v="27.42"/>
        <n v="1.4400000000000002"/>
        <n v="61.77600000000001"/>
        <n v="108.608"/>
        <n v="9.9840000000000018"/>
        <n v="14.98"/>
        <n v="1145.6000000000001"/>
        <n v="54.816000000000003"/>
        <n v="2.8960000000000004"/>
        <n v="124.79200000000002"/>
        <n v="526.45000000000005"/>
        <n v="228.92"/>
        <n v="205.03"/>
        <n v="44.400000000000006"/>
        <n v="9.02"/>
        <n v="8.6199999999999992"/>
        <n v="1212.96"/>
        <n v="18.54"/>
        <n v="359.96999999999997"/>
        <n v="6.9840000000000009"/>
        <n v="47.96"/>
        <n v="97.567999999999998"/>
        <n v="614.27200000000005"/>
        <n v="35.04"/>
        <n v="17.480000000000004"/>
        <n v="16.399999999999999"/>
        <n v="892.98"/>
        <n v="181.95"/>
        <n v="723.92"/>
        <n v="106.32"/>
        <n v="390.75"/>
        <n v="280.79200000000003"/>
        <n v="68.448000000000008"/>
        <n v="88.04"/>
        <n v="15.872"/>
        <n v="215.59200000000001"/>
        <n v="14.62"/>
        <n v="416.32"/>
        <n v="43"/>
        <n v="182.94"/>
        <n v="60.83"/>
        <n v="389.97"/>
        <n v="265.93"/>
        <n v="14.352000000000002"/>
        <n v="277.39999999999998"/>
        <n v="426.78999999999996"/>
        <n v="9.0240000000000009"/>
        <n v="69.456000000000003"/>
        <n v="79.47"/>
        <n v="10.08"/>
        <n v="13.710000000000003"/>
        <n v="252"/>
        <n v="5.67"/>
        <n v="176.04"/>
        <n v="16.02"/>
        <n v="185.92000000000002"/>
        <n v="211.16800000000001"/>
        <n v="479.98400000000004"/>
        <n v="5.76"/>
        <n v="628.80999999999995"/>
        <n v="56.449999999999996"/>
        <n v="94.199999999999989"/>
        <n v="1115.9099999999999"/>
        <n v="128.744"/>
        <n v="79.920000000000016"/>
        <n v="24.2"/>
        <n v="359.97600000000006"/>
        <n v="211.84"/>
        <n v="595"/>
        <n v="79.872000000000014"/>
        <n v="63.56"/>
        <n v="99.99"/>
        <n v="158.928"/>
        <n v="13.023000000000001"/>
        <n v="273.06"/>
        <n v="39.311999999999998"/>
        <n v="58.48"/>
        <n v="7.4"/>
        <n v="54.367999999999995"/>
        <n v="545.85"/>
        <n v="7.9040000000000008"/>
        <n v="18.75"/>
        <n v="119.69999999999999"/>
        <n v="9.1440000000000001"/>
        <n v="57.06"/>
        <n v="71.599999999999994"/>
        <n v="107.44"/>
        <n v="7.31"/>
        <n v="59.099999999999994"/>
        <n v="46.53"/>
        <n v="97.84"/>
        <n v="83.920000000000016"/>
        <n v="14.624000000000002"/>
        <n v="136.99"/>
        <n v="3.15"/>
        <n v="9.11"/>
        <n v="571.44000000000005"/>
        <n v="32.400000000000006"/>
        <n v="16.91"/>
        <n v="1322.3520000000001"/>
        <n v="11.184000000000001"/>
        <n v="153.584"/>
        <n v="1003.6200000000001"/>
        <n v="35.167999999999999"/>
        <n v="1137.75"/>
        <n v="99.680000000000021"/>
        <n v="37.608000000000004"/>
        <n v="12.224"/>
        <n v="2.3039999999999994"/>
        <n v="9.3599999999999977"/>
        <n v="196.77600000000001"/>
        <n v="479.93999999999994"/>
        <n v="45.660000000000011"/>
        <n v="129.93"/>
        <n v="1801.6320000000001"/>
        <n v="205.92"/>
        <n v="102.833"/>
        <n v="821.87999999999988"/>
        <n v="21.96"/>
        <n v="71"/>
        <n v="25.120000000000005"/>
        <n v="2665.62"/>
        <n v="478.08"/>
        <n v="164.38800000000001"/>
        <n v="13.247999999999999"/>
        <n v="2.9120000000000004"/>
        <n v="248.57"/>
        <n v="79.099999999999994"/>
        <n v="327.84"/>
        <n v="180.96"/>
        <n v="914.97"/>
        <n v="587.97"/>
        <n v="530.34"/>
        <n v="14.940000000000001"/>
        <n v="121.94"/>
        <n v="122.71000000000001"/>
        <n v="121.67999999999999"/>
        <n v="4.17"/>
        <n v="67.040000000000006"/>
        <n v="37.32"/>
        <n v="18.45"/>
        <n v="11199.968000000001"/>
        <n v="2399.6"/>
        <n v="63.9"/>
        <n v="52.99"/>
        <n v="60.864000000000004"/>
        <n v="652.99500000000012"/>
        <n v="11.220000000000002"/>
        <n v="42.624000000000002"/>
        <n v="220.96"/>
        <n v="19.04"/>
        <n v="64.14"/>
        <n v="858.24"/>
        <n v="10.776000000000002"/>
        <n v="11.784000000000001"/>
        <n v="164.88"/>
        <n v="1292.94"/>
        <n v="25.584000000000003"/>
        <n v="261.74"/>
        <n v="14.399999999999999"/>
        <n v="1979.89"/>
        <n v="79.959999999999994"/>
        <n v="8.76"/>
        <n v="43.584000000000003"/>
        <n v="619.94999999999993"/>
        <n v="89.52"/>
        <n v="350.97300000000007"/>
        <n v="164.99"/>
        <n v="312.55200000000002"/>
        <n v="5.3460000000000019"/>
        <n v="132.60000000000002"/>
        <n v="192.16"/>
        <n v="45.888000000000005"/>
        <n v="60.12"/>
        <n v="71.98"/>
        <n v="124.36"/>
        <n v="359.97"/>
        <n v="350.35199999999998"/>
        <n v="1.6410000000000002"/>
        <n v="629.95799999999997"/>
        <n v="799.96"/>
        <n v="107.53"/>
        <n v="477.24"/>
        <n v="25.98"/>
        <n v="79.992000000000004"/>
        <n v="0.99"/>
        <n v="101.84"/>
        <n v="10.332000000000003"/>
        <n v="31.155000000000005"/>
        <n v="8.9280000000000008"/>
        <n v="34.384"/>
        <n v="1924.1599999999999"/>
        <n v="19.103999999999999"/>
        <n v="2.3760000000000003"/>
        <n v="59.2"/>
        <n v="145.85000000000002"/>
        <n v="41.37"/>
        <n v="47.584000000000003"/>
        <n v="15.469999999999999"/>
        <n v="10.89"/>
        <n v="121.6"/>
        <n v="229.54400000000001"/>
        <n v="143.72800000000001"/>
        <n v="36.048000000000002"/>
        <n v="50.94"/>
        <n v="762.59399999999982"/>
        <n v="56.28"/>
        <n v="2690.9700000000003"/>
        <n v="28.16"/>
        <n v="40.29"/>
        <n v="20.23"/>
        <n v="67.8"/>
        <n v="377.96999999999997"/>
        <n v="1628.82"/>
        <n v="286.93"/>
        <n v="83.79"/>
        <n v="59.519999999999996"/>
        <n v="17.088000000000001"/>
        <n v="4.26"/>
        <n v="811.28"/>
        <n v="6.0299999999999994"/>
        <n v="23.849999999999998"/>
        <n v="11.56"/>
        <n v="26.400000000000002"/>
        <n v="69.08"/>
        <n v="35.880000000000003"/>
        <n v="184.66"/>
        <n v="52.400000000000006"/>
        <n v="11.22"/>
        <n v="5.9520000000000008"/>
        <n v="129.30000000000001"/>
        <n v="18.84"/>
        <n v="1633.1880000000003"/>
        <n v="19.760000000000002"/>
        <n v="90.99"/>
        <n v="1526.5600000000002"/>
        <n v="368.96999999999997"/>
        <n v="305.01"/>
        <n v="18.7"/>
        <n v="64.959999999999994"/>
        <n v="43.7"/>
        <n v="41.6"/>
        <n v="23.120000000000005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499.58400000000006"/>
        <n v="13.272000000000002"/>
        <n v="28.272000000000006"/>
        <n v="259.13600000000002"/>
        <n v="10.8"/>
        <n v="188.55199999999996"/>
        <n v="22.58"/>
        <n v="33.375999999999998"/>
        <n v="904.9"/>
        <n v="12.030000000000001"/>
        <n v="2549.9850000000006"/>
        <n v="21.594000000000005"/>
        <n v="8.9640000000000022"/>
        <n v="327.73279999999994"/>
        <n v="254.35200000000003"/>
        <n v="504.90000000000003"/>
        <n v="171.28800000000001"/>
        <n v="22.18"/>
        <n v="2054.2720000000004"/>
        <n v="13.899999999999999"/>
        <n v="26.38"/>
        <n v="360"/>
        <n v="227.84"/>
        <n v="37.94"/>
        <n v="8.9600000000000009"/>
        <n v="31.5"/>
        <n v="30.56"/>
        <n v="24.368000000000002"/>
        <n v="26.880000000000003"/>
        <n v="90.8"/>
        <n v="140.73599999999999"/>
        <n v="214.95000000000002"/>
        <n v="45.36"/>
        <n v="288.24"/>
        <n v="663.93600000000004"/>
        <n v="43.176000000000002"/>
        <n v="58.34"/>
        <n v="539.97"/>
        <n v="252.78399999999996"/>
        <n v="127.98399999999999"/>
        <n v="3.9840000000000004"/>
        <n v="12.991999999999996"/>
        <n v="61"/>
        <n v="671.93"/>
        <n v="33.119999999999997"/>
        <n v="220.26559999999998"/>
        <n v="242.35200000000003"/>
        <n v="695.16"/>
        <n v="220.98"/>
        <n v="25.68"/>
        <n v="298.464"/>
        <n v="258.52799999999996"/>
        <n v="49.12"/>
        <n v="30.559999999999992"/>
        <n v="77.951999999999998"/>
        <n v="67.992000000000004"/>
        <n v="44.783999999999999"/>
        <n v="22.847999999999999"/>
        <n v="119.96000000000001"/>
        <n v="10.608000000000001"/>
        <n v="963.13600000000008"/>
        <n v="88.77600000000001"/>
        <n v="735.98"/>
        <n v="23.88"/>
        <n v="181.86"/>
        <n v="180.58800000000005"/>
        <n v="18.760000000000002"/>
        <n v="20.94"/>
        <n v="58.68"/>
        <n v="254.89999999999998"/>
        <n v="826.62000000000012"/>
        <n v="1633.14"/>
        <n v="544.38"/>
        <n v="69.930000000000007"/>
        <n v="3.75"/>
        <n v="20.928000000000001"/>
        <n v="6.3699999999999983"/>
        <n v="29.97"/>
        <n v="18.704000000000001"/>
        <n v="13.392000000000001"/>
        <n v="11.227999999999998"/>
        <n v="75.179999999999993"/>
        <n v="931.17600000000016"/>
        <n v="430.88"/>
        <n v="114.9"/>
        <n v="26.045999999999992"/>
        <n v="2.8959999999999995"/>
        <n v="32.544000000000004"/>
        <n v="13.467999999999998"/>
        <n v="219.80000000000004"/>
        <n v="317.05799999999999"/>
        <n v="324.90000000000003"/>
        <n v="18.240000000000002"/>
        <n v="60.311999999999998"/>
        <n v="7.0559999999999992"/>
        <n v="27.183999999999997"/>
        <n v="3359.9520000000002"/>
        <n v="27.78"/>
        <n v="6.56"/>
        <n v="13.11"/>
        <n v="1704.89"/>
        <n v="1919.9760000000001"/>
        <n v="271.76400000000001"/>
        <n v="14.376000000000001"/>
        <n v="341.96"/>
        <n v="227.976"/>
        <n v="52.679999999999993"/>
        <n v="2.032"/>
        <n v="431.96800000000007"/>
        <n v="129.91999999999999"/>
        <n v="568.72800000000007"/>
        <n v="117.14400000000001"/>
        <n v="203.52"/>
        <n v="51.75"/>
        <n v="16.029999999999998"/>
        <n v="73.007999999999996"/>
        <n v="25.824000000000002"/>
        <n v="160.96"/>
        <n v="13.775999999999996"/>
        <n v="10.272000000000002"/>
        <n v="24.048000000000002"/>
        <n v="580.67200000000003"/>
        <n v="18.936"/>
        <n v="222.38400000000001"/>
        <n v="50.454000000000015"/>
        <n v="154.76400000000001"/>
        <n v="6.8480000000000008"/>
        <n v="40.032000000000004"/>
        <n v="443.92"/>
        <n v="169.99"/>
        <n v="25.92"/>
        <n v="65.424000000000007"/>
        <n v="32.896000000000001"/>
        <n v="215.148"/>
        <n v="30.96"/>
        <n v="29.79"/>
        <n v="128.9"/>
        <n v="24.816000000000003"/>
        <n v="14.976000000000003"/>
        <n v="16.192"/>
        <n v="251.00599999999997"/>
        <n v="54.192"/>
        <n v="16.740000000000002"/>
        <n v="2504.7399999999998"/>
        <n v="3.76"/>
        <n v="22.512000000000004"/>
        <n v="3.4440000000000008"/>
        <n v="538.19400000000007"/>
        <n v="492.76800000000003"/>
        <n v="47.992000000000004"/>
        <n v="10.848000000000001"/>
        <n v="18.544"/>
        <n v="180.98"/>
        <n v="99.98"/>
        <n v="147.184"/>
        <n v="72"/>
        <n v="655.90000000000009"/>
        <n v="603.91999999999996"/>
        <n v="95.736000000000004"/>
        <n v="825.17399999999998"/>
        <n v="17.760000000000002"/>
        <n v="6.911999999999999"/>
        <n v="599.97"/>
        <n v="38.97"/>
        <n v="45.84"/>
        <n v="28.672000000000004"/>
        <n v="29.311999999999994"/>
        <n v="105.98"/>
        <n v="35.06"/>
        <n v="33.94"/>
        <n v="30"/>
        <n v="7.4760000000000018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7.9920000000000009"/>
        <n v="11.68"/>
        <n v="104.80000000000001"/>
        <n v="104.85"/>
        <n v="5.96"/>
        <n v="1169.694"/>
        <n v="1665.62"/>
        <n v="1443.96"/>
        <n v="2.6240000000000001"/>
        <n v="431.92800000000005"/>
        <n v="25.16"/>
        <n v="91.92"/>
        <n v="718.11599999999987"/>
        <n v="31.776"/>
        <n v="487.98400000000004"/>
        <n v="5.5600000000000005"/>
        <n v="217.85"/>
        <n v="681.40800000000013"/>
        <n v="3.52"/>
        <n v="5.58"/>
        <n v="36.32"/>
        <n v="52.272000000000006"/>
        <n v="213.13600000000002"/>
        <n v="69.52"/>
        <n v="763.44"/>
        <n v="104.88"/>
        <n v="34.700000000000003"/>
        <n v="33.72"/>
        <n v="638.73"/>
        <n v="9.0960000000000001"/>
        <n v="258.89999999999998"/>
        <n v="127.372"/>
        <n v="47.952000000000005"/>
        <n v="43.92"/>
        <n v="163.96"/>
        <n v="37.93"/>
        <n v="23.832000000000001"/>
        <n v="510.24"/>
        <n v="204.95000000000002"/>
        <n v="162.60000000000002"/>
        <n v="23.55"/>
        <n v="35.712000000000003"/>
        <n v="71.97"/>
        <n v="321.92"/>
        <n v="879.98400000000004"/>
        <n v="230.28000000000003"/>
        <n v="116.28"/>
        <n v="841.5680000000001"/>
        <n v="354.90000000000003"/>
        <n v="87.6"/>
        <n v="1.7879999999999996"/>
        <n v="8.9039999999999999"/>
        <n v="720.06400000000008"/>
        <n v="41.424000000000007"/>
        <n v="3.1320000000000001"/>
        <n v="523.76400000000001"/>
        <n v="1359.96"/>
        <n v="25.06"/>
        <n v="12.816000000000001"/>
        <n v="314.35199999999998"/>
        <n v="18.98"/>
        <n v="1458.65"/>
        <n v="26.64"/>
        <n v="476.8"/>
        <n v="87.444000000000003"/>
        <n v="691.96"/>
        <n v="34.950000000000003"/>
        <n v="33.567999999999991"/>
        <n v="4.95"/>
        <n v="3.5639999999999992"/>
        <n v="823.96000000000015"/>
        <n v="480.96"/>
        <n v="10.64"/>
        <n v="155.34"/>
        <n v="12.127999999999997"/>
        <n v="48.9"/>
        <n v="3.5519999999999996"/>
        <n v="2.3679999999999999"/>
        <n v="801.59999999999991"/>
        <n v="161.56800000000001"/>
        <n v="16.096"/>
        <n v="7.6560000000000006"/>
        <n v="311.97600000000006"/>
        <n v="26.720000000000002"/>
        <n v="9.3999999999999986"/>
        <n v="74"/>
        <n v="14.56"/>
        <n v="3.048"/>
        <n v="44.384"/>
        <n v="2.9440000000000004"/>
        <n v="12.7"/>
        <n v="44.67"/>
        <n v="8.94"/>
        <n v="84.784000000000006"/>
        <n v="22.77"/>
        <n v="2591.56"/>
        <n v="41.95"/>
        <n v="474.43"/>
        <n v="39.295999999999999"/>
        <n v="556.66499999999996"/>
        <n v="95.84"/>
        <n v="29.664000000000001"/>
        <n v="9.1840000000000011"/>
        <n v="12.863999999999995"/>
        <n v="479.97"/>
        <n v="232.88"/>
        <n v="23.991999999999994"/>
        <n v="276.69"/>
        <n v="172.76400000000001"/>
        <n v="220.06399999999999"/>
        <n v="339.13600000000002"/>
        <n v="7.857000000000002"/>
        <n v="221.024"/>
        <n v="2.2639999999999993"/>
        <n v="0.44399999999999995"/>
        <n v="146.17600000000002"/>
        <n v="159.96000000000004"/>
        <n v="19.040000000000003"/>
        <n v="37.589999999999996"/>
        <n v="26.032"/>
        <n v="91.032000000000011"/>
        <n v="54.66"/>
        <n v="112.12000000000002"/>
        <n v="1575.14"/>
        <n v="25.060000000000002"/>
        <n v="37.392000000000003"/>
        <n v="79.12"/>
        <n v="12.74"/>
        <n v="120.78399999999999"/>
        <n v="9.7619999999999969"/>
        <n v="13.719999999999999"/>
        <n v="55.2"/>
        <n v="29.24"/>
        <n v="4.8960000000000008"/>
        <n v="169.06400000000002"/>
        <n v="168.624"/>
        <n v="48.86"/>
        <n v="14.976000000000001"/>
        <n v="4.2399999999999993"/>
        <n v="319.95999999999998"/>
        <n v="17.04"/>
        <n v="344.90999999999997"/>
        <n v="6.8739999999999988"/>
        <n v="1.9959999999999996"/>
        <n v="10499.97"/>
        <n v="15.984000000000002"/>
        <n v="482.66399999999999"/>
        <n v="4799.9839999999995"/>
        <n v="18.288"/>
        <n v="385.80000000000007"/>
        <n v="102.96"/>
        <n v="174.42000000000002"/>
        <n v="45.92"/>
        <n v="332.02800000000002"/>
        <n v="11.393999999999998"/>
        <n v="6.3159999999999981"/>
        <n v="9.4080000000000013"/>
        <n v="19.829999999999998"/>
        <n v="209.7"/>
        <n v="1.64"/>
        <n v="1049.2"/>
        <n v="20.9"/>
        <n v="63.311999999999998"/>
        <n v="96.783999999999978"/>
        <n v="10.476000000000001"/>
        <n v="47.98"/>
        <n v="13.049999999999999"/>
        <n v="63.96"/>
        <n v="80.48"/>
        <n v="11.673000000000002"/>
        <n v="871.4"/>
        <n v="71.928000000000011"/>
        <n v="25.99"/>
        <n v="323.10000000000002"/>
        <n v="64.784000000000006"/>
        <n v="11.16"/>
        <n v="896.32799999999997"/>
        <n v="189"/>
        <n v="53.981999999999999"/>
        <n v="177.22499999999999"/>
        <n v="129.39000000000001"/>
        <n v="54.32"/>
        <n v="4367.8960000000006"/>
        <n v="49.568000000000005"/>
        <n v="161.376"/>
        <n v="2.7840000000000003"/>
        <n v="8.7200000000000006"/>
        <n v="82.38"/>
        <n v="42.929999999999993"/>
        <n v="22.92"/>
        <n v="19.824000000000002"/>
        <n v="657.50400000000002"/>
        <n v="99.54"/>
        <n v="199.96"/>
        <n v="20.724000000000004"/>
        <n v="415.87200000000007"/>
        <n v="16.768000000000001"/>
        <n v="27.12"/>
        <n v="19.008000000000003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46.76"/>
        <n v="183.96800000000002"/>
        <n v="1259.97"/>
        <n v="68.97"/>
        <n v="387.99"/>
        <n v="478.24"/>
        <n v="17.239999999999998"/>
        <n v="302.94"/>
        <n v="34.75"/>
        <n v="113.94"/>
        <n v="27.18"/>
        <n v="1805.88"/>
        <n v="70.949999999999989"/>
        <n v="1332.4960000000001"/>
        <n v="32.776000000000003"/>
        <n v="54.384000000000007"/>
        <n v="76.77600000000001"/>
        <n v="209.79200000000003"/>
        <n v="16.38"/>
        <n v="167.96"/>
        <n v="128.05799999999999"/>
        <n v="239.976"/>
        <n v="344.22"/>
        <n v="21.248000000000001"/>
        <n v="333.09000000000003"/>
        <n v="248.98"/>
        <n v="418.29599999999994"/>
        <n v="917.92349999999988"/>
        <n v="38.880000000000003"/>
        <n v="631.17600000000016"/>
        <n v="36.44"/>
        <n v="1347.5200000000002"/>
        <n v="9.4320000000000004"/>
        <n v="269.98"/>
        <n v="99.9"/>
        <n v="39.08"/>
        <n v="116.83199999999999"/>
        <n v="15.84"/>
        <n v="86.376000000000005"/>
        <n v="13.12"/>
        <n v="5.9359999999999991"/>
        <n v="325.86"/>
        <n v="8.5590000000000011"/>
        <n v="419.13599999999997"/>
        <n v="45.216000000000001"/>
        <n v="28.782000000000004"/>
        <n v="76.58"/>
        <n v="8.8000000000000007"/>
        <n v="590.35199999999998"/>
        <n v="25.02"/>
        <n v="452.55000000000007"/>
        <n v="21.81"/>
        <n v="91.6"/>
        <n v="2879.9520000000002"/>
        <n v="90.480000000000018"/>
        <n v="8.8320000000000007"/>
        <n v="177.536"/>
        <n v="258.48"/>
        <n v="14.135999999999999"/>
        <n v="123.96000000000001"/>
        <n v="123.92"/>
        <n v="47.3"/>
        <n v="3.1680000000000006"/>
        <n v="579.13599999999997"/>
        <n v="440.18999999999994"/>
        <n v="64.400000000000006"/>
        <n v="195.76"/>
        <n v="11.76"/>
        <n v="166.45"/>
        <n v="11.059999999999999"/>
        <n v="623.46479999999997"/>
        <n v="772.68000000000006"/>
        <n v="15.008000000000003"/>
        <n v="5.7150000000000016"/>
        <n v="74.415999999999997"/>
        <n v="7.9959999999999996"/>
        <n v="130.71"/>
        <n v="62.31"/>
        <n v="344.70400000000001"/>
        <n v="521.96"/>
        <n v="7.58"/>
        <n v="9.9600000000000009"/>
        <n v="9.2099999999999991"/>
        <n v="27.93"/>
        <n v="7.9"/>
        <n v="221.16"/>
        <n v="127.96"/>
        <n v="18.690000000000001"/>
        <n v="209.56799999999998"/>
        <n v="3.8820000000000006"/>
        <n v="115.29600000000001"/>
        <n v="1.9080000000000004"/>
        <n v="43.371999999999993"/>
        <n v="27.76"/>
        <n v="6.4640000000000004"/>
        <n v="11.52"/>
        <n v="100.94"/>
        <n v="279.89999999999998"/>
        <n v="39.593999999999994"/>
        <n v="91.00800000000001"/>
        <n v="10.36"/>
        <n v="14.016"/>
        <n v="39.92"/>
        <n v="61.96"/>
        <n v="3.7980000000000005"/>
        <n v="27.744000000000003"/>
        <n v="158.37599999999998"/>
        <n v="27.58"/>
        <n v="243.92"/>
        <n v="2404.7040000000002"/>
        <n v="563.024"/>
        <n v="89.987999999999985"/>
        <n v="1.8239999999999998"/>
        <n v="18.319999999999997"/>
        <n v="48.816000000000003"/>
        <n v="1.1879999999999997"/>
        <n v="5.32"/>
        <n v="975.92"/>
        <n v="2249.91"/>
        <n v="59.92"/>
        <n v="171.20000000000002"/>
        <n v="3.36"/>
        <n v="481.32"/>
        <n v="13.98"/>
        <n v="91.59"/>
        <n v="111.98399999999999"/>
        <n v="5.9700000000000006"/>
        <n v="2.508"/>
        <n v="67.144000000000005"/>
        <n v="254.05799999999999"/>
        <n v="2.2959999999999994"/>
        <n v="96.08"/>
        <n v="3.62"/>
        <n v="629.09999999999991"/>
        <n v="90.48"/>
        <n v="14.88"/>
        <n v="91.275000000000006"/>
        <n v="897.15000000000009"/>
        <n v="33.74"/>
        <n v="375.34"/>
        <n v="117.48800000000001"/>
        <n v="69.48"/>
        <n v="689.40800000000002"/>
        <n v="1889.9899999999998"/>
        <n v="48.783999999999999"/>
        <n v="13.092000000000002"/>
        <n v="79.989999999999995"/>
        <n v="209.97900000000001"/>
        <n v="33.930000000000007"/>
        <n v="222.32000000000005"/>
        <n v="210.56400000000002"/>
        <n v="347.58"/>
        <n v="33.479999999999997"/>
        <n v="461.97"/>
        <n v="137.62"/>
        <n v="302.67"/>
        <n v="8.34"/>
        <n v="8.57"/>
        <n v="119.61600000000001"/>
        <n v="239.96000000000004"/>
        <n v="195.64"/>
        <n v="391.98"/>
        <n v="383.97600000000006"/>
        <n v="1781.6819999999998"/>
        <n v="21.400000000000002"/>
        <n v="359.49899999999997"/>
        <n v="10.48"/>
        <n v="8.7840000000000007"/>
        <n v="3.024"/>
        <n v="42.047999999999995"/>
        <n v="67.92"/>
        <n v="35.479999999999997"/>
        <n v="101.12"/>
        <n v="58.730000000000004"/>
        <n v="93.344000000000008"/>
        <n v="23.34"/>
        <n v="51.550000000000004"/>
        <n v="86.26"/>
        <n v="139.04"/>
        <n v="46.8"/>
        <n v="8.5440000000000005"/>
        <n v="842.37600000000009"/>
        <n v="67.78"/>
        <n v="1001.5840000000001"/>
        <n v="569.05799999999999"/>
        <n v="14.224000000000002"/>
        <n v="2.0719999999999996"/>
        <n v="328.39919999999995"/>
        <n v="45.78"/>
        <n v="38.71"/>
        <n v="167.95200000000003"/>
        <n v="45.04"/>
        <n v="23.16"/>
        <n v="17.48"/>
        <n v="79.14"/>
        <n v="8.4"/>
        <n v="498.26000000000005"/>
        <n v="706.86"/>
        <n v="114.94999999999999"/>
        <n v="43.19"/>
        <n v="697.16"/>
        <n v="30.93"/>
        <n v="27.496000000000002"/>
        <n v="210.00800000000001"/>
        <n v="3.3179999999999996"/>
        <n v="43.5"/>
        <n v="35.200000000000003"/>
        <n v="45.527999999999999"/>
        <n v="167.94"/>
        <n v="3.89"/>
        <n v="52.44"/>
        <n v="32.36"/>
        <n v="406.59999999999997"/>
        <n v="27.92"/>
        <n v="399.67200000000003"/>
        <n v="159.80000000000001"/>
        <n v="85.52"/>
        <n v="21.240000000000002"/>
        <n v="9.5520000000000014"/>
        <n v="89.991000000000014"/>
        <n v="4.4640000000000004"/>
        <n v="50.4"/>
        <n v="89.567999999999998"/>
        <n v="14.89"/>
        <n v="191.05799999999999"/>
        <n v="13.040000000000001"/>
        <n v="1525.1879999999996"/>
        <n v="9.6560000000000006"/>
        <n v="27.360000000000003"/>
        <n v="2314.116"/>
        <n v="34.236000000000004"/>
        <n v="15.96"/>
        <n v="307.77600000000001"/>
        <n v="10.896000000000001"/>
        <n v="143.85600000000002"/>
        <n v="198.27200000000002"/>
        <n v="720.7600000000001"/>
        <n v="15.58"/>
        <n v="273.95999999999998"/>
        <n v="306.89999999999998"/>
        <n v="358.2"/>
        <n v="545.91599999999994"/>
        <n v="40.410000000000004"/>
        <n v="167.976"/>
        <n v="109.53"/>
        <n v="26.352000000000004"/>
        <n v="79.98"/>
        <n v="24.672000000000001"/>
        <n v="3.7439999999999998"/>
        <n v="22.424000000000003"/>
        <n v="42.76"/>
        <n v="10.080000000000002"/>
        <n v="101.34"/>
        <n v="73.175999999999974"/>
        <n v="39.984000000000002"/>
        <n v="4.0640000000000001"/>
        <n v="6.2160000000000002"/>
        <n v="8.895999999999999"/>
        <n v="2.0640000000000001"/>
        <n v="6.3680000000000003"/>
        <n v="38.016000000000005"/>
        <n v="8.3840000000000003"/>
        <n v="19.600000000000001"/>
        <n v="68.459999999999994"/>
        <n v="13.343999999999998"/>
        <n v="1478.2719999999999"/>
        <n v="9.24"/>
        <n v="13.360000000000001"/>
        <n v="78.256"/>
        <n v="102.01800000000001"/>
        <n v="750.68"/>
        <n v="84.55"/>
        <n v="17.940000000000001"/>
        <n v="103.19200000000001"/>
        <n v="36"/>
        <n v="239.96"/>
        <n v="40.68"/>
        <n v="6.2640000000000002"/>
        <n v="20.808"/>
        <n v="218.35200000000003"/>
        <n v="18.16"/>
        <n v="63.920000000000009"/>
        <n v="7.83"/>
        <n v="41.9"/>
        <n v="664.14599999999996"/>
        <n v="3.3119999999999998"/>
        <n v="20.136000000000003"/>
        <n v="8.8559999999999999"/>
        <n v="859.19999999999993"/>
        <n v="56.704000000000001"/>
        <n v="11.120000000000001"/>
        <n v="239.95999999999998"/>
        <n v="54.768000000000001"/>
        <n v="23.92"/>
        <n v="255.96799999999999"/>
        <n v="9.7799999999999994"/>
        <n v="1.81"/>
        <n v="2479.96"/>
        <n v="181.98599999999999"/>
        <n v="1.5919999999999996"/>
        <n v="22.344000000000001"/>
        <n v="67.400000000000006"/>
        <n v="126.56"/>
        <n v="10.16"/>
        <n v="34.54"/>
        <n v="64.12"/>
        <n v="19.456000000000003"/>
        <n v="209.98599999999999"/>
        <n v="29.760000000000005"/>
        <n v="89.768000000000001"/>
        <n v="959.98400000000004"/>
        <n v="34.360000000000007"/>
        <n v="47.52"/>
        <n v="19.98"/>
        <n v="83.56"/>
        <n v="546.06000000000006"/>
        <n v="269.49"/>
        <n v="59.913000000000011"/>
        <n v="437.84999999999997"/>
        <n v="10.709999999999999"/>
        <n v="11.05"/>
        <n v="659.9"/>
        <n v="843.9"/>
        <n v="1496.16"/>
        <n v="19.52"/>
        <n v="273.55200000000002"/>
        <n v="82.56"/>
        <n v="284.96999999999997"/>
        <n v="60.84"/>
        <n v="11.12"/>
        <n v="34.76"/>
        <n v="74.45"/>
        <n v="57.9"/>
        <n v="1194.165"/>
        <n v="40.99"/>
        <n v="15.840000000000002"/>
        <n v="27.395999999999997"/>
        <n v="13.455999999999998"/>
        <n v="40.176000000000002"/>
        <n v="36.792000000000002"/>
        <n v="177.54999999999998"/>
        <n v="81.400000000000006"/>
        <n v="178.10999999999999"/>
        <n v="1089.75"/>
        <n v="61.06"/>
        <n v="459.92"/>
        <n v="27.52"/>
        <n v="638.82000000000005"/>
        <n v="30.69"/>
        <n v="26.48"/>
        <n v="532.72"/>
        <n v="26.72"/>
        <n v="20.04"/>
        <n v="795.48"/>
        <n v="21.560000000000002"/>
        <n v="74.95"/>
        <n v="542.93999999999994"/>
        <n v="54.92"/>
        <n v="85.2"/>
        <n v="217.76400000000001"/>
        <n v="39.072000000000003"/>
        <n v="22.638000000000002"/>
        <n v="95.143999999999991"/>
        <n v="12.320000000000002"/>
        <n v="4.4190000000000005"/>
        <n v="72.784000000000006"/>
        <n v="61.792000000000002"/>
        <n v="205.99919999999997"/>
        <n v="238.62"/>
        <n v="7.77"/>
        <n v="285.48"/>
        <n v="19.168000000000003"/>
        <n v="419.4"/>
        <n v="90.801000000000002"/>
        <n v="181.76400000000001"/>
        <n v="57.567999999999998"/>
        <n v="239.66599999999997"/>
        <n v="59.76"/>
        <n v="108.08"/>
        <n v="9.5400000000000009"/>
        <n v="99.87"/>
        <n v="59.94"/>
        <n v="41.4"/>
        <n v="16.95"/>
        <n v="22.959999999999997"/>
        <n v="1099.5"/>
        <n v="87.210000000000008"/>
        <n v="683.98799999999994"/>
        <n v="16.776000000000003"/>
        <n v="527.91999999999996"/>
        <n v="95.992000000000004"/>
        <n v="13.216000000000001"/>
        <n v="435.84000000000003"/>
        <n v="42.68"/>
        <n v="262.24"/>
        <n v="234.36"/>
        <n v="21.12"/>
        <n v="17.22"/>
        <n v="226.56"/>
        <n v="107.88"/>
        <n v="240.78400000000002"/>
        <n v="360.38"/>
        <n v="13.56"/>
        <n v="552"/>
        <n v="2357.4880000000003"/>
        <n v="369.54399999999998"/>
        <n v="184.75200000000001"/>
        <n v="12.294"/>
        <n v="128.85000000000002"/>
        <n v="127.94999999999999"/>
        <n v="69.98"/>
        <n v="646.27200000000005"/>
        <n v="71.959999999999994"/>
        <n v="239.24"/>
        <n v="54.900000000000006"/>
        <n v="859.2"/>
        <n v="506.28"/>
        <n v="27.888000000000002"/>
        <n v="518.27200000000005"/>
        <n v="6.98"/>
        <n v="343.20000000000005"/>
        <n v="17.544"/>
        <n v="153.55199999999999"/>
        <n v="270.62"/>
        <n v="151.05600000000001"/>
        <n v="272.64600000000002"/>
        <n v="212.8"/>
        <n v="38.520000000000003"/>
        <n v="72.64"/>
        <n v="45.4"/>
        <n v="80.991"/>
        <n v="4.3600000000000003"/>
        <n v="2888.1270000000004"/>
        <n v="1299.6600000000001"/>
        <n v="2254.41"/>
        <n v="104.85000000000001"/>
        <n v="314.53199999999998"/>
        <n v="191.976"/>
        <n v="409.21600000000001"/>
        <n v="72.588000000000008"/>
        <n v="61.567999999999998"/>
        <n v="3.9119999999999999"/>
        <n v="53.25"/>
        <n v="274.8"/>
        <n v="257.98"/>
        <n v="119.03999999999999"/>
        <n v="20.07"/>
        <n v="40.736000000000004"/>
        <n v="340.70400000000006"/>
        <n v="51.967999999999996"/>
        <n v="51.336000000000006"/>
        <n v="332.70400000000001"/>
        <n v="42.408000000000008"/>
        <n v="383.84000000000003"/>
        <n v="6.3299999999999992"/>
        <n v="75.88"/>
        <n v="329.988"/>
        <n v="71.376000000000005"/>
        <n v="7.7120000000000006"/>
        <n v="51.168000000000006"/>
        <n v="2793.5280000000002"/>
        <n v="65.94"/>
        <n v="76.12"/>
        <n v="56.699999999999996"/>
        <n v="72.703999999999994"/>
        <n v="12.263999999999999"/>
        <n v="30.32"/>
        <n v="177.56800000000001"/>
        <n v="71.28"/>
        <n v="1471.96"/>
        <n v="247.44"/>
        <n v="43.41"/>
        <n v="6.24"/>
        <n v="465.16"/>
        <n v="7.98"/>
        <n v="9.8560000000000016"/>
        <n v="384.59200000000004"/>
        <n v="39.992000000000004"/>
        <n v="1159.056"/>
        <n v="179.89999999999998"/>
        <n v="116.312"/>
        <n v="5.9039999999999999"/>
        <n v="701.96"/>
        <n v="25.83"/>
        <n v="195.96000000000004"/>
        <n v="74.352000000000004"/>
        <n v="6.68"/>
        <n v="579.51"/>
        <n v="14.99"/>
        <n v="39.960000000000008"/>
        <n v="34.08"/>
        <n v="87.8"/>
        <n v="221.38200000000001"/>
        <n v="5199.96"/>
        <n v="24.55"/>
        <n v="108.40000000000002"/>
        <n v="361.37600000000003"/>
        <n v="19.68"/>
        <n v="86.352000000000004"/>
        <n v="150.80000000000001"/>
        <n v="1039.992"/>
        <n v="51.84"/>
        <n v="41.22"/>
        <n v="240.37"/>
        <n v="119.02"/>
        <n v="133.12"/>
        <n v="371.96999999999997"/>
        <n v="286.14999999999998"/>
        <n v="32.783999999999992"/>
        <n v="62.591999999999999"/>
        <n v="4.2759999999999989"/>
        <n v="824.95"/>
        <n v="24.64"/>
        <n v="227.88"/>
        <n v="8.01"/>
        <n v="569.5680000000001"/>
        <n v="149.73000000000002"/>
        <n v="899.43"/>
        <n v="46.2"/>
        <n v="76.864000000000004"/>
        <n v="102.93"/>
        <n v="83.88"/>
        <n v="477.15000000000003"/>
        <n v="974.98799999999983"/>
        <n v="103.50000000000001"/>
        <n v="2.4640000000000004"/>
        <n v="36.96"/>
        <n v="14.7"/>
        <n v="37.200000000000003"/>
        <n v="89.97"/>
        <n v="261.95999999999998"/>
        <n v="4.5540000000000003"/>
        <n v="5.2"/>
        <n v="205.99200000000002"/>
        <n v="503.96000000000004"/>
        <n v="24.472000000000001"/>
        <n v="241.56799999999998"/>
        <n v="110.4"/>
        <n v="384.76799999999997"/>
        <n v="78.66"/>
        <n v="24"/>
        <n v="26.176000000000002"/>
        <n v="1247.6399999999999"/>
        <n v="50.352000000000004"/>
        <n v="34.019999999999996"/>
        <n v="206.38400000000001"/>
        <n v="529.9"/>
        <n v="99.3"/>
        <n v="108.96"/>
        <n v="2.6880000000000002"/>
        <n v="5443.96"/>
        <n v="56.07"/>
        <n v="142.80000000000001"/>
        <n v="399.95"/>
        <n v="73.679999999999993"/>
        <n v="139.91999999999999"/>
        <n v="33.29"/>
        <n v="58.170000000000009"/>
        <n v="5.04"/>
        <n v="24.784000000000002"/>
        <n v="158.9"/>
        <n v="33.61999999999999"/>
        <n v="243.99199999999996"/>
        <n v="7.120000000000001"/>
        <n v="1049.44"/>
        <n v="170.35200000000003"/>
        <n v="101.94"/>
        <n v="231.72"/>
        <n v="11.760000000000002"/>
        <n v="146.352"/>
        <n v="209.94"/>
        <n v="4164.0499999999993"/>
        <n v="212.94"/>
        <n v="68.541000000000011"/>
        <n v="627.16800000000012"/>
        <n v="122.12000000000002"/>
        <n v="6.99"/>
        <n v="125.88"/>
        <n v="79.78"/>
        <n v="133.20000000000002"/>
        <n v="319.98400000000004"/>
        <n v="21.184000000000001"/>
        <n v="213.42999999999995"/>
        <n v="333.57600000000002"/>
        <n v="31.992000000000004"/>
        <n v="68.703999999999994"/>
        <n v="386.91"/>
        <n v="356.85"/>
        <n v="251.57999999999998"/>
        <n v="42.85"/>
        <n v="17"/>
        <n v="87.4"/>
        <n v="29.84"/>
        <n v="10.9"/>
        <n v="79.92"/>
        <n v="3.6"/>
        <n v="111.96"/>
        <n v="12.160000000000002"/>
        <n v="155.88"/>
        <n v="477.51"/>
        <n v="16.34"/>
        <n v="225.29600000000002"/>
        <n v="9.9120000000000008"/>
        <n v="266.35200000000003"/>
        <n v="56.328000000000003"/>
        <n v="39.264000000000003"/>
        <n v="95.231999999999999"/>
        <n v="23.32"/>
        <n v="14.82"/>
        <n v="177.2"/>
        <n v="122.13600000000001"/>
        <n v="479.952"/>
        <n v="629.94999999999993"/>
        <n v="14.952000000000002"/>
        <n v="116.98"/>
        <n v="47.400000000000006"/>
        <n v="512.96"/>
        <n v="395.93999999999994"/>
        <n v="81.96"/>
        <n v="15.76"/>
        <n v="14.560000000000002"/>
        <n v="35.4"/>
        <n v="13.005000000000003"/>
        <n v="449.91"/>
        <n v="20.096000000000004"/>
        <n v="37.752000000000002"/>
        <n v="138.58799999999999"/>
        <n v="259.92000000000007"/>
        <n v="3.8560000000000003"/>
        <n v="12.585000000000003"/>
        <n v="113.372"/>
        <n v="18.312000000000001"/>
        <n v="127.93599999999999"/>
        <n v="241.17000000000002"/>
        <n v="1.6799999999999995"/>
        <n v="7.968"/>
        <n v="2.9600000000000004"/>
        <n v="168.1"/>
        <n v="152.65"/>
        <n v="1640.6999999999998"/>
        <n v="371.2"/>
        <n v="62.04"/>
        <n v="494.97"/>
        <n v="367.96"/>
        <n v="44.96"/>
        <n v="28.14"/>
        <n v="7.38"/>
        <n v="274.89"/>
        <n v="23.04"/>
        <n v="37.056000000000004"/>
        <n v="259.89600000000002"/>
        <n v="73.343999999999994"/>
        <n v="95.68"/>
        <n v="50.96"/>
        <n v="20.32"/>
        <n v="411.98"/>
        <n v="34.479999999999997"/>
        <n v="10.782000000000002"/>
        <n v="2399.96"/>
        <n v="16"/>
        <n v="5.5879999999999992"/>
        <n v="235.92"/>
        <n v="10.68"/>
        <n v="14.76"/>
        <n v="115.96"/>
        <n v="186.54"/>
        <n v="159.56"/>
        <n v="356.78999999999996"/>
        <n v="16.98"/>
        <n v="95.976000000000013"/>
        <n v="102.36799999999999"/>
        <n v="713.88"/>
        <n v="68.52"/>
        <n v="58.407999999999994"/>
        <n v="79.97399999999999"/>
        <n v="7.8000000000000007"/>
        <n v="12.624000000000001"/>
        <n v="89.584000000000003"/>
        <n v="471.92"/>
        <n v="18.180000000000003"/>
        <n v="31.744"/>
        <n v="48.87"/>
        <n v="154.9"/>
        <n v="1158.1199999999999"/>
        <n v="1.3919999999999997"/>
        <n v="13.839999999999998"/>
        <n v="175.87200000000001"/>
        <n v="208.44"/>
        <n v="25.76"/>
        <n v="148.25700000000001"/>
        <n v="227.45999999999998"/>
        <n v="46.24"/>
        <n v="5.22"/>
        <n v="523.39200000000005"/>
        <n v="166.72"/>
        <n v="198.744"/>
        <n v="6.2080000000000002"/>
        <n v="32.67"/>
        <n v="1626.1920000000002"/>
        <n v="8.5950000000000024"/>
        <n v="190.89600000000002"/>
        <n v="318.95999999999998"/>
        <n v="421.1"/>
        <n v="760.11599999999987"/>
        <n v="38.784000000000006"/>
        <n v="122.32799999999999"/>
        <n v="141.96"/>
        <n v="257.94"/>
        <n v="1879.96"/>
        <n v="27.46"/>
        <n v="89.98"/>
        <n v="828.59999999999991"/>
        <n v="113.52"/>
        <n v="135.29999999999998"/>
        <n v="776.84999999999991"/>
        <n v="43.28"/>
        <n v="182.55"/>
        <n v="4.91"/>
        <n v="145.76400000000001"/>
        <n v="107.97"/>
        <n v="143.96"/>
        <n v="87.167999999999978"/>
        <n v="32.231999999999999"/>
        <n v="2.2020000000000004"/>
        <n v="9.3960000000000008"/>
        <n v="23.24"/>
        <n v="908.82"/>
        <n v="5.5520000000000005"/>
        <n v="8.016"/>
        <n v="74.591999999999999"/>
        <n v="38.86399999999999"/>
        <n v="17.46"/>
        <n v="369.16"/>
        <n v="14.73"/>
        <n v="274.49100000000004"/>
        <n v="137.94"/>
        <n v="123.92000000000002"/>
        <n v="1319.8"/>
        <n v="30.88"/>
        <n v="66.36"/>
        <n v="92.88000000000001"/>
        <n v="24.14"/>
        <n v="4416.174"/>
        <n v="49.56"/>
        <n v="14.700000000000001"/>
        <n v="31.680000000000003"/>
        <n v="13.428000000000003"/>
        <n v="67.13600000000001"/>
        <n v="599.98500000000013"/>
        <n v="3.0359999999999996"/>
        <n v="66.112000000000009"/>
        <n v="46.36"/>
        <n v="649"/>
        <n v="14.129999999999999"/>
        <n v="19.608000000000001"/>
        <n v="4.1580000000000004"/>
        <n v="979.95"/>
        <n v="100.80000000000001"/>
        <n v="9.4499999999999993"/>
        <n v="400.79999999999995"/>
        <n v="28.792000000000002"/>
        <n v="61.541999999999994"/>
        <n v="81.438000000000017"/>
        <n v="15.51"/>
        <n v="721.87500000000011"/>
        <n v="73.567999999999998"/>
        <n v="13.584000000000001"/>
        <n v="21.9"/>
        <n v="111.79"/>
        <n v="445.44"/>
        <n v="29.900000000000002"/>
        <n v="15.570000000000004"/>
        <n v="153.78"/>
        <n v="61.019999999999996"/>
        <n v="110.11"/>
        <n v="7.89"/>
        <n v="36.024000000000001"/>
        <n v="54.336000000000006"/>
        <n v="390.36799999999999"/>
        <n v="101.52000000000001"/>
        <n v="15.700000000000001"/>
        <n v="34.4"/>
        <n v="70.12"/>
        <n v="156.79200000000003"/>
        <n v="35.360000000000007"/>
        <n v="13.591999999999999"/>
        <n v="195.10400000000001"/>
        <n v="36.671999999999997"/>
        <n v="236.52800000000002"/>
        <n v="65.584000000000003"/>
        <n v="22.200000000000003"/>
        <n v="88.920000000000016"/>
        <n v="318.43"/>
        <n v="5.7999999999999989"/>
        <n v="1415.76"/>
        <n v="34.92"/>
        <n v="2.48"/>
        <n v="25.9"/>
        <n v="119.94"/>
        <n v="512.19000000000005"/>
        <n v="1.5559999999999996"/>
        <n v="4.4479999999999995"/>
        <n v="4.96"/>
        <n v="71.92"/>
        <n v="140.97"/>
        <n v="6.08"/>
        <n v="164.79200000000003"/>
        <n v="12.175999999999998"/>
        <n v="9.2480000000000011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71.88"/>
        <n v="196.78399999999999"/>
        <n v="231.92000000000002"/>
        <n v="114.28800000000001"/>
        <n v="36.624000000000002"/>
        <n v="49.616000000000007"/>
        <n v="508.70400000000006"/>
        <n v="57.36"/>
        <n v="906.68000000000006"/>
        <n v="158.28"/>
        <n v="497.93999999999994"/>
        <n v="63.824000000000005"/>
        <n v="17.309999999999999"/>
        <n v="146.86000000000001"/>
        <n v="36.56"/>
        <n v="264.32"/>
        <n v="189.57600000000002"/>
        <n v="1207.8399999999999"/>
        <n v="12.53"/>
        <n v="34.58"/>
        <n v="300.98"/>
        <n v="258.75"/>
        <n v="57.959999999999994"/>
        <n v="441.96"/>
        <n v="68.039999999999992"/>
        <n v="119.44800000000001"/>
        <n v="118.16"/>
        <n v="53.9"/>
        <n v="99.2"/>
        <n v="152.94"/>
        <n v="179.94"/>
        <n v="5.2319999999999984"/>
        <n v="1199.98"/>
        <n v="73.849999999999994"/>
        <n v="25.71"/>
        <n v="17.28"/>
        <n v="526.58199999999999"/>
        <n v="40.775999999999996"/>
        <n v="159.96"/>
        <n v="40.74"/>
        <n v="291.13600000000002"/>
        <n v="114.84800000000001"/>
        <n v="10.688000000000001"/>
        <n v="12.419999999999998"/>
        <n v="12.672000000000001"/>
        <n v="89.949999999999989"/>
        <n v="268.24"/>
        <n v="431.16000000000008"/>
        <n v="43.6"/>
        <n v="154.94999999999999"/>
        <n v="2.2239999999999998"/>
        <n v="1779.9"/>
        <n v="219.89999999999998"/>
        <n v="4.8420000000000005"/>
        <n v="47.01"/>
        <n v="469.99"/>
        <n v="324.74400000000003"/>
        <n v="1497.6659999999999"/>
        <n v="11.84"/>
        <n v="592.74"/>
        <n v="508.76800000000003"/>
        <n v="124.404"/>
        <n v="320.64"/>
        <n v="52"/>
        <n v="18.528000000000002"/>
        <n v="11.176000000000002"/>
        <n v="76.75200000000001"/>
        <n v="102.33600000000001"/>
        <n v="10.32"/>
        <n v="47.32"/>
        <n v="23.376000000000001"/>
        <n v="16.72"/>
        <n v="13.919999999999998"/>
        <n v="82.4"/>
        <n v="447.84"/>
        <n v="272.048"/>
        <n v="1614.5820000000003"/>
        <n v="1.5840000000000001"/>
        <n v="423.64799999999997"/>
        <n v="25.695999999999998"/>
        <n v="3404.5"/>
        <n v="30.384"/>
        <n v="38.619999999999997"/>
        <n v="174.3"/>
        <n v="383.96000000000004"/>
        <n v="2.9699999999999998"/>
        <n v="569.99"/>
        <n v="50.97"/>
        <n v="298.11599999999999"/>
        <n v="2518.29"/>
        <n v="540.56999999999994"/>
        <n v="221.05600000000001"/>
        <n v="39.581999999999987"/>
        <n v="44.688000000000002"/>
        <n v="40.97999999999999"/>
        <n v="3.1679999999999993"/>
        <n v="435.16800000000006"/>
        <n v="14.9"/>
        <n v="15.8"/>
        <n v="72.900000000000006"/>
        <n v="206.35200000000003"/>
        <n v="81.360000000000014"/>
        <n v="20.232000000000003"/>
        <n v="389.05600000000004"/>
        <n v="41.472000000000008"/>
        <n v="7.8719999999999999"/>
        <n v="199.75"/>
        <n v="1673.1839999999997"/>
        <n v="663.92"/>
        <n v="120"/>
        <n v="3.29"/>
        <n v="52.792000000000002"/>
        <n v="83.9"/>
        <n v="41.910000000000004"/>
        <n v="435.99900000000002"/>
        <n v="388.70400000000006"/>
        <n v="572.58000000000004"/>
        <n v="33.18"/>
        <n v="63.88"/>
        <n v="295.05599999999998"/>
        <n v="16.272000000000002"/>
        <n v="2.6550000000000002"/>
        <n v="454.56000000000006"/>
        <n v="141.41999999999999"/>
        <n v="310.74399999999997"/>
        <n v="12.736000000000001"/>
        <n v="6.469999999999998"/>
        <n v="13.747999999999998"/>
        <n v="15.223999999999997"/>
        <n v="28.08"/>
        <n v="109.9"/>
        <n v="26.2"/>
        <n v="234.95000000000002"/>
        <n v="118.25"/>
        <n v="4.28"/>
        <n v="89.066399999999987"/>
        <n v="175.44"/>
        <n v="438.33600000000001"/>
        <n v="215.54400000000001"/>
        <n v="55.584000000000003"/>
        <n v="127.38599999999998"/>
        <n v="20.64"/>
        <n v="148.02000000000001"/>
        <n v="526.34399999999994"/>
        <n v="32.479999999999997"/>
        <n v="13999.96"/>
        <n v="16.032"/>
        <n v="2036.8600000000001"/>
        <n v="449.56800000000004"/>
        <n v="108.96000000000001"/>
        <n v="474.95"/>
        <n v="22.608000000000001"/>
        <n v="1.8920000000000003"/>
        <n v="187.76"/>
        <n v="10.429999999999996"/>
        <n v="189.7"/>
        <n v="3.3280000000000003"/>
        <n v="933.26200000000006"/>
        <n v="2803.92"/>
        <n v="4.7679999999999998"/>
        <n v="43.936000000000007"/>
        <n v="299.99"/>
        <n v="242.624"/>
        <n v="46.74"/>
        <n v="174.95000000000002"/>
        <n v="100.70400000000001"/>
        <n v="69.375"/>
        <n v="2003.1680000000001"/>
        <n v="9.3439999999999994"/>
        <n v="1085.42"/>
        <n v="675.06000000000006"/>
        <n v="65.231999999999999"/>
        <n v="18.368000000000002"/>
        <n v="299.89999999999998"/>
        <n v="1649.95"/>
        <n v="486.36800000000005"/>
        <n v="62.72"/>
        <n v="2939.9300000000003"/>
        <n v="1.752"/>
        <n v="20.992000000000001"/>
        <n v="11.21"/>
        <n v="61.68"/>
        <n v="158.376"/>
        <n v="2.8639999999999994"/>
        <n v="94.191999999999979"/>
        <n v="7.88"/>
        <n v="299.52"/>
        <n v="436.70400000000006"/>
        <n v="32.448"/>
        <n v="26.388000000000002"/>
        <n v="373.46999999999991"/>
        <n v="64.2"/>
        <n v="8"/>
        <n v="5.4319999999999986"/>
        <n v="913.43000000000006"/>
        <n v="372.14400000000001"/>
        <n v="751.98400000000004"/>
        <n v="604.76800000000003"/>
        <n v="64.384"/>
        <n v="155.37199999999999"/>
        <n v="141.9"/>
        <n v="933.40800000000002"/>
        <n v="147.91999999999999"/>
        <n v="104.28"/>
        <n v="286.85000000000002"/>
        <n v="66.959999999999994"/>
        <n v="45"/>
        <n v="17.899999999999999"/>
        <n v="2154.9"/>
        <n v="62.352000000000004"/>
        <n v="274.20000000000005"/>
        <n v="84.415999999999997"/>
        <n v="240.744"/>
        <n v="210.68"/>
        <n v="637.89599999999996"/>
        <n v="43.44"/>
        <n v="2.2200000000000002"/>
        <n v="106.869"/>
        <n v="387.13600000000002"/>
        <n v="45.408000000000001"/>
        <n v="3"/>
        <n v="37.896000000000001"/>
        <n v="199.8"/>
        <n v="45.68"/>
        <n v="110.96"/>
        <n v="11.94"/>
        <n v="5.9399999999999995"/>
        <n v="30.336000000000006"/>
        <n v="12.99"/>
        <n v="182.22"/>
        <n v="55.86"/>
        <n v="44.375999999999998"/>
        <n v="51.264000000000003"/>
        <n v="5.1930000000000005"/>
        <n v="159.98400000000001"/>
        <n v="54.224000000000004"/>
        <n v="241.42399999999998"/>
        <n v="30.84"/>
        <n v="239.92"/>
        <n v="220.70400000000001"/>
        <n v="14.336000000000002"/>
        <n v="102.3"/>
        <n v="607.52"/>
        <n v="31.16"/>
        <n v="11.088000000000003"/>
        <n v="1287.45"/>
        <n v="18.687999999999999"/>
        <n v="11.664000000000001"/>
        <n v="499.16800000000006"/>
        <n v="23.18"/>
        <n v="82.95"/>
        <n v="65.12"/>
        <n v="30.560000000000002"/>
        <n v="20.768000000000001"/>
        <n v="130.97999999999999"/>
        <n v="139.58000000000001"/>
        <n v="760.97999999999979"/>
        <n v="67.860000000000014"/>
        <n v="94.2"/>
        <n v="600.55799999999999"/>
        <n v="28.031999999999996"/>
        <n v="7.6920000000000002"/>
        <n v="517.40500000000009"/>
        <n v="5.16"/>
        <n v="96.359999999999985"/>
        <n v="31.168000000000003"/>
        <n v="120.96"/>
        <n v="2239.9360000000001"/>
        <n v="76.608000000000004"/>
        <n v="142.77600000000001"/>
        <n v="91.360000000000014"/>
        <n v="71.951999999999998"/>
        <n v="29.800000000000004"/>
        <n v="1.8240000000000003"/>
        <n v="8.1000000000000014"/>
        <n v="83.987999999999985"/>
        <n v="210.58"/>
        <n v="30.960000000000004"/>
        <n v="239.98400000000004"/>
        <n v="17.712"/>
        <n v="4.8600000000000012"/>
        <n v="6.2580000000000009"/>
        <n v="942.78400000000011"/>
        <n v="287.976"/>
        <n v="271.96800000000002"/>
        <n v="698.35200000000009"/>
        <n v="77.728000000000009"/>
        <n v="537.54399999999998"/>
        <n v="102.72"/>
        <n v="33.282000000000004"/>
        <n v="118.64999999999998"/>
        <n v="37.520000000000003"/>
        <n v="4.0860000000000003"/>
        <n v="55.984000000000009"/>
        <n v="89.9"/>
        <n v="14.28"/>
        <n v="12.72"/>
        <n v="15.75"/>
        <n v="7.2359999999999998"/>
        <n v="4.8239999999999998"/>
        <n v="130.11199999999999"/>
        <n v="21.312000000000005"/>
        <n v="5083.96"/>
        <n v="35.96"/>
        <n v="70.679999999999993"/>
        <n v="541.24"/>
        <n v="21.989999999999995"/>
        <n v="480"/>
        <n v="34.049999999999997"/>
        <n v="629.64"/>
        <n v="21.93"/>
        <n v="143.928"/>
        <n v="3.5640000000000009"/>
        <n v="4.9280000000000008"/>
        <n v="4.572000000000001"/>
        <n v="99.949999999999989"/>
        <n v="29.339999999999996"/>
        <n v="1119.8880000000001"/>
        <n v="239.358"/>
        <n v="12.3"/>
        <n v="934.9559999999999"/>
        <n v="46.864000000000004"/>
        <n v="26.160000000000004"/>
        <n v="23.128"/>
        <n v="59.24"/>
        <n v="21"/>
        <n v="299.95999999999998"/>
        <n v="67.839999999999989"/>
        <n v="853.92999999999984"/>
        <n v="19.728000000000002"/>
        <n v="151.18799999999999"/>
        <n v="344.98099999999994"/>
        <n v="127.785"/>
        <n v="6.1039999999999983"/>
        <n v="104.75"/>
        <n v="1875.258"/>
        <n v="35.183999999999997"/>
        <n v="274.06400000000002"/>
        <n v="458.42999999999995"/>
        <n v="92.52"/>
        <n v="37.76"/>
        <n v="5.82"/>
        <n v="3.8159999999999998"/>
        <n v="26.16"/>
        <n v="19.399999999999999"/>
        <n v="314.60000000000002"/>
        <n v="283.56"/>
        <n v="487.96"/>
        <n v="55.176000000000002"/>
        <n v="5.9840000000000009"/>
        <n v="189.95000000000002"/>
        <n v="29.950000000000003"/>
        <n v="23.08"/>
        <n v="11.352000000000002"/>
        <n v="143.952"/>
        <n v="348.56"/>
        <n v="791.87999999999988"/>
        <n v="429.59999999999997"/>
        <n v="887.27099999999984"/>
        <n v="21.696000000000002"/>
        <n v="7.78"/>
        <n v="50.135999999999996"/>
        <n v="88.074000000000012"/>
        <n v="125.13"/>
        <n v="159.97999999999999"/>
        <n v="8.2880000000000003"/>
        <n v="1123.1280000000002"/>
        <n v="64.900000000000006"/>
        <n v="707.88"/>
        <n v="31.128000000000004"/>
        <n v="55.76"/>
        <n v="207.18400000000003"/>
        <n v="1473.1"/>
        <n v="39.816000000000003"/>
        <n v="16.059999999999999"/>
        <n v="7.28"/>
        <n v="5.4"/>
        <n v="20.664000000000001"/>
        <n v="13.761999999999997"/>
        <n v="11.07"/>
        <n v="1504.52"/>
        <n v="7.5359999999999987"/>
        <n v="1.4079999999999997"/>
        <n v="4.1439999999999992"/>
        <n v="52.751999999999995"/>
        <n v="381.35999999999996"/>
        <n v="15.192"/>
        <n v="58.320000000000007"/>
        <n v="147.56800000000001"/>
        <n v="56.783999999999999"/>
        <n v="6.5760000000000005"/>
        <n v="9.84"/>
        <n v="107.64800000000001"/>
        <n v="25.5"/>
        <n v="64.848000000000013"/>
        <n v="32.088000000000001"/>
        <n v="4305.5520000000006"/>
        <n v="15.936000000000002"/>
        <n v="8.0010000000000012"/>
        <n v="398.97199999999998"/>
        <n v="67.900000000000006"/>
        <n v="11.696"/>
        <n v="6.8879999999999981"/>
        <n v="457.4849999999999"/>
        <n v="1079.316"/>
        <n v="0.55599999999999983"/>
        <n v="43.8"/>
        <n v="63.488"/>
        <n v="47.904000000000003"/>
        <n v="163.76400000000001"/>
        <n v="183.92"/>
        <n v="211.04"/>
        <n v="594.81600000000003"/>
        <n v="72.960000000000008"/>
        <n v="80.959999999999994"/>
        <n v="455.71199999999999"/>
        <n v="195.68"/>
        <n v="14.2"/>
        <n v="455.97"/>
        <n v="57.593999999999994"/>
        <n v="30.144000000000002"/>
        <n v="11.423999999999999"/>
        <n v="30.576000000000001"/>
        <n v="13.020000000000001"/>
        <n v="22.14"/>
        <n v="359.32"/>
        <n v="272.96999999999997"/>
        <n v="419.94399999999996"/>
        <n v="31.799999999999997"/>
        <n v="32.56"/>
        <n v="120.57600000000001"/>
        <n v="12.28"/>
        <n v="2.04"/>
        <n v="1071"/>
        <n v="12.07"/>
        <n v="3.2730000000000006"/>
        <n v="21.983999999999995"/>
        <n v="285.57599999999996"/>
        <n v="16.256"/>
        <n v="219.18400000000003"/>
        <n v="477.29999999999995"/>
        <n v="136.26"/>
        <n v="27.192"/>
        <n v="12.059999999999999"/>
        <n v="164.68800000000002"/>
        <n v="166.5"/>
        <n v="128.12400000000002"/>
        <n v="101.4"/>
        <n v="673.34399999999994"/>
        <n v="6.5400000000000009"/>
        <n v="2022.2720000000002"/>
        <n v="9.120000000000001"/>
        <n v="38.160000000000004"/>
        <n v="4.41"/>
        <n v="204.66639999999998"/>
        <n v="81.08"/>
        <n v="199.89999999999998"/>
        <n v="31.176000000000002"/>
        <n v="172.75200000000001"/>
        <n v="9.2959999999999994"/>
        <n v="12.768000000000001"/>
        <n v="52.76"/>
        <n v="55.616"/>
        <n v="16.899999999999999"/>
        <n v="1079.8499999999999"/>
        <n v="589.41"/>
        <n v="400.78400000000005"/>
        <n v="53.72"/>
        <n v="195.136"/>
        <n v="121.536"/>
        <n v="25.86"/>
        <n v="276.78400000000005"/>
        <n v="110.352"/>
        <n v="70.720000000000013"/>
        <n v="194.35200000000003"/>
        <n v="21.6"/>
        <n v="899.98199999999997"/>
        <n v="139.96000000000004"/>
        <n v="21.391999999999992"/>
        <n v="307.31400000000002"/>
        <n v="409.99919999999997"/>
        <n v="90.64"/>
        <n v="89.544000000000011"/>
        <n v="4.9380000000000006"/>
        <n v="193.95000000000002"/>
        <n v="201.04"/>
        <n v="16.59"/>
        <n v="35.099999999999994"/>
        <n v="11.645999999999997"/>
        <n v="503.96"/>
        <n v="7.04"/>
        <n v="31.08"/>
        <n v="7.3"/>
        <n v="22.830000000000002"/>
        <n v="849.95"/>
        <n v="11.01"/>
        <n v="39.624000000000009"/>
        <n v="286.85999999999996"/>
        <n v="34.24"/>
        <n v="310.12"/>
        <n v="70.463999999999999"/>
        <n v="140.67000000000002"/>
        <n v="62.65"/>
        <n v="268.57600000000002"/>
        <n v="364.08000000000004"/>
        <n v="71.088000000000008"/>
        <n v="332.94"/>
        <n v="292.10000000000002"/>
        <n v="206.1"/>
        <n v="17.64"/>
        <n v="4.3"/>
        <n v="50.04"/>
        <n v="1023.3319999999999"/>
        <n v="211.24599999999998"/>
        <n v="97.3"/>
        <n v="194.84800000000001"/>
        <n v="2.1119999999999997"/>
        <n v="11.568000000000001"/>
        <n v="895.94400000000019"/>
        <n v="43.099999999999994"/>
        <n v="511.5"/>
        <n v="50.32"/>
        <n v="2.52"/>
        <n v="12.12"/>
        <n v="11.34"/>
        <n v="290.33600000000001"/>
        <n v="19.152000000000001"/>
        <n v="848.5440000000001"/>
        <n v="8.7000000000000011"/>
        <n v="122.38199999999999"/>
        <n v="237.09600000000003"/>
        <n v="22.752000000000002"/>
        <n v="14.91"/>
        <n v="191.96800000000002"/>
        <n v="223.58"/>
        <n v="1925.88"/>
        <n v="2405.1999999999998"/>
        <n v="83.97"/>
        <n v="39.89"/>
        <n v="17.38"/>
        <n v="18"/>
        <n v="40.199999999999996"/>
        <n v="22.75"/>
        <n v="258.57600000000002"/>
        <n v="243.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</r>
  <r>
    <x v="1"/>
    <x v="1"/>
    <x v="1"/>
  </r>
  <r>
    <x v="1"/>
    <x v="2"/>
    <x v="2"/>
  </r>
  <r>
    <x v="1"/>
    <x v="2"/>
    <x v="3"/>
  </r>
  <r>
    <x v="1"/>
    <x v="2"/>
    <x v="4"/>
  </r>
  <r>
    <x v="2"/>
    <x v="0"/>
    <x v="5"/>
  </r>
  <r>
    <x v="3"/>
    <x v="2"/>
    <x v="6"/>
  </r>
  <r>
    <x v="3"/>
    <x v="1"/>
    <x v="7"/>
  </r>
  <r>
    <x v="3"/>
    <x v="2"/>
    <x v="8"/>
  </r>
  <r>
    <x v="3"/>
    <x v="2"/>
    <x v="9"/>
  </r>
  <r>
    <x v="3"/>
    <x v="0"/>
    <x v="10"/>
  </r>
  <r>
    <x v="3"/>
    <x v="2"/>
    <x v="11"/>
  </r>
  <r>
    <x v="4"/>
    <x v="2"/>
    <x v="12"/>
  </r>
  <r>
    <x v="4"/>
    <x v="1"/>
    <x v="13"/>
  </r>
  <r>
    <x v="4"/>
    <x v="2"/>
    <x v="14"/>
  </r>
  <r>
    <x v="4"/>
    <x v="2"/>
    <x v="15"/>
  </r>
  <r>
    <x v="4"/>
    <x v="2"/>
    <x v="16"/>
  </r>
  <r>
    <x v="4"/>
    <x v="0"/>
    <x v="17"/>
  </r>
  <r>
    <x v="5"/>
    <x v="0"/>
    <x v="18"/>
  </r>
  <r>
    <x v="6"/>
    <x v="1"/>
    <x v="19"/>
  </r>
  <r>
    <x v="3"/>
    <x v="2"/>
    <x v="20"/>
  </r>
  <r>
    <x v="3"/>
    <x v="2"/>
    <x v="21"/>
  </r>
  <r>
    <x v="7"/>
    <x v="2"/>
    <x v="22"/>
  </r>
  <r>
    <x v="7"/>
    <x v="1"/>
    <x v="23"/>
  </r>
  <r>
    <x v="8"/>
    <x v="1"/>
    <x v="24"/>
  </r>
  <r>
    <x v="8"/>
    <x v="2"/>
    <x v="25"/>
  </r>
  <r>
    <x v="8"/>
    <x v="2"/>
    <x v="26"/>
  </r>
  <r>
    <x v="9"/>
    <x v="1"/>
    <x v="27"/>
  </r>
  <r>
    <x v="9"/>
    <x v="0"/>
    <x v="28"/>
  </r>
  <r>
    <x v="0"/>
    <x v="1"/>
    <x v="29"/>
  </r>
  <r>
    <x v="10"/>
    <x v="2"/>
    <x v="30"/>
  </r>
  <r>
    <x v="10"/>
    <x v="0"/>
    <x v="31"/>
  </r>
  <r>
    <x v="11"/>
    <x v="2"/>
    <x v="32"/>
  </r>
  <r>
    <x v="6"/>
    <x v="2"/>
    <x v="33"/>
  </r>
  <r>
    <x v="12"/>
    <x v="2"/>
    <x v="34"/>
  </r>
  <r>
    <x v="12"/>
    <x v="1"/>
    <x v="35"/>
  </r>
  <r>
    <x v="12"/>
    <x v="1"/>
    <x v="36"/>
  </r>
  <r>
    <x v="13"/>
    <x v="0"/>
    <x v="37"/>
  </r>
  <r>
    <x v="14"/>
    <x v="2"/>
    <x v="38"/>
  </r>
  <r>
    <x v="0"/>
    <x v="2"/>
    <x v="39"/>
  </r>
  <r>
    <x v="0"/>
    <x v="1"/>
    <x v="40"/>
  </r>
  <r>
    <x v="3"/>
    <x v="2"/>
    <x v="41"/>
  </r>
  <r>
    <x v="3"/>
    <x v="1"/>
    <x v="42"/>
  </r>
  <r>
    <x v="3"/>
    <x v="2"/>
    <x v="43"/>
  </r>
  <r>
    <x v="3"/>
    <x v="1"/>
    <x v="44"/>
  </r>
  <r>
    <x v="3"/>
    <x v="1"/>
    <x v="45"/>
  </r>
  <r>
    <x v="15"/>
    <x v="2"/>
    <x v="46"/>
  </r>
  <r>
    <x v="15"/>
    <x v="2"/>
    <x v="47"/>
  </r>
  <r>
    <x v="16"/>
    <x v="2"/>
    <x v="48"/>
  </r>
  <r>
    <x v="16"/>
    <x v="2"/>
    <x v="49"/>
  </r>
  <r>
    <x v="4"/>
    <x v="2"/>
    <x v="50"/>
  </r>
  <r>
    <x v="17"/>
    <x v="2"/>
    <x v="51"/>
  </r>
  <r>
    <x v="15"/>
    <x v="2"/>
    <x v="52"/>
  </r>
  <r>
    <x v="5"/>
    <x v="0"/>
    <x v="53"/>
  </r>
  <r>
    <x v="4"/>
    <x v="2"/>
    <x v="54"/>
  </r>
  <r>
    <x v="4"/>
    <x v="2"/>
    <x v="55"/>
  </r>
  <r>
    <x v="4"/>
    <x v="0"/>
    <x v="56"/>
  </r>
  <r>
    <x v="7"/>
    <x v="1"/>
    <x v="57"/>
  </r>
  <r>
    <x v="7"/>
    <x v="2"/>
    <x v="58"/>
  </r>
  <r>
    <x v="9"/>
    <x v="2"/>
    <x v="59"/>
  </r>
  <r>
    <x v="7"/>
    <x v="2"/>
    <x v="60"/>
  </r>
  <r>
    <x v="7"/>
    <x v="2"/>
    <x v="61"/>
  </r>
  <r>
    <x v="7"/>
    <x v="1"/>
    <x v="62"/>
  </r>
  <r>
    <x v="7"/>
    <x v="2"/>
    <x v="63"/>
  </r>
  <r>
    <x v="7"/>
    <x v="2"/>
    <x v="64"/>
  </r>
  <r>
    <x v="18"/>
    <x v="2"/>
    <x v="65"/>
  </r>
  <r>
    <x v="17"/>
    <x v="2"/>
    <x v="66"/>
  </r>
  <r>
    <x v="17"/>
    <x v="2"/>
    <x v="67"/>
  </r>
  <r>
    <x v="17"/>
    <x v="2"/>
    <x v="68"/>
  </r>
  <r>
    <x v="15"/>
    <x v="2"/>
    <x v="69"/>
  </r>
  <r>
    <x v="19"/>
    <x v="2"/>
    <x v="70"/>
  </r>
  <r>
    <x v="20"/>
    <x v="0"/>
    <x v="71"/>
  </r>
  <r>
    <x v="20"/>
    <x v="0"/>
    <x v="72"/>
  </r>
  <r>
    <x v="0"/>
    <x v="2"/>
    <x v="73"/>
  </r>
  <r>
    <x v="4"/>
    <x v="0"/>
    <x v="74"/>
  </r>
  <r>
    <x v="16"/>
    <x v="2"/>
    <x v="75"/>
  </r>
  <r>
    <x v="10"/>
    <x v="2"/>
    <x v="76"/>
  </r>
  <r>
    <x v="2"/>
    <x v="2"/>
    <x v="77"/>
  </r>
  <r>
    <x v="2"/>
    <x v="2"/>
    <x v="78"/>
  </r>
  <r>
    <x v="2"/>
    <x v="2"/>
    <x v="79"/>
  </r>
  <r>
    <x v="2"/>
    <x v="1"/>
    <x v="80"/>
  </r>
  <r>
    <x v="15"/>
    <x v="2"/>
    <x v="81"/>
  </r>
  <r>
    <x v="15"/>
    <x v="1"/>
    <x v="82"/>
  </r>
  <r>
    <x v="15"/>
    <x v="1"/>
    <x v="83"/>
  </r>
  <r>
    <x v="15"/>
    <x v="2"/>
    <x v="84"/>
  </r>
  <r>
    <x v="20"/>
    <x v="2"/>
    <x v="85"/>
  </r>
  <r>
    <x v="20"/>
    <x v="0"/>
    <x v="86"/>
  </r>
  <r>
    <x v="20"/>
    <x v="2"/>
    <x v="87"/>
  </r>
  <r>
    <x v="21"/>
    <x v="2"/>
    <x v="88"/>
  </r>
  <r>
    <x v="21"/>
    <x v="2"/>
    <x v="89"/>
  </r>
  <r>
    <x v="21"/>
    <x v="2"/>
    <x v="90"/>
  </r>
  <r>
    <x v="21"/>
    <x v="0"/>
    <x v="91"/>
  </r>
  <r>
    <x v="5"/>
    <x v="2"/>
    <x v="92"/>
  </r>
  <r>
    <x v="9"/>
    <x v="1"/>
    <x v="93"/>
  </r>
  <r>
    <x v="7"/>
    <x v="2"/>
    <x v="94"/>
  </r>
  <r>
    <x v="17"/>
    <x v="2"/>
    <x v="95"/>
  </r>
  <r>
    <x v="22"/>
    <x v="2"/>
    <x v="96"/>
  </r>
  <r>
    <x v="12"/>
    <x v="1"/>
    <x v="97"/>
  </r>
  <r>
    <x v="6"/>
    <x v="2"/>
    <x v="98"/>
  </r>
  <r>
    <x v="6"/>
    <x v="2"/>
    <x v="99"/>
  </r>
  <r>
    <x v="6"/>
    <x v="2"/>
    <x v="100"/>
  </r>
  <r>
    <x v="6"/>
    <x v="2"/>
    <x v="101"/>
  </r>
  <r>
    <x v="0"/>
    <x v="2"/>
    <x v="102"/>
  </r>
  <r>
    <x v="16"/>
    <x v="2"/>
    <x v="103"/>
  </r>
  <r>
    <x v="1"/>
    <x v="2"/>
    <x v="104"/>
  </r>
  <r>
    <x v="1"/>
    <x v="2"/>
    <x v="105"/>
  </r>
  <r>
    <x v="5"/>
    <x v="2"/>
    <x v="106"/>
  </r>
  <r>
    <x v="5"/>
    <x v="0"/>
    <x v="107"/>
  </r>
  <r>
    <x v="5"/>
    <x v="0"/>
    <x v="108"/>
  </r>
  <r>
    <x v="5"/>
    <x v="2"/>
    <x v="109"/>
  </r>
  <r>
    <x v="5"/>
    <x v="2"/>
    <x v="110"/>
  </r>
  <r>
    <x v="5"/>
    <x v="2"/>
    <x v="111"/>
  </r>
  <r>
    <x v="5"/>
    <x v="2"/>
    <x v="112"/>
  </r>
  <r>
    <x v="4"/>
    <x v="0"/>
    <x v="113"/>
  </r>
  <r>
    <x v="4"/>
    <x v="2"/>
    <x v="114"/>
  </r>
  <r>
    <x v="4"/>
    <x v="1"/>
    <x v="115"/>
  </r>
  <r>
    <x v="4"/>
    <x v="2"/>
    <x v="116"/>
  </r>
  <r>
    <x v="16"/>
    <x v="0"/>
    <x v="117"/>
  </r>
  <r>
    <x v="16"/>
    <x v="1"/>
    <x v="118"/>
  </r>
  <r>
    <x v="8"/>
    <x v="2"/>
    <x v="119"/>
  </r>
  <r>
    <x v="8"/>
    <x v="2"/>
    <x v="120"/>
  </r>
  <r>
    <x v="8"/>
    <x v="0"/>
    <x v="121"/>
  </r>
  <r>
    <x v="8"/>
    <x v="2"/>
    <x v="122"/>
  </r>
  <r>
    <x v="4"/>
    <x v="1"/>
    <x v="123"/>
  </r>
  <r>
    <x v="17"/>
    <x v="2"/>
    <x v="124"/>
  </r>
  <r>
    <x v="10"/>
    <x v="2"/>
    <x v="125"/>
  </r>
  <r>
    <x v="11"/>
    <x v="1"/>
    <x v="126"/>
  </r>
  <r>
    <x v="11"/>
    <x v="0"/>
    <x v="127"/>
  </r>
  <r>
    <x v="11"/>
    <x v="0"/>
    <x v="128"/>
  </r>
  <r>
    <x v="11"/>
    <x v="2"/>
    <x v="129"/>
  </r>
  <r>
    <x v="11"/>
    <x v="2"/>
    <x v="130"/>
  </r>
  <r>
    <x v="11"/>
    <x v="2"/>
    <x v="131"/>
  </r>
  <r>
    <x v="11"/>
    <x v="2"/>
    <x v="132"/>
  </r>
  <r>
    <x v="11"/>
    <x v="2"/>
    <x v="133"/>
  </r>
  <r>
    <x v="19"/>
    <x v="2"/>
    <x v="134"/>
  </r>
  <r>
    <x v="19"/>
    <x v="2"/>
    <x v="135"/>
  </r>
  <r>
    <x v="14"/>
    <x v="2"/>
    <x v="136"/>
  </r>
  <r>
    <x v="14"/>
    <x v="2"/>
    <x v="137"/>
  </r>
  <r>
    <x v="14"/>
    <x v="1"/>
    <x v="138"/>
  </r>
  <r>
    <x v="2"/>
    <x v="1"/>
    <x v="139"/>
  </r>
  <r>
    <x v="2"/>
    <x v="2"/>
    <x v="140"/>
  </r>
  <r>
    <x v="8"/>
    <x v="1"/>
    <x v="141"/>
  </r>
  <r>
    <x v="3"/>
    <x v="2"/>
    <x v="142"/>
  </r>
  <r>
    <x v="7"/>
    <x v="2"/>
    <x v="143"/>
  </r>
  <r>
    <x v="7"/>
    <x v="2"/>
    <x v="144"/>
  </r>
  <r>
    <x v="7"/>
    <x v="1"/>
    <x v="145"/>
  </r>
  <r>
    <x v="7"/>
    <x v="2"/>
    <x v="146"/>
  </r>
  <r>
    <x v="7"/>
    <x v="1"/>
    <x v="147"/>
  </r>
  <r>
    <x v="7"/>
    <x v="2"/>
    <x v="148"/>
  </r>
  <r>
    <x v="7"/>
    <x v="1"/>
    <x v="149"/>
  </r>
  <r>
    <x v="7"/>
    <x v="0"/>
    <x v="150"/>
  </r>
  <r>
    <x v="17"/>
    <x v="2"/>
    <x v="151"/>
  </r>
  <r>
    <x v="17"/>
    <x v="2"/>
    <x v="152"/>
  </r>
  <r>
    <x v="17"/>
    <x v="2"/>
    <x v="153"/>
  </r>
  <r>
    <x v="17"/>
    <x v="0"/>
    <x v="1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x v="0"/>
    <s v="Office Supplies"/>
    <x v="0"/>
  </r>
  <r>
    <x v="1"/>
    <s v="Furniture"/>
    <x v="1"/>
  </r>
  <r>
    <x v="2"/>
    <s v="Office Supplies"/>
    <x v="2"/>
  </r>
  <r>
    <x v="3"/>
    <s v="Technology"/>
    <x v="3"/>
  </r>
  <r>
    <x v="4"/>
    <s v="Office Supplies"/>
    <x v="4"/>
  </r>
  <r>
    <x v="5"/>
    <s v="Office Supplies"/>
    <x v="5"/>
  </r>
  <r>
    <x v="6"/>
    <s v="Office Supplies"/>
    <x v="6"/>
  </r>
  <r>
    <x v="6"/>
    <s v="Furniture"/>
    <x v="7"/>
  </r>
  <r>
    <x v="6"/>
    <s v="Office Supplies"/>
    <x v="8"/>
  </r>
  <r>
    <x v="7"/>
    <s v="Office Supplies"/>
    <x v="9"/>
  </r>
  <r>
    <x v="8"/>
    <s v="Furniture"/>
    <x v="10"/>
  </r>
  <r>
    <x v="9"/>
    <s v="Technology"/>
    <x v="11"/>
  </r>
  <r>
    <x v="9"/>
    <s v="Office Supplies"/>
    <x v="12"/>
  </r>
  <r>
    <x v="10"/>
    <s v="Office Supplies"/>
    <x v="13"/>
  </r>
  <r>
    <x v="11"/>
    <s v="Furniture"/>
    <x v="14"/>
  </r>
  <r>
    <x v="12"/>
    <s v="Office Supplies"/>
    <x v="15"/>
  </r>
  <r>
    <x v="13"/>
    <s v="Technology"/>
    <x v="16"/>
  </r>
  <r>
    <x v="13"/>
    <s v="Technology"/>
    <x v="17"/>
  </r>
  <r>
    <x v="13"/>
    <s v="Office Supplies"/>
    <x v="18"/>
  </r>
  <r>
    <x v="14"/>
    <s v="Furniture"/>
    <x v="19"/>
  </r>
  <r>
    <x v="15"/>
    <s v="Office Supplies"/>
    <x v="20"/>
  </r>
  <r>
    <x v="15"/>
    <s v="Office Supplies"/>
    <x v="21"/>
  </r>
  <r>
    <x v="16"/>
    <s v="Technology"/>
    <x v="22"/>
  </r>
  <r>
    <x v="16"/>
    <s v="Office Supplies"/>
    <x v="23"/>
  </r>
  <r>
    <x v="16"/>
    <s v="Office Supplies"/>
    <x v="24"/>
  </r>
  <r>
    <x v="17"/>
    <s v="Office Supplies"/>
    <x v="25"/>
  </r>
  <r>
    <x v="17"/>
    <s v="Office Supplies"/>
    <x v="26"/>
  </r>
  <r>
    <x v="17"/>
    <s v="Office Supplies"/>
    <x v="27"/>
  </r>
  <r>
    <x v="18"/>
    <s v="Office Supplies"/>
    <x v="28"/>
  </r>
  <r>
    <x v="19"/>
    <s v="Office Supplies"/>
    <x v="29"/>
  </r>
  <r>
    <x v="10"/>
    <s v="Office Supplies"/>
    <x v="30"/>
  </r>
  <r>
    <x v="20"/>
    <s v="Office Supplies"/>
    <x v="31"/>
  </r>
  <r>
    <x v="20"/>
    <s v="Office Supplies"/>
    <x v="32"/>
  </r>
  <r>
    <x v="21"/>
    <s v="Office Supplies"/>
    <x v="33"/>
  </r>
  <r>
    <x v="22"/>
    <s v="Office Supplies"/>
    <x v="34"/>
  </r>
  <r>
    <x v="23"/>
    <s v="Furniture"/>
    <x v="35"/>
  </r>
  <r>
    <x v="6"/>
    <s v="Technology"/>
    <x v="36"/>
  </r>
  <r>
    <x v="24"/>
    <s v="Office Supplies"/>
    <x v="37"/>
  </r>
  <r>
    <x v="24"/>
    <s v="Technology"/>
    <x v="38"/>
  </r>
  <r>
    <x v="24"/>
    <s v="Office Supplies"/>
    <x v="39"/>
  </r>
  <r>
    <x v="24"/>
    <s v="Office Supplies"/>
    <x v="40"/>
  </r>
  <r>
    <x v="24"/>
    <s v="Office Supplies"/>
    <x v="41"/>
  </r>
  <r>
    <x v="25"/>
    <s v="Furniture"/>
    <x v="42"/>
  </r>
  <r>
    <x v="25"/>
    <s v="Furniture"/>
    <x v="43"/>
  </r>
  <r>
    <x v="25"/>
    <s v="Office Supplies"/>
    <x v="44"/>
  </r>
  <r>
    <x v="25"/>
    <s v="Furniture"/>
    <x v="45"/>
  </r>
  <r>
    <x v="25"/>
    <s v="Technology"/>
    <x v="46"/>
  </r>
  <r>
    <x v="26"/>
    <s v="Office Supplies"/>
    <x v="47"/>
  </r>
  <r>
    <x v="24"/>
    <s v="Technology"/>
    <x v="48"/>
  </r>
  <r>
    <x v="24"/>
    <s v="Office Supplies"/>
    <x v="49"/>
  </r>
  <r>
    <x v="24"/>
    <s v="Office Supplies"/>
    <x v="50"/>
  </r>
  <r>
    <x v="27"/>
    <s v="Office Supplies"/>
    <x v="51"/>
  </r>
  <r>
    <x v="28"/>
    <s v="Office Supplies"/>
    <x v="52"/>
  </r>
  <r>
    <x v="6"/>
    <s v="Office Supplies"/>
    <x v="53"/>
  </r>
  <r>
    <x v="6"/>
    <s v="Office Supplies"/>
    <x v="54"/>
  </r>
  <r>
    <x v="29"/>
    <s v="Office Supplies"/>
    <x v="55"/>
  </r>
  <r>
    <x v="30"/>
    <s v="Office Supplies"/>
    <x v="25"/>
  </r>
  <r>
    <x v="30"/>
    <s v="Office Supplies"/>
    <x v="56"/>
  </r>
  <r>
    <x v="31"/>
    <s v="Office Supplies"/>
    <x v="57"/>
  </r>
  <r>
    <x v="31"/>
    <s v="Office Supplies"/>
    <x v="58"/>
  </r>
  <r>
    <x v="31"/>
    <s v="Office Supplies"/>
    <x v="59"/>
  </r>
  <r>
    <x v="31"/>
    <s v="Office Supplies"/>
    <x v="60"/>
  </r>
  <r>
    <x v="32"/>
    <s v="Furniture"/>
    <x v="61"/>
  </r>
  <r>
    <x v="0"/>
    <s v="Office Supplies"/>
    <x v="62"/>
  </r>
  <r>
    <x v="33"/>
    <s v="Furniture"/>
    <x v="63"/>
  </r>
  <r>
    <x v="34"/>
    <s v="Technology"/>
    <x v="64"/>
  </r>
  <r>
    <x v="35"/>
    <s v="Office Supplies"/>
    <x v="65"/>
  </r>
  <r>
    <x v="35"/>
    <s v="Office Supplies"/>
    <x v="66"/>
  </r>
  <r>
    <x v="35"/>
    <s v="Office Supplies"/>
    <x v="67"/>
  </r>
  <r>
    <x v="36"/>
    <s v="Office Supplies"/>
    <x v="68"/>
  </r>
  <r>
    <x v="36"/>
    <s v="Office Supplies"/>
    <x v="69"/>
  </r>
  <r>
    <x v="37"/>
    <s v="Office Supplies"/>
    <x v="69"/>
  </r>
  <r>
    <x v="37"/>
    <s v="Furniture"/>
    <x v="70"/>
  </r>
  <r>
    <x v="37"/>
    <s v="Office Supplies"/>
    <x v="71"/>
  </r>
  <r>
    <x v="37"/>
    <s v="Furniture"/>
    <x v="72"/>
  </r>
  <r>
    <x v="38"/>
    <s v="Office Supplies"/>
    <x v="73"/>
  </r>
  <r>
    <x v="38"/>
    <s v="Office Supplies"/>
    <x v="74"/>
  </r>
  <r>
    <x v="39"/>
    <s v="Furniture"/>
    <x v="75"/>
  </r>
  <r>
    <x v="40"/>
    <s v="Office Supplies"/>
    <x v="76"/>
  </r>
  <r>
    <x v="40"/>
    <s v="Technology"/>
    <x v="77"/>
  </r>
  <r>
    <x v="41"/>
    <s v="Office Supplies"/>
    <x v="78"/>
  </r>
  <r>
    <x v="42"/>
    <s v="Office Supplies"/>
    <x v="79"/>
  </r>
  <r>
    <x v="42"/>
    <s v="Office Supplies"/>
    <x v="67"/>
  </r>
  <r>
    <x v="43"/>
    <s v="Office Supplies"/>
    <x v="80"/>
  </r>
  <r>
    <x v="44"/>
    <s v="Technology"/>
    <x v="81"/>
  </r>
  <r>
    <x v="44"/>
    <s v="Technology"/>
    <x v="82"/>
  </r>
  <r>
    <x v="44"/>
    <s v="Office Supplies"/>
    <x v="83"/>
  </r>
  <r>
    <x v="44"/>
    <s v="Furniture"/>
    <x v="84"/>
  </r>
  <r>
    <x v="44"/>
    <s v="Office Supplies"/>
    <x v="85"/>
  </r>
  <r>
    <x v="44"/>
    <s v="Office Supplies"/>
    <x v="86"/>
  </r>
  <r>
    <x v="44"/>
    <s v="Office Supplies"/>
    <x v="87"/>
  </r>
  <r>
    <x v="44"/>
    <s v="Furniture"/>
    <x v="88"/>
  </r>
  <r>
    <x v="44"/>
    <s v="Furniture"/>
    <x v="89"/>
  </r>
  <r>
    <x v="33"/>
    <s v="Office Supplies"/>
    <x v="90"/>
  </r>
  <r>
    <x v="33"/>
    <s v="Furniture"/>
    <x v="91"/>
  </r>
  <r>
    <x v="21"/>
    <s v="Office Supplies"/>
    <x v="92"/>
  </r>
  <r>
    <x v="10"/>
    <s v="Office Supplies"/>
    <x v="93"/>
  </r>
  <r>
    <x v="45"/>
    <s v="Office Supplies"/>
    <x v="94"/>
  </r>
  <r>
    <x v="45"/>
    <s v="Office Supplies"/>
    <x v="95"/>
  </r>
  <r>
    <x v="2"/>
    <s v="Furniture"/>
    <x v="96"/>
  </r>
  <r>
    <x v="2"/>
    <s v="Office Supplies"/>
    <x v="97"/>
  </r>
  <r>
    <x v="46"/>
    <s v="Furniture"/>
    <x v="98"/>
  </r>
  <r>
    <x v="13"/>
    <s v="Furniture"/>
    <x v="99"/>
  </r>
  <r>
    <x v="13"/>
    <s v="Office Supplies"/>
    <x v="100"/>
  </r>
  <r>
    <x v="47"/>
    <s v="Office Supplies"/>
    <x v="101"/>
  </r>
  <r>
    <x v="48"/>
    <s v="Office Supplies"/>
    <x v="102"/>
  </r>
  <r>
    <x v="49"/>
    <s v="Furniture"/>
    <x v="103"/>
  </r>
  <r>
    <x v="50"/>
    <s v="Furniture"/>
    <x v="104"/>
  </r>
  <r>
    <x v="51"/>
    <s v="Furniture"/>
    <x v="105"/>
  </r>
  <r>
    <x v="51"/>
    <s v="Office Supplies"/>
    <x v="106"/>
  </r>
  <r>
    <x v="52"/>
    <s v="Furniture"/>
    <x v="107"/>
  </r>
  <r>
    <x v="53"/>
    <s v="Office Supplies"/>
    <x v="108"/>
  </r>
  <r>
    <x v="53"/>
    <s v="Furniture"/>
    <x v="109"/>
  </r>
  <r>
    <x v="53"/>
    <s v="Technology"/>
    <x v="110"/>
  </r>
  <r>
    <x v="26"/>
    <s v="Office Supplies"/>
    <x v="111"/>
  </r>
  <r>
    <x v="54"/>
    <s v="Furniture"/>
    <x v="112"/>
  </r>
  <r>
    <x v="54"/>
    <s v="Technology"/>
    <x v="113"/>
  </r>
  <r>
    <x v="55"/>
    <s v="Office Supplies"/>
    <x v="114"/>
  </r>
  <r>
    <x v="55"/>
    <s v="Office Supplies"/>
    <x v="115"/>
  </r>
  <r>
    <x v="56"/>
    <s v="Technology"/>
    <x v="116"/>
  </r>
  <r>
    <x v="56"/>
    <s v="Office Supplies"/>
    <x v="117"/>
  </r>
  <r>
    <x v="56"/>
    <s v="Office Supplies"/>
    <x v="118"/>
  </r>
  <r>
    <x v="56"/>
    <s v="Office Supplies"/>
    <x v="119"/>
  </r>
  <r>
    <x v="57"/>
    <s v="Furniture"/>
    <x v="120"/>
  </r>
  <r>
    <x v="58"/>
    <s v="Furniture"/>
    <x v="121"/>
  </r>
  <r>
    <x v="58"/>
    <s v="Furniture"/>
    <x v="122"/>
  </r>
  <r>
    <x v="59"/>
    <s v="Furniture"/>
    <x v="123"/>
  </r>
  <r>
    <x v="60"/>
    <s v="Office Supplies"/>
    <x v="124"/>
  </r>
  <r>
    <x v="32"/>
    <s v="Office Supplies"/>
    <x v="125"/>
  </r>
  <r>
    <x v="32"/>
    <s v="Office Supplies"/>
    <x v="126"/>
  </r>
  <r>
    <x v="61"/>
    <s v="Furniture"/>
    <x v="127"/>
  </r>
  <r>
    <x v="62"/>
    <s v="Office Supplies"/>
    <x v="128"/>
  </r>
  <r>
    <x v="63"/>
    <s v="Office Supplies"/>
    <x v="129"/>
  </r>
  <r>
    <x v="64"/>
    <s v="Furniture"/>
    <x v="130"/>
  </r>
  <r>
    <x v="64"/>
    <s v="Office Supplies"/>
    <x v="131"/>
  </r>
  <r>
    <x v="65"/>
    <s v="Technology"/>
    <x v="132"/>
  </r>
  <r>
    <x v="47"/>
    <s v="Office Supplies"/>
    <x v="133"/>
  </r>
  <r>
    <x v="47"/>
    <s v="Office Supplies"/>
    <x v="134"/>
  </r>
  <r>
    <x v="47"/>
    <s v="Office Supplies"/>
    <x v="135"/>
  </r>
  <r>
    <x v="47"/>
    <s v="Furniture"/>
    <x v="136"/>
  </r>
  <r>
    <x v="29"/>
    <s v="Office Supplies"/>
    <x v="137"/>
  </r>
  <r>
    <x v="29"/>
    <s v="Office Supplies"/>
    <x v="138"/>
  </r>
  <r>
    <x v="29"/>
    <s v="Office Supplies"/>
    <x v="139"/>
  </r>
  <r>
    <x v="29"/>
    <s v="Technology"/>
    <x v="140"/>
  </r>
  <r>
    <x v="66"/>
    <s v="Office Supplies"/>
    <x v="141"/>
  </r>
  <r>
    <x v="66"/>
    <s v="Furniture"/>
    <x v="142"/>
  </r>
  <r>
    <x v="24"/>
    <s v="Technology"/>
    <x v="143"/>
  </r>
  <r>
    <x v="24"/>
    <s v="Technology"/>
    <x v="144"/>
  </r>
  <r>
    <x v="24"/>
    <s v="Office Supplies"/>
    <x v="145"/>
  </r>
  <r>
    <x v="24"/>
    <s v="Office Supplies"/>
    <x v="146"/>
  </r>
  <r>
    <x v="24"/>
    <s v="Technology"/>
    <x v="147"/>
  </r>
  <r>
    <x v="67"/>
    <s v="Technology"/>
    <x v="148"/>
  </r>
  <r>
    <x v="67"/>
    <s v="Office Supplies"/>
    <x v="149"/>
  </r>
  <r>
    <x v="68"/>
    <s v="Furniture"/>
    <x v="150"/>
  </r>
  <r>
    <x v="68"/>
    <s v="Furniture"/>
    <x v="151"/>
  </r>
  <r>
    <x v="68"/>
    <s v="Office Supplies"/>
    <x v="152"/>
  </r>
  <r>
    <x v="68"/>
    <s v="Technology"/>
    <x v="153"/>
  </r>
  <r>
    <x v="68"/>
    <s v="Furniture"/>
    <x v="154"/>
  </r>
  <r>
    <x v="48"/>
    <s v="Furniture"/>
    <x v="155"/>
  </r>
  <r>
    <x v="69"/>
    <s v="Office Supplies"/>
    <x v="156"/>
  </r>
  <r>
    <x v="22"/>
    <s v="Office Supplies"/>
    <x v="157"/>
  </r>
  <r>
    <x v="22"/>
    <s v="Office Supplies"/>
    <x v="158"/>
  </r>
  <r>
    <x v="70"/>
    <s v="Technology"/>
    <x v="159"/>
  </r>
  <r>
    <x v="70"/>
    <s v="Office Supplies"/>
    <x v="160"/>
  </r>
  <r>
    <x v="71"/>
    <s v="Office Supplies"/>
    <x v="161"/>
  </r>
  <r>
    <x v="71"/>
    <s v="Office Supplies"/>
    <x v="162"/>
  </r>
  <r>
    <x v="53"/>
    <s v="Technology"/>
    <x v="163"/>
  </r>
  <r>
    <x v="72"/>
    <s v="Office Supplies"/>
    <x v="164"/>
  </r>
  <r>
    <x v="73"/>
    <s v="Office Supplies"/>
    <x v="165"/>
  </r>
  <r>
    <x v="74"/>
    <s v="Office Supplies"/>
    <x v="166"/>
  </r>
  <r>
    <x v="74"/>
    <s v="Technology"/>
    <x v="167"/>
  </r>
  <r>
    <x v="27"/>
    <s v="Office Supplies"/>
    <x v="168"/>
  </r>
  <r>
    <x v="27"/>
    <s v="Office Supplies"/>
    <x v="169"/>
  </r>
  <r>
    <x v="27"/>
    <s v="Technology"/>
    <x v="170"/>
  </r>
  <r>
    <x v="75"/>
    <s v="Furniture"/>
    <x v="171"/>
  </r>
  <r>
    <x v="75"/>
    <s v="Furniture"/>
    <x v="172"/>
  </r>
  <r>
    <x v="75"/>
    <s v="Office Supplies"/>
    <x v="173"/>
  </r>
  <r>
    <x v="34"/>
    <s v="Office Supplies"/>
    <x v="174"/>
  </r>
  <r>
    <x v="76"/>
    <s v="Office Supplies"/>
    <x v="175"/>
  </r>
  <r>
    <x v="76"/>
    <s v="Office Supplies"/>
    <x v="176"/>
  </r>
  <r>
    <x v="76"/>
    <s v="Technology"/>
    <x v="177"/>
  </r>
  <r>
    <x v="77"/>
    <s v="Office Supplies"/>
    <x v="178"/>
  </r>
  <r>
    <x v="77"/>
    <s v="Technology"/>
    <x v="179"/>
  </r>
  <r>
    <x v="77"/>
    <s v="Furniture"/>
    <x v="180"/>
  </r>
  <r>
    <x v="77"/>
    <s v="Office Supplies"/>
    <x v="181"/>
  </r>
  <r>
    <x v="78"/>
    <s v="Technology"/>
    <x v="182"/>
  </r>
  <r>
    <x v="78"/>
    <s v="Office Supplies"/>
    <x v="183"/>
  </r>
  <r>
    <x v="14"/>
    <s v="Furniture"/>
    <x v="184"/>
  </r>
  <r>
    <x v="79"/>
    <s v="Furniture"/>
    <x v="185"/>
  </r>
  <r>
    <x v="60"/>
    <s v="Office Supplies"/>
    <x v="186"/>
  </r>
  <r>
    <x v="69"/>
    <s v="Office Supplies"/>
    <x v="187"/>
  </r>
  <r>
    <x v="69"/>
    <s v="Technology"/>
    <x v="188"/>
  </r>
  <r>
    <x v="69"/>
    <s v="Technology"/>
    <x v="189"/>
  </r>
  <r>
    <x v="70"/>
    <s v="Furniture"/>
    <x v="190"/>
  </r>
  <r>
    <x v="30"/>
    <s v="Office Supplies"/>
    <x v="191"/>
  </r>
  <r>
    <x v="30"/>
    <s v="Technology"/>
    <x v="192"/>
  </r>
  <r>
    <x v="80"/>
    <s v="Office Supplies"/>
    <x v="193"/>
  </r>
  <r>
    <x v="80"/>
    <s v="Technology"/>
    <x v="194"/>
  </r>
  <r>
    <x v="80"/>
    <s v="Office Supplies"/>
    <x v="195"/>
  </r>
  <r>
    <x v="80"/>
    <s v="Office Supplies"/>
    <x v="196"/>
  </r>
  <r>
    <x v="80"/>
    <s v="Furniture"/>
    <x v="197"/>
  </r>
  <r>
    <x v="80"/>
    <s v="Office Supplies"/>
    <x v="198"/>
  </r>
  <r>
    <x v="81"/>
    <s v="Office Supplies"/>
    <x v="199"/>
  </r>
  <r>
    <x v="81"/>
    <s v="Furniture"/>
    <x v="200"/>
  </r>
  <r>
    <x v="81"/>
    <s v="Office Supplies"/>
    <x v="201"/>
  </r>
  <r>
    <x v="81"/>
    <s v="Office Supplies"/>
    <x v="202"/>
  </r>
  <r>
    <x v="82"/>
    <s v="Office Supplies"/>
    <x v="203"/>
  </r>
  <r>
    <x v="17"/>
    <s v="Office Supplies"/>
    <x v="204"/>
  </r>
  <r>
    <x v="33"/>
    <s v="Office Supplies"/>
    <x v="205"/>
  </r>
  <r>
    <x v="83"/>
    <s v="Office Supplies"/>
    <x v="206"/>
  </r>
  <r>
    <x v="83"/>
    <s v="Technology"/>
    <x v="207"/>
  </r>
  <r>
    <x v="83"/>
    <s v="Office Supplies"/>
    <x v="208"/>
  </r>
  <r>
    <x v="83"/>
    <s v="Office Supplies"/>
    <x v="209"/>
  </r>
  <r>
    <x v="83"/>
    <s v="Office Supplies"/>
    <x v="210"/>
  </r>
  <r>
    <x v="83"/>
    <s v="Furniture"/>
    <x v="211"/>
  </r>
  <r>
    <x v="84"/>
    <s v="Office Supplies"/>
    <x v="212"/>
  </r>
  <r>
    <x v="85"/>
    <s v="Office Supplies"/>
    <x v="213"/>
  </r>
  <r>
    <x v="86"/>
    <s v="Furniture"/>
    <x v="214"/>
  </r>
  <r>
    <x v="86"/>
    <s v="Technology"/>
    <x v="215"/>
  </r>
  <r>
    <x v="87"/>
    <s v="Furniture"/>
    <x v="206"/>
  </r>
  <r>
    <x v="88"/>
    <s v="Furniture"/>
    <x v="206"/>
  </r>
  <r>
    <x v="88"/>
    <s v="Technology"/>
    <x v="216"/>
  </r>
  <r>
    <x v="89"/>
    <s v="Technology"/>
    <x v="217"/>
  </r>
  <r>
    <x v="89"/>
    <s v="Office Supplies"/>
    <x v="218"/>
  </r>
  <r>
    <x v="46"/>
    <s v="Office Supplies"/>
    <x v="219"/>
  </r>
  <r>
    <x v="46"/>
    <s v="Office Supplies"/>
    <x v="220"/>
  </r>
  <r>
    <x v="46"/>
    <s v="Office Supplies"/>
    <x v="221"/>
  </r>
  <r>
    <x v="28"/>
    <s v="Furniture"/>
    <x v="10"/>
  </r>
  <r>
    <x v="28"/>
    <s v="Office Supplies"/>
    <x v="222"/>
  </r>
  <r>
    <x v="28"/>
    <s v="Technology"/>
    <x v="223"/>
  </r>
  <r>
    <x v="28"/>
    <s v="Technology"/>
    <x v="224"/>
  </r>
  <r>
    <x v="78"/>
    <s v="Office Supplies"/>
    <x v="225"/>
  </r>
  <r>
    <x v="90"/>
    <s v="Furniture"/>
    <x v="226"/>
  </r>
  <r>
    <x v="91"/>
    <s v="Office Supplies"/>
    <x v="227"/>
  </r>
  <r>
    <x v="91"/>
    <s v="Office Supplies"/>
    <x v="228"/>
  </r>
  <r>
    <x v="92"/>
    <s v="Office Supplies"/>
    <x v="229"/>
  </r>
  <r>
    <x v="93"/>
    <s v="Office Supplies"/>
    <x v="230"/>
  </r>
  <r>
    <x v="93"/>
    <s v="Furniture"/>
    <x v="231"/>
  </r>
  <r>
    <x v="94"/>
    <s v="Office Supplies"/>
    <x v="232"/>
  </r>
  <r>
    <x v="95"/>
    <s v="Office Supplies"/>
    <x v="233"/>
  </r>
  <r>
    <x v="96"/>
    <s v="Office Supplies"/>
    <x v="234"/>
  </r>
  <r>
    <x v="89"/>
    <s v="Technology"/>
    <x v="235"/>
  </r>
  <r>
    <x v="89"/>
    <s v="Office Supplies"/>
    <x v="15"/>
  </r>
  <r>
    <x v="95"/>
    <s v="Office Supplies"/>
    <x v="236"/>
  </r>
  <r>
    <x v="95"/>
    <s v="Office Supplies"/>
    <x v="39"/>
  </r>
  <r>
    <x v="95"/>
    <s v="Technology"/>
    <x v="237"/>
  </r>
  <r>
    <x v="97"/>
    <s v="Office Supplies"/>
    <x v="238"/>
  </r>
  <r>
    <x v="98"/>
    <s v="Office Supplies"/>
    <x v="239"/>
  </r>
  <r>
    <x v="98"/>
    <s v="Office Supplies"/>
    <x v="240"/>
  </r>
  <r>
    <x v="48"/>
    <s v="Technology"/>
    <x v="241"/>
  </r>
  <r>
    <x v="73"/>
    <s v="Furniture"/>
    <x v="242"/>
  </r>
  <r>
    <x v="73"/>
    <s v="Technology"/>
    <x v="243"/>
  </r>
  <r>
    <x v="73"/>
    <s v="Office Supplies"/>
    <x v="244"/>
  </r>
  <r>
    <x v="79"/>
    <s v="Technology"/>
    <x v="245"/>
  </r>
  <r>
    <x v="79"/>
    <s v="Technology"/>
    <x v="246"/>
  </r>
  <r>
    <x v="79"/>
    <s v="Office Supplies"/>
    <x v="247"/>
  </r>
  <r>
    <x v="99"/>
    <s v="Furniture"/>
    <x v="248"/>
  </r>
  <r>
    <x v="99"/>
    <s v="Technology"/>
    <x v="249"/>
  </r>
  <r>
    <x v="100"/>
    <s v="Office Supplies"/>
    <x v="250"/>
  </r>
  <r>
    <x v="100"/>
    <s v="Office Supplies"/>
    <x v="251"/>
  </r>
  <r>
    <x v="100"/>
    <s v="Office Supplies"/>
    <x v="252"/>
  </r>
  <r>
    <x v="79"/>
    <s v="Office Supplies"/>
    <x v="253"/>
  </r>
  <r>
    <x v="15"/>
    <s v="Technology"/>
    <x v="254"/>
  </r>
  <r>
    <x v="101"/>
    <s v="Furniture"/>
    <x v="255"/>
  </r>
  <r>
    <x v="101"/>
    <s v="Furniture"/>
    <x v="256"/>
  </r>
  <r>
    <x v="101"/>
    <s v="Furniture"/>
    <x v="257"/>
  </r>
  <r>
    <x v="101"/>
    <s v="Office Supplies"/>
    <x v="0"/>
  </r>
  <r>
    <x v="101"/>
    <s v="Office Supplies"/>
    <x v="258"/>
  </r>
  <r>
    <x v="102"/>
    <s v="Furniture"/>
    <x v="259"/>
  </r>
  <r>
    <x v="29"/>
    <s v="Office Supplies"/>
    <x v="260"/>
  </r>
  <r>
    <x v="29"/>
    <s v="Furniture"/>
    <x v="261"/>
  </r>
  <r>
    <x v="93"/>
    <s v="Office Supplies"/>
    <x v="262"/>
  </r>
  <r>
    <x v="103"/>
    <s v="Technology"/>
    <x v="263"/>
  </r>
  <r>
    <x v="103"/>
    <s v="Office Supplies"/>
    <x v="264"/>
  </r>
  <r>
    <x v="103"/>
    <s v="Office Supplies"/>
    <x v="0"/>
  </r>
  <r>
    <x v="67"/>
    <s v="Furniture"/>
    <x v="265"/>
  </r>
  <r>
    <x v="104"/>
    <s v="Office Supplies"/>
    <x v="218"/>
  </r>
  <r>
    <x v="104"/>
    <s v="Office Supplies"/>
    <x v="266"/>
  </r>
  <r>
    <x v="104"/>
    <s v="Office Supplies"/>
    <x v="67"/>
  </r>
  <r>
    <x v="104"/>
    <s v="Office Supplies"/>
    <x v="267"/>
  </r>
  <r>
    <x v="104"/>
    <s v="Office Supplies"/>
    <x v="268"/>
  </r>
  <r>
    <x v="104"/>
    <s v="Office Supplies"/>
    <x v="269"/>
  </r>
  <r>
    <x v="105"/>
    <s v="Technology"/>
    <x v="270"/>
  </r>
  <r>
    <x v="105"/>
    <s v="Office Supplies"/>
    <x v="78"/>
  </r>
  <r>
    <x v="106"/>
    <s v="Office Supplies"/>
    <x v="271"/>
  </r>
  <r>
    <x v="107"/>
    <s v="Technology"/>
    <x v="272"/>
  </r>
  <r>
    <x v="108"/>
    <s v="Office Supplies"/>
    <x v="273"/>
  </r>
  <r>
    <x v="108"/>
    <s v="Office Supplies"/>
    <x v="274"/>
  </r>
  <r>
    <x v="108"/>
    <s v="Technology"/>
    <x v="275"/>
  </r>
  <r>
    <x v="109"/>
    <s v="Furniture"/>
    <x v="276"/>
  </r>
  <r>
    <x v="109"/>
    <s v="Office Supplies"/>
    <x v="277"/>
  </r>
  <r>
    <x v="110"/>
    <s v="Office Supplies"/>
    <x v="278"/>
  </r>
  <r>
    <x v="111"/>
    <s v="Technology"/>
    <x v="279"/>
  </r>
  <r>
    <x v="12"/>
    <s v="Furniture"/>
    <x v="280"/>
  </r>
  <r>
    <x v="12"/>
    <s v="Office Supplies"/>
    <x v="281"/>
  </r>
  <r>
    <x v="22"/>
    <s v="Office Supplies"/>
    <x v="282"/>
  </r>
  <r>
    <x v="64"/>
    <s v="Office Supplies"/>
    <x v="283"/>
  </r>
  <r>
    <x v="64"/>
    <s v="Office Supplies"/>
    <x v="284"/>
  </r>
  <r>
    <x v="106"/>
    <s v="Office Supplies"/>
    <x v="285"/>
  </r>
  <r>
    <x v="106"/>
    <s v="Office Supplies"/>
    <x v="286"/>
  </r>
  <r>
    <x v="112"/>
    <s v="Furniture"/>
    <x v="287"/>
  </r>
  <r>
    <x v="113"/>
    <s v="Office Supplies"/>
    <x v="288"/>
  </r>
  <r>
    <x v="113"/>
    <s v="Office Supplies"/>
    <x v="289"/>
  </r>
  <r>
    <x v="114"/>
    <s v="Office Supplies"/>
    <x v="290"/>
  </r>
  <r>
    <x v="67"/>
    <s v="Office Supplies"/>
    <x v="268"/>
  </r>
  <r>
    <x v="115"/>
    <s v="Office Supplies"/>
    <x v="291"/>
  </r>
  <r>
    <x v="115"/>
    <s v="Office Supplies"/>
    <x v="292"/>
  </r>
  <r>
    <x v="115"/>
    <s v="Office Supplies"/>
    <x v="293"/>
  </r>
  <r>
    <x v="116"/>
    <s v="Furniture"/>
    <x v="294"/>
  </r>
  <r>
    <x v="116"/>
    <s v="Technology"/>
    <x v="295"/>
  </r>
  <r>
    <x v="80"/>
    <s v="Office Supplies"/>
    <x v="296"/>
  </r>
  <r>
    <x v="80"/>
    <s v="Office Supplies"/>
    <x v="297"/>
  </r>
  <r>
    <x v="19"/>
    <s v="Office Supplies"/>
    <x v="298"/>
  </r>
  <r>
    <x v="19"/>
    <s v="Office Supplies"/>
    <x v="299"/>
  </r>
  <r>
    <x v="117"/>
    <s v="Office Supplies"/>
    <x v="300"/>
  </r>
  <r>
    <x v="117"/>
    <s v="Furniture"/>
    <x v="301"/>
  </r>
  <r>
    <x v="117"/>
    <s v="Technology"/>
    <x v="302"/>
  </r>
  <r>
    <x v="63"/>
    <s v="Office Supplies"/>
    <x v="303"/>
  </r>
  <r>
    <x v="63"/>
    <s v="Office Supplies"/>
    <x v="304"/>
  </r>
  <r>
    <x v="44"/>
    <s v="Furniture"/>
    <x v="305"/>
  </r>
  <r>
    <x v="44"/>
    <s v="Office Supplies"/>
    <x v="306"/>
  </r>
  <r>
    <x v="44"/>
    <s v="Office Supplies"/>
    <x v="135"/>
  </r>
  <r>
    <x v="44"/>
    <s v="Office Supplies"/>
    <x v="307"/>
  </r>
  <r>
    <x v="118"/>
    <s v="Office Supplies"/>
    <x v="308"/>
  </r>
  <r>
    <x v="118"/>
    <s v="Technology"/>
    <x v="309"/>
  </r>
  <r>
    <x v="119"/>
    <s v="Office Supplies"/>
    <x v="310"/>
  </r>
  <r>
    <x v="119"/>
    <s v="Technology"/>
    <x v="311"/>
  </r>
  <r>
    <x v="119"/>
    <s v="Furniture"/>
    <x v="312"/>
  </r>
  <r>
    <x v="119"/>
    <s v="Office Supplies"/>
    <x v="313"/>
  </r>
  <r>
    <x v="119"/>
    <s v="Office Supplies"/>
    <x v="314"/>
  </r>
  <r>
    <x v="111"/>
    <s v="Technology"/>
    <x v="315"/>
  </r>
  <r>
    <x v="120"/>
    <s v="Furniture"/>
    <x v="316"/>
  </r>
  <r>
    <x v="120"/>
    <s v="Office Supplies"/>
    <x v="317"/>
  </r>
  <r>
    <x v="120"/>
    <s v="Office Supplies"/>
    <x v="318"/>
  </r>
  <r>
    <x v="120"/>
    <s v="Office Supplies"/>
    <x v="319"/>
  </r>
  <r>
    <x v="120"/>
    <s v="Technology"/>
    <x v="320"/>
  </r>
  <r>
    <x v="120"/>
    <s v="Furniture"/>
    <x v="321"/>
  </r>
  <r>
    <x v="120"/>
    <s v="Technology"/>
    <x v="322"/>
  </r>
  <r>
    <x v="120"/>
    <s v="Technology"/>
    <x v="323"/>
  </r>
  <r>
    <x v="10"/>
    <s v="Office Supplies"/>
    <x v="221"/>
  </r>
  <r>
    <x v="10"/>
    <s v="Furniture"/>
    <x v="324"/>
  </r>
  <r>
    <x v="10"/>
    <s v="Office Supplies"/>
    <x v="325"/>
  </r>
  <r>
    <x v="88"/>
    <s v="Office Supplies"/>
    <x v="326"/>
  </r>
  <r>
    <x v="117"/>
    <s v="Office Supplies"/>
    <x v="327"/>
  </r>
  <r>
    <x v="117"/>
    <s v="Furniture"/>
    <x v="328"/>
  </r>
  <r>
    <x v="117"/>
    <s v="Office Supplies"/>
    <x v="329"/>
  </r>
  <r>
    <x v="117"/>
    <s v="Office Supplies"/>
    <x v="330"/>
  </r>
  <r>
    <x v="121"/>
    <s v="Office Supplies"/>
    <x v="331"/>
  </r>
  <r>
    <x v="121"/>
    <s v="Technology"/>
    <x v="332"/>
  </r>
  <r>
    <x v="121"/>
    <s v="Furniture"/>
    <x v="333"/>
  </r>
  <r>
    <x v="121"/>
    <s v="Furniture"/>
    <x v="334"/>
  </r>
  <r>
    <x v="122"/>
    <s v="Technology"/>
    <x v="335"/>
  </r>
  <r>
    <x v="123"/>
    <s v="Office Supplies"/>
    <x v="336"/>
  </r>
  <r>
    <x v="79"/>
    <s v="Office Supplies"/>
    <x v="337"/>
  </r>
  <r>
    <x v="115"/>
    <s v="Furniture"/>
    <x v="338"/>
  </r>
  <r>
    <x v="116"/>
    <s v="Office Supplies"/>
    <x v="339"/>
  </r>
  <r>
    <x v="104"/>
    <s v="Office Supplies"/>
    <x v="340"/>
  </r>
  <r>
    <x v="104"/>
    <s v="Office Supplies"/>
    <x v="341"/>
  </r>
  <r>
    <x v="104"/>
    <s v="Office Supplies"/>
    <x v="342"/>
  </r>
  <r>
    <x v="73"/>
    <s v="Office Supplies"/>
    <x v="343"/>
  </r>
  <r>
    <x v="73"/>
    <s v="Office Supplies"/>
    <x v="344"/>
  </r>
  <r>
    <x v="124"/>
    <s v="Furniture"/>
    <x v="345"/>
  </r>
  <r>
    <x v="124"/>
    <s v="Technology"/>
    <x v="346"/>
  </r>
  <r>
    <x v="113"/>
    <s v="Technology"/>
    <x v="347"/>
  </r>
  <r>
    <x v="125"/>
    <s v="Office Supplies"/>
    <x v="348"/>
  </r>
  <r>
    <x v="125"/>
    <s v="Office Supplies"/>
    <x v="349"/>
  </r>
  <r>
    <x v="126"/>
    <s v="Office Supplies"/>
    <x v="350"/>
  </r>
  <r>
    <x v="127"/>
    <s v="Office Supplies"/>
    <x v="351"/>
  </r>
  <r>
    <x v="128"/>
    <s v="Office Supplies"/>
    <x v="352"/>
  </r>
  <r>
    <x v="129"/>
    <s v="Technology"/>
    <x v="353"/>
  </r>
  <r>
    <x v="129"/>
    <s v="Office Supplies"/>
    <x v="354"/>
  </r>
  <r>
    <x v="130"/>
    <s v="Furniture"/>
    <x v="355"/>
  </r>
  <r>
    <x v="52"/>
    <s v="Furniture"/>
    <x v="356"/>
  </r>
  <r>
    <x v="52"/>
    <s v="Technology"/>
    <x v="357"/>
  </r>
  <r>
    <x v="52"/>
    <s v="Office Supplies"/>
    <x v="358"/>
  </r>
  <r>
    <x v="131"/>
    <s v="Technology"/>
    <x v="359"/>
  </r>
  <r>
    <x v="131"/>
    <s v="Office Supplies"/>
    <x v="360"/>
  </r>
  <r>
    <x v="131"/>
    <s v="Office Supplies"/>
    <x v="361"/>
  </r>
  <r>
    <x v="132"/>
    <s v="Technology"/>
    <x v="362"/>
  </r>
  <r>
    <x v="132"/>
    <s v="Office Supplies"/>
    <x v="363"/>
  </r>
  <r>
    <x v="132"/>
    <s v="Furniture"/>
    <x v="364"/>
  </r>
  <r>
    <x v="133"/>
    <s v="Furniture"/>
    <x v="365"/>
  </r>
  <r>
    <x v="2"/>
    <s v="Office Supplies"/>
    <x v="366"/>
  </r>
  <r>
    <x v="2"/>
    <s v="Office Supplies"/>
    <x v="367"/>
  </r>
  <r>
    <x v="2"/>
    <s v="Technology"/>
    <x v="368"/>
  </r>
  <r>
    <x v="134"/>
    <s v="Office Supplies"/>
    <x v="369"/>
  </r>
  <r>
    <x v="134"/>
    <s v="Technology"/>
    <x v="370"/>
  </r>
  <r>
    <x v="134"/>
    <s v="Technology"/>
    <x v="371"/>
  </r>
  <r>
    <x v="134"/>
    <s v="Technology"/>
    <x v="372"/>
  </r>
  <r>
    <x v="134"/>
    <s v="Furniture"/>
    <x v="373"/>
  </r>
  <r>
    <x v="35"/>
    <s v="Furniture"/>
    <x v="374"/>
  </r>
  <r>
    <x v="135"/>
    <s v="Technology"/>
    <x v="375"/>
  </r>
  <r>
    <x v="124"/>
    <s v="Office Supplies"/>
    <x v="376"/>
  </r>
  <r>
    <x v="127"/>
    <s v="Furniture"/>
    <x v="377"/>
  </r>
  <r>
    <x v="127"/>
    <s v="Furniture"/>
    <x v="378"/>
  </r>
  <r>
    <x v="78"/>
    <s v="Office Supplies"/>
    <x v="367"/>
  </r>
  <r>
    <x v="136"/>
    <s v="Technology"/>
    <x v="217"/>
  </r>
  <r>
    <x v="136"/>
    <s v="Furniture"/>
    <x v="379"/>
  </r>
  <r>
    <x v="54"/>
    <s v="Technology"/>
    <x v="380"/>
  </r>
  <r>
    <x v="89"/>
    <s v="Office Supplies"/>
    <x v="381"/>
  </r>
  <r>
    <x v="89"/>
    <s v="Office Supplies"/>
    <x v="331"/>
  </r>
  <r>
    <x v="137"/>
    <s v="Office Supplies"/>
    <x v="382"/>
  </r>
  <r>
    <x v="137"/>
    <s v="Office Supplies"/>
    <x v="383"/>
  </r>
  <r>
    <x v="138"/>
    <s v="Office Supplies"/>
    <x v="384"/>
  </r>
  <r>
    <x v="139"/>
    <s v="Office Supplies"/>
    <x v="385"/>
  </r>
  <r>
    <x v="140"/>
    <s v="Office Supplies"/>
    <x v="386"/>
  </r>
  <r>
    <x v="140"/>
    <s v="Furniture"/>
    <x v="387"/>
  </r>
  <r>
    <x v="140"/>
    <s v="Technology"/>
    <x v="388"/>
  </r>
  <r>
    <x v="141"/>
    <s v="Office Supplies"/>
    <x v="389"/>
  </r>
  <r>
    <x v="141"/>
    <s v="Furniture"/>
    <x v="390"/>
  </r>
  <r>
    <x v="6"/>
    <s v="Furniture"/>
    <x v="391"/>
  </r>
  <r>
    <x v="6"/>
    <s v="Office Supplies"/>
    <x v="392"/>
  </r>
  <r>
    <x v="6"/>
    <s v="Office Supplies"/>
    <x v="67"/>
  </r>
  <r>
    <x v="142"/>
    <s v="Office Supplies"/>
    <x v="393"/>
  </r>
  <r>
    <x v="143"/>
    <s v="Office Supplies"/>
    <x v="394"/>
  </r>
  <r>
    <x v="32"/>
    <s v="Technology"/>
    <x v="395"/>
  </r>
  <r>
    <x v="92"/>
    <s v="Office Supplies"/>
    <x v="396"/>
  </r>
  <r>
    <x v="92"/>
    <s v="Office Supplies"/>
    <x v="397"/>
  </r>
  <r>
    <x v="144"/>
    <s v="Office Supplies"/>
    <x v="398"/>
  </r>
  <r>
    <x v="62"/>
    <s v="Office Supplies"/>
    <x v="115"/>
  </r>
  <r>
    <x v="62"/>
    <s v="Furniture"/>
    <x v="399"/>
  </r>
  <r>
    <x v="145"/>
    <s v="Furniture"/>
    <x v="400"/>
  </r>
  <r>
    <x v="146"/>
    <s v="Office Supplies"/>
    <x v="401"/>
  </r>
  <r>
    <x v="146"/>
    <s v="Office Supplies"/>
    <x v="402"/>
  </r>
  <r>
    <x v="146"/>
    <s v="Office Supplies"/>
    <x v="403"/>
  </r>
  <r>
    <x v="26"/>
    <s v="Office Supplies"/>
    <x v="32"/>
  </r>
  <r>
    <x v="26"/>
    <s v="Office Supplies"/>
    <x v="404"/>
  </r>
  <r>
    <x v="26"/>
    <s v="Office Supplies"/>
    <x v="405"/>
  </r>
  <r>
    <x v="43"/>
    <s v="Office Supplies"/>
    <x v="159"/>
  </r>
  <r>
    <x v="113"/>
    <s v="Office Supplies"/>
    <x v="406"/>
  </r>
  <r>
    <x v="147"/>
    <s v="Furniture"/>
    <x v="407"/>
  </r>
  <r>
    <x v="21"/>
    <s v="Office Supplies"/>
    <x v="408"/>
  </r>
  <r>
    <x v="21"/>
    <s v="Office Supplies"/>
    <x v="409"/>
  </r>
  <r>
    <x v="68"/>
    <s v="Office Supplies"/>
    <x v="410"/>
  </r>
  <r>
    <x v="68"/>
    <s v="Office Supplies"/>
    <x v="411"/>
  </r>
  <r>
    <x v="68"/>
    <s v="Office Supplies"/>
    <x v="412"/>
  </r>
  <r>
    <x v="40"/>
    <s v="Furniture"/>
    <x v="413"/>
  </r>
  <r>
    <x v="113"/>
    <s v="Furniture"/>
    <x v="414"/>
  </r>
  <r>
    <x v="148"/>
    <s v="Office Supplies"/>
    <x v="415"/>
  </r>
  <r>
    <x v="149"/>
    <s v="Office Supplies"/>
    <x v="416"/>
  </r>
  <r>
    <x v="150"/>
    <s v="Office Supplies"/>
    <x v="417"/>
  </r>
  <r>
    <x v="150"/>
    <s v="Office Supplies"/>
    <x v="418"/>
  </r>
  <r>
    <x v="151"/>
    <s v="Furniture"/>
    <x v="419"/>
  </r>
  <r>
    <x v="48"/>
    <s v="Technology"/>
    <x v="420"/>
  </r>
  <r>
    <x v="48"/>
    <s v="Office Supplies"/>
    <x v="421"/>
  </r>
  <r>
    <x v="48"/>
    <s v="Furniture"/>
    <x v="422"/>
  </r>
  <r>
    <x v="48"/>
    <s v="Office Supplies"/>
    <x v="423"/>
  </r>
  <r>
    <x v="7"/>
    <s v="Office Supplies"/>
    <x v="424"/>
  </r>
  <r>
    <x v="152"/>
    <s v="Office Supplies"/>
    <x v="425"/>
  </r>
  <r>
    <x v="146"/>
    <s v="Technology"/>
    <x v="426"/>
  </r>
  <r>
    <x v="153"/>
    <s v="Office Supplies"/>
    <x v="427"/>
  </r>
  <r>
    <x v="41"/>
    <s v="Furniture"/>
    <x v="428"/>
  </r>
  <r>
    <x v="154"/>
    <s v="Office Supplies"/>
    <x v="429"/>
  </r>
  <r>
    <x v="54"/>
    <s v="Office Supplies"/>
    <x v="430"/>
  </r>
  <r>
    <x v="155"/>
    <s v="Furniture"/>
    <x v="431"/>
  </r>
  <r>
    <x v="152"/>
    <s v="Furniture"/>
    <x v="432"/>
  </r>
  <r>
    <x v="32"/>
    <s v="Office Supplies"/>
    <x v="433"/>
  </r>
  <r>
    <x v="32"/>
    <s v="Office Supplies"/>
    <x v="434"/>
  </r>
  <r>
    <x v="32"/>
    <s v="Office Supplies"/>
    <x v="435"/>
  </r>
  <r>
    <x v="32"/>
    <s v="Furniture"/>
    <x v="63"/>
  </r>
  <r>
    <x v="93"/>
    <s v="Office Supplies"/>
    <x v="436"/>
  </r>
  <r>
    <x v="55"/>
    <s v="Office Supplies"/>
    <x v="437"/>
  </r>
  <r>
    <x v="35"/>
    <s v="Furniture"/>
    <x v="438"/>
  </r>
  <r>
    <x v="35"/>
    <s v="Office Supplies"/>
    <x v="439"/>
  </r>
  <r>
    <x v="35"/>
    <s v="Office Supplies"/>
    <x v="440"/>
  </r>
  <r>
    <x v="35"/>
    <s v="Technology"/>
    <x v="441"/>
  </r>
  <r>
    <x v="156"/>
    <s v="Furniture"/>
    <x v="442"/>
  </r>
  <r>
    <x v="156"/>
    <s v="Office Supplies"/>
    <x v="443"/>
  </r>
  <r>
    <x v="157"/>
    <s v="Office Supplies"/>
    <x v="444"/>
  </r>
  <r>
    <x v="157"/>
    <s v="Technology"/>
    <x v="163"/>
  </r>
  <r>
    <x v="157"/>
    <s v="Office Supplies"/>
    <x v="445"/>
  </r>
  <r>
    <x v="157"/>
    <s v="Office Supplies"/>
    <x v="446"/>
  </r>
  <r>
    <x v="157"/>
    <s v="Office Supplies"/>
    <x v="447"/>
  </r>
  <r>
    <x v="49"/>
    <s v="Technology"/>
    <x v="448"/>
  </r>
  <r>
    <x v="145"/>
    <s v="Office Supplies"/>
    <x v="449"/>
  </r>
  <r>
    <x v="145"/>
    <s v="Office Supplies"/>
    <x v="343"/>
  </r>
  <r>
    <x v="144"/>
    <s v="Technology"/>
    <x v="450"/>
  </r>
  <r>
    <x v="144"/>
    <s v="Office Supplies"/>
    <x v="451"/>
  </r>
  <r>
    <x v="2"/>
    <s v="Technology"/>
    <x v="452"/>
  </r>
  <r>
    <x v="124"/>
    <s v="Technology"/>
    <x v="453"/>
  </r>
  <r>
    <x v="158"/>
    <s v="Office Supplies"/>
    <x v="454"/>
  </r>
  <r>
    <x v="158"/>
    <s v="Office Supplies"/>
    <x v="455"/>
  </r>
  <r>
    <x v="158"/>
    <s v="Office Supplies"/>
    <x v="456"/>
  </r>
  <r>
    <x v="113"/>
    <s v="Office Supplies"/>
    <x v="457"/>
  </r>
  <r>
    <x v="113"/>
    <s v="Furniture"/>
    <x v="458"/>
  </r>
  <r>
    <x v="6"/>
    <s v="Office Supplies"/>
    <x v="459"/>
  </r>
  <r>
    <x v="6"/>
    <s v="Office Supplies"/>
    <x v="460"/>
  </r>
  <r>
    <x v="145"/>
    <s v="Office Supplies"/>
    <x v="461"/>
  </r>
  <r>
    <x v="145"/>
    <s v="Technology"/>
    <x v="462"/>
  </r>
  <r>
    <x v="145"/>
    <s v="Office Supplies"/>
    <x v="463"/>
  </r>
  <r>
    <x v="145"/>
    <s v="Furniture"/>
    <x v="464"/>
  </r>
  <r>
    <x v="145"/>
    <s v="Office Supplies"/>
    <x v="465"/>
  </r>
  <r>
    <x v="145"/>
    <s v="Office Supplies"/>
    <x v="466"/>
  </r>
  <r>
    <x v="159"/>
    <s v="Furniture"/>
    <x v="467"/>
  </r>
  <r>
    <x v="160"/>
    <s v="Furniture"/>
    <x v="468"/>
  </r>
  <r>
    <x v="161"/>
    <s v="Furniture"/>
    <x v="469"/>
  </r>
  <r>
    <x v="162"/>
    <s v="Office Supplies"/>
    <x v="470"/>
  </r>
  <r>
    <x v="162"/>
    <s v="Technology"/>
    <x v="471"/>
  </r>
  <r>
    <x v="162"/>
    <s v="Office Supplies"/>
    <x v="472"/>
  </r>
  <r>
    <x v="145"/>
    <s v="Office Supplies"/>
    <x v="473"/>
  </r>
  <r>
    <x v="145"/>
    <s v="Furniture"/>
    <x v="474"/>
  </r>
  <r>
    <x v="145"/>
    <s v="Office Supplies"/>
    <x v="475"/>
  </r>
  <r>
    <x v="145"/>
    <s v="Technology"/>
    <x v="476"/>
  </r>
  <r>
    <x v="96"/>
    <s v="Furniture"/>
    <x v="477"/>
  </r>
  <r>
    <x v="163"/>
    <s v="Office Supplies"/>
    <x v="478"/>
  </r>
  <r>
    <x v="163"/>
    <s v="Office Supplies"/>
    <x v="479"/>
  </r>
  <r>
    <x v="163"/>
    <s v="Office Supplies"/>
    <x v="480"/>
  </r>
  <r>
    <x v="164"/>
    <s v="Office Supplies"/>
    <x v="481"/>
  </r>
  <r>
    <x v="164"/>
    <s v="Office Supplies"/>
    <x v="482"/>
  </r>
  <r>
    <x v="165"/>
    <s v="Office Supplies"/>
    <x v="483"/>
  </r>
  <r>
    <x v="165"/>
    <s v="Technology"/>
    <x v="484"/>
  </r>
  <r>
    <x v="165"/>
    <s v="Office Supplies"/>
    <x v="485"/>
  </r>
  <r>
    <x v="165"/>
    <s v="Technology"/>
    <x v="486"/>
  </r>
  <r>
    <x v="39"/>
    <s v="Office Supplies"/>
    <x v="487"/>
  </r>
  <r>
    <x v="39"/>
    <s v="Technology"/>
    <x v="488"/>
  </r>
  <r>
    <x v="39"/>
    <s v="Office Supplies"/>
    <x v="489"/>
  </r>
  <r>
    <x v="165"/>
    <s v="Office Supplies"/>
    <x v="490"/>
  </r>
  <r>
    <x v="165"/>
    <s v="Office Supplies"/>
    <x v="491"/>
  </r>
  <r>
    <x v="165"/>
    <s v="Technology"/>
    <x v="492"/>
  </r>
  <r>
    <x v="64"/>
    <s v="Furniture"/>
    <x v="493"/>
  </r>
  <r>
    <x v="64"/>
    <s v="Furniture"/>
    <x v="494"/>
  </r>
  <r>
    <x v="58"/>
    <s v="Technology"/>
    <x v="495"/>
  </r>
  <r>
    <x v="58"/>
    <s v="Furniture"/>
    <x v="496"/>
  </r>
  <r>
    <x v="111"/>
    <s v="Technology"/>
    <x v="497"/>
  </r>
  <r>
    <x v="111"/>
    <s v="Office Supplies"/>
    <x v="498"/>
  </r>
  <r>
    <x v="166"/>
    <s v="Office Supplies"/>
    <x v="499"/>
  </r>
  <r>
    <x v="162"/>
    <s v="Technology"/>
    <x v="500"/>
  </r>
  <r>
    <x v="167"/>
    <s v="Office Supplies"/>
    <x v="501"/>
  </r>
  <r>
    <x v="167"/>
    <s v="Furniture"/>
    <x v="502"/>
  </r>
  <r>
    <x v="3"/>
    <s v="Furniture"/>
    <x v="503"/>
  </r>
  <r>
    <x v="3"/>
    <s v="Office Supplies"/>
    <x v="504"/>
  </r>
  <r>
    <x v="168"/>
    <s v="Office Supplies"/>
    <x v="505"/>
  </r>
  <r>
    <x v="168"/>
    <s v="Office Supplies"/>
    <x v="506"/>
  </r>
  <r>
    <x v="169"/>
    <s v="Furniture"/>
    <x v="507"/>
  </r>
  <r>
    <x v="169"/>
    <s v="Technology"/>
    <x v="291"/>
  </r>
  <r>
    <x v="26"/>
    <s v="Technology"/>
    <x v="508"/>
  </r>
  <r>
    <x v="0"/>
    <s v="Furniture"/>
    <x v="509"/>
  </r>
  <r>
    <x v="170"/>
    <s v="Furniture"/>
    <x v="510"/>
  </r>
  <r>
    <x v="171"/>
    <s v="Technology"/>
    <x v="143"/>
  </r>
  <r>
    <x v="172"/>
    <s v="Furniture"/>
    <x v="511"/>
  </r>
  <r>
    <x v="172"/>
    <s v="Technology"/>
    <x v="512"/>
  </r>
  <r>
    <x v="173"/>
    <s v="Office Supplies"/>
    <x v="513"/>
  </r>
  <r>
    <x v="174"/>
    <s v="Office Supplies"/>
    <x v="514"/>
  </r>
  <r>
    <x v="18"/>
    <s v="Office Supplies"/>
    <x v="515"/>
  </r>
  <r>
    <x v="163"/>
    <s v="Office Supplies"/>
    <x v="516"/>
  </r>
  <r>
    <x v="175"/>
    <s v="Office Supplies"/>
    <x v="517"/>
  </r>
  <r>
    <x v="58"/>
    <s v="Office Supplies"/>
    <x v="518"/>
  </r>
  <r>
    <x v="58"/>
    <s v="Furniture"/>
    <x v="519"/>
  </r>
  <r>
    <x v="58"/>
    <s v="Technology"/>
    <x v="520"/>
  </r>
  <r>
    <x v="58"/>
    <s v="Office Supplies"/>
    <x v="521"/>
  </r>
  <r>
    <x v="117"/>
    <s v="Furniture"/>
    <x v="522"/>
  </r>
  <r>
    <x v="124"/>
    <s v="Office Supplies"/>
    <x v="523"/>
  </r>
  <r>
    <x v="124"/>
    <s v="Technology"/>
    <x v="524"/>
  </r>
  <r>
    <x v="144"/>
    <s v="Office Supplies"/>
    <x v="525"/>
  </r>
  <r>
    <x v="144"/>
    <s v="Office Supplies"/>
    <x v="526"/>
  </r>
  <r>
    <x v="144"/>
    <s v="Office Supplies"/>
    <x v="527"/>
  </r>
  <r>
    <x v="176"/>
    <s v="Office Supplies"/>
    <x v="528"/>
  </r>
  <r>
    <x v="176"/>
    <s v="Furniture"/>
    <x v="529"/>
  </r>
  <r>
    <x v="76"/>
    <s v="Office Supplies"/>
    <x v="530"/>
  </r>
  <r>
    <x v="177"/>
    <s v="Technology"/>
    <x v="531"/>
  </r>
  <r>
    <x v="101"/>
    <s v="Office Supplies"/>
    <x v="532"/>
  </r>
  <r>
    <x v="178"/>
    <s v="Office Supplies"/>
    <x v="164"/>
  </r>
  <r>
    <x v="178"/>
    <s v="Office Supplies"/>
    <x v="533"/>
  </r>
  <r>
    <x v="178"/>
    <s v="Technology"/>
    <x v="534"/>
  </r>
  <r>
    <x v="179"/>
    <s v="Furniture"/>
    <x v="535"/>
  </r>
  <r>
    <x v="179"/>
    <s v="Furniture"/>
    <x v="536"/>
  </r>
  <r>
    <x v="99"/>
    <s v="Office Supplies"/>
    <x v="537"/>
  </r>
  <r>
    <x v="99"/>
    <s v="Technology"/>
    <x v="538"/>
  </r>
  <r>
    <x v="180"/>
    <s v="Office Supplies"/>
    <x v="539"/>
  </r>
  <r>
    <x v="180"/>
    <s v="Office Supplies"/>
    <x v="354"/>
  </r>
  <r>
    <x v="180"/>
    <s v="Office Supplies"/>
    <x v="540"/>
  </r>
  <r>
    <x v="79"/>
    <s v="Office Supplies"/>
    <x v="541"/>
  </r>
  <r>
    <x v="79"/>
    <s v="Furniture"/>
    <x v="304"/>
  </r>
  <r>
    <x v="79"/>
    <s v="Furniture"/>
    <x v="542"/>
  </r>
  <r>
    <x v="79"/>
    <s v="Office Supplies"/>
    <x v="543"/>
  </r>
  <r>
    <x v="79"/>
    <s v="Office Supplies"/>
    <x v="544"/>
  </r>
  <r>
    <x v="79"/>
    <s v="Technology"/>
    <x v="545"/>
  </r>
  <r>
    <x v="79"/>
    <s v="Office Supplies"/>
    <x v="546"/>
  </r>
  <r>
    <x v="79"/>
    <s v="Furniture"/>
    <x v="547"/>
  </r>
  <r>
    <x v="79"/>
    <s v="Office Supplies"/>
    <x v="548"/>
  </r>
  <r>
    <x v="79"/>
    <s v="Technology"/>
    <x v="549"/>
  </r>
  <r>
    <x v="79"/>
    <s v="Technology"/>
    <x v="550"/>
  </r>
  <r>
    <x v="79"/>
    <s v="Office Supplies"/>
    <x v="551"/>
  </r>
  <r>
    <x v="3"/>
    <s v="Office Supplies"/>
    <x v="552"/>
  </r>
  <r>
    <x v="3"/>
    <s v="Office Supplies"/>
    <x v="553"/>
  </r>
  <r>
    <x v="3"/>
    <s v="Technology"/>
    <x v="554"/>
  </r>
  <r>
    <x v="3"/>
    <s v="Technology"/>
    <x v="555"/>
  </r>
  <r>
    <x v="3"/>
    <s v="Office Supplies"/>
    <x v="556"/>
  </r>
  <r>
    <x v="3"/>
    <s v="Office Supplies"/>
    <x v="557"/>
  </r>
  <r>
    <x v="3"/>
    <s v="Office Supplies"/>
    <x v="558"/>
  </r>
  <r>
    <x v="3"/>
    <s v="Office Supplies"/>
    <x v="559"/>
  </r>
  <r>
    <x v="55"/>
    <s v="Technology"/>
    <x v="560"/>
  </r>
  <r>
    <x v="55"/>
    <s v="Office Supplies"/>
    <x v="561"/>
  </r>
  <r>
    <x v="55"/>
    <s v="Office Supplies"/>
    <x v="562"/>
  </r>
  <r>
    <x v="115"/>
    <s v="Technology"/>
    <x v="563"/>
  </r>
  <r>
    <x v="181"/>
    <s v="Office Supplies"/>
    <x v="564"/>
  </r>
  <r>
    <x v="181"/>
    <s v="Technology"/>
    <x v="565"/>
  </r>
  <r>
    <x v="182"/>
    <s v="Office Supplies"/>
    <x v="566"/>
  </r>
  <r>
    <x v="183"/>
    <s v="Office Supplies"/>
    <x v="567"/>
  </r>
  <r>
    <x v="183"/>
    <s v="Office Supplies"/>
    <x v="568"/>
  </r>
  <r>
    <x v="183"/>
    <s v="Office Supplies"/>
    <x v="569"/>
  </r>
  <r>
    <x v="163"/>
    <s v="Office Supplies"/>
    <x v="570"/>
  </r>
  <r>
    <x v="163"/>
    <s v="Furniture"/>
    <x v="571"/>
  </r>
  <r>
    <x v="184"/>
    <s v="Technology"/>
    <x v="572"/>
  </r>
  <r>
    <x v="184"/>
    <s v="Office Supplies"/>
    <x v="573"/>
  </r>
  <r>
    <x v="14"/>
    <s v="Office Supplies"/>
    <x v="447"/>
  </r>
  <r>
    <x v="14"/>
    <s v="Furniture"/>
    <x v="574"/>
  </r>
  <r>
    <x v="184"/>
    <s v="Office Supplies"/>
    <x v="575"/>
  </r>
  <r>
    <x v="185"/>
    <s v="Furniture"/>
    <x v="576"/>
  </r>
  <r>
    <x v="186"/>
    <s v="Office Supplies"/>
    <x v="577"/>
  </r>
  <r>
    <x v="37"/>
    <s v="Office Supplies"/>
    <x v="578"/>
  </r>
  <r>
    <x v="37"/>
    <s v="Furniture"/>
    <x v="579"/>
  </r>
  <r>
    <x v="157"/>
    <s v="Office Supplies"/>
    <x v="580"/>
  </r>
  <r>
    <x v="18"/>
    <s v="Technology"/>
    <x v="572"/>
  </r>
  <r>
    <x v="18"/>
    <s v="Furniture"/>
    <x v="581"/>
  </r>
  <r>
    <x v="18"/>
    <s v="Technology"/>
    <x v="582"/>
  </r>
  <r>
    <x v="18"/>
    <s v="Furniture"/>
    <x v="583"/>
  </r>
  <r>
    <x v="64"/>
    <s v="Furniture"/>
    <x v="584"/>
  </r>
  <r>
    <x v="187"/>
    <s v="Technology"/>
    <x v="585"/>
  </r>
  <r>
    <x v="187"/>
    <s v="Technology"/>
    <x v="586"/>
  </r>
  <r>
    <x v="147"/>
    <s v="Office Supplies"/>
    <x v="587"/>
  </r>
  <r>
    <x v="147"/>
    <s v="Office Supplies"/>
    <x v="588"/>
  </r>
  <r>
    <x v="147"/>
    <s v="Office Supplies"/>
    <x v="589"/>
  </r>
  <r>
    <x v="188"/>
    <s v="Office Supplies"/>
    <x v="590"/>
  </r>
  <r>
    <x v="189"/>
    <s v="Office Supplies"/>
    <x v="591"/>
  </r>
  <r>
    <x v="189"/>
    <s v="Furniture"/>
    <x v="592"/>
  </r>
  <r>
    <x v="59"/>
    <s v="Office Supplies"/>
    <x v="502"/>
  </r>
  <r>
    <x v="59"/>
    <s v="Technology"/>
    <x v="593"/>
  </r>
  <r>
    <x v="190"/>
    <s v="Office Supplies"/>
    <x v="594"/>
  </r>
  <r>
    <x v="190"/>
    <s v="Technology"/>
    <x v="595"/>
  </r>
  <r>
    <x v="191"/>
    <s v="Office Supplies"/>
    <x v="596"/>
  </r>
  <r>
    <x v="191"/>
    <s v="Office Supplies"/>
    <x v="528"/>
  </r>
  <r>
    <x v="107"/>
    <s v="Office Supplies"/>
    <x v="597"/>
  </r>
  <r>
    <x v="11"/>
    <s v="Furniture"/>
    <x v="598"/>
  </r>
  <r>
    <x v="165"/>
    <s v="Furniture"/>
    <x v="599"/>
  </r>
  <r>
    <x v="165"/>
    <s v="Office Supplies"/>
    <x v="600"/>
  </r>
  <r>
    <x v="24"/>
    <s v="Office Supplies"/>
    <x v="601"/>
  </r>
  <r>
    <x v="24"/>
    <s v="Technology"/>
    <x v="602"/>
  </r>
  <r>
    <x v="192"/>
    <s v="Office Supplies"/>
    <x v="603"/>
  </r>
  <r>
    <x v="52"/>
    <s v="Technology"/>
    <x v="604"/>
  </r>
  <r>
    <x v="32"/>
    <s v="Furniture"/>
    <x v="605"/>
  </r>
  <r>
    <x v="58"/>
    <s v="Office Supplies"/>
    <x v="606"/>
  </r>
  <r>
    <x v="193"/>
    <s v="Office Supplies"/>
    <x v="607"/>
  </r>
  <r>
    <x v="194"/>
    <s v="Office Supplies"/>
    <x v="52"/>
  </r>
  <r>
    <x v="194"/>
    <s v="Technology"/>
    <x v="608"/>
  </r>
  <r>
    <x v="194"/>
    <s v="Technology"/>
    <x v="609"/>
  </r>
  <r>
    <x v="32"/>
    <s v="Furniture"/>
    <x v="610"/>
  </r>
  <r>
    <x v="111"/>
    <s v="Office Supplies"/>
    <x v="611"/>
  </r>
  <r>
    <x v="195"/>
    <s v="Office Supplies"/>
    <x v="612"/>
  </r>
  <r>
    <x v="195"/>
    <s v="Furniture"/>
    <x v="613"/>
  </r>
  <r>
    <x v="195"/>
    <s v="Technology"/>
    <x v="614"/>
  </r>
  <r>
    <x v="170"/>
    <s v="Furniture"/>
    <x v="615"/>
  </r>
  <r>
    <x v="47"/>
    <s v="Office Supplies"/>
    <x v="616"/>
  </r>
  <r>
    <x v="47"/>
    <s v="Office Supplies"/>
    <x v="617"/>
  </r>
  <r>
    <x v="47"/>
    <s v="Office Supplies"/>
    <x v="599"/>
  </r>
  <r>
    <x v="47"/>
    <s v="Furniture"/>
    <x v="618"/>
  </r>
  <r>
    <x v="196"/>
    <s v="Office Supplies"/>
    <x v="619"/>
  </r>
  <r>
    <x v="196"/>
    <s v="Office Supplies"/>
    <x v="620"/>
  </r>
  <r>
    <x v="196"/>
    <s v="Technology"/>
    <x v="621"/>
  </r>
  <r>
    <x v="197"/>
    <s v="Office Supplies"/>
    <x v="622"/>
  </r>
  <r>
    <x v="162"/>
    <s v="Office Supplies"/>
    <x v="623"/>
  </r>
  <r>
    <x v="162"/>
    <s v="Technology"/>
    <x v="624"/>
  </r>
  <r>
    <x v="95"/>
    <s v="Furniture"/>
    <x v="625"/>
  </r>
  <r>
    <x v="106"/>
    <s v="Office Supplies"/>
    <x v="626"/>
  </r>
  <r>
    <x v="76"/>
    <s v="Technology"/>
    <x v="627"/>
  </r>
  <r>
    <x v="198"/>
    <s v="Furniture"/>
    <x v="628"/>
  </r>
  <r>
    <x v="170"/>
    <s v="Office Supplies"/>
    <x v="96"/>
  </r>
  <r>
    <x v="170"/>
    <s v="Office Supplies"/>
    <x v="71"/>
  </r>
  <r>
    <x v="170"/>
    <s v="Office Supplies"/>
    <x v="629"/>
  </r>
  <r>
    <x v="170"/>
    <s v="Office Supplies"/>
    <x v="630"/>
  </r>
  <r>
    <x v="170"/>
    <s v="Technology"/>
    <x v="534"/>
  </r>
  <r>
    <x v="28"/>
    <s v="Furniture"/>
    <x v="631"/>
  </r>
  <r>
    <x v="28"/>
    <s v="Office Supplies"/>
    <x v="632"/>
  </r>
  <r>
    <x v="199"/>
    <s v="Furniture"/>
    <x v="633"/>
  </r>
  <r>
    <x v="112"/>
    <s v="Office Supplies"/>
    <x v="273"/>
  </r>
  <r>
    <x v="200"/>
    <s v="Office Supplies"/>
    <x v="67"/>
  </r>
  <r>
    <x v="201"/>
    <s v="Office Supplies"/>
    <x v="164"/>
  </r>
  <r>
    <x v="201"/>
    <s v="Office Supplies"/>
    <x v="634"/>
  </r>
  <r>
    <x v="163"/>
    <s v="Office Supplies"/>
    <x v="635"/>
  </r>
  <r>
    <x v="145"/>
    <s v="Furniture"/>
    <x v="636"/>
  </r>
  <r>
    <x v="145"/>
    <s v="Furniture"/>
    <x v="637"/>
  </r>
  <r>
    <x v="145"/>
    <s v="Furniture"/>
    <x v="531"/>
  </r>
  <r>
    <x v="202"/>
    <s v="Office Supplies"/>
    <x v="638"/>
  </r>
  <r>
    <x v="203"/>
    <s v="Office Supplies"/>
    <x v="639"/>
  </r>
  <r>
    <x v="53"/>
    <s v="Office Supplies"/>
    <x v="640"/>
  </r>
  <r>
    <x v="204"/>
    <s v="Furniture"/>
    <x v="641"/>
  </r>
  <r>
    <x v="94"/>
    <s v="Furniture"/>
    <x v="642"/>
  </r>
  <r>
    <x v="200"/>
    <s v="Furniture"/>
    <x v="643"/>
  </r>
  <r>
    <x v="200"/>
    <s v="Office Supplies"/>
    <x v="644"/>
  </r>
  <r>
    <x v="15"/>
    <s v="Technology"/>
    <x v="645"/>
  </r>
  <r>
    <x v="154"/>
    <s v="Furniture"/>
    <x v="646"/>
  </r>
  <r>
    <x v="154"/>
    <s v="Office Supplies"/>
    <x v="647"/>
  </r>
  <r>
    <x v="154"/>
    <s v="Office Supplies"/>
    <x v="648"/>
  </r>
  <r>
    <x v="154"/>
    <s v="Office Supplies"/>
    <x v="649"/>
  </r>
  <r>
    <x v="154"/>
    <s v="Office Supplies"/>
    <x v="650"/>
  </r>
  <r>
    <x v="66"/>
    <s v="Office Supplies"/>
    <x v="651"/>
  </r>
  <r>
    <x v="66"/>
    <s v="Office Supplies"/>
    <x v="652"/>
  </r>
  <r>
    <x v="66"/>
    <s v="Office Supplies"/>
    <x v="653"/>
  </r>
  <r>
    <x v="66"/>
    <s v="Furniture"/>
    <x v="654"/>
  </r>
  <r>
    <x v="66"/>
    <s v="Office Supplies"/>
    <x v="655"/>
  </r>
  <r>
    <x v="66"/>
    <s v="Technology"/>
    <x v="656"/>
  </r>
  <r>
    <x v="50"/>
    <s v="Technology"/>
    <x v="657"/>
  </r>
  <r>
    <x v="115"/>
    <s v="Office Supplies"/>
    <x v="658"/>
  </r>
  <r>
    <x v="205"/>
    <s v="Office Supplies"/>
    <x v="659"/>
  </r>
  <r>
    <x v="205"/>
    <s v="Office Supplies"/>
    <x v="93"/>
  </r>
  <r>
    <x v="113"/>
    <s v="Office Supplies"/>
    <x v="26"/>
  </r>
  <r>
    <x v="113"/>
    <s v="Office Supplies"/>
    <x v="660"/>
  </r>
  <r>
    <x v="163"/>
    <s v="Office Supplies"/>
    <x v="661"/>
  </r>
  <r>
    <x v="163"/>
    <s v="Office Supplies"/>
    <x v="662"/>
  </r>
  <r>
    <x v="163"/>
    <s v="Office Supplies"/>
    <x v="26"/>
  </r>
  <r>
    <x v="163"/>
    <s v="Office Supplies"/>
    <x v="663"/>
  </r>
  <r>
    <x v="163"/>
    <s v="Office Supplies"/>
    <x v="664"/>
  </r>
  <r>
    <x v="149"/>
    <s v="Office Supplies"/>
    <x v="665"/>
  </r>
  <r>
    <x v="151"/>
    <s v="Office Supplies"/>
    <x v="314"/>
  </r>
  <r>
    <x v="123"/>
    <s v="Technology"/>
    <x v="666"/>
  </r>
  <r>
    <x v="206"/>
    <s v="Office Supplies"/>
    <x v="667"/>
  </r>
  <r>
    <x v="171"/>
    <s v="Office Supplies"/>
    <x v="668"/>
  </r>
  <r>
    <x v="171"/>
    <s v="Office Supplies"/>
    <x v="669"/>
  </r>
  <r>
    <x v="171"/>
    <s v="Office Supplies"/>
    <x v="670"/>
  </r>
  <r>
    <x v="171"/>
    <s v="Technology"/>
    <x v="671"/>
  </r>
  <r>
    <x v="171"/>
    <s v="Technology"/>
    <x v="672"/>
  </r>
  <r>
    <x v="207"/>
    <s v="Office Supplies"/>
    <x v="673"/>
  </r>
  <r>
    <x v="207"/>
    <s v="Office Supplies"/>
    <x v="452"/>
  </r>
  <r>
    <x v="120"/>
    <s v="Office Supplies"/>
    <x v="674"/>
  </r>
  <r>
    <x v="120"/>
    <s v="Office Supplies"/>
    <x v="675"/>
  </r>
  <r>
    <x v="208"/>
    <s v="Office Supplies"/>
    <x v="676"/>
  </r>
  <r>
    <x v="208"/>
    <s v="Office Supplies"/>
    <x v="99"/>
  </r>
  <r>
    <x v="160"/>
    <s v="Technology"/>
    <x v="677"/>
  </r>
  <r>
    <x v="160"/>
    <s v="Technology"/>
    <x v="678"/>
  </r>
  <r>
    <x v="160"/>
    <s v="Technology"/>
    <x v="679"/>
  </r>
  <r>
    <x v="49"/>
    <s v="Office Supplies"/>
    <x v="680"/>
  </r>
  <r>
    <x v="49"/>
    <s v="Technology"/>
    <x v="681"/>
  </r>
  <r>
    <x v="209"/>
    <s v="Furniture"/>
    <x v="682"/>
  </r>
  <r>
    <x v="112"/>
    <s v="Technology"/>
    <x v="683"/>
  </r>
  <r>
    <x v="112"/>
    <s v="Office Supplies"/>
    <x v="684"/>
  </r>
  <r>
    <x v="11"/>
    <s v="Office Supplies"/>
    <x v="685"/>
  </r>
  <r>
    <x v="11"/>
    <s v="Technology"/>
    <x v="686"/>
  </r>
  <r>
    <x v="14"/>
    <s v="Technology"/>
    <x v="687"/>
  </r>
  <r>
    <x v="14"/>
    <s v="Office Supplies"/>
    <x v="688"/>
  </r>
  <r>
    <x v="14"/>
    <s v="Furniture"/>
    <x v="689"/>
  </r>
  <r>
    <x v="14"/>
    <s v="Office Supplies"/>
    <x v="690"/>
  </r>
  <r>
    <x v="210"/>
    <s v="Office Supplies"/>
    <x v="691"/>
  </r>
  <r>
    <x v="29"/>
    <s v="Furniture"/>
    <x v="692"/>
  </r>
  <r>
    <x v="8"/>
    <s v="Technology"/>
    <x v="693"/>
  </r>
  <r>
    <x v="124"/>
    <s v="Furniture"/>
    <x v="694"/>
  </r>
  <r>
    <x v="211"/>
    <s v="Furniture"/>
    <x v="695"/>
  </r>
  <r>
    <x v="84"/>
    <s v="Office Supplies"/>
    <x v="696"/>
  </r>
  <r>
    <x v="84"/>
    <s v="Technology"/>
    <x v="697"/>
  </r>
  <r>
    <x v="84"/>
    <s v="Office Supplies"/>
    <x v="698"/>
  </r>
  <r>
    <x v="84"/>
    <s v="Technology"/>
    <x v="699"/>
  </r>
  <r>
    <x v="84"/>
    <s v="Technology"/>
    <x v="700"/>
  </r>
  <r>
    <x v="84"/>
    <s v="Office Supplies"/>
    <x v="701"/>
  </r>
  <r>
    <x v="84"/>
    <s v="Office Supplies"/>
    <x v="702"/>
  </r>
  <r>
    <x v="84"/>
    <s v="Office Supplies"/>
    <x v="703"/>
  </r>
  <r>
    <x v="84"/>
    <s v="Office Supplies"/>
    <x v="704"/>
  </r>
  <r>
    <x v="212"/>
    <s v="Office Supplies"/>
    <x v="705"/>
  </r>
  <r>
    <x v="213"/>
    <s v="Office Supplies"/>
    <x v="706"/>
  </r>
  <r>
    <x v="213"/>
    <s v="Office Supplies"/>
    <x v="707"/>
  </r>
  <r>
    <x v="213"/>
    <s v="Technology"/>
    <x v="708"/>
  </r>
  <r>
    <x v="213"/>
    <s v="Office Supplies"/>
    <x v="709"/>
  </r>
  <r>
    <x v="132"/>
    <s v="Office Supplies"/>
    <x v="710"/>
  </r>
  <r>
    <x v="132"/>
    <s v="Office Supplies"/>
    <x v="711"/>
  </r>
  <r>
    <x v="132"/>
    <s v="Office Supplies"/>
    <x v="712"/>
  </r>
  <r>
    <x v="132"/>
    <s v="Office Supplies"/>
    <x v="713"/>
  </r>
  <r>
    <x v="146"/>
    <s v="Furniture"/>
    <x v="714"/>
  </r>
  <r>
    <x v="74"/>
    <s v="Office Supplies"/>
    <x v="715"/>
  </r>
  <r>
    <x v="74"/>
    <s v="Office Supplies"/>
    <x v="716"/>
  </r>
  <r>
    <x v="43"/>
    <s v="Office Supplies"/>
    <x v="717"/>
  </r>
  <r>
    <x v="214"/>
    <s v="Technology"/>
    <x v="718"/>
  </r>
  <r>
    <x v="214"/>
    <s v="Furniture"/>
    <x v="719"/>
  </r>
  <r>
    <x v="214"/>
    <s v="Office Supplies"/>
    <x v="720"/>
  </r>
  <r>
    <x v="214"/>
    <s v="Office Supplies"/>
    <x v="71"/>
  </r>
  <r>
    <x v="215"/>
    <s v="Office Supplies"/>
    <x v="721"/>
  </r>
  <r>
    <x v="12"/>
    <s v="Office Supplies"/>
    <x v="722"/>
  </r>
  <r>
    <x v="12"/>
    <s v="Office Supplies"/>
    <x v="723"/>
  </r>
  <r>
    <x v="12"/>
    <s v="Office Supplies"/>
    <x v="724"/>
  </r>
  <r>
    <x v="164"/>
    <s v="Technology"/>
    <x v="725"/>
  </r>
  <r>
    <x v="164"/>
    <s v="Technology"/>
    <x v="726"/>
  </r>
  <r>
    <x v="163"/>
    <s v="Office Supplies"/>
    <x v="727"/>
  </r>
  <r>
    <x v="216"/>
    <s v="Furniture"/>
    <x v="728"/>
  </r>
  <r>
    <x v="212"/>
    <s v="Office Supplies"/>
    <x v="729"/>
  </r>
  <r>
    <x v="149"/>
    <s v="Office Supplies"/>
    <x v="730"/>
  </r>
  <r>
    <x v="149"/>
    <s v="Furniture"/>
    <x v="731"/>
  </r>
  <r>
    <x v="32"/>
    <s v="Furniture"/>
    <x v="732"/>
  </r>
  <r>
    <x v="32"/>
    <s v="Office Supplies"/>
    <x v="733"/>
  </r>
  <r>
    <x v="55"/>
    <s v="Technology"/>
    <x v="734"/>
  </r>
  <r>
    <x v="217"/>
    <s v="Office Supplies"/>
    <x v="735"/>
  </r>
  <r>
    <x v="217"/>
    <s v="Furniture"/>
    <x v="736"/>
  </r>
  <r>
    <x v="59"/>
    <s v="Office Supplies"/>
    <x v="737"/>
  </r>
  <r>
    <x v="218"/>
    <s v="Technology"/>
    <x v="738"/>
  </r>
  <r>
    <x v="218"/>
    <s v="Office Supplies"/>
    <x v="739"/>
  </r>
  <r>
    <x v="1"/>
    <s v="Office Supplies"/>
    <x v="740"/>
  </r>
  <r>
    <x v="106"/>
    <s v="Furniture"/>
    <x v="625"/>
  </r>
  <r>
    <x v="41"/>
    <s v="Office Supplies"/>
    <x v="741"/>
  </r>
  <r>
    <x v="41"/>
    <s v="Furniture"/>
    <x v="214"/>
  </r>
  <r>
    <x v="62"/>
    <s v="Technology"/>
    <x v="742"/>
  </r>
  <r>
    <x v="62"/>
    <s v="Office Supplies"/>
    <x v="743"/>
  </r>
  <r>
    <x v="210"/>
    <s v="Office Supplies"/>
    <x v="744"/>
  </r>
  <r>
    <x v="210"/>
    <s v="Office Supplies"/>
    <x v="745"/>
  </r>
  <r>
    <x v="210"/>
    <s v="Technology"/>
    <x v="746"/>
  </r>
  <r>
    <x v="210"/>
    <s v="Office Supplies"/>
    <x v="747"/>
  </r>
  <r>
    <x v="210"/>
    <s v="Office Supplies"/>
    <x v="748"/>
  </r>
  <r>
    <x v="219"/>
    <s v="Office Supplies"/>
    <x v="749"/>
  </r>
  <r>
    <x v="219"/>
    <s v="Office Supplies"/>
    <x v="750"/>
  </r>
  <r>
    <x v="208"/>
    <s v="Office Supplies"/>
    <x v="93"/>
  </r>
  <r>
    <x v="208"/>
    <s v="Office Supplies"/>
    <x v="751"/>
  </r>
  <r>
    <x v="18"/>
    <s v="Office Supplies"/>
    <x v="752"/>
  </r>
  <r>
    <x v="18"/>
    <s v="Technology"/>
    <x v="753"/>
  </r>
  <r>
    <x v="18"/>
    <s v="Office Supplies"/>
    <x v="754"/>
  </r>
  <r>
    <x v="18"/>
    <s v="Office Supplies"/>
    <x v="755"/>
  </r>
  <r>
    <x v="220"/>
    <s v="Technology"/>
    <x v="756"/>
  </r>
  <r>
    <x v="220"/>
    <s v="Technology"/>
    <x v="757"/>
  </r>
  <r>
    <x v="220"/>
    <s v="Office Supplies"/>
    <x v="758"/>
  </r>
  <r>
    <x v="220"/>
    <s v="Technology"/>
    <x v="759"/>
  </r>
  <r>
    <x v="7"/>
    <s v="Technology"/>
    <x v="760"/>
  </r>
  <r>
    <x v="7"/>
    <s v="Technology"/>
    <x v="761"/>
  </r>
  <r>
    <x v="7"/>
    <s v="Office Supplies"/>
    <x v="762"/>
  </r>
  <r>
    <x v="103"/>
    <s v="Furniture"/>
    <x v="383"/>
  </r>
  <r>
    <x v="103"/>
    <s v="Furniture"/>
    <x v="763"/>
  </r>
  <r>
    <x v="103"/>
    <s v="Furniture"/>
    <x v="764"/>
  </r>
  <r>
    <x v="141"/>
    <s v="Office Supplies"/>
    <x v="765"/>
  </r>
  <r>
    <x v="141"/>
    <s v="Office Supplies"/>
    <x v="203"/>
  </r>
  <r>
    <x v="141"/>
    <s v="Office Supplies"/>
    <x v="766"/>
  </r>
  <r>
    <x v="141"/>
    <s v="Furniture"/>
    <x v="767"/>
  </r>
  <r>
    <x v="200"/>
    <s v="Office Supplies"/>
    <x v="768"/>
  </r>
  <r>
    <x v="200"/>
    <s v="Office Supplies"/>
    <x v="769"/>
  </r>
  <r>
    <x v="200"/>
    <s v="Office Supplies"/>
    <x v="770"/>
  </r>
  <r>
    <x v="200"/>
    <s v="Furniture"/>
    <x v="771"/>
  </r>
  <r>
    <x v="200"/>
    <s v="Office Supplies"/>
    <x v="772"/>
  </r>
  <r>
    <x v="200"/>
    <s v="Office Supplies"/>
    <x v="773"/>
  </r>
  <r>
    <x v="200"/>
    <s v="Office Supplies"/>
    <x v="774"/>
  </r>
  <r>
    <x v="101"/>
    <s v="Technology"/>
    <x v="775"/>
  </r>
  <r>
    <x v="101"/>
    <s v="Office Supplies"/>
    <x v="776"/>
  </r>
  <r>
    <x v="100"/>
    <s v="Office Supplies"/>
    <x v="777"/>
  </r>
  <r>
    <x v="213"/>
    <s v="Office Supplies"/>
    <x v="562"/>
  </r>
  <r>
    <x v="99"/>
    <s v="Office Supplies"/>
    <x v="777"/>
  </r>
  <r>
    <x v="99"/>
    <s v="Office Supplies"/>
    <x v="778"/>
  </r>
  <r>
    <x v="80"/>
    <s v="Office Supplies"/>
    <x v="774"/>
  </r>
  <r>
    <x v="80"/>
    <s v="Technology"/>
    <x v="779"/>
  </r>
  <r>
    <x v="80"/>
    <s v="Office Supplies"/>
    <x v="780"/>
  </r>
  <r>
    <x v="80"/>
    <s v="Technology"/>
    <x v="781"/>
  </r>
  <r>
    <x v="80"/>
    <s v="Technology"/>
    <x v="782"/>
  </r>
  <r>
    <x v="63"/>
    <s v="Office Supplies"/>
    <x v="783"/>
  </r>
  <r>
    <x v="221"/>
    <s v="Office Supplies"/>
    <x v="784"/>
  </r>
  <r>
    <x v="142"/>
    <s v="Technology"/>
    <x v="785"/>
  </r>
  <r>
    <x v="28"/>
    <s v="Office Supplies"/>
    <x v="452"/>
  </r>
  <r>
    <x v="28"/>
    <s v="Office Supplies"/>
    <x v="135"/>
  </r>
  <r>
    <x v="28"/>
    <s v="Office Supplies"/>
    <x v="786"/>
  </r>
  <r>
    <x v="127"/>
    <s v="Furniture"/>
    <x v="787"/>
  </r>
  <r>
    <x v="162"/>
    <s v="Office Supplies"/>
    <x v="788"/>
  </r>
  <r>
    <x v="222"/>
    <s v="Technology"/>
    <x v="789"/>
  </r>
  <r>
    <x v="55"/>
    <s v="Office Supplies"/>
    <x v="790"/>
  </r>
  <r>
    <x v="187"/>
    <s v="Technology"/>
    <x v="791"/>
  </r>
  <r>
    <x v="187"/>
    <s v="Furniture"/>
    <x v="792"/>
  </r>
  <r>
    <x v="18"/>
    <s v="Office Supplies"/>
    <x v="793"/>
  </r>
  <r>
    <x v="18"/>
    <s v="Technology"/>
    <x v="794"/>
  </r>
  <r>
    <x v="223"/>
    <s v="Office Supplies"/>
    <x v="114"/>
  </r>
  <r>
    <x v="223"/>
    <s v="Technology"/>
    <x v="795"/>
  </r>
  <r>
    <x v="223"/>
    <s v="Furniture"/>
    <x v="796"/>
  </r>
  <r>
    <x v="149"/>
    <s v="Office Supplies"/>
    <x v="797"/>
  </r>
  <r>
    <x v="149"/>
    <s v="Technology"/>
    <x v="798"/>
  </r>
  <r>
    <x v="224"/>
    <s v="Technology"/>
    <x v="799"/>
  </r>
  <r>
    <x v="112"/>
    <s v="Technology"/>
    <x v="800"/>
  </r>
  <r>
    <x v="112"/>
    <s v="Office Supplies"/>
    <x v="801"/>
  </r>
  <r>
    <x v="215"/>
    <s v="Office Supplies"/>
    <x v="802"/>
  </r>
  <r>
    <x v="215"/>
    <s v="Office Supplies"/>
    <x v="803"/>
  </r>
  <r>
    <x v="215"/>
    <s v="Office Supplies"/>
    <x v="804"/>
  </r>
  <r>
    <x v="225"/>
    <s v="Office Supplies"/>
    <x v="805"/>
  </r>
  <r>
    <x v="225"/>
    <s v="Office Supplies"/>
    <x v="806"/>
  </r>
  <r>
    <x v="113"/>
    <s v="Furniture"/>
    <x v="807"/>
  </r>
  <r>
    <x v="98"/>
    <s v="Office Supplies"/>
    <x v="457"/>
  </r>
  <r>
    <x v="144"/>
    <s v="Furniture"/>
    <x v="367"/>
  </r>
  <r>
    <x v="144"/>
    <s v="Technology"/>
    <x v="808"/>
  </r>
  <r>
    <x v="181"/>
    <s v="Office Supplies"/>
    <x v="809"/>
  </r>
  <r>
    <x v="64"/>
    <s v="Office Supplies"/>
    <x v="471"/>
  </r>
  <r>
    <x v="51"/>
    <s v="Office Supplies"/>
    <x v="126"/>
  </r>
  <r>
    <x v="51"/>
    <s v="Office Supplies"/>
    <x v="383"/>
  </r>
  <r>
    <x v="51"/>
    <s v="Office Supplies"/>
    <x v="810"/>
  </r>
  <r>
    <x v="33"/>
    <s v="Furniture"/>
    <x v="811"/>
  </r>
  <r>
    <x v="17"/>
    <s v="Office Supplies"/>
    <x v="804"/>
  </r>
  <r>
    <x v="17"/>
    <s v="Office Supplies"/>
    <x v="812"/>
  </r>
  <r>
    <x v="226"/>
    <s v="Office Supplies"/>
    <x v="813"/>
  </r>
  <r>
    <x v="226"/>
    <s v="Office Supplies"/>
    <x v="228"/>
  </r>
  <r>
    <x v="98"/>
    <s v="Office Supplies"/>
    <x v="814"/>
  </r>
  <r>
    <x v="98"/>
    <s v="Office Supplies"/>
    <x v="135"/>
  </r>
  <r>
    <x v="98"/>
    <s v="Office Supplies"/>
    <x v="815"/>
  </r>
  <r>
    <x v="150"/>
    <s v="Office Supplies"/>
    <x v="816"/>
  </r>
  <r>
    <x v="209"/>
    <s v="Office Supplies"/>
    <x v="817"/>
  </r>
  <r>
    <x v="227"/>
    <s v="Technology"/>
    <x v="818"/>
  </r>
  <r>
    <x v="202"/>
    <s v="Office Supplies"/>
    <x v="819"/>
  </r>
  <r>
    <x v="3"/>
    <s v="Office Supplies"/>
    <x v="820"/>
  </r>
  <r>
    <x v="228"/>
    <s v="Furniture"/>
    <x v="821"/>
  </r>
  <r>
    <x v="228"/>
    <s v="Office Supplies"/>
    <x v="822"/>
  </r>
  <r>
    <x v="22"/>
    <s v="Office Supplies"/>
    <x v="823"/>
  </r>
  <r>
    <x v="186"/>
    <s v="Office Supplies"/>
    <x v="824"/>
  </r>
  <r>
    <x v="229"/>
    <s v="Office Supplies"/>
    <x v="825"/>
  </r>
  <r>
    <x v="69"/>
    <s v="Technology"/>
    <x v="826"/>
  </r>
  <r>
    <x v="69"/>
    <s v="Technology"/>
    <x v="827"/>
  </r>
  <r>
    <x v="69"/>
    <s v="Furniture"/>
    <x v="828"/>
  </r>
  <r>
    <x v="69"/>
    <s v="Office Supplies"/>
    <x v="829"/>
  </r>
  <r>
    <x v="230"/>
    <s v="Office Supplies"/>
    <x v="473"/>
  </r>
  <r>
    <x v="231"/>
    <s v="Office Supplies"/>
    <x v="292"/>
  </r>
  <r>
    <x v="231"/>
    <s v="Office Supplies"/>
    <x v="830"/>
  </r>
  <r>
    <x v="231"/>
    <s v="Office Supplies"/>
    <x v="831"/>
  </r>
  <r>
    <x v="231"/>
    <s v="Office Supplies"/>
    <x v="307"/>
  </r>
  <r>
    <x v="141"/>
    <s v="Furniture"/>
    <x v="832"/>
  </r>
  <r>
    <x v="34"/>
    <s v="Office Supplies"/>
    <x v="833"/>
  </r>
  <r>
    <x v="192"/>
    <s v="Office Supplies"/>
    <x v="834"/>
  </r>
  <r>
    <x v="172"/>
    <s v="Office Supplies"/>
    <x v="835"/>
  </r>
  <r>
    <x v="117"/>
    <s v="Office Supplies"/>
    <x v="114"/>
  </r>
  <r>
    <x v="117"/>
    <s v="Office Supplies"/>
    <x v="67"/>
  </r>
  <r>
    <x v="117"/>
    <s v="Office Supplies"/>
    <x v="712"/>
  </r>
  <r>
    <x v="232"/>
    <s v="Office Supplies"/>
    <x v="836"/>
  </r>
  <r>
    <x v="122"/>
    <s v="Office Supplies"/>
    <x v="837"/>
  </r>
  <r>
    <x v="122"/>
    <s v="Office Supplies"/>
    <x v="838"/>
  </r>
  <r>
    <x v="122"/>
    <s v="Furniture"/>
    <x v="839"/>
  </r>
  <r>
    <x v="122"/>
    <s v="Technology"/>
    <x v="840"/>
  </r>
  <r>
    <x v="61"/>
    <s v="Office Supplies"/>
    <x v="841"/>
  </r>
  <r>
    <x v="33"/>
    <s v="Office Supplies"/>
    <x v="480"/>
  </r>
  <r>
    <x v="33"/>
    <s v="Office Supplies"/>
    <x v="842"/>
  </r>
  <r>
    <x v="33"/>
    <s v="Office Supplies"/>
    <x v="748"/>
  </r>
  <r>
    <x v="166"/>
    <s v="Office Supplies"/>
    <x v="843"/>
  </r>
  <r>
    <x v="39"/>
    <s v="Office Supplies"/>
    <x v="844"/>
  </r>
  <r>
    <x v="83"/>
    <s v="Office Supplies"/>
    <x v="845"/>
  </r>
  <r>
    <x v="233"/>
    <s v="Furniture"/>
    <x v="846"/>
  </r>
  <r>
    <x v="116"/>
    <s v="Office Supplies"/>
    <x v="268"/>
  </r>
  <r>
    <x v="2"/>
    <s v="Office Supplies"/>
    <x v="847"/>
  </r>
  <r>
    <x v="157"/>
    <s v="Furniture"/>
    <x v="848"/>
  </r>
  <r>
    <x v="171"/>
    <s v="Furniture"/>
    <x v="849"/>
  </r>
  <r>
    <x v="171"/>
    <s v="Furniture"/>
    <x v="850"/>
  </r>
  <r>
    <x v="171"/>
    <s v="Furniture"/>
    <x v="851"/>
  </r>
  <r>
    <x v="32"/>
    <s v="Office Supplies"/>
    <x v="852"/>
  </r>
  <r>
    <x v="32"/>
    <s v="Furniture"/>
    <x v="853"/>
  </r>
  <r>
    <x v="234"/>
    <s v="Furniture"/>
    <x v="162"/>
  </r>
  <r>
    <x v="234"/>
    <s v="Office Supplies"/>
    <x v="854"/>
  </r>
  <r>
    <x v="234"/>
    <s v="Office Supplies"/>
    <x v="855"/>
  </r>
  <r>
    <x v="26"/>
    <s v="Technology"/>
    <x v="856"/>
  </r>
  <r>
    <x v="26"/>
    <s v="Office Supplies"/>
    <x v="857"/>
  </r>
  <r>
    <x v="26"/>
    <s v="Furniture"/>
    <x v="858"/>
  </r>
  <r>
    <x v="26"/>
    <s v="Furniture"/>
    <x v="89"/>
  </r>
  <r>
    <x v="26"/>
    <s v="Technology"/>
    <x v="859"/>
  </r>
  <r>
    <x v="26"/>
    <s v="Technology"/>
    <x v="860"/>
  </r>
  <r>
    <x v="235"/>
    <s v="Furniture"/>
    <x v="861"/>
  </r>
  <r>
    <x v="132"/>
    <s v="Office Supplies"/>
    <x v="862"/>
  </r>
  <r>
    <x v="133"/>
    <s v="Office Supplies"/>
    <x v="863"/>
  </r>
  <r>
    <x v="133"/>
    <s v="Office Supplies"/>
    <x v="864"/>
  </r>
  <r>
    <x v="236"/>
    <s v="Furniture"/>
    <x v="865"/>
  </r>
  <r>
    <x v="236"/>
    <s v="Furniture"/>
    <x v="866"/>
  </r>
  <r>
    <x v="236"/>
    <s v="Office Supplies"/>
    <x v="867"/>
  </r>
  <r>
    <x v="236"/>
    <s v="Furniture"/>
    <x v="522"/>
  </r>
  <r>
    <x v="10"/>
    <s v="Office Supplies"/>
    <x v="868"/>
  </r>
  <r>
    <x v="10"/>
    <s v="Office Supplies"/>
    <x v="381"/>
  </r>
  <r>
    <x v="10"/>
    <s v="Office Supplies"/>
    <x v="869"/>
  </r>
  <r>
    <x v="10"/>
    <s v="Furniture"/>
    <x v="870"/>
  </r>
  <r>
    <x v="10"/>
    <s v="Office Supplies"/>
    <x v="871"/>
  </r>
  <r>
    <x v="236"/>
    <s v="Office Supplies"/>
    <x v="872"/>
  </r>
  <r>
    <x v="221"/>
    <s v="Furniture"/>
    <x v="873"/>
  </r>
  <r>
    <x v="175"/>
    <s v="Office Supplies"/>
    <x v="874"/>
  </r>
  <r>
    <x v="237"/>
    <s v="Office Supplies"/>
    <x v="528"/>
  </r>
  <r>
    <x v="236"/>
    <s v="Office Supplies"/>
    <x v="875"/>
  </r>
  <r>
    <x v="31"/>
    <s v="Office Supplies"/>
    <x v="876"/>
  </r>
  <r>
    <x v="238"/>
    <s v="Office Supplies"/>
    <x v="877"/>
  </r>
  <r>
    <x v="238"/>
    <s v="Technology"/>
    <x v="878"/>
  </r>
  <r>
    <x v="238"/>
    <s v="Office Supplies"/>
    <x v="879"/>
  </r>
  <r>
    <x v="238"/>
    <s v="Office Supplies"/>
    <x v="880"/>
  </r>
  <r>
    <x v="238"/>
    <s v="Office Supplies"/>
    <x v="473"/>
  </r>
  <r>
    <x v="202"/>
    <s v="Furniture"/>
    <x v="881"/>
  </r>
  <r>
    <x v="87"/>
    <s v="Furniture"/>
    <x v="882"/>
  </r>
  <r>
    <x v="22"/>
    <s v="Furniture"/>
    <x v="883"/>
  </r>
  <r>
    <x v="30"/>
    <s v="Office Supplies"/>
    <x v="473"/>
  </r>
  <r>
    <x v="175"/>
    <s v="Furniture"/>
    <x v="884"/>
  </r>
  <r>
    <x v="61"/>
    <s v="Office Supplies"/>
    <x v="67"/>
  </r>
  <r>
    <x v="61"/>
    <s v="Office Supplies"/>
    <x v="885"/>
  </r>
  <r>
    <x v="61"/>
    <s v="Furniture"/>
    <x v="886"/>
  </r>
  <r>
    <x v="10"/>
    <s v="Office Supplies"/>
    <x v="887"/>
  </r>
  <r>
    <x v="10"/>
    <s v="Office Supplies"/>
    <x v="888"/>
  </r>
  <r>
    <x v="130"/>
    <s v="Furniture"/>
    <x v="583"/>
  </r>
  <r>
    <x v="130"/>
    <s v="Technology"/>
    <x v="889"/>
  </r>
  <r>
    <x v="239"/>
    <s v="Furniture"/>
    <x v="19"/>
  </r>
  <r>
    <x v="239"/>
    <s v="Office Supplies"/>
    <x v="890"/>
  </r>
  <r>
    <x v="239"/>
    <s v="Office Supplies"/>
    <x v="891"/>
  </r>
  <r>
    <x v="2"/>
    <s v="Office Supplies"/>
    <x v="892"/>
  </r>
  <r>
    <x v="2"/>
    <s v="Office Supplies"/>
    <x v="893"/>
  </r>
  <r>
    <x v="2"/>
    <s v="Furniture"/>
    <x v="894"/>
  </r>
  <r>
    <x v="2"/>
    <s v="Furniture"/>
    <x v="895"/>
  </r>
  <r>
    <x v="126"/>
    <s v="Office Supplies"/>
    <x v="896"/>
  </r>
  <r>
    <x v="193"/>
    <s v="Office Supplies"/>
    <x v="897"/>
  </r>
  <r>
    <x v="193"/>
    <s v="Technology"/>
    <x v="898"/>
  </r>
  <r>
    <x v="193"/>
    <s v="Technology"/>
    <x v="899"/>
  </r>
  <r>
    <x v="193"/>
    <s v="Office Supplies"/>
    <x v="900"/>
  </r>
  <r>
    <x v="193"/>
    <s v="Office Supplies"/>
    <x v="901"/>
  </r>
  <r>
    <x v="93"/>
    <s v="Office Supplies"/>
    <x v="902"/>
  </r>
  <r>
    <x v="146"/>
    <s v="Office Supplies"/>
    <x v="67"/>
  </r>
  <r>
    <x v="146"/>
    <s v="Technology"/>
    <x v="903"/>
  </r>
  <r>
    <x v="240"/>
    <s v="Office Supplies"/>
    <x v="904"/>
  </r>
  <r>
    <x v="240"/>
    <s v="Technology"/>
    <x v="905"/>
  </r>
  <r>
    <x v="241"/>
    <s v="Office Supplies"/>
    <x v="906"/>
  </r>
  <r>
    <x v="241"/>
    <s v="Technology"/>
    <x v="907"/>
  </r>
  <r>
    <x v="241"/>
    <s v="Furniture"/>
    <x v="908"/>
  </r>
  <r>
    <x v="241"/>
    <s v="Office Supplies"/>
    <x v="909"/>
  </r>
  <r>
    <x v="52"/>
    <s v="Furniture"/>
    <x v="910"/>
  </r>
  <r>
    <x v="52"/>
    <s v="Technology"/>
    <x v="911"/>
  </r>
  <r>
    <x v="242"/>
    <s v="Office Supplies"/>
    <x v="912"/>
  </r>
  <r>
    <x v="242"/>
    <s v="Furniture"/>
    <x v="913"/>
  </r>
  <r>
    <x v="100"/>
    <s v="Office Supplies"/>
    <x v="768"/>
  </r>
  <r>
    <x v="100"/>
    <s v="Furniture"/>
    <x v="914"/>
  </r>
  <r>
    <x v="18"/>
    <s v="Office Supplies"/>
    <x v="915"/>
  </r>
  <r>
    <x v="18"/>
    <s v="Furniture"/>
    <x v="916"/>
  </r>
  <r>
    <x v="209"/>
    <s v="Office Supplies"/>
    <x v="917"/>
  </r>
  <r>
    <x v="233"/>
    <s v="Office Supplies"/>
    <x v="918"/>
  </r>
  <r>
    <x v="159"/>
    <s v="Technology"/>
    <x v="919"/>
  </r>
  <r>
    <x v="81"/>
    <s v="Office Supplies"/>
    <x v="920"/>
  </r>
  <r>
    <x v="26"/>
    <s v="Office Supplies"/>
    <x v="921"/>
  </r>
  <r>
    <x v="26"/>
    <s v="Office Supplies"/>
    <x v="922"/>
  </r>
  <r>
    <x v="26"/>
    <s v="Technology"/>
    <x v="923"/>
  </r>
  <r>
    <x v="26"/>
    <s v="Office Supplies"/>
    <x v="722"/>
  </r>
  <r>
    <x v="26"/>
    <s v="Technology"/>
    <x v="924"/>
  </r>
  <r>
    <x v="26"/>
    <s v="Furniture"/>
    <x v="925"/>
  </r>
  <r>
    <x v="37"/>
    <s v="Technology"/>
    <x v="926"/>
  </r>
  <r>
    <x v="37"/>
    <s v="Office Supplies"/>
    <x v="927"/>
  </r>
  <r>
    <x v="148"/>
    <s v="Furniture"/>
    <x v="928"/>
  </r>
  <r>
    <x v="148"/>
    <s v="Technology"/>
    <x v="929"/>
  </r>
  <r>
    <x v="66"/>
    <s v="Office Supplies"/>
    <x v="930"/>
  </r>
  <r>
    <x v="55"/>
    <s v="Office Supplies"/>
    <x v="931"/>
  </r>
  <r>
    <x v="98"/>
    <s v="Office Supplies"/>
    <x v="932"/>
  </r>
  <r>
    <x v="115"/>
    <s v="Furniture"/>
    <x v="933"/>
  </r>
  <r>
    <x v="115"/>
    <s v="Technology"/>
    <x v="388"/>
  </r>
  <r>
    <x v="3"/>
    <s v="Office Supplies"/>
    <x v="934"/>
  </r>
  <r>
    <x v="76"/>
    <s v="Furniture"/>
    <x v="935"/>
  </r>
  <r>
    <x v="76"/>
    <s v="Furniture"/>
    <x v="936"/>
  </r>
  <r>
    <x v="76"/>
    <s v="Office Supplies"/>
    <x v="937"/>
  </r>
  <r>
    <x v="11"/>
    <s v="Office Supplies"/>
    <x v="400"/>
  </r>
  <r>
    <x v="11"/>
    <s v="Technology"/>
    <x v="938"/>
  </r>
  <r>
    <x v="11"/>
    <s v="Office Supplies"/>
    <x v="939"/>
  </r>
  <r>
    <x v="11"/>
    <s v="Office Supplies"/>
    <x v="940"/>
  </r>
  <r>
    <x v="243"/>
    <s v="Technology"/>
    <x v="941"/>
  </r>
  <r>
    <x v="51"/>
    <s v="Office Supplies"/>
    <x v="942"/>
  </r>
  <r>
    <x v="51"/>
    <s v="Office Supplies"/>
    <x v="943"/>
  </r>
  <r>
    <x v="81"/>
    <s v="Technology"/>
    <x v="224"/>
  </r>
  <r>
    <x v="116"/>
    <s v="Office Supplies"/>
    <x v="944"/>
  </r>
  <r>
    <x v="244"/>
    <s v="Technology"/>
    <x v="945"/>
  </r>
  <r>
    <x v="117"/>
    <s v="Office Supplies"/>
    <x v="946"/>
  </r>
  <r>
    <x v="165"/>
    <s v="Office Supplies"/>
    <x v="947"/>
  </r>
  <r>
    <x v="165"/>
    <s v="Office Supplies"/>
    <x v="948"/>
  </r>
  <r>
    <x v="35"/>
    <s v="Office Supplies"/>
    <x v="949"/>
  </r>
  <r>
    <x v="134"/>
    <s v="Office Supplies"/>
    <x v="950"/>
  </r>
  <r>
    <x v="134"/>
    <s v="Technology"/>
    <x v="951"/>
  </r>
  <r>
    <x v="245"/>
    <s v="Furniture"/>
    <x v="952"/>
  </r>
  <r>
    <x v="149"/>
    <s v="Office Supplies"/>
    <x v="953"/>
  </r>
  <r>
    <x v="149"/>
    <s v="Office Supplies"/>
    <x v="954"/>
  </r>
  <r>
    <x v="149"/>
    <s v="Office Supplies"/>
    <x v="955"/>
  </r>
  <r>
    <x v="52"/>
    <s v="Office Supplies"/>
    <x v="956"/>
  </r>
  <r>
    <x v="24"/>
    <s v="Technology"/>
    <x v="957"/>
  </r>
  <r>
    <x v="24"/>
    <s v="Furniture"/>
    <x v="958"/>
  </r>
  <r>
    <x v="113"/>
    <s v="Technology"/>
    <x v="375"/>
  </r>
  <r>
    <x v="113"/>
    <s v="Office Supplies"/>
    <x v="959"/>
  </r>
  <r>
    <x v="113"/>
    <s v="Office Supplies"/>
    <x v="960"/>
  </r>
  <r>
    <x v="238"/>
    <s v="Furniture"/>
    <x v="961"/>
  </r>
  <r>
    <x v="246"/>
    <s v="Office Supplies"/>
    <x v="962"/>
  </r>
  <r>
    <x v="246"/>
    <s v="Technology"/>
    <x v="963"/>
  </r>
  <r>
    <x v="155"/>
    <s v="Technology"/>
    <x v="964"/>
  </r>
  <r>
    <x v="232"/>
    <s v="Office Supplies"/>
    <x v="960"/>
  </r>
  <r>
    <x v="232"/>
    <s v="Office Supplies"/>
    <x v="965"/>
  </r>
  <r>
    <x v="86"/>
    <s v="Office Supplies"/>
    <x v="966"/>
  </r>
  <r>
    <x v="86"/>
    <s v="Office Supplies"/>
    <x v="967"/>
  </r>
  <r>
    <x v="47"/>
    <s v="Technology"/>
    <x v="968"/>
  </r>
  <r>
    <x v="192"/>
    <s v="Technology"/>
    <x v="969"/>
  </r>
  <r>
    <x v="43"/>
    <s v="Furniture"/>
    <x v="970"/>
  </r>
  <r>
    <x v="43"/>
    <s v="Office Supplies"/>
    <x v="971"/>
  </r>
  <r>
    <x v="134"/>
    <s v="Furniture"/>
    <x v="972"/>
  </r>
  <r>
    <x v="234"/>
    <s v="Technology"/>
    <x v="973"/>
  </r>
  <r>
    <x v="234"/>
    <s v="Technology"/>
    <x v="974"/>
  </r>
  <r>
    <x v="234"/>
    <s v="Furniture"/>
    <x v="975"/>
  </r>
  <r>
    <x v="46"/>
    <s v="Office Supplies"/>
    <x v="551"/>
  </r>
  <r>
    <x v="46"/>
    <s v="Technology"/>
    <x v="976"/>
  </r>
  <r>
    <x v="46"/>
    <s v="Furniture"/>
    <x v="977"/>
  </r>
  <r>
    <x v="46"/>
    <s v="Furniture"/>
    <x v="978"/>
  </r>
  <r>
    <x v="46"/>
    <s v="Office Supplies"/>
    <x v="979"/>
  </r>
  <r>
    <x v="46"/>
    <s v="Office Supplies"/>
    <x v="980"/>
  </r>
  <r>
    <x v="46"/>
    <s v="Office Supplies"/>
    <x v="981"/>
  </r>
  <r>
    <x v="15"/>
    <s v="Office Supplies"/>
    <x v="982"/>
  </r>
  <r>
    <x v="59"/>
    <s v="Office Supplies"/>
    <x v="983"/>
  </r>
  <r>
    <x v="115"/>
    <s v="Office Supplies"/>
    <x v="984"/>
  </r>
  <r>
    <x v="115"/>
    <s v="Office Supplies"/>
    <x v="985"/>
  </r>
  <r>
    <x v="84"/>
    <s v="Office Supplies"/>
    <x v="986"/>
  </r>
  <r>
    <x v="84"/>
    <s v="Office Supplies"/>
    <x v="987"/>
  </r>
  <r>
    <x v="13"/>
    <s v="Furniture"/>
    <x v="988"/>
  </r>
  <r>
    <x v="39"/>
    <s v="Office Supplies"/>
    <x v="623"/>
  </r>
  <r>
    <x v="160"/>
    <s v="Office Supplies"/>
    <x v="989"/>
  </r>
  <r>
    <x v="160"/>
    <s v="Office Supplies"/>
    <x v="990"/>
  </r>
  <r>
    <x v="160"/>
    <s v="Technology"/>
    <x v="991"/>
  </r>
  <r>
    <x v="160"/>
    <s v="Office Supplies"/>
    <x v="992"/>
  </r>
  <r>
    <x v="160"/>
    <s v="Furniture"/>
    <x v="993"/>
  </r>
  <r>
    <x v="171"/>
    <s v="Office Supplies"/>
    <x v="994"/>
  </r>
  <r>
    <x v="53"/>
    <s v="Office Supplies"/>
    <x v="995"/>
  </r>
  <r>
    <x v="247"/>
    <s v="Office Supplies"/>
    <x v="996"/>
  </r>
  <r>
    <x v="247"/>
    <s v="Office Supplies"/>
    <x v="997"/>
  </r>
  <r>
    <x v="247"/>
    <s v="Office Supplies"/>
    <x v="998"/>
  </r>
  <r>
    <x v="38"/>
    <s v="Furniture"/>
    <x v="999"/>
  </r>
  <r>
    <x v="144"/>
    <s v="Office Supplies"/>
    <x v="457"/>
  </r>
  <r>
    <x v="124"/>
    <s v="Office Supplies"/>
    <x v="1000"/>
  </r>
  <r>
    <x v="124"/>
    <s v="Furniture"/>
    <x v="1001"/>
  </r>
  <r>
    <x v="124"/>
    <s v="Office Supplies"/>
    <x v="1002"/>
  </r>
  <r>
    <x v="44"/>
    <s v="Office Supplies"/>
    <x v="1003"/>
  </r>
  <r>
    <x v="44"/>
    <s v="Furniture"/>
    <x v="1004"/>
  </r>
  <r>
    <x v="44"/>
    <s v="Office Supplies"/>
    <x v="788"/>
  </r>
  <r>
    <x v="76"/>
    <s v="Office Supplies"/>
    <x v="1005"/>
  </r>
  <r>
    <x v="76"/>
    <s v="Office Supplies"/>
    <x v="1006"/>
  </r>
  <r>
    <x v="145"/>
    <s v="Furniture"/>
    <x v="1007"/>
  </r>
  <r>
    <x v="145"/>
    <s v="Furniture"/>
    <x v="1008"/>
  </r>
  <r>
    <x v="145"/>
    <s v="Office Supplies"/>
    <x v="1009"/>
  </r>
  <r>
    <x v="32"/>
    <s v="Office Supplies"/>
    <x v="1010"/>
  </r>
  <r>
    <x v="32"/>
    <s v="Office Supplies"/>
    <x v="1011"/>
  </r>
  <r>
    <x v="154"/>
    <s v="Office Supplies"/>
    <x v="1012"/>
  </r>
  <r>
    <x v="30"/>
    <s v="Technology"/>
    <x v="608"/>
  </r>
  <r>
    <x v="30"/>
    <s v="Furniture"/>
    <x v="1013"/>
  </r>
  <r>
    <x v="30"/>
    <s v="Office Supplies"/>
    <x v="1014"/>
  </r>
  <r>
    <x v="30"/>
    <s v="Office Supplies"/>
    <x v="1015"/>
  </r>
  <r>
    <x v="30"/>
    <s v="Technology"/>
    <x v="388"/>
  </r>
  <r>
    <x v="15"/>
    <s v="Technology"/>
    <x v="1016"/>
  </r>
  <r>
    <x v="213"/>
    <s v="Technology"/>
    <x v="1017"/>
  </r>
  <r>
    <x v="26"/>
    <s v="Office Supplies"/>
    <x v="1018"/>
  </r>
  <r>
    <x v="26"/>
    <s v="Technology"/>
    <x v="1019"/>
  </r>
  <r>
    <x v="126"/>
    <s v="Furniture"/>
    <x v="1020"/>
  </r>
  <r>
    <x v="126"/>
    <s v="Technology"/>
    <x v="1021"/>
  </r>
  <r>
    <x v="153"/>
    <s v="Office Supplies"/>
    <x v="1022"/>
  </r>
  <r>
    <x v="70"/>
    <s v="Technology"/>
    <x v="1023"/>
  </r>
  <r>
    <x v="70"/>
    <s v="Technology"/>
    <x v="1024"/>
  </r>
  <r>
    <x v="70"/>
    <s v="Furniture"/>
    <x v="1025"/>
  </r>
  <r>
    <x v="91"/>
    <s v="Office Supplies"/>
    <x v="457"/>
  </r>
  <r>
    <x v="91"/>
    <s v="Technology"/>
    <x v="1026"/>
  </r>
  <r>
    <x v="146"/>
    <s v="Furniture"/>
    <x v="1027"/>
  </r>
  <r>
    <x v="146"/>
    <s v="Office Supplies"/>
    <x v="1028"/>
  </r>
  <r>
    <x v="146"/>
    <s v="Office Supplies"/>
    <x v="1029"/>
  </r>
  <r>
    <x v="113"/>
    <s v="Technology"/>
    <x v="1030"/>
  </r>
  <r>
    <x v="113"/>
    <s v="Technology"/>
    <x v="1031"/>
  </r>
  <r>
    <x v="113"/>
    <s v="Office Supplies"/>
    <x v="1032"/>
  </r>
  <r>
    <x v="94"/>
    <s v="Office Supplies"/>
    <x v="1033"/>
  </r>
  <r>
    <x v="94"/>
    <s v="Office Supplies"/>
    <x v="1034"/>
  </r>
  <r>
    <x v="145"/>
    <s v="Office Supplies"/>
    <x v="1035"/>
  </r>
  <r>
    <x v="145"/>
    <s v="Office Supplies"/>
    <x v="1036"/>
  </r>
  <r>
    <x v="145"/>
    <s v="Furniture"/>
    <x v="1037"/>
  </r>
  <r>
    <x v="145"/>
    <s v="Office Supplies"/>
    <x v="1038"/>
  </r>
  <r>
    <x v="13"/>
    <s v="Office Supplies"/>
    <x v="1039"/>
  </r>
  <r>
    <x v="24"/>
    <s v="Office Supplies"/>
    <x v="900"/>
  </r>
  <r>
    <x v="24"/>
    <s v="Office Supplies"/>
    <x v="1040"/>
  </r>
  <r>
    <x v="187"/>
    <s v="Office Supplies"/>
    <x v="1041"/>
  </r>
  <r>
    <x v="187"/>
    <s v="Technology"/>
    <x v="1042"/>
  </r>
  <r>
    <x v="146"/>
    <s v="Office Supplies"/>
    <x v="1043"/>
  </r>
  <r>
    <x v="146"/>
    <s v="Office Supplies"/>
    <x v="1044"/>
  </r>
  <r>
    <x v="146"/>
    <s v="Office Supplies"/>
    <x v="1045"/>
  </r>
  <r>
    <x v="146"/>
    <s v="Office Supplies"/>
    <x v="1046"/>
  </r>
  <r>
    <x v="59"/>
    <s v="Office Supplies"/>
    <x v="1047"/>
  </r>
  <r>
    <x v="124"/>
    <s v="Technology"/>
    <x v="1048"/>
  </r>
  <r>
    <x v="124"/>
    <s v="Technology"/>
    <x v="1049"/>
  </r>
  <r>
    <x v="124"/>
    <s v="Technology"/>
    <x v="1050"/>
  </r>
  <r>
    <x v="124"/>
    <s v="Technology"/>
    <x v="1051"/>
  </r>
  <r>
    <x v="63"/>
    <s v="Office Supplies"/>
    <x v="518"/>
  </r>
  <r>
    <x v="224"/>
    <s v="Office Supplies"/>
    <x v="1052"/>
  </r>
  <r>
    <x v="224"/>
    <s v="Office Supplies"/>
    <x v="1053"/>
  </r>
  <r>
    <x v="47"/>
    <s v="Office Supplies"/>
    <x v="1054"/>
  </r>
  <r>
    <x v="60"/>
    <s v="Office Supplies"/>
    <x v="1055"/>
  </r>
  <r>
    <x v="70"/>
    <s v="Technology"/>
    <x v="1056"/>
  </r>
  <r>
    <x v="138"/>
    <s v="Office Supplies"/>
    <x v="1057"/>
  </r>
  <r>
    <x v="62"/>
    <s v="Office Supplies"/>
    <x v="202"/>
  </r>
  <r>
    <x v="62"/>
    <s v="Office Supplies"/>
    <x v="1058"/>
  </r>
  <r>
    <x v="6"/>
    <s v="Office Supplies"/>
    <x v="1059"/>
  </r>
  <r>
    <x v="95"/>
    <s v="Technology"/>
    <x v="1060"/>
  </r>
  <r>
    <x v="46"/>
    <s v="Office Supplies"/>
    <x v="659"/>
  </r>
  <r>
    <x v="46"/>
    <s v="Furniture"/>
    <x v="1061"/>
  </r>
  <r>
    <x v="46"/>
    <s v="Furniture"/>
    <x v="1062"/>
  </r>
  <r>
    <x v="32"/>
    <s v="Furniture"/>
    <x v="1063"/>
  </r>
  <r>
    <x v="32"/>
    <s v="Office Supplies"/>
    <x v="1064"/>
  </r>
  <r>
    <x v="146"/>
    <s v="Office Supplies"/>
    <x v="1065"/>
  </r>
  <r>
    <x v="146"/>
    <s v="Technology"/>
    <x v="1066"/>
  </r>
  <r>
    <x v="146"/>
    <s v="Office Supplies"/>
    <x v="1067"/>
  </r>
  <r>
    <x v="69"/>
    <s v="Furniture"/>
    <x v="1068"/>
  </r>
  <r>
    <x v="69"/>
    <s v="Office Supplies"/>
    <x v="1069"/>
  </r>
  <r>
    <x v="69"/>
    <s v="Office Supplies"/>
    <x v="1070"/>
  </r>
  <r>
    <x v="69"/>
    <s v="Technology"/>
    <x v="1071"/>
  </r>
  <r>
    <x v="54"/>
    <s v="Office Supplies"/>
    <x v="1072"/>
  </r>
  <r>
    <x v="54"/>
    <s v="Office Supplies"/>
    <x v="1073"/>
  </r>
  <r>
    <x v="248"/>
    <s v="Office Supplies"/>
    <x v="1074"/>
  </r>
  <r>
    <x v="248"/>
    <s v="Office Supplies"/>
    <x v="1075"/>
  </r>
  <r>
    <x v="6"/>
    <s v="Technology"/>
    <x v="1076"/>
  </r>
  <r>
    <x v="6"/>
    <s v="Office Supplies"/>
    <x v="1077"/>
  </r>
  <r>
    <x v="6"/>
    <s v="Office Supplies"/>
    <x v="1078"/>
  </r>
  <r>
    <x v="6"/>
    <s v="Office Supplies"/>
    <x v="748"/>
  </r>
  <r>
    <x v="150"/>
    <s v="Office Supplies"/>
    <x v="1079"/>
  </r>
  <r>
    <x v="158"/>
    <s v="Office Supplies"/>
    <x v="89"/>
  </r>
  <r>
    <x v="159"/>
    <s v="Technology"/>
    <x v="1080"/>
  </r>
  <r>
    <x v="124"/>
    <s v="Technology"/>
    <x v="1081"/>
  </r>
  <r>
    <x v="124"/>
    <s v="Office Supplies"/>
    <x v="66"/>
  </r>
  <r>
    <x v="10"/>
    <s v="Furniture"/>
    <x v="1082"/>
  </r>
  <r>
    <x v="10"/>
    <s v="Office Supplies"/>
    <x v="1083"/>
  </r>
  <r>
    <x v="129"/>
    <s v="Office Supplies"/>
    <x v="258"/>
  </r>
  <r>
    <x v="129"/>
    <s v="Office Supplies"/>
    <x v="1084"/>
  </r>
  <r>
    <x v="7"/>
    <s v="Technology"/>
    <x v="1085"/>
  </r>
  <r>
    <x v="43"/>
    <s v="Furniture"/>
    <x v="1086"/>
  </r>
  <r>
    <x v="77"/>
    <s v="Office Supplies"/>
    <x v="1087"/>
  </r>
  <r>
    <x v="128"/>
    <s v="Furniture"/>
    <x v="1088"/>
  </r>
  <r>
    <x v="128"/>
    <s v="Office Supplies"/>
    <x v="1089"/>
  </r>
  <r>
    <x v="19"/>
    <s v="Technology"/>
    <x v="304"/>
  </r>
  <r>
    <x v="19"/>
    <s v="Furniture"/>
    <x v="1090"/>
  </r>
  <r>
    <x v="38"/>
    <s v="Office Supplies"/>
    <x v="1091"/>
  </r>
  <r>
    <x v="249"/>
    <s v="Office Supplies"/>
    <x v="1092"/>
  </r>
  <r>
    <x v="102"/>
    <s v="Office Supplies"/>
    <x v="962"/>
  </r>
  <r>
    <x v="250"/>
    <s v="Office Supplies"/>
    <x v="888"/>
  </r>
  <r>
    <x v="250"/>
    <s v="Furniture"/>
    <x v="1093"/>
  </r>
  <r>
    <x v="39"/>
    <s v="Furniture"/>
    <x v="438"/>
  </r>
  <r>
    <x v="39"/>
    <s v="Office Supplies"/>
    <x v="1094"/>
  </r>
  <r>
    <x v="39"/>
    <s v="Technology"/>
    <x v="1095"/>
  </r>
  <r>
    <x v="39"/>
    <s v="Office Supplies"/>
    <x v="99"/>
  </r>
  <r>
    <x v="39"/>
    <s v="Furniture"/>
    <x v="1096"/>
  </r>
  <r>
    <x v="39"/>
    <s v="Office Supplies"/>
    <x v="1097"/>
  </r>
  <r>
    <x v="39"/>
    <s v="Office Supplies"/>
    <x v="1098"/>
  </r>
  <r>
    <x v="39"/>
    <s v="Office Supplies"/>
    <x v="1099"/>
  </r>
  <r>
    <x v="168"/>
    <s v="Office Supplies"/>
    <x v="1100"/>
  </r>
  <r>
    <x v="251"/>
    <s v="Office Supplies"/>
    <x v="1101"/>
  </r>
  <r>
    <x v="93"/>
    <s v="Technology"/>
    <x v="608"/>
  </r>
  <r>
    <x v="252"/>
    <s v="Office Supplies"/>
    <x v="891"/>
  </r>
  <r>
    <x v="7"/>
    <s v="Office Supplies"/>
    <x v="1102"/>
  </r>
  <r>
    <x v="7"/>
    <s v="Office Supplies"/>
    <x v="1103"/>
  </r>
  <r>
    <x v="197"/>
    <s v="Technology"/>
    <x v="1104"/>
  </r>
  <r>
    <x v="110"/>
    <s v="Office Supplies"/>
    <x v="1105"/>
  </r>
  <r>
    <x v="115"/>
    <s v="Office Supplies"/>
    <x v="342"/>
  </r>
  <r>
    <x v="78"/>
    <s v="Furniture"/>
    <x v="1106"/>
  </r>
  <r>
    <x v="78"/>
    <s v="Technology"/>
    <x v="1107"/>
  </r>
  <r>
    <x v="253"/>
    <s v="Office Supplies"/>
    <x v="1108"/>
  </r>
  <r>
    <x v="127"/>
    <s v="Office Supplies"/>
    <x v="1109"/>
  </r>
  <r>
    <x v="127"/>
    <s v="Furniture"/>
    <x v="1110"/>
  </r>
  <r>
    <x v="127"/>
    <s v="Office Supplies"/>
    <x v="1111"/>
  </r>
  <r>
    <x v="127"/>
    <s v="Office Supplies"/>
    <x v="960"/>
  </r>
  <r>
    <x v="254"/>
    <s v="Furniture"/>
    <x v="1112"/>
  </r>
  <r>
    <x v="254"/>
    <s v="Furniture"/>
    <x v="1113"/>
  </r>
  <r>
    <x v="254"/>
    <s v="Furniture"/>
    <x v="1114"/>
  </r>
  <r>
    <x v="254"/>
    <s v="Office Supplies"/>
    <x v="1115"/>
  </r>
  <r>
    <x v="255"/>
    <s v="Office Supplies"/>
    <x v="269"/>
  </r>
  <r>
    <x v="165"/>
    <s v="Office Supplies"/>
    <x v="1116"/>
  </r>
  <r>
    <x v="165"/>
    <s v="Technology"/>
    <x v="1117"/>
  </r>
  <r>
    <x v="54"/>
    <s v="Office Supplies"/>
    <x v="1118"/>
  </r>
  <r>
    <x v="256"/>
    <s v="Furniture"/>
    <x v="1119"/>
  </r>
  <r>
    <x v="256"/>
    <s v="Office Supplies"/>
    <x v="838"/>
  </r>
  <r>
    <x v="122"/>
    <s v="Office Supplies"/>
    <x v="1120"/>
  </r>
  <r>
    <x v="122"/>
    <s v="Technology"/>
    <x v="1121"/>
  </r>
  <r>
    <x v="122"/>
    <s v="Office Supplies"/>
    <x v="987"/>
  </r>
  <r>
    <x v="257"/>
    <s v="Furniture"/>
    <x v="1122"/>
  </r>
  <r>
    <x v="257"/>
    <s v="Technology"/>
    <x v="624"/>
  </r>
  <r>
    <x v="42"/>
    <s v="Office Supplies"/>
    <x v="1123"/>
  </r>
  <r>
    <x v="219"/>
    <s v="Technology"/>
    <x v="1124"/>
  </r>
  <r>
    <x v="258"/>
    <s v="Office Supplies"/>
    <x v="1125"/>
  </r>
  <r>
    <x v="259"/>
    <s v="Technology"/>
    <x v="1126"/>
  </r>
  <r>
    <x v="65"/>
    <s v="Office Supplies"/>
    <x v="1127"/>
  </r>
  <r>
    <x v="65"/>
    <s v="Office Supplies"/>
    <x v="0"/>
  </r>
  <r>
    <x v="93"/>
    <s v="Office Supplies"/>
    <x v="1128"/>
  </r>
  <r>
    <x v="65"/>
    <s v="Technology"/>
    <x v="907"/>
  </r>
  <r>
    <x v="260"/>
    <s v="Technology"/>
    <x v="143"/>
  </r>
  <r>
    <x v="17"/>
    <s v="Office Supplies"/>
    <x v="135"/>
  </r>
  <r>
    <x v="17"/>
    <s v="Furniture"/>
    <x v="218"/>
  </r>
  <r>
    <x v="261"/>
    <s v="Furniture"/>
    <x v="1129"/>
  </r>
  <r>
    <x v="261"/>
    <s v="Furniture"/>
    <x v="1130"/>
  </r>
  <r>
    <x v="261"/>
    <s v="Office Supplies"/>
    <x v="1131"/>
  </r>
  <r>
    <x v="261"/>
    <s v="Office Supplies"/>
    <x v="1132"/>
  </r>
  <r>
    <x v="261"/>
    <s v="Furniture"/>
    <x v="1133"/>
  </r>
  <r>
    <x v="214"/>
    <s v="Office Supplies"/>
    <x v="258"/>
  </r>
  <r>
    <x v="214"/>
    <s v="Office Supplies"/>
    <x v="1134"/>
  </r>
  <r>
    <x v="79"/>
    <s v="Office Supplies"/>
    <x v="1135"/>
  </r>
  <r>
    <x v="79"/>
    <s v="Office Supplies"/>
    <x v="1136"/>
  </r>
  <r>
    <x v="79"/>
    <s v="Technology"/>
    <x v="372"/>
  </r>
  <r>
    <x v="227"/>
    <s v="Furniture"/>
    <x v="1137"/>
  </r>
  <r>
    <x v="227"/>
    <s v="Office Supplies"/>
    <x v="1138"/>
  </r>
  <r>
    <x v="240"/>
    <s v="Office Supplies"/>
    <x v="73"/>
  </r>
  <r>
    <x v="157"/>
    <s v="Office Supplies"/>
    <x v="1139"/>
  </r>
  <r>
    <x v="157"/>
    <s v="Office Supplies"/>
    <x v="1140"/>
  </r>
  <r>
    <x v="225"/>
    <s v="Office Supplies"/>
    <x v="1141"/>
  </r>
  <r>
    <x v="166"/>
    <s v="Office Supplies"/>
    <x v="430"/>
  </r>
  <r>
    <x v="166"/>
    <s v="Furniture"/>
    <x v="1142"/>
  </r>
  <r>
    <x v="81"/>
    <s v="Office Supplies"/>
    <x v="1143"/>
  </r>
  <r>
    <x v="81"/>
    <s v="Technology"/>
    <x v="1144"/>
  </r>
  <r>
    <x v="262"/>
    <s v="Furniture"/>
    <x v="1145"/>
  </r>
  <r>
    <x v="228"/>
    <s v="Office Supplies"/>
    <x v="1146"/>
  </r>
  <r>
    <x v="228"/>
    <s v="Office Supplies"/>
    <x v="1147"/>
  </r>
  <r>
    <x v="90"/>
    <s v="Furniture"/>
    <x v="1148"/>
  </r>
  <r>
    <x v="170"/>
    <s v="Office Supplies"/>
    <x v="446"/>
  </r>
  <r>
    <x v="170"/>
    <s v="Office Supplies"/>
    <x v="1149"/>
  </r>
  <r>
    <x v="246"/>
    <s v="Furniture"/>
    <x v="1150"/>
  </r>
  <r>
    <x v="246"/>
    <s v="Technology"/>
    <x v="1151"/>
  </r>
  <r>
    <x v="263"/>
    <s v="Office Supplies"/>
    <x v="1152"/>
  </r>
  <r>
    <x v="263"/>
    <s v="Office Supplies"/>
    <x v="1153"/>
  </r>
  <r>
    <x v="263"/>
    <s v="Technology"/>
    <x v="716"/>
  </r>
  <r>
    <x v="263"/>
    <s v="Office Supplies"/>
    <x v="1154"/>
  </r>
  <r>
    <x v="43"/>
    <s v="Technology"/>
    <x v="1155"/>
  </r>
  <r>
    <x v="43"/>
    <s v="Furniture"/>
    <x v="1156"/>
  </r>
  <r>
    <x v="58"/>
    <s v="Office Supplies"/>
    <x v="1157"/>
  </r>
  <r>
    <x v="21"/>
    <s v="Furniture"/>
    <x v="1158"/>
  </r>
  <r>
    <x v="21"/>
    <s v="Furniture"/>
    <x v="1159"/>
  </r>
  <r>
    <x v="264"/>
    <s v="Furniture"/>
    <x v="1160"/>
  </r>
  <r>
    <x v="264"/>
    <s v="Furniture"/>
    <x v="1161"/>
  </r>
  <r>
    <x v="21"/>
    <s v="Office Supplies"/>
    <x v="181"/>
  </r>
  <r>
    <x v="21"/>
    <s v="Office Supplies"/>
    <x v="987"/>
  </r>
  <r>
    <x v="59"/>
    <s v="Office Supplies"/>
    <x v="1162"/>
  </r>
  <r>
    <x v="265"/>
    <s v="Office Supplies"/>
    <x v="1163"/>
  </r>
  <r>
    <x v="74"/>
    <s v="Office Supplies"/>
    <x v="1164"/>
  </r>
  <r>
    <x v="74"/>
    <s v="Office Supplies"/>
    <x v="1165"/>
  </r>
  <r>
    <x v="74"/>
    <s v="Office Supplies"/>
    <x v="1166"/>
  </r>
  <r>
    <x v="55"/>
    <s v="Furniture"/>
    <x v="39"/>
  </r>
  <r>
    <x v="224"/>
    <s v="Technology"/>
    <x v="1167"/>
  </r>
  <r>
    <x v="224"/>
    <s v="Office Supplies"/>
    <x v="385"/>
  </r>
  <r>
    <x v="146"/>
    <s v="Technology"/>
    <x v="1168"/>
  </r>
  <r>
    <x v="266"/>
    <s v="Office Supplies"/>
    <x v="590"/>
  </r>
  <r>
    <x v="266"/>
    <s v="Office Supplies"/>
    <x v="1169"/>
  </r>
  <r>
    <x v="266"/>
    <s v="Office Supplies"/>
    <x v="1170"/>
  </r>
  <r>
    <x v="267"/>
    <s v="Furniture"/>
    <x v="1171"/>
  </r>
  <r>
    <x v="181"/>
    <s v="Office Supplies"/>
    <x v="1172"/>
  </r>
  <r>
    <x v="81"/>
    <s v="Office Supplies"/>
    <x v="1173"/>
  </r>
  <r>
    <x v="81"/>
    <s v="Office Supplies"/>
    <x v="1174"/>
  </r>
  <r>
    <x v="32"/>
    <s v="Office Supplies"/>
    <x v="1175"/>
  </r>
  <r>
    <x v="24"/>
    <s v="Office Supplies"/>
    <x v="1176"/>
  </r>
  <r>
    <x v="24"/>
    <s v="Furniture"/>
    <x v="1177"/>
  </r>
  <r>
    <x v="83"/>
    <s v="Office Supplies"/>
    <x v="1178"/>
  </r>
  <r>
    <x v="83"/>
    <s v="Office Supplies"/>
    <x v="25"/>
  </r>
  <r>
    <x v="83"/>
    <s v="Furniture"/>
    <x v="1179"/>
  </r>
  <r>
    <x v="122"/>
    <s v="Office Supplies"/>
    <x v="1180"/>
  </r>
  <r>
    <x v="122"/>
    <s v="Office Supplies"/>
    <x v="1181"/>
  </r>
  <r>
    <x v="122"/>
    <s v="Technology"/>
    <x v="1182"/>
  </r>
  <r>
    <x v="122"/>
    <s v="Office Supplies"/>
    <x v="871"/>
  </r>
  <r>
    <x v="59"/>
    <s v="Office Supplies"/>
    <x v="1183"/>
  </r>
  <r>
    <x v="59"/>
    <s v="Office Supplies"/>
    <x v="0"/>
  </r>
  <r>
    <x v="59"/>
    <s v="Office Supplies"/>
    <x v="1184"/>
  </r>
  <r>
    <x v="88"/>
    <s v="Technology"/>
    <x v="905"/>
  </r>
  <r>
    <x v="88"/>
    <s v="Office Supplies"/>
    <x v="874"/>
  </r>
  <r>
    <x v="118"/>
    <s v="Technology"/>
    <x v="1185"/>
  </r>
  <r>
    <x v="118"/>
    <s v="Office Supplies"/>
    <x v="1186"/>
  </r>
  <r>
    <x v="192"/>
    <s v="Office Supplies"/>
    <x v="1187"/>
  </r>
  <r>
    <x v="250"/>
    <s v="Office Supplies"/>
    <x v="1188"/>
  </r>
  <r>
    <x v="160"/>
    <s v="Office Supplies"/>
    <x v="1189"/>
  </r>
  <r>
    <x v="239"/>
    <s v="Technology"/>
    <x v="1190"/>
  </r>
  <r>
    <x v="239"/>
    <s v="Office Supplies"/>
    <x v="1191"/>
  </r>
  <r>
    <x v="239"/>
    <s v="Office Supplies"/>
    <x v="1192"/>
  </r>
  <r>
    <x v="227"/>
    <s v="Office Supplies"/>
    <x v="1193"/>
  </r>
  <r>
    <x v="227"/>
    <s v="Office Supplies"/>
    <x v="1194"/>
  </r>
  <r>
    <x v="227"/>
    <s v="Office Supplies"/>
    <x v="804"/>
  </r>
  <r>
    <x v="202"/>
    <s v="Technology"/>
    <x v="1195"/>
  </r>
  <r>
    <x v="6"/>
    <s v="Office Supplies"/>
    <x v="1196"/>
  </r>
  <r>
    <x v="208"/>
    <s v="Furniture"/>
    <x v="1197"/>
  </r>
  <r>
    <x v="208"/>
    <s v="Technology"/>
    <x v="1198"/>
  </r>
  <r>
    <x v="154"/>
    <s v="Office Supplies"/>
    <x v="891"/>
  </r>
  <r>
    <x v="154"/>
    <s v="Office Supplies"/>
    <x v="1199"/>
  </r>
  <r>
    <x v="154"/>
    <s v="Technology"/>
    <x v="1200"/>
  </r>
  <r>
    <x v="154"/>
    <s v="Office Supplies"/>
    <x v="1201"/>
  </r>
  <r>
    <x v="154"/>
    <s v="Furniture"/>
    <x v="1202"/>
  </r>
  <r>
    <x v="98"/>
    <s v="Office Supplies"/>
    <x v="1203"/>
  </r>
  <r>
    <x v="268"/>
    <s v="Furniture"/>
    <x v="1204"/>
  </r>
  <r>
    <x v="268"/>
    <s v="Office Supplies"/>
    <x v="1205"/>
  </r>
  <r>
    <x v="268"/>
    <s v="Office Supplies"/>
    <x v="0"/>
  </r>
  <r>
    <x v="268"/>
    <s v="Office Supplies"/>
    <x v="381"/>
  </r>
  <r>
    <x v="268"/>
    <s v="Office Supplies"/>
    <x v="1206"/>
  </r>
  <r>
    <x v="180"/>
    <s v="Office Supplies"/>
    <x v="1207"/>
  </r>
  <r>
    <x v="169"/>
    <s v="Office Supplies"/>
    <x v="1208"/>
  </r>
  <r>
    <x v="172"/>
    <s v="Office Supplies"/>
    <x v="1209"/>
  </r>
  <r>
    <x v="101"/>
    <s v="Office Supplies"/>
    <x v="1210"/>
  </r>
  <r>
    <x v="101"/>
    <s v="Furniture"/>
    <x v="1211"/>
  </r>
  <r>
    <x v="101"/>
    <s v="Furniture"/>
    <x v="1212"/>
  </r>
  <r>
    <x v="31"/>
    <s v="Office Supplies"/>
    <x v="1213"/>
  </r>
  <r>
    <x v="31"/>
    <s v="Office Supplies"/>
    <x v="1214"/>
  </r>
  <r>
    <x v="31"/>
    <s v="Furniture"/>
    <x v="1215"/>
  </r>
  <r>
    <x v="269"/>
    <s v="Office Supplies"/>
    <x v="1216"/>
  </r>
  <r>
    <x v="128"/>
    <s v="Office Supplies"/>
    <x v="1217"/>
  </r>
  <r>
    <x v="224"/>
    <s v="Technology"/>
    <x v="1218"/>
  </r>
  <r>
    <x v="85"/>
    <s v="Office Supplies"/>
    <x v="1219"/>
  </r>
  <r>
    <x v="33"/>
    <s v="Office Supplies"/>
    <x v="1220"/>
  </r>
  <r>
    <x v="183"/>
    <s v="Furniture"/>
    <x v="1221"/>
  </r>
  <r>
    <x v="72"/>
    <s v="Technology"/>
    <x v="1222"/>
  </r>
  <r>
    <x v="72"/>
    <s v="Office Supplies"/>
    <x v="1223"/>
  </r>
  <r>
    <x v="68"/>
    <s v="Office Supplies"/>
    <x v="1224"/>
  </r>
  <r>
    <x v="29"/>
    <s v="Office Supplies"/>
    <x v="1225"/>
  </r>
  <r>
    <x v="6"/>
    <s v="Office Supplies"/>
    <x v="1226"/>
  </r>
  <r>
    <x v="6"/>
    <s v="Furniture"/>
    <x v="1227"/>
  </r>
  <r>
    <x v="6"/>
    <s v="Office Supplies"/>
    <x v="1228"/>
  </r>
  <r>
    <x v="121"/>
    <s v="Technology"/>
    <x v="1229"/>
  </r>
  <r>
    <x v="220"/>
    <s v="Furniture"/>
    <x v="1230"/>
  </r>
  <r>
    <x v="124"/>
    <s v="Furniture"/>
    <x v="1231"/>
  </r>
  <r>
    <x v="146"/>
    <s v="Office Supplies"/>
    <x v="1232"/>
  </r>
  <r>
    <x v="270"/>
    <s v="Technology"/>
    <x v="1233"/>
  </r>
  <r>
    <x v="270"/>
    <s v="Office Supplies"/>
    <x v="1234"/>
  </r>
  <r>
    <x v="270"/>
    <s v="Office Supplies"/>
    <x v="1235"/>
  </r>
  <r>
    <x v="270"/>
    <s v="Furniture"/>
    <x v="1236"/>
  </r>
  <r>
    <x v="270"/>
    <s v="Office Supplies"/>
    <x v="1237"/>
  </r>
  <r>
    <x v="65"/>
    <s v="Furniture"/>
    <x v="1238"/>
  </r>
  <r>
    <x v="208"/>
    <s v="Office Supplies"/>
    <x v="1239"/>
  </r>
  <r>
    <x v="175"/>
    <s v="Office Supplies"/>
    <x v="0"/>
  </r>
  <r>
    <x v="175"/>
    <s v="Office Supplies"/>
    <x v="442"/>
  </r>
  <r>
    <x v="245"/>
    <s v="Technology"/>
    <x v="11"/>
  </r>
  <r>
    <x v="245"/>
    <s v="Office Supplies"/>
    <x v="1240"/>
  </r>
  <r>
    <x v="39"/>
    <s v="Office Supplies"/>
    <x v="518"/>
  </r>
  <r>
    <x v="22"/>
    <s v="Office Supplies"/>
    <x v="940"/>
  </r>
  <r>
    <x v="143"/>
    <s v="Office Supplies"/>
    <x v="1241"/>
  </r>
  <r>
    <x v="143"/>
    <s v="Technology"/>
    <x v="1242"/>
  </r>
  <r>
    <x v="143"/>
    <s v="Technology"/>
    <x v="1243"/>
  </r>
  <r>
    <x v="143"/>
    <s v="Technology"/>
    <x v="1244"/>
  </r>
  <r>
    <x v="62"/>
    <s v="Office Supplies"/>
    <x v="1245"/>
  </r>
  <r>
    <x v="62"/>
    <s v="Office Supplies"/>
    <x v="1246"/>
  </r>
  <r>
    <x v="184"/>
    <s v="Office Supplies"/>
    <x v="1247"/>
  </r>
  <r>
    <x v="184"/>
    <s v="Technology"/>
    <x v="1248"/>
  </r>
  <r>
    <x v="113"/>
    <s v="Technology"/>
    <x v="1151"/>
  </r>
  <r>
    <x v="113"/>
    <s v="Office Supplies"/>
    <x v="67"/>
  </r>
  <r>
    <x v="62"/>
    <s v="Office Supplies"/>
    <x v="1249"/>
  </r>
  <r>
    <x v="40"/>
    <s v="Office Supplies"/>
    <x v="457"/>
  </r>
  <r>
    <x v="40"/>
    <s v="Furniture"/>
    <x v="1250"/>
  </r>
  <r>
    <x v="40"/>
    <s v="Furniture"/>
    <x v="1251"/>
  </r>
  <r>
    <x v="257"/>
    <s v="Technology"/>
    <x v="1252"/>
  </r>
  <r>
    <x v="271"/>
    <s v="Office Supplies"/>
    <x v="1253"/>
  </r>
  <r>
    <x v="271"/>
    <s v="Office Supplies"/>
    <x v="998"/>
  </r>
  <r>
    <x v="271"/>
    <s v="Office Supplies"/>
    <x v="1254"/>
  </r>
  <r>
    <x v="271"/>
    <s v="Office Supplies"/>
    <x v="1255"/>
  </r>
  <r>
    <x v="271"/>
    <s v="Office Supplies"/>
    <x v="1256"/>
  </r>
  <r>
    <x v="61"/>
    <s v="Office Supplies"/>
    <x v="1257"/>
  </r>
  <r>
    <x v="61"/>
    <s v="Office Supplies"/>
    <x v="1258"/>
  </r>
  <r>
    <x v="82"/>
    <s v="Office Supplies"/>
    <x v="1052"/>
  </r>
  <r>
    <x v="82"/>
    <s v="Technology"/>
    <x v="1259"/>
  </r>
  <r>
    <x v="64"/>
    <s v="Office Supplies"/>
    <x v="1260"/>
  </r>
  <r>
    <x v="64"/>
    <s v="Furniture"/>
    <x v="1261"/>
  </r>
  <r>
    <x v="64"/>
    <s v="Technology"/>
    <x v="1262"/>
  </r>
  <r>
    <x v="64"/>
    <s v="Office Supplies"/>
    <x v="1263"/>
  </r>
  <r>
    <x v="272"/>
    <s v="Office Supplies"/>
    <x v="1264"/>
  </r>
  <r>
    <x v="104"/>
    <s v="Office Supplies"/>
    <x v="1265"/>
  </r>
  <r>
    <x v="227"/>
    <s v="Office Supplies"/>
    <x v="1266"/>
  </r>
  <r>
    <x v="227"/>
    <s v="Furniture"/>
    <x v="1267"/>
  </r>
  <r>
    <x v="227"/>
    <s v="Technology"/>
    <x v="1268"/>
  </r>
  <r>
    <x v="227"/>
    <s v="Office Supplies"/>
    <x v="1269"/>
  </r>
  <r>
    <x v="227"/>
    <s v="Technology"/>
    <x v="87"/>
  </r>
  <r>
    <x v="165"/>
    <s v="Office Supplies"/>
    <x v="1270"/>
  </r>
  <r>
    <x v="205"/>
    <s v="Furniture"/>
    <x v="1271"/>
  </r>
  <r>
    <x v="5"/>
    <s v="Office Supplies"/>
    <x v="1272"/>
  </r>
  <r>
    <x v="224"/>
    <s v="Office Supplies"/>
    <x v="537"/>
  </r>
  <r>
    <x v="193"/>
    <s v="Office Supplies"/>
    <x v="1273"/>
  </r>
  <r>
    <x v="114"/>
    <s v="Furniture"/>
    <x v="1274"/>
  </r>
  <r>
    <x v="114"/>
    <s v="Office Supplies"/>
    <x v="1022"/>
  </r>
  <r>
    <x v="114"/>
    <s v="Technology"/>
    <x v="1275"/>
  </r>
  <r>
    <x v="114"/>
    <s v="Office Supplies"/>
    <x v="1276"/>
  </r>
  <r>
    <x v="114"/>
    <s v="Office Supplies"/>
    <x v="658"/>
  </r>
  <r>
    <x v="114"/>
    <s v="Office Supplies"/>
    <x v="1277"/>
  </r>
  <r>
    <x v="62"/>
    <s v="Office Supplies"/>
    <x v="1278"/>
  </r>
  <r>
    <x v="62"/>
    <s v="Office Supplies"/>
    <x v="1279"/>
  </r>
  <r>
    <x v="62"/>
    <s v="Furniture"/>
    <x v="265"/>
  </r>
  <r>
    <x v="62"/>
    <s v="Office Supplies"/>
    <x v="67"/>
  </r>
  <r>
    <x v="155"/>
    <s v="Furniture"/>
    <x v="1280"/>
  </r>
  <r>
    <x v="108"/>
    <s v="Furniture"/>
    <x v="413"/>
  </r>
  <r>
    <x v="108"/>
    <s v="Technology"/>
    <x v="1281"/>
  </r>
  <r>
    <x v="108"/>
    <s v="Furniture"/>
    <x v="1282"/>
  </r>
  <r>
    <x v="108"/>
    <s v="Office Supplies"/>
    <x v="0"/>
  </r>
  <r>
    <x v="108"/>
    <s v="Furniture"/>
    <x v="1283"/>
  </r>
  <r>
    <x v="108"/>
    <s v="Office Supplies"/>
    <x v="446"/>
  </r>
  <r>
    <x v="220"/>
    <s v="Office Supplies"/>
    <x v="1284"/>
  </r>
  <r>
    <x v="220"/>
    <s v="Furniture"/>
    <x v="1285"/>
  </r>
  <r>
    <x v="207"/>
    <s v="Furniture"/>
    <x v="1286"/>
  </r>
  <r>
    <x v="273"/>
    <s v="Furniture"/>
    <x v="1287"/>
  </r>
  <r>
    <x v="273"/>
    <s v="Office Supplies"/>
    <x v="1288"/>
  </r>
  <r>
    <x v="163"/>
    <s v="Office Supplies"/>
    <x v="1289"/>
  </r>
  <r>
    <x v="274"/>
    <s v="Furniture"/>
    <x v="884"/>
  </r>
  <r>
    <x v="220"/>
    <s v="Office Supplies"/>
    <x v="1290"/>
  </r>
  <r>
    <x v="53"/>
    <s v="Office Supplies"/>
    <x v="1291"/>
  </r>
  <r>
    <x v="86"/>
    <s v="Office Supplies"/>
    <x v="1292"/>
  </r>
  <r>
    <x v="211"/>
    <s v="Technology"/>
    <x v="1293"/>
  </r>
  <r>
    <x v="211"/>
    <s v="Office Supplies"/>
    <x v="1294"/>
  </r>
  <r>
    <x v="211"/>
    <s v="Furniture"/>
    <x v="1295"/>
  </r>
  <r>
    <x v="159"/>
    <s v="Technology"/>
    <x v="1296"/>
  </r>
  <r>
    <x v="35"/>
    <s v="Furniture"/>
    <x v="1297"/>
  </r>
  <r>
    <x v="35"/>
    <s v="Office Supplies"/>
    <x v="1298"/>
  </r>
  <r>
    <x v="35"/>
    <s v="Office Supplies"/>
    <x v="960"/>
  </r>
  <r>
    <x v="35"/>
    <s v="Office Supplies"/>
    <x v="1299"/>
  </r>
  <r>
    <x v="28"/>
    <s v="Office Supplies"/>
    <x v="1300"/>
  </r>
  <r>
    <x v="275"/>
    <s v="Office Supplies"/>
    <x v="1301"/>
  </r>
  <r>
    <x v="144"/>
    <s v="Office Supplies"/>
    <x v="673"/>
  </r>
  <r>
    <x v="58"/>
    <s v="Office Supplies"/>
    <x v="1302"/>
  </r>
  <r>
    <x v="276"/>
    <s v="Furniture"/>
    <x v="1303"/>
  </r>
  <r>
    <x v="213"/>
    <s v="Office Supplies"/>
    <x v="1304"/>
  </r>
  <r>
    <x v="213"/>
    <s v="Office Supplies"/>
    <x v="1305"/>
  </r>
  <r>
    <x v="213"/>
    <s v="Office Supplies"/>
    <x v="186"/>
  </r>
  <r>
    <x v="211"/>
    <s v="Technology"/>
    <x v="672"/>
  </r>
  <r>
    <x v="232"/>
    <s v="Office Supplies"/>
    <x v="1306"/>
  </r>
  <r>
    <x v="232"/>
    <s v="Office Supplies"/>
    <x v="1307"/>
  </r>
  <r>
    <x v="232"/>
    <s v="Office Supplies"/>
    <x v="1308"/>
  </r>
  <r>
    <x v="232"/>
    <s v="Office Supplies"/>
    <x v="1070"/>
  </r>
  <r>
    <x v="232"/>
    <s v="Furniture"/>
    <x v="1309"/>
  </r>
  <r>
    <x v="232"/>
    <s v="Office Supplies"/>
    <x v="1310"/>
  </r>
  <r>
    <x v="214"/>
    <s v="Office Supplies"/>
    <x v="1311"/>
  </r>
  <r>
    <x v="214"/>
    <s v="Office Supplies"/>
    <x v="1312"/>
  </r>
  <r>
    <x v="11"/>
    <s v="Furniture"/>
    <x v="72"/>
  </r>
  <r>
    <x v="43"/>
    <s v="Technology"/>
    <x v="1313"/>
  </r>
  <r>
    <x v="43"/>
    <s v="Office Supplies"/>
    <x v="1314"/>
  </r>
  <r>
    <x v="120"/>
    <s v="Office Supplies"/>
    <x v="1315"/>
  </r>
  <r>
    <x v="120"/>
    <s v="Office Supplies"/>
    <x v="1316"/>
  </r>
  <r>
    <x v="120"/>
    <s v="Office Supplies"/>
    <x v="1317"/>
  </r>
  <r>
    <x v="120"/>
    <s v="Furniture"/>
    <x v="1318"/>
  </r>
  <r>
    <x v="185"/>
    <s v="Office Supplies"/>
    <x v="981"/>
  </r>
  <r>
    <x v="185"/>
    <s v="Furniture"/>
    <x v="1319"/>
  </r>
  <r>
    <x v="243"/>
    <s v="Office Supplies"/>
    <x v="193"/>
  </r>
  <r>
    <x v="242"/>
    <s v="Office Supplies"/>
    <x v="1320"/>
  </r>
  <r>
    <x v="242"/>
    <s v="Office Supplies"/>
    <x v="205"/>
  </r>
  <r>
    <x v="242"/>
    <s v="Office Supplies"/>
    <x v="1321"/>
  </r>
  <r>
    <x v="220"/>
    <s v="Office Supplies"/>
    <x v="1322"/>
  </r>
  <r>
    <x v="220"/>
    <s v="Furniture"/>
    <x v="1323"/>
  </r>
  <r>
    <x v="88"/>
    <s v="Office Supplies"/>
    <x v="1324"/>
  </r>
  <r>
    <x v="88"/>
    <s v="Office Supplies"/>
    <x v="1325"/>
  </r>
  <r>
    <x v="228"/>
    <s v="Office Supplies"/>
    <x v="537"/>
  </r>
  <r>
    <x v="228"/>
    <s v="Office Supplies"/>
    <x v="1326"/>
  </r>
  <r>
    <x v="257"/>
    <s v="Office Supplies"/>
    <x v="1327"/>
  </r>
  <r>
    <x v="257"/>
    <s v="Office Supplies"/>
    <x v="1328"/>
  </r>
  <r>
    <x v="21"/>
    <s v="Office Supplies"/>
    <x v="202"/>
  </r>
  <r>
    <x v="181"/>
    <s v="Office Supplies"/>
    <x v="1329"/>
  </r>
  <r>
    <x v="181"/>
    <s v="Furniture"/>
    <x v="1330"/>
  </r>
  <r>
    <x v="181"/>
    <s v="Office Supplies"/>
    <x v="1331"/>
  </r>
  <r>
    <x v="277"/>
    <s v="Furniture"/>
    <x v="1332"/>
  </r>
  <r>
    <x v="275"/>
    <s v="Office Supplies"/>
    <x v="1333"/>
  </r>
  <r>
    <x v="266"/>
    <s v="Office Supplies"/>
    <x v="331"/>
  </r>
  <r>
    <x v="266"/>
    <s v="Office Supplies"/>
    <x v="1334"/>
  </r>
  <r>
    <x v="266"/>
    <s v="Office Supplies"/>
    <x v="994"/>
  </r>
  <r>
    <x v="266"/>
    <s v="Furniture"/>
    <x v="1335"/>
  </r>
  <r>
    <x v="63"/>
    <s v="Office Supplies"/>
    <x v="528"/>
  </r>
  <r>
    <x v="63"/>
    <s v="Office Supplies"/>
    <x v="1336"/>
  </r>
  <r>
    <x v="63"/>
    <s v="Office Supplies"/>
    <x v="1052"/>
  </r>
  <r>
    <x v="63"/>
    <s v="Technology"/>
    <x v="1337"/>
  </r>
  <r>
    <x v="227"/>
    <s v="Technology"/>
    <x v="1338"/>
  </r>
  <r>
    <x v="213"/>
    <s v="Furniture"/>
    <x v="1339"/>
  </r>
  <r>
    <x v="245"/>
    <s v="Office Supplies"/>
    <x v="1340"/>
  </r>
  <r>
    <x v="26"/>
    <s v="Office Supplies"/>
    <x v="1341"/>
  </r>
  <r>
    <x v="26"/>
    <s v="Office Supplies"/>
    <x v="1342"/>
  </r>
  <r>
    <x v="26"/>
    <s v="Office Supplies"/>
    <x v="1343"/>
  </r>
  <r>
    <x v="253"/>
    <s v="Office Supplies"/>
    <x v="1344"/>
  </r>
  <r>
    <x v="253"/>
    <s v="Office Supplies"/>
    <x v="1345"/>
  </r>
  <r>
    <x v="253"/>
    <s v="Office Supplies"/>
    <x v="1346"/>
  </r>
  <r>
    <x v="253"/>
    <s v="Office Supplies"/>
    <x v="1347"/>
  </r>
  <r>
    <x v="64"/>
    <s v="Furniture"/>
    <x v="1348"/>
  </r>
  <r>
    <x v="125"/>
    <s v="Office Supplies"/>
    <x v="1349"/>
  </r>
  <r>
    <x v="125"/>
    <s v="Office Supplies"/>
    <x v="1350"/>
  </r>
  <r>
    <x v="85"/>
    <s v="Office Supplies"/>
    <x v="1351"/>
  </r>
  <r>
    <x v="144"/>
    <s v="Office Supplies"/>
    <x v="1352"/>
  </r>
  <r>
    <x v="62"/>
    <s v="Office Supplies"/>
    <x v="1353"/>
  </r>
  <r>
    <x v="129"/>
    <s v="Office Supplies"/>
    <x v="258"/>
  </r>
  <r>
    <x v="13"/>
    <s v="Furniture"/>
    <x v="1354"/>
  </r>
  <r>
    <x v="13"/>
    <s v="Office Supplies"/>
    <x v="1355"/>
  </r>
  <r>
    <x v="13"/>
    <s v="Technology"/>
    <x v="991"/>
  </r>
  <r>
    <x v="192"/>
    <s v="Office Supplies"/>
    <x v="76"/>
  </r>
  <r>
    <x v="187"/>
    <s v="Office Supplies"/>
    <x v="1356"/>
  </r>
  <r>
    <x v="136"/>
    <s v="Office Supplies"/>
    <x v="1357"/>
  </r>
  <r>
    <x v="278"/>
    <s v="Technology"/>
    <x v="1358"/>
  </r>
  <r>
    <x v="278"/>
    <s v="Furniture"/>
    <x v="1359"/>
  </r>
  <r>
    <x v="27"/>
    <s v="Office Supplies"/>
    <x v="1360"/>
  </r>
  <r>
    <x v="26"/>
    <s v="Office Supplies"/>
    <x v="1361"/>
  </r>
  <r>
    <x v="105"/>
    <s v="Office Supplies"/>
    <x v="1362"/>
  </r>
  <r>
    <x v="105"/>
    <s v="Office Supplies"/>
    <x v="1363"/>
  </r>
  <r>
    <x v="105"/>
    <s v="Office Supplies"/>
    <x v="288"/>
  </r>
  <r>
    <x v="203"/>
    <s v="Office Supplies"/>
    <x v="1364"/>
  </r>
  <r>
    <x v="203"/>
    <s v="Office Supplies"/>
    <x v="1365"/>
  </r>
  <r>
    <x v="203"/>
    <s v="Technology"/>
    <x v="1366"/>
  </r>
  <r>
    <x v="64"/>
    <s v="Furniture"/>
    <x v="1367"/>
  </r>
  <r>
    <x v="108"/>
    <s v="Office Supplies"/>
    <x v="1368"/>
  </r>
  <r>
    <x v="262"/>
    <s v="Office Supplies"/>
    <x v="401"/>
  </r>
  <r>
    <x v="95"/>
    <s v="Technology"/>
    <x v="217"/>
  </r>
  <r>
    <x v="7"/>
    <s v="Furniture"/>
    <x v="1369"/>
  </r>
  <r>
    <x v="7"/>
    <s v="Office Supplies"/>
    <x v="1370"/>
  </r>
  <r>
    <x v="7"/>
    <s v="Office Supplies"/>
    <x v="1192"/>
  </r>
  <r>
    <x v="7"/>
    <s v="Office Supplies"/>
    <x v="268"/>
  </r>
  <r>
    <x v="62"/>
    <s v="Technology"/>
    <x v="1371"/>
  </r>
  <r>
    <x v="62"/>
    <s v="Office Supplies"/>
    <x v="816"/>
  </r>
  <r>
    <x v="274"/>
    <s v="Office Supplies"/>
    <x v="1372"/>
  </r>
  <r>
    <x v="274"/>
    <s v="Office Supplies"/>
    <x v="1373"/>
  </r>
  <r>
    <x v="274"/>
    <s v="Office Supplies"/>
    <x v="1374"/>
  </r>
  <r>
    <x v="274"/>
    <s v="Office Supplies"/>
    <x v="1375"/>
  </r>
  <r>
    <x v="232"/>
    <s v="Office Supplies"/>
    <x v="1376"/>
  </r>
  <r>
    <x v="232"/>
    <s v="Furniture"/>
    <x v="1377"/>
  </r>
  <r>
    <x v="232"/>
    <s v="Technology"/>
    <x v="1378"/>
  </r>
  <r>
    <x v="232"/>
    <s v="Office Supplies"/>
    <x v="1379"/>
  </r>
  <r>
    <x v="36"/>
    <s v="Office Supplies"/>
    <x v="1380"/>
  </r>
  <r>
    <x v="36"/>
    <s v="Office Supplies"/>
    <x v="1381"/>
  </r>
  <r>
    <x v="22"/>
    <s v="Office Supplies"/>
    <x v="1382"/>
  </r>
  <r>
    <x v="22"/>
    <s v="Office Supplies"/>
    <x v="1383"/>
  </r>
  <r>
    <x v="135"/>
    <s v="Office Supplies"/>
    <x v="998"/>
  </r>
  <r>
    <x v="135"/>
    <s v="Office Supplies"/>
    <x v="1384"/>
  </r>
  <r>
    <x v="118"/>
    <s v="Office Supplies"/>
    <x v="240"/>
  </r>
  <r>
    <x v="118"/>
    <s v="Office Supplies"/>
    <x v="498"/>
  </r>
  <r>
    <x v="118"/>
    <s v="Technology"/>
    <x v="1385"/>
  </r>
  <r>
    <x v="118"/>
    <s v="Office Supplies"/>
    <x v="1386"/>
  </r>
  <r>
    <x v="118"/>
    <s v="Office Supplies"/>
    <x v="1387"/>
  </r>
  <r>
    <x v="127"/>
    <s v="Office Supplies"/>
    <x v="1388"/>
  </r>
  <r>
    <x v="127"/>
    <s v="Furniture"/>
    <x v="1389"/>
  </r>
  <r>
    <x v="272"/>
    <s v="Office Supplies"/>
    <x v="1390"/>
  </r>
  <r>
    <x v="14"/>
    <s v="Office Supplies"/>
    <x v="1391"/>
  </r>
  <r>
    <x v="14"/>
    <s v="Office Supplies"/>
    <x v="1392"/>
  </r>
  <r>
    <x v="14"/>
    <s v="Office Supplies"/>
    <x v="1393"/>
  </r>
  <r>
    <x v="14"/>
    <s v="Technology"/>
    <x v="1394"/>
  </r>
  <r>
    <x v="3"/>
    <s v="Office Supplies"/>
    <x v="1395"/>
  </r>
  <r>
    <x v="2"/>
    <s v="Furniture"/>
    <x v="1396"/>
  </r>
  <r>
    <x v="24"/>
    <s v="Office Supplies"/>
    <x v="135"/>
  </r>
  <r>
    <x v="24"/>
    <s v="Furniture"/>
    <x v="1397"/>
  </r>
  <r>
    <x v="171"/>
    <s v="Office Supplies"/>
    <x v="541"/>
  </r>
  <r>
    <x v="279"/>
    <s v="Office Supplies"/>
    <x v="1398"/>
  </r>
  <r>
    <x v="55"/>
    <s v="Office Supplies"/>
    <x v="1399"/>
  </r>
  <r>
    <x v="99"/>
    <s v="Office Supplies"/>
    <x v="1400"/>
  </r>
  <r>
    <x v="99"/>
    <s v="Furniture"/>
    <x v="846"/>
  </r>
  <r>
    <x v="44"/>
    <s v="Office Supplies"/>
    <x v="1401"/>
  </r>
  <r>
    <x v="150"/>
    <s v="Office Supplies"/>
    <x v="101"/>
  </r>
  <r>
    <x v="150"/>
    <s v="Technology"/>
    <x v="1402"/>
  </r>
  <r>
    <x v="65"/>
    <s v="Office Supplies"/>
    <x v="1403"/>
  </r>
  <r>
    <x v="121"/>
    <s v="Office Supplies"/>
    <x v="1404"/>
  </r>
  <r>
    <x v="121"/>
    <s v="Office Supplies"/>
    <x v="1405"/>
  </r>
  <r>
    <x v="254"/>
    <s v="Technology"/>
    <x v="1406"/>
  </r>
  <r>
    <x v="266"/>
    <s v="Furniture"/>
    <x v="1407"/>
  </r>
  <r>
    <x v="72"/>
    <s v="Office Supplies"/>
    <x v="1408"/>
  </r>
  <r>
    <x v="72"/>
    <s v="Office Supplies"/>
    <x v="1409"/>
  </r>
  <r>
    <x v="72"/>
    <s v="Technology"/>
    <x v="1410"/>
  </r>
  <r>
    <x v="209"/>
    <s v="Office Supplies"/>
    <x v="1411"/>
  </r>
  <r>
    <x v="162"/>
    <s v="Office Supplies"/>
    <x v="1412"/>
  </r>
  <r>
    <x v="162"/>
    <s v="Technology"/>
    <x v="1413"/>
  </r>
  <r>
    <x v="162"/>
    <s v="Office Supplies"/>
    <x v="1414"/>
  </r>
  <r>
    <x v="162"/>
    <s v="Furniture"/>
    <x v="1415"/>
  </r>
  <r>
    <x v="258"/>
    <s v="Office Supplies"/>
    <x v="1416"/>
  </r>
  <r>
    <x v="258"/>
    <s v="Office Supplies"/>
    <x v="1417"/>
  </r>
  <r>
    <x v="258"/>
    <s v="Office Supplies"/>
    <x v="1418"/>
  </r>
  <r>
    <x v="202"/>
    <s v="Technology"/>
    <x v="1419"/>
  </r>
  <r>
    <x v="69"/>
    <s v="Office Supplies"/>
    <x v="1420"/>
  </r>
  <r>
    <x v="165"/>
    <s v="Technology"/>
    <x v="1421"/>
  </r>
  <r>
    <x v="93"/>
    <s v="Technology"/>
    <x v="1422"/>
  </r>
  <r>
    <x v="93"/>
    <s v="Furniture"/>
    <x v="1423"/>
  </r>
  <r>
    <x v="225"/>
    <s v="Office Supplies"/>
    <x v="1424"/>
  </r>
  <r>
    <x v="280"/>
    <s v="Office Supplies"/>
    <x v="343"/>
  </r>
  <r>
    <x v="98"/>
    <s v="Office Supplies"/>
    <x v="960"/>
  </r>
  <r>
    <x v="255"/>
    <s v="Furniture"/>
    <x v="1425"/>
  </r>
  <r>
    <x v="255"/>
    <s v="Office Supplies"/>
    <x v="1426"/>
  </r>
  <r>
    <x v="281"/>
    <s v="Office Supplies"/>
    <x v="273"/>
  </r>
  <r>
    <x v="281"/>
    <s v="Office Supplies"/>
    <x v="1427"/>
  </r>
  <r>
    <x v="73"/>
    <s v="Office Supplies"/>
    <x v="1428"/>
  </r>
  <r>
    <x v="280"/>
    <s v="Office Supplies"/>
    <x v="1429"/>
  </r>
  <r>
    <x v="280"/>
    <s v="Office Supplies"/>
    <x v="1430"/>
  </r>
  <r>
    <x v="229"/>
    <s v="Office Supplies"/>
    <x v="18"/>
  </r>
  <r>
    <x v="98"/>
    <s v="Office Supplies"/>
    <x v="1431"/>
  </r>
  <r>
    <x v="172"/>
    <s v="Furniture"/>
    <x v="1432"/>
  </r>
  <r>
    <x v="54"/>
    <s v="Office Supplies"/>
    <x v="1433"/>
  </r>
  <r>
    <x v="54"/>
    <s v="Office Supplies"/>
    <x v="1434"/>
  </r>
  <r>
    <x v="108"/>
    <s v="Office Supplies"/>
    <x v="1435"/>
  </r>
  <r>
    <x v="108"/>
    <s v="Office Supplies"/>
    <x v="1436"/>
  </r>
  <r>
    <x v="16"/>
    <s v="Furniture"/>
    <x v="1437"/>
  </r>
  <r>
    <x v="16"/>
    <s v="Office Supplies"/>
    <x v="1438"/>
  </r>
  <r>
    <x v="16"/>
    <s v="Office Supplies"/>
    <x v="1439"/>
  </r>
  <r>
    <x v="43"/>
    <s v="Furniture"/>
    <x v="1440"/>
  </r>
  <r>
    <x v="43"/>
    <s v="Furniture"/>
    <x v="1441"/>
  </r>
  <r>
    <x v="250"/>
    <s v="Office Supplies"/>
    <x v="1442"/>
  </r>
  <r>
    <x v="37"/>
    <s v="Office Supplies"/>
    <x v="587"/>
  </r>
  <r>
    <x v="41"/>
    <s v="Technology"/>
    <x v="1443"/>
  </r>
  <r>
    <x v="41"/>
    <s v="Furniture"/>
    <x v="1444"/>
  </r>
  <r>
    <x v="41"/>
    <s v="Furniture"/>
    <x v="1445"/>
  </r>
  <r>
    <x v="2"/>
    <s v="Office Supplies"/>
    <x v="1446"/>
  </r>
  <r>
    <x v="2"/>
    <s v="Furniture"/>
    <x v="1447"/>
  </r>
  <r>
    <x v="147"/>
    <s v="Office Supplies"/>
    <x v="900"/>
  </r>
  <r>
    <x v="147"/>
    <s v="Office Supplies"/>
    <x v="1448"/>
  </r>
  <r>
    <x v="70"/>
    <s v="Office Supplies"/>
    <x v="824"/>
  </r>
  <r>
    <x v="70"/>
    <s v="Office Supplies"/>
    <x v="1449"/>
  </r>
  <r>
    <x v="67"/>
    <s v="Technology"/>
    <x v="1450"/>
  </r>
  <r>
    <x v="67"/>
    <s v="Office Supplies"/>
    <x v="1451"/>
  </r>
  <r>
    <x v="282"/>
    <s v="Office Supplies"/>
    <x v="1452"/>
  </r>
  <r>
    <x v="120"/>
    <s v="Office Supplies"/>
    <x v="1453"/>
  </r>
  <r>
    <x v="0"/>
    <s v="Office Supplies"/>
    <x v="1454"/>
  </r>
  <r>
    <x v="53"/>
    <s v="Office Supplies"/>
    <x v="1455"/>
  </r>
  <r>
    <x v="245"/>
    <s v="Furniture"/>
    <x v="1456"/>
  </r>
  <r>
    <x v="227"/>
    <s v="Office Supplies"/>
    <x v="1457"/>
  </r>
  <r>
    <x v="227"/>
    <s v="Technology"/>
    <x v="1458"/>
  </r>
  <r>
    <x v="227"/>
    <s v="Office Supplies"/>
    <x v="1459"/>
  </r>
  <r>
    <x v="147"/>
    <s v="Office Supplies"/>
    <x v="562"/>
  </r>
  <r>
    <x v="143"/>
    <s v="Office Supplies"/>
    <x v="707"/>
  </r>
  <r>
    <x v="143"/>
    <s v="Furniture"/>
    <x v="1460"/>
  </r>
  <r>
    <x v="143"/>
    <s v="Furniture"/>
    <x v="1461"/>
  </r>
  <r>
    <x v="143"/>
    <s v="Office Supplies"/>
    <x v="1462"/>
  </r>
  <r>
    <x v="283"/>
    <s v="Furniture"/>
    <x v="1463"/>
  </r>
  <r>
    <x v="281"/>
    <s v="Office Supplies"/>
    <x v="1464"/>
  </r>
  <r>
    <x v="33"/>
    <s v="Technology"/>
    <x v="1465"/>
  </r>
  <r>
    <x v="284"/>
    <s v="Office Supplies"/>
    <x v="1288"/>
  </r>
  <r>
    <x v="127"/>
    <s v="Office Supplies"/>
    <x v="1466"/>
  </r>
  <r>
    <x v="51"/>
    <s v="Office Supplies"/>
    <x v="1467"/>
  </r>
  <r>
    <x v="285"/>
    <s v="Office Supplies"/>
    <x v="1327"/>
  </r>
  <r>
    <x v="285"/>
    <s v="Office Supplies"/>
    <x v="1468"/>
  </r>
  <r>
    <x v="285"/>
    <s v="Office Supplies"/>
    <x v="1469"/>
  </r>
  <r>
    <x v="192"/>
    <s v="Technology"/>
    <x v="1470"/>
  </r>
  <r>
    <x v="61"/>
    <s v="Furniture"/>
    <x v="1471"/>
  </r>
  <r>
    <x v="61"/>
    <s v="Office Supplies"/>
    <x v="1472"/>
  </r>
  <r>
    <x v="286"/>
    <s v="Furniture"/>
    <x v="1473"/>
  </r>
  <r>
    <x v="286"/>
    <s v="Furniture"/>
    <x v="1474"/>
  </r>
  <r>
    <x v="234"/>
    <s v="Technology"/>
    <x v="1475"/>
  </r>
  <r>
    <x v="234"/>
    <s v="Technology"/>
    <x v="278"/>
  </r>
  <r>
    <x v="59"/>
    <s v="Technology"/>
    <x v="232"/>
  </r>
  <r>
    <x v="160"/>
    <s v="Office Supplies"/>
    <x v="1476"/>
  </r>
  <r>
    <x v="282"/>
    <s v="Office Supplies"/>
    <x v="1477"/>
  </r>
  <r>
    <x v="282"/>
    <s v="Office Supplies"/>
    <x v="1478"/>
  </r>
  <r>
    <x v="282"/>
    <s v="Furniture"/>
    <x v="1479"/>
  </r>
  <r>
    <x v="144"/>
    <s v="Office Supplies"/>
    <x v="1085"/>
  </r>
  <r>
    <x v="89"/>
    <s v="Office Supplies"/>
    <x v="1480"/>
  </r>
  <r>
    <x v="212"/>
    <s v="Office Supplies"/>
    <x v="1481"/>
  </r>
  <r>
    <x v="45"/>
    <s v="Office Supplies"/>
    <x v="1482"/>
  </r>
  <r>
    <x v="267"/>
    <s v="Furniture"/>
    <x v="1483"/>
  </r>
  <r>
    <x v="267"/>
    <s v="Technology"/>
    <x v="237"/>
  </r>
  <r>
    <x v="32"/>
    <s v="Furniture"/>
    <x v="1484"/>
  </r>
  <r>
    <x v="32"/>
    <s v="Office Supplies"/>
    <x v="1485"/>
  </r>
  <r>
    <x v="32"/>
    <s v="Office Supplies"/>
    <x v="1486"/>
  </r>
  <r>
    <x v="144"/>
    <s v="Furniture"/>
    <x v="854"/>
  </r>
  <r>
    <x v="144"/>
    <s v="Office Supplies"/>
    <x v="894"/>
  </r>
  <r>
    <x v="81"/>
    <s v="Furniture"/>
    <x v="282"/>
  </r>
  <r>
    <x v="81"/>
    <s v="Furniture"/>
    <x v="1487"/>
  </r>
  <r>
    <x v="81"/>
    <s v="Office Supplies"/>
    <x v="473"/>
  </r>
  <r>
    <x v="81"/>
    <s v="Office Supplies"/>
    <x v="1488"/>
  </r>
  <r>
    <x v="81"/>
    <s v="Furniture"/>
    <x v="1489"/>
  </r>
  <r>
    <x v="81"/>
    <s v="Office Supplies"/>
    <x v="1490"/>
  </r>
  <r>
    <x v="81"/>
    <s v="Furniture"/>
    <x v="848"/>
  </r>
  <r>
    <x v="17"/>
    <s v="Office Supplies"/>
    <x v="1491"/>
  </r>
  <r>
    <x v="152"/>
    <s v="Office Supplies"/>
    <x v="1492"/>
  </r>
  <r>
    <x v="205"/>
    <s v="Office Supplies"/>
    <x v="55"/>
  </r>
  <r>
    <x v="205"/>
    <s v="Office Supplies"/>
    <x v="1493"/>
  </r>
  <r>
    <x v="205"/>
    <s v="Office Supplies"/>
    <x v="1440"/>
  </r>
  <r>
    <x v="6"/>
    <s v="Office Supplies"/>
    <x v="1494"/>
  </r>
  <r>
    <x v="100"/>
    <s v="Furniture"/>
    <x v="1495"/>
  </r>
  <r>
    <x v="75"/>
    <s v="Office Supplies"/>
    <x v="1496"/>
  </r>
  <r>
    <x v="53"/>
    <s v="Technology"/>
    <x v="929"/>
  </r>
  <r>
    <x v="53"/>
    <s v="Office Supplies"/>
    <x v="837"/>
  </r>
  <r>
    <x v="53"/>
    <s v="Office Supplies"/>
    <x v="1497"/>
  </r>
  <r>
    <x v="3"/>
    <s v="Office Supplies"/>
    <x v="169"/>
  </r>
  <r>
    <x v="228"/>
    <s v="Furniture"/>
    <x v="1498"/>
  </r>
  <r>
    <x v="228"/>
    <s v="Furniture"/>
    <x v="1499"/>
  </r>
  <r>
    <x v="240"/>
    <s v="Technology"/>
    <x v="484"/>
  </r>
  <r>
    <x v="240"/>
    <s v="Office Supplies"/>
    <x v="292"/>
  </r>
  <r>
    <x v="95"/>
    <s v="Technology"/>
    <x v="1500"/>
  </r>
  <r>
    <x v="95"/>
    <s v="Technology"/>
    <x v="1501"/>
  </r>
  <r>
    <x v="243"/>
    <s v="Office Supplies"/>
    <x v="1502"/>
  </r>
  <r>
    <x v="287"/>
    <s v="Technology"/>
    <x v="1503"/>
  </r>
  <r>
    <x v="287"/>
    <s v="Technology"/>
    <x v="1504"/>
  </r>
  <r>
    <x v="287"/>
    <s v="Office Supplies"/>
    <x v="218"/>
  </r>
  <r>
    <x v="134"/>
    <s v="Office Supplies"/>
    <x v="1505"/>
  </r>
  <r>
    <x v="85"/>
    <s v="Technology"/>
    <x v="789"/>
  </r>
  <r>
    <x v="85"/>
    <s v="Technology"/>
    <x v="1506"/>
  </r>
  <r>
    <x v="288"/>
    <s v="Office Supplies"/>
    <x v="1507"/>
  </r>
  <r>
    <x v="288"/>
    <s v="Office Supplies"/>
    <x v="1508"/>
  </r>
  <r>
    <x v="44"/>
    <s v="Office Supplies"/>
    <x v="352"/>
  </r>
  <r>
    <x v="44"/>
    <s v="Office Supplies"/>
    <x v="1509"/>
  </r>
  <r>
    <x v="44"/>
    <s v="Office Supplies"/>
    <x v="1314"/>
  </r>
  <r>
    <x v="44"/>
    <s v="Office Supplies"/>
    <x v="1510"/>
  </r>
  <r>
    <x v="17"/>
    <s v="Office Supplies"/>
    <x v="1511"/>
  </r>
  <r>
    <x v="17"/>
    <s v="Technology"/>
    <x v="1512"/>
  </r>
  <r>
    <x v="115"/>
    <s v="Office Supplies"/>
    <x v="1513"/>
  </r>
  <r>
    <x v="115"/>
    <s v="Office Supplies"/>
    <x v="473"/>
  </r>
  <r>
    <x v="115"/>
    <s v="Technology"/>
    <x v="1514"/>
  </r>
  <r>
    <x v="33"/>
    <s v="Office Supplies"/>
    <x v="838"/>
  </r>
  <r>
    <x v="49"/>
    <s v="Office Supplies"/>
    <x v="1069"/>
  </r>
  <r>
    <x v="58"/>
    <s v="Office Supplies"/>
    <x v="1130"/>
  </r>
  <r>
    <x v="58"/>
    <s v="Office Supplies"/>
    <x v="1515"/>
  </r>
  <r>
    <x v="58"/>
    <s v="Office Supplies"/>
    <x v="1516"/>
  </r>
  <r>
    <x v="280"/>
    <s v="Office Supplies"/>
    <x v="1517"/>
  </r>
  <r>
    <x v="7"/>
    <s v="Office Supplies"/>
    <x v="1518"/>
  </r>
  <r>
    <x v="120"/>
    <s v="Office Supplies"/>
    <x v="1519"/>
  </r>
  <r>
    <x v="69"/>
    <s v="Office Supplies"/>
    <x v="1520"/>
  </r>
  <r>
    <x v="289"/>
    <s v="Office Supplies"/>
    <x v="1521"/>
  </r>
  <r>
    <x v="289"/>
    <s v="Office Supplies"/>
    <x v="994"/>
  </r>
  <r>
    <x v="172"/>
    <s v="Office Supplies"/>
    <x v="1522"/>
  </r>
  <r>
    <x v="172"/>
    <s v="Furniture"/>
    <x v="1523"/>
  </r>
  <r>
    <x v="146"/>
    <s v="Office Supplies"/>
    <x v="1524"/>
  </r>
  <r>
    <x v="146"/>
    <s v="Furniture"/>
    <x v="1525"/>
  </r>
  <r>
    <x v="114"/>
    <s v="Furniture"/>
    <x v="1526"/>
  </r>
  <r>
    <x v="138"/>
    <s v="Furniture"/>
    <x v="1527"/>
  </r>
  <r>
    <x v="138"/>
    <s v="Office Supplies"/>
    <x v="1528"/>
  </r>
  <r>
    <x v="138"/>
    <s v="Furniture"/>
    <x v="1529"/>
  </r>
  <r>
    <x v="110"/>
    <s v="Office Supplies"/>
    <x v="1530"/>
  </r>
  <r>
    <x v="34"/>
    <s v="Office Supplies"/>
    <x v="628"/>
  </r>
  <r>
    <x v="34"/>
    <s v="Office Supplies"/>
    <x v="1531"/>
  </r>
  <r>
    <x v="34"/>
    <s v="Office Supplies"/>
    <x v="1532"/>
  </r>
  <r>
    <x v="290"/>
    <s v="Technology"/>
    <x v="1533"/>
  </r>
  <r>
    <x v="290"/>
    <s v="Technology"/>
    <x v="1534"/>
  </r>
  <r>
    <x v="290"/>
    <s v="Technology"/>
    <x v="1535"/>
  </r>
  <r>
    <x v="290"/>
    <s v="Office Supplies"/>
    <x v="1536"/>
  </r>
  <r>
    <x v="83"/>
    <s v="Furniture"/>
    <x v="1303"/>
  </r>
  <r>
    <x v="208"/>
    <s v="Technology"/>
    <x v="171"/>
  </r>
  <r>
    <x v="208"/>
    <s v="Office Supplies"/>
    <x v="1537"/>
  </r>
  <r>
    <x v="208"/>
    <s v="Office Supplies"/>
    <x v="1538"/>
  </r>
  <r>
    <x v="208"/>
    <s v="Furniture"/>
    <x v="1539"/>
  </r>
  <r>
    <x v="226"/>
    <s v="Office Supplies"/>
    <x v="1540"/>
  </r>
  <r>
    <x v="141"/>
    <s v="Technology"/>
    <x v="1541"/>
  </r>
  <r>
    <x v="189"/>
    <s v="Office Supplies"/>
    <x v="966"/>
  </r>
  <r>
    <x v="189"/>
    <s v="Office Supplies"/>
    <x v="1542"/>
  </r>
  <r>
    <x v="189"/>
    <s v="Technology"/>
    <x v="1543"/>
  </r>
  <r>
    <x v="189"/>
    <s v="Furniture"/>
    <x v="1544"/>
  </r>
  <r>
    <x v="189"/>
    <s v="Office Supplies"/>
    <x v="892"/>
  </r>
  <r>
    <x v="232"/>
    <s v="Furniture"/>
    <x v="1545"/>
  </r>
  <r>
    <x v="232"/>
    <s v="Office Supplies"/>
    <x v="1546"/>
  </r>
  <r>
    <x v="232"/>
    <s v="Office Supplies"/>
    <x v="1547"/>
  </r>
  <r>
    <x v="232"/>
    <s v="Technology"/>
    <x v="1548"/>
  </r>
  <r>
    <x v="103"/>
    <s v="Office Supplies"/>
    <x v="1549"/>
  </r>
  <r>
    <x v="103"/>
    <s v="Technology"/>
    <x v="1550"/>
  </r>
  <r>
    <x v="221"/>
    <s v="Furniture"/>
    <x v="1551"/>
  </r>
  <r>
    <x v="221"/>
    <s v="Furniture"/>
    <x v="1552"/>
  </r>
  <r>
    <x v="221"/>
    <s v="Office Supplies"/>
    <x v="947"/>
  </r>
  <r>
    <x v="221"/>
    <s v="Office Supplies"/>
    <x v="1553"/>
  </r>
  <r>
    <x v="221"/>
    <s v="Technology"/>
    <x v="1554"/>
  </r>
  <r>
    <x v="144"/>
    <s v="Office Supplies"/>
    <x v="1555"/>
  </r>
  <r>
    <x v="158"/>
    <s v="Office Supplies"/>
    <x v="1556"/>
  </r>
  <r>
    <x v="179"/>
    <s v="Office Supplies"/>
    <x v="1350"/>
  </r>
  <r>
    <x v="163"/>
    <s v="Technology"/>
    <x v="1557"/>
  </r>
  <r>
    <x v="291"/>
    <s v="Furniture"/>
    <x v="1558"/>
  </r>
  <r>
    <x v="291"/>
    <s v="Office Supplies"/>
    <x v="1559"/>
  </r>
  <r>
    <x v="291"/>
    <s v="Office Supplies"/>
    <x v="1560"/>
  </r>
  <r>
    <x v="165"/>
    <s v="Office Supplies"/>
    <x v="1561"/>
  </r>
  <r>
    <x v="59"/>
    <s v="Furniture"/>
    <x v="1061"/>
  </r>
  <r>
    <x v="59"/>
    <s v="Technology"/>
    <x v="1562"/>
  </r>
  <r>
    <x v="81"/>
    <s v="Furniture"/>
    <x v="1563"/>
  </r>
  <r>
    <x v="52"/>
    <s v="Office Supplies"/>
    <x v="1564"/>
  </r>
  <r>
    <x v="52"/>
    <s v="Technology"/>
    <x v="116"/>
  </r>
  <r>
    <x v="52"/>
    <s v="Office Supplies"/>
    <x v="1565"/>
  </r>
  <r>
    <x v="193"/>
    <s v="Office Supplies"/>
    <x v="1566"/>
  </r>
  <r>
    <x v="193"/>
    <s v="Technology"/>
    <x v="1567"/>
  </r>
  <r>
    <x v="193"/>
    <s v="Office Supplies"/>
    <x v="1568"/>
  </r>
  <r>
    <x v="193"/>
    <s v="Furniture"/>
    <x v="1569"/>
  </r>
  <r>
    <x v="193"/>
    <s v="Technology"/>
    <x v="1570"/>
  </r>
  <r>
    <x v="193"/>
    <s v="Office Supplies"/>
    <x v="0"/>
  </r>
  <r>
    <x v="193"/>
    <s v="Technology"/>
    <x v="1571"/>
  </r>
  <r>
    <x v="120"/>
    <s v="Office Supplies"/>
    <x v="966"/>
  </r>
  <r>
    <x v="120"/>
    <s v="Furniture"/>
    <x v="1368"/>
  </r>
  <r>
    <x v="120"/>
    <s v="Office Supplies"/>
    <x v="1572"/>
  </r>
  <r>
    <x v="292"/>
    <s v="Furniture"/>
    <x v="1573"/>
  </r>
  <r>
    <x v="93"/>
    <s v="Office Supplies"/>
    <x v="1574"/>
  </r>
  <r>
    <x v="93"/>
    <s v="Technology"/>
    <x v="1575"/>
  </r>
  <r>
    <x v="93"/>
    <s v="Office Supplies"/>
    <x v="1576"/>
  </r>
  <r>
    <x v="32"/>
    <s v="Office Supplies"/>
    <x v="1577"/>
  </r>
  <r>
    <x v="70"/>
    <s v="Technology"/>
    <x v="1421"/>
  </r>
  <r>
    <x v="70"/>
    <s v="Technology"/>
    <x v="1578"/>
  </r>
  <r>
    <x v="223"/>
    <s v="Office Supplies"/>
    <x v="1309"/>
  </r>
  <r>
    <x v="223"/>
    <s v="Office Supplies"/>
    <x v="1579"/>
  </r>
  <r>
    <x v="171"/>
    <s v="Office Supplies"/>
    <x v="1580"/>
  </r>
  <r>
    <x v="150"/>
    <s v="Technology"/>
    <x v="1581"/>
  </r>
  <r>
    <x v="68"/>
    <s v="Technology"/>
    <x v="1582"/>
  </r>
  <r>
    <x v="68"/>
    <s v="Technology"/>
    <x v="1583"/>
  </r>
  <r>
    <x v="41"/>
    <s v="Furniture"/>
    <x v="1584"/>
  </r>
  <r>
    <x v="95"/>
    <s v="Office Supplies"/>
    <x v="252"/>
  </r>
  <r>
    <x v="95"/>
    <s v="Furniture"/>
    <x v="1585"/>
  </r>
  <r>
    <x v="60"/>
    <s v="Office Supplies"/>
    <x v="1586"/>
  </r>
  <r>
    <x v="60"/>
    <s v="Technology"/>
    <x v="1587"/>
  </r>
  <r>
    <x v="169"/>
    <s v="Furniture"/>
    <x v="1588"/>
  </r>
  <r>
    <x v="130"/>
    <s v="Office Supplies"/>
    <x v="1589"/>
  </r>
  <r>
    <x v="209"/>
    <s v="Office Supplies"/>
    <x v="1590"/>
  </r>
  <r>
    <x v="100"/>
    <s v="Furniture"/>
    <x v="1591"/>
  </r>
  <r>
    <x v="232"/>
    <s v="Office Supplies"/>
    <x v="135"/>
  </r>
  <r>
    <x v="211"/>
    <s v="Office Supplies"/>
    <x v="712"/>
  </r>
  <r>
    <x v="211"/>
    <s v="Office Supplies"/>
    <x v="1592"/>
  </r>
  <r>
    <x v="211"/>
    <s v="Office Supplies"/>
    <x v="47"/>
  </r>
  <r>
    <x v="211"/>
    <s v="Furniture"/>
    <x v="1593"/>
  </r>
  <r>
    <x v="239"/>
    <s v="Office Supplies"/>
    <x v="1594"/>
  </r>
  <r>
    <x v="246"/>
    <s v="Office Supplies"/>
    <x v="1595"/>
  </r>
  <r>
    <x v="246"/>
    <s v="Office Supplies"/>
    <x v="446"/>
  </r>
  <r>
    <x v="96"/>
    <s v="Office Supplies"/>
    <x v="1596"/>
  </r>
  <r>
    <x v="96"/>
    <s v="Office Supplies"/>
    <x v="1597"/>
  </r>
  <r>
    <x v="33"/>
    <s v="Office Supplies"/>
    <x v="840"/>
  </r>
  <r>
    <x v="165"/>
    <s v="Office Supplies"/>
    <x v="1598"/>
  </r>
  <r>
    <x v="197"/>
    <s v="Technology"/>
    <x v="1599"/>
  </r>
  <r>
    <x v="37"/>
    <s v="Office Supplies"/>
    <x v="1600"/>
  </r>
  <r>
    <x v="293"/>
    <s v="Office Supplies"/>
    <x v="1601"/>
  </r>
  <r>
    <x v="44"/>
    <s v="Technology"/>
    <x v="1602"/>
  </r>
  <r>
    <x v="44"/>
    <s v="Office Supplies"/>
    <x v="1603"/>
  </r>
  <r>
    <x v="44"/>
    <s v="Office Supplies"/>
    <x v="1604"/>
  </r>
  <r>
    <x v="44"/>
    <s v="Furniture"/>
    <x v="1605"/>
  </r>
  <r>
    <x v="44"/>
    <s v="Office Supplies"/>
    <x v="1606"/>
  </r>
  <r>
    <x v="63"/>
    <s v="Furniture"/>
    <x v="1607"/>
  </r>
  <r>
    <x v="63"/>
    <s v="Office Supplies"/>
    <x v="1608"/>
  </r>
  <r>
    <x v="63"/>
    <s v="Furniture"/>
    <x v="1061"/>
  </r>
  <r>
    <x v="173"/>
    <s v="Office Supplies"/>
    <x v="67"/>
  </r>
  <r>
    <x v="173"/>
    <s v="Furniture"/>
    <x v="1609"/>
  </r>
  <r>
    <x v="173"/>
    <s v="Technology"/>
    <x v="1610"/>
  </r>
  <r>
    <x v="173"/>
    <s v="Office Supplies"/>
    <x v="1611"/>
  </r>
  <r>
    <x v="173"/>
    <s v="Office Supplies"/>
    <x v="1612"/>
  </r>
  <r>
    <x v="173"/>
    <s v="Office Supplies"/>
    <x v="1613"/>
  </r>
  <r>
    <x v="173"/>
    <s v="Furniture"/>
    <x v="1614"/>
  </r>
  <r>
    <x v="157"/>
    <s v="Technology"/>
    <x v="1615"/>
  </r>
  <r>
    <x v="230"/>
    <s v="Office Supplies"/>
    <x v="1616"/>
  </r>
  <r>
    <x v="230"/>
    <s v="Furniture"/>
    <x v="1617"/>
  </r>
  <r>
    <x v="159"/>
    <s v="Technology"/>
    <x v="1618"/>
  </r>
  <r>
    <x v="81"/>
    <s v="Furniture"/>
    <x v="1619"/>
  </r>
  <r>
    <x v="81"/>
    <s v="Office Supplies"/>
    <x v="1620"/>
  </r>
  <r>
    <x v="81"/>
    <s v="Office Supplies"/>
    <x v="1621"/>
  </r>
  <r>
    <x v="81"/>
    <s v="Office Supplies"/>
    <x v="1622"/>
  </r>
  <r>
    <x v="91"/>
    <s v="Furniture"/>
    <x v="1623"/>
  </r>
  <r>
    <x v="91"/>
    <s v="Office Supplies"/>
    <x v="1624"/>
  </r>
  <r>
    <x v="108"/>
    <s v="Office Supplies"/>
    <x v="219"/>
  </r>
  <r>
    <x v="108"/>
    <s v="Furniture"/>
    <x v="1625"/>
  </r>
  <r>
    <x v="108"/>
    <s v="Office Supplies"/>
    <x v="705"/>
  </r>
  <r>
    <x v="108"/>
    <s v="Furniture"/>
    <x v="981"/>
  </r>
  <r>
    <x v="108"/>
    <s v="Office Supplies"/>
    <x v="300"/>
  </r>
  <r>
    <x v="168"/>
    <s v="Office Supplies"/>
    <x v="987"/>
  </r>
  <r>
    <x v="7"/>
    <s v="Office Supplies"/>
    <x v="1626"/>
  </r>
  <r>
    <x v="7"/>
    <s v="Furniture"/>
    <x v="1627"/>
  </r>
  <r>
    <x v="168"/>
    <s v="Office Supplies"/>
    <x v="1628"/>
  </r>
  <r>
    <x v="168"/>
    <s v="Office Supplies"/>
    <x v="1629"/>
  </r>
  <r>
    <x v="168"/>
    <s v="Furniture"/>
    <x v="1630"/>
  </r>
  <r>
    <x v="168"/>
    <s v="Office Supplies"/>
    <x v="1631"/>
  </r>
  <r>
    <x v="60"/>
    <s v="Office Supplies"/>
    <x v="1632"/>
  </r>
  <r>
    <x v="60"/>
    <s v="Furniture"/>
    <x v="1633"/>
  </r>
  <r>
    <x v="60"/>
    <s v="Furniture"/>
    <x v="1634"/>
  </r>
  <r>
    <x v="60"/>
    <s v="Office Supplies"/>
    <x v="71"/>
  </r>
  <r>
    <x v="99"/>
    <s v="Technology"/>
    <x v="1635"/>
  </r>
  <r>
    <x v="60"/>
    <s v="Furniture"/>
    <x v="1636"/>
  </r>
  <r>
    <x v="275"/>
    <s v="Office Supplies"/>
    <x v="1637"/>
  </r>
  <r>
    <x v="116"/>
    <s v="Office Supplies"/>
    <x v="1638"/>
  </r>
  <r>
    <x v="116"/>
    <s v="Office Supplies"/>
    <x v="1639"/>
  </r>
  <r>
    <x v="290"/>
    <s v="Office Supplies"/>
    <x v="1510"/>
  </r>
  <r>
    <x v="3"/>
    <s v="Office Supplies"/>
    <x v="427"/>
  </r>
  <r>
    <x v="120"/>
    <s v="Office Supplies"/>
    <x v="1640"/>
  </r>
  <r>
    <x v="167"/>
    <s v="Office Supplies"/>
    <x v="1555"/>
  </r>
  <r>
    <x v="10"/>
    <s v="Office Supplies"/>
    <x v="1641"/>
  </r>
  <r>
    <x v="10"/>
    <s v="Office Supplies"/>
    <x v="900"/>
  </r>
  <r>
    <x v="10"/>
    <s v="Office Supplies"/>
    <x v="838"/>
  </r>
  <r>
    <x v="10"/>
    <s v="Office Supplies"/>
    <x v="1642"/>
  </r>
  <r>
    <x v="10"/>
    <s v="Technology"/>
    <x v="1643"/>
  </r>
  <r>
    <x v="32"/>
    <s v="Office Supplies"/>
    <x v="1644"/>
  </r>
  <r>
    <x v="23"/>
    <s v="Technology"/>
    <x v="1645"/>
  </r>
  <r>
    <x v="123"/>
    <s v="Furniture"/>
    <x v="1646"/>
  </r>
  <r>
    <x v="123"/>
    <s v="Office Supplies"/>
    <x v="0"/>
  </r>
  <r>
    <x v="123"/>
    <s v="Technology"/>
    <x v="1647"/>
  </r>
  <r>
    <x v="123"/>
    <s v="Office Supplies"/>
    <x v="947"/>
  </r>
  <r>
    <x v="123"/>
    <s v="Technology"/>
    <x v="1648"/>
  </r>
  <r>
    <x v="123"/>
    <s v="Technology"/>
    <x v="1649"/>
  </r>
  <r>
    <x v="69"/>
    <s v="Technology"/>
    <x v="1650"/>
  </r>
  <r>
    <x v="69"/>
    <s v="Office Supplies"/>
    <x v="1651"/>
  </r>
  <r>
    <x v="112"/>
    <s v="Technology"/>
    <x v="1652"/>
  </r>
  <r>
    <x v="112"/>
    <s v="Office Supplies"/>
    <x v="115"/>
  </r>
  <r>
    <x v="253"/>
    <s v="Office Supplies"/>
    <x v="1653"/>
  </r>
  <r>
    <x v="253"/>
    <s v="Technology"/>
    <x v="189"/>
  </r>
  <r>
    <x v="253"/>
    <s v="Office Supplies"/>
    <x v="1654"/>
  </r>
  <r>
    <x v="253"/>
    <s v="Office Supplies"/>
    <x v="1655"/>
  </r>
  <r>
    <x v="0"/>
    <s v="Office Supplies"/>
    <x v="473"/>
  </r>
  <r>
    <x v="241"/>
    <s v="Furniture"/>
    <x v="1656"/>
  </r>
  <r>
    <x v="186"/>
    <s v="Office Supplies"/>
    <x v="1657"/>
  </r>
  <r>
    <x v="186"/>
    <s v="Office Supplies"/>
    <x v="1658"/>
  </r>
  <r>
    <x v="186"/>
    <s v="Technology"/>
    <x v="1659"/>
  </r>
  <r>
    <x v="199"/>
    <s v="Furniture"/>
    <x v="1660"/>
  </r>
  <r>
    <x v="278"/>
    <s v="Office Supplies"/>
    <x v="1661"/>
  </r>
  <r>
    <x v="278"/>
    <s v="Office Supplies"/>
    <x v="1662"/>
  </r>
  <r>
    <x v="158"/>
    <s v="Technology"/>
    <x v="1663"/>
  </r>
  <r>
    <x v="30"/>
    <s v="Office Supplies"/>
    <x v="1258"/>
  </r>
  <r>
    <x v="48"/>
    <s v="Office Supplies"/>
    <x v="1664"/>
  </r>
  <r>
    <x v="48"/>
    <s v="Technology"/>
    <x v="1665"/>
  </r>
  <r>
    <x v="48"/>
    <s v="Furniture"/>
    <x v="1666"/>
  </r>
  <r>
    <x v="85"/>
    <s v="Office Supplies"/>
    <x v="1667"/>
  </r>
  <r>
    <x v="59"/>
    <s v="Furniture"/>
    <x v="848"/>
  </r>
  <r>
    <x v="40"/>
    <s v="Technology"/>
    <x v="1668"/>
  </r>
  <r>
    <x v="208"/>
    <s v="Furniture"/>
    <x v="1669"/>
  </r>
  <r>
    <x v="158"/>
    <s v="Technology"/>
    <x v="1670"/>
  </r>
  <r>
    <x v="288"/>
    <s v="Office Supplies"/>
    <x v="1671"/>
  </r>
  <r>
    <x v="288"/>
    <s v="Office Supplies"/>
    <x v="457"/>
  </r>
  <r>
    <x v="188"/>
    <s v="Office Supplies"/>
    <x v="1455"/>
  </r>
  <r>
    <x v="188"/>
    <s v="Technology"/>
    <x v="1672"/>
  </r>
  <r>
    <x v="20"/>
    <s v="Furniture"/>
    <x v="1673"/>
  </r>
  <r>
    <x v="219"/>
    <s v="Office Supplies"/>
    <x v="1674"/>
  </r>
  <r>
    <x v="70"/>
    <s v="Technology"/>
    <x v="1675"/>
  </r>
  <r>
    <x v="70"/>
    <s v="Technology"/>
    <x v="1676"/>
  </r>
  <r>
    <x v="69"/>
    <s v="Furniture"/>
    <x v="1110"/>
  </r>
  <r>
    <x v="69"/>
    <s v="Office Supplies"/>
    <x v="1677"/>
  </r>
  <r>
    <x v="271"/>
    <s v="Furniture"/>
    <x v="1678"/>
  </r>
  <r>
    <x v="271"/>
    <s v="Furniture"/>
    <x v="1679"/>
  </r>
  <r>
    <x v="271"/>
    <s v="Technology"/>
    <x v="1680"/>
  </r>
  <r>
    <x v="231"/>
    <s v="Office Supplies"/>
    <x v="1681"/>
  </r>
  <r>
    <x v="14"/>
    <s v="Office Supplies"/>
    <x v="1682"/>
  </r>
  <r>
    <x v="14"/>
    <s v="Office Supplies"/>
    <x v="1683"/>
  </r>
  <r>
    <x v="139"/>
    <s v="Office Supplies"/>
    <x v="1684"/>
  </r>
  <r>
    <x v="29"/>
    <s v="Office Supplies"/>
    <x v="455"/>
  </r>
  <r>
    <x v="294"/>
    <s v="Furniture"/>
    <x v="1685"/>
  </r>
  <r>
    <x v="294"/>
    <s v="Technology"/>
    <x v="1686"/>
  </r>
  <r>
    <x v="294"/>
    <s v="Office Supplies"/>
    <x v="1687"/>
  </r>
  <r>
    <x v="294"/>
    <s v="Technology"/>
    <x v="1688"/>
  </r>
  <r>
    <x v="294"/>
    <s v="Office Supplies"/>
    <x v="1689"/>
  </r>
  <r>
    <x v="294"/>
    <s v="Office Supplies"/>
    <x v="385"/>
  </r>
  <r>
    <x v="294"/>
    <s v="Furniture"/>
    <x v="1690"/>
  </r>
  <r>
    <x v="294"/>
    <s v="Office Supplies"/>
    <x v="769"/>
  </r>
  <r>
    <x v="294"/>
    <s v="Office Supplies"/>
    <x v="1691"/>
  </r>
  <r>
    <x v="294"/>
    <s v="Furniture"/>
    <x v="1692"/>
  </r>
  <r>
    <x v="294"/>
    <s v="Technology"/>
    <x v="1693"/>
  </r>
  <r>
    <x v="294"/>
    <s v="Furniture"/>
    <x v="1694"/>
  </r>
  <r>
    <x v="294"/>
    <s v="Technology"/>
    <x v="1695"/>
  </r>
  <r>
    <x v="294"/>
    <s v="Technology"/>
    <x v="585"/>
  </r>
  <r>
    <x v="283"/>
    <s v="Furniture"/>
    <x v="1696"/>
  </r>
  <r>
    <x v="4"/>
    <s v="Technology"/>
    <x v="1697"/>
  </r>
  <r>
    <x v="4"/>
    <s v="Office Supplies"/>
    <x v="1087"/>
  </r>
  <r>
    <x v="4"/>
    <s v="Furniture"/>
    <x v="1698"/>
  </r>
  <r>
    <x v="4"/>
    <s v="Furniture"/>
    <x v="1699"/>
  </r>
  <r>
    <x v="221"/>
    <s v="Office Supplies"/>
    <x v="1700"/>
  </r>
  <r>
    <x v="23"/>
    <s v="Technology"/>
    <x v="278"/>
  </r>
  <r>
    <x v="23"/>
    <s v="Office Supplies"/>
    <x v="118"/>
  </r>
  <r>
    <x v="23"/>
    <s v="Office Supplies"/>
    <x v="1701"/>
  </r>
  <r>
    <x v="169"/>
    <s v="Technology"/>
    <x v="1702"/>
  </r>
  <r>
    <x v="169"/>
    <s v="Office Supplies"/>
    <x v="1012"/>
  </r>
  <r>
    <x v="48"/>
    <s v="Office Supplies"/>
    <x v="1085"/>
  </r>
  <r>
    <x v="106"/>
    <s v="Office Supplies"/>
    <x v="1703"/>
  </r>
  <r>
    <x v="106"/>
    <s v="Office Supplies"/>
    <x v="1420"/>
  </r>
  <r>
    <x v="106"/>
    <s v="Technology"/>
    <x v="1704"/>
  </r>
  <r>
    <x v="106"/>
    <s v="Office Supplies"/>
    <x v="1705"/>
  </r>
  <r>
    <x v="235"/>
    <s v="Office Supplies"/>
    <x v="1706"/>
  </r>
  <r>
    <x v="170"/>
    <s v="Office Supplies"/>
    <x v="1327"/>
  </r>
  <r>
    <x v="170"/>
    <s v="Office Supplies"/>
    <x v="1707"/>
  </r>
  <r>
    <x v="29"/>
    <s v="Furniture"/>
    <x v="1708"/>
  </r>
  <r>
    <x v="124"/>
    <s v="Office Supplies"/>
    <x v="352"/>
  </r>
  <r>
    <x v="198"/>
    <s v="Furniture"/>
    <x v="1709"/>
  </r>
  <r>
    <x v="198"/>
    <s v="Office Supplies"/>
    <x v="1710"/>
  </r>
  <r>
    <x v="198"/>
    <s v="Office Supplies"/>
    <x v="1711"/>
  </r>
  <r>
    <x v="198"/>
    <s v="Furniture"/>
    <x v="1712"/>
  </r>
  <r>
    <x v="295"/>
    <s v="Technology"/>
    <x v="1713"/>
  </r>
  <r>
    <x v="296"/>
    <s v="Office Supplies"/>
    <x v="292"/>
  </r>
  <r>
    <x v="18"/>
    <s v="Office Supplies"/>
    <x v="73"/>
  </r>
  <r>
    <x v="18"/>
    <s v="Office Supplies"/>
    <x v="1714"/>
  </r>
  <r>
    <x v="18"/>
    <s v="Office Supplies"/>
    <x v="1715"/>
  </r>
  <r>
    <x v="58"/>
    <s v="Technology"/>
    <x v="1716"/>
  </r>
  <r>
    <x v="58"/>
    <s v="Office Supplies"/>
    <x v="1717"/>
  </r>
  <r>
    <x v="24"/>
    <s v="Furniture"/>
    <x v="1718"/>
  </r>
  <r>
    <x v="108"/>
    <s v="Office Supplies"/>
    <x v="1719"/>
  </r>
  <r>
    <x v="68"/>
    <s v="Office Supplies"/>
    <x v="1720"/>
  </r>
  <r>
    <x v="68"/>
    <s v="Office Supplies"/>
    <x v="437"/>
  </r>
  <r>
    <x v="68"/>
    <s v="Furniture"/>
    <x v="1721"/>
  </r>
  <r>
    <x v="26"/>
    <s v="Office Supplies"/>
    <x v="960"/>
  </r>
  <r>
    <x v="26"/>
    <s v="Office Supplies"/>
    <x v="1722"/>
  </r>
  <r>
    <x v="5"/>
    <s v="Office Supplies"/>
    <x v="1723"/>
  </r>
  <r>
    <x v="94"/>
    <s v="Furniture"/>
    <x v="1724"/>
  </r>
  <r>
    <x v="94"/>
    <s v="Office Supplies"/>
    <x v="1725"/>
  </r>
  <r>
    <x v="94"/>
    <s v="Office Supplies"/>
    <x v="1539"/>
  </r>
  <r>
    <x v="142"/>
    <s v="Office Supplies"/>
    <x v="1726"/>
  </r>
  <r>
    <x v="61"/>
    <s v="Furniture"/>
    <x v="1727"/>
  </r>
  <r>
    <x v="61"/>
    <s v="Office Supplies"/>
    <x v="135"/>
  </r>
  <r>
    <x v="61"/>
    <s v="Office Supplies"/>
    <x v="1728"/>
  </r>
  <r>
    <x v="61"/>
    <s v="Office Supplies"/>
    <x v="1729"/>
  </r>
  <r>
    <x v="61"/>
    <s v="Technology"/>
    <x v="776"/>
  </r>
  <r>
    <x v="8"/>
    <s v="Furniture"/>
    <x v="1730"/>
  </r>
  <r>
    <x v="38"/>
    <s v="Office Supplies"/>
    <x v="1731"/>
  </r>
  <r>
    <x v="38"/>
    <s v="Furniture"/>
    <x v="1732"/>
  </r>
  <r>
    <x v="38"/>
    <s v="Office Supplies"/>
    <x v="1733"/>
  </r>
  <r>
    <x v="38"/>
    <s v="Office Supplies"/>
    <x v="1734"/>
  </r>
  <r>
    <x v="120"/>
    <s v="Office Supplies"/>
    <x v="1735"/>
  </r>
  <r>
    <x v="232"/>
    <s v="Office Supplies"/>
    <x v="1736"/>
  </r>
  <r>
    <x v="82"/>
    <s v="Office Supplies"/>
    <x v="1642"/>
  </r>
  <r>
    <x v="282"/>
    <s v="Office Supplies"/>
    <x v="406"/>
  </r>
  <r>
    <x v="163"/>
    <s v="Technology"/>
    <x v="1737"/>
  </r>
  <r>
    <x v="163"/>
    <s v="Furniture"/>
    <x v="1738"/>
  </r>
  <r>
    <x v="163"/>
    <s v="Office Supplies"/>
    <x v="1739"/>
  </r>
  <r>
    <x v="40"/>
    <s v="Technology"/>
    <x v="1740"/>
  </r>
  <r>
    <x v="168"/>
    <s v="Office Supplies"/>
    <x v="1741"/>
  </r>
  <r>
    <x v="163"/>
    <s v="Furniture"/>
    <x v="1742"/>
  </r>
  <r>
    <x v="93"/>
    <s v="Furniture"/>
    <x v="1743"/>
  </r>
  <r>
    <x v="13"/>
    <s v="Technology"/>
    <x v="1744"/>
  </r>
  <r>
    <x v="273"/>
    <s v="Office Supplies"/>
    <x v="1745"/>
  </r>
  <r>
    <x v="282"/>
    <s v="Office Supplies"/>
    <x v="1746"/>
  </r>
  <r>
    <x v="252"/>
    <s v="Office Supplies"/>
    <x v="1747"/>
  </r>
  <r>
    <x v="252"/>
    <s v="Technology"/>
    <x v="1748"/>
  </r>
  <r>
    <x v="255"/>
    <s v="Technology"/>
    <x v="1749"/>
  </r>
  <r>
    <x v="255"/>
    <s v="Office Supplies"/>
    <x v="1750"/>
  </r>
  <r>
    <x v="114"/>
    <s v="Office Supplies"/>
    <x v="457"/>
  </r>
  <r>
    <x v="105"/>
    <s v="Technology"/>
    <x v="1751"/>
  </r>
  <r>
    <x v="105"/>
    <s v="Furniture"/>
    <x v="1752"/>
  </r>
  <r>
    <x v="105"/>
    <s v="Technology"/>
    <x v="1753"/>
  </r>
  <r>
    <x v="51"/>
    <s v="Office Supplies"/>
    <x v="1754"/>
  </r>
  <r>
    <x v="60"/>
    <s v="Furniture"/>
    <x v="1755"/>
  </r>
  <r>
    <x v="33"/>
    <s v="Technology"/>
    <x v="1756"/>
  </r>
  <r>
    <x v="57"/>
    <s v="Office Supplies"/>
    <x v="1757"/>
  </r>
  <r>
    <x v="57"/>
    <s v="Office Supplies"/>
    <x v="998"/>
  </r>
  <r>
    <x v="57"/>
    <s v="Office Supplies"/>
    <x v="164"/>
  </r>
  <r>
    <x v="57"/>
    <s v="Technology"/>
    <x v="1758"/>
  </r>
  <r>
    <x v="170"/>
    <s v="Office Supplies"/>
    <x v="1759"/>
  </r>
  <r>
    <x v="170"/>
    <s v="Technology"/>
    <x v="1760"/>
  </r>
  <r>
    <x v="170"/>
    <s v="Office Supplies"/>
    <x v="1761"/>
  </r>
  <r>
    <x v="295"/>
    <s v="Technology"/>
    <x v="1762"/>
  </r>
  <r>
    <x v="295"/>
    <s v="Office Supplies"/>
    <x v="1763"/>
  </r>
  <r>
    <x v="295"/>
    <s v="Technology"/>
    <x v="1764"/>
  </r>
  <r>
    <x v="69"/>
    <s v="Office Supplies"/>
    <x v="1765"/>
  </r>
  <r>
    <x v="175"/>
    <s v="Furniture"/>
    <x v="37"/>
  </r>
  <r>
    <x v="175"/>
    <s v="Office Supplies"/>
    <x v="114"/>
  </r>
  <r>
    <x v="175"/>
    <s v="Technology"/>
    <x v="1766"/>
  </r>
  <r>
    <x v="91"/>
    <s v="Technology"/>
    <x v="686"/>
  </r>
  <r>
    <x v="91"/>
    <s v="Office Supplies"/>
    <x v="1767"/>
  </r>
  <r>
    <x v="225"/>
    <s v="Office Supplies"/>
    <x v="1768"/>
  </r>
  <r>
    <x v="225"/>
    <s v="Technology"/>
    <x v="388"/>
  </r>
  <r>
    <x v="225"/>
    <s v="Technology"/>
    <x v="1769"/>
  </r>
  <r>
    <x v="225"/>
    <s v="Office Supplies"/>
    <x v="1770"/>
  </r>
  <r>
    <x v="297"/>
    <s v="Office Supplies"/>
    <x v="331"/>
  </r>
  <r>
    <x v="179"/>
    <s v="Technology"/>
    <x v="1771"/>
  </r>
  <r>
    <x v="179"/>
    <s v="Office Supplies"/>
    <x v="1772"/>
  </r>
  <r>
    <x v="179"/>
    <s v="Office Supplies"/>
    <x v="1773"/>
  </r>
  <r>
    <x v="298"/>
    <s v="Furniture"/>
    <x v="599"/>
  </r>
  <r>
    <x v="298"/>
    <s v="Office Supplies"/>
    <x v="1469"/>
  </r>
  <r>
    <x v="298"/>
    <s v="Furniture"/>
    <x v="1774"/>
  </r>
  <r>
    <x v="150"/>
    <s v="Furniture"/>
    <x v="1775"/>
  </r>
  <r>
    <x v="150"/>
    <s v="Office Supplies"/>
    <x v="1776"/>
  </r>
  <r>
    <x v="88"/>
    <s v="Furniture"/>
    <x v="1777"/>
  </r>
  <r>
    <x v="88"/>
    <s v="Office Supplies"/>
    <x v="1778"/>
  </r>
  <r>
    <x v="88"/>
    <s v="Office Supplies"/>
    <x v="1083"/>
  </r>
  <r>
    <x v="88"/>
    <s v="Technology"/>
    <x v="1051"/>
  </r>
  <r>
    <x v="88"/>
    <s v="Office Supplies"/>
    <x v="1779"/>
  </r>
  <r>
    <x v="176"/>
    <s v="Office Supplies"/>
    <x v="1780"/>
  </r>
  <r>
    <x v="176"/>
    <s v="Technology"/>
    <x v="484"/>
  </r>
  <r>
    <x v="134"/>
    <s v="Office Supplies"/>
    <x v="1046"/>
  </r>
  <r>
    <x v="46"/>
    <s v="Office Supplies"/>
    <x v="1781"/>
  </r>
  <r>
    <x v="272"/>
    <s v="Office Supplies"/>
    <x v="135"/>
  </r>
  <r>
    <x v="240"/>
    <s v="Furniture"/>
    <x v="219"/>
  </r>
  <r>
    <x v="240"/>
    <s v="Office Supplies"/>
    <x v="1782"/>
  </r>
  <r>
    <x v="240"/>
    <s v="Technology"/>
    <x v="512"/>
  </r>
  <r>
    <x v="234"/>
    <s v="Furniture"/>
    <x v="1783"/>
  </r>
  <r>
    <x v="45"/>
    <s v="Furniture"/>
    <x v="1784"/>
  </r>
  <r>
    <x v="45"/>
    <s v="Office Supplies"/>
    <x v="1785"/>
  </r>
  <r>
    <x v="45"/>
    <s v="Office Supplies"/>
    <x v="1237"/>
  </r>
  <r>
    <x v="197"/>
    <s v="Office Supplies"/>
    <x v="96"/>
  </r>
  <r>
    <x v="197"/>
    <s v="Furniture"/>
    <x v="1786"/>
  </r>
  <r>
    <x v="88"/>
    <s v="Office Supplies"/>
    <x v="1012"/>
  </r>
  <r>
    <x v="88"/>
    <s v="Office Supplies"/>
    <x v="1787"/>
  </r>
  <r>
    <x v="88"/>
    <s v="Office Supplies"/>
    <x v="1788"/>
  </r>
  <r>
    <x v="88"/>
    <s v="Technology"/>
    <x v="1789"/>
  </r>
  <r>
    <x v="88"/>
    <s v="Furniture"/>
    <x v="1790"/>
  </r>
  <r>
    <x v="88"/>
    <s v="Office Supplies"/>
    <x v="1136"/>
  </r>
  <r>
    <x v="291"/>
    <s v="Technology"/>
    <x v="1523"/>
  </r>
  <r>
    <x v="23"/>
    <s v="Office Supplies"/>
    <x v="1791"/>
  </r>
  <r>
    <x v="23"/>
    <s v="Office Supplies"/>
    <x v="1792"/>
  </r>
  <r>
    <x v="23"/>
    <s v="Technology"/>
    <x v="1793"/>
  </r>
  <r>
    <x v="23"/>
    <s v="Office Supplies"/>
    <x v="0"/>
  </r>
  <r>
    <x v="23"/>
    <s v="Technology"/>
    <x v="1794"/>
  </r>
  <r>
    <x v="23"/>
    <s v="Office Supplies"/>
    <x v="1795"/>
  </r>
  <r>
    <x v="23"/>
    <s v="Furniture"/>
    <x v="1796"/>
  </r>
  <r>
    <x v="23"/>
    <s v="Technology"/>
    <x v="1797"/>
  </r>
  <r>
    <x v="23"/>
    <s v="Furniture"/>
    <x v="1798"/>
  </r>
  <r>
    <x v="23"/>
    <s v="Technology"/>
    <x v="1799"/>
  </r>
  <r>
    <x v="23"/>
    <s v="Office Supplies"/>
    <x v="900"/>
  </r>
  <r>
    <x v="4"/>
    <s v="Office Supplies"/>
    <x v="712"/>
  </r>
  <r>
    <x v="269"/>
    <s v="Technology"/>
    <x v="1800"/>
  </r>
  <r>
    <x v="269"/>
    <s v="Office Supplies"/>
    <x v="0"/>
  </r>
  <r>
    <x v="269"/>
    <s v="Technology"/>
    <x v="1801"/>
  </r>
  <r>
    <x v="202"/>
    <s v="Office Supplies"/>
    <x v="1802"/>
  </r>
  <r>
    <x v="201"/>
    <s v="Office Supplies"/>
    <x v="1357"/>
  </r>
  <r>
    <x v="201"/>
    <s v="Office Supplies"/>
    <x v="1803"/>
  </r>
  <r>
    <x v="201"/>
    <s v="Office Supplies"/>
    <x v="1804"/>
  </r>
  <r>
    <x v="250"/>
    <s v="Office Supplies"/>
    <x v="931"/>
  </r>
  <r>
    <x v="250"/>
    <s v="Office Supplies"/>
    <x v="1355"/>
  </r>
  <r>
    <x v="250"/>
    <s v="Office Supplies"/>
    <x v="829"/>
  </r>
  <r>
    <x v="250"/>
    <s v="Technology"/>
    <x v="1805"/>
  </r>
  <r>
    <x v="48"/>
    <s v="Furniture"/>
    <x v="1539"/>
  </r>
  <r>
    <x v="48"/>
    <s v="Furniture"/>
    <x v="1806"/>
  </r>
  <r>
    <x v="48"/>
    <s v="Office Supplies"/>
    <x v="1807"/>
  </r>
  <r>
    <x v="48"/>
    <s v="Office Supplies"/>
    <x v="1808"/>
  </r>
  <r>
    <x v="48"/>
    <s v="Office Supplies"/>
    <x v="1809"/>
  </r>
  <r>
    <x v="286"/>
    <s v="Office Supplies"/>
    <x v="1810"/>
  </r>
  <r>
    <x v="286"/>
    <s v="Furniture"/>
    <x v="1415"/>
  </r>
  <r>
    <x v="286"/>
    <s v="Office Supplies"/>
    <x v="1811"/>
  </r>
  <r>
    <x v="221"/>
    <s v="Office Supplies"/>
    <x v="1307"/>
  </r>
  <r>
    <x v="221"/>
    <s v="Technology"/>
    <x v="1812"/>
  </r>
  <r>
    <x v="221"/>
    <s v="Technology"/>
    <x v="1813"/>
  </r>
  <r>
    <x v="192"/>
    <s v="Office Supplies"/>
    <x v="1814"/>
  </r>
  <r>
    <x v="192"/>
    <s v="Furniture"/>
    <x v="1815"/>
  </r>
  <r>
    <x v="192"/>
    <s v="Technology"/>
    <x v="1659"/>
  </r>
  <r>
    <x v="192"/>
    <s v="Office Supplies"/>
    <x v="1816"/>
  </r>
  <r>
    <x v="88"/>
    <s v="Office Supplies"/>
    <x v="1817"/>
  </r>
  <r>
    <x v="88"/>
    <s v="Office Supplies"/>
    <x v="1818"/>
  </r>
  <r>
    <x v="88"/>
    <s v="Office Supplies"/>
    <x v="1819"/>
  </r>
  <r>
    <x v="236"/>
    <s v="Office Supplies"/>
    <x v="126"/>
  </r>
  <r>
    <x v="236"/>
    <s v="Office Supplies"/>
    <x v="1820"/>
  </r>
  <r>
    <x v="52"/>
    <s v="Office Supplies"/>
    <x v="1821"/>
  </r>
  <r>
    <x v="299"/>
    <s v="Office Supplies"/>
    <x v="1822"/>
  </r>
  <r>
    <x v="299"/>
    <s v="Office Supplies"/>
    <x v="1823"/>
  </r>
  <r>
    <x v="126"/>
    <s v="Technology"/>
    <x v="1824"/>
  </r>
  <r>
    <x v="126"/>
    <s v="Furniture"/>
    <x v="1825"/>
  </r>
  <r>
    <x v="72"/>
    <s v="Office Supplies"/>
    <x v="1826"/>
  </r>
  <r>
    <x v="72"/>
    <s v="Technology"/>
    <x v="315"/>
  </r>
  <r>
    <x v="72"/>
    <s v="Furniture"/>
    <x v="1307"/>
  </r>
  <r>
    <x v="72"/>
    <s v="Office Supplies"/>
    <x v="1757"/>
  </r>
  <r>
    <x v="72"/>
    <s v="Furniture"/>
    <x v="1267"/>
  </r>
  <r>
    <x v="72"/>
    <s v="Office Supplies"/>
    <x v="748"/>
  </r>
  <r>
    <x v="72"/>
    <s v="Office Supplies"/>
    <x v="1827"/>
  </r>
  <r>
    <x v="219"/>
    <s v="Office Supplies"/>
    <x v="1828"/>
  </r>
  <r>
    <x v="219"/>
    <s v="Office Supplies"/>
    <x v="568"/>
  </r>
  <r>
    <x v="12"/>
    <s v="Office Supplies"/>
    <x v="1829"/>
  </r>
  <r>
    <x v="300"/>
    <s v="Office Supplies"/>
    <x v="712"/>
  </r>
  <r>
    <x v="300"/>
    <s v="Office Supplies"/>
    <x v="1830"/>
  </r>
  <r>
    <x v="300"/>
    <s v="Office Supplies"/>
    <x v="1831"/>
  </r>
  <r>
    <x v="300"/>
    <s v="Furniture"/>
    <x v="1832"/>
  </r>
  <r>
    <x v="181"/>
    <s v="Office Supplies"/>
    <x v="1833"/>
  </r>
  <r>
    <x v="181"/>
    <s v="Technology"/>
    <x v="1834"/>
  </r>
  <r>
    <x v="181"/>
    <s v="Office Supplies"/>
    <x v="1835"/>
  </r>
  <r>
    <x v="99"/>
    <s v="Office Supplies"/>
    <x v="1836"/>
  </r>
  <r>
    <x v="99"/>
    <s v="Office Supplies"/>
    <x v="152"/>
  </r>
  <r>
    <x v="139"/>
    <s v="Office Supplies"/>
    <x v="1837"/>
  </r>
  <r>
    <x v="139"/>
    <s v="Technology"/>
    <x v="1838"/>
  </r>
  <r>
    <x v="139"/>
    <s v="Office Supplies"/>
    <x v="1839"/>
  </r>
  <r>
    <x v="159"/>
    <s v="Office Supplies"/>
    <x v="124"/>
  </r>
  <r>
    <x v="159"/>
    <s v="Technology"/>
    <x v="1840"/>
  </r>
  <r>
    <x v="159"/>
    <s v="Office Supplies"/>
    <x v="1203"/>
  </r>
  <r>
    <x v="159"/>
    <s v="Furniture"/>
    <x v="1841"/>
  </r>
  <r>
    <x v="159"/>
    <s v="Office Supplies"/>
    <x v="473"/>
  </r>
  <r>
    <x v="159"/>
    <s v="Furniture"/>
    <x v="1842"/>
  </r>
  <r>
    <x v="86"/>
    <s v="Technology"/>
    <x v="1843"/>
  </r>
  <r>
    <x v="86"/>
    <s v="Technology"/>
    <x v="1844"/>
  </r>
  <r>
    <x v="86"/>
    <s v="Office Supplies"/>
    <x v="1719"/>
  </r>
  <r>
    <x v="86"/>
    <s v="Office Supplies"/>
    <x v="1123"/>
  </r>
  <r>
    <x v="86"/>
    <s v="Furniture"/>
    <x v="1845"/>
  </r>
  <r>
    <x v="86"/>
    <s v="Furniture"/>
    <x v="1846"/>
  </r>
  <r>
    <x v="9"/>
    <s v="Furniture"/>
    <x v="1847"/>
  </r>
  <r>
    <x v="9"/>
    <s v="Office Supplies"/>
    <x v="1848"/>
  </r>
  <r>
    <x v="168"/>
    <s v="Furniture"/>
    <x v="1849"/>
  </r>
  <r>
    <x v="168"/>
    <s v="Office Supplies"/>
    <x v="12"/>
  </r>
  <r>
    <x v="168"/>
    <s v="Office Supplies"/>
    <x v="1850"/>
  </r>
  <r>
    <x v="168"/>
    <s v="Technology"/>
    <x v="1851"/>
  </r>
  <r>
    <x v="301"/>
    <s v="Office Supplies"/>
    <x v="1852"/>
  </r>
  <r>
    <x v="79"/>
    <s v="Office Supplies"/>
    <x v="1853"/>
  </r>
  <r>
    <x v="79"/>
    <s v="Office Supplies"/>
    <x v="1854"/>
  </r>
  <r>
    <x v="79"/>
    <s v="Office Supplies"/>
    <x v="603"/>
  </r>
  <r>
    <x v="90"/>
    <s v="Office Supplies"/>
    <x v="1855"/>
  </r>
  <r>
    <x v="121"/>
    <s v="Technology"/>
    <x v="1856"/>
  </r>
  <r>
    <x v="163"/>
    <s v="Office Supplies"/>
    <x v="1857"/>
  </r>
  <r>
    <x v="197"/>
    <s v="Office Supplies"/>
    <x v="50"/>
  </r>
  <r>
    <x v="197"/>
    <s v="Office Supplies"/>
    <x v="1858"/>
  </r>
  <r>
    <x v="263"/>
    <s v="Office Supplies"/>
    <x v="1859"/>
  </r>
  <r>
    <x v="285"/>
    <s v="Office Supplies"/>
    <x v="770"/>
  </r>
  <r>
    <x v="72"/>
    <s v="Office Supplies"/>
    <x v="1860"/>
  </r>
  <r>
    <x v="72"/>
    <s v="Furniture"/>
    <x v="1861"/>
  </r>
  <r>
    <x v="72"/>
    <s v="Office Supplies"/>
    <x v="1803"/>
  </r>
  <r>
    <x v="68"/>
    <s v="Office Supplies"/>
    <x v="1862"/>
  </r>
  <r>
    <x v="234"/>
    <s v="Furniture"/>
    <x v="1863"/>
  </r>
  <r>
    <x v="234"/>
    <s v="Furniture"/>
    <x v="1864"/>
  </r>
  <r>
    <x v="234"/>
    <s v="Technology"/>
    <x v="1865"/>
  </r>
  <r>
    <x v="234"/>
    <s v="Office Supplies"/>
    <x v="1866"/>
  </r>
  <r>
    <x v="4"/>
    <s v="Technology"/>
    <x v="235"/>
  </r>
  <r>
    <x v="4"/>
    <s v="Office Supplies"/>
    <x v="1867"/>
  </r>
  <r>
    <x v="4"/>
    <s v="Office Supplies"/>
    <x v="1010"/>
  </r>
  <r>
    <x v="146"/>
    <s v="Office Supplies"/>
    <x v="1868"/>
  </r>
  <r>
    <x v="195"/>
    <s v="Office Supplies"/>
    <x v="1869"/>
  </r>
  <r>
    <x v="20"/>
    <s v="Furniture"/>
    <x v="1870"/>
  </r>
  <r>
    <x v="28"/>
    <s v="Technology"/>
    <x v="1871"/>
  </r>
  <r>
    <x v="28"/>
    <s v="Office Supplies"/>
    <x v="1553"/>
  </r>
  <r>
    <x v="7"/>
    <s v="Technology"/>
    <x v="1872"/>
  </r>
  <r>
    <x v="40"/>
    <s v="Office Supplies"/>
    <x v="1873"/>
  </r>
  <r>
    <x v="40"/>
    <s v="Office Supplies"/>
    <x v="1532"/>
  </r>
  <r>
    <x v="40"/>
    <s v="Technology"/>
    <x v="1874"/>
  </r>
  <r>
    <x v="48"/>
    <s v="Furniture"/>
    <x v="1875"/>
  </r>
  <r>
    <x v="48"/>
    <s v="Furniture"/>
    <x v="1876"/>
  </r>
  <r>
    <x v="48"/>
    <s v="Technology"/>
    <x v="1877"/>
  </r>
  <r>
    <x v="48"/>
    <s v="Office Supplies"/>
    <x v="1878"/>
  </r>
  <r>
    <x v="163"/>
    <s v="Office Supplies"/>
    <x v="1274"/>
  </r>
  <r>
    <x v="95"/>
    <s v="Office Supplies"/>
    <x v="306"/>
  </r>
  <r>
    <x v="198"/>
    <s v="Furniture"/>
    <x v="958"/>
  </r>
  <r>
    <x v="198"/>
    <s v="Office Supplies"/>
    <x v="1879"/>
  </r>
  <r>
    <x v="198"/>
    <s v="Furniture"/>
    <x v="1880"/>
  </r>
  <r>
    <x v="4"/>
    <s v="Office Supplies"/>
    <x v="1881"/>
  </r>
  <r>
    <x v="6"/>
    <s v="Office Supplies"/>
    <x v="1632"/>
  </r>
  <r>
    <x v="6"/>
    <s v="Office Supplies"/>
    <x v="1882"/>
  </r>
  <r>
    <x v="136"/>
    <s v="Technology"/>
    <x v="1883"/>
  </r>
  <r>
    <x v="229"/>
    <s v="Furniture"/>
    <x v="1884"/>
  </r>
  <r>
    <x v="229"/>
    <s v="Office Supplies"/>
    <x v="1885"/>
  </r>
  <r>
    <x v="229"/>
    <s v="Furniture"/>
    <x v="1886"/>
  </r>
  <r>
    <x v="229"/>
    <s v="Office Supplies"/>
    <x v="1887"/>
  </r>
  <r>
    <x v="229"/>
    <s v="Office Supplies"/>
    <x v="473"/>
  </r>
  <r>
    <x v="14"/>
    <s v="Office Supplies"/>
    <x v="1888"/>
  </r>
  <r>
    <x v="5"/>
    <s v="Office Supplies"/>
    <x v="1349"/>
  </r>
  <r>
    <x v="5"/>
    <s v="Technology"/>
    <x v="1889"/>
  </r>
  <r>
    <x v="5"/>
    <s v="Furniture"/>
    <x v="1890"/>
  </r>
  <r>
    <x v="5"/>
    <s v="Office Supplies"/>
    <x v="1891"/>
  </r>
  <r>
    <x v="5"/>
    <s v="Furniture"/>
    <x v="1892"/>
  </r>
  <r>
    <x v="5"/>
    <s v="Technology"/>
    <x v="1893"/>
  </r>
  <r>
    <x v="29"/>
    <s v="Office Supplies"/>
    <x v="1894"/>
  </r>
  <r>
    <x v="29"/>
    <s v="Furniture"/>
    <x v="1895"/>
  </r>
  <r>
    <x v="29"/>
    <s v="Furniture"/>
    <x v="1890"/>
  </r>
  <r>
    <x v="29"/>
    <s v="Furniture"/>
    <x v="1896"/>
  </r>
  <r>
    <x v="232"/>
    <s v="Office Supplies"/>
    <x v="1897"/>
  </r>
  <r>
    <x v="72"/>
    <s v="Office Supplies"/>
    <x v="1453"/>
  </r>
  <r>
    <x v="128"/>
    <s v="Office Supplies"/>
    <x v="1898"/>
  </r>
  <r>
    <x v="128"/>
    <s v="Furniture"/>
    <x v="204"/>
  </r>
  <r>
    <x v="299"/>
    <s v="Office Supplies"/>
    <x v="1899"/>
  </r>
  <r>
    <x v="299"/>
    <s v="Technology"/>
    <x v="1900"/>
  </r>
  <r>
    <x v="94"/>
    <s v="Office Supplies"/>
    <x v="1901"/>
  </r>
  <r>
    <x v="94"/>
    <s v="Technology"/>
    <x v="1902"/>
  </r>
  <r>
    <x v="94"/>
    <s v="Office Supplies"/>
    <x v="1903"/>
  </r>
  <r>
    <x v="94"/>
    <s v="Office Supplies"/>
    <x v="1904"/>
  </r>
  <r>
    <x v="94"/>
    <s v="Office Supplies"/>
    <x v="654"/>
  </r>
  <r>
    <x v="238"/>
    <s v="Office Supplies"/>
    <x v="1905"/>
  </r>
  <r>
    <x v="238"/>
    <s v="Office Supplies"/>
    <x v="1906"/>
  </r>
  <r>
    <x v="238"/>
    <s v="Office Supplies"/>
    <x v="1853"/>
  </r>
  <r>
    <x v="238"/>
    <s v="Technology"/>
    <x v="1907"/>
  </r>
  <r>
    <x v="238"/>
    <s v="Office Supplies"/>
    <x v="1908"/>
  </r>
  <r>
    <x v="238"/>
    <s v="Furniture"/>
    <x v="1539"/>
  </r>
  <r>
    <x v="24"/>
    <s v="Office Supplies"/>
    <x v="457"/>
  </r>
  <r>
    <x v="3"/>
    <s v="Technology"/>
    <x v="1909"/>
  </r>
  <r>
    <x v="3"/>
    <s v="Technology"/>
    <x v="1910"/>
  </r>
  <r>
    <x v="280"/>
    <s v="Office Supplies"/>
    <x v="5"/>
  </r>
  <r>
    <x v="280"/>
    <s v="Office Supplies"/>
    <x v="1911"/>
  </r>
  <r>
    <x v="17"/>
    <s v="Technology"/>
    <x v="1912"/>
  </r>
  <r>
    <x v="17"/>
    <s v="Office Supplies"/>
    <x v="1913"/>
  </r>
  <r>
    <x v="17"/>
    <s v="Office Supplies"/>
    <x v="1269"/>
  </r>
  <r>
    <x v="17"/>
    <s v="Office Supplies"/>
    <x v="998"/>
  </r>
  <r>
    <x v="17"/>
    <s v="Furniture"/>
    <x v="1914"/>
  </r>
  <r>
    <x v="17"/>
    <s v="Technology"/>
    <x v="1915"/>
  </r>
  <r>
    <x v="17"/>
    <s v="Office Supplies"/>
    <x v="1916"/>
  </r>
  <r>
    <x v="17"/>
    <s v="Office Supplies"/>
    <x v="537"/>
  </r>
  <r>
    <x v="68"/>
    <s v="Office Supplies"/>
    <x v="1917"/>
  </r>
  <r>
    <x v="302"/>
    <s v="Technology"/>
    <x v="1918"/>
  </r>
  <r>
    <x v="79"/>
    <s v="Office Supplies"/>
    <x v="1919"/>
  </r>
  <r>
    <x v="79"/>
    <s v="Office Supplies"/>
    <x v="1920"/>
  </r>
  <r>
    <x v="79"/>
    <s v="Office Supplies"/>
    <x v="1921"/>
  </r>
  <r>
    <x v="303"/>
    <s v="Office Supplies"/>
    <x v="1922"/>
  </r>
  <r>
    <x v="271"/>
    <s v="Office Supplies"/>
    <x v="125"/>
  </r>
  <r>
    <x v="113"/>
    <s v="Furniture"/>
    <x v="1923"/>
  </r>
  <r>
    <x v="162"/>
    <s v="Furniture"/>
    <x v="1924"/>
  </r>
  <r>
    <x v="111"/>
    <s v="Office Supplies"/>
    <x v="1925"/>
  </r>
  <r>
    <x v="216"/>
    <s v="Technology"/>
    <x v="1926"/>
  </r>
  <r>
    <x v="119"/>
    <s v="Office Supplies"/>
    <x v="1927"/>
  </r>
  <r>
    <x v="295"/>
    <s v="Office Supplies"/>
    <x v="1928"/>
  </r>
  <r>
    <x v="93"/>
    <s v="Technology"/>
    <x v="1929"/>
  </r>
  <r>
    <x v="95"/>
    <s v="Office Supplies"/>
    <x v="1930"/>
  </r>
  <r>
    <x v="95"/>
    <s v="Office Supplies"/>
    <x v="99"/>
  </r>
  <r>
    <x v="95"/>
    <s v="Office Supplies"/>
    <x v="1931"/>
  </r>
  <r>
    <x v="95"/>
    <s v="Office Supplies"/>
    <x v="1932"/>
  </r>
  <r>
    <x v="32"/>
    <s v="Office Supplies"/>
    <x v="1933"/>
  </r>
  <r>
    <x v="32"/>
    <s v="Furniture"/>
    <x v="1934"/>
  </r>
  <r>
    <x v="134"/>
    <s v="Office Supplies"/>
    <x v="1935"/>
  </r>
  <r>
    <x v="4"/>
    <s v="Office Supplies"/>
    <x v="1936"/>
  </r>
  <r>
    <x v="4"/>
    <s v="Technology"/>
    <x v="1937"/>
  </r>
  <r>
    <x v="4"/>
    <s v="Technology"/>
    <x v="1938"/>
  </r>
  <r>
    <x v="4"/>
    <s v="Office Supplies"/>
    <x v="1939"/>
  </r>
  <r>
    <x v="48"/>
    <s v="Office Supplies"/>
    <x v="1940"/>
  </r>
  <r>
    <x v="255"/>
    <s v="Office Supplies"/>
    <x v="1941"/>
  </r>
  <r>
    <x v="118"/>
    <s v="Office Supplies"/>
    <x v="1942"/>
  </r>
  <r>
    <x v="98"/>
    <s v="Office Supplies"/>
    <x v="1943"/>
  </r>
  <r>
    <x v="40"/>
    <s v="Office Supplies"/>
    <x v="1944"/>
  </r>
  <r>
    <x v="94"/>
    <s v="Office Supplies"/>
    <x v="1945"/>
  </r>
  <r>
    <x v="94"/>
    <s v="Office Supplies"/>
    <x v="1946"/>
  </r>
  <r>
    <x v="304"/>
    <s v="Office Supplies"/>
    <x v="1947"/>
  </r>
  <r>
    <x v="304"/>
    <s v="Office Supplies"/>
    <x v="1948"/>
  </r>
  <r>
    <x v="6"/>
    <s v="Furniture"/>
    <x v="1949"/>
  </r>
  <r>
    <x v="199"/>
    <s v="Technology"/>
    <x v="1950"/>
  </r>
  <r>
    <x v="199"/>
    <s v="Office Supplies"/>
    <x v="1951"/>
  </r>
  <r>
    <x v="258"/>
    <s v="Office Supplies"/>
    <x v="1952"/>
  </r>
  <r>
    <x v="11"/>
    <s v="Furniture"/>
    <x v="1953"/>
  </r>
  <r>
    <x v="165"/>
    <s v="Office Supplies"/>
    <x v="67"/>
  </r>
  <r>
    <x v="165"/>
    <s v="Office Supplies"/>
    <x v="1532"/>
  </r>
  <r>
    <x v="22"/>
    <s v="Office Supplies"/>
    <x v="1954"/>
  </r>
  <r>
    <x v="22"/>
    <s v="Office Supplies"/>
    <x v="1005"/>
  </r>
  <r>
    <x v="22"/>
    <s v="Furniture"/>
    <x v="790"/>
  </r>
  <r>
    <x v="261"/>
    <s v="Technology"/>
    <x v="1030"/>
  </r>
  <r>
    <x v="261"/>
    <s v="Furniture"/>
    <x v="1955"/>
  </r>
  <r>
    <x v="261"/>
    <s v="Office Supplies"/>
    <x v="1153"/>
  </r>
  <r>
    <x v="150"/>
    <s v="Office Supplies"/>
    <x v="1956"/>
  </r>
  <r>
    <x v="305"/>
    <s v="Office Supplies"/>
    <x v="1957"/>
  </r>
  <r>
    <x v="72"/>
    <s v="Office Supplies"/>
    <x v="1069"/>
  </r>
  <r>
    <x v="72"/>
    <s v="Technology"/>
    <x v="1958"/>
  </r>
  <r>
    <x v="37"/>
    <s v="Office Supplies"/>
    <x v="1959"/>
  </r>
  <r>
    <x v="37"/>
    <s v="Office Supplies"/>
    <x v="1960"/>
  </r>
  <r>
    <x v="185"/>
    <s v="Office Supplies"/>
    <x v="1640"/>
  </r>
  <r>
    <x v="34"/>
    <s v="Technology"/>
    <x v="291"/>
  </r>
  <r>
    <x v="10"/>
    <s v="Office Supplies"/>
    <x v="1961"/>
  </r>
  <r>
    <x v="146"/>
    <s v="Office Supplies"/>
    <x v="1962"/>
  </r>
  <r>
    <x v="74"/>
    <s v="Furniture"/>
    <x v="1963"/>
  </r>
  <r>
    <x v="74"/>
    <s v="Furniture"/>
    <x v="1964"/>
  </r>
  <r>
    <x v="74"/>
    <s v="Technology"/>
    <x v="1965"/>
  </r>
  <r>
    <x v="223"/>
    <s v="Office Supplies"/>
    <x v="1532"/>
  </r>
  <r>
    <x v="202"/>
    <s v="Office Supplies"/>
    <x v="343"/>
  </r>
  <r>
    <x v="24"/>
    <s v="Office Supplies"/>
    <x v="573"/>
  </r>
  <r>
    <x v="24"/>
    <s v="Furniture"/>
    <x v="1966"/>
  </r>
  <r>
    <x v="54"/>
    <s v="Furniture"/>
    <x v="1967"/>
  </r>
  <r>
    <x v="54"/>
    <s v="Technology"/>
    <x v="1968"/>
  </r>
  <r>
    <x v="54"/>
    <s v="Furniture"/>
    <x v="1969"/>
  </r>
  <r>
    <x v="54"/>
    <s v="Technology"/>
    <x v="1970"/>
  </r>
  <r>
    <x v="54"/>
    <s v="Furniture"/>
    <x v="1971"/>
  </r>
  <r>
    <x v="59"/>
    <s v="Technology"/>
    <x v="1972"/>
  </r>
  <r>
    <x v="59"/>
    <s v="Furniture"/>
    <x v="1973"/>
  </r>
  <r>
    <x v="237"/>
    <s v="Technology"/>
    <x v="1974"/>
  </r>
  <r>
    <x v="237"/>
    <s v="Office Supplies"/>
    <x v="1667"/>
  </r>
  <r>
    <x v="237"/>
    <s v="Furniture"/>
    <x v="993"/>
  </r>
  <r>
    <x v="237"/>
    <s v="Office Supplies"/>
    <x v="1975"/>
  </r>
  <r>
    <x v="18"/>
    <s v="Furniture"/>
    <x v="1966"/>
  </r>
  <r>
    <x v="18"/>
    <s v="Furniture"/>
    <x v="1976"/>
  </r>
  <r>
    <x v="161"/>
    <s v="Office Supplies"/>
    <x v="1977"/>
  </r>
  <r>
    <x v="290"/>
    <s v="Furniture"/>
    <x v="1978"/>
  </r>
  <r>
    <x v="280"/>
    <s v="Technology"/>
    <x v="1979"/>
  </r>
  <r>
    <x v="169"/>
    <s v="Technology"/>
    <x v="1980"/>
  </r>
  <r>
    <x v="169"/>
    <s v="Technology"/>
    <x v="1918"/>
  </r>
  <r>
    <x v="169"/>
    <s v="Office Supplies"/>
    <x v="1745"/>
  </r>
  <r>
    <x v="169"/>
    <s v="Office Supplies"/>
    <x v="1981"/>
  </r>
  <r>
    <x v="169"/>
    <s v="Office Supplies"/>
    <x v="1982"/>
  </r>
  <r>
    <x v="132"/>
    <s v="Office Supplies"/>
    <x v="1983"/>
  </r>
  <r>
    <x v="132"/>
    <s v="Office Supplies"/>
    <x v="1984"/>
  </r>
  <r>
    <x v="144"/>
    <s v="Office Supplies"/>
    <x v="1985"/>
  </r>
  <r>
    <x v="19"/>
    <s v="Furniture"/>
    <x v="1986"/>
  </r>
  <r>
    <x v="176"/>
    <s v="Office Supplies"/>
    <x v="1987"/>
  </r>
  <r>
    <x v="176"/>
    <s v="Office Supplies"/>
    <x v="1988"/>
  </r>
  <r>
    <x v="176"/>
    <s v="Furniture"/>
    <x v="1989"/>
  </r>
  <r>
    <x v="176"/>
    <s v="Furniture"/>
    <x v="402"/>
  </r>
  <r>
    <x v="176"/>
    <s v="Office Supplies"/>
    <x v="1990"/>
  </r>
  <r>
    <x v="81"/>
    <s v="Furniture"/>
    <x v="1991"/>
  </r>
  <r>
    <x v="81"/>
    <s v="Technology"/>
    <x v="1992"/>
  </r>
  <r>
    <x v="128"/>
    <s v="Office Supplies"/>
    <x v="1993"/>
  </r>
  <r>
    <x v="306"/>
    <s v="Office Supplies"/>
    <x v="1994"/>
  </r>
  <r>
    <x v="194"/>
    <s v="Technology"/>
    <x v="1995"/>
  </r>
  <r>
    <x v="79"/>
    <s v="Technology"/>
    <x v="1536"/>
  </r>
  <r>
    <x v="182"/>
    <s v="Office Supplies"/>
    <x v="1996"/>
  </r>
  <r>
    <x v="182"/>
    <s v="Technology"/>
    <x v="1997"/>
  </r>
  <r>
    <x v="193"/>
    <s v="Office Supplies"/>
    <x v="1998"/>
  </r>
  <r>
    <x v="193"/>
    <s v="Office Supplies"/>
    <x v="1733"/>
  </r>
  <r>
    <x v="193"/>
    <s v="Office Supplies"/>
    <x v="1248"/>
  </r>
  <r>
    <x v="219"/>
    <s v="Furniture"/>
    <x v="1999"/>
  </r>
  <r>
    <x v="219"/>
    <s v="Office Supplies"/>
    <x v="2000"/>
  </r>
  <r>
    <x v="219"/>
    <s v="Furniture"/>
    <x v="2001"/>
  </r>
  <r>
    <x v="176"/>
    <s v="Furniture"/>
    <x v="2002"/>
  </r>
  <r>
    <x v="291"/>
    <s v="Office Supplies"/>
    <x v="2003"/>
  </r>
  <r>
    <x v="241"/>
    <s v="Office Supplies"/>
    <x v="1099"/>
  </r>
  <r>
    <x v="53"/>
    <s v="Office Supplies"/>
    <x v="2004"/>
  </r>
  <r>
    <x v="220"/>
    <s v="Technology"/>
    <x v="97"/>
  </r>
  <r>
    <x v="220"/>
    <s v="Office Supplies"/>
    <x v="2005"/>
  </r>
  <r>
    <x v="140"/>
    <s v="Office Supplies"/>
    <x v="932"/>
  </r>
  <r>
    <x v="307"/>
    <s v="Office Supplies"/>
    <x v="2006"/>
  </r>
  <r>
    <x v="307"/>
    <s v="Office Supplies"/>
    <x v="2007"/>
  </r>
  <r>
    <x v="152"/>
    <s v="Technology"/>
    <x v="2008"/>
  </r>
  <r>
    <x v="215"/>
    <s v="Office Supplies"/>
    <x v="2009"/>
  </r>
  <r>
    <x v="120"/>
    <s v="Office Supplies"/>
    <x v="73"/>
  </r>
  <r>
    <x v="120"/>
    <s v="Furniture"/>
    <x v="2010"/>
  </r>
  <r>
    <x v="96"/>
    <s v="Technology"/>
    <x v="2011"/>
  </r>
  <r>
    <x v="221"/>
    <s v="Technology"/>
    <x v="2012"/>
  </r>
  <r>
    <x v="146"/>
    <s v="Furniture"/>
    <x v="866"/>
  </r>
  <r>
    <x v="146"/>
    <s v="Office Supplies"/>
    <x v="457"/>
  </r>
  <r>
    <x v="53"/>
    <s v="Office Supplies"/>
    <x v="2013"/>
  </r>
  <r>
    <x v="266"/>
    <s v="Office Supplies"/>
    <x v="1084"/>
  </r>
  <r>
    <x v="202"/>
    <s v="Office Supplies"/>
    <x v="2014"/>
  </r>
  <r>
    <x v="202"/>
    <s v="Office Supplies"/>
    <x v="2015"/>
  </r>
  <r>
    <x v="54"/>
    <s v="Technology"/>
    <x v="2016"/>
  </r>
  <r>
    <x v="54"/>
    <s v="Furniture"/>
    <x v="1973"/>
  </r>
  <r>
    <x v="60"/>
    <s v="Office Supplies"/>
    <x v="1102"/>
  </r>
  <r>
    <x v="60"/>
    <s v="Technology"/>
    <x v="2017"/>
  </r>
  <r>
    <x v="76"/>
    <s v="Furniture"/>
    <x v="19"/>
  </r>
  <r>
    <x v="76"/>
    <s v="Office Supplies"/>
    <x v="2018"/>
  </r>
  <r>
    <x v="134"/>
    <s v="Office Supplies"/>
    <x v="2019"/>
  </r>
  <r>
    <x v="134"/>
    <s v="Office Supplies"/>
    <x v="2020"/>
  </r>
  <r>
    <x v="9"/>
    <s v="Technology"/>
    <x v="2021"/>
  </r>
  <r>
    <x v="9"/>
    <s v="Office Supplies"/>
    <x v="2022"/>
  </r>
  <r>
    <x v="85"/>
    <s v="Office Supplies"/>
    <x v="2023"/>
  </r>
  <r>
    <x v="40"/>
    <s v="Furniture"/>
    <x v="2024"/>
  </r>
  <r>
    <x v="40"/>
    <s v="Technology"/>
    <x v="2025"/>
  </r>
  <r>
    <x v="40"/>
    <s v="Office Supplies"/>
    <x v="2026"/>
  </r>
  <r>
    <x v="40"/>
    <s v="Furniture"/>
    <x v="1225"/>
  </r>
  <r>
    <x v="58"/>
    <s v="Office Supplies"/>
    <x v="327"/>
  </r>
  <r>
    <x v="58"/>
    <s v="Office Supplies"/>
    <x v="2027"/>
  </r>
  <r>
    <x v="134"/>
    <s v="Technology"/>
    <x v="2028"/>
  </r>
  <r>
    <x v="178"/>
    <s v="Technology"/>
    <x v="2029"/>
  </r>
  <r>
    <x v="199"/>
    <s v="Office Supplies"/>
    <x v="2030"/>
  </r>
  <r>
    <x v="0"/>
    <s v="Office Supplies"/>
    <x v="2031"/>
  </r>
  <r>
    <x v="107"/>
    <s v="Office Supplies"/>
    <x v="2032"/>
  </r>
  <r>
    <x v="107"/>
    <s v="Office Supplies"/>
    <x v="2033"/>
  </r>
  <r>
    <x v="107"/>
    <s v="Office Supplies"/>
    <x v="2034"/>
  </r>
  <r>
    <x v="107"/>
    <s v="Office Supplies"/>
    <x v="2035"/>
  </r>
  <r>
    <x v="231"/>
    <s v="Office Supplies"/>
    <x v="2036"/>
  </r>
  <r>
    <x v="232"/>
    <s v="Office Supplies"/>
    <x v="2037"/>
  </r>
  <r>
    <x v="308"/>
    <s v="Furniture"/>
    <x v="2038"/>
  </r>
  <r>
    <x v="308"/>
    <s v="Furniture"/>
    <x v="2039"/>
  </r>
  <r>
    <x v="221"/>
    <s v="Office Supplies"/>
    <x v="1745"/>
  </r>
  <r>
    <x v="216"/>
    <s v="Office Supplies"/>
    <x v="2040"/>
  </r>
  <r>
    <x v="216"/>
    <s v="Office Supplies"/>
    <x v="831"/>
  </r>
  <r>
    <x v="216"/>
    <s v="Office Supplies"/>
    <x v="2041"/>
  </r>
  <r>
    <x v="179"/>
    <s v="Office Supplies"/>
    <x v="2042"/>
  </r>
  <r>
    <x v="49"/>
    <s v="Office Supplies"/>
    <x v="1355"/>
  </r>
  <r>
    <x v="298"/>
    <s v="Technology"/>
    <x v="2043"/>
  </r>
  <r>
    <x v="298"/>
    <s v="Technology"/>
    <x v="2044"/>
  </r>
  <r>
    <x v="298"/>
    <s v="Furniture"/>
    <x v="2045"/>
  </r>
  <r>
    <x v="91"/>
    <s v="Office Supplies"/>
    <x v="2046"/>
  </r>
  <r>
    <x v="91"/>
    <s v="Furniture"/>
    <x v="2047"/>
  </r>
  <r>
    <x v="79"/>
    <s v="Office Supplies"/>
    <x v="198"/>
  </r>
  <r>
    <x v="79"/>
    <s v="Furniture"/>
    <x v="2048"/>
  </r>
  <r>
    <x v="125"/>
    <s v="Office Supplies"/>
    <x v="518"/>
  </r>
  <r>
    <x v="125"/>
    <s v="Office Supplies"/>
    <x v="2049"/>
  </r>
  <r>
    <x v="125"/>
    <s v="Furniture"/>
    <x v="2050"/>
  </r>
  <r>
    <x v="125"/>
    <s v="Office Supplies"/>
    <x v="1632"/>
  </r>
  <r>
    <x v="98"/>
    <s v="Furniture"/>
    <x v="2051"/>
  </r>
  <r>
    <x v="200"/>
    <s v="Office Supplies"/>
    <x v="1862"/>
  </r>
  <r>
    <x v="200"/>
    <s v="Furniture"/>
    <x v="2052"/>
  </r>
  <r>
    <x v="200"/>
    <s v="Office Supplies"/>
    <x v="2053"/>
  </r>
  <r>
    <x v="200"/>
    <s v="Technology"/>
    <x v="2054"/>
  </r>
  <r>
    <x v="183"/>
    <s v="Technology"/>
    <x v="462"/>
  </r>
  <r>
    <x v="98"/>
    <s v="Furniture"/>
    <x v="2055"/>
  </r>
  <r>
    <x v="29"/>
    <s v="Office Supplies"/>
    <x v="2056"/>
  </r>
  <r>
    <x v="29"/>
    <s v="Office Supplies"/>
    <x v="2057"/>
  </r>
  <r>
    <x v="15"/>
    <s v="Office Supplies"/>
    <x v="67"/>
  </r>
  <r>
    <x v="192"/>
    <s v="Technology"/>
    <x v="2058"/>
  </r>
  <r>
    <x v="61"/>
    <s v="Office Supplies"/>
    <x v="987"/>
  </r>
  <r>
    <x v="61"/>
    <s v="Furniture"/>
    <x v="2059"/>
  </r>
  <r>
    <x v="61"/>
    <s v="Office Supplies"/>
    <x v="2060"/>
  </r>
  <r>
    <x v="309"/>
    <s v="Office Supplies"/>
    <x v="2061"/>
  </r>
  <r>
    <x v="309"/>
    <s v="Furniture"/>
    <x v="1158"/>
  </r>
  <r>
    <x v="309"/>
    <s v="Office Supplies"/>
    <x v="2062"/>
  </r>
  <r>
    <x v="309"/>
    <s v="Office Supplies"/>
    <x v="2063"/>
  </r>
  <r>
    <x v="309"/>
    <s v="Furniture"/>
    <x v="846"/>
  </r>
  <r>
    <x v="309"/>
    <s v="Technology"/>
    <x v="2064"/>
  </r>
  <r>
    <x v="309"/>
    <s v="Technology"/>
    <x v="143"/>
  </r>
  <r>
    <x v="275"/>
    <s v="Office Supplies"/>
    <x v="2065"/>
  </r>
  <r>
    <x v="275"/>
    <s v="Technology"/>
    <x v="2066"/>
  </r>
  <r>
    <x v="27"/>
    <s v="Office Supplies"/>
    <x v="2067"/>
  </r>
  <r>
    <x v="309"/>
    <s v="Office Supplies"/>
    <x v="2068"/>
  </r>
  <r>
    <x v="309"/>
    <s v="Technology"/>
    <x v="2069"/>
  </r>
  <r>
    <x v="309"/>
    <s v="Office Supplies"/>
    <x v="2070"/>
  </r>
  <r>
    <x v="309"/>
    <s v="Furniture"/>
    <x v="2071"/>
  </r>
  <r>
    <x v="309"/>
    <s v="Office Supplies"/>
    <x v="2072"/>
  </r>
  <r>
    <x v="309"/>
    <s v="Office Supplies"/>
    <x v="403"/>
  </r>
  <r>
    <x v="6"/>
    <s v="Office Supplies"/>
    <x v="2073"/>
  </r>
  <r>
    <x v="6"/>
    <s v="Office Supplies"/>
    <x v="2074"/>
  </r>
  <r>
    <x v="6"/>
    <s v="Office Supplies"/>
    <x v="39"/>
  </r>
  <r>
    <x v="6"/>
    <s v="Technology"/>
    <x v="2075"/>
  </r>
  <r>
    <x v="6"/>
    <s v="Office Supplies"/>
    <x v="2076"/>
  </r>
  <r>
    <x v="6"/>
    <s v="Office Supplies"/>
    <x v="673"/>
  </r>
  <r>
    <x v="6"/>
    <s v="Technology"/>
    <x v="2077"/>
  </r>
  <r>
    <x v="276"/>
    <s v="Office Supplies"/>
    <x v="2078"/>
  </r>
  <r>
    <x v="276"/>
    <s v="Furniture"/>
    <x v="1526"/>
  </r>
  <r>
    <x v="276"/>
    <s v="Office Supplies"/>
    <x v="840"/>
  </r>
  <r>
    <x v="276"/>
    <s v="Office Supplies"/>
    <x v="1191"/>
  </r>
  <r>
    <x v="276"/>
    <s v="Office Supplies"/>
    <x v="950"/>
  </r>
  <r>
    <x v="251"/>
    <s v="Furniture"/>
    <x v="2079"/>
  </r>
  <r>
    <x v="251"/>
    <s v="Furniture"/>
    <x v="2080"/>
  </r>
  <r>
    <x v="52"/>
    <s v="Office Supplies"/>
    <x v="382"/>
  </r>
  <r>
    <x v="213"/>
    <s v="Furniture"/>
    <x v="2045"/>
  </r>
  <r>
    <x v="163"/>
    <s v="Office Supplies"/>
    <x v="2081"/>
  </r>
  <r>
    <x v="163"/>
    <s v="Office Supplies"/>
    <x v="2082"/>
  </r>
  <r>
    <x v="163"/>
    <s v="Furniture"/>
    <x v="914"/>
  </r>
  <r>
    <x v="163"/>
    <s v="Technology"/>
    <x v="2083"/>
  </r>
  <r>
    <x v="163"/>
    <s v="Furniture"/>
    <x v="2084"/>
  </r>
  <r>
    <x v="163"/>
    <s v="Technology"/>
    <x v="2085"/>
  </r>
  <r>
    <x v="163"/>
    <s v="Furniture"/>
    <x v="2086"/>
  </r>
  <r>
    <x v="99"/>
    <s v="Office Supplies"/>
    <x v="2087"/>
  </r>
  <r>
    <x v="99"/>
    <s v="Office Supplies"/>
    <x v="2088"/>
  </r>
  <r>
    <x v="105"/>
    <s v="Technology"/>
    <x v="2089"/>
  </r>
  <r>
    <x v="19"/>
    <s v="Technology"/>
    <x v="64"/>
  </r>
  <r>
    <x v="19"/>
    <s v="Office Supplies"/>
    <x v="473"/>
  </r>
  <r>
    <x v="192"/>
    <s v="Furniture"/>
    <x v="2090"/>
  </r>
  <r>
    <x v="198"/>
    <s v="Office Supplies"/>
    <x v="2091"/>
  </r>
  <r>
    <x v="198"/>
    <s v="Office Supplies"/>
    <x v="2092"/>
  </r>
  <r>
    <x v="43"/>
    <s v="Office Supplies"/>
    <x v="2093"/>
  </r>
  <r>
    <x v="248"/>
    <s v="Office Supplies"/>
    <x v="998"/>
  </r>
  <r>
    <x v="248"/>
    <s v="Office Supplies"/>
    <x v="1644"/>
  </r>
  <r>
    <x v="246"/>
    <s v="Furniture"/>
    <x v="2094"/>
  </r>
  <r>
    <x v="246"/>
    <s v="Technology"/>
    <x v="1672"/>
  </r>
  <r>
    <x v="172"/>
    <s v="Furniture"/>
    <x v="2095"/>
  </r>
  <r>
    <x v="172"/>
    <s v="Office Supplies"/>
    <x v="2096"/>
  </r>
  <r>
    <x v="172"/>
    <s v="Office Supplies"/>
    <x v="2097"/>
  </r>
  <r>
    <x v="172"/>
    <s v="Furniture"/>
    <x v="2098"/>
  </r>
  <r>
    <x v="172"/>
    <s v="Furniture"/>
    <x v="2099"/>
  </r>
  <r>
    <x v="164"/>
    <s v="Office Supplies"/>
    <x v="831"/>
  </r>
  <r>
    <x v="164"/>
    <s v="Office Supplies"/>
    <x v="2100"/>
  </r>
  <r>
    <x v="164"/>
    <s v="Furniture"/>
    <x v="2101"/>
  </r>
  <r>
    <x v="164"/>
    <s v="Office Supplies"/>
    <x v="2102"/>
  </r>
  <r>
    <x v="224"/>
    <s v="Technology"/>
    <x v="2103"/>
  </r>
  <r>
    <x v="224"/>
    <s v="Office Supplies"/>
    <x v="2104"/>
  </r>
  <r>
    <x v="71"/>
    <s v="Office Supplies"/>
    <x v="1276"/>
  </r>
  <r>
    <x v="203"/>
    <s v="Office Supplies"/>
    <x v="2105"/>
  </r>
  <r>
    <x v="108"/>
    <s v="Office Supplies"/>
    <x v="2106"/>
  </r>
  <r>
    <x v="310"/>
    <s v="Office Supplies"/>
    <x v="111"/>
  </r>
  <r>
    <x v="181"/>
    <s v="Office Supplies"/>
    <x v="2107"/>
  </r>
  <r>
    <x v="189"/>
    <s v="Office Supplies"/>
    <x v="2108"/>
  </r>
  <r>
    <x v="189"/>
    <s v="Furniture"/>
    <x v="391"/>
  </r>
  <r>
    <x v="189"/>
    <s v="Office Supplies"/>
    <x v="67"/>
  </r>
  <r>
    <x v="311"/>
    <s v="Office Supplies"/>
    <x v="1085"/>
  </r>
  <r>
    <x v="311"/>
    <s v="Office Supplies"/>
    <x v="2109"/>
  </r>
  <r>
    <x v="234"/>
    <s v="Technology"/>
    <x v="2110"/>
  </r>
  <r>
    <x v="234"/>
    <s v="Office Supplies"/>
    <x v="2111"/>
  </r>
  <r>
    <x v="234"/>
    <s v="Office Supplies"/>
    <x v="2112"/>
  </r>
  <r>
    <x v="234"/>
    <s v="Office Supplies"/>
    <x v="2113"/>
  </r>
  <r>
    <x v="234"/>
    <s v="Furniture"/>
    <x v="2114"/>
  </r>
  <r>
    <x v="128"/>
    <s v="Office Supplies"/>
    <x v="1052"/>
  </r>
  <r>
    <x v="269"/>
    <s v="Furniture"/>
    <x v="922"/>
  </r>
  <r>
    <x v="269"/>
    <s v="Office Supplies"/>
    <x v="1022"/>
  </r>
  <r>
    <x v="269"/>
    <s v="Office Supplies"/>
    <x v="1083"/>
  </r>
  <r>
    <x v="33"/>
    <s v="Technology"/>
    <x v="2115"/>
  </r>
  <r>
    <x v="120"/>
    <s v="Technology"/>
    <x v="2116"/>
  </r>
  <r>
    <x v="149"/>
    <s v="Office Supplies"/>
    <x v="2117"/>
  </r>
  <r>
    <x v="140"/>
    <s v="Furniture"/>
    <x v="2118"/>
  </r>
  <r>
    <x v="17"/>
    <s v="Office Supplies"/>
    <x v="2119"/>
  </r>
  <r>
    <x v="129"/>
    <s v="Office Supplies"/>
    <x v="2120"/>
  </r>
  <r>
    <x v="48"/>
    <s v="Office Supplies"/>
    <x v="2121"/>
  </r>
  <r>
    <x v="117"/>
    <s v="Office Supplies"/>
    <x v="2122"/>
  </r>
  <r>
    <x v="71"/>
    <s v="Technology"/>
    <x v="2123"/>
  </r>
  <r>
    <x v="186"/>
    <s v="Office Supplies"/>
    <x v="998"/>
  </r>
  <r>
    <x v="202"/>
    <s v="Office Supplies"/>
    <x v="2124"/>
  </r>
  <r>
    <x v="202"/>
    <s v="Technology"/>
    <x v="2125"/>
  </r>
  <r>
    <x v="7"/>
    <s v="Technology"/>
    <x v="2126"/>
  </r>
  <r>
    <x v="7"/>
    <s v="Furniture"/>
    <x v="2127"/>
  </r>
  <r>
    <x v="213"/>
    <s v="Office Supplies"/>
    <x v="457"/>
  </r>
  <r>
    <x v="276"/>
    <s v="Office Supplies"/>
    <x v="2128"/>
  </r>
  <r>
    <x v="230"/>
    <s v="Office Supplies"/>
    <x v="50"/>
  </r>
  <r>
    <x v="230"/>
    <s v="Furniture"/>
    <x v="2129"/>
  </r>
  <r>
    <x v="230"/>
    <s v="Office Supplies"/>
    <x v="2130"/>
  </r>
  <r>
    <x v="26"/>
    <s v="Office Supplies"/>
    <x v="1134"/>
  </r>
  <r>
    <x v="4"/>
    <s v="Office Supplies"/>
    <x v="2131"/>
  </r>
  <r>
    <x v="112"/>
    <s v="Technology"/>
    <x v="1514"/>
  </r>
  <r>
    <x v="190"/>
    <s v="Office Supplies"/>
    <x v="2132"/>
  </r>
  <r>
    <x v="190"/>
    <s v="Technology"/>
    <x v="2133"/>
  </r>
  <r>
    <x v="190"/>
    <s v="Furniture"/>
    <x v="103"/>
  </r>
  <r>
    <x v="203"/>
    <s v="Office Supplies"/>
    <x v="2134"/>
  </r>
  <r>
    <x v="27"/>
    <s v="Furniture"/>
    <x v="2135"/>
  </r>
  <r>
    <x v="27"/>
    <s v="Technology"/>
    <x v="50"/>
  </r>
  <r>
    <x v="226"/>
    <s v="Office Supplies"/>
    <x v="2136"/>
  </r>
  <r>
    <x v="44"/>
    <s v="Office Supplies"/>
    <x v="2137"/>
  </r>
  <r>
    <x v="297"/>
    <s v="Technology"/>
    <x v="2138"/>
  </r>
  <r>
    <x v="297"/>
    <s v="Office Supplies"/>
    <x v="1862"/>
  </r>
  <r>
    <x v="72"/>
    <s v="Furniture"/>
    <x v="2139"/>
  </r>
  <r>
    <x v="65"/>
    <s v="Office Supplies"/>
    <x v="2140"/>
  </r>
  <r>
    <x v="65"/>
    <s v="Technology"/>
    <x v="2141"/>
  </r>
  <r>
    <x v="164"/>
    <s v="Office Supplies"/>
    <x v="2142"/>
  </r>
  <r>
    <x v="124"/>
    <s v="Technology"/>
    <x v="1800"/>
  </r>
  <r>
    <x v="37"/>
    <s v="Office Supplies"/>
    <x v="186"/>
  </r>
  <r>
    <x v="120"/>
    <s v="Office Supplies"/>
    <x v="381"/>
  </r>
  <r>
    <x v="120"/>
    <s v="Office Supplies"/>
    <x v="2143"/>
  </r>
  <r>
    <x v="213"/>
    <s v="Office Supplies"/>
    <x v="1524"/>
  </r>
  <r>
    <x v="213"/>
    <s v="Technology"/>
    <x v="2144"/>
  </r>
  <r>
    <x v="213"/>
    <s v="Technology"/>
    <x v="2145"/>
  </r>
  <r>
    <x v="213"/>
    <s v="Office Supplies"/>
    <x v="2146"/>
  </r>
  <r>
    <x v="213"/>
    <s v="Office Supplies"/>
    <x v="2147"/>
  </r>
  <r>
    <x v="213"/>
    <s v="Furniture"/>
    <x v="2148"/>
  </r>
  <r>
    <x v="213"/>
    <s v="Furniture"/>
    <x v="2149"/>
  </r>
  <r>
    <x v="213"/>
    <s v="Furniture"/>
    <x v="1007"/>
  </r>
  <r>
    <x v="82"/>
    <s v="Office Supplies"/>
    <x v="2150"/>
  </r>
  <r>
    <x v="156"/>
    <s v="Office Supplies"/>
    <x v="2151"/>
  </r>
  <r>
    <x v="156"/>
    <s v="Office Supplies"/>
    <x v="1732"/>
  </r>
  <r>
    <x v="156"/>
    <s v="Office Supplies"/>
    <x v="2152"/>
  </r>
  <r>
    <x v="231"/>
    <s v="Office Supplies"/>
    <x v="2153"/>
  </r>
  <r>
    <x v="231"/>
    <s v="Office Supplies"/>
    <x v="2154"/>
  </r>
  <r>
    <x v="231"/>
    <s v="Office Supplies"/>
    <x v="867"/>
  </r>
  <r>
    <x v="231"/>
    <s v="Technology"/>
    <x v="2155"/>
  </r>
  <r>
    <x v="231"/>
    <s v="Furniture"/>
    <x v="294"/>
  </r>
  <r>
    <x v="231"/>
    <s v="Office Supplies"/>
    <x v="1923"/>
  </r>
  <r>
    <x v="231"/>
    <s v="Furniture"/>
    <x v="2156"/>
  </r>
  <r>
    <x v="92"/>
    <s v="Office Supplies"/>
    <x v="2157"/>
  </r>
  <r>
    <x v="12"/>
    <s v="Technology"/>
    <x v="2158"/>
  </r>
  <r>
    <x v="12"/>
    <s v="Technology"/>
    <x v="1512"/>
  </r>
  <r>
    <x v="146"/>
    <s v="Office Supplies"/>
    <x v="2159"/>
  </r>
  <r>
    <x v="48"/>
    <s v="Office Supplies"/>
    <x v="2160"/>
  </r>
  <r>
    <x v="48"/>
    <s v="Technology"/>
    <x v="1048"/>
  </r>
  <r>
    <x v="193"/>
    <s v="Office Supplies"/>
    <x v="2161"/>
  </r>
  <r>
    <x v="70"/>
    <s v="Technology"/>
    <x v="2162"/>
  </r>
  <r>
    <x v="70"/>
    <s v="Office Supplies"/>
    <x v="2031"/>
  </r>
  <r>
    <x v="64"/>
    <s v="Technology"/>
    <x v="2163"/>
  </r>
  <r>
    <x v="64"/>
    <s v="Technology"/>
    <x v="2164"/>
  </r>
  <r>
    <x v="64"/>
    <s v="Furniture"/>
    <x v="2165"/>
  </r>
  <r>
    <x v="229"/>
    <s v="Furniture"/>
    <x v="2166"/>
  </r>
  <r>
    <x v="176"/>
    <s v="Office Supplies"/>
    <x v="76"/>
  </r>
  <r>
    <x v="176"/>
    <s v="Technology"/>
    <x v="608"/>
  </r>
  <r>
    <x v="176"/>
    <s v="Office Supplies"/>
    <x v="480"/>
  </r>
  <r>
    <x v="176"/>
    <s v="Office Supplies"/>
    <x v="2150"/>
  </r>
  <r>
    <x v="176"/>
    <s v="Office Supplies"/>
    <x v="2167"/>
  </r>
  <r>
    <x v="176"/>
    <s v="Office Supplies"/>
    <x v="2168"/>
  </r>
  <r>
    <x v="176"/>
    <s v="Office Supplies"/>
    <x v="2169"/>
  </r>
  <r>
    <x v="14"/>
    <s v="Office Supplies"/>
    <x v="2170"/>
  </r>
  <r>
    <x v="14"/>
    <s v="Office Supplies"/>
    <x v="2171"/>
  </r>
  <r>
    <x v="14"/>
    <s v="Office Supplies"/>
    <x v="1940"/>
  </r>
  <r>
    <x v="14"/>
    <s v="Office Supplies"/>
    <x v="2172"/>
  </r>
  <r>
    <x v="14"/>
    <s v="Office Supplies"/>
    <x v="2173"/>
  </r>
  <r>
    <x v="105"/>
    <s v="Furniture"/>
    <x v="2174"/>
  </r>
  <r>
    <x v="105"/>
    <s v="Office Supplies"/>
    <x v="2175"/>
  </r>
  <r>
    <x v="105"/>
    <s v="Office Supplies"/>
    <x v="2176"/>
  </r>
  <r>
    <x v="105"/>
    <s v="Furniture"/>
    <x v="2177"/>
  </r>
  <r>
    <x v="105"/>
    <s v="Furniture"/>
    <x v="2178"/>
  </r>
  <r>
    <x v="105"/>
    <s v="Technology"/>
    <x v="1051"/>
  </r>
  <r>
    <x v="157"/>
    <s v="Office Supplies"/>
    <x v="2179"/>
  </r>
  <r>
    <x v="157"/>
    <s v="Office Supplies"/>
    <x v="2180"/>
  </r>
  <r>
    <x v="157"/>
    <s v="Office Supplies"/>
    <x v="2181"/>
  </r>
  <r>
    <x v="157"/>
    <s v="Office Supplies"/>
    <x v="473"/>
  </r>
  <r>
    <x v="157"/>
    <s v="Office Supplies"/>
    <x v="2182"/>
  </r>
  <r>
    <x v="56"/>
    <s v="Office Supplies"/>
    <x v="340"/>
  </r>
  <r>
    <x v="56"/>
    <s v="Office Supplies"/>
    <x v="2183"/>
  </r>
  <r>
    <x v="33"/>
    <s v="Technology"/>
    <x v="2184"/>
  </r>
  <r>
    <x v="33"/>
    <s v="Furniture"/>
    <x v="2185"/>
  </r>
  <r>
    <x v="301"/>
    <s v="Office Supplies"/>
    <x v="2186"/>
  </r>
  <r>
    <x v="301"/>
    <s v="Technology"/>
    <x v="2187"/>
  </r>
  <r>
    <x v="301"/>
    <s v="Office Supplies"/>
    <x v="2188"/>
  </r>
  <r>
    <x v="301"/>
    <s v="Furniture"/>
    <x v="846"/>
  </r>
  <r>
    <x v="42"/>
    <s v="Technology"/>
    <x v="2189"/>
  </r>
  <r>
    <x v="232"/>
    <s v="Office Supplies"/>
    <x v="2190"/>
  </r>
  <r>
    <x v="232"/>
    <s v="Office Supplies"/>
    <x v="1327"/>
  </r>
  <r>
    <x v="233"/>
    <s v="Office Supplies"/>
    <x v="2191"/>
  </r>
  <r>
    <x v="41"/>
    <s v="Furniture"/>
    <x v="2192"/>
  </r>
  <r>
    <x v="46"/>
    <s v="Furniture"/>
    <x v="2193"/>
  </r>
  <r>
    <x v="46"/>
    <s v="Office Supplies"/>
    <x v="2194"/>
  </r>
  <r>
    <x v="46"/>
    <s v="Technology"/>
    <x v="2195"/>
  </r>
  <r>
    <x v="237"/>
    <s v="Technology"/>
    <x v="2196"/>
  </r>
  <r>
    <x v="237"/>
    <s v="Furniture"/>
    <x v="1611"/>
  </r>
  <r>
    <x v="48"/>
    <s v="Office Supplies"/>
    <x v="2197"/>
  </r>
  <r>
    <x v="33"/>
    <s v="Office Supplies"/>
    <x v="2198"/>
  </r>
  <r>
    <x v="114"/>
    <s v="Office Supplies"/>
    <x v="2199"/>
  </r>
  <r>
    <x v="90"/>
    <s v="Office Supplies"/>
    <x v="2200"/>
  </r>
  <r>
    <x v="90"/>
    <s v="Furniture"/>
    <x v="2201"/>
  </r>
  <r>
    <x v="90"/>
    <s v="Furniture"/>
    <x v="2202"/>
  </r>
  <r>
    <x v="90"/>
    <s v="Office Supplies"/>
    <x v="2203"/>
  </r>
  <r>
    <x v="90"/>
    <s v="Office Supplies"/>
    <x v="2204"/>
  </r>
  <r>
    <x v="90"/>
    <s v="Office Supplies"/>
    <x v="2205"/>
  </r>
  <r>
    <x v="90"/>
    <s v="Office Supplies"/>
    <x v="2206"/>
  </r>
  <r>
    <x v="289"/>
    <s v="Office Supplies"/>
    <x v="2207"/>
  </r>
  <r>
    <x v="312"/>
    <s v="Office Supplies"/>
    <x v="2208"/>
  </r>
  <r>
    <x v="267"/>
    <s v="Furniture"/>
    <x v="931"/>
  </r>
  <r>
    <x v="267"/>
    <s v="Office Supplies"/>
    <x v="2209"/>
  </r>
  <r>
    <x v="267"/>
    <s v="Office Supplies"/>
    <x v="67"/>
  </r>
  <r>
    <x v="267"/>
    <s v="Technology"/>
    <x v="2210"/>
  </r>
  <r>
    <x v="29"/>
    <s v="Office Supplies"/>
    <x v="2211"/>
  </r>
  <r>
    <x v="29"/>
    <s v="Office Supplies"/>
    <x v="2212"/>
  </r>
  <r>
    <x v="257"/>
    <s v="Furniture"/>
    <x v="2213"/>
  </r>
  <r>
    <x v="257"/>
    <s v="Office Supplies"/>
    <x v="2214"/>
  </r>
  <r>
    <x v="257"/>
    <s v="Technology"/>
    <x v="2215"/>
  </r>
  <r>
    <x v="44"/>
    <s v="Furniture"/>
    <x v="2216"/>
  </r>
  <r>
    <x v="157"/>
    <s v="Office Supplies"/>
    <x v="2217"/>
  </r>
  <r>
    <x v="157"/>
    <s v="Furniture"/>
    <x v="2218"/>
  </r>
  <r>
    <x v="175"/>
    <s v="Office Supplies"/>
    <x v="2219"/>
  </r>
  <r>
    <x v="180"/>
    <s v="Furniture"/>
    <x v="2220"/>
  </r>
  <r>
    <x v="62"/>
    <s v="Office Supplies"/>
    <x v="1816"/>
  </r>
  <r>
    <x v="41"/>
    <s v="Office Supplies"/>
    <x v="1089"/>
  </r>
  <r>
    <x v="244"/>
    <s v="Furniture"/>
    <x v="2221"/>
  </r>
  <r>
    <x v="59"/>
    <s v="Furniture"/>
    <x v="1130"/>
  </r>
  <r>
    <x v="222"/>
    <s v="Furniture"/>
    <x v="854"/>
  </r>
  <r>
    <x v="75"/>
    <s v="Office Supplies"/>
    <x v="920"/>
  </r>
  <r>
    <x v="209"/>
    <s v="Office Supplies"/>
    <x v="2222"/>
  </r>
  <r>
    <x v="209"/>
    <s v="Office Supplies"/>
    <x v="1612"/>
  </r>
  <r>
    <x v="209"/>
    <s v="Technology"/>
    <x v="2223"/>
  </r>
  <r>
    <x v="50"/>
    <s v="Technology"/>
    <x v="549"/>
  </r>
  <r>
    <x v="50"/>
    <s v="Office Supplies"/>
    <x v="1363"/>
  </r>
  <r>
    <x v="110"/>
    <s v="Office Supplies"/>
    <x v="2224"/>
  </r>
  <r>
    <x v="10"/>
    <s v="Furniture"/>
    <x v="2225"/>
  </r>
  <r>
    <x v="10"/>
    <s v="Furniture"/>
    <x v="2226"/>
  </r>
  <r>
    <x v="10"/>
    <s v="Technology"/>
    <x v="2227"/>
  </r>
  <r>
    <x v="18"/>
    <s v="Technology"/>
    <x v="2228"/>
  </r>
  <r>
    <x v="227"/>
    <s v="Furniture"/>
    <x v="2229"/>
  </r>
  <r>
    <x v="227"/>
    <s v="Furniture"/>
    <x v="2230"/>
  </r>
  <r>
    <x v="82"/>
    <s v="Office Supplies"/>
    <x v="1213"/>
  </r>
  <r>
    <x v="202"/>
    <s v="Office Supplies"/>
    <x v="1288"/>
  </r>
  <r>
    <x v="202"/>
    <s v="Furniture"/>
    <x v="2231"/>
  </r>
  <r>
    <x v="153"/>
    <s v="Technology"/>
    <x v="1482"/>
  </r>
  <r>
    <x v="153"/>
    <s v="Office Supplies"/>
    <x v="1672"/>
  </r>
  <r>
    <x v="153"/>
    <s v="Office Supplies"/>
    <x v="0"/>
  </r>
  <r>
    <x v="158"/>
    <s v="Office Supplies"/>
    <x v="2232"/>
  </r>
  <r>
    <x v="158"/>
    <s v="Office Supplies"/>
    <x v="1625"/>
  </r>
  <r>
    <x v="59"/>
    <s v="Office Supplies"/>
    <x v="865"/>
  </r>
  <r>
    <x v="217"/>
    <s v="Office Supplies"/>
    <x v="2233"/>
  </r>
  <r>
    <x v="217"/>
    <s v="Office Supplies"/>
    <x v="1594"/>
  </r>
  <r>
    <x v="259"/>
    <s v="Office Supplies"/>
    <x v="2234"/>
  </r>
  <r>
    <x v="259"/>
    <s v="Furniture"/>
    <x v="2235"/>
  </r>
  <r>
    <x v="259"/>
    <s v="Furniture"/>
    <x v="2236"/>
  </r>
  <r>
    <x v="51"/>
    <s v="Office Supplies"/>
    <x v="2237"/>
  </r>
  <r>
    <x v="51"/>
    <s v="Office Supplies"/>
    <x v="434"/>
  </r>
  <r>
    <x v="51"/>
    <s v="Office Supplies"/>
    <x v="2061"/>
  </r>
  <r>
    <x v="51"/>
    <s v="Furniture"/>
    <x v="2238"/>
  </r>
  <r>
    <x v="230"/>
    <s v="Technology"/>
    <x v="2239"/>
  </r>
  <r>
    <x v="230"/>
    <s v="Office Supplies"/>
    <x v="786"/>
  </r>
  <r>
    <x v="230"/>
    <s v="Technology"/>
    <x v="2240"/>
  </r>
  <r>
    <x v="230"/>
    <s v="Office Supplies"/>
    <x v="2241"/>
  </r>
  <r>
    <x v="230"/>
    <s v="Technology"/>
    <x v="2242"/>
  </r>
  <r>
    <x v="230"/>
    <s v="Office Supplies"/>
    <x v="2243"/>
  </r>
  <r>
    <x v="83"/>
    <s v="Furniture"/>
    <x v="2244"/>
  </r>
  <r>
    <x v="83"/>
    <s v="Office Supplies"/>
    <x v="2005"/>
  </r>
  <r>
    <x v="83"/>
    <s v="Technology"/>
    <x v="2245"/>
  </r>
  <r>
    <x v="83"/>
    <s v="Office Supplies"/>
    <x v="2246"/>
  </r>
  <r>
    <x v="41"/>
    <s v="Office Supplies"/>
    <x v="2247"/>
  </r>
  <r>
    <x v="87"/>
    <s v="Office Supplies"/>
    <x v="2248"/>
  </r>
  <r>
    <x v="313"/>
    <s v="Office Supplies"/>
    <x v="2249"/>
  </r>
  <r>
    <x v="313"/>
    <s v="Furniture"/>
    <x v="207"/>
  </r>
  <r>
    <x v="33"/>
    <s v="Office Supplies"/>
    <x v="2250"/>
  </r>
  <r>
    <x v="193"/>
    <s v="Technology"/>
    <x v="2251"/>
  </r>
  <r>
    <x v="314"/>
    <s v="Technology"/>
    <x v="2252"/>
  </r>
  <r>
    <x v="314"/>
    <s v="Furniture"/>
    <x v="503"/>
  </r>
  <r>
    <x v="33"/>
    <s v="Furniture"/>
    <x v="2253"/>
  </r>
  <r>
    <x v="226"/>
    <s v="Furniture"/>
    <x v="2254"/>
  </r>
  <r>
    <x v="226"/>
    <s v="Technology"/>
    <x v="2255"/>
  </r>
  <r>
    <x v="184"/>
    <s v="Office Supplies"/>
    <x v="2256"/>
  </r>
  <r>
    <x v="184"/>
    <s v="Office Supplies"/>
    <x v="2257"/>
  </r>
  <r>
    <x v="7"/>
    <s v="Office Supplies"/>
    <x v="2258"/>
  </r>
  <r>
    <x v="159"/>
    <s v="Office Supplies"/>
    <x v="2259"/>
  </r>
  <r>
    <x v="159"/>
    <s v="Technology"/>
    <x v="2260"/>
  </r>
  <r>
    <x v="72"/>
    <s v="Office Supplies"/>
    <x v="2261"/>
  </r>
  <r>
    <x v="72"/>
    <s v="Office Supplies"/>
    <x v="2262"/>
  </r>
  <r>
    <x v="239"/>
    <s v="Office Supplies"/>
    <x v="27"/>
  </r>
  <r>
    <x v="239"/>
    <s v="Office Supplies"/>
    <x v="164"/>
  </r>
  <r>
    <x v="187"/>
    <s v="Technology"/>
    <x v="2263"/>
  </r>
  <r>
    <x v="210"/>
    <s v="Office Supplies"/>
    <x v="2264"/>
  </r>
  <r>
    <x v="191"/>
    <s v="Furniture"/>
    <x v="2265"/>
  </r>
  <r>
    <x v="154"/>
    <s v="Office Supplies"/>
    <x v="175"/>
  </r>
  <r>
    <x v="248"/>
    <s v="Furniture"/>
    <x v="2266"/>
  </r>
  <r>
    <x v="248"/>
    <s v="Office Supplies"/>
    <x v="2267"/>
  </r>
  <r>
    <x v="248"/>
    <s v="Furniture"/>
    <x v="2268"/>
  </r>
  <r>
    <x v="248"/>
    <s v="Office Supplies"/>
    <x v="2269"/>
  </r>
  <r>
    <x v="248"/>
    <s v="Office Supplies"/>
    <x v="2270"/>
  </r>
  <r>
    <x v="131"/>
    <s v="Office Supplies"/>
    <x v="1940"/>
  </r>
  <r>
    <x v="131"/>
    <s v="Office Supplies"/>
    <x v="2271"/>
  </r>
  <r>
    <x v="131"/>
    <s v="Furniture"/>
    <x v="2272"/>
  </r>
  <r>
    <x v="131"/>
    <s v="Office Supplies"/>
    <x v="2273"/>
  </r>
  <r>
    <x v="289"/>
    <s v="Technology"/>
    <x v="2274"/>
  </r>
  <r>
    <x v="83"/>
    <s v="Technology"/>
    <x v="2275"/>
  </r>
  <r>
    <x v="205"/>
    <s v="Office Supplies"/>
    <x v="2276"/>
  </r>
  <r>
    <x v="146"/>
    <s v="Office Supplies"/>
    <x v="282"/>
  </r>
  <r>
    <x v="221"/>
    <s v="Office Supplies"/>
    <x v="1327"/>
  </r>
  <r>
    <x v="94"/>
    <s v="Furniture"/>
    <x v="1969"/>
  </r>
  <r>
    <x v="232"/>
    <s v="Furniture"/>
    <x v="2277"/>
  </r>
  <r>
    <x v="35"/>
    <s v="Furniture"/>
    <x v="37"/>
  </r>
  <r>
    <x v="35"/>
    <s v="Technology"/>
    <x v="2278"/>
  </r>
  <r>
    <x v="35"/>
    <s v="Furniture"/>
    <x v="77"/>
  </r>
  <r>
    <x v="35"/>
    <s v="Office Supplies"/>
    <x v="394"/>
  </r>
  <r>
    <x v="35"/>
    <s v="Office Supplies"/>
    <x v="2242"/>
  </r>
  <r>
    <x v="121"/>
    <s v="Furniture"/>
    <x v="2279"/>
  </r>
  <r>
    <x v="315"/>
    <s v="Office Supplies"/>
    <x v="644"/>
  </r>
  <r>
    <x v="313"/>
    <s v="Office Supplies"/>
    <x v="2280"/>
  </r>
  <r>
    <x v="313"/>
    <s v="Office Supplies"/>
    <x v="2281"/>
  </r>
  <r>
    <x v="313"/>
    <s v="Furniture"/>
    <x v="2282"/>
  </r>
  <r>
    <x v="313"/>
    <s v="Office Supplies"/>
    <x v="2283"/>
  </r>
  <r>
    <x v="313"/>
    <s v="Technology"/>
    <x v="531"/>
  </r>
  <r>
    <x v="112"/>
    <s v="Technology"/>
    <x v="2284"/>
  </r>
  <r>
    <x v="112"/>
    <s v="Office Supplies"/>
    <x v="2285"/>
  </r>
  <r>
    <x v="112"/>
    <s v="Furniture"/>
    <x v="150"/>
  </r>
  <r>
    <x v="112"/>
    <s v="Furniture"/>
    <x v="2286"/>
  </r>
  <r>
    <x v="13"/>
    <s v="Office Supplies"/>
    <x v="1691"/>
  </r>
  <r>
    <x v="26"/>
    <s v="Technology"/>
    <x v="2287"/>
  </r>
  <r>
    <x v="312"/>
    <s v="Furniture"/>
    <x v="2288"/>
  </r>
  <r>
    <x v="316"/>
    <s v="Technology"/>
    <x v="2083"/>
  </r>
  <r>
    <x v="181"/>
    <s v="Office Supplies"/>
    <x v="2289"/>
  </r>
  <r>
    <x v="122"/>
    <s v="Furniture"/>
    <x v="2290"/>
  </r>
  <r>
    <x v="122"/>
    <s v="Furniture"/>
    <x v="219"/>
  </r>
  <r>
    <x v="122"/>
    <s v="Furniture"/>
    <x v="2291"/>
  </r>
  <r>
    <x v="122"/>
    <s v="Furniture"/>
    <x v="2292"/>
  </r>
  <r>
    <x v="122"/>
    <s v="Office Supplies"/>
    <x v="2293"/>
  </r>
  <r>
    <x v="122"/>
    <s v="Office Supplies"/>
    <x v="2294"/>
  </r>
  <r>
    <x v="8"/>
    <s v="Furniture"/>
    <x v="2295"/>
  </r>
  <r>
    <x v="8"/>
    <s v="Office Supplies"/>
    <x v="1120"/>
  </r>
  <r>
    <x v="219"/>
    <s v="Furniture"/>
    <x v="2296"/>
  </r>
  <r>
    <x v="219"/>
    <s v="Technology"/>
    <x v="2297"/>
  </r>
  <r>
    <x v="219"/>
    <s v="Furniture"/>
    <x v="922"/>
  </r>
  <r>
    <x v="219"/>
    <s v="Office Supplies"/>
    <x v="2298"/>
  </r>
  <r>
    <x v="104"/>
    <s v="Office Supplies"/>
    <x v="2299"/>
  </r>
  <r>
    <x v="104"/>
    <s v="Office Supplies"/>
    <x v="2049"/>
  </r>
  <r>
    <x v="246"/>
    <s v="Office Supplies"/>
    <x v="924"/>
  </r>
  <r>
    <x v="117"/>
    <s v="Office Supplies"/>
    <x v="673"/>
  </r>
  <r>
    <x v="148"/>
    <s v="Office Supplies"/>
    <x v="69"/>
  </r>
  <r>
    <x v="70"/>
    <s v="Furniture"/>
    <x v="2300"/>
  </r>
  <r>
    <x v="277"/>
    <s v="Office Supplies"/>
    <x v="2301"/>
  </r>
  <r>
    <x v="277"/>
    <s v="Office Supplies"/>
    <x v="2302"/>
  </r>
  <r>
    <x v="277"/>
    <s v="Office Supplies"/>
    <x v="2303"/>
  </r>
  <r>
    <x v="123"/>
    <s v="Office Supplies"/>
    <x v="2304"/>
  </r>
  <r>
    <x v="260"/>
    <s v="Office Supplies"/>
    <x v="473"/>
  </r>
  <r>
    <x v="116"/>
    <s v="Furniture"/>
    <x v="2305"/>
  </r>
  <r>
    <x v="221"/>
    <s v="Furniture"/>
    <x v="2306"/>
  </r>
  <r>
    <x v="221"/>
    <s v="Furniture"/>
    <x v="2307"/>
  </r>
  <r>
    <x v="221"/>
    <s v="Furniture"/>
    <x v="1267"/>
  </r>
  <r>
    <x v="85"/>
    <s v="Office Supplies"/>
    <x v="2308"/>
  </r>
  <r>
    <x v="178"/>
    <s v="Technology"/>
    <x v="2309"/>
  </r>
  <r>
    <x v="178"/>
    <s v="Furniture"/>
    <x v="2310"/>
  </r>
  <r>
    <x v="178"/>
    <s v="Office Supplies"/>
    <x v="2311"/>
  </r>
  <r>
    <x v="178"/>
    <s v="Technology"/>
    <x v="2312"/>
  </r>
  <r>
    <x v="178"/>
    <s v="Office Supplies"/>
    <x v="2313"/>
  </r>
  <r>
    <x v="134"/>
    <s v="Furniture"/>
    <x v="2314"/>
  </r>
  <r>
    <x v="177"/>
    <s v="Technology"/>
    <x v="672"/>
  </r>
  <r>
    <x v="177"/>
    <s v="Office Supplies"/>
    <x v="2315"/>
  </r>
  <r>
    <x v="7"/>
    <s v="Technology"/>
    <x v="2316"/>
  </r>
  <r>
    <x v="144"/>
    <s v="Office Supplies"/>
    <x v="2131"/>
  </r>
  <r>
    <x v="144"/>
    <s v="Furniture"/>
    <x v="2317"/>
  </r>
  <r>
    <x v="39"/>
    <s v="Office Supplies"/>
    <x v="2318"/>
  </r>
  <r>
    <x v="124"/>
    <s v="Furniture"/>
    <x v="2319"/>
  </r>
  <r>
    <x v="18"/>
    <s v="Furniture"/>
    <x v="2320"/>
  </r>
  <r>
    <x v="18"/>
    <s v="Office Supplies"/>
    <x v="2321"/>
  </r>
  <r>
    <x v="6"/>
    <s v="Office Supplies"/>
    <x v="2322"/>
  </r>
  <r>
    <x v="142"/>
    <s v="Technology"/>
    <x v="2323"/>
  </r>
  <r>
    <x v="142"/>
    <s v="Office Supplies"/>
    <x v="1897"/>
  </r>
  <r>
    <x v="258"/>
    <s v="Office Supplies"/>
    <x v="2237"/>
  </r>
  <r>
    <x v="108"/>
    <s v="Office Supplies"/>
    <x v="1734"/>
  </r>
  <r>
    <x v="219"/>
    <s v="Office Supplies"/>
    <x v="2324"/>
  </r>
  <r>
    <x v="219"/>
    <s v="Furniture"/>
    <x v="2325"/>
  </r>
  <r>
    <x v="11"/>
    <s v="Technology"/>
    <x v="1697"/>
  </r>
  <r>
    <x v="11"/>
    <s v="Technology"/>
    <x v="2326"/>
  </r>
  <r>
    <x v="68"/>
    <s v="Technology"/>
    <x v="2327"/>
  </r>
  <r>
    <x v="7"/>
    <s v="Technology"/>
    <x v="2328"/>
  </r>
  <r>
    <x v="126"/>
    <s v="Furniture"/>
    <x v="1474"/>
  </r>
  <r>
    <x v="159"/>
    <s v="Office Supplies"/>
    <x v="2329"/>
  </r>
  <r>
    <x v="10"/>
    <s v="Furniture"/>
    <x v="2330"/>
  </r>
  <r>
    <x v="210"/>
    <s v="Office Supplies"/>
    <x v="2331"/>
  </r>
  <r>
    <x v="92"/>
    <s v="Furniture"/>
    <x v="2332"/>
  </r>
  <r>
    <x v="242"/>
    <s v="Furniture"/>
    <x v="2333"/>
  </r>
  <r>
    <x v="82"/>
    <s v="Technology"/>
    <x v="1813"/>
  </r>
  <r>
    <x v="167"/>
    <s v="Office Supplies"/>
    <x v="2334"/>
  </r>
  <r>
    <x v="163"/>
    <s v="Office Supplies"/>
    <x v="2335"/>
  </r>
  <r>
    <x v="255"/>
    <s v="Furniture"/>
    <x v="643"/>
  </r>
  <r>
    <x v="275"/>
    <s v="Furniture"/>
    <x v="2336"/>
  </r>
  <r>
    <x v="252"/>
    <s v="Office Supplies"/>
    <x v="2250"/>
  </r>
  <r>
    <x v="252"/>
    <s v="Furniture"/>
    <x v="2337"/>
  </r>
  <r>
    <x v="252"/>
    <s v="Office Supplies"/>
    <x v="1803"/>
  </r>
  <r>
    <x v="252"/>
    <s v="Office Supplies"/>
    <x v="2338"/>
  </r>
  <r>
    <x v="252"/>
    <s v="Furniture"/>
    <x v="2339"/>
  </r>
  <r>
    <x v="317"/>
    <s v="Furniture"/>
    <x v="2340"/>
  </r>
  <r>
    <x v="255"/>
    <s v="Office Supplies"/>
    <x v="2341"/>
  </r>
  <r>
    <x v="67"/>
    <s v="Office Supplies"/>
    <x v="2342"/>
  </r>
  <r>
    <x v="48"/>
    <s v="Furniture"/>
    <x v="364"/>
  </r>
  <r>
    <x v="34"/>
    <s v="Technology"/>
    <x v="1281"/>
  </r>
  <r>
    <x v="34"/>
    <s v="Furniture"/>
    <x v="2343"/>
  </r>
  <r>
    <x v="34"/>
    <s v="Furniture"/>
    <x v="2344"/>
  </r>
  <r>
    <x v="34"/>
    <s v="Technology"/>
    <x v="2345"/>
  </r>
  <r>
    <x v="34"/>
    <s v="Office Supplies"/>
    <x v="2346"/>
  </r>
  <r>
    <x v="34"/>
    <s v="Office Supplies"/>
    <x v="2347"/>
  </r>
  <r>
    <x v="34"/>
    <s v="Office Supplies"/>
    <x v="2348"/>
  </r>
  <r>
    <x v="142"/>
    <s v="Technology"/>
    <x v="2349"/>
  </r>
  <r>
    <x v="142"/>
    <s v="Office Supplies"/>
    <x v="2350"/>
  </r>
  <r>
    <x v="192"/>
    <s v="Office Supplies"/>
    <x v="2351"/>
  </r>
  <r>
    <x v="77"/>
    <s v="Office Supplies"/>
    <x v="1778"/>
  </r>
  <r>
    <x v="235"/>
    <s v="Office Supplies"/>
    <x v="135"/>
  </r>
  <r>
    <x v="235"/>
    <s v="Furniture"/>
    <x v="112"/>
  </r>
  <r>
    <x v="235"/>
    <s v="Technology"/>
    <x v="2323"/>
  </r>
  <r>
    <x v="315"/>
    <s v="Office Supplies"/>
    <x v="2352"/>
  </r>
  <r>
    <x v="44"/>
    <s v="Office Supplies"/>
    <x v="739"/>
  </r>
  <r>
    <x v="44"/>
    <s v="Technology"/>
    <x v="2353"/>
  </r>
  <r>
    <x v="16"/>
    <s v="Furniture"/>
    <x v="2354"/>
  </r>
  <r>
    <x v="16"/>
    <s v="Office Supplies"/>
    <x v="2355"/>
  </r>
  <r>
    <x v="16"/>
    <s v="Technology"/>
    <x v="2356"/>
  </r>
  <r>
    <x v="120"/>
    <s v="Office Supplies"/>
    <x v="2357"/>
  </r>
  <r>
    <x v="120"/>
    <s v="Office Supplies"/>
    <x v="2358"/>
  </r>
  <r>
    <x v="120"/>
    <s v="Office Supplies"/>
    <x v="2359"/>
  </r>
  <r>
    <x v="5"/>
    <s v="Office Supplies"/>
    <x v="2360"/>
  </r>
  <r>
    <x v="5"/>
    <s v="Office Supplies"/>
    <x v="1745"/>
  </r>
  <r>
    <x v="296"/>
    <s v="Furniture"/>
    <x v="2361"/>
  </r>
  <r>
    <x v="84"/>
    <s v="Office Supplies"/>
    <x v="525"/>
  </r>
  <r>
    <x v="8"/>
    <s v="Technology"/>
    <x v="1744"/>
  </r>
  <r>
    <x v="8"/>
    <s v="Office Supplies"/>
    <x v="0"/>
  </r>
  <r>
    <x v="8"/>
    <s v="Technology"/>
    <x v="2362"/>
  </r>
  <r>
    <x v="34"/>
    <s v="Furniture"/>
    <x v="2363"/>
  </r>
  <r>
    <x v="34"/>
    <s v="Furniture"/>
    <x v="2364"/>
  </r>
  <r>
    <x v="77"/>
    <s v="Technology"/>
    <x v="2365"/>
  </r>
  <r>
    <x v="13"/>
    <s v="Office Supplies"/>
    <x v="2120"/>
  </r>
  <r>
    <x v="272"/>
    <s v="Office Supplies"/>
    <x v="2366"/>
  </r>
  <r>
    <x v="9"/>
    <s v="Office Supplies"/>
    <x v="2367"/>
  </r>
  <r>
    <x v="9"/>
    <s v="Technology"/>
    <x v="2368"/>
  </r>
  <r>
    <x v="9"/>
    <s v="Office Supplies"/>
    <x v="1923"/>
  </r>
  <r>
    <x v="298"/>
    <s v="Office Supplies"/>
    <x v="2369"/>
  </r>
  <r>
    <x v="33"/>
    <s v="Technology"/>
    <x v="1570"/>
  </r>
  <r>
    <x v="33"/>
    <s v="Office Supplies"/>
    <x v="2370"/>
  </r>
  <r>
    <x v="33"/>
    <s v="Office Supplies"/>
    <x v="2371"/>
  </r>
  <r>
    <x v="33"/>
    <s v="Office Supplies"/>
    <x v="2120"/>
  </r>
  <r>
    <x v="205"/>
    <s v="Office Supplies"/>
    <x v="1547"/>
  </r>
  <r>
    <x v="70"/>
    <s v="Office Supplies"/>
    <x v="2023"/>
  </r>
  <r>
    <x v="70"/>
    <s v="Technology"/>
    <x v="2372"/>
  </r>
  <r>
    <x v="70"/>
    <s v="Office Supplies"/>
    <x v="2373"/>
  </r>
  <r>
    <x v="70"/>
    <s v="Office Supplies"/>
    <x v="2374"/>
  </r>
  <r>
    <x v="70"/>
    <s v="Office Supplies"/>
    <x v="2375"/>
  </r>
  <r>
    <x v="117"/>
    <s v="Office Supplies"/>
    <x v="2376"/>
  </r>
  <r>
    <x v="117"/>
    <s v="Office Supplies"/>
    <x v="2377"/>
  </r>
  <r>
    <x v="117"/>
    <s v="Office Supplies"/>
    <x v="2348"/>
  </r>
  <r>
    <x v="117"/>
    <s v="Office Supplies"/>
    <x v="2378"/>
  </r>
  <r>
    <x v="43"/>
    <s v="Office Supplies"/>
    <x v="2379"/>
  </r>
  <r>
    <x v="31"/>
    <s v="Technology"/>
    <x v="1830"/>
  </r>
  <r>
    <x v="31"/>
    <s v="Technology"/>
    <x v="294"/>
  </r>
  <r>
    <x v="31"/>
    <s v="Office Supplies"/>
    <x v="2380"/>
  </r>
  <r>
    <x v="186"/>
    <s v="Technology"/>
    <x v="2381"/>
  </r>
  <r>
    <x v="24"/>
    <s v="Office Supplies"/>
    <x v="111"/>
  </r>
  <r>
    <x v="24"/>
    <s v="Furniture"/>
    <x v="2382"/>
  </r>
  <r>
    <x v="24"/>
    <s v="Office Supplies"/>
    <x v="2383"/>
  </r>
  <r>
    <x v="67"/>
    <s v="Office Supplies"/>
    <x v="2384"/>
  </r>
  <r>
    <x v="200"/>
    <s v="Technology"/>
    <x v="2385"/>
  </r>
  <r>
    <x v="200"/>
    <s v="Office Supplies"/>
    <x v="2386"/>
  </r>
  <r>
    <x v="51"/>
    <s v="Technology"/>
    <x v="1196"/>
  </r>
  <r>
    <x v="51"/>
    <s v="Office Supplies"/>
    <x v="658"/>
  </r>
  <r>
    <x v="24"/>
    <s v="Furniture"/>
    <x v="2387"/>
  </r>
  <r>
    <x v="269"/>
    <s v="Office Supplies"/>
    <x v="2388"/>
  </r>
  <r>
    <x v="78"/>
    <s v="Technology"/>
    <x v="1929"/>
  </r>
  <r>
    <x v="78"/>
    <s v="Technology"/>
    <x v="2389"/>
  </r>
  <r>
    <x v="78"/>
    <s v="Office Supplies"/>
    <x v="2390"/>
  </r>
  <r>
    <x v="78"/>
    <s v="Office Supplies"/>
    <x v="2391"/>
  </r>
  <r>
    <x v="154"/>
    <s v="Office Supplies"/>
    <x v="2392"/>
  </r>
  <r>
    <x v="117"/>
    <s v="Furniture"/>
    <x v="2393"/>
  </r>
  <r>
    <x v="117"/>
    <s v="Technology"/>
    <x v="2394"/>
  </r>
  <r>
    <x v="39"/>
    <s v="Office Supplies"/>
    <x v="2122"/>
  </r>
  <r>
    <x v="39"/>
    <s v="Technology"/>
    <x v="2395"/>
  </r>
  <r>
    <x v="318"/>
    <s v="Furniture"/>
    <x v="2396"/>
  </r>
  <r>
    <x v="43"/>
    <s v="Office Supplies"/>
    <x v="135"/>
  </r>
  <r>
    <x v="43"/>
    <s v="Office Supplies"/>
    <x v="2397"/>
  </r>
  <r>
    <x v="18"/>
    <s v="Furniture"/>
    <x v="2398"/>
  </r>
  <r>
    <x v="18"/>
    <s v="Technology"/>
    <x v="2399"/>
  </r>
  <r>
    <x v="18"/>
    <s v="Office Supplies"/>
    <x v="2400"/>
  </r>
  <r>
    <x v="18"/>
    <s v="Office Supplies"/>
    <x v="2401"/>
  </r>
  <r>
    <x v="18"/>
    <s v="Office Supplies"/>
    <x v="2402"/>
  </r>
  <r>
    <x v="14"/>
    <s v="Furniture"/>
    <x v="2403"/>
  </r>
  <r>
    <x v="14"/>
    <s v="Technology"/>
    <x v="2187"/>
  </r>
  <r>
    <x v="255"/>
    <s v="Technology"/>
    <x v="2404"/>
  </r>
  <r>
    <x v="255"/>
    <s v="Office Supplies"/>
    <x v="2405"/>
  </r>
  <r>
    <x v="255"/>
    <s v="Furniture"/>
    <x v="2406"/>
  </r>
  <r>
    <x v="255"/>
    <s v="Office Supplies"/>
    <x v="2324"/>
  </r>
  <r>
    <x v="10"/>
    <s v="Office Supplies"/>
    <x v="6"/>
  </r>
  <r>
    <x v="163"/>
    <s v="Office Supplies"/>
    <x v="2407"/>
  </r>
  <r>
    <x v="163"/>
    <s v="Technology"/>
    <x v="2408"/>
  </r>
  <r>
    <x v="190"/>
    <s v="Furniture"/>
    <x v="970"/>
  </r>
  <r>
    <x v="280"/>
    <s v="Furniture"/>
    <x v="2409"/>
  </r>
  <r>
    <x v="13"/>
    <s v="Office Supplies"/>
    <x v="498"/>
  </r>
  <r>
    <x v="13"/>
    <s v="Office Supplies"/>
    <x v="23"/>
  </r>
  <r>
    <x v="13"/>
    <s v="Furniture"/>
    <x v="2410"/>
  </r>
  <r>
    <x v="13"/>
    <s v="Office Supplies"/>
    <x v="2411"/>
  </r>
  <r>
    <x v="47"/>
    <s v="Technology"/>
    <x v="2412"/>
  </r>
  <r>
    <x v="152"/>
    <s v="Technology"/>
    <x v="2142"/>
  </r>
  <r>
    <x v="152"/>
    <s v="Furniture"/>
    <x v="2413"/>
  </r>
  <r>
    <x v="98"/>
    <s v="Technology"/>
    <x v="2414"/>
  </r>
  <r>
    <x v="50"/>
    <s v="Office Supplies"/>
    <x v="1549"/>
  </r>
  <r>
    <x v="50"/>
    <s v="Office Supplies"/>
    <x v="2415"/>
  </r>
  <r>
    <x v="210"/>
    <s v="Furniture"/>
    <x v="2416"/>
  </r>
  <r>
    <x v="157"/>
    <s v="Office Supplies"/>
    <x v="2417"/>
  </r>
  <r>
    <x v="157"/>
    <s v="Office Supplies"/>
    <x v="2418"/>
  </r>
  <r>
    <x v="157"/>
    <s v="Office Supplies"/>
    <x v="1906"/>
  </r>
  <r>
    <x v="157"/>
    <s v="Furniture"/>
    <x v="2419"/>
  </r>
  <r>
    <x v="319"/>
    <s v="Office Supplies"/>
    <x v="2420"/>
  </r>
  <r>
    <x v="69"/>
    <s v="Office Supplies"/>
    <x v="2421"/>
  </r>
  <r>
    <x v="77"/>
    <s v="Office Supplies"/>
    <x v="887"/>
  </r>
  <r>
    <x v="77"/>
    <s v="Office Supplies"/>
    <x v="2422"/>
  </r>
  <r>
    <x v="245"/>
    <s v="Office Supplies"/>
    <x v="2423"/>
  </r>
  <r>
    <x v="245"/>
    <s v="Furniture"/>
    <x v="2424"/>
  </r>
  <r>
    <x v="215"/>
    <s v="Furniture"/>
    <x v="2425"/>
  </r>
  <r>
    <x v="170"/>
    <s v="Technology"/>
    <x v="2426"/>
  </r>
  <r>
    <x v="236"/>
    <s v="Office Supplies"/>
    <x v="2427"/>
  </r>
  <r>
    <x v="236"/>
    <s v="Technology"/>
    <x v="2428"/>
  </r>
  <r>
    <x v="236"/>
    <s v="Technology"/>
    <x v="235"/>
  </r>
  <r>
    <x v="236"/>
    <s v="Office Supplies"/>
    <x v="2429"/>
  </r>
  <r>
    <x v="236"/>
    <s v="Office Supplies"/>
    <x v="628"/>
  </r>
  <r>
    <x v="165"/>
    <s v="Office Supplies"/>
    <x v="733"/>
  </r>
  <r>
    <x v="304"/>
    <s v="Technology"/>
    <x v="2430"/>
  </r>
  <r>
    <x v="221"/>
    <s v="Furniture"/>
    <x v="2431"/>
  </r>
  <r>
    <x v="61"/>
    <s v="Technology"/>
    <x v="2432"/>
  </r>
  <r>
    <x v="61"/>
    <s v="Office Supplies"/>
    <x v="135"/>
  </r>
  <r>
    <x v="232"/>
    <s v="Office Supplies"/>
    <x v="71"/>
  </r>
  <r>
    <x v="31"/>
    <s v="Office Supplies"/>
    <x v="2433"/>
  </r>
  <r>
    <x v="112"/>
    <s v="Technology"/>
    <x v="1665"/>
  </r>
  <r>
    <x v="112"/>
    <s v="Office Supplies"/>
    <x v="457"/>
  </r>
  <r>
    <x v="112"/>
    <s v="Technology"/>
    <x v="2434"/>
  </r>
  <r>
    <x v="174"/>
    <s v="Technology"/>
    <x v="2435"/>
  </r>
  <r>
    <x v="174"/>
    <s v="Furniture"/>
    <x v="395"/>
  </r>
  <r>
    <x v="174"/>
    <s v="Furniture"/>
    <x v="2436"/>
  </r>
  <r>
    <x v="174"/>
    <s v="Office Supplies"/>
    <x v="2437"/>
  </r>
  <r>
    <x v="77"/>
    <s v="Office Supplies"/>
    <x v="588"/>
  </r>
  <r>
    <x v="62"/>
    <s v="Office Supplies"/>
    <x v="2438"/>
  </r>
  <r>
    <x v="301"/>
    <s v="Office Supplies"/>
    <x v="2439"/>
  </r>
  <r>
    <x v="146"/>
    <s v="Office Supplies"/>
    <x v="2440"/>
  </r>
  <r>
    <x v="8"/>
    <s v="Furniture"/>
    <x v="1969"/>
  </r>
  <r>
    <x v="8"/>
    <s v="Office Supplies"/>
    <x v="2441"/>
  </r>
  <r>
    <x v="285"/>
    <s v="Technology"/>
    <x v="2442"/>
  </r>
  <r>
    <x v="271"/>
    <s v="Office Supplies"/>
    <x v="2443"/>
  </r>
  <r>
    <x v="271"/>
    <s v="Technology"/>
    <x v="2444"/>
  </r>
  <r>
    <x v="271"/>
    <s v="Office Supplies"/>
    <x v="2445"/>
  </r>
  <r>
    <x v="141"/>
    <s v="Technology"/>
    <x v="608"/>
  </r>
  <r>
    <x v="141"/>
    <s v="Office Supplies"/>
    <x v="135"/>
  </r>
  <r>
    <x v="224"/>
    <s v="Technology"/>
    <x v="2446"/>
  </r>
  <r>
    <x v="224"/>
    <s v="Office Supplies"/>
    <x v="527"/>
  </r>
  <r>
    <x v="224"/>
    <s v="Office Supplies"/>
    <x v="2447"/>
  </r>
  <r>
    <x v="224"/>
    <s v="Technology"/>
    <x v="2448"/>
  </r>
  <r>
    <x v="224"/>
    <s v="Office Supplies"/>
    <x v="66"/>
  </r>
  <r>
    <x v="224"/>
    <s v="Furniture"/>
    <x v="981"/>
  </r>
  <r>
    <x v="224"/>
    <s v="Furniture"/>
    <x v="2449"/>
  </r>
  <r>
    <x v="224"/>
    <s v="Office Supplies"/>
    <x v="2450"/>
  </r>
  <r>
    <x v="185"/>
    <s v="Technology"/>
    <x v="2451"/>
  </r>
  <r>
    <x v="185"/>
    <s v="Office Supplies"/>
    <x v="2452"/>
  </r>
  <r>
    <x v="40"/>
    <s v="Office Supplies"/>
    <x v="2453"/>
  </r>
  <r>
    <x v="40"/>
    <s v="Office Supplies"/>
    <x v="2454"/>
  </r>
  <r>
    <x v="285"/>
    <s v="Office Supplies"/>
    <x v="2455"/>
  </r>
  <r>
    <x v="62"/>
    <s v="Office Supplies"/>
    <x v="2456"/>
  </r>
  <r>
    <x v="67"/>
    <s v="Office Supplies"/>
    <x v="221"/>
  </r>
  <r>
    <x v="31"/>
    <s v="Office Supplies"/>
    <x v="2457"/>
  </r>
  <r>
    <x v="31"/>
    <s v="Furniture"/>
    <x v="2458"/>
  </r>
  <r>
    <x v="31"/>
    <s v="Office Supplies"/>
    <x v="998"/>
  </r>
  <r>
    <x v="78"/>
    <s v="Office Supplies"/>
    <x v="2459"/>
  </r>
  <r>
    <x v="78"/>
    <s v="Office Supplies"/>
    <x v="2460"/>
  </r>
  <r>
    <x v="78"/>
    <s v="Office Supplies"/>
    <x v="2461"/>
  </r>
  <r>
    <x v="78"/>
    <s v="Office Supplies"/>
    <x v="2462"/>
  </r>
  <r>
    <x v="143"/>
    <s v="Office Supplies"/>
    <x v="2463"/>
  </r>
  <r>
    <x v="82"/>
    <s v="Office Supplies"/>
    <x v="2464"/>
  </r>
  <r>
    <x v="82"/>
    <s v="Office Supplies"/>
    <x v="2465"/>
  </r>
  <r>
    <x v="148"/>
    <s v="Furniture"/>
    <x v="2466"/>
  </r>
  <r>
    <x v="246"/>
    <s v="Office Supplies"/>
    <x v="2467"/>
  </r>
  <r>
    <x v="246"/>
    <s v="Office Supplies"/>
    <x v="490"/>
  </r>
  <r>
    <x v="246"/>
    <s v="Office Supplies"/>
    <x v="2468"/>
  </r>
  <r>
    <x v="291"/>
    <s v="Office Supplies"/>
    <x v="2469"/>
  </r>
  <r>
    <x v="291"/>
    <s v="Office Supplies"/>
    <x v="427"/>
  </r>
  <r>
    <x v="164"/>
    <s v="Office Supplies"/>
    <x v="2470"/>
  </r>
  <r>
    <x v="115"/>
    <s v="Technology"/>
    <x v="572"/>
  </r>
  <r>
    <x v="115"/>
    <s v="Office Supplies"/>
    <x v="67"/>
  </r>
  <r>
    <x v="98"/>
    <s v="Office Supplies"/>
    <x v="2471"/>
  </r>
  <r>
    <x v="79"/>
    <s v="Furniture"/>
    <x v="598"/>
  </r>
  <r>
    <x v="62"/>
    <s v="Office Supplies"/>
    <x v="1220"/>
  </r>
  <r>
    <x v="62"/>
    <s v="Office Supplies"/>
    <x v="2472"/>
  </r>
  <r>
    <x v="46"/>
    <s v="Office Supplies"/>
    <x v="2473"/>
  </r>
  <r>
    <x v="46"/>
    <s v="Office Supplies"/>
    <x v="2474"/>
  </r>
  <r>
    <x v="79"/>
    <s v="Office Supplies"/>
    <x v="1047"/>
  </r>
  <r>
    <x v="24"/>
    <s v="Office Supplies"/>
    <x v="2475"/>
  </r>
  <r>
    <x v="24"/>
    <s v="Office Supplies"/>
    <x v="2476"/>
  </r>
  <r>
    <x v="24"/>
    <s v="Furniture"/>
    <x v="2477"/>
  </r>
  <r>
    <x v="61"/>
    <s v="Office Supplies"/>
    <x v="2478"/>
  </r>
  <r>
    <x v="79"/>
    <s v="Office Supplies"/>
    <x v="2479"/>
  </r>
  <r>
    <x v="74"/>
    <s v="Office Supplies"/>
    <x v="2480"/>
  </r>
  <r>
    <x v="74"/>
    <s v="Furniture"/>
    <x v="2481"/>
  </r>
  <r>
    <x v="93"/>
    <s v="Furniture"/>
    <x v="2482"/>
  </r>
  <r>
    <x v="164"/>
    <s v="Office Supplies"/>
    <x v="2483"/>
  </r>
  <r>
    <x v="202"/>
    <s v="Office Supplies"/>
    <x v="2484"/>
  </r>
  <r>
    <x v="8"/>
    <s v="Office Supplies"/>
    <x v="252"/>
  </r>
  <r>
    <x v="8"/>
    <s v="Furniture"/>
    <x v="1924"/>
  </r>
  <r>
    <x v="250"/>
    <s v="Office Supplies"/>
    <x v="2391"/>
  </r>
  <r>
    <x v="250"/>
    <s v="Office Supplies"/>
    <x v="2485"/>
  </r>
  <r>
    <x v="320"/>
    <s v="Technology"/>
    <x v="2486"/>
  </r>
  <r>
    <x v="66"/>
    <s v="Office Supplies"/>
    <x v="126"/>
  </r>
  <r>
    <x v="66"/>
    <s v="Furniture"/>
    <x v="2487"/>
  </r>
  <r>
    <x v="66"/>
    <s v="Furniture"/>
    <x v="2488"/>
  </r>
  <r>
    <x v="115"/>
    <s v="Office Supplies"/>
    <x v="2489"/>
  </r>
  <r>
    <x v="115"/>
    <s v="Furniture"/>
    <x v="2490"/>
  </r>
  <r>
    <x v="115"/>
    <s v="Office Supplies"/>
    <x v="2491"/>
  </r>
  <r>
    <x v="59"/>
    <s v="Furniture"/>
    <x v="2492"/>
  </r>
  <r>
    <x v="59"/>
    <s v="Technology"/>
    <x v="2493"/>
  </r>
  <r>
    <x v="59"/>
    <s v="Office Supplies"/>
    <x v="798"/>
  </r>
  <r>
    <x v="61"/>
    <s v="Office Supplies"/>
    <x v="2494"/>
  </r>
  <r>
    <x v="61"/>
    <s v="Office Supplies"/>
    <x v="2495"/>
  </r>
  <r>
    <x v="259"/>
    <s v="Furniture"/>
    <x v="1110"/>
  </r>
  <r>
    <x v="259"/>
    <s v="Office Supplies"/>
    <x v="525"/>
  </r>
  <r>
    <x v="30"/>
    <s v="Office Supplies"/>
    <x v="2285"/>
  </r>
  <r>
    <x v="257"/>
    <s v="Furniture"/>
    <x v="2496"/>
  </r>
  <r>
    <x v="257"/>
    <s v="Office Supplies"/>
    <x v="1333"/>
  </r>
  <r>
    <x v="257"/>
    <s v="Technology"/>
    <x v="2497"/>
  </r>
  <r>
    <x v="257"/>
    <s v="Furniture"/>
    <x v="2498"/>
  </r>
  <r>
    <x v="257"/>
    <s v="Furniture"/>
    <x v="1777"/>
  </r>
  <r>
    <x v="70"/>
    <s v="Furniture"/>
    <x v="1251"/>
  </r>
  <r>
    <x v="70"/>
    <s v="Office Supplies"/>
    <x v="2499"/>
  </r>
  <r>
    <x v="205"/>
    <s v="Office Supplies"/>
    <x v="2500"/>
  </r>
  <r>
    <x v="205"/>
    <s v="Office Supplies"/>
    <x v="2501"/>
  </r>
  <r>
    <x v="205"/>
    <s v="Furniture"/>
    <x v="2502"/>
  </r>
  <r>
    <x v="205"/>
    <s v="Office Supplies"/>
    <x v="2503"/>
  </r>
  <r>
    <x v="187"/>
    <s v="Furniture"/>
    <x v="2504"/>
  </r>
  <r>
    <x v="254"/>
    <s v="Technology"/>
    <x v="2505"/>
  </r>
  <r>
    <x v="14"/>
    <s v="Technology"/>
    <x v="2506"/>
  </r>
  <r>
    <x v="22"/>
    <s v="Office Supplies"/>
    <x v="2507"/>
  </r>
  <r>
    <x v="263"/>
    <s v="Office Supplies"/>
    <x v="998"/>
  </r>
  <r>
    <x v="39"/>
    <s v="Furniture"/>
    <x v="2508"/>
  </r>
  <r>
    <x v="174"/>
    <s v="Office Supplies"/>
    <x v="1854"/>
  </r>
  <r>
    <x v="174"/>
    <s v="Office Supplies"/>
    <x v="2509"/>
  </r>
  <r>
    <x v="174"/>
    <s v="Office Supplies"/>
    <x v="1616"/>
  </r>
  <r>
    <x v="174"/>
    <s v="Office Supplies"/>
    <x v="2510"/>
  </r>
  <r>
    <x v="193"/>
    <s v="Technology"/>
    <x v="1051"/>
  </r>
  <r>
    <x v="191"/>
    <s v="Office Supplies"/>
    <x v="309"/>
  </r>
  <r>
    <x v="165"/>
    <s v="Technology"/>
    <x v="2511"/>
  </r>
  <r>
    <x v="165"/>
    <s v="Furniture"/>
    <x v="2512"/>
  </r>
  <r>
    <x v="113"/>
    <s v="Office Supplies"/>
    <x v="2513"/>
  </r>
  <r>
    <x v="113"/>
    <s v="Furniture"/>
    <x v="352"/>
  </r>
  <r>
    <x v="81"/>
    <s v="Office Supplies"/>
    <x v="2206"/>
  </r>
  <r>
    <x v="81"/>
    <s v="Office Supplies"/>
    <x v="2514"/>
  </r>
  <r>
    <x v="304"/>
    <s v="Office Supplies"/>
    <x v="67"/>
  </r>
  <r>
    <x v="197"/>
    <s v="Technology"/>
    <x v="2515"/>
  </r>
  <r>
    <x v="25"/>
    <s v="Office Supplies"/>
    <x v="2516"/>
  </r>
  <r>
    <x v="25"/>
    <s v="Technology"/>
    <x v="2517"/>
  </r>
  <r>
    <x v="240"/>
    <s v="Furniture"/>
    <x v="2518"/>
  </r>
  <r>
    <x v="23"/>
    <s v="Office Supplies"/>
    <x v="2519"/>
  </r>
  <r>
    <x v="240"/>
    <s v="Technology"/>
    <x v="2520"/>
  </r>
  <r>
    <x v="240"/>
    <s v="Office Supplies"/>
    <x v="2521"/>
  </r>
  <r>
    <x v="255"/>
    <s v="Furniture"/>
    <x v="1742"/>
  </r>
  <r>
    <x v="15"/>
    <s v="Office Supplies"/>
    <x v="2522"/>
  </r>
  <r>
    <x v="15"/>
    <s v="Furniture"/>
    <x v="2523"/>
  </r>
  <r>
    <x v="15"/>
    <s v="Office Supplies"/>
    <x v="67"/>
  </r>
  <r>
    <x v="15"/>
    <s v="Office Supplies"/>
    <x v="2302"/>
  </r>
  <r>
    <x v="15"/>
    <s v="Technology"/>
    <x v="1021"/>
  </r>
  <r>
    <x v="15"/>
    <s v="Office Supplies"/>
    <x v="2499"/>
  </r>
  <r>
    <x v="15"/>
    <s v="Furniture"/>
    <x v="2524"/>
  </r>
  <r>
    <x v="15"/>
    <s v="Furniture"/>
    <x v="2525"/>
  </r>
  <r>
    <x v="10"/>
    <s v="Office Supplies"/>
    <x v="1540"/>
  </r>
  <r>
    <x v="112"/>
    <s v="Furniture"/>
    <x v="2526"/>
  </r>
  <r>
    <x v="40"/>
    <s v="Office Supplies"/>
    <x v="2527"/>
  </r>
  <r>
    <x v="284"/>
    <s v="Office Supplies"/>
    <x v="2528"/>
  </r>
  <r>
    <x v="284"/>
    <s v="Office Supplies"/>
    <x v="2529"/>
  </r>
  <r>
    <x v="187"/>
    <s v="Office Supplies"/>
    <x v="2530"/>
  </r>
  <r>
    <x v="15"/>
    <s v="Office Supplies"/>
    <x v="2531"/>
  </r>
  <r>
    <x v="15"/>
    <s v="Office Supplies"/>
    <x v="1468"/>
  </r>
  <r>
    <x v="15"/>
    <s v="Office Supplies"/>
    <x v="826"/>
  </r>
  <r>
    <x v="298"/>
    <s v="Furniture"/>
    <x v="2532"/>
  </r>
  <r>
    <x v="155"/>
    <s v="Office Supplies"/>
    <x v="2533"/>
  </r>
  <r>
    <x v="76"/>
    <s v="Office Supplies"/>
    <x v="706"/>
  </r>
  <r>
    <x v="76"/>
    <s v="Furniture"/>
    <x v="2534"/>
  </r>
  <r>
    <x v="76"/>
    <s v="Technology"/>
    <x v="2535"/>
  </r>
  <r>
    <x v="76"/>
    <s v="Office Supplies"/>
    <x v="2536"/>
  </r>
  <r>
    <x v="76"/>
    <s v="Office Supplies"/>
    <x v="2537"/>
  </r>
  <r>
    <x v="190"/>
    <s v="Office Supplies"/>
    <x v="2538"/>
  </r>
  <r>
    <x v="35"/>
    <s v="Office Supplies"/>
    <x v="2539"/>
  </r>
  <r>
    <x v="9"/>
    <s v="Office Supplies"/>
    <x v="2540"/>
  </r>
  <r>
    <x v="141"/>
    <s v="Furniture"/>
    <x v="1547"/>
  </r>
  <r>
    <x v="59"/>
    <s v="Office Supplies"/>
    <x v="2541"/>
  </r>
  <r>
    <x v="59"/>
    <s v="Office Supplies"/>
    <x v="383"/>
  </r>
  <r>
    <x v="268"/>
    <s v="Technology"/>
    <x v="776"/>
  </r>
  <r>
    <x v="5"/>
    <s v="Technology"/>
    <x v="2542"/>
  </r>
  <r>
    <x v="5"/>
    <s v="Office Supplies"/>
    <x v="510"/>
  </r>
  <r>
    <x v="5"/>
    <s v="Office Supplies"/>
    <x v="2429"/>
  </r>
  <r>
    <x v="5"/>
    <s v="Furniture"/>
    <x v="2543"/>
  </r>
  <r>
    <x v="183"/>
    <s v="Furniture"/>
    <x v="2544"/>
  </r>
  <r>
    <x v="222"/>
    <s v="Office Supplies"/>
    <x v="2545"/>
  </r>
  <r>
    <x v="238"/>
    <s v="Office Supplies"/>
    <x v="2546"/>
  </r>
  <r>
    <x v="82"/>
    <s v="Office Supplies"/>
    <x v="2547"/>
  </r>
  <r>
    <x v="5"/>
    <s v="Office Supplies"/>
    <x v="480"/>
  </r>
  <r>
    <x v="5"/>
    <s v="Office Supplies"/>
    <x v="837"/>
  </r>
  <r>
    <x v="206"/>
    <s v="Office Supplies"/>
    <x v="2548"/>
  </r>
  <r>
    <x v="206"/>
    <s v="Office Supplies"/>
    <x v="2549"/>
  </r>
  <r>
    <x v="206"/>
    <s v="Technology"/>
    <x v="2550"/>
  </r>
  <r>
    <x v="155"/>
    <s v="Office Supplies"/>
    <x v="2182"/>
  </r>
  <r>
    <x v="78"/>
    <s v="Technology"/>
    <x v="2551"/>
  </r>
  <r>
    <x v="78"/>
    <s v="Office Supplies"/>
    <x v="2552"/>
  </r>
  <r>
    <x v="76"/>
    <s v="Office Supplies"/>
    <x v="2553"/>
  </r>
  <r>
    <x v="76"/>
    <s v="Office Supplies"/>
    <x v="2457"/>
  </r>
  <r>
    <x v="317"/>
    <s v="Office Supplies"/>
    <x v="1052"/>
  </r>
  <r>
    <x v="192"/>
    <s v="Technology"/>
    <x v="2554"/>
  </r>
  <r>
    <x v="192"/>
    <s v="Office Supplies"/>
    <x v="1758"/>
  </r>
  <r>
    <x v="192"/>
    <s v="Technology"/>
    <x v="2555"/>
  </r>
  <r>
    <x v="63"/>
    <s v="Office Supplies"/>
    <x v="2556"/>
  </r>
  <r>
    <x v="63"/>
    <s v="Furniture"/>
    <x v="2557"/>
  </r>
  <r>
    <x v="63"/>
    <s v="Furniture"/>
    <x v="2558"/>
  </r>
  <r>
    <x v="115"/>
    <s v="Office Supplies"/>
    <x v="2068"/>
  </r>
  <r>
    <x v="223"/>
    <s v="Office Supplies"/>
    <x v="2559"/>
  </r>
  <r>
    <x v="26"/>
    <s v="Office Supplies"/>
    <x v="837"/>
  </r>
  <r>
    <x v="27"/>
    <s v="Technology"/>
    <x v="2560"/>
  </r>
  <r>
    <x v="27"/>
    <s v="Office Supplies"/>
    <x v="718"/>
  </r>
  <r>
    <x v="27"/>
    <s v="Office Supplies"/>
    <x v="1699"/>
  </r>
  <r>
    <x v="57"/>
    <s v="Technology"/>
    <x v="279"/>
  </r>
  <r>
    <x v="57"/>
    <s v="Office Supplies"/>
    <x v="2561"/>
  </r>
  <r>
    <x v="150"/>
    <s v="Office Supplies"/>
    <x v="2562"/>
  </r>
  <r>
    <x v="192"/>
    <s v="Furniture"/>
    <x v="2058"/>
  </r>
  <r>
    <x v="192"/>
    <s v="Furniture"/>
    <x v="2121"/>
  </r>
  <r>
    <x v="130"/>
    <s v="Office Supplies"/>
    <x v="748"/>
  </r>
  <r>
    <x v="7"/>
    <s v="Technology"/>
    <x v="471"/>
  </r>
  <r>
    <x v="296"/>
    <s v="Office Supplies"/>
    <x v="268"/>
  </r>
  <r>
    <x v="296"/>
    <s v="Office Supplies"/>
    <x v="1288"/>
  </r>
  <r>
    <x v="296"/>
    <s v="Furniture"/>
    <x v="2563"/>
  </r>
  <r>
    <x v="296"/>
    <s v="Office Supplies"/>
    <x v="67"/>
  </r>
  <r>
    <x v="131"/>
    <s v="Technology"/>
    <x v="2564"/>
  </r>
  <r>
    <x v="298"/>
    <s v="Office Supplies"/>
    <x v="2565"/>
  </r>
  <r>
    <x v="285"/>
    <s v="Office Supplies"/>
    <x v="2566"/>
  </r>
  <r>
    <x v="89"/>
    <s v="Office Supplies"/>
    <x v="712"/>
  </r>
  <r>
    <x v="89"/>
    <s v="Technology"/>
    <x v="2567"/>
  </r>
  <r>
    <x v="295"/>
    <s v="Office Supplies"/>
    <x v="2568"/>
  </r>
  <r>
    <x v="70"/>
    <s v="Office Supplies"/>
    <x v="2569"/>
  </r>
  <r>
    <x v="70"/>
    <s v="Office Supplies"/>
    <x v="2570"/>
  </r>
  <r>
    <x v="262"/>
    <s v="Office Supplies"/>
    <x v="2571"/>
  </r>
  <r>
    <x v="262"/>
    <s v="Office Supplies"/>
    <x v="1232"/>
  </r>
  <r>
    <x v="262"/>
    <s v="Technology"/>
    <x v="725"/>
  </r>
  <r>
    <x v="197"/>
    <s v="Office Supplies"/>
    <x v="304"/>
  </r>
  <r>
    <x v="197"/>
    <s v="Office Supplies"/>
    <x v="2572"/>
  </r>
  <r>
    <x v="197"/>
    <s v="Office Supplies"/>
    <x v="2573"/>
  </r>
  <r>
    <x v="2"/>
    <s v="Office Supplies"/>
    <x v="2574"/>
  </r>
  <r>
    <x v="26"/>
    <s v="Office Supplies"/>
    <x v="1163"/>
  </r>
  <r>
    <x v="200"/>
    <s v="Technology"/>
    <x v="1789"/>
  </r>
  <r>
    <x v="163"/>
    <s v="Office Supplies"/>
    <x v="2575"/>
  </r>
  <r>
    <x v="163"/>
    <s v="Technology"/>
    <x v="2016"/>
  </r>
  <r>
    <x v="163"/>
    <s v="Office Supplies"/>
    <x v="1691"/>
  </r>
  <r>
    <x v="67"/>
    <s v="Office Supplies"/>
    <x v="2576"/>
  </r>
  <r>
    <x v="178"/>
    <s v="Office Supplies"/>
    <x v="2577"/>
  </r>
  <r>
    <x v="178"/>
    <s v="Office Supplies"/>
    <x v="2578"/>
  </r>
  <r>
    <x v="178"/>
    <s v="Office Supplies"/>
    <x v="1757"/>
  </r>
  <r>
    <x v="178"/>
    <s v="Office Supplies"/>
    <x v="2579"/>
  </r>
  <r>
    <x v="101"/>
    <s v="Office Supplies"/>
    <x v="2580"/>
  </r>
  <r>
    <x v="80"/>
    <s v="Office Supplies"/>
    <x v="2581"/>
  </r>
  <r>
    <x v="62"/>
    <s v="Furniture"/>
    <x v="2582"/>
  </r>
  <r>
    <x v="62"/>
    <s v="Furniture"/>
    <x v="2583"/>
  </r>
  <r>
    <x v="277"/>
    <s v="Office Supplies"/>
    <x v="578"/>
  </r>
  <r>
    <x v="277"/>
    <s v="Office Supplies"/>
    <x v="1028"/>
  </r>
  <r>
    <x v="277"/>
    <s v="Office Supplies"/>
    <x v="2584"/>
  </r>
  <r>
    <x v="277"/>
    <s v="Furniture"/>
    <x v="2585"/>
  </r>
  <r>
    <x v="277"/>
    <s v="Technology"/>
    <x v="2586"/>
  </r>
  <r>
    <x v="277"/>
    <s v="Office Supplies"/>
    <x v="2587"/>
  </r>
  <r>
    <x v="78"/>
    <s v="Office Supplies"/>
    <x v="2588"/>
  </r>
  <r>
    <x v="321"/>
    <s v="Office Supplies"/>
    <x v="2469"/>
  </r>
  <r>
    <x v="321"/>
    <s v="Office Supplies"/>
    <x v="2438"/>
  </r>
  <r>
    <x v="6"/>
    <s v="Office Supplies"/>
    <x v="1674"/>
  </r>
  <r>
    <x v="65"/>
    <s v="Office Supplies"/>
    <x v="2589"/>
  </r>
  <r>
    <x v="277"/>
    <s v="Furniture"/>
    <x v="2590"/>
  </r>
  <r>
    <x v="277"/>
    <s v="Furniture"/>
    <x v="2337"/>
  </r>
  <r>
    <x v="277"/>
    <s v="Technology"/>
    <x v="1737"/>
  </r>
  <r>
    <x v="277"/>
    <s v="Furniture"/>
    <x v="2591"/>
  </r>
  <r>
    <x v="108"/>
    <s v="Office Supplies"/>
    <x v="2592"/>
  </r>
  <r>
    <x v="267"/>
    <s v="Furniture"/>
    <x v="2593"/>
  </r>
  <r>
    <x v="72"/>
    <s v="Office Supplies"/>
    <x v="2594"/>
  </r>
  <r>
    <x v="74"/>
    <s v="Office Supplies"/>
    <x v="845"/>
  </r>
  <r>
    <x v="74"/>
    <s v="Office Supplies"/>
    <x v="2595"/>
  </r>
  <r>
    <x v="1"/>
    <s v="Furniture"/>
    <x v="914"/>
  </r>
  <r>
    <x v="5"/>
    <s v="Technology"/>
    <x v="2596"/>
  </r>
  <r>
    <x v="79"/>
    <s v="Office Supplies"/>
    <x v="2597"/>
  </r>
  <r>
    <x v="79"/>
    <s v="Furniture"/>
    <x v="2598"/>
  </r>
  <r>
    <x v="79"/>
    <s v="Office Supplies"/>
    <x v="2280"/>
  </r>
  <r>
    <x v="74"/>
    <s v="Furniture"/>
    <x v="2599"/>
  </r>
  <r>
    <x v="74"/>
    <s v="Office Supplies"/>
    <x v="66"/>
  </r>
  <r>
    <x v="118"/>
    <s v="Office Supplies"/>
    <x v="1561"/>
  </r>
  <r>
    <x v="118"/>
    <s v="Office Supplies"/>
    <x v="2600"/>
  </r>
  <r>
    <x v="118"/>
    <s v="Technology"/>
    <x v="826"/>
  </r>
  <r>
    <x v="118"/>
    <s v="Office Supplies"/>
    <x v="934"/>
  </r>
  <r>
    <x v="118"/>
    <s v="Technology"/>
    <x v="2601"/>
  </r>
  <r>
    <x v="118"/>
    <s v="Office Supplies"/>
    <x v="2602"/>
  </r>
  <r>
    <x v="118"/>
    <s v="Technology"/>
    <x v="1475"/>
  </r>
  <r>
    <x v="118"/>
    <s v="Furniture"/>
    <x v="522"/>
  </r>
  <r>
    <x v="239"/>
    <s v="Office Supplies"/>
    <x v="2603"/>
  </r>
  <r>
    <x v="239"/>
    <s v="Office Supplies"/>
    <x v="2604"/>
  </r>
  <r>
    <x v="198"/>
    <s v="Office Supplies"/>
    <x v="2605"/>
  </r>
  <r>
    <x v="198"/>
    <s v="Office Supplies"/>
    <x v="2606"/>
  </r>
  <r>
    <x v="198"/>
    <s v="Technology"/>
    <x v="2607"/>
  </r>
  <r>
    <x v="112"/>
    <s v="Office Supplies"/>
    <x v="1341"/>
  </r>
  <r>
    <x v="143"/>
    <s v="Office Supplies"/>
    <x v="1143"/>
  </r>
  <r>
    <x v="46"/>
    <s v="Office Supplies"/>
    <x v="2608"/>
  </r>
  <r>
    <x v="46"/>
    <s v="Furniture"/>
    <x v="2609"/>
  </r>
  <r>
    <x v="46"/>
    <s v="Office Supplies"/>
    <x v="434"/>
  </r>
  <r>
    <x v="258"/>
    <s v="Office Supplies"/>
    <x v="67"/>
  </r>
  <r>
    <x v="258"/>
    <s v="Office Supplies"/>
    <x v="589"/>
  </r>
  <r>
    <x v="258"/>
    <s v="Office Supplies"/>
    <x v="232"/>
  </r>
  <r>
    <x v="258"/>
    <s v="Furniture"/>
    <x v="2610"/>
  </r>
  <r>
    <x v="181"/>
    <s v="Technology"/>
    <x v="2611"/>
  </r>
  <r>
    <x v="21"/>
    <s v="Office Supplies"/>
    <x v="1780"/>
  </r>
  <r>
    <x v="62"/>
    <s v="Technology"/>
    <x v="2612"/>
  </r>
  <r>
    <x v="203"/>
    <s v="Furniture"/>
    <x v="2613"/>
  </r>
  <r>
    <x v="203"/>
    <s v="Office Supplies"/>
    <x v="2614"/>
  </r>
  <r>
    <x v="203"/>
    <s v="Technology"/>
    <x v="2615"/>
  </r>
  <r>
    <x v="203"/>
    <s v="Technology"/>
    <x v="2616"/>
  </r>
  <r>
    <x v="203"/>
    <s v="Office Supplies"/>
    <x v="2617"/>
  </r>
  <r>
    <x v="239"/>
    <s v="Office Supplies"/>
    <x v="2246"/>
  </r>
  <r>
    <x v="30"/>
    <s v="Technology"/>
    <x v="2618"/>
  </r>
  <r>
    <x v="40"/>
    <s v="Office Supplies"/>
    <x v="2619"/>
  </r>
  <r>
    <x v="40"/>
    <s v="Office Supplies"/>
    <x v="930"/>
  </r>
  <r>
    <x v="40"/>
    <s v="Office Supplies"/>
    <x v="2620"/>
  </r>
  <r>
    <x v="185"/>
    <s v="Office Supplies"/>
    <x v="416"/>
  </r>
  <r>
    <x v="202"/>
    <s v="Technology"/>
    <x v="1406"/>
  </r>
  <r>
    <x v="202"/>
    <s v="Technology"/>
    <x v="2586"/>
  </r>
  <r>
    <x v="119"/>
    <s v="Furniture"/>
    <x v="426"/>
  </r>
  <r>
    <x v="119"/>
    <s v="Technology"/>
    <x v="2621"/>
  </r>
  <r>
    <x v="119"/>
    <s v="Office Supplies"/>
    <x v="108"/>
  </r>
  <r>
    <x v="132"/>
    <s v="Office Supplies"/>
    <x v="2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99B24-2F91-450E-895A-CD0008C5AE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F105" firstHeaderRow="1" firstDataRow="1" firstDataCol="1" rowPageCount="1" colPageCount="1"/>
  <pivotFields count="3">
    <pivotField numFmtId="14" showAll="0">
      <items count="24">
        <item x="5"/>
        <item x="8"/>
        <item x="19"/>
        <item x="18"/>
        <item x="6"/>
        <item x="13"/>
        <item x="22"/>
        <item x="10"/>
        <item x="21"/>
        <item x="7"/>
        <item x="15"/>
        <item x="20"/>
        <item x="11"/>
        <item x="0"/>
        <item x="3"/>
        <item x="1"/>
        <item x="2"/>
        <item x="14"/>
        <item x="16"/>
        <item x="12"/>
        <item x="9"/>
        <item x="17"/>
        <item x="4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Row" showAll="0">
      <items count="156">
        <item x="133"/>
        <item x="64"/>
        <item x="144"/>
        <item x="33"/>
        <item x="73"/>
        <item x="92"/>
        <item x="84"/>
        <item x="124"/>
        <item x="140"/>
        <item x="95"/>
        <item x="120"/>
        <item x="38"/>
        <item x="63"/>
        <item x="32"/>
        <item x="110"/>
        <item x="79"/>
        <item x="49"/>
        <item x="15"/>
        <item x="105"/>
        <item x="101"/>
        <item x="23"/>
        <item x="66"/>
        <item x="67"/>
        <item x="55"/>
        <item x="135"/>
        <item x="116"/>
        <item x="76"/>
        <item x="148"/>
        <item x="102"/>
        <item x="103"/>
        <item x="3"/>
        <item x="147"/>
        <item x="51"/>
        <item x="131"/>
        <item x="52"/>
        <item x="109"/>
        <item x="54"/>
        <item x="151"/>
        <item x="153"/>
        <item x="111"/>
        <item x="34"/>
        <item x="41"/>
        <item x="154"/>
        <item x="104"/>
        <item x="112"/>
        <item x="48"/>
        <item x="25"/>
        <item x="141"/>
        <item x="75"/>
        <item x="12"/>
        <item x="60"/>
        <item x="11"/>
        <item x="146"/>
        <item x="150"/>
        <item x="77"/>
        <item x="69"/>
        <item x="129"/>
        <item x="22"/>
        <item x="39"/>
        <item x="136"/>
        <item x="78"/>
        <item x="71"/>
        <item x="9"/>
        <item x="26"/>
        <item x="114"/>
        <item x="119"/>
        <item x="127"/>
        <item x="14"/>
        <item x="88"/>
        <item x="81"/>
        <item x="65"/>
        <item x="46"/>
        <item x="17"/>
        <item x="21"/>
        <item x="61"/>
        <item x="31"/>
        <item x="28"/>
        <item x="70"/>
        <item x="30"/>
        <item x="16"/>
        <item x="82"/>
        <item x="18"/>
        <item x="2"/>
        <item x="87"/>
        <item x="99"/>
        <item x="83"/>
        <item x="117"/>
        <item x="143"/>
        <item x="145"/>
        <item x="113"/>
        <item x="35"/>
        <item x="130"/>
        <item x="10"/>
        <item x="80"/>
        <item x="43"/>
        <item x="152"/>
        <item x="139"/>
        <item x="8"/>
        <item x="36"/>
        <item x="100"/>
        <item x="138"/>
        <item x="62"/>
        <item x="68"/>
        <item x="56"/>
        <item x="50"/>
        <item x="97"/>
        <item x="107"/>
        <item x="98"/>
        <item x="94"/>
        <item x="149"/>
        <item x="29"/>
        <item x="45"/>
        <item x="58"/>
        <item x="57"/>
        <item x="7"/>
        <item x="13"/>
        <item x="0"/>
        <item x="89"/>
        <item x="5"/>
        <item x="91"/>
        <item x="27"/>
        <item x="6"/>
        <item x="142"/>
        <item x="96"/>
        <item x="137"/>
        <item x="59"/>
        <item x="86"/>
        <item x="108"/>
        <item x="20"/>
        <item x="44"/>
        <item x="40"/>
        <item x="122"/>
        <item x="72"/>
        <item x="74"/>
        <item x="126"/>
        <item x="93"/>
        <item x="106"/>
        <item x="53"/>
        <item x="132"/>
        <item x="123"/>
        <item x="42"/>
        <item x="24"/>
        <item x="125"/>
        <item x="128"/>
        <item x="37"/>
        <item x="121"/>
        <item x="4"/>
        <item x="47"/>
        <item x="115"/>
        <item x="134"/>
        <item x="118"/>
        <item x="1"/>
        <item x="19"/>
        <item x="90"/>
        <item x="85"/>
        <item t="default"/>
      </items>
    </pivotField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1"/>
    </i>
    <i>
      <x v="73"/>
    </i>
    <i>
      <x v="74"/>
    </i>
    <i>
      <x v="77"/>
    </i>
    <i>
      <x v="78"/>
    </i>
    <i>
      <x v="79"/>
    </i>
    <i>
      <x v="82"/>
    </i>
    <i>
      <x v="83"/>
    </i>
    <i>
      <x v="84"/>
    </i>
    <i>
      <x v="87"/>
    </i>
    <i>
      <x v="91"/>
    </i>
    <i>
      <x v="94"/>
    </i>
    <i>
      <x v="95"/>
    </i>
    <i>
      <x v="97"/>
    </i>
    <i>
      <x v="99"/>
    </i>
    <i>
      <x v="102"/>
    </i>
    <i>
      <x v="104"/>
    </i>
    <i>
      <x v="107"/>
    </i>
    <i>
      <x v="108"/>
    </i>
    <i>
      <x v="112"/>
    </i>
    <i>
      <x v="117"/>
    </i>
    <i>
      <x v="121"/>
    </i>
    <i>
      <x v="122"/>
    </i>
    <i>
      <x v="123"/>
    </i>
    <i>
      <x v="124"/>
    </i>
    <i>
      <x v="125"/>
    </i>
    <i>
      <x v="128"/>
    </i>
    <i>
      <x v="131"/>
    </i>
    <i>
      <x v="136"/>
    </i>
    <i>
      <x v="138"/>
    </i>
    <i>
      <x v="142"/>
    </i>
    <i>
      <x v="146"/>
    </i>
    <i>
      <x v="147"/>
    </i>
    <i>
      <x v="149"/>
    </i>
    <i>
      <x v="153"/>
    </i>
    <i>
      <x v="154"/>
    </i>
    <i t="grand">
      <x/>
    </i>
  </rowItems>
  <colItems count="1">
    <i/>
  </colItems>
  <pageFields count="1">
    <pageField fld="1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69716-10CA-4576-9E55-B7B104EA7970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4:I160" firstHeaderRow="1" firstDataRow="1" firstDataCol="1" rowPageCount="1" colPageCount="1"/>
  <pivotFields count="3">
    <pivotField axis="axisPage" numFmtId="14" multipleItemSelectionAllowed="1" showAll="0">
      <items count="323">
        <item x="90"/>
        <item x="131"/>
        <item x="284"/>
        <item x="279"/>
        <item x="107"/>
        <item x="204"/>
        <item x="306"/>
        <item x="167"/>
        <item x="300"/>
        <item x="118"/>
        <item x="225"/>
        <item x="286"/>
        <item x="174"/>
        <item x="49"/>
        <item x="80"/>
        <item x="56"/>
        <item x="57"/>
        <item x="206"/>
        <item x="226"/>
        <item x="194"/>
        <item x="136"/>
        <item x="258"/>
        <item x="83"/>
        <item h="1" x="16"/>
        <item h="1" x="125"/>
        <item h="1" x="305"/>
        <item h="1" x="299"/>
        <item h="1" x="199"/>
        <item h="1" x="241"/>
        <item h="1" x="151"/>
        <item h="1" x="148"/>
        <item h="1" x="223"/>
        <item h="1" x="252"/>
        <item h="1" x="257"/>
        <item h="1" x="287"/>
        <item h="1" x="166"/>
        <item h="1" x="86"/>
        <item h="1" x="320"/>
        <item h="1" x="188"/>
        <item h="1" x="182"/>
        <item h="1" x="251"/>
        <item h="1" x="119"/>
        <item h="1" x="321"/>
        <item h="1" x="164"/>
        <item h="1" x="126"/>
        <item h="1" x="45"/>
        <item h="1" x="253"/>
        <item h="1" x="250"/>
        <item h="1" x="135"/>
        <item h="1" x="36"/>
        <item h="1" x="177"/>
        <item h="1" x="121"/>
        <item h="1" x="237"/>
        <item h="1" x="243"/>
        <item h="1" x="193"/>
        <item h="1" x="316"/>
        <item h="1" x="178"/>
        <item h="1" x="84"/>
        <item h="1" x="77"/>
        <item h="1" x="143"/>
        <item h="1" x="50"/>
        <item h="1" x="205"/>
        <item h="1" x="209"/>
        <item h="1" x="190"/>
        <item h="1" x="171"/>
        <item h="1" x="169"/>
        <item h="1" x="277"/>
        <item h="1" x="173"/>
        <item h="1" x="293"/>
        <item h="1" x="275"/>
        <item h="1" x="52"/>
        <item h="1" x="208"/>
        <item h="1" x="130"/>
        <item h="1" x="102"/>
        <item h="1" x="295"/>
        <item h="1" x="315"/>
        <item h="1" x="25"/>
        <item h="1" x="228"/>
        <item h="1" x="104"/>
        <item h="1" x="91"/>
        <item h="1" x="184"/>
        <item h="1" x="137"/>
        <item h="1" x="191"/>
        <item h="1" x="100"/>
        <item h="1" x="0"/>
        <item h="1" x="149"/>
        <item h="1" x="238"/>
        <item h="1" x="198"/>
        <item h="1" x="19"/>
        <item h="1" x="87"/>
        <item h="1" x="219"/>
        <item h="1" x="158"/>
        <item h="1" x="280"/>
        <item h="1" x="133"/>
        <item h="1" x="242"/>
        <item h="1" x="289"/>
        <item h="1" x="161"/>
        <item h="1" x="144"/>
        <item h="1" x="259"/>
        <item h="1" x="216"/>
        <item h="1" x="248"/>
        <item h="1" x="132"/>
        <item h="1" x="282"/>
        <item h="1" x="181"/>
        <item h="1" x="254"/>
        <item h="1" x="155"/>
        <item h="1" x="313"/>
        <item h="1" x="266"/>
        <item h="1" x="168"/>
        <item h="1" x="210"/>
        <item h="1" x="88"/>
        <item h="1" x="103"/>
        <item h="1" x="265"/>
        <item h="1" x="227"/>
        <item h="1" x="69"/>
        <item h="1" x="271"/>
        <item h="1" x="109"/>
        <item h="1" x="291"/>
        <item h="1" x="274"/>
        <item h="1" x="301"/>
        <item h="1" x="304"/>
        <item h="1" x="240"/>
        <item h="1" x="8"/>
        <item h="1" x="38"/>
        <item h="1" x="298"/>
        <item h="1" x="203"/>
        <item h="1" x="129"/>
        <item h="1" x="23"/>
        <item h="1" x="116"/>
        <item h="1" x="260"/>
        <item h="1" x="256"/>
        <item h="1" x="27"/>
        <item h="1" x="75"/>
        <item h="1" x="53"/>
        <item h="1" x="154"/>
        <item h="1" x="141"/>
        <item h="1" x="140"/>
        <item h="1" x="34"/>
        <item h="1" x="28"/>
        <item h="1" x="12"/>
        <item h="1" x="273"/>
        <item h="1" x="74"/>
        <item h="1" x="89"/>
        <item h="1" x="156"/>
        <item h="1" x="215"/>
        <item h="1" x="21"/>
        <item h="1" x="183"/>
        <item h="1" x="95"/>
        <item h="1" x="235"/>
        <item h="1" x="63"/>
        <item h="1" x="41"/>
        <item h="1" x="247"/>
        <item h="1" x="311"/>
        <item h="1" x="124"/>
        <item h="1" x="268"/>
        <item h="1" x="20"/>
        <item h="1" x="123"/>
        <item h="1" x="35"/>
        <item h="1" x="106"/>
        <item h="1" x="233"/>
        <item h="1" x="142"/>
        <item h="1" x="319"/>
        <item h="1" x="278"/>
        <item h="1" x="309"/>
        <item h="1" x="189"/>
        <item h="1" x="1"/>
        <item h="1" x="211"/>
        <item h="1" x="261"/>
        <item h="1" x="66"/>
        <item h="1" x="72"/>
        <item h="1" x="244"/>
        <item h="1" x="82"/>
        <item h="1" x="302"/>
        <item h="1" x="229"/>
        <item h="1" x="314"/>
        <item h="1" x="267"/>
        <item h="1" x="196"/>
        <item h="1" x="162"/>
        <item h="1" x="71"/>
        <item h="1" x="197"/>
        <item h="1" x="111"/>
        <item h="1" x="185"/>
        <item h="1" x="281"/>
        <item h="1" x="139"/>
        <item h="1" x="179"/>
        <item h="1" x="224"/>
        <item h="1" x="195"/>
        <item h="1" x="263"/>
        <item h="1" x="230"/>
        <item h="1" x="231"/>
        <item h="1" x="207"/>
        <item h="1" x="212"/>
        <item h="1" x="307"/>
        <item h="1" x="176"/>
        <item h="1" x="68"/>
        <item h="1" x="272"/>
        <item h="1" x="186"/>
        <item h="1" x="46"/>
        <item h="1" x="283"/>
        <item h="1" x="270"/>
        <item h="1" x="288"/>
        <item h="1" x="92"/>
        <item h="1" x="222"/>
        <item h="1" x="39"/>
        <item h="1" x="214"/>
        <item h="1" x="180"/>
        <item h="1" x="150"/>
        <item h="1" x="245"/>
        <item h="1" x="79"/>
        <item h="1" x="60"/>
        <item h="1" x="146"/>
        <item h="1" x="153"/>
        <item h="1" x="59"/>
        <item h="1" x="159"/>
        <item h="1" x="120"/>
        <item h="1" x="3"/>
        <item h="1" x="61"/>
        <item h="1" x="147"/>
        <item h="1" x="310"/>
        <item h="1" x="5"/>
        <item h="1" x="48"/>
        <item h="1" x="30"/>
        <item h="1" x="200"/>
        <item h="1" x="17"/>
        <item h="1" x="4"/>
        <item h="1" x="294"/>
        <item h="1" x="85"/>
        <item h="1" x="165"/>
        <item h="1" x="115"/>
        <item h="1" x="70"/>
        <item h="1" x="37"/>
        <item h="1" x="276"/>
        <item h="1" x="114"/>
        <item h="1" x="108"/>
        <item h="1" x="285"/>
        <item h="1" x="47"/>
        <item h="1" x="81"/>
        <item h="1" x="175"/>
        <item h="1" x="292"/>
        <item h="1" x="105"/>
        <item h="1" x="239"/>
        <item h="1" x="160"/>
        <item h="1" x="290"/>
        <item h="1" x="127"/>
        <item h="1" x="318"/>
        <item h="1" x="112"/>
        <item h="1" x="31"/>
        <item h="1" x="96"/>
        <item h="1" x="128"/>
        <item h="1" x="152"/>
        <item h="1" x="42"/>
        <item h="1" x="2"/>
        <item h="1" x="51"/>
        <item h="1" x="58"/>
        <item h="1" x="220"/>
        <item h="1" x="122"/>
        <item h="1" x="317"/>
        <item h="1" x="9"/>
        <item h="1" x="246"/>
        <item h="1" x="269"/>
        <item h="1" x="97"/>
        <item h="1" x="145"/>
        <item h="1" x="297"/>
        <item h="1" x="217"/>
        <item h="1" x="232"/>
        <item h="1" x="33"/>
        <item h="1" x="78"/>
        <item h="1" x="15"/>
        <item h="1" x="10"/>
        <item h="1" x="187"/>
        <item h="1" x="312"/>
        <item h="1" x="11"/>
        <item h="1" x="134"/>
        <item h="1" x="98"/>
        <item h="1" x="26"/>
        <item h="1" x="7"/>
        <item h="1" x="67"/>
        <item h="1" x="264"/>
        <item h="1" x="192"/>
        <item h="1" x="202"/>
        <item h="1" x="157"/>
        <item h="1" x="32"/>
        <item h="1" x="64"/>
        <item h="1" x="170"/>
        <item h="1" x="249"/>
        <item h="1" x="13"/>
        <item h="1" x="62"/>
        <item h="1" x="255"/>
        <item h="1" x="54"/>
        <item h="1" x="99"/>
        <item h="1" x="101"/>
        <item h="1" x="308"/>
        <item h="1" x="93"/>
        <item h="1" x="24"/>
        <item h="1" x="163"/>
        <item h="1" x="213"/>
        <item h="1" x="221"/>
        <item h="1" x="76"/>
        <item h="1" x="303"/>
        <item h="1" x="65"/>
        <item h="1" x="44"/>
        <item h="1" x="6"/>
        <item h="1" x="113"/>
        <item h="1" x="40"/>
        <item h="1" x="296"/>
        <item h="1" x="234"/>
        <item h="1" x="262"/>
        <item h="1" x="236"/>
        <item h="1" x="22"/>
        <item h="1" x="117"/>
        <item h="1" x="138"/>
        <item h="1" x="201"/>
        <item h="1" x="55"/>
        <item h="1" x="18"/>
        <item h="1" x="94"/>
        <item h="1" x="43"/>
        <item h="1" x="14"/>
        <item h="1" x="110"/>
        <item h="1" x="218"/>
        <item h="1" x="29"/>
        <item h="1" x="172"/>
        <item h="1" x="73"/>
        <item t="default"/>
      </items>
    </pivotField>
    <pivotField showAll="0"/>
    <pivotField axis="axisRow" showAll="0">
      <items count="2624">
        <item x="1165"/>
        <item x="2483"/>
        <item x="800"/>
        <item x="271"/>
        <item x="1375"/>
        <item x="455"/>
        <item x="6"/>
        <item x="1944"/>
        <item x="2460"/>
        <item x="616"/>
        <item x="2060"/>
        <item x="2155"/>
        <item x="1559"/>
        <item x="51"/>
        <item x="1210"/>
        <item x="793"/>
        <item x="1894"/>
        <item x="290"/>
        <item x="2256"/>
        <item x="1101"/>
        <item x="1556"/>
        <item x="1372"/>
        <item x="2351"/>
        <item x="2230"/>
        <item x="1351"/>
        <item x="365"/>
        <item x="1194"/>
        <item x="975"/>
        <item x="2510"/>
        <item x="1518"/>
        <item x="1446"/>
        <item x="2594"/>
        <item x="1983"/>
        <item x="2294"/>
        <item x="2128"/>
        <item x="1164"/>
        <item x="1390"/>
        <item x="723"/>
        <item x="862"/>
        <item x="1128"/>
        <item x="808"/>
        <item x="20"/>
        <item x="1785"/>
        <item x="2056"/>
        <item x="1387"/>
        <item x="2600"/>
        <item x="1059"/>
        <item x="2199"/>
        <item x="178"/>
        <item x="1809"/>
        <item x="298"/>
        <item x="427"/>
        <item x="1236"/>
        <item x="597"/>
        <item x="2261"/>
        <item x="202"/>
        <item x="954"/>
        <item x="623"/>
        <item x="104"/>
        <item x="740"/>
        <item x="299"/>
        <item x="1140"/>
        <item x="31"/>
        <item x="445"/>
        <item x="1896"/>
        <item x="2163"/>
        <item x="353"/>
        <item x="2298"/>
        <item x="1428"/>
        <item x="2009"/>
        <item x="317"/>
        <item x="1138"/>
        <item x="1105"/>
        <item x="709"/>
        <item x="2173"/>
        <item x="1322"/>
        <item x="330"/>
        <item x="540"/>
        <item x="2513"/>
        <item x="2188"/>
        <item x="18"/>
        <item x="1545"/>
        <item x="1464"/>
        <item x="2234"/>
        <item x="1381"/>
        <item x="397"/>
        <item x="1014"/>
        <item x="1069"/>
        <item x="1127"/>
        <item x="1120"/>
        <item x="2390"/>
        <item x="1855"/>
        <item x="1392"/>
        <item x="149"/>
        <item x="1508"/>
        <item x="942"/>
        <item x="1012"/>
        <item x="1364"/>
        <item x="2420"/>
        <item x="1888"/>
        <item x="1349"/>
        <item x="1469"/>
        <item x="1701"/>
        <item x="908"/>
        <item x="1515"/>
        <item x="2370"/>
        <item x="2461"/>
        <item x="2015"/>
        <item x="752"/>
        <item x="1189"/>
        <item x="833"/>
        <item x="1770"/>
        <item x="2212"/>
        <item x="2588"/>
        <item x="1691"/>
        <item x="472"/>
        <item x="1045"/>
        <item x="2531"/>
        <item x="1624"/>
        <item x="2061"/>
        <item x="1480"/>
        <item x="318"/>
        <item x="236"/>
        <item x="1791"/>
        <item x="2392"/>
        <item x="525"/>
        <item x="494"/>
        <item x="319"/>
        <item x="264"/>
        <item x="2237"/>
        <item x="2377"/>
        <item x="2131"/>
        <item x="2358"/>
        <item x="62"/>
        <item x="1184"/>
        <item x="1977"/>
        <item x="548"/>
        <item x="2391"/>
        <item x="2561"/>
        <item x="1119"/>
        <item x="566"/>
        <item x="2062"/>
        <item x="1818"/>
        <item x="2341"/>
        <item x="518"/>
        <item x="2311"/>
        <item x="1792"/>
        <item x="1952"/>
        <item x="348"/>
        <item x="2109"/>
        <item x="331"/>
        <item x="596"/>
        <item x="1376"/>
        <item x="44"/>
        <item x="568"/>
        <item x="784"/>
        <item x="2454"/>
        <item x="2271"/>
        <item x="1987"/>
        <item x="71"/>
        <item x="1066"/>
        <item x="1070"/>
        <item x="1920"/>
        <item x="490"/>
        <item x="667"/>
        <item x="325"/>
        <item x="13"/>
        <item x="1333"/>
        <item x="673"/>
        <item x="93"/>
        <item x="2053"/>
        <item x="2419"/>
        <item x="115"/>
        <item x="1741"/>
        <item x="1300"/>
        <item x="2304"/>
        <item x="844"/>
        <item x="1055"/>
        <item x="1386"/>
        <item x="56"/>
        <item x="2427"/>
        <item x="514"/>
        <item x="835"/>
        <item x="2065"/>
        <item x="2411"/>
        <item x="12"/>
        <item x="1956"/>
        <item x="1516"/>
        <item x="1732"/>
        <item x="2359"/>
        <item x="1537"/>
        <item x="1206"/>
        <item x="1714"/>
        <item x="1519"/>
        <item x="944"/>
        <item x="564"/>
        <item x="1354"/>
        <item x="2204"/>
        <item x="164"/>
        <item x="2527"/>
        <item x="966"/>
        <item x="337"/>
        <item x="2468"/>
        <item x="114"/>
        <item x="101"/>
        <item x="434"/>
        <item x="1746"/>
        <item x="333"/>
        <item x="412"/>
        <item x="146"/>
        <item x="994"/>
        <item x="1193"/>
        <item x="293"/>
        <item x="2480"/>
        <item x="1029"/>
        <item x="481"/>
        <item x="1679"/>
        <item x="634"/>
        <item x="1836"/>
        <item x="2568"/>
        <item x="962"/>
        <item x="1823"/>
        <item x="228"/>
        <item x="474"/>
        <item x="504"/>
        <item x="2376"/>
        <item x="2453"/>
        <item x="2570"/>
        <item x="702"/>
        <item x="1906"/>
        <item x="692"/>
        <item x="1255"/>
        <item x="463"/>
        <item x="1039"/>
        <item x="456"/>
        <item x="2459"/>
        <item x="65"/>
        <item x="1340"/>
        <item x="227"/>
        <item x="1132"/>
        <item x="2339"/>
        <item x="209"/>
        <item x="1718"/>
        <item x="1629"/>
        <item x="2438"/>
        <item x="1935"/>
        <item x="515"/>
        <item x="1542"/>
        <item x="1162"/>
        <item x="2183"/>
        <item x="2263"/>
        <item x="2035"/>
        <item x="1344"/>
        <item x="695"/>
        <item x="309"/>
        <item x="859"/>
        <item x="1895"/>
        <item x="273"/>
        <item x="1734"/>
        <item x="1051"/>
        <item x="1335"/>
        <item x="2270"/>
        <item x="2476"/>
        <item x="1774"/>
        <item x="1988"/>
        <item x="2352"/>
        <item x="1043"/>
        <item x="578"/>
        <item x="2443"/>
        <item x="1416"/>
        <item x="407"/>
        <item x="418"/>
        <item x="1521"/>
        <item x="1455"/>
        <item x="446"/>
        <item x="1440"/>
        <item x="1302"/>
        <item x="480"/>
        <item x="1417"/>
        <item x="1959"/>
        <item x="630"/>
        <item x="268"/>
        <item x="393"/>
        <item x="2606"/>
        <item x="1237"/>
        <item x="324"/>
        <item x="571"/>
        <item x="777"/>
        <item x="1427"/>
        <item x="142"/>
        <item x="1307"/>
        <item x="25"/>
        <item x="1315"/>
        <item x="285"/>
        <item x="1547"/>
        <item x="1517"/>
        <item x="1102"/>
        <item x="804"/>
        <item x="1143"/>
        <item x="892"/>
        <item x="880"/>
        <item x="629"/>
        <item x="661"/>
        <item x="1080"/>
        <item x="710"/>
        <item x="2529"/>
        <item x="698"/>
        <item x="1153"/>
        <item x="1342"/>
        <item x="1526"/>
        <item x="2068"/>
        <item x="2537"/>
        <item x="94"/>
        <item x="424"/>
        <item x="2246"/>
        <item x="724"/>
        <item x="1984"/>
        <item x="1135"/>
        <item x="1207"/>
        <item x="1292"/>
        <item x="2018"/>
        <item x="477"/>
        <item x="1639"/>
        <item x="376"/>
        <item x="1478"/>
        <item x="400"/>
        <item x="1487"/>
        <item x="225"/>
        <item x="85"/>
        <item x="7"/>
        <item x="396"/>
        <item x="1180"/>
        <item x="1555"/>
        <item x="218"/>
        <item x="2469"/>
        <item x="1735"/>
        <item x="1862"/>
        <item x="151"/>
        <item x="1341"/>
        <item x="619"/>
        <item x="664"/>
        <item x="1511"/>
        <item x="1040"/>
        <item x="1563"/>
        <item x="401"/>
        <item x="987"/>
        <item x="2146"/>
        <item x="802"/>
        <item x="1360"/>
        <item x="457"/>
        <item x="460"/>
        <item x="2232"/>
        <item x="239"/>
        <item x="1215"/>
        <item x="1426"/>
        <item x="1257"/>
        <item x="47"/>
        <item x="927"/>
        <item x="1123"/>
        <item x="1922"/>
        <item x="2120"/>
        <item x="1579"/>
        <item x="417"/>
        <item x="768"/>
        <item x="1917"/>
        <item x="872"/>
        <item x="351"/>
        <item x="128"/>
        <item x="1018"/>
        <item x="26"/>
        <item x="814"/>
        <item x="1493"/>
        <item x="1853"/>
        <item x="2573"/>
        <item x="1580"/>
        <item x="1329"/>
        <item x="2457"/>
        <item x="2322"/>
        <item x="1589"/>
        <item x="1550"/>
        <item x="1226"/>
        <item x="475"/>
        <item x="2143"/>
        <item x="715"/>
        <item x="2258"/>
        <item x="843"/>
        <item x="762"/>
        <item x="948"/>
        <item x="569"/>
        <item x="2602"/>
        <item x="2431"/>
        <item x="575"/>
        <item x="1205"/>
        <item x="2499"/>
        <item x="1355"/>
        <item x="1046"/>
        <item x="304"/>
        <item x="837"/>
        <item x="2595"/>
        <item x="2566"/>
        <item x="57"/>
        <item x="2325"/>
        <item x="1220"/>
        <item x="1052"/>
        <item x="2479"/>
        <item x="1327"/>
        <item x="1828"/>
        <item x="769"/>
        <item x="282"/>
        <item x="2136"/>
        <item x="2303"/>
        <item x="527"/>
        <item x="118"/>
        <item x="877"/>
        <item x="2521"/>
        <item x="2512"/>
        <item x="2601"/>
        <item x="1125"/>
        <item x="1857"/>
        <item x="2067"/>
        <item x="253"/>
        <item x="482"/>
        <item x="722"/>
        <item x="1725"/>
        <item x="2509"/>
        <item x="1667"/>
        <item x="2397"/>
        <item x="1623"/>
        <item x="205"/>
        <item x="2121"/>
        <item x="339"/>
        <item x="2096"/>
        <item x="1889"/>
        <item x="1936"/>
        <item x="2122"/>
        <item x="1141"/>
        <item x="2374"/>
        <item x="2203"/>
        <item x="1178"/>
        <item x="2538"/>
        <item x="1109"/>
        <item x="430"/>
        <item x="1154"/>
        <item x="67"/>
        <item x="543"/>
        <item x="2306"/>
        <item x="909"/>
        <item x="1882"/>
        <item x="2501"/>
        <item x="688"/>
        <item x="1485"/>
        <item x="1217"/>
        <item x="1405"/>
        <item x="967"/>
        <item x="1299"/>
        <item x="403"/>
        <item x="203"/>
        <item x="1651"/>
        <item x="158"/>
        <item x="739"/>
        <item x="869"/>
        <item x="1524"/>
        <item x="126"/>
        <item x="1527"/>
        <item x="947"/>
        <item x="2006"/>
        <item x="1597"/>
        <item x="956"/>
        <item x="232"/>
        <item x="1662"/>
        <item x="2026"/>
        <item x="2045"/>
        <item x="556"/>
        <item x="665"/>
        <item x="1181"/>
        <item x="2205"/>
        <item x="385"/>
        <item x="2456"/>
        <item x="986"/>
        <item x="1945"/>
        <item x="252"/>
        <item x="451"/>
        <item x="887"/>
        <item x="343"/>
        <item x="2150"/>
        <item x="138"/>
        <item x="1383"/>
        <item x="52"/>
        <item x="1361"/>
        <item x="281"/>
        <item x="2013"/>
        <item x="1318"/>
        <item x="2495"/>
        <item x="347"/>
        <item x="1445"/>
        <item x="2373"/>
        <item x="2318"/>
        <item x="658"/>
        <item x="971"/>
        <item x="774"/>
        <item x="1137"/>
        <item x="1880"/>
        <item x="250"/>
        <item x="651"/>
        <item x="707"/>
        <item x="1787"/>
        <item x="2004"/>
        <item x="1993"/>
        <item x="1923"/>
        <item x="1868"/>
        <item x="140"/>
        <item x="1395"/>
        <item x="1483"/>
        <item x="2175"/>
        <item x="2610"/>
        <item x="748"/>
        <item x="1873"/>
        <item x="1188"/>
        <item x="1006"/>
        <item x="620"/>
        <item x="1748"/>
        <item x="1332"/>
        <item x="185"/>
        <item x="340"/>
        <item x="2076"/>
        <item x="2464"/>
        <item x="2206"/>
        <item x="157"/>
        <item x="95"/>
        <item x="221"/>
        <item x="536"/>
        <item x="813"/>
        <item x="2023"/>
        <item x="526"/>
        <item x="0"/>
        <item x="2031"/>
        <item x="1497"/>
        <item x="360"/>
        <item x="2040"/>
        <item x="2375"/>
        <item x="1879"/>
        <item x="2176"/>
        <item x="1297"/>
        <item x="1595"/>
        <item x="649"/>
        <item x="39"/>
        <item x="111"/>
        <item x="2475"/>
        <item x="1491"/>
        <item x="1196"/>
        <item x="63"/>
        <item x="1919"/>
        <item x="669"/>
        <item x="982"/>
        <item x="2224"/>
        <item x="32"/>
        <item x="2452"/>
        <item x="1131"/>
        <item x="1007"/>
        <item x="552"/>
        <item x="2516"/>
        <item x="2198"/>
        <item x="421"/>
        <item x="1860"/>
        <item x="1278"/>
        <item x="640"/>
        <item x="416"/>
        <item x="2564"/>
        <item x="452"/>
        <item x="2149"/>
        <item x="1010"/>
        <item x="1247"/>
        <item x="1648"/>
        <item x="402"/>
        <item x="433"/>
        <item x="2541"/>
        <item x="713"/>
        <item x="1643"/>
        <item x="1928"/>
        <item x="1850"/>
        <item x="321"/>
        <item x="1191"/>
        <item x="832"/>
        <item x="551"/>
        <item x="1657"/>
        <item x="1266"/>
        <item x="2113"/>
        <item x="2090"/>
        <item x="2617"/>
        <item x="341"/>
        <item x="212"/>
        <item x="1991"/>
        <item x="336"/>
        <item x="1453"/>
        <item x="639"/>
        <item x="50"/>
        <item x="1681"/>
        <item x="191"/>
        <item x="363"/>
        <item x="2587"/>
        <item x="2357"/>
        <item x="1028"/>
        <item x="606"/>
        <item x="159"/>
        <item x="2285"/>
        <item x="442"/>
        <item x="1532"/>
        <item x="277"/>
        <item x="2618"/>
        <item x="1540"/>
        <item x="58"/>
        <item x="1939"/>
        <item x="960"/>
        <item x="206"/>
        <item x="1199"/>
        <item x="1891"/>
        <item x="1373"/>
        <item x="240"/>
        <item x="2250"/>
        <item x="755"/>
        <item x="2142"/>
        <item x="632"/>
        <item x="1019"/>
        <item x="2324"/>
        <item x="1347"/>
        <item x="853"/>
        <item x="946"/>
        <item x="198"/>
        <item x="696"/>
        <item x="934"/>
        <item x="846"/>
        <item x="546"/>
        <item x="990"/>
        <item x="522"/>
        <item x="1111"/>
        <item x="1249"/>
        <item x="765"/>
        <item x="1168"/>
        <item x="5"/>
        <item x="807"/>
        <item x="2604"/>
        <item x="1631"/>
        <item x="2422"/>
        <item x="135"/>
        <item x="1566"/>
        <item x="1584"/>
        <item x="174"/>
        <item x="1522"/>
        <item x="2014"/>
        <item x="1757"/>
        <item x="2407"/>
        <item x="848"/>
        <item x="1241"/>
        <item x="1208"/>
        <item x="465"/>
        <item x="288"/>
        <item x="1573"/>
        <item x="11"/>
        <item x="1612"/>
        <item x="1706"/>
        <item x="1884"/>
        <item x="1546"/>
        <item x="213"/>
        <item x="825"/>
        <item x="2180"/>
        <item x="1914"/>
        <item x="863"/>
        <item x="48"/>
        <item x="1258"/>
        <item x="2219"/>
        <item x="2455"/>
        <item x="69"/>
        <item x="344"/>
        <item x="1245"/>
        <item x="473"/>
        <item x="2331"/>
        <item x="1538"/>
        <item x="1212"/>
        <item x="943"/>
        <item x="935"/>
        <item x="2257"/>
        <item x="2403"/>
        <item x="1656"/>
        <item x="1841"/>
        <item x="1477"/>
        <item x="1283"/>
        <item x="2379"/>
        <item x="415"/>
        <item x="411"/>
        <item x="2556"/>
        <item x="1424"/>
        <item x="24"/>
        <item x="1256"/>
        <item x="1614"/>
        <item x="879"/>
        <item x="2553"/>
        <item x="2437"/>
        <item x="308"/>
        <item x="33"/>
        <item x="1041"/>
        <item x="1311"/>
        <item x="2027"/>
        <item x="2388"/>
        <item x="733"/>
        <item x="2514"/>
        <item x="2384"/>
        <item x="471"/>
        <item x="2502"/>
        <item x="885"/>
        <item x="2050"/>
        <item x="214"/>
        <item x="1560"/>
        <item x="1509"/>
        <item x="1013"/>
        <item x="874"/>
        <item x="2229"/>
        <item x="1621"/>
        <item x="204"/>
        <item x="2620"/>
        <item x="2609"/>
        <item x="1145"/>
        <item x="2571"/>
        <item x="925"/>
        <item x="1240"/>
        <item x="1644"/>
        <item x="1908"/>
        <item x="2430"/>
        <item x="541"/>
        <item x="314"/>
        <item x="857"/>
        <item x="2401"/>
        <item x="1452"/>
        <item x="440"/>
        <item x="2327"/>
        <item x="1985"/>
        <item x="1867"/>
        <item x="1435"/>
        <item x="76"/>
        <item x="2148"/>
        <item x="1091"/>
        <item x="367"/>
        <item x="168"/>
        <item x="1087"/>
        <item x="836"/>
        <item x="931"/>
        <item x="1553"/>
        <item x="283"/>
        <item x="171"/>
        <item x="345"/>
        <item x="1157"/>
        <item x="1800"/>
        <item x="988"/>
        <item x="2001"/>
        <item x="559"/>
        <item x="680"/>
        <item x="867"/>
        <item x="895"/>
        <item x="186"/>
        <item x="1795"/>
        <item x="1754"/>
        <item x="66"/>
        <item x="1772"/>
        <item x="1507"/>
        <item x="1819"/>
        <item x="1005"/>
        <item x="60"/>
        <item x="557"/>
        <item x="1309"/>
        <item x="1108"/>
        <item x="1175"/>
        <item x="355"/>
        <item x="735"/>
        <item x="1061"/>
        <item x="258"/>
        <item x="259"/>
        <item x="2471"/>
        <item x="1044"/>
        <item x="772"/>
        <item x="917"/>
        <item x="2157"/>
        <item x="2112"/>
        <item x="1948"/>
        <item x="984"/>
        <item x="1743"/>
        <item x="2548"/>
        <item x="2057"/>
        <item x="998"/>
        <item x="73"/>
        <item x="798"/>
        <item x="1223"/>
        <item x="595"/>
        <item x="1170"/>
        <item x="953"/>
        <item x="2421"/>
        <item x="2400"/>
        <item x="1801"/>
        <item x="2209"/>
        <item x="162"/>
        <item x="1505"/>
        <item x="888"/>
        <item x="2267"/>
        <item x="838"/>
        <item x="544"/>
        <item x="1609"/>
        <item x="591"/>
        <item x="1113"/>
        <item x="1611"/>
        <item x="1134"/>
        <item x="896"/>
        <item x="1248"/>
        <item x="83"/>
        <item x="260"/>
        <item x="1270"/>
        <item x="963"/>
        <item x="2520"/>
        <item x="8"/>
        <item x="1488"/>
        <item x="1596"/>
        <item x="615"/>
        <item x="354"/>
        <item x="1969"/>
        <item x="1462"/>
        <item x="1606"/>
        <item x="1367"/>
        <item x="600"/>
        <item x="1365"/>
        <item x="1353"/>
        <item x="965"/>
        <item x="179"/>
        <item x="1677"/>
        <item x="1473"/>
        <item x="1343"/>
        <item x="196"/>
        <item x="274"/>
        <item x="17"/>
        <item x="2338"/>
        <item x="2207"/>
        <item x="1905"/>
        <item x="823"/>
        <item x="870"/>
        <item x="86"/>
        <item x="99"/>
        <item x="520"/>
        <item x="1033"/>
        <item x="284"/>
        <item x="1305"/>
        <item x="2020"/>
        <item x="361"/>
        <item x="394"/>
        <item x="1252"/>
        <item x="1183"/>
        <item x="1034"/>
        <item x="338"/>
        <item x="2394"/>
        <item x="2073"/>
        <item x="2"/>
        <item x="263"/>
        <item x="108"/>
        <item x="1152"/>
        <item x="382"/>
        <item x="1568"/>
        <item x="356"/>
        <item x="1003"/>
        <item x="2350"/>
        <item x="1852"/>
        <item x="2030"/>
        <item x="2429"/>
        <item x="945"/>
        <item x="1038"/>
        <item x="2498"/>
        <item x="1726"/>
        <item x="2305"/>
        <item x="2159"/>
        <item x="921"/>
        <item x="894"/>
        <item x="2330"/>
        <item x="2500"/>
        <item x="1608"/>
        <item x="2315"/>
        <item x="1998"/>
        <item x="1461"/>
        <item x="1002"/>
        <item x="2355"/>
        <item x="2569"/>
        <item x="381"/>
        <item x="2447"/>
        <item x="145"/>
        <item x="803"/>
        <item x="2321"/>
        <item x="2343"/>
        <item x="2535"/>
        <item x="292"/>
        <item x="893"/>
        <item x="2005"/>
        <item x="1940"/>
        <item x="1064"/>
        <item x="2506"/>
        <item x="102"/>
        <item x="307"/>
        <item x="395"/>
        <item x="294"/>
        <item x="1844"/>
        <item x="2473"/>
        <item x="1982"/>
        <item x="208"/>
        <item x="1471"/>
        <item x="712"/>
        <item x="2266"/>
        <item x="2222"/>
        <item x="955"/>
        <item x="2507"/>
        <item x="1957"/>
        <item x="97"/>
        <item x="1274"/>
        <item x="1768"/>
        <item x="1000"/>
        <item x="485"/>
        <item x="912"/>
        <item x="2195"/>
        <item x="139"/>
        <item x="2367"/>
        <item x="1816"/>
        <item x="875"/>
        <item x="459"/>
        <item x="1412"/>
        <item x="1118"/>
        <item x="1821"/>
        <item x="1078"/>
        <item x="1398"/>
        <item x="1408"/>
        <item x="1037"/>
        <item x="553"/>
        <item x="1804"/>
        <item x="2386"/>
        <item x="1750"/>
        <item x="1490"/>
        <item x="506"/>
        <item x="2576"/>
        <item x="1571"/>
        <item x="805"/>
        <item x="2041"/>
        <item x="1916"/>
        <item x="406"/>
        <item x="127"/>
        <item x="1564"/>
        <item x="2097"/>
        <item x="211"/>
        <item x="516"/>
        <item x="1077"/>
        <item x="1268"/>
        <item x="1590"/>
        <item x="470"/>
        <item x="2055"/>
        <item x="1117"/>
        <item x="219"/>
        <item x="638"/>
        <item x="1036"/>
        <item x="2565"/>
        <item x="718"/>
        <item x="35"/>
        <item x="2414"/>
        <item x="1466"/>
        <item x="2044"/>
        <item x="1881"/>
        <item x="1431"/>
        <item x="155"/>
        <item x="1092"/>
        <item x="297"/>
        <item x="409"/>
        <item x="840"/>
        <item x="332"/>
        <item x="80"/>
        <item x="2381"/>
        <item x="266"/>
        <item x="1534"/>
        <item x="2036"/>
        <item x="818"/>
        <item x="498"/>
        <item x="1071"/>
        <item x="173"/>
        <item x="1290"/>
        <item x="2092"/>
        <item x="2082"/>
        <item x="2047"/>
        <item x="384"/>
        <item x="1599"/>
        <item x="1786"/>
        <item x="489"/>
        <item x="1909"/>
        <item x="1788"/>
        <item x="53"/>
        <item x="220"/>
        <item x="754"/>
        <item x="1176"/>
        <item x="590"/>
        <item x="2369"/>
        <item x="1169"/>
        <item x="721"/>
        <item x="234"/>
        <item x="502"/>
        <item x="379"/>
        <item x="1885"/>
        <item x="2418"/>
        <item x="2299"/>
        <item x="153"/>
        <item x="1086"/>
        <item x="891"/>
        <item x="1520"/>
        <item x="113"/>
        <item x="2530"/>
        <item x="369"/>
        <item x="1687"/>
        <item x="2160"/>
        <item x="1449"/>
        <item x="1964"/>
        <item x="327"/>
        <item x="1990"/>
        <item x="580"/>
        <item x="1288"/>
        <item x="176"/>
        <item x="1031"/>
        <item x="1620"/>
        <item x="1295"/>
        <item x="1865"/>
        <item x="864"/>
        <item x="1149"/>
        <item x="690"/>
        <item x="2170"/>
        <item x="1358"/>
        <item x="2574"/>
        <item x="2451"/>
        <item x="2616"/>
        <item x="587"/>
        <item x="1362"/>
        <item x="383"/>
        <item x="1749"/>
        <item x="77"/>
        <item x="1514"/>
        <item x="420"/>
        <item x="1737"/>
        <item x="995"/>
        <item x="501"/>
        <item x="1598"/>
        <item x="2619"/>
        <item x="824"/>
        <item x="210"/>
        <item x="1502"/>
        <item x="150"/>
        <item x="1536"/>
        <item x="1707"/>
        <item x="2117"/>
        <item x="2115"/>
        <item x="2172"/>
        <item x="1594"/>
        <item x="1762"/>
        <item x="443"/>
        <item x="125"/>
        <item x="811"/>
        <item x="1642"/>
        <item x="1104"/>
        <item x="2182"/>
        <item x="392"/>
        <item x="856"/>
        <item x="573"/>
        <item x="1543"/>
        <item x="2191"/>
        <item x="1147"/>
        <item x="19"/>
        <item x="1429"/>
        <item x="1712"/>
        <item x="130"/>
        <item x="124"/>
        <item x="763"/>
        <item x="1653"/>
        <item x="1510"/>
        <item x="1849"/>
        <item x="1239"/>
        <item x="653"/>
        <item x="2597"/>
        <item x="903"/>
        <item x="1459"/>
        <item x="1975"/>
        <item x="1352"/>
        <item x="1731"/>
        <item x="2293"/>
        <item x="1465"/>
        <item x="778"/>
        <item x="2126"/>
        <item x="855"/>
        <item x="2484"/>
        <item x="461"/>
        <item x="334"/>
        <item x="1084"/>
        <item x="2238"/>
        <item x="2309"/>
        <item x="1139"/>
        <item x="628"/>
        <item x="1142"/>
        <item x="2171"/>
        <item x="278"/>
        <item x="924"/>
        <item x="1904"/>
        <item x="2284"/>
        <item x="1451"/>
        <item x="1304"/>
        <item x="900"/>
        <item x="1689"/>
        <item x="2297"/>
        <item x="1467"/>
        <item x="727"/>
        <item x="2301"/>
        <item x="122"/>
        <item x="1448"/>
        <item x="1032"/>
        <item x="787"/>
        <item x="1203"/>
        <item x="1778"/>
        <item x="1951"/>
        <item x="30"/>
        <item x="2011"/>
        <item x="533"/>
        <item x="704"/>
        <item x="300"/>
        <item x="2241"/>
        <item x="1260"/>
        <item x="1439"/>
        <item x="2399"/>
        <item x="248"/>
        <item x="238"/>
        <item x="2132"/>
        <item x="72"/>
        <item x="1321"/>
        <item x="2147"/>
        <item x="539"/>
        <item x="1875"/>
        <item x="1572"/>
        <item x="812"/>
        <item x="2486"/>
        <item x="123"/>
        <item x="1083"/>
        <item x="635"/>
        <item x="64"/>
        <item x="1216"/>
        <item x="388"/>
        <item x="431"/>
        <item x="1017"/>
        <item x="326"/>
        <item x="1404"/>
        <item x="1374"/>
        <item x="1187"/>
        <item x="1941"/>
        <item x="226"/>
        <item x="1126"/>
        <item x="375"/>
        <item x="920"/>
        <item x="2003"/>
        <item x="1234"/>
        <item x="2083"/>
        <item x="79"/>
        <item x="441"/>
        <item x="2589"/>
        <item x="2439"/>
        <item x="2599"/>
        <item x="1803"/>
        <item x="1481"/>
        <item x="992"/>
        <item x="819"/>
        <item x="1913"/>
        <item x="2165"/>
        <item x="1719"/>
        <item x="2310"/>
        <item x="15"/>
        <item x="1710"/>
        <item x="117"/>
        <item x="1436"/>
        <item x="981"/>
        <item x="1761"/>
        <item x="1709"/>
        <item x="2141"/>
        <item x="1072"/>
        <item x="40"/>
        <item x="842"/>
        <item x="1470"/>
        <item x="974"/>
        <item x="2462"/>
        <item x="2539"/>
        <item x="244"/>
        <item x="2189"/>
        <item x="759"/>
        <item x="1702"/>
        <item x="74"/>
        <item x="2545"/>
        <item x="2105"/>
        <item x="1229"/>
        <item x="1009"/>
        <item x="2313"/>
        <item x="1232"/>
        <item x="2037"/>
        <item x="693"/>
        <item x="1275"/>
        <item x="1172"/>
        <item x="1552"/>
        <item x="622"/>
        <item x="611"/>
        <item x="1674"/>
        <item x="1617"/>
        <item x="2426"/>
        <item x="1182"/>
        <item x="2217"/>
        <item x="2540"/>
        <item x="2448"/>
        <item x="2308"/>
        <item x="87"/>
        <item x="2371"/>
        <item x="192"/>
        <item x="1811"/>
        <item x="821"/>
        <item x="1864"/>
        <item x="675"/>
        <item x="96"/>
        <item x="1723"/>
        <item x="1549"/>
        <item x="2467"/>
        <item x="201"/>
        <item x="699"/>
        <item x="2085"/>
        <item x="1635"/>
        <item x="54"/>
        <item x="2497"/>
        <item x="1592"/>
        <item x="2100"/>
        <item x="199"/>
        <item x="1817"/>
        <item x="2465"/>
        <item x="904"/>
        <item x="1933"/>
        <item x="286"/>
        <item x="691"/>
        <item x="936"/>
        <item x="1433"/>
        <item x="703"/>
        <item x="809"/>
        <item x="2402"/>
        <item x="831"/>
        <item x="59"/>
        <item x="1637"/>
        <item x="1577"/>
        <item x="1379"/>
        <item x="1641"/>
        <item x="22"/>
        <item x="585"/>
        <item x="1048"/>
        <item x="788"/>
        <item x="961"/>
        <item x="655"/>
        <item x="1588"/>
        <item x="760"/>
        <item x="910"/>
        <item x="2033"/>
        <item x="1604"/>
        <item x="175"/>
        <item x="2021"/>
        <item x="1700"/>
        <item x="2259"/>
        <item x="617"/>
        <item x="1626"/>
        <item x="1363"/>
        <item x="1901"/>
        <item x="2070"/>
        <item x="1337"/>
        <item x="2287"/>
        <item x="1769"/>
        <item x="2580"/>
        <item x="2254"/>
        <item x="602"/>
        <item x="398"/>
        <item x="1213"/>
        <item x="2485"/>
        <item x="685"/>
        <item x="413"/>
        <item x="2089"/>
        <item x="487"/>
        <item x="2196"/>
        <item x="758"/>
        <item x="1541"/>
        <item x="1218"/>
        <item x="1565"/>
        <item x="766"/>
        <item x="2269"/>
        <item x="2276"/>
        <item x="1325"/>
        <item x="1225"/>
        <item x="2472"/>
        <item x="2445"/>
        <item x="854"/>
        <item x="2329"/>
        <item x="2249"/>
        <item x="999"/>
        <item x="289"/>
        <item x="2049"/>
        <item x="1721"/>
        <item x="224"/>
        <item x="2010"/>
        <item x="34"/>
        <item x="1999"/>
        <item x="378"/>
        <item x="2283"/>
        <item x="753"/>
        <item x="2007"/>
        <item x="1388"/>
        <item x="1561"/>
        <item x="1442"/>
        <item x="826"/>
        <item x="2405"/>
        <item x="2335"/>
        <item x="2478"/>
        <item x="1430"/>
        <item x="923"/>
        <item x="2102"/>
        <item x="647"/>
        <item x="1523"/>
        <item x="230"/>
        <item x="1932"/>
        <item x="1833"/>
        <item x="1845"/>
        <item x="513"/>
        <item x="1263"/>
        <item x="839"/>
        <item x="2244"/>
        <item x="662"/>
        <item x="1401"/>
        <item x="561"/>
        <item x="1074"/>
        <item x="141"/>
        <item x="941"/>
        <item x="1670"/>
        <item x="612"/>
        <item x="2042"/>
        <item x="2578"/>
        <item x="2382"/>
        <item x="2551"/>
        <item x="1272"/>
        <item x="510"/>
        <item x="734"/>
        <item x="567"/>
        <item x="2583"/>
        <item x="1728"/>
        <item x="1"/>
        <item x="1717"/>
        <item x="700"/>
        <item x="2078"/>
        <item x="2063"/>
        <item x="1222"/>
        <item x="2349"/>
        <item x="1672"/>
        <item x="1093"/>
        <item x="608"/>
        <item x="789"/>
        <item x="295"/>
        <item x="464"/>
        <item x="1023"/>
        <item x="137"/>
        <item x="1699"/>
        <item x="1688"/>
        <item x="1724"/>
        <item x="1625"/>
        <item x="350"/>
        <item x="2177"/>
        <item x="2491"/>
        <item x="983"/>
        <item x="1513"/>
        <item x="1911"/>
        <item x="2025"/>
        <item x="1814"/>
        <item x="2111"/>
        <item x="1136"/>
        <item x="16"/>
        <item x="1745"/>
        <item x="1334"/>
        <item x="1591"/>
        <item x="1989"/>
        <item x="1615"/>
        <item x="358"/>
        <item x="949"/>
        <item x="78"/>
        <item x="1715"/>
        <item x="1722"/>
        <item x="1306"/>
        <item x="2346"/>
        <item x="2144"/>
        <item x="1276"/>
        <item x="1779"/>
        <item x="493"/>
        <item x="1250"/>
        <item x="2364"/>
        <item x="922"/>
        <item x="1528"/>
        <item x="23"/>
        <item x="1799"/>
        <item x="261"/>
        <item x="742"/>
        <item x="1177"/>
        <item x="1454"/>
        <item x="663"/>
        <item x="1838"/>
        <item x="684"/>
        <item x="1854"/>
        <item x="679"/>
        <item x="776"/>
        <item x="1934"/>
        <item x="1506"/>
        <item x="492"/>
        <item x="1406"/>
        <item x="799"/>
        <item x="1219"/>
        <item x="2492"/>
        <item x="1690"/>
        <item x="2533"/>
        <item x="134"/>
        <item x="2179"/>
        <item x="1601"/>
        <item x="2022"/>
        <item x="865"/>
        <item x="310"/>
        <item x="1878"/>
        <item x="1238"/>
        <item x="2151"/>
        <item x="180"/>
        <item x="1586"/>
        <item x="2328"/>
        <item x="1574"/>
        <item x="233"/>
        <item x="830"/>
        <item x="1781"/>
        <item x="2190"/>
        <item x="37"/>
        <item x="706"/>
        <item x="2615"/>
        <item x="2353"/>
        <item x="131"/>
        <item x="2289"/>
        <item x="1531"/>
        <item x="1144"/>
        <item x="604"/>
        <item x="197"/>
        <item x="582"/>
        <item x="169"/>
        <item x="1618"/>
        <item x="1476"/>
        <item x="1437"/>
        <item x="1758"/>
        <item x="1298"/>
        <item x="486"/>
        <item x="1981"/>
        <item x="1646"/>
        <item x="1851"/>
        <item x="1115"/>
        <item x="1100"/>
        <item x="1751"/>
        <item x="352"/>
        <item x="154"/>
        <item x="648"/>
        <item x="2440"/>
        <item x="449"/>
        <item x="532"/>
        <item x="929"/>
        <item x="2051"/>
        <item x="2213"/>
        <item x="780"/>
        <item x="2560"/>
        <item x="1482"/>
        <item x="1937"/>
        <item x="1569"/>
        <item x="251"/>
        <item x="2372"/>
        <item x="2123"/>
        <item x="1789"/>
        <item x="1970"/>
        <item x="1371"/>
        <item x="1479"/>
        <item x="1394"/>
        <item x="1314"/>
        <item x="500"/>
        <item x="2559"/>
        <item x="897"/>
        <item x="1633"/>
        <item x="588"/>
        <item x="243"/>
        <item x="849"/>
        <item x="1359"/>
        <item x="1171"/>
        <item x="389"/>
        <item x="1396"/>
        <item x="2348"/>
        <item x="1384"/>
        <item x="1312"/>
        <item x="133"/>
        <item x="1062"/>
        <item x="426"/>
        <item x="41"/>
        <item x="2417"/>
        <item x="2000"/>
        <item x="530"/>
        <item x="1434"/>
        <item x="2262"/>
        <item x="676"/>
        <item x="2336"/>
        <item x="589"/>
        <item x="1622"/>
        <item x="1866"/>
        <item x="4"/>
        <item x="1912"/>
        <item x="1026"/>
        <item x="1151"/>
        <item x="320"/>
        <item x="92"/>
        <item x="447"/>
        <item x="1929"/>
        <item x="279"/>
        <item x="1650"/>
        <item x="370"/>
        <item x="1391"/>
        <item x="2342"/>
        <item x="14"/>
        <item x="1214"/>
        <item x="156"/>
        <item x="866"/>
        <item x="29"/>
        <item x="2592"/>
        <item x="636"/>
        <item x="166"/>
        <item x="705"/>
        <item x="484"/>
        <item x="435"/>
        <item x="2106"/>
        <item x="454"/>
        <item x="1807"/>
        <item x="177"/>
        <item x="1243"/>
        <item x="720"/>
        <item x="195"/>
        <item x="1640"/>
        <item x="1294"/>
        <item x="2393"/>
        <item x="1021"/>
        <item x="686"/>
        <item x="2243"/>
        <item x="2017"/>
        <item x="1356"/>
        <item x="1432"/>
        <item x="1512"/>
        <item x="2525"/>
        <item x="2039"/>
        <item x="801"/>
        <item x="1826"/>
        <item x="1529"/>
        <item x="2319"/>
        <item x="2145"/>
        <item x="1930"/>
        <item x="2366"/>
        <item x="731"/>
        <item x="1780"/>
        <item x="1201"/>
        <item x="190"/>
        <item x="167"/>
        <item x="1533"/>
        <item x="1784"/>
        <item x="2281"/>
        <item x="601"/>
        <item x="2412"/>
        <item x="1053"/>
        <item x="1054"/>
        <item x="1695"/>
        <item x="1076"/>
        <item x="144"/>
        <item x="1035"/>
        <item x="644"/>
        <item x="2295"/>
        <item x="152"/>
        <item x="701"/>
        <item x="796"/>
        <item x="2470"/>
        <item x="1659"/>
        <item x="1979"/>
        <item x="609"/>
        <item x="1638"/>
        <item x="1755"/>
        <item x="618"/>
        <item x="172"/>
        <item x="1808"/>
        <item x="2227"/>
        <item x="305"/>
        <item x="1504"/>
        <item x="2208"/>
        <item x="479"/>
        <item x="2034"/>
        <item x="2550"/>
        <item x="1797"/>
        <item x="2302"/>
        <item x="2028"/>
        <item x="1856"/>
        <item x="1385"/>
        <item x="1173"/>
        <item x="555"/>
        <item x="1890"/>
        <item x="1972"/>
        <item x="89"/>
        <item x="858"/>
        <item x="1269"/>
        <item x="2081"/>
        <item x="2119"/>
        <item x="952"/>
        <item x="1458"/>
        <item x="1350"/>
        <item x="1924"/>
        <item x="1097"/>
        <item x="1740"/>
        <item x="1296"/>
        <item x="1874"/>
        <item x="979"/>
        <item x="1400"/>
        <item x="2104"/>
        <item x="2211"/>
        <item x="2368"/>
        <item x="1764"/>
        <item x="1705"/>
        <item x="2103"/>
        <item x="1418"/>
        <item x="697"/>
        <item x="301"/>
        <item x="148"/>
        <item x="2058"/>
        <item x="291"/>
        <item x="926"/>
        <item x="302"/>
        <item x="2187"/>
        <item x="2508"/>
        <item x="1179"/>
        <item x="2344"/>
        <item x="613"/>
        <item x="2547"/>
        <item x="815"/>
        <item x="751"/>
        <item x="749"/>
        <item x="1835"/>
        <item x="1870"/>
        <item x="1965"/>
        <item x="2607"/>
        <item x="750"/>
        <item x="429"/>
        <item x="366"/>
        <item x="1320"/>
        <item x="1996"/>
        <item x="1319"/>
        <item x="790"/>
        <item x="2139"/>
        <item x="425"/>
        <item x="624"/>
        <item x="2441"/>
        <item x="1837"/>
        <item x="112"/>
        <item x="1562"/>
        <item x="1082"/>
        <item x="2218"/>
        <item x="2410"/>
        <item x="505"/>
        <item x="1892"/>
        <item x="1669"/>
        <item x="1346"/>
        <item x="907"/>
        <item x="1280"/>
        <item x="2524"/>
        <item x="678"/>
        <item x="1668"/>
        <item x="1004"/>
        <item x="845"/>
        <item x="1231"/>
        <item x="977"/>
        <item x="728"/>
        <item x="2378"/>
        <item x="1336"/>
        <item x="2332"/>
        <item x="1253"/>
        <item x="38"/>
        <item x="163"/>
        <item x="785"/>
        <item x="1765"/>
        <item x="1839"/>
        <item x="1973"/>
        <item x="2519"/>
        <item x="708"/>
        <item x="1414"/>
        <item x="1995"/>
        <item x="1886"/>
        <item x="1438"/>
        <item x="2333"/>
        <item x="90"/>
        <item x="1815"/>
        <item x="2555"/>
        <item x="2579"/>
        <item x="898"/>
        <item x="2064"/>
        <item x="316"/>
        <item x="2201"/>
        <item x="2278"/>
        <item x="1966"/>
        <item x="2347"/>
        <item x="1812"/>
        <item x="27"/>
        <item x="817"/>
        <item x="249"/>
        <item x="1494"/>
        <item x="2389"/>
        <item x="2432"/>
        <item x="1980"/>
        <item x="535"/>
        <item x="1978"/>
        <item x="810"/>
        <item x="374"/>
        <item x="1166"/>
        <item x="1829"/>
        <item x="2075"/>
        <item x="603"/>
        <item x="2091"/>
        <item x="3"/>
        <item x="1022"/>
        <item x="2466"/>
        <item x="2280"/>
        <item x="2220"/>
        <item x="1949"/>
        <item x="462"/>
        <item x="1776"/>
        <item x="235"/>
        <item x="1759"/>
        <item x="1684"/>
        <item x="2408"/>
        <item x="1898"/>
        <item x="2107"/>
        <item x="1682"/>
        <item x="716"/>
        <item x="2032"/>
        <item x="993"/>
        <item x="1942"/>
        <item x="2127"/>
        <item x="280"/>
        <item x="1124"/>
        <item x="2277"/>
        <item x="1858"/>
        <item x="436"/>
        <item x="2043"/>
        <item x="200"/>
        <item x="2087"/>
        <item x="1366"/>
        <item x="2260"/>
        <item x="1820"/>
        <item x="687"/>
        <item x="1926"/>
        <item x="1259"/>
        <item x="1475"/>
        <item x="2116"/>
        <item x="1167"/>
        <item x="2442"/>
        <item x="2312"/>
        <item x="254"/>
        <item x="448"/>
        <item x="270"/>
        <item x="985"/>
        <item x="1235"/>
        <item x="1130"/>
        <item x="1090"/>
        <item x="2487"/>
        <item x="1085"/>
        <item x="738"/>
        <item x="2522"/>
        <item x="386"/>
        <item x="2066"/>
        <item x="770"/>
        <item x="782"/>
        <item x="538"/>
        <item x="562"/>
        <item x="1328"/>
        <item x="2523"/>
        <item x="1954"/>
        <item x="183"/>
        <item x="1468"/>
        <item x="1450"/>
        <item x="1279"/>
        <item x="453"/>
        <item x="550"/>
        <item x="1503"/>
        <item x="1897"/>
        <item x="1186"/>
        <item x="1185"/>
        <item x="444"/>
        <item x="997"/>
        <item x="1825"/>
        <item x="1380"/>
        <item x="884"/>
        <item x="2536"/>
        <item x="1159"/>
        <item x="262"/>
        <item x="2161"/>
        <item x="1202"/>
        <item x="2242"/>
        <item x="2214"/>
        <item x="1946"/>
        <item x="668"/>
        <item x="1869"/>
        <item x="1230"/>
        <item x="1316"/>
        <item x="1600"/>
        <item x="1727"/>
        <item x="1602"/>
        <item x="1739"/>
        <item x="2108"/>
        <item x="81"/>
        <item x="194"/>
        <item x="933"/>
        <item x="222"/>
        <item x="744"/>
        <item x="1020"/>
        <item x="1634"/>
        <item x="932"/>
        <item x="642"/>
        <item x="1558"/>
        <item x="2307"/>
        <item x="1976"/>
        <item x="654"/>
        <item x="181"/>
        <item x="576"/>
        <item x="2488"/>
        <item x="362"/>
        <item x="1261"/>
        <item x="841"/>
        <item x="1666"/>
        <item x="670"/>
        <item x="1925"/>
        <item x="2231"/>
        <item x="873"/>
        <item x="1228"/>
        <item x="2094"/>
        <item x="2233"/>
        <item x="2428"/>
        <item x="1960"/>
        <item x="1484"/>
        <item x="267"/>
        <item x="861"/>
        <item x="2611"/>
        <item x="1697"/>
        <item x="223"/>
        <item x="184"/>
        <item x="786"/>
        <item x="229"/>
        <item x="2562"/>
        <item x="2552"/>
        <item x="2593"/>
        <item x="2046"/>
        <item x="2546"/>
        <item x="1420"/>
        <item x="2494"/>
        <item x="1326"/>
        <item x="1744"/>
        <item x="509"/>
        <item x="725"/>
        <item x="2079"/>
        <item x="545"/>
        <item x="1495"/>
        <item x="438"/>
        <item x="1955"/>
        <item x="2184"/>
        <item x="2300"/>
        <item x="2534"/>
        <item x="572"/>
        <item x="1244"/>
        <item x="531"/>
        <item x="410"/>
        <item x="2563"/>
        <item x="372"/>
        <item x="980"/>
        <item x="419"/>
        <item x="2532"/>
        <item x="1089"/>
        <item x="627"/>
        <item x="107"/>
        <item x="730"/>
        <item x="1793"/>
        <item x="1627"/>
        <item x="2586"/>
        <item x="2178"/>
        <item x="1805"/>
        <item x="207"/>
        <item x="2449"/>
        <item x="103"/>
        <item x="1947"/>
        <item x="165"/>
        <item x="1348"/>
        <item x="1209"/>
        <item x="1277"/>
        <item x="1830"/>
        <item x="1407"/>
        <item x="1567"/>
        <item x="1463"/>
        <item x="1410"/>
        <item x="2354"/>
        <item x="2291"/>
        <item x="120"/>
        <item x="2489"/>
        <item x="671"/>
        <item x="2591"/>
        <item x="682"/>
        <item x="1686"/>
        <item x="1832"/>
        <item x="1073"/>
        <item x="1842"/>
        <item x="2074"/>
        <item x="899"/>
        <item x="1001"/>
        <item x="2216"/>
        <item x="650"/>
        <item x="215"/>
        <item x="598"/>
        <item x="1619"/>
        <item x="1067"/>
        <item x="1539"/>
        <item x="61"/>
        <item x="2517"/>
        <item x="957"/>
        <item x="483"/>
        <item x="2130"/>
        <item x="1160"/>
        <item x="913"/>
        <item x="2317"/>
        <item x="380"/>
        <item x="764"/>
        <item x="916"/>
        <item x="1163"/>
        <item x="2169"/>
        <item x="1345"/>
        <item x="1752"/>
        <item x="49"/>
        <item x="594"/>
        <item x="1409"/>
        <item x="991"/>
        <item x="404"/>
        <item x="2612"/>
        <item x="313"/>
        <item x="1861"/>
        <item x="1658"/>
        <item x="1950"/>
        <item x="890"/>
        <item x="1773"/>
        <item x="973"/>
        <item x="626"/>
        <item x="816"/>
        <item x="1096"/>
        <item x="9"/>
        <item x="1827"/>
        <item x="2080"/>
        <item x="1156"/>
        <item x="605"/>
        <item x="42"/>
        <item x="1655"/>
        <item x="2210"/>
        <item x="1921"/>
        <item x="160"/>
        <item x="2048"/>
        <item x="2608"/>
        <item x="549"/>
        <item x="1628"/>
        <item x="577"/>
        <item x="1673"/>
        <item x="2396"/>
        <item x="2072"/>
        <item x="1636"/>
        <item x="2316"/>
        <item x="371"/>
        <item x="1551"/>
        <item x="1535"/>
        <item x="1419"/>
        <item x="217"/>
        <item x="1281"/>
        <item x="2356"/>
        <item x="1763"/>
        <item x="2290"/>
        <item x="1660"/>
        <item x="1893"/>
        <item x="2314"/>
        <item x="1796"/>
        <item x="599"/>
        <item x="914"/>
        <item x="423"/>
        <item x="2240"/>
        <item x="193"/>
        <item x="2622"/>
        <item x="1368"/>
        <item x="1822"/>
        <item x="21"/>
        <item x="537"/>
        <item x="1730"/>
        <item x="741"/>
        <item x="1285"/>
        <item x="1008"/>
        <item x="1848"/>
        <item x="342"/>
        <item x="666"/>
        <item x="906"/>
        <item x="1389"/>
        <item x="882"/>
        <item x="542"/>
        <item x="287"/>
        <item x="937"/>
        <item x="1554"/>
        <item x="507"/>
        <item x="1967"/>
        <item x="1704"/>
        <item x="45"/>
        <item x="1317"/>
        <item x="919"/>
        <item x="2621"/>
        <item x="322"/>
        <item x="2099"/>
        <item x="1081"/>
        <item x="871"/>
        <item x="1910"/>
        <item x="1887"/>
        <item x="773"/>
        <item x="1790"/>
        <item x="496"/>
        <item x="1654"/>
        <item x="2093"/>
        <item x="657"/>
        <item x="1863"/>
        <item x="2124"/>
        <item x="2581"/>
        <item x="1576"/>
        <item x="579"/>
        <item x="1293"/>
        <item x="1683"/>
        <item x="970"/>
        <item x="315"/>
        <item x="2362"/>
        <item x="2153"/>
        <item x="1685"/>
        <item x="306"/>
        <item x="2504"/>
        <item x="689"/>
        <item x="1585"/>
        <item x="523"/>
        <item x="1498"/>
        <item x="2415"/>
        <item x="2288"/>
        <item x="1994"/>
        <item x="1703"/>
        <item x="1907"/>
        <item x="1158"/>
        <item x="2549"/>
        <item x="659"/>
        <item x="1357"/>
        <item x="593"/>
        <item x="110"/>
        <item x="646"/>
        <item x="187"/>
        <item x="560"/>
        <item x="2424"/>
        <item x="584"/>
        <item x="105"/>
        <item x="1587"/>
        <item x="1630"/>
        <item x="349"/>
        <item x="2515"/>
        <item x="1767"/>
        <item x="558"/>
        <item x="2282"/>
        <item x="2575"/>
        <item x="829"/>
        <item x="100"/>
        <item x="346"/>
        <item x="2361"/>
        <item x="901"/>
        <item x="2603"/>
        <item x="2118"/>
        <item x="563"/>
        <item x="2585"/>
        <item x="570"/>
        <item x="2197"/>
        <item x="554"/>
        <item x="2166"/>
        <item x="918"/>
        <item x="2264"/>
        <item x="2251"/>
        <item x="2404"/>
        <item x="189"/>
        <item x="2239"/>
        <item x="364"/>
        <item x="2098"/>
        <item x="10"/>
        <item x="512"/>
        <item x="1415"/>
        <item x="1267"/>
        <item x="574"/>
        <item x="852"/>
        <item x="610"/>
        <item x="1499"/>
        <item x="91"/>
        <item x="2557"/>
        <item x="468"/>
        <item x="1492"/>
        <item x="188"/>
        <item x="368"/>
        <item x="2577"/>
        <item x="592"/>
        <item x="2202"/>
        <item x="458"/>
        <item x="1133"/>
        <item x="783"/>
        <item x="1110"/>
        <item x="1696"/>
        <item x="607"/>
        <item x="2423"/>
        <item x="958"/>
        <item x="2052"/>
        <item x="1961"/>
        <item x="1190"/>
        <item x="1840"/>
        <item x="2140"/>
        <item x="265"/>
        <item x="1094"/>
        <item x="1224"/>
        <item x="242"/>
        <item x="241"/>
        <item x="2134"/>
        <item x="959"/>
        <item x="1301"/>
        <item x="881"/>
        <item x="743"/>
        <item x="1447"/>
        <item x="1716"/>
        <item x="161"/>
        <item x="1204"/>
        <item x="1711"/>
        <item x="2584"/>
        <item x="1284"/>
        <item x="1843"/>
        <item x="275"/>
        <item x="1161"/>
        <item x="1708"/>
        <item x="972"/>
        <item x="1680"/>
        <item x="1282"/>
        <item x="1338"/>
        <item x="1192"/>
        <item x="2409"/>
        <item x="1411"/>
        <item x="488"/>
        <item x="296"/>
        <item x="2433"/>
        <item x="792"/>
        <item x="781"/>
        <item x="247"/>
        <item x="1099"/>
        <item x="1927"/>
        <item x="1847"/>
        <item x="1500"/>
        <item x="2503"/>
        <item x="1425"/>
        <item x="633"/>
        <item x="791"/>
        <item x="681"/>
        <item x="889"/>
        <item x="1661"/>
        <item x="1756"/>
        <item x="503"/>
        <item x="303"/>
        <item x="2582"/>
        <item x="1903"/>
        <item x="851"/>
        <item x="1992"/>
        <item x="1665"/>
        <item x="508"/>
        <item x="1900"/>
        <item x="1766"/>
        <item x="2273"/>
        <item x="2268"/>
        <item x="132"/>
        <item x="1399"/>
        <item x="827"/>
        <item x="2463"/>
        <item x="170"/>
        <item x="1713"/>
        <item x="2162"/>
        <item x="1422"/>
        <item x="1736"/>
        <item x="1798"/>
        <item x="408"/>
        <item x="1200"/>
        <item x="1846"/>
        <item x="2296"/>
        <item x="1264"/>
        <item x="2193"/>
        <item x="2181"/>
        <item x="656"/>
        <item x="2038"/>
        <item x="645"/>
        <item x="1421"/>
        <item x="511"/>
        <item x="1877"/>
        <item x="2071"/>
        <item x="2477"/>
        <item x="1474"/>
        <item x="1813"/>
        <item x="2544"/>
        <item x="2019"/>
        <item x="147"/>
        <item x="1472"/>
        <item x="565"/>
        <item x="1698"/>
        <item x="2558"/>
        <item x="583"/>
        <item x="1915"/>
        <item x="1246"/>
        <item x="652"/>
        <item x="1286"/>
        <item x="1303"/>
        <item x="1632"/>
        <item x="2505"/>
        <item x="1962"/>
        <item x="2156"/>
        <item x="660"/>
        <item x="2435"/>
        <item x="951"/>
        <item x="2125"/>
        <item x="1060"/>
        <item x="976"/>
        <item x="2174"/>
        <item x="1652"/>
        <item x="2192"/>
        <item x="2265"/>
        <item x="1578"/>
        <item x="2215"/>
        <item x="1042"/>
        <item x="1324"/>
        <item x="2101"/>
        <item x="476"/>
        <item x="996"/>
        <item x="36"/>
        <item x="2029"/>
        <item x="2152"/>
        <item x="2226"/>
        <item x="1883"/>
        <item x="136"/>
        <item x="1310"/>
        <item x="390"/>
        <item x="2200"/>
        <item x="2493"/>
        <item x="2496"/>
        <item x="2481"/>
        <item x="2416"/>
        <item x="1605"/>
        <item x="1413"/>
        <item x="529"/>
        <item x="1733"/>
        <item x="2133"/>
        <item x="387"/>
        <item x="143"/>
        <item x="1938"/>
        <item x="1148"/>
        <item x="2228"/>
        <item x="1114"/>
        <item x="1782"/>
        <item x="797"/>
        <item x="2518"/>
        <item x="1859"/>
        <item x="737"/>
        <item x="1265"/>
        <item x="519"/>
        <item x="726"/>
        <item x="1871"/>
        <item x="1155"/>
        <item x="672"/>
        <item x="2385"/>
        <item x="1122"/>
        <item x="1382"/>
        <item x="1197"/>
        <item x="2253"/>
        <item x="2425"/>
        <item x="1065"/>
        <item x="70"/>
        <item x="1016"/>
        <item x="1902"/>
        <item x="2088"/>
        <item x="1456"/>
        <item x="2326"/>
        <item x="868"/>
        <item x="269"/>
        <item x="2567"/>
        <item x="1794"/>
        <item x="883"/>
        <item x="1676"/>
        <item x="2084"/>
        <item x="2138"/>
        <item x="1088"/>
        <item x="2598"/>
        <item x="2059"/>
        <item x="1876"/>
        <item x="109"/>
        <item x="255"/>
        <item x="2340"/>
        <item x="1678"/>
        <item x="276"/>
        <item x="1251"/>
        <item x="1339"/>
        <item x="1953"/>
        <item x="1106"/>
        <item x="2221"/>
        <item x="625"/>
        <item x="2114"/>
        <item x="1649"/>
        <item x="1806"/>
        <item x="747"/>
        <item x="1610"/>
        <item x="2365"/>
        <item x="1015"/>
        <item x="905"/>
        <item x="405"/>
        <item x="2168"/>
        <item x="2383"/>
        <item x="1616"/>
        <item x="237"/>
        <item x="940"/>
        <item x="694"/>
        <item x="1501"/>
        <item x="1575"/>
        <item x="432"/>
        <item x="1663"/>
        <item x="1150"/>
        <item x="478"/>
        <item x="1370"/>
        <item x="978"/>
        <item x="1444"/>
        <item x="1775"/>
        <item x="2164"/>
        <item x="711"/>
        <item x="2194"/>
        <item x="1323"/>
        <item x="1747"/>
        <item x="989"/>
        <item x="746"/>
        <item x="2543"/>
        <item x="1308"/>
        <item x="2137"/>
        <item x="2490"/>
        <item x="683"/>
        <item x="524"/>
        <item x="1030"/>
        <item x="2008"/>
        <item x="2337"/>
        <item x="1025"/>
        <item x="2275"/>
        <item x="2320"/>
        <item x="637"/>
        <item x="46"/>
        <item x="779"/>
        <item x="43"/>
        <item x="1330"/>
        <item x="1834"/>
        <item x="674"/>
        <item x="1393"/>
        <item x="2387"/>
        <item x="1872"/>
        <item x="794"/>
        <item x="1289"/>
        <item x="2292"/>
        <item x="1079"/>
        <item x="1607"/>
        <item x="1671"/>
        <item x="68"/>
        <item x="2012"/>
        <item x="377"/>
        <item x="761"/>
        <item x="1024"/>
        <item x="1242"/>
        <item x="1581"/>
        <item x="534"/>
        <item x="2186"/>
        <item x="902"/>
        <item x="1544"/>
        <item x="106"/>
        <item x="911"/>
        <item x="860"/>
        <item x="2526"/>
        <item x="2248"/>
        <item x="450"/>
        <item x="357"/>
        <item x="1068"/>
        <item x="121"/>
        <item x="1647"/>
        <item x="1402"/>
        <item x="1116"/>
        <item x="915"/>
        <item x="359"/>
        <item x="1460"/>
        <item x="2363"/>
        <item x="1742"/>
        <item x="1254"/>
        <item x="1457"/>
        <item x="2446"/>
        <item x="1931"/>
        <item x="1063"/>
        <item x="1103"/>
        <item x="1496"/>
        <item x="2024"/>
        <item x="643"/>
        <item x="55"/>
        <item x="930"/>
        <item x="1530"/>
        <item x="2274"/>
        <item x="1963"/>
        <item x="2334"/>
        <item x="586"/>
        <item x="820"/>
        <item x="1075"/>
        <item x="467"/>
        <item x="1331"/>
        <item x="1974"/>
        <item x="422"/>
        <item x="439"/>
        <item x="2434"/>
        <item x="1613"/>
        <item x="795"/>
        <item x="1129"/>
        <item x="834"/>
        <item x="732"/>
        <item x="1121"/>
        <item x="1771"/>
        <item x="1027"/>
        <item x="938"/>
        <item x="1971"/>
        <item x="28"/>
        <item x="1098"/>
        <item x="1441"/>
        <item x="1582"/>
        <item x="2605"/>
        <item x="2572"/>
        <item x="2406"/>
        <item x="767"/>
        <item x="1548"/>
        <item x="1675"/>
        <item x="335"/>
        <item x="98"/>
        <item x="1221"/>
        <item x="391"/>
        <item x="1095"/>
        <item x="2436"/>
        <item x="311"/>
        <item x="312"/>
        <item x="641"/>
        <item x="528"/>
        <item x="2596"/>
        <item x="1227"/>
        <item x="1397"/>
        <item x="373"/>
        <item x="1777"/>
        <item x="2554"/>
        <item x="876"/>
        <item x="2086"/>
        <item x="1986"/>
        <item x="521"/>
        <item x="2272"/>
        <item x="745"/>
        <item x="1287"/>
        <item x="950"/>
        <item x="2235"/>
        <item x="2279"/>
        <item x="2398"/>
        <item x="2360"/>
        <item x="1570"/>
        <item x="928"/>
        <item x="1783"/>
        <item x="1377"/>
        <item x="399"/>
        <item x="2016"/>
        <item x="437"/>
        <item x="1443"/>
        <item x="717"/>
        <item x="84"/>
        <item x="256"/>
        <item x="2590"/>
        <item x="1760"/>
        <item x="428"/>
        <item x="469"/>
        <item x="1211"/>
        <item x="1824"/>
        <item x="2511"/>
        <item x="2482"/>
        <item x="2542"/>
        <item x="2247"/>
        <item x="1603"/>
        <item x="1645"/>
        <item x="677"/>
        <item x="2395"/>
        <item x="2444"/>
        <item x="119"/>
        <item x="719"/>
        <item x="328"/>
        <item x="621"/>
        <item x="1943"/>
        <item x="1738"/>
        <item x="1056"/>
        <item x="1593"/>
        <item x="245"/>
        <item x="82"/>
        <item x="2110"/>
        <item x="2095"/>
        <item x="631"/>
        <item x="231"/>
        <item x="499"/>
        <item x="1802"/>
        <item x="1262"/>
        <item x="547"/>
        <item x="2323"/>
        <item x="771"/>
        <item x="129"/>
        <item x="1693"/>
        <item x="1997"/>
        <item x="714"/>
        <item x="1273"/>
        <item x="88"/>
        <item x="1291"/>
        <item x="1107"/>
        <item x="216"/>
        <item x="2077"/>
        <item x="2054"/>
        <item x="495"/>
        <item x="497"/>
        <item x="1058"/>
        <item x="614"/>
        <item x="1112"/>
        <item x="1729"/>
        <item x="2450"/>
        <item x="1525"/>
        <item x="75"/>
        <item x="1583"/>
        <item x="2135"/>
        <item x="2458"/>
        <item x="1486"/>
        <item x="850"/>
        <item x="1174"/>
        <item x="1047"/>
        <item x="581"/>
        <item x="2154"/>
        <item x="1958"/>
        <item x="828"/>
        <item x="939"/>
        <item x="847"/>
        <item x="1899"/>
        <item x="2252"/>
        <item x="1057"/>
        <item x="414"/>
        <item x="2185"/>
        <item x="1050"/>
        <item x="466"/>
        <item x="329"/>
        <item x="968"/>
        <item x="2129"/>
        <item x="1423"/>
        <item x="517"/>
        <item x="729"/>
        <item x="1271"/>
        <item x="2413"/>
        <item x="1968"/>
        <item x="2069"/>
        <item x="1403"/>
        <item x="969"/>
        <item x="806"/>
        <item x="2613"/>
        <item x="246"/>
        <item x="323"/>
        <item x="775"/>
        <item x="2245"/>
        <item x="2528"/>
        <item x="2225"/>
        <item x="886"/>
        <item x="257"/>
        <item x="2286"/>
        <item x="2345"/>
        <item x="1378"/>
        <item x="1694"/>
        <item x="1489"/>
        <item x="1664"/>
        <item x="1049"/>
        <item x="757"/>
        <item x="1918"/>
        <item x="1369"/>
        <item x="2614"/>
        <item x="1557"/>
        <item x="1011"/>
        <item x="2167"/>
        <item x="878"/>
        <item x="1146"/>
        <item x="736"/>
        <item x="822"/>
        <item x="1720"/>
        <item x="2236"/>
        <item x="1313"/>
        <item x="1692"/>
        <item x="2255"/>
        <item x="116"/>
        <item x="272"/>
        <item x="964"/>
        <item x="2158"/>
        <item x="1831"/>
        <item x="2474"/>
        <item x="1233"/>
        <item x="2002"/>
        <item x="491"/>
        <item x="1198"/>
        <item x="2380"/>
        <item x="1753"/>
        <item x="1810"/>
        <item x="182"/>
        <item x="1195"/>
        <item x="756"/>
        <item x="2223"/>
        <item t="default"/>
      </items>
    </pivotField>
  </pivotFields>
  <rowFields count="1">
    <field x="2"/>
  </rowFields>
  <rowItems count="156">
    <i>
      <x v="28"/>
    </i>
    <i>
      <x v="44"/>
    </i>
    <i>
      <x v="45"/>
    </i>
    <i>
      <x v="53"/>
    </i>
    <i>
      <x v="87"/>
    </i>
    <i>
      <x v="91"/>
    </i>
    <i>
      <x v="111"/>
    </i>
    <i>
      <x v="129"/>
    </i>
    <i>
      <x v="138"/>
    </i>
    <i>
      <x v="147"/>
    </i>
    <i>
      <x v="157"/>
    </i>
    <i>
      <x v="164"/>
    </i>
    <i>
      <x v="178"/>
    </i>
    <i>
      <x v="181"/>
    </i>
    <i>
      <x v="197"/>
    </i>
    <i>
      <x v="198"/>
    </i>
    <i>
      <x v="222"/>
    </i>
    <i>
      <x v="241"/>
    </i>
    <i>
      <x v="249"/>
    </i>
    <i>
      <x v="251"/>
    </i>
    <i>
      <x v="254"/>
    </i>
    <i>
      <x v="269"/>
    </i>
    <i>
      <x v="278"/>
    </i>
    <i>
      <x v="291"/>
    </i>
    <i>
      <x v="305"/>
    </i>
    <i>
      <x v="314"/>
    </i>
    <i>
      <x v="332"/>
    </i>
    <i>
      <x v="389"/>
    </i>
    <i>
      <x v="394"/>
    </i>
    <i>
      <x v="409"/>
    </i>
    <i>
      <x v="412"/>
    </i>
    <i>
      <x v="416"/>
    </i>
    <i>
      <x v="417"/>
    </i>
    <i>
      <x v="424"/>
    </i>
    <i>
      <x v="435"/>
    </i>
    <i>
      <x v="437"/>
    </i>
    <i>
      <x v="438"/>
    </i>
    <i>
      <x v="443"/>
    </i>
    <i>
      <x v="468"/>
    </i>
    <i>
      <x v="475"/>
    </i>
    <i>
      <x v="487"/>
    </i>
    <i>
      <x v="499"/>
    </i>
    <i>
      <x v="514"/>
    </i>
    <i>
      <x v="523"/>
    </i>
    <i>
      <x v="526"/>
    </i>
    <i>
      <x v="531"/>
    </i>
    <i>
      <x v="537"/>
    </i>
    <i>
      <x v="567"/>
    </i>
    <i>
      <x v="609"/>
    </i>
    <i>
      <x v="613"/>
    </i>
    <i>
      <x v="617"/>
    </i>
    <i>
      <x v="627"/>
    </i>
    <i>
      <x v="629"/>
    </i>
    <i>
      <x v="633"/>
    </i>
    <i>
      <x v="649"/>
    </i>
    <i>
      <x v="690"/>
    </i>
    <i>
      <x v="696"/>
    </i>
    <i>
      <x v="697"/>
    </i>
    <i>
      <x v="754"/>
    </i>
    <i>
      <x v="784"/>
    </i>
    <i>
      <x v="786"/>
    </i>
    <i>
      <x v="830"/>
    </i>
    <i>
      <x v="832"/>
    </i>
    <i>
      <x v="847"/>
    </i>
    <i>
      <x v="893"/>
    </i>
    <i>
      <x v="894"/>
    </i>
    <i>
      <x v="899"/>
    </i>
    <i>
      <x v="904"/>
    </i>
    <i>
      <x v="906"/>
    </i>
    <i>
      <x v="914"/>
    </i>
    <i>
      <x v="928"/>
    </i>
    <i>
      <x v="939"/>
    </i>
    <i>
      <x v="946"/>
    </i>
    <i>
      <x v="967"/>
    </i>
    <i>
      <x v="977"/>
    </i>
    <i>
      <x v="999"/>
    </i>
    <i>
      <x v="1000"/>
    </i>
    <i>
      <x v="1018"/>
    </i>
    <i>
      <x v="1041"/>
    </i>
    <i>
      <x v="1045"/>
    </i>
    <i>
      <x v="1143"/>
    </i>
    <i>
      <x v="1151"/>
    </i>
    <i>
      <x v="1173"/>
    </i>
    <i>
      <x v="1215"/>
    </i>
    <i>
      <x v="1258"/>
    </i>
    <i>
      <x v="1271"/>
    </i>
    <i>
      <x v="1273"/>
    </i>
    <i>
      <x v="1310"/>
    </i>
    <i>
      <x v="1312"/>
    </i>
    <i>
      <x v="1328"/>
    </i>
    <i>
      <x v="1356"/>
    </i>
    <i>
      <x v="1406"/>
    </i>
    <i>
      <x v="1444"/>
    </i>
    <i>
      <x v="1450"/>
    </i>
    <i>
      <x v="1468"/>
    </i>
    <i>
      <x v="1507"/>
    </i>
    <i>
      <x v="1518"/>
    </i>
    <i>
      <x v="1540"/>
    </i>
    <i>
      <x v="1584"/>
    </i>
    <i>
      <x v="1595"/>
    </i>
    <i>
      <x v="1596"/>
    </i>
    <i>
      <x v="1601"/>
    </i>
    <i>
      <x v="1627"/>
    </i>
    <i>
      <x v="1637"/>
    </i>
    <i>
      <x v="1675"/>
    </i>
    <i>
      <x v="1692"/>
    </i>
    <i>
      <x v="1703"/>
    </i>
    <i>
      <x v="1740"/>
    </i>
    <i>
      <x v="1742"/>
    </i>
    <i>
      <x v="1758"/>
    </i>
    <i>
      <x v="1764"/>
    </i>
    <i>
      <x v="1777"/>
    </i>
    <i>
      <x v="1791"/>
    </i>
    <i>
      <x v="1792"/>
    </i>
    <i>
      <x v="1816"/>
    </i>
    <i>
      <x v="1890"/>
    </i>
    <i>
      <x v="1892"/>
    </i>
    <i>
      <x v="1898"/>
    </i>
    <i>
      <x v="1905"/>
    </i>
    <i>
      <x v="1911"/>
    </i>
    <i>
      <x v="1979"/>
    </i>
    <i>
      <x v="1992"/>
    </i>
    <i>
      <x v="2033"/>
    </i>
    <i>
      <x v="2051"/>
    </i>
    <i>
      <x v="2055"/>
    </i>
    <i>
      <x v="2057"/>
    </i>
    <i>
      <x v="2097"/>
    </i>
    <i>
      <x v="2111"/>
    </i>
    <i>
      <x v="2154"/>
    </i>
    <i>
      <x v="2157"/>
    </i>
    <i>
      <x v="2167"/>
    </i>
    <i>
      <x v="2181"/>
    </i>
    <i>
      <x v="2208"/>
    </i>
    <i>
      <x v="2222"/>
    </i>
    <i>
      <x v="2228"/>
    </i>
    <i>
      <x v="2248"/>
    </i>
    <i>
      <x v="2252"/>
    </i>
    <i>
      <x v="2265"/>
    </i>
    <i>
      <x v="2326"/>
    </i>
    <i>
      <x v="2357"/>
    </i>
    <i>
      <x v="2361"/>
    </i>
    <i>
      <x v="2399"/>
    </i>
    <i>
      <x v="2417"/>
    </i>
    <i>
      <x v="2452"/>
    </i>
    <i>
      <x v="2455"/>
    </i>
    <i>
      <x v="2467"/>
    </i>
    <i>
      <x v="2501"/>
    </i>
    <i>
      <x v="2573"/>
    </i>
    <i>
      <x v="2578"/>
    </i>
    <i>
      <x v="2579"/>
    </i>
    <i>
      <x v="2605"/>
    </i>
    <i>
      <x v="2606"/>
    </i>
    <i>
      <x v="2607"/>
    </i>
    <i>
      <x v="2610"/>
    </i>
    <i>
      <x v="2618"/>
    </i>
    <i t="grand">
      <x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EA958-87F1-42EB-8124-083285453570}" name="Table1" displayName="Table1" ref="B2:D157" totalsRowShown="0">
  <autoFilter ref="B2:D157" xr:uid="{A63EA958-87F1-42EB-8124-083285453570}"/>
  <sortState xmlns:xlrd2="http://schemas.microsoft.com/office/spreadsheetml/2017/richdata2" ref="B3:D157">
    <sortCondition ref="C2:C157"/>
  </sortState>
  <tableColumns count="3">
    <tableColumn id="1" xr3:uid="{55B79942-1CCB-44A0-81DF-5F05C0B0C12C}" name="Order Date" dataDxfId="13"/>
    <tableColumn id="2" xr3:uid="{447A07B4-5CCF-48E9-9D4C-E365509D3EE4}" name="Category"/>
    <tableColumn id="3" xr3:uid="{21640954-D392-43F0-ADD0-ACD8DC313FDD}" name="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5B73F-8C3F-4C9C-9C85-CCFFBC2B1610}" name="Table2" displayName="Table2" ref="B2:C3314" totalsRowShown="0" headerRowDxfId="12" headerRowBorderDxfId="11" tableBorderDxfId="10" totalsRowBorderDxfId="9">
  <autoFilter ref="B2:C3314" xr:uid="{F585B73F-8C3F-4C9C-9C85-CCFFBC2B1610}"/>
  <sortState xmlns:xlrd2="http://schemas.microsoft.com/office/spreadsheetml/2017/richdata2" ref="B3:C3314">
    <sortCondition ref="B2:B3314"/>
  </sortState>
  <tableColumns count="2">
    <tableColumn id="1" xr3:uid="{18B840BC-E1C3-4ADA-9A65-964DD1DDCBE8}" name="Category" dataDxfId="8"/>
    <tableColumn id="2" xr3:uid="{D93D2610-A8FC-4A82-A2EA-B81547E58F60}" name="Sales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88DA9-5BE7-4912-825C-2901BC468368}" name="Table3" displayName="Table3" ref="A1:B21" totalsRowShown="0" headerRowDxfId="0" dataDxfId="6" headerRowBorderDxfId="4" tableBorderDxfId="5" totalsRowBorderDxfId="3">
  <autoFilter ref="A1:B21" xr:uid="{E4488DA9-5BE7-4912-825C-2901BC468368}"/>
  <tableColumns count="2">
    <tableColumn id="1" xr3:uid="{7815737F-C84A-4F47-8D08-A51324880DEB}" name="Row ID" dataDxfId="2"/>
    <tableColumn id="2" xr3:uid="{AC6258FF-4CAE-4F98-A574-90E54266B62D}" name="Order ID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314"/>
  <sheetViews>
    <sheetView topLeftCell="A147" workbookViewId="0">
      <selection activeCell="C2" sqref="C2:D157"/>
    </sheetView>
  </sheetViews>
  <sheetFormatPr defaultRowHeight="14.4"/>
  <cols>
    <col min="1" max="2" width="10.33203125" bestFit="1" customWidth="1"/>
    <col min="3" max="3" width="13.6640625" bestFit="1" customWidth="1"/>
    <col min="5" max="5" width="11.77734375" bestFit="1" customWidth="1"/>
    <col min="8" max="8" width="12.5546875" bestFit="1" customWidth="1"/>
    <col min="9" max="9" width="15.33203125" bestFit="1" customWidth="1"/>
    <col min="12" max="12" width="11.6640625" bestFit="1" customWidth="1"/>
    <col min="13" max="13" width="16.109375" bestFit="1" customWidth="1"/>
  </cols>
  <sheetData>
    <row r="1" spans="1:12">
      <c r="A1" s="2"/>
      <c r="B1" s="1"/>
      <c r="C1" s="1"/>
      <c r="D1" s="1"/>
      <c r="E1" s="1"/>
      <c r="F1" s="1"/>
      <c r="G1" s="1"/>
    </row>
    <row r="2" spans="1:12">
      <c r="B2" t="s">
        <v>1</v>
      </c>
      <c r="C2" t="s">
        <v>2</v>
      </c>
      <c r="D2" t="s">
        <v>0</v>
      </c>
      <c r="F2" s="4" t="s">
        <v>2</v>
      </c>
      <c r="G2" t="s">
        <v>5</v>
      </c>
      <c r="I2" s="4" t="s">
        <v>1</v>
      </c>
      <c r="J2" t="s">
        <v>8</v>
      </c>
    </row>
    <row r="3" spans="1:12">
      <c r="B3" s="3">
        <v>42764</v>
      </c>
      <c r="C3" t="s">
        <v>3</v>
      </c>
      <c r="D3">
        <v>14.91</v>
      </c>
    </row>
    <row r="4" spans="1:12">
      <c r="B4" s="3">
        <v>42749</v>
      </c>
      <c r="C4" t="s">
        <v>3</v>
      </c>
      <c r="D4">
        <v>18.96</v>
      </c>
      <c r="F4" s="4" t="s">
        <v>6</v>
      </c>
      <c r="I4" s="4" t="s">
        <v>6</v>
      </c>
    </row>
    <row r="5" spans="1:12">
      <c r="B5" s="3">
        <v>42754</v>
      </c>
      <c r="C5" t="s">
        <v>3</v>
      </c>
      <c r="D5">
        <v>887.27099999999984</v>
      </c>
      <c r="F5" s="5">
        <v>2.04</v>
      </c>
      <c r="I5" s="5">
        <v>2.04</v>
      </c>
    </row>
    <row r="6" spans="1:12">
      <c r="B6" s="3">
        <v>42754</v>
      </c>
      <c r="C6" t="s">
        <v>3</v>
      </c>
      <c r="D6">
        <v>31.968000000000004</v>
      </c>
      <c r="F6" s="5">
        <v>2.508</v>
      </c>
      <c r="I6" s="5">
        <v>2.508</v>
      </c>
    </row>
    <row r="7" spans="1:12">
      <c r="B7" s="3">
        <v>42737</v>
      </c>
      <c r="C7" t="s">
        <v>3</v>
      </c>
      <c r="D7">
        <v>913.43000000000006</v>
      </c>
      <c r="F7" s="5">
        <v>2.52</v>
      </c>
      <c r="I7" s="5">
        <v>2.52</v>
      </c>
    </row>
    <row r="8" spans="1:12" ht="18">
      <c r="B8" s="3">
        <v>42761</v>
      </c>
      <c r="C8" t="s">
        <v>3</v>
      </c>
      <c r="D8">
        <v>62.72</v>
      </c>
      <c r="F8" s="5">
        <v>2.8080000000000007</v>
      </c>
      <c r="I8" s="5">
        <v>2.8080000000000007</v>
      </c>
      <c r="L8" s="7" t="s">
        <v>9</v>
      </c>
    </row>
    <row r="9" spans="1:12">
      <c r="B9" s="3">
        <v>42765</v>
      </c>
      <c r="C9" t="s">
        <v>3</v>
      </c>
      <c r="D9">
        <v>69.375</v>
      </c>
      <c r="F9" s="5">
        <v>3.52</v>
      </c>
      <c r="I9" s="5">
        <v>3.52</v>
      </c>
      <c r="L9" s="8"/>
    </row>
    <row r="10" spans="1:12">
      <c r="B10" s="3">
        <v>42736</v>
      </c>
      <c r="C10" t="s">
        <v>3</v>
      </c>
      <c r="D10">
        <v>310.74399999999997</v>
      </c>
      <c r="F10" s="5">
        <v>3.6</v>
      </c>
      <c r="I10" s="5">
        <v>3.6</v>
      </c>
      <c r="L10" s="9" t="s">
        <v>10</v>
      </c>
    </row>
    <row r="11" spans="1:12">
      <c r="B11" s="3">
        <v>42736</v>
      </c>
      <c r="C11" t="s">
        <v>3</v>
      </c>
      <c r="D11">
        <v>141.41999999999999</v>
      </c>
      <c r="F11" s="5">
        <v>4.2759999999999989</v>
      </c>
      <c r="I11" s="5">
        <v>4.2759999999999989</v>
      </c>
      <c r="L11" s="9" t="s">
        <v>11</v>
      </c>
    </row>
    <row r="12" spans="1:12">
      <c r="B12" s="3">
        <v>42748</v>
      </c>
      <c r="C12" t="s">
        <v>3</v>
      </c>
      <c r="D12">
        <v>212.94</v>
      </c>
      <c r="F12" s="5">
        <v>4.7679999999999998</v>
      </c>
      <c r="I12" s="5">
        <v>4.7679999999999998</v>
      </c>
      <c r="K12" s="1"/>
      <c r="L12" s="9" t="s">
        <v>12</v>
      </c>
    </row>
    <row r="13" spans="1:12">
      <c r="B13" s="3">
        <v>42751</v>
      </c>
      <c r="C13" t="s">
        <v>3</v>
      </c>
      <c r="D13">
        <v>302.67</v>
      </c>
      <c r="F13" s="5">
        <v>4.9380000000000006</v>
      </c>
      <c r="I13" s="5">
        <v>4.9380000000000006</v>
      </c>
      <c r="L13" s="9" t="s">
        <v>13</v>
      </c>
    </row>
    <row r="14" spans="1:12">
      <c r="B14" s="3">
        <v>42765</v>
      </c>
      <c r="C14" t="s">
        <v>3</v>
      </c>
      <c r="D14">
        <v>419.13599999999997</v>
      </c>
      <c r="F14" s="5">
        <v>5.22</v>
      </c>
      <c r="I14" s="5">
        <v>5.22</v>
      </c>
      <c r="L14" s="9" t="s">
        <v>14</v>
      </c>
    </row>
    <row r="15" spans="1:12">
      <c r="B15" s="3">
        <v>42751</v>
      </c>
      <c r="C15" t="s">
        <v>3</v>
      </c>
      <c r="D15">
        <v>399.67200000000003</v>
      </c>
      <c r="F15" s="5">
        <v>5.4319999999999986</v>
      </c>
      <c r="I15" s="5">
        <v>5.4319999999999986</v>
      </c>
    </row>
    <row r="16" spans="1:12" ht="18">
      <c r="B16" s="3">
        <v>42751</v>
      </c>
      <c r="C16" t="s">
        <v>3</v>
      </c>
      <c r="D16">
        <v>27.92</v>
      </c>
      <c r="F16" s="5">
        <v>5.67</v>
      </c>
      <c r="I16" s="5">
        <v>5.67</v>
      </c>
      <c r="L16" s="7" t="s">
        <v>15</v>
      </c>
    </row>
    <row r="17" spans="2:12">
      <c r="B17" s="3">
        <v>42765</v>
      </c>
      <c r="C17" t="s">
        <v>3</v>
      </c>
      <c r="D17">
        <v>120.78399999999999</v>
      </c>
      <c r="F17" s="5">
        <v>5.9700000000000006</v>
      </c>
      <c r="I17" s="5">
        <v>5.9700000000000006</v>
      </c>
      <c r="L17" s="8"/>
    </row>
    <row r="18" spans="2:12">
      <c r="B18" s="3">
        <v>42736</v>
      </c>
      <c r="C18" t="s">
        <v>3</v>
      </c>
      <c r="D18">
        <v>474.43</v>
      </c>
      <c r="F18" s="5">
        <v>6</v>
      </c>
      <c r="I18" s="5">
        <v>6</v>
      </c>
      <c r="L18" s="9" t="s">
        <v>16</v>
      </c>
    </row>
    <row r="19" spans="2:12">
      <c r="B19" s="3">
        <v>42755</v>
      </c>
      <c r="C19" t="s">
        <v>3</v>
      </c>
      <c r="D19">
        <v>207.84600000000003</v>
      </c>
      <c r="F19" s="5">
        <v>6.469999999999998</v>
      </c>
      <c r="I19" s="5">
        <v>6.469999999999998</v>
      </c>
      <c r="L19" s="9" t="s">
        <v>17</v>
      </c>
    </row>
    <row r="20" spans="2:12">
      <c r="B20" s="3">
        <v>42743</v>
      </c>
      <c r="C20" t="s">
        <v>3</v>
      </c>
      <c r="D20">
        <v>892.98</v>
      </c>
      <c r="F20" s="5">
        <v>6.48</v>
      </c>
      <c r="I20" s="5">
        <v>6.48</v>
      </c>
      <c r="L20" s="9" t="s">
        <v>18</v>
      </c>
    </row>
    <row r="21" spans="2:12">
      <c r="B21" s="3">
        <v>42758</v>
      </c>
      <c r="C21" t="s">
        <v>3</v>
      </c>
      <c r="D21">
        <v>210.98</v>
      </c>
      <c r="F21" s="5">
        <v>7.16</v>
      </c>
      <c r="I21" s="5">
        <v>7.16</v>
      </c>
      <c r="L21" s="9" t="s">
        <v>19</v>
      </c>
    </row>
    <row r="22" spans="2:12">
      <c r="B22" s="3">
        <v>42747</v>
      </c>
      <c r="C22" t="s">
        <v>3</v>
      </c>
      <c r="D22">
        <v>37.68</v>
      </c>
      <c r="F22" s="5">
        <v>7.71</v>
      </c>
      <c r="I22" s="5">
        <v>7.71</v>
      </c>
      <c r="L22" s="9" t="s">
        <v>20</v>
      </c>
    </row>
    <row r="23" spans="2:12">
      <c r="B23" s="3">
        <v>42763</v>
      </c>
      <c r="C23" t="s">
        <v>3</v>
      </c>
      <c r="D23">
        <v>37.74</v>
      </c>
      <c r="F23" s="5">
        <v>7.8719999999999999</v>
      </c>
      <c r="I23" s="5">
        <v>7.8719999999999999</v>
      </c>
      <c r="L23" s="9" t="s">
        <v>21</v>
      </c>
    </row>
    <row r="24" spans="2:12">
      <c r="B24" s="3">
        <v>42736</v>
      </c>
      <c r="C24" t="s">
        <v>3</v>
      </c>
      <c r="D24">
        <v>48.896000000000001</v>
      </c>
      <c r="F24" s="5">
        <v>7.89</v>
      </c>
      <c r="I24" s="5">
        <v>7.89</v>
      </c>
    </row>
    <row r="25" spans="2:12">
      <c r="B25" s="3">
        <v>42765</v>
      </c>
      <c r="C25" t="s">
        <v>3</v>
      </c>
      <c r="D25">
        <v>34.580000000000005</v>
      </c>
      <c r="F25" s="5">
        <v>8.34</v>
      </c>
      <c r="I25" s="5">
        <v>7.92</v>
      </c>
    </row>
    <row r="26" spans="2:12">
      <c r="B26" s="3">
        <v>42756</v>
      </c>
      <c r="C26" t="s">
        <v>3</v>
      </c>
      <c r="D26">
        <v>84.98</v>
      </c>
      <c r="F26" s="5">
        <v>8.57</v>
      </c>
      <c r="I26" s="5">
        <v>8.34</v>
      </c>
      <c r="L26" s="6" t="s">
        <v>22</v>
      </c>
    </row>
    <row r="27" spans="2:12">
      <c r="B27" s="3">
        <v>42764</v>
      </c>
      <c r="C27" t="s">
        <v>5</v>
      </c>
      <c r="D27">
        <v>13.48</v>
      </c>
      <c r="F27" s="5">
        <v>8.82</v>
      </c>
      <c r="I27" s="5">
        <v>8.57</v>
      </c>
      <c r="L27" s="8"/>
    </row>
    <row r="28" spans="2:12">
      <c r="B28" s="3">
        <v>42764</v>
      </c>
      <c r="C28" t="s">
        <v>5</v>
      </c>
      <c r="D28">
        <v>94.85</v>
      </c>
      <c r="F28" s="5">
        <v>9.120000000000001</v>
      </c>
      <c r="I28" s="5">
        <v>8.82</v>
      </c>
      <c r="L28" s="9" t="s">
        <v>23</v>
      </c>
    </row>
    <row r="29" spans="2:12">
      <c r="B29" s="3">
        <v>42764</v>
      </c>
      <c r="C29" t="s">
        <v>5</v>
      </c>
      <c r="D29">
        <v>12.96</v>
      </c>
      <c r="F29" s="5">
        <v>9.3439999999999994</v>
      </c>
      <c r="I29" s="5">
        <v>9.120000000000001</v>
      </c>
      <c r="L29" s="9" t="s">
        <v>24</v>
      </c>
    </row>
    <row r="30" spans="2:12">
      <c r="B30" s="3">
        <v>42749</v>
      </c>
      <c r="C30" t="s">
        <v>5</v>
      </c>
      <c r="D30">
        <v>11.34</v>
      </c>
      <c r="F30" s="5">
        <v>9.7799999999999994</v>
      </c>
      <c r="I30" s="5">
        <v>9.3439999999999994</v>
      </c>
      <c r="L30" s="9" t="s">
        <v>25</v>
      </c>
    </row>
    <row r="31" spans="2:12">
      <c r="B31" s="3">
        <v>42749</v>
      </c>
      <c r="C31" t="s">
        <v>5</v>
      </c>
      <c r="D31">
        <v>18.760000000000002</v>
      </c>
      <c r="F31" s="5">
        <v>11.34</v>
      </c>
      <c r="I31" s="5">
        <v>9.7799999999999994</v>
      </c>
      <c r="L31" s="9" t="s">
        <v>26</v>
      </c>
    </row>
    <row r="32" spans="2:12">
      <c r="B32" s="3">
        <v>42749</v>
      </c>
      <c r="C32" t="s">
        <v>5</v>
      </c>
      <c r="D32">
        <v>2.52</v>
      </c>
      <c r="F32" s="5">
        <v>11.52</v>
      </c>
      <c r="I32" s="5">
        <v>11.34</v>
      </c>
      <c r="L32" s="9" t="s">
        <v>27</v>
      </c>
    </row>
    <row r="33" spans="2:12">
      <c r="B33" s="3">
        <v>42749</v>
      </c>
      <c r="C33" t="s">
        <v>5</v>
      </c>
      <c r="D33">
        <v>67.400000000000006</v>
      </c>
      <c r="F33" s="5">
        <v>11.84</v>
      </c>
      <c r="I33" s="5">
        <v>11.52</v>
      </c>
    </row>
    <row r="34" spans="2:12">
      <c r="B34" s="3">
        <v>42756</v>
      </c>
      <c r="C34" t="s">
        <v>5</v>
      </c>
      <c r="D34">
        <v>268.57600000000002</v>
      </c>
      <c r="F34" s="5">
        <v>11.96</v>
      </c>
      <c r="I34" s="5">
        <v>11.84</v>
      </c>
    </row>
    <row r="35" spans="2:12">
      <c r="B35" s="3">
        <v>42758</v>
      </c>
      <c r="C35" t="s">
        <v>5</v>
      </c>
      <c r="D35">
        <v>4.9380000000000006</v>
      </c>
      <c r="F35" s="5">
        <v>12.127999999999997</v>
      </c>
      <c r="I35" s="5">
        <v>11.96</v>
      </c>
      <c r="L35" s="6" t="s">
        <v>28</v>
      </c>
    </row>
    <row r="36" spans="2:12">
      <c r="B36" s="3">
        <v>42759</v>
      </c>
      <c r="C36" t="s">
        <v>5</v>
      </c>
      <c r="D36">
        <v>276.78400000000005</v>
      </c>
      <c r="F36" s="5">
        <v>12.28</v>
      </c>
      <c r="I36" s="5">
        <v>12.12</v>
      </c>
      <c r="L36" s="8"/>
    </row>
    <row r="37" spans="2:12">
      <c r="B37" s="3">
        <v>42759</v>
      </c>
      <c r="C37" t="s">
        <v>5</v>
      </c>
      <c r="D37">
        <v>25.86</v>
      </c>
      <c r="F37" s="5">
        <v>12.7</v>
      </c>
      <c r="I37" s="5">
        <v>12.127999999999997</v>
      </c>
      <c r="L37" s="9" t="s">
        <v>29</v>
      </c>
    </row>
    <row r="38" spans="2:12">
      <c r="B38" s="3">
        <v>42738</v>
      </c>
      <c r="C38" t="s">
        <v>5</v>
      </c>
      <c r="D38">
        <v>9.120000000000001</v>
      </c>
      <c r="F38" s="5">
        <v>12.736000000000001</v>
      </c>
      <c r="I38" s="5">
        <v>12.28</v>
      </c>
      <c r="L38" s="9" t="s">
        <v>30</v>
      </c>
    </row>
    <row r="39" spans="2:12">
      <c r="B39" s="3">
        <v>42738</v>
      </c>
      <c r="C39" t="s">
        <v>5</v>
      </c>
      <c r="D39">
        <v>2022.2720000000002</v>
      </c>
      <c r="F39" s="5">
        <v>12.74</v>
      </c>
      <c r="I39" s="5">
        <v>12.7</v>
      </c>
      <c r="L39" s="9" t="s">
        <v>31</v>
      </c>
    </row>
    <row r="40" spans="2:12">
      <c r="B40" s="3">
        <v>42754</v>
      </c>
      <c r="C40" t="s">
        <v>5</v>
      </c>
      <c r="D40">
        <v>2.04</v>
      </c>
      <c r="F40" s="5">
        <v>12.96</v>
      </c>
      <c r="I40" s="5">
        <v>12.736000000000001</v>
      </c>
      <c r="L40" s="9" t="s">
        <v>32</v>
      </c>
    </row>
    <row r="41" spans="2:12">
      <c r="B41" s="3">
        <v>42754</v>
      </c>
      <c r="C41" t="s">
        <v>5</v>
      </c>
      <c r="D41">
        <v>542.93999999999994</v>
      </c>
      <c r="F41" s="5">
        <v>13.48</v>
      </c>
      <c r="I41" s="5">
        <v>12.74</v>
      </c>
      <c r="L41" s="9" t="s">
        <v>33</v>
      </c>
    </row>
    <row r="42" spans="2:12">
      <c r="B42" s="3">
        <v>42754</v>
      </c>
      <c r="C42" t="s">
        <v>5</v>
      </c>
      <c r="D42">
        <v>12.28</v>
      </c>
      <c r="F42" s="5">
        <v>13.747999999999998</v>
      </c>
      <c r="I42" s="5">
        <v>12.96</v>
      </c>
    </row>
    <row r="43" spans="2:12">
      <c r="B43" s="3">
        <v>42754</v>
      </c>
      <c r="C43" t="s">
        <v>5</v>
      </c>
      <c r="D43">
        <v>79.92</v>
      </c>
      <c r="F43" s="5">
        <v>14.015999999999998</v>
      </c>
      <c r="I43" s="5">
        <v>13.48</v>
      </c>
    </row>
    <row r="44" spans="2:12">
      <c r="B44" s="3">
        <v>42754</v>
      </c>
      <c r="C44" t="s">
        <v>5</v>
      </c>
      <c r="D44">
        <v>21.696000000000002</v>
      </c>
      <c r="F44" s="5">
        <v>14.399999999999999</v>
      </c>
      <c r="I44" s="5">
        <v>13.747999999999998</v>
      </c>
      <c r="L44" s="6" t="s">
        <v>34</v>
      </c>
    </row>
    <row r="45" spans="2:12">
      <c r="B45" s="3">
        <v>42747</v>
      </c>
      <c r="C45" t="s">
        <v>5</v>
      </c>
      <c r="D45">
        <v>760.97999999999979</v>
      </c>
      <c r="F45" s="5">
        <v>15.120000000000001</v>
      </c>
      <c r="I45" s="5">
        <v>14.015999999999998</v>
      </c>
      <c r="L45" s="8"/>
    </row>
    <row r="46" spans="2:12">
      <c r="B46" s="3">
        <v>42764</v>
      </c>
      <c r="C46" t="s">
        <v>5</v>
      </c>
      <c r="D46">
        <v>4.7679999999999998</v>
      </c>
      <c r="F46" s="5">
        <v>15.223999999999997</v>
      </c>
      <c r="I46" s="5">
        <v>14.399999999999999</v>
      </c>
      <c r="L46" s="9" t="s">
        <v>35</v>
      </c>
    </row>
    <row r="47" spans="2:12">
      <c r="B47" s="3">
        <v>42737</v>
      </c>
      <c r="C47" t="s">
        <v>5</v>
      </c>
      <c r="D47">
        <v>372.14400000000001</v>
      </c>
      <c r="F47" s="5">
        <v>15.469999999999999</v>
      </c>
      <c r="I47" s="5">
        <v>14.91</v>
      </c>
      <c r="L47" s="9" t="s">
        <v>36</v>
      </c>
    </row>
    <row r="48" spans="2:12">
      <c r="B48" s="3">
        <v>42737</v>
      </c>
      <c r="C48" t="s">
        <v>5</v>
      </c>
      <c r="D48">
        <v>5.4319999999999986</v>
      </c>
      <c r="F48" s="5">
        <v>15.66</v>
      </c>
      <c r="I48" s="5">
        <v>15.120000000000001</v>
      </c>
      <c r="L48" s="9" t="s">
        <v>37</v>
      </c>
    </row>
    <row r="49" spans="2:12">
      <c r="B49" s="3">
        <v>42737</v>
      </c>
      <c r="C49" t="s">
        <v>5</v>
      </c>
      <c r="D49">
        <v>31.744</v>
      </c>
      <c r="F49" s="5">
        <v>18.16</v>
      </c>
      <c r="I49" s="5">
        <v>15.223999999999997</v>
      </c>
      <c r="L49" s="9" t="s">
        <v>38</v>
      </c>
    </row>
    <row r="50" spans="2:12">
      <c r="B50" s="3">
        <v>42765</v>
      </c>
      <c r="C50" t="s">
        <v>5</v>
      </c>
      <c r="D50">
        <v>9.3439999999999994</v>
      </c>
      <c r="F50" s="5">
        <v>18.28</v>
      </c>
      <c r="I50" s="5">
        <v>15.469999999999999</v>
      </c>
    </row>
    <row r="51" spans="2:12">
      <c r="B51" s="3">
        <v>42765</v>
      </c>
      <c r="C51" t="s">
        <v>5</v>
      </c>
      <c r="D51">
        <v>31.680000000000003</v>
      </c>
      <c r="F51" s="5">
        <v>18.335999999999999</v>
      </c>
      <c r="I51" s="5">
        <v>15.66</v>
      </c>
    </row>
    <row r="52" spans="2:12">
      <c r="B52" s="3">
        <v>42736</v>
      </c>
      <c r="C52" t="s">
        <v>5</v>
      </c>
      <c r="D52">
        <v>15.223999999999997</v>
      </c>
      <c r="F52" s="5">
        <v>18.72</v>
      </c>
      <c r="I52" s="5">
        <v>16.59</v>
      </c>
    </row>
    <row r="53" spans="2:12">
      <c r="B53" s="3">
        <v>42736</v>
      </c>
      <c r="C53" t="s">
        <v>5</v>
      </c>
      <c r="D53">
        <v>13.747999999999998</v>
      </c>
      <c r="F53" s="5">
        <v>18.760000000000002</v>
      </c>
      <c r="I53" s="5">
        <v>18.16</v>
      </c>
    </row>
    <row r="54" spans="2:12">
      <c r="B54" s="3">
        <v>42736</v>
      </c>
      <c r="C54" t="s">
        <v>5</v>
      </c>
      <c r="D54">
        <v>6.469999999999998</v>
      </c>
      <c r="F54" s="5">
        <v>19.68</v>
      </c>
      <c r="I54" s="5">
        <v>18.28</v>
      </c>
    </row>
    <row r="55" spans="2:12">
      <c r="B55" s="3">
        <v>42736</v>
      </c>
      <c r="C55" t="s">
        <v>5</v>
      </c>
      <c r="D55">
        <v>12.736000000000001</v>
      </c>
      <c r="F55" s="5">
        <v>21.400000000000002</v>
      </c>
      <c r="I55" s="5">
        <v>18.335999999999999</v>
      </c>
    </row>
    <row r="56" spans="2:12">
      <c r="B56" s="3">
        <v>42736</v>
      </c>
      <c r="C56" t="s">
        <v>5</v>
      </c>
      <c r="D56">
        <v>454.56000000000006</v>
      </c>
      <c r="F56" s="5">
        <v>21.696000000000002</v>
      </c>
      <c r="I56" s="5">
        <v>18.72</v>
      </c>
    </row>
    <row r="57" spans="2:12">
      <c r="B57" s="3">
        <v>42757</v>
      </c>
      <c r="C57" t="s">
        <v>5</v>
      </c>
      <c r="D57">
        <v>7.8719999999999999</v>
      </c>
      <c r="F57" s="5">
        <v>21.744</v>
      </c>
      <c r="I57" s="5">
        <v>18.760000000000002</v>
      </c>
    </row>
    <row r="58" spans="2:12">
      <c r="B58" s="3">
        <v>42757</v>
      </c>
      <c r="C58" t="s">
        <v>5</v>
      </c>
      <c r="D58">
        <v>15.120000000000001</v>
      </c>
      <c r="F58" s="5">
        <v>24.2</v>
      </c>
      <c r="I58" s="5">
        <v>18.96</v>
      </c>
    </row>
    <row r="59" spans="2:12">
      <c r="B59" s="3">
        <v>42761</v>
      </c>
      <c r="C59" t="s">
        <v>5</v>
      </c>
      <c r="D59">
        <v>11.84</v>
      </c>
      <c r="F59" s="5">
        <v>25.86</v>
      </c>
      <c r="I59" s="5">
        <v>19.68</v>
      </c>
    </row>
    <row r="60" spans="2:12">
      <c r="B60" s="3">
        <v>42755</v>
      </c>
      <c r="C60" t="s">
        <v>5</v>
      </c>
      <c r="D60">
        <v>11.52</v>
      </c>
      <c r="F60" s="5">
        <v>25.92</v>
      </c>
      <c r="I60" s="5">
        <v>21.400000000000002</v>
      </c>
    </row>
    <row r="61" spans="2:12">
      <c r="B61" s="3">
        <v>42742</v>
      </c>
      <c r="C61" t="s">
        <v>5</v>
      </c>
      <c r="D61">
        <v>7.89</v>
      </c>
      <c r="F61" s="5">
        <v>27.936000000000003</v>
      </c>
      <c r="I61" s="5">
        <v>21.696000000000002</v>
      </c>
    </row>
    <row r="62" spans="2:12">
      <c r="B62" s="3">
        <v>42742</v>
      </c>
      <c r="C62" t="s">
        <v>5</v>
      </c>
      <c r="D62">
        <v>110.11</v>
      </c>
      <c r="F62" s="5">
        <v>28.854000000000006</v>
      </c>
      <c r="I62" s="5">
        <v>21.744</v>
      </c>
    </row>
    <row r="63" spans="2:12">
      <c r="B63" s="3">
        <v>42742</v>
      </c>
      <c r="C63" t="s">
        <v>5</v>
      </c>
      <c r="D63">
        <v>61.019999999999996</v>
      </c>
      <c r="F63" s="5">
        <v>31.680000000000003</v>
      </c>
      <c r="I63" s="5">
        <v>24.2</v>
      </c>
    </row>
    <row r="64" spans="2:12">
      <c r="B64" s="3">
        <v>42742</v>
      </c>
      <c r="C64" t="s">
        <v>5</v>
      </c>
      <c r="D64">
        <v>153.78</v>
      </c>
      <c r="F64" s="5">
        <v>31.744</v>
      </c>
      <c r="I64" s="5">
        <v>25.86</v>
      </c>
    </row>
    <row r="65" spans="2:9">
      <c r="B65" s="3">
        <v>42744</v>
      </c>
      <c r="C65" t="s">
        <v>5</v>
      </c>
      <c r="D65">
        <v>274.49100000000004</v>
      </c>
      <c r="F65" s="5">
        <v>32.35</v>
      </c>
      <c r="I65" s="5">
        <v>25.92</v>
      </c>
    </row>
    <row r="66" spans="2:9">
      <c r="B66" s="3">
        <v>42764</v>
      </c>
      <c r="C66" t="s">
        <v>5</v>
      </c>
      <c r="D66">
        <v>5.22</v>
      </c>
      <c r="F66" s="5">
        <v>32.400000000000006</v>
      </c>
      <c r="I66" s="5">
        <v>27.92</v>
      </c>
    </row>
    <row r="67" spans="2:9">
      <c r="B67" s="3">
        <v>42749</v>
      </c>
      <c r="C67" t="s">
        <v>5</v>
      </c>
      <c r="D67">
        <v>154.9</v>
      </c>
      <c r="F67" s="5">
        <v>32.783999999999992</v>
      </c>
      <c r="I67" s="5">
        <v>27.936000000000003</v>
      </c>
    </row>
    <row r="68" spans="2:9">
      <c r="B68" s="3">
        <v>42736</v>
      </c>
      <c r="C68" t="s">
        <v>5</v>
      </c>
      <c r="D68">
        <v>3.6</v>
      </c>
      <c r="F68" s="5">
        <v>33.74</v>
      </c>
      <c r="I68" s="5">
        <v>28.854000000000006</v>
      </c>
    </row>
    <row r="69" spans="2:9">
      <c r="B69" s="3">
        <v>42748</v>
      </c>
      <c r="C69" t="s">
        <v>5</v>
      </c>
      <c r="D69">
        <v>4164.0499999999993</v>
      </c>
      <c r="F69" s="5">
        <v>34.384</v>
      </c>
      <c r="I69" s="5">
        <v>31.680000000000003</v>
      </c>
    </row>
    <row r="70" spans="2:9">
      <c r="B70" s="3">
        <v>42748</v>
      </c>
      <c r="C70" t="s">
        <v>5</v>
      </c>
      <c r="D70">
        <v>209.94</v>
      </c>
      <c r="F70" s="5">
        <v>35.783999999999999</v>
      </c>
      <c r="I70" s="5">
        <v>31.744</v>
      </c>
    </row>
    <row r="71" spans="2:9">
      <c r="B71" s="3">
        <v>42748</v>
      </c>
      <c r="C71" t="s">
        <v>5</v>
      </c>
      <c r="D71">
        <v>32.400000000000006</v>
      </c>
      <c r="F71" s="5">
        <v>36.288000000000011</v>
      </c>
      <c r="I71" s="5">
        <v>31.968000000000004</v>
      </c>
    </row>
    <row r="72" spans="2:9">
      <c r="B72" s="3">
        <v>42751</v>
      </c>
      <c r="C72" t="s">
        <v>5</v>
      </c>
      <c r="D72">
        <v>56.07</v>
      </c>
      <c r="F72" s="5">
        <v>38.880000000000003</v>
      </c>
      <c r="I72" s="5">
        <v>32.35</v>
      </c>
    </row>
    <row r="73" spans="2:9">
      <c r="B73" s="3">
        <v>42751</v>
      </c>
      <c r="C73" t="s">
        <v>5</v>
      </c>
      <c r="D73">
        <v>5443.96</v>
      </c>
      <c r="F73" s="5">
        <v>40.08</v>
      </c>
      <c r="I73" s="5">
        <v>32.400000000000006</v>
      </c>
    </row>
    <row r="74" spans="2:9">
      <c r="B74" s="3">
        <v>42750</v>
      </c>
      <c r="C74" t="s">
        <v>5</v>
      </c>
      <c r="D74">
        <v>4.2759999999999989</v>
      </c>
      <c r="F74" s="5">
        <v>40.299999999999997</v>
      </c>
      <c r="I74" s="5">
        <v>32.783999999999992</v>
      </c>
    </row>
    <row r="75" spans="2:9">
      <c r="B75" s="3">
        <v>42750</v>
      </c>
      <c r="C75" t="s">
        <v>5</v>
      </c>
      <c r="D75">
        <v>32.783999999999992</v>
      </c>
      <c r="F75" s="5">
        <v>51.449999999999996</v>
      </c>
      <c r="I75" s="5">
        <v>33.74</v>
      </c>
    </row>
    <row r="76" spans="2:9">
      <c r="B76" s="3">
        <v>42758</v>
      </c>
      <c r="C76" t="s">
        <v>5</v>
      </c>
      <c r="D76">
        <v>6.48</v>
      </c>
      <c r="F76" s="5">
        <v>56.07</v>
      </c>
      <c r="I76" s="5">
        <v>34.384</v>
      </c>
    </row>
    <row r="77" spans="2:9">
      <c r="B77" s="3">
        <v>42758</v>
      </c>
      <c r="C77" t="s">
        <v>5</v>
      </c>
      <c r="D77">
        <v>25.92</v>
      </c>
      <c r="F77" s="5">
        <v>61.019999999999996</v>
      </c>
      <c r="I77" s="5">
        <v>34.580000000000005</v>
      </c>
    </row>
    <row r="78" spans="2:9">
      <c r="B78" s="3">
        <v>42758</v>
      </c>
      <c r="C78" t="s">
        <v>5</v>
      </c>
      <c r="D78">
        <v>19.68</v>
      </c>
      <c r="F78" s="5">
        <v>67.400000000000006</v>
      </c>
      <c r="I78" s="5">
        <v>35.783999999999999</v>
      </c>
    </row>
    <row r="79" spans="2:9">
      <c r="B79" s="3">
        <v>42747</v>
      </c>
      <c r="C79" t="s">
        <v>5</v>
      </c>
      <c r="D79">
        <v>9.7799999999999994</v>
      </c>
      <c r="F79" s="5">
        <v>79.92</v>
      </c>
      <c r="I79" s="5">
        <v>36.288000000000011</v>
      </c>
    </row>
    <row r="80" spans="2:9">
      <c r="B80" s="3">
        <v>42761</v>
      </c>
      <c r="C80" t="s">
        <v>5</v>
      </c>
      <c r="D80">
        <v>18.16</v>
      </c>
      <c r="F80" s="5">
        <v>89.52</v>
      </c>
      <c r="I80" s="5">
        <v>37.68</v>
      </c>
    </row>
    <row r="81" spans="2:9">
      <c r="B81" s="3">
        <v>42755</v>
      </c>
      <c r="C81" t="s">
        <v>5</v>
      </c>
      <c r="D81">
        <v>3.52</v>
      </c>
      <c r="F81" s="5">
        <v>94.85</v>
      </c>
      <c r="I81" s="5">
        <v>37.74</v>
      </c>
    </row>
    <row r="82" spans="2:9">
      <c r="B82" s="3">
        <v>42738</v>
      </c>
      <c r="C82" t="s">
        <v>5</v>
      </c>
      <c r="D82">
        <v>38.880000000000003</v>
      </c>
      <c r="F82" s="5">
        <v>99.695999999999998</v>
      </c>
      <c r="I82" s="5">
        <v>38.880000000000003</v>
      </c>
    </row>
    <row r="83" spans="2:9">
      <c r="B83" s="3">
        <v>42750</v>
      </c>
      <c r="C83" t="s">
        <v>5</v>
      </c>
      <c r="D83">
        <v>21.400000000000002</v>
      </c>
      <c r="F83" s="5">
        <v>110.11</v>
      </c>
      <c r="I83" s="5">
        <v>40.08</v>
      </c>
    </row>
    <row r="84" spans="2:9">
      <c r="B84" s="3">
        <v>42764</v>
      </c>
      <c r="C84" t="s">
        <v>5</v>
      </c>
      <c r="D84">
        <v>119.61600000000001</v>
      </c>
      <c r="F84" s="5">
        <v>119.61600000000001</v>
      </c>
      <c r="I84" s="5">
        <v>40.299999999999997</v>
      </c>
    </row>
    <row r="85" spans="2:9">
      <c r="B85" s="3">
        <v>42764</v>
      </c>
      <c r="C85" t="s">
        <v>5</v>
      </c>
      <c r="D85">
        <v>8.57</v>
      </c>
      <c r="F85" s="5">
        <v>129.30000000000001</v>
      </c>
      <c r="I85" s="5">
        <v>47.984000000000002</v>
      </c>
    </row>
    <row r="86" spans="2:9">
      <c r="B86" s="3">
        <v>42764</v>
      </c>
      <c r="C86" t="s">
        <v>5</v>
      </c>
      <c r="D86">
        <v>8.34</v>
      </c>
      <c r="F86" s="5">
        <v>153.78</v>
      </c>
      <c r="I86" s="5">
        <v>48.896000000000001</v>
      </c>
    </row>
    <row r="87" spans="2:9">
      <c r="B87" s="3">
        <v>42741</v>
      </c>
      <c r="C87" t="s">
        <v>5</v>
      </c>
      <c r="D87">
        <v>33.74</v>
      </c>
      <c r="F87" s="5">
        <v>154.9</v>
      </c>
      <c r="I87" s="5">
        <v>51.449999999999996</v>
      </c>
    </row>
    <row r="88" spans="2:9">
      <c r="B88" s="3">
        <v>42749</v>
      </c>
      <c r="C88" t="s">
        <v>5</v>
      </c>
      <c r="D88">
        <v>2.508</v>
      </c>
      <c r="F88" s="5">
        <v>168.624</v>
      </c>
      <c r="I88" s="5">
        <v>56.07</v>
      </c>
    </row>
    <row r="89" spans="2:9">
      <c r="B89" s="3">
        <v>42749</v>
      </c>
      <c r="C89" t="s">
        <v>5</v>
      </c>
      <c r="D89">
        <v>5.9700000000000006</v>
      </c>
      <c r="F89" s="5">
        <v>209.94</v>
      </c>
      <c r="I89" s="5">
        <v>61.019999999999996</v>
      </c>
    </row>
    <row r="90" spans="2:9">
      <c r="B90" s="3">
        <v>42749</v>
      </c>
      <c r="C90" t="s">
        <v>5</v>
      </c>
      <c r="D90">
        <v>36.288000000000011</v>
      </c>
      <c r="F90" s="5">
        <v>242.94</v>
      </c>
      <c r="I90" s="5">
        <v>62.591999999999999</v>
      </c>
    </row>
    <row r="91" spans="2:9">
      <c r="B91" s="3">
        <v>42749</v>
      </c>
      <c r="C91" t="s">
        <v>5</v>
      </c>
      <c r="D91">
        <v>18.335999999999999</v>
      </c>
      <c r="F91" s="5">
        <v>268.57600000000002</v>
      </c>
      <c r="I91" s="5">
        <v>62.72</v>
      </c>
    </row>
    <row r="92" spans="2:9">
      <c r="B92" s="3">
        <v>42763</v>
      </c>
      <c r="C92" t="s">
        <v>5</v>
      </c>
      <c r="D92">
        <v>279.89999999999998</v>
      </c>
      <c r="F92" s="5">
        <v>274.49100000000004</v>
      </c>
      <c r="I92" s="5">
        <v>67.400000000000006</v>
      </c>
    </row>
    <row r="93" spans="2:9">
      <c r="B93" s="3">
        <v>42749</v>
      </c>
      <c r="C93" t="s">
        <v>5</v>
      </c>
      <c r="D93">
        <v>168.624</v>
      </c>
      <c r="F93" s="5">
        <v>276.78400000000005</v>
      </c>
      <c r="I93" s="5">
        <v>67.8</v>
      </c>
    </row>
    <row r="94" spans="2:9">
      <c r="B94" s="3">
        <v>42765</v>
      </c>
      <c r="C94" t="s">
        <v>5</v>
      </c>
      <c r="D94">
        <v>8.82</v>
      </c>
      <c r="F94" s="5">
        <v>279.89999999999998</v>
      </c>
      <c r="I94" s="5">
        <v>69.375</v>
      </c>
    </row>
    <row r="95" spans="2:9">
      <c r="B95" s="3">
        <v>42765</v>
      </c>
      <c r="C95" t="s">
        <v>5</v>
      </c>
      <c r="D95">
        <v>12.74</v>
      </c>
      <c r="F95" s="5">
        <v>348.20799999999997</v>
      </c>
      <c r="I95" s="5">
        <v>71.975999999999999</v>
      </c>
    </row>
    <row r="96" spans="2:9">
      <c r="B96" s="3">
        <v>42750</v>
      </c>
      <c r="C96" t="s">
        <v>5</v>
      </c>
      <c r="D96">
        <v>12.7</v>
      </c>
      <c r="F96" s="5">
        <v>372.14400000000001</v>
      </c>
      <c r="I96" s="5">
        <v>79.92</v>
      </c>
    </row>
    <row r="97" spans="2:9">
      <c r="B97" s="3">
        <v>42764</v>
      </c>
      <c r="C97" t="s">
        <v>5</v>
      </c>
      <c r="D97">
        <v>12.127999999999997</v>
      </c>
      <c r="F97" s="5">
        <v>454.56000000000006</v>
      </c>
      <c r="I97" s="5">
        <v>84.98</v>
      </c>
    </row>
    <row r="98" spans="2:9">
      <c r="B98" s="3">
        <v>42765</v>
      </c>
      <c r="C98" t="s">
        <v>5</v>
      </c>
      <c r="D98">
        <v>129.30000000000001</v>
      </c>
      <c r="F98" s="5">
        <v>542.93999999999994</v>
      </c>
      <c r="I98" s="5">
        <v>86.352000000000004</v>
      </c>
    </row>
    <row r="99" spans="2:9">
      <c r="B99" s="3">
        <v>42761</v>
      </c>
      <c r="C99" t="s">
        <v>5</v>
      </c>
      <c r="D99">
        <v>7.16</v>
      </c>
      <c r="F99" s="5">
        <v>760.97999999999979</v>
      </c>
      <c r="I99" s="5">
        <v>89.52</v>
      </c>
    </row>
    <row r="100" spans="2:9">
      <c r="B100" s="3">
        <v>42761</v>
      </c>
      <c r="C100" t="s">
        <v>5</v>
      </c>
      <c r="D100">
        <v>15.469999999999999</v>
      </c>
      <c r="F100" s="5">
        <v>1126.02</v>
      </c>
      <c r="I100" s="5">
        <v>94.85</v>
      </c>
    </row>
    <row r="101" spans="2:9">
      <c r="B101" s="3">
        <v>42750</v>
      </c>
      <c r="C101" t="s">
        <v>5</v>
      </c>
      <c r="D101">
        <v>1924.1599999999999</v>
      </c>
      <c r="F101" s="5">
        <v>1924.1599999999999</v>
      </c>
      <c r="I101" s="5">
        <v>95.984000000000009</v>
      </c>
    </row>
    <row r="102" spans="2:9">
      <c r="B102" s="3">
        <v>42750</v>
      </c>
      <c r="C102" t="s">
        <v>5</v>
      </c>
      <c r="D102">
        <v>34.384</v>
      </c>
      <c r="F102" s="5">
        <v>2022.2720000000002</v>
      </c>
      <c r="I102" s="5">
        <v>99.695999999999998</v>
      </c>
    </row>
    <row r="103" spans="2:9">
      <c r="B103" s="3">
        <v>42756</v>
      </c>
      <c r="C103" t="s">
        <v>5</v>
      </c>
      <c r="D103">
        <v>89.52</v>
      </c>
      <c r="F103" s="5">
        <v>4164.0499999999993</v>
      </c>
      <c r="I103" s="5">
        <v>107.982</v>
      </c>
    </row>
    <row r="104" spans="2:9">
      <c r="B104" s="3">
        <v>42756</v>
      </c>
      <c r="C104" t="s">
        <v>5</v>
      </c>
      <c r="D104">
        <v>14.399999999999999</v>
      </c>
      <c r="F104" s="5">
        <v>5443.96</v>
      </c>
      <c r="I104" s="5">
        <v>110.11</v>
      </c>
    </row>
    <row r="105" spans="2:9">
      <c r="B105" s="3">
        <v>42755</v>
      </c>
      <c r="C105" t="s">
        <v>5</v>
      </c>
      <c r="D105">
        <v>24.2</v>
      </c>
      <c r="F105" s="5" t="s">
        <v>7</v>
      </c>
      <c r="I105" s="5">
        <v>110.352</v>
      </c>
    </row>
    <row r="106" spans="2:9">
      <c r="B106" s="3">
        <v>42759</v>
      </c>
      <c r="C106" t="s">
        <v>5</v>
      </c>
      <c r="D106">
        <v>5.67</v>
      </c>
      <c r="I106" s="5">
        <v>111.98399999999999</v>
      </c>
    </row>
    <row r="107" spans="2:9">
      <c r="B107" s="3">
        <v>42757</v>
      </c>
      <c r="C107" t="s">
        <v>5</v>
      </c>
      <c r="D107">
        <v>51.449999999999996</v>
      </c>
      <c r="I107" s="5">
        <v>119.61600000000001</v>
      </c>
    </row>
    <row r="108" spans="2:9">
      <c r="B108" s="3">
        <v>42757</v>
      </c>
      <c r="C108" t="s">
        <v>5</v>
      </c>
      <c r="D108">
        <v>11.96</v>
      </c>
      <c r="I108" s="5">
        <v>120.78399999999999</v>
      </c>
    </row>
    <row r="109" spans="2:9">
      <c r="B109" s="3">
        <v>42757</v>
      </c>
      <c r="C109" t="s">
        <v>5</v>
      </c>
      <c r="D109">
        <v>1126.02</v>
      </c>
      <c r="I109" s="5">
        <v>129.30000000000001</v>
      </c>
    </row>
    <row r="110" spans="2:9">
      <c r="B110" s="3">
        <v>42762</v>
      </c>
      <c r="C110" t="s">
        <v>5</v>
      </c>
      <c r="D110">
        <v>14.015999999999998</v>
      </c>
      <c r="I110" s="5">
        <v>137.94</v>
      </c>
    </row>
    <row r="111" spans="2:9">
      <c r="B111" s="3">
        <v>42742</v>
      </c>
      <c r="C111" t="s">
        <v>5</v>
      </c>
      <c r="D111">
        <v>2.8080000000000007</v>
      </c>
      <c r="I111" s="5">
        <v>141.41999999999999</v>
      </c>
    </row>
    <row r="112" spans="2:9">
      <c r="B112" s="3">
        <v>42754</v>
      </c>
      <c r="C112" t="s">
        <v>5</v>
      </c>
      <c r="D112">
        <v>6</v>
      </c>
      <c r="I112" s="5">
        <v>153.78</v>
      </c>
    </row>
    <row r="113" spans="2:9">
      <c r="B113" s="3">
        <v>42747</v>
      </c>
      <c r="C113" t="s">
        <v>5</v>
      </c>
      <c r="D113">
        <v>40.08</v>
      </c>
      <c r="I113" s="5">
        <v>154.9</v>
      </c>
    </row>
    <row r="114" spans="2:9">
      <c r="B114" s="3">
        <v>42737</v>
      </c>
      <c r="C114" t="s">
        <v>5</v>
      </c>
      <c r="D114">
        <v>28.854000000000006</v>
      </c>
      <c r="I114" s="5">
        <v>159.80000000000001</v>
      </c>
    </row>
    <row r="115" spans="2:9">
      <c r="B115" s="3">
        <v>42737</v>
      </c>
      <c r="C115" t="s">
        <v>5</v>
      </c>
      <c r="D115">
        <v>15.66</v>
      </c>
      <c r="I115" s="5">
        <v>160.77600000000001</v>
      </c>
    </row>
    <row r="116" spans="2:9">
      <c r="B116" s="3">
        <v>42749</v>
      </c>
      <c r="C116" t="s">
        <v>5</v>
      </c>
      <c r="D116">
        <v>21.744</v>
      </c>
      <c r="I116" s="5">
        <v>164.99</v>
      </c>
    </row>
    <row r="117" spans="2:9">
      <c r="B117" s="3">
        <v>42756</v>
      </c>
      <c r="C117" t="s">
        <v>5</v>
      </c>
      <c r="D117">
        <v>35.783999999999999</v>
      </c>
      <c r="I117" s="5">
        <v>168.624</v>
      </c>
    </row>
    <row r="118" spans="2:9">
      <c r="B118" s="3">
        <v>42756</v>
      </c>
      <c r="C118" t="s">
        <v>5</v>
      </c>
      <c r="D118">
        <v>348.20799999999997</v>
      </c>
      <c r="I118" s="5">
        <v>169.06400000000002</v>
      </c>
    </row>
    <row r="119" spans="2:9">
      <c r="B119" s="3">
        <v>42765</v>
      </c>
      <c r="C119" t="s">
        <v>5</v>
      </c>
      <c r="D119">
        <v>40.299999999999997</v>
      </c>
      <c r="I119" s="5">
        <v>179.97</v>
      </c>
    </row>
    <row r="120" spans="2:9">
      <c r="B120" s="3">
        <v>42765</v>
      </c>
      <c r="C120" t="s">
        <v>5</v>
      </c>
      <c r="D120">
        <v>7.71</v>
      </c>
      <c r="I120" s="5">
        <v>207</v>
      </c>
    </row>
    <row r="121" spans="2:9">
      <c r="B121" s="3">
        <v>42765</v>
      </c>
      <c r="C121" t="s">
        <v>5</v>
      </c>
      <c r="D121">
        <v>32.35</v>
      </c>
      <c r="I121" s="5">
        <v>207.84600000000003</v>
      </c>
    </row>
    <row r="122" spans="2:9">
      <c r="B122" s="3">
        <v>42765</v>
      </c>
      <c r="C122" t="s">
        <v>5</v>
      </c>
      <c r="D122">
        <v>18.28</v>
      </c>
      <c r="I122" s="5">
        <v>209.94</v>
      </c>
    </row>
    <row r="123" spans="2:9">
      <c r="B123" s="3">
        <v>42756</v>
      </c>
      <c r="C123" t="s">
        <v>5</v>
      </c>
      <c r="D123">
        <v>18.72</v>
      </c>
      <c r="I123" s="5">
        <v>210.98</v>
      </c>
    </row>
    <row r="124" spans="2:9">
      <c r="B124" s="3">
        <v>42756</v>
      </c>
      <c r="C124" t="s">
        <v>5</v>
      </c>
      <c r="D124">
        <v>27.936000000000003</v>
      </c>
      <c r="I124" s="5">
        <v>212.94</v>
      </c>
    </row>
    <row r="125" spans="2:9">
      <c r="B125" s="3">
        <v>42756</v>
      </c>
      <c r="C125" t="s">
        <v>5</v>
      </c>
      <c r="D125">
        <v>99.695999999999998</v>
      </c>
      <c r="I125" s="5">
        <v>239.96999999999997</v>
      </c>
    </row>
    <row r="126" spans="2:9">
      <c r="B126" s="3">
        <v>42756</v>
      </c>
      <c r="C126" t="s">
        <v>5</v>
      </c>
      <c r="D126">
        <v>242.94</v>
      </c>
      <c r="I126" s="5">
        <v>242.94</v>
      </c>
    </row>
    <row r="127" spans="2:9">
      <c r="B127" s="3">
        <v>42749</v>
      </c>
      <c r="C127" t="s">
        <v>4</v>
      </c>
      <c r="D127">
        <v>159.80000000000001</v>
      </c>
      <c r="I127" s="5">
        <v>268.57600000000002</v>
      </c>
    </row>
    <row r="128" spans="2:9">
      <c r="B128" s="3">
        <v>42749</v>
      </c>
      <c r="C128" t="s">
        <v>4</v>
      </c>
      <c r="D128">
        <v>12.12</v>
      </c>
      <c r="I128" s="5">
        <v>274.49100000000004</v>
      </c>
    </row>
    <row r="129" spans="2:9">
      <c r="B129" s="3">
        <v>42749</v>
      </c>
      <c r="C129" t="s">
        <v>4</v>
      </c>
      <c r="D129">
        <v>67.8</v>
      </c>
      <c r="I129" s="5">
        <v>276.78400000000005</v>
      </c>
    </row>
    <row r="130" spans="2:9">
      <c r="B130" s="3">
        <v>42737</v>
      </c>
      <c r="C130" t="s">
        <v>4</v>
      </c>
      <c r="D130">
        <v>16.59</v>
      </c>
      <c r="I130" s="5">
        <v>279.89999999999998</v>
      </c>
    </row>
    <row r="131" spans="2:9">
      <c r="B131" s="3">
        <v>42758</v>
      </c>
      <c r="C131" t="s">
        <v>4</v>
      </c>
      <c r="D131">
        <v>95.984000000000009</v>
      </c>
      <c r="I131" s="5">
        <v>302.67</v>
      </c>
    </row>
    <row r="132" spans="2:9">
      <c r="B132" s="3">
        <v>42759</v>
      </c>
      <c r="C132" t="s">
        <v>4</v>
      </c>
      <c r="D132">
        <v>110.352</v>
      </c>
      <c r="I132" s="5">
        <v>310.74399999999997</v>
      </c>
    </row>
    <row r="133" spans="2:9">
      <c r="B133" s="3">
        <v>42754</v>
      </c>
      <c r="C133" t="s">
        <v>4</v>
      </c>
      <c r="D133">
        <v>429.59999999999997</v>
      </c>
      <c r="I133" s="5">
        <v>348.20799999999997</v>
      </c>
    </row>
    <row r="134" spans="2:9">
      <c r="B134" s="3">
        <v>42765</v>
      </c>
      <c r="C134" t="s">
        <v>4</v>
      </c>
      <c r="D134">
        <v>604.76800000000003</v>
      </c>
      <c r="I134" s="5">
        <v>350.97300000000007</v>
      </c>
    </row>
    <row r="135" spans="2:9">
      <c r="B135" s="3">
        <v>42761</v>
      </c>
      <c r="C135" t="s">
        <v>4</v>
      </c>
      <c r="D135">
        <v>2939.9300000000003</v>
      </c>
      <c r="I135" s="5">
        <v>359.97600000000006</v>
      </c>
    </row>
    <row r="136" spans="2:9">
      <c r="B136" s="3">
        <v>42765</v>
      </c>
      <c r="C136" t="s">
        <v>4</v>
      </c>
      <c r="D136">
        <v>2003.1680000000001</v>
      </c>
      <c r="I136" s="5">
        <v>372.14400000000001</v>
      </c>
    </row>
    <row r="137" spans="2:9">
      <c r="B137" s="3">
        <v>42762</v>
      </c>
      <c r="C137" t="s">
        <v>4</v>
      </c>
      <c r="D137">
        <v>137.94</v>
      </c>
      <c r="I137" s="5">
        <v>399.67200000000003</v>
      </c>
    </row>
    <row r="138" spans="2:9">
      <c r="B138" s="3">
        <v>42763</v>
      </c>
      <c r="C138" t="s">
        <v>4</v>
      </c>
      <c r="D138">
        <v>449.91</v>
      </c>
      <c r="I138" s="5">
        <v>419.13599999999997</v>
      </c>
    </row>
    <row r="139" spans="2:9">
      <c r="B139" s="3">
        <v>42750</v>
      </c>
      <c r="C139" t="s">
        <v>4</v>
      </c>
      <c r="D139">
        <v>62.591999999999999</v>
      </c>
      <c r="I139" s="5">
        <v>429.59999999999997</v>
      </c>
    </row>
    <row r="140" spans="2:9">
      <c r="B140" s="3">
        <v>42750</v>
      </c>
      <c r="C140" t="s">
        <v>4</v>
      </c>
      <c r="D140">
        <v>47.984000000000002</v>
      </c>
      <c r="I140" s="5">
        <v>449.91</v>
      </c>
    </row>
    <row r="141" spans="2:9">
      <c r="B141" s="3">
        <v>42758</v>
      </c>
      <c r="C141" t="s">
        <v>4</v>
      </c>
      <c r="D141">
        <v>86.352000000000004</v>
      </c>
      <c r="I141" s="5">
        <v>454.56000000000006</v>
      </c>
    </row>
    <row r="142" spans="2:9">
      <c r="B142" s="3">
        <v>42749</v>
      </c>
      <c r="C142" t="s">
        <v>4</v>
      </c>
      <c r="D142">
        <v>111.98399999999999</v>
      </c>
      <c r="I142" s="5">
        <v>474.43</v>
      </c>
    </row>
    <row r="143" spans="2:9">
      <c r="B143" s="3">
        <v>42749</v>
      </c>
      <c r="C143" t="s">
        <v>4</v>
      </c>
      <c r="D143">
        <v>169.06400000000002</v>
      </c>
      <c r="I143" s="5">
        <v>542.93999999999994</v>
      </c>
    </row>
    <row r="144" spans="2:9">
      <c r="B144" s="3">
        <v>42756</v>
      </c>
      <c r="C144" t="s">
        <v>4</v>
      </c>
      <c r="D144">
        <v>164.99</v>
      </c>
      <c r="I144" s="5">
        <v>604.76800000000003</v>
      </c>
    </row>
    <row r="145" spans="2:9">
      <c r="B145" s="3">
        <v>42756</v>
      </c>
      <c r="C145" t="s">
        <v>4</v>
      </c>
      <c r="D145">
        <v>350.97300000000007</v>
      </c>
      <c r="I145" s="5">
        <v>619.94999999999993</v>
      </c>
    </row>
    <row r="146" spans="2:9">
      <c r="B146" s="3">
        <v>42756</v>
      </c>
      <c r="C146" t="s">
        <v>4</v>
      </c>
      <c r="D146">
        <v>619.94999999999993</v>
      </c>
      <c r="I146" s="5">
        <v>695.7</v>
      </c>
    </row>
    <row r="147" spans="2:9">
      <c r="B147" s="3">
        <v>42755</v>
      </c>
      <c r="C147" t="s">
        <v>4</v>
      </c>
      <c r="D147">
        <v>359.97600000000006</v>
      </c>
      <c r="I147" s="5">
        <v>760.97999999999979</v>
      </c>
    </row>
    <row r="148" spans="2:9">
      <c r="B148" s="3">
        <v>42757</v>
      </c>
      <c r="C148" t="s">
        <v>4</v>
      </c>
      <c r="D148">
        <v>2999.95</v>
      </c>
      <c r="I148" s="5">
        <v>887.27099999999984</v>
      </c>
    </row>
    <row r="149" spans="2:9">
      <c r="B149" s="3">
        <v>42762</v>
      </c>
      <c r="C149" t="s">
        <v>4</v>
      </c>
      <c r="D149">
        <v>107.982</v>
      </c>
      <c r="I149" s="5">
        <v>892.98</v>
      </c>
    </row>
    <row r="150" spans="2:9">
      <c r="B150" s="3">
        <v>42762</v>
      </c>
      <c r="C150" t="s">
        <v>4</v>
      </c>
      <c r="D150">
        <v>71.975999999999999</v>
      </c>
      <c r="I150" s="5">
        <v>913.43000000000006</v>
      </c>
    </row>
    <row r="151" spans="2:9">
      <c r="B151" s="3">
        <v>42755</v>
      </c>
      <c r="C151" t="s">
        <v>4</v>
      </c>
      <c r="D151">
        <v>160.77600000000001</v>
      </c>
      <c r="I151" s="5">
        <v>1126.02</v>
      </c>
    </row>
    <row r="152" spans="2:9">
      <c r="B152" s="3">
        <v>42763</v>
      </c>
      <c r="C152" t="s">
        <v>4</v>
      </c>
      <c r="D152">
        <v>239.96999999999997</v>
      </c>
      <c r="I152" s="5">
        <v>1924.1599999999999</v>
      </c>
    </row>
    <row r="153" spans="2:9">
      <c r="B153" s="3">
        <v>42737</v>
      </c>
      <c r="C153" t="s">
        <v>4</v>
      </c>
      <c r="D153">
        <v>695.7</v>
      </c>
      <c r="I153" s="5">
        <v>2003.1680000000001</v>
      </c>
    </row>
    <row r="154" spans="2:9">
      <c r="B154" s="3">
        <v>42749</v>
      </c>
      <c r="C154" t="s">
        <v>4</v>
      </c>
      <c r="D154">
        <v>7.92</v>
      </c>
      <c r="I154" s="5">
        <v>2022.2720000000002</v>
      </c>
    </row>
    <row r="155" spans="2:9">
      <c r="B155" s="3">
        <v>42742</v>
      </c>
      <c r="C155" t="s">
        <v>4</v>
      </c>
      <c r="D155">
        <v>3059.982</v>
      </c>
      <c r="I155" s="5">
        <v>2939.9300000000003</v>
      </c>
    </row>
    <row r="156" spans="2:9">
      <c r="B156" s="3">
        <v>42765</v>
      </c>
      <c r="C156" t="s">
        <v>4</v>
      </c>
      <c r="D156">
        <v>207</v>
      </c>
      <c r="I156" s="5">
        <v>2999.95</v>
      </c>
    </row>
    <row r="157" spans="2:9">
      <c r="B157" s="3">
        <v>42756</v>
      </c>
      <c r="C157" t="s">
        <v>4</v>
      </c>
      <c r="D157">
        <v>179.97</v>
      </c>
      <c r="I157" s="5">
        <v>3059.982</v>
      </c>
    </row>
    <row r="158" spans="2:9">
      <c r="B158" s="3">
        <v>42965</v>
      </c>
      <c r="C158" t="s">
        <v>5</v>
      </c>
      <c r="D158">
        <v>107.42400000000001</v>
      </c>
      <c r="I158" s="5">
        <v>4164.0499999999993</v>
      </c>
    </row>
    <row r="159" spans="2:9">
      <c r="B159" s="3">
        <v>42965</v>
      </c>
      <c r="C159" t="s">
        <v>4</v>
      </c>
      <c r="D159">
        <v>37.909999999999997</v>
      </c>
      <c r="I159" s="5">
        <v>5443.96</v>
      </c>
    </row>
    <row r="160" spans="2:9">
      <c r="B160" s="3">
        <v>42965</v>
      </c>
      <c r="C160" t="s">
        <v>3</v>
      </c>
      <c r="D160">
        <v>88.02</v>
      </c>
      <c r="I160" s="5" t="s">
        <v>7</v>
      </c>
    </row>
    <row r="161" spans="2:4">
      <c r="B161" s="3">
        <v>42993</v>
      </c>
      <c r="C161" t="s">
        <v>3</v>
      </c>
      <c r="D161">
        <v>35.56</v>
      </c>
    </row>
    <row r="162" spans="2:4">
      <c r="B162" s="3">
        <v>42874</v>
      </c>
      <c r="C162" t="s">
        <v>5</v>
      </c>
      <c r="D162">
        <v>97.16</v>
      </c>
    </row>
    <row r="163" spans="2:4">
      <c r="B163" s="3">
        <v>43086</v>
      </c>
      <c r="C163" t="s">
        <v>5</v>
      </c>
      <c r="D163">
        <v>15.24</v>
      </c>
    </row>
    <row r="164" spans="2:4">
      <c r="B164" s="3">
        <v>43086</v>
      </c>
      <c r="C164" t="s">
        <v>5</v>
      </c>
      <c r="D164">
        <v>13.23</v>
      </c>
    </row>
    <row r="165" spans="2:4">
      <c r="B165" s="3">
        <v>43002</v>
      </c>
      <c r="C165" t="s">
        <v>4</v>
      </c>
      <c r="D165">
        <v>17.880000000000003</v>
      </c>
    </row>
    <row r="166" spans="2:4">
      <c r="B166" s="3">
        <v>43002</v>
      </c>
      <c r="C166" t="s">
        <v>5</v>
      </c>
      <c r="D166">
        <v>235.94400000000002</v>
      </c>
    </row>
    <row r="167" spans="2:4">
      <c r="B167" s="3">
        <v>42946</v>
      </c>
      <c r="C167" t="s">
        <v>5</v>
      </c>
      <c r="D167">
        <v>330.4</v>
      </c>
    </row>
    <row r="168" spans="2:4">
      <c r="B168" s="3">
        <v>42946</v>
      </c>
      <c r="C168" t="s">
        <v>5</v>
      </c>
      <c r="D168">
        <v>26.25</v>
      </c>
    </row>
    <row r="169" spans="2:4">
      <c r="B169" s="3">
        <v>42896</v>
      </c>
      <c r="C169" t="s">
        <v>4</v>
      </c>
      <c r="D169">
        <v>132.52000000000001</v>
      </c>
    </row>
    <row r="170" spans="2:4">
      <c r="B170" s="3">
        <v>42937</v>
      </c>
      <c r="C170" t="s">
        <v>5</v>
      </c>
      <c r="D170">
        <v>6.48</v>
      </c>
    </row>
    <row r="171" spans="2:4">
      <c r="B171" s="3">
        <v>43099</v>
      </c>
      <c r="C171" t="s">
        <v>5</v>
      </c>
      <c r="D171">
        <v>209.3</v>
      </c>
    </row>
    <row r="172" spans="2:4">
      <c r="B172" s="3">
        <v>42905</v>
      </c>
      <c r="C172" t="s">
        <v>5</v>
      </c>
      <c r="D172">
        <v>97.82</v>
      </c>
    </row>
    <row r="173" spans="2:4">
      <c r="B173" s="3">
        <v>42905</v>
      </c>
      <c r="C173" t="s">
        <v>4</v>
      </c>
      <c r="D173">
        <v>103.12</v>
      </c>
    </row>
    <row r="174" spans="2:4">
      <c r="B174" s="3">
        <v>42894</v>
      </c>
      <c r="C174" t="s">
        <v>5</v>
      </c>
      <c r="D174">
        <v>23.76</v>
      </c>
    </row>
    <row r="175" spans="2:4">
      <c r="B175" s="3">
        <v>42894</v>
      </c>
      <c r="C175" t="s">
        <v>5</v>
      </c>
      <c r="D175">
        <v>85.055999999999997</v>
      </c>
    </row>
    <row r="176" spans="2:4">
      <c r="B176" s="3">
        <v>42894</v>
      </c>
      <c r="C176" t="s">
        <v>4</v>
      </c>
      <c r="D176">
        <v>381.57600000000002</v>
      </c>
    </row>
    <row r="177" spans="2:4">
      <c r="B177" s="3">
        <v>42895</v>
      </c>
      <c r="C177" t="s">
        <v>3</v>
      </c>
      <c r="D177">
        <v>23.976000000000003</v>
      </c>
    </row>
    <row r="178" spans="2:4">
      <c r="B178" s="3">
        <v>42895</v>
      </c>
      <c r="C178" t="s">
        <v>3</v>
      </c>
      <c r="D178">
        <v>108.925</v>
      </c>
    </row>
    <row r="179" spans="2:4">
      <c r="B179" s="3">
        <v>42895</v>
      </c>
      <c r="C179" t="s">
        <v>5</v>
      </c>
      <c r="D179">
        <v>36.351999999999997</v>
      </c>
    </row>
    <row r="180" spans="2:4">
      <c r="B180" s="3">
        <v>42901</v>
      </c>
      <c r="C180" t="s">
        <v>5</v>
      </c>
      <c r="D180">
        <v>19.559999999999999</v>
      </c>
    </row>
    <row r="181" spans="2:4">
      <c r="B181" s="3">
        <v>43074</v>
      </c>
      <c r="C181" t="s">
        <v>5</v>
      </c>
      <c r="D181">
        <v>61.44</v>
      </c>
    </row>
    <row r="182" spans="2:4">
      <c r="B182" s="3">
        <v>43074</v>
      </c>
      <c r="C182" t="s">
        <v>5</v>
      </c>
      <c r="D182">
        <v>38.9</v>
      </c>
    </row>
    <row r="183" spans="2:4">
      <c r="B183" s="3">
        <v>43074</v>
      </c>
      <c r="C183" t="s">
        <v>4</v>
      </c>
      <c r="D183">
        <v>99.390000000000015</v>
      </c>
    </row>
    <row r="184" spans="2:4">
      <c r="B184" s="3">
        <v>42812</v>
      </c>
      <c r="C184" t="s">
        <v>5</v>
      </c>
      <c r="D184">
        <v>2.6879999999999997</v>
      </c>
    </row>
    <row r="185" spans="2:4">
      <c r="B185" s="3">
        <v>42812</v>
      </c>
      <c r="C185" t="s">
        <v>4</v>
      </c>
      <c r="D185">
        <v>27.816000000000003</v>
      </c>
    </row>
    <row r="186" spans="2:4">
      <c r="B186" s="3">
        <v>42812</v>
      </c>
      <c r="C186" t="s">
        <v>3</v>
      </c>
      <c r="D186">
        <v>82.524000000000001</v>
      </c>
    </row>
    <row r="187" spans="2:4">
      <c r="B187" s="3">
        <v>42812</v>
      </c>
      <c r="C187" t="s">
        <v>5</v>
      </c>
      <c r="D187">
        <v>182.99399999999997</v>
      </c>
    </row>
    <row r="188" spans="2:4">
      <c r="B188" s="3">
        <v>43043</v>
      </c>
      <c r="C188" t="s">
        <v>4</v>
      </c>
      <c r="D188">
        <v>7999.98</v>
      </c>
    </row>
    <row r="189" spans="2:4">
      <c r="B189" s="3">
        <v>43043</v>
      </c>
      <c r="C189" t="s">
        <v>5</v>
      </c>
      <c r="D189">
        <v>167.44000000000003</v>
      </c>
    </row>
    <row r="190" spans="2:4">
      <c r="B190" s="3">
        <v>43094</v>
      </c>
      <c r="C190" t="s">
        <v>3</v>
      </c>
      <c r="D190">
        <v>191.98400000000001</v>
      </c>
    </row>
    <row r="191" spans="2:4">
      <c r="B191" s="3">
        <v>42980</v>
      </c>
      <c r="C191" t="s">
        <v>3</v>
      </c>
      <c r="D191">
        <v>15.072000000000003</v>
      </c>
    </row>
    <row r="192" spans="2:4">
      <c r="B192" s="3">
        <v>42981</v>
      </c>
      <c r="C192" t="s">
        <v>5</v>
      </c>
      <c r="D192">
        <v>24.448</v>
      </c>
    </row>
    <row r="193" spans="2:4">
      <c r="B193" s="3">
        <v>42874</v>
      </c>
      <c r="C193" t="s">
        <v>5</v>
      </c>
      <c r="D193">
        <v>281.34000000000003</v>
      </c>
    </row>
    <row r="194" spans="2:4">
      <c r="B194" s="3">
        <v>42874</v>
      </c>
      <c r="C194" t="s">
        <v>4</v>
      </c>
      <c r="D194">
        <v>307.98</v>
      </c>
    </row>
    <row r="195" spans="2:4">
      <c r="B195" s="3">
        <v>42874</v>
      </c>
      <c r="C195" t="s">
        <v>4</v>
      </c>
      <c r="D195">
        <v>299.96999999999997</v>
      </c>
    </row>
    <row r="196" spans="2:4">
      <c r="B196" s="3">
        <v>43002</v>
      </c>
      <c r="C196" t="s">
        <v>3</v>
      </c>
      <c r="D196">
        <v>103.05599999999998</v>
      </c>
    </row>
    <row r="197" spans="2:4">
      <c r="B197" s="3">
        <v>42994</v>
      </c>
      <c r="C197" t="s">
        <v>5</v>
      </c>
      <c r="D197">
        <v>17.568000000000001</v>
      </c>
    </row>
    <row r="198" spans="2:4">
      <c r="B198" s="3">
        <v>42994</v>
      </c>
      <c r="C198" t="s">
        <v>4</v>
      </c>
      <c r="D198">
        <v>55.991999999999997</v>
      </c>
    </row>
    <row r="199" spans="2:4">
      <c r="B199" s="3">
        <v>42756</v>
      </c>
      <c r="C199" t="s">
        <v>5</v>
      </c>
      <c r="D199">
        <v>242.94</v>
      </c>
    </row>
    <row r="200" spans="2:4">
      <c r="B200" s="3">
        <v>42756</v>
      </c>
      <c r="C200" t="s">
        <v>4</v>
      </c>
      <c r="D200">
        <v>179.97</v>
      </c>
    </row>
    <row r="201" spans="2:4">
      <c r="B201" s="3">
        <v>42756</v>
      </c>
      <c r="C201" t="s">
        <v>5</v>
      </c>
      <c r="D201">
        <v>99.695999999999998</v>
      </c>
    </row>
    <row r="202" spans="2:4">
      <c r="B202" s="3">
        <v>42756</v>
      </c>
      <c r="C202" t="s">
        <v>5</v>
      </c>
      <c r="D202">
        <v>27.936000000000003</v>
      </c>
    </row>
    <row r="203" spans="2:4">
      <c r="B203" s="3">
        <v>42756</v>
      </c>
      <c r="C203" t="s">
        <v>3</v>
      </c>
      <c r="D203">
        <v>84.98</v>
      </c>
    </row>
    <row r="204" spans="2:4">
      <c r="B204" s="3">
        <v>42756</v>
      </c>
      <c r="C204" t="s">
        <v>5</v>
      </c>
      <c r="D204">
        <v>18.72</v>
      </c>
    </row>
    <row r="205" spans="2:4">
      <c r="B205" s="3">
        <v>43010</v>
      </c>
      <c r="C205" t="s">
        <v>5</v>
      </c>
      <c r="D205">
        <v>58.050000000000004</v>
      </c>
    </row>
    <row r="206" spans="2:4">
      <c r="B206" s="3">
        <v>43010</v>
      </c>
      <c r="C206" t="s">
        <v>3</v>
      </c>
      <c r="D206">
        <v>157.74</v>
      </c>
    </row>
    <row r="207" spans="2:4">
      <c r="B207" s="3">
        <v>43010</v>
      </c>
      <c r="C207" t="s">
        <v>5</v>
      </c>
      <c r="D207">
        <v>56.980000000000004</v>
      </c>
    </row>
    <row r="208" spans="2:4">
      <c r="B208" s="3">
        <v>43010</v>
      </c>
      <c r="C208" t="s">
        <v>5</v>
      </c>
      <c r="D208">
        <v>2.88</v>
      </c>
    </row>
    <row r="209" spans="2:4">
      <c r="B209" s="3">
        <v>42939</v>
      </c>
      <c r="C209" t="s">
        <v>5</v>
      </c>
      <c r="D209">
        <v>13.128</v>
      </c>
    </row>
    <row r="210" spans="2:4">
      <c r="B210" s="3">
        <v>42996</v>
      </c>
      <c r="C210" t="s">
        <v>5</v>
      </c>
      <c r="D210">
        <v>22.72</v>
      </c>
    </row>
    <row r="211" spans="2:4">
      <c r="B211" s="3">
        <v>43042</v>
      </c>
      <c r="C211" t="s">
        <v>5</v>
      </c>
      <c r="D211">
        <v>12.39</v>
      </c>
    </row>
    <row r="212" spans="2:4">
      <c r="B212" s="3">
        <v>42765</v>
      </c>
      <c r="C212" t="s">
        <v>5</v>
      </c>
      <c r="D212">
        <v>18.28</v>
      </c>
    </row>
    <row r="213" spans="2:4">
      <c r="B213" s="3">
        <v>42765</v>
      </c>
      <c r="C213" t="s">
        <v>4</v>
      </c>
      <c r="D213">
        <v>207</v>
      </c>
    </row>
    <row r="214" spans="2:4">
      <c r="B214" s="3">
        <v>42765</v>
      </c>
      <c r="C214" t="s">
        <v>5</v>
      </c>
      <c r="D214">
        <v>32.35</v>
      </c>
    </row>
    <row r="215" spans="2:4">
      <c r="B215" s="3">
        <v>42765</v>
      </c>
      <c r="C215" t="s">
        <v>5</v>
      </c>
      <c r="D215">
        <v>7.71</v>
      </c>
    </row>
    <row r="216" spans="2:4">
      <c r="B216" s="3">
        <v>42765</v>
      </c>
      <c r="C216" t="s">
        <v>5</v>
      </c>
      <c r="D216">
        <v>40.299999999999997</v>
      </c>
    </row>
    <row r="217" spans="2:4">
      <c r="B217" s="3">
        <v>42765</v>
      </c>
      <c r="C217" t="s">
        <v>3</v>
      </c>
      <c r="D217">
        <v>34.580000000000005</v>
      </c>
    </row>
    <row r="218" spans="2:4">
      <c r="B218" s="3">
        <v>42811</v>
      </c>
      <c r="C218" t="s">
        <v>5</v>
      </c>
      <c r="D218">
        <v>17.456</v>
      </c>
    </row>
    <row r="219" spans="2:4">
      <c r="B219" s="3">
        <v>42999</v>
      </c>
      <c r="C219" t="s">
        <v>5</v>
      </c>
      <c r="D219">
        <v>20.16</v>
      </c>
    </row>
    <row r="220" spans="2:4">
      <c r="B220" s="3">
        <v>42786</v>
      </c>
      <c r="C220" t="s">
        <v>3</v>
      </c>
      <c r="D220">
        <v>22.23</v>
      </c>
    </row>
    <row r="221" spans="2:4">
      <c r="B221" s="3">
        <v>42786</v>
      </c>
      <c r="C221" t="s">
        <v>4</v>
      </c>
      <c r="D221">
        <v>215.96799999999999</v>
      </c>
    </row>
    <row r="222" spans="2:4">
      <c r="B222" s="3">
        <v>42847</v>
      </c>
      <c r="C222" t="s">
        <v>3</v>
      </c>
      <c r="D222">
        <v>18.28</v>
      </c>
    </row>
    <row r="223" spans="2:4">
      <c r="B223" s="3">
        <v>42869</v>
      </c>
      <c r="C223" t="s">
        <v>3</v>
      </c>
      <c r="D223">
        <v>18.28</v>
      </c>
    </row>
    <row r="224" spans="2:4">
      <c r="B224" s="3">
        <v>42869</v>
      </c>
      <c r="C224" t="s">
        <v>4</v>
      </c>
      <c r="D224">
        <v>1399.93</v>
      </c>
    </row>
    <row r="225" spans="2:4">
      <c r="B225" s="3">
        <v>42906</v>
      </c>
      <c r="C225" t="s">
        <v>4</v>
      </c>
      <c r="D225">
        <v>239.96999999999997</v>
      </c>
    </row>
    <row r="226" spans="2:4">
      <c r="B226" s="3">
        <v>42906</v>
      </c>
      <c r="C226" t="s">
        <v>5</v>
      </c>
      <c r="D226">
        <v>9.82</v>
      </c>
    </row>
    <row r="227" spans="2:4">
      <c r="B227" s="3">
        <v>42968</v>
      </c>
      <c r="C227" t="s">
        <v>5</v>
      </c>
      <c r="D227">
        <v>35</v>
      </c>
    </row>
    <row r="228" spans="2:4">
      <c r="B228" s="3">
        <v>42968</v>
      </c>
      <c r="C228" t="s">
        <v>5</v>
      </c>
      <c r="D228">
        <v>37.24</v>
      </c>
    </row>
    <row r="229" spans="2:4">
      <c r="B229" s="3">
        <v>42968</v>
      </c>
      <c r="C229" t="s">
        <v>5</v>
      </c>
      <c r="D229">
        <v>15.28</v>
      </c>
    </row>
    <row r="230" spans="2:4">
      <c r="B230" s="3">
        <v>42902</v>
      </c>
      <c r="C230" t="s">
        <v>3</v>
      </c>
      <c r="D230">
        <v>301.95999999999998</v>
      </c>
    </row>
    <row r="231" spans="2:4">
      <c r="B231" s="3">
        <v>42902</v>
      </c>
      <c r="C231" t="s">
        <v>5</v>
      </c>
      <c r="D231">
        <v>180.66</v>
      </c>
    </row>
    <row r="232" spans="2:4">
      <c r="B232" s="3">
        <v>42902</v>
      </c>
      <c r="C232" t="s">
        <v>4</v>
      </c>
      <c r="D232">
        <v>191.98</v>
      </c>
    </row>
    <row r="233" spans="2:4">
      <c r="B233" s="3">
        <v>42902</v>
      </c>
      <c r="C233" t="s">
        <v>4</v>
      </c>
      <c r="D233">
        <v>65.989999999999995</v>
      </c>
    </row>
    <row r="234" spans="2:4">
      <c r="B234" s="3">
        <v>43043</v>
      </c>
      <c r="C234" t="s">
        <v>5</v>
      </c>
      <c r="D234">
        <v>9.6640000000000015</v>
      </c>
    </row>
    <row r="235" spans="2:4">
      <c r="B235" s="3">
        <v>42736</v>
      </c>
      <c r="C235" t="s">
        <v>3</v>
      </c>
      <c r="D235">
        <v>48.896000000000001</v>
      </c>
    </row>
    <row r="236" spans="2:4">
      <c r="B236" s="3">
        <v>42835</v>
      </c>
      <c r="C236" t="s">
        <v>5</v>
      </c>
      <c r="D236">
        <v>7.61</v>
      </c>
    </row>
    <row r="237" spans="2:4">
      <c r="B237" s="3">
        <v>42835</v>
      </c>
      <c r="C237" t="s">
        <v>5</v>
      </c>
      <c r="D237">
        <v>7.16</v>
      </c>
    </row>
    <row r="238" spans="2:4">
      <c r="B238" s="3">
        <v>42972</v>
      </c>
      <c r="C238" t="s">
        <v>5</v>
      </c>
      <c r="D238">
        <v>192.16000000000003</v>
      </c>
    </row>
    <row r="239" spans="2:4">
      <c r="B239" s="3">
        <v>43069</v>
      </c>
      <c r="C239" t="s">
        <v>5</v>
      </c>
      <c r="D239">
        <v>68.472000000000008</v>
      </c>
    </row>
    <row r="240" spans="2:4">
      <c r="B240" s="3">
        <v>43069</v>
      </c>
      <c r="C240" t="s">
        <v>3</v>
      </c>
      <c r="D240">
        <v>1242.8999999999999</v>
      </c>
    </row>
    <row r="241" spans="2:4">
      <c r="B241" s="3">
        <v>43092</v>
      </c>
      <c r="C241" t="s">
        <v>5</v>
      </c>
      <c r="D241">
        <v>13.48</v>
      </c>
    </row>
    <row r="242" spans="2:4">
      <c r="B242" s="3">
        <v>42912</v>
      </c>
      <c r="C242" t="s">
        <v>5</v>
      </c>
      <c r="D242">
        <v>83.76</v>
      </c>
    </row>
    <row r="243" spans="2:4">
      <c r="B243" s="3">
        <v>43022</v>
      </c>
      <c r="C243" t="s">
        <v>5</v>
      </c>
      <c r="D243">
        <v>37.659999999999997</v>
      </c>
    </row>
    <row r="244" spans="2:4">
      <c r="B244" s="3">
        <v>42906</v>
      </c>
      <c r="C244" t="s">
        <v>4</v>
      </c>
      <c r="D244">
        <v>149.94999999999999</v>
      </c>
    </row>
    <row r="245" spans="2:4">
      <c r="B245" s="3">
        <v>42906</v>
      </c>
      <c r="C245" t="s">
        <v>5</v>
      </c>
      <c r="D245">
        <v>51.311999999999998</v>
      </c>
    </row>
    <row r="246" spans="2:4">
      <c r="B246" s="3">
        <v>42912</v>
      </c>
      <c r="C246" t="s">
        <v>5</v>
      </c>
      <c r="D246">
        <v>4.54</v>
      </c>
    </row>
    <row r="247" spans="2:4">
      <c r="B247" s="3">
        <v>42912</v>
      </c>
      <c r="C247" t="s">
        <v>5</v>
      </c>
      <c r="D247">
        <v>15.92</v>
      </c>
    </row>
    <row r="248" spans="2:4">
      <c r="B248" s="3">
        <v>42912</v>
      </c>
      <c r="C248" t="s">
        <v>4</v>
      </c>
      <c r="D248">
        <v>543.91999999999996</v>
      </c>
    </row>
    <row r="249" spans="2:4">
      <c r="B249" s="3">
        <v>43037</v>
      </c>
      <c r="C249" t="s">
        <v>5</v>
      </c>
      <c r="D249">
        <v>46.96</v>
      </c>
    </row>
    <row r="250" spans="2:4">
      <c r="B250" s="3">
        <v>43050</v>
      </c>
      <c r="C250" t="s">
        <v>5</v>
      </c>
      <c r="D250">
        <v>10.440000000000001</v>
      </c>
    </row>
    <row r="251" spans="2:4">
      <c r="B251" s="3">
        <v>43050</v>
      </c>
      <c r="C251" t="s">
        <v>5</v>
      </c>
      <c r="D251">
        <v>18.335999999999999</v>
      </c>
    </row>
    <row r="252" spans="2:4">
      <c r="B252" s="3">
        <v>42993</v>
      </c>
      <c r="C252" t="s">
        <v>4</v>
      </c>
      <c r="D252">
        <v>323.97600000000006</v>
      </c>
    </row>
    <row r="253" spans="2:4">
      <c r="B253" s="3">
        <v>43099</v>
      </c>
      <c r="C253" t="s">
        <v>3</v>
      </c>
      <c r="D253">
        <v>323.13600000000002</v>
      </c>
    </row>
    <row r="254" spans="2:4">
      <c r="B254" s="3">
        <v>43099</v>
      </c>
      <c r="C254" t="s">
        <v>4</v>
      </c>
      <c r="D254">
        <v>90.93</v>
      </c>
    </row>
    <row r="255" spans="2:4">
      <c r="B255" s="3">
        <v>43099</v>
      </c>
      <c r="C255" t="s">
        <v>5</v>
      </c>
      <c r="D255">
        <v>52.775999999999996</v>
      </c>
    </row>
    <row r="256" spans="2:4">
      <c r="B256" s="3">
        <v>42980</v>
      </c>
      <c r="C256" t="s">
        <v>4</v>
      </c>
      <c r="D256">
        <v>1199.8</v>
      </c>
    </row>
    <row r="257" spans="2:4">
      <c r="B257" s="3">
        <v>42980</v>
      </c>
      <c r="C257" t="s">
        <v>4</v>
      </c>
      <c r="D257">
        <v>1928.7800000000002</v>
      </c>
    </row>
    <row r="258" spans="2:4">
      <c r="B258" s="3">
        <v>42980</v>
      </c>
      <c r="C258" t="s">
        <v>5</v>
      </c>
      <c r="D258">
        <v>352.38</v>
      </c>
    </row>
    <row r="259" spans="2:4">
      <c r="B259" s="3">
        <v>43066</v>
      </c>
      <c r="C259" t="s">
        <v>3</v>
      </c>
      <c r="D259">
        <v>46.94</v>
      </c>
    </row>
    <row r="260" spans="2:4">
      <c r="B260" s="3">
        <v>43066</v>
      </c>
      <c r="C260" t="s">
        <v>4</v>
      </c>
      <c r="D260">
        <v>143.73000000000002</v>
      </c>
    </row>
    <row r="261" spans="2:4">
      <c r="B261" s="3">
        <v>42839</v>
      </c>
      <c r="C261" t="s">
        <v>5</v>
      </c>
      <c r="D261">
        <v>14.592000000000002</v>
      </c>
    </row>
    <row r="262" spans="2:4">
      <c r="B262" s="3">
        <v>42839</v>
      </c>
      <c r="C262" t="s">
        <v>5</v>
      </c>
      <c r="D262">
        <v>89.855999999999995</v>
      </c>
    </row>
    <row r="263" spans="2:4">
      <c r="B263" s="3">
        <v>42839</v>
      </c>
      <c r="C263" t="s">
        <v>5</v>
      </c>
      <c r="D263">
        <v>13.872000000000002</v>
      </c>
    </row>
    <row r="264" spans="2:4">
      <c r="B264" s="3">
        <v>42980</v>
      </c>
      <c r="C264" t="s">
        <v>5</v>
      </c>
      <c r="D264">
        <v>12.192</v>
      </c>
    </row>
    <row r="265" spans="2:4">
      <c r="B265" s="3">
        <v>43044</v>
      </c>
      <c r="C265" t="s">
        <v>4</v>
      </c>
      <c r="D265">
        <v>159.99</v>
      </c>
    </row>
    <row r="266" spans="2:4">
      <c r="B266" s="3">
        <v>43067</v>
      </c>
      <c r="C266" t="s">
        <v>3</v>
      </c>
      <c r="D266">
        <v>516.48800000000006</v>
      </c>
    </row>
    <row r="267" spans="2:4">
      <c r="B267" s="3">
        <v>43067</v>
      </c>
      <c r="C267" t="s">
        <v>3</v>
      </c>
      <c r="D267">
        <v>1007.2320000000001</v>
      </c>
    </row>
    <row r="268" spans="2:4">
      <c r="B268" s="3">
        <v>43067</v>
      </c>
      <c r="C268" t="s">
        <v>3</v>
      </c>
      <c r="D268">
        <v>2065.3200000000002</v>
      </c>
    </row>
    <row r="269" spans="2:4">
      <c r="B269" s="3">
        <v>43067</v>
      </c>
      <c r="C269" t="s">
        <v>5</v>
      </c>
      <c r="D269">
        <v>15.552000000000003</v>
      </c>
    </row>
    <row r="270" spans="2:4">
      <c r="B270" s="3">
        <v>43067</v>
      </c>
      <c r="C270" t="s">
        <v>5</v>
      </c>
      <c r="D270">
        <v>25.344000000000001</v>
      </c>
    </row>
    <row r="271" spans="2:4">
      <c r="B271" s="3">
        <v>42828</v>
      </c>
      <c r="C271" t="s">
        <v>3</v>
      </c>
      <c r="D271">
        <v>25.472000000000001</v>
      </c>
    </row>
    <row r="272" spans="2:4">
      <c r="B272" s="3">
        <v>43097</v>
      </c>
      <c r="C272" t="s">
        <v>5</v>
      </c>
      <c r="D272">
        <v>27.168000000000003</v>
      </c>
    </row>
    <row r="273" spans="2:4">
      <c r="B273" s="3">
        <v>43097</v>
      </c>
      <c r="C273" t="s">
        <v>3</v>
      </c>
      <c r="D273">
        <v>78.852799999999988</v>
      </c>
    </row>
    <row r="274" spans="2:4">
      <c r="B274" s="3">
        <v>43069</v>
      </c>
      <c r="C274" t="s">
        <v>5</v>
      </c>
      <c r="D274">
        <v>173.79999999999998</v>
      </c>
    </row>
    <row r="275" spans="2:4">
      <c r="B275" s="3">
        <v>42870</v>
      </c>
      <c r="C275" t="s">
        <v>4</v>
      </c>
      <c r="D275">
        <v>29.592000000000002</v>
      </c>
    </row>
    <row r="276" spans="2:4">
      <c r="B276" s="3">
        <v>42870</v>
      </c>
      <c r="C276" t="s">
        <v>5</v>
      </c>
      <c r="D276">
        <v>4.7520000000000007</v>
      </c>
    </row>
    <row r="277" spans="2:4">
      <c r="B277" s="3">
        <v>42870</v>
      </c>
      <c r="C277" t="s">
        <v>5</v>
      </c>
      <c r="D277">
        <v>15.552000000000003</v>
      </c>
    </row>
    <row r="278" spans="2:4">
      <c r="B278" s="3">
        <v>43053</v>
      </c>
      <c r="C278" t="s">
        <v>3</v>
      </c>
      <c r="D278">
        <v>321.56799999999998</v>
      </c>
    </row>
    <row r="279" spans="2:4">
      <c r="B279" s="3">
        <v>42834</v>
      </c>
      <c r="C279" t="s">
        <v>5</v>
      </c>
      <c r="D279">
        <v>9.82</v>
      </c>
    </row>
    <row r="280" spans="2:4">
      <c r="B280" s="3">
        <v>42834</v>
      </c>
      <c r="C280" t="s">
        <v>5</v>
      </c>
      <c r="D280">
        <v>35.97</v>
      </c>
    </row>
    <row r="281" spans="2:4">
      <c r="B281" s="3">
        <v>42834</v>
      </c>
      <c r="C281" t="s">
        <v>5</v>
      </c>
      <c r="D281">
        <v>12.96</v>
      </c>
    </row>
    <row r="282" spans="2:4">
      <c r="B282" s="3">
        <v>42834</v>
      </c>
      <c r="C282" t="s">
        <v>5</v>
      </c>
      <c r="D282">
        <v>191.6</v>
      </c>
    </row>
    <row r="283" spans="2:4">
      <c r="B283" s="3">
        <v>42834</v>
      </c>
      <c r="C283" t="s">
        <v>5</v>
      </c>
      <c r="D283">
        <v>8.64</v>
      </c>
    </row>
    <row r="284" spans="2:4">
      <c r="B284" s="3">
        <v>42834</v>
      </c>
      <c r="C284" t="s">
        <v>5</v>
      </c>
      <c r="D284">
        <v>501.81000000000006</v>
      </c>
    </row>
    <row r="285" spans="2:4">
      <c r="B285" s="3">
        <v>43013</v>
      </c>
      <c r="C285" t="s">
        <v>4</v>
      </c>
      <c r="D285">
        <v>160.92999999999998</v>
      </c>
    </row>
    <row r="286" spans="2:4">
      <c r="B286" s="3">
        <v>43013</v>
      </c>
      <c r="C286" t="s">
        <v>5</v>
      </c>
      <c r="D286">
        <v>75.792000000000002</v>
      </c>
    </row>
    <row r="287" spans="2:4">
      <c r="B287" s="3">
        <v>42925</v>
      </c>
      <c r="C287" t="s">
        <v>5</v>
      </c>
      <c r="D287">
        <v>1.0800000000000003</v>
      </c>
    </row>
    <row r="288" spans="2:4">
      <c r="B288" s="3">
        <v>42742</v>
      </c>
      <c r="C288" t="s">
        <v>4</v>
      </c>
      <c r="D288">
        <v>3059.982</v>
      </c>
    </row>
    <row r="289" spans="2:4">
      <c r="B289" s="3">
        <v>43007</v>
      </c>
      <c r="C289" t="s">
        <v>5</v>
      </c>
      <c r="D289">
        <v>7.9680000000000009</v>
      </c>
    </row>
    <row r="290" spans="2:4">
      <c r="B290" s="3">
        <v>43007</v>
      </c>
      <c r="C290" t="s">
        <v>5</v>
      </c>
      <c r="D290">
        <v>27.968000000000004</v>
      </c>
    </row>
    <row r="291" spans="2:4">
      <c r="B291" s="3">
        <v>43007</v>
      </c>
      <c r="C291" t="s">
        <v>4</v>
      </c>
      <c r="D291">
        <v>336.51</v>
      </c>
    </row>
    <row r="292" spans="2:4">
      <c r="B292" s="3">
        <v>42876</v>
      </c>
      <c r="C292" t="s">
        <v>3</v>
      </c>
      <c r="D292">
        <v>520.05000000000007</v>
      </c>
    </row>
    <row r="293" spans="2:4">
      <c r="B293" s="3">
        <v>42876</v>
      </c>
      <c r="C293" t="s">
        <v>5</v>
      </c>
      <c r="D293">
        <v>17.97</v>
      </c>
    </row>
    <row r="294" spans="2:4">
      <c r="B294" s="3">
        <v>43095</v>
      </c>
      <c r="C294" t="s">
        <v>5</v>
      </c>
      <c r="D294">
        <v>44.75</v>
      </c>
    </row>
    <row r="295" spans="2:4">
      <c r="B295" s="3">
        <v>42948</v>
      </c>
      <c r="C295" t="s">
        <v>4</v>
      </c>
      <c r="D295">
        <v>95.984000000000009</v>
      </c>
    </row>
    <row r="296" spans="2:4">
      <c r="B296" s="3">
        <v>42903</v>
      </c>
      <c r="C296" t="s">
        <v>3</v>
      </c>
      <c r="D296">
        <v>155.25</v>
      </c>
    </row>
    <row r="297" spans="2:4">
      <c r="B297" s="3">
        <v>42903</v>
      </c>
      <c r="C297" t="s">
        <v>5</v>
      </c>
      <c r="D297">
        <v>14.03</v>
      </c>
    </row>
    <row r="298" spans="2:4">
      <c r="B298" s="3">
        <v>43086</v>
      </c>
      <c r="C298" t="s">
        <v>5</v>
      </c>
      <c r="D298">
        <v>11.808</v>
      </c>
    </row>
    <row r="299" spans="2:4">
      <c r="B299" s="3">
        <v>43059</v>
      </c>
      <c r="C299" t="s">
        <v>5</v>
      </c>
      <c r="D299">
        <v>23.968000000000004</v>
      </c>
    </row>
    <row r="300" spans="2:4">
      <c r="B300" s="3">
        <v>43059</v>
      </c>
      <c r="C300" t="s">
        <v>5</v>
      </c>
      <c r="D300">
        <v>28.728000000000002</v>
      </c>
    </row>
    <row r="301" spans="2:4">
      <c r="B301" s="3">
        <v>42925</v>
      </c>
      <c r="C301" t="s">
        <v>5</v>
      </c>
      <c r="D301">
        <v>8.84</v>
      </c>
    </row>
    <row r="302" spans="2:4">
      <c r="B302" s="3">
        <v>42925</v>
      </c>
      <c r="C302" t="s">
        <v>5</v>
      </c>
      <c r="D302">
        <v>58.463999999999977</v>
      </c>
    </row>
    <row r="303" spans="2:4">
      <c r="B303" s="3">
        <v>43020</v>
      </c>
      <c r="C303" t="s">
        <v>3</v>
      </c>
      <c r="D303">
        <v>254.60399999999998</v>
      </c>
    </row>
    <row r="304" spans="2:4">
      <c r="B304" s="3">
        <v>43079</v>
      </c>
      <c r="C304" t="s">
        <v>5</v>
      </c>
      <c r="D304">
        <v>19.936000000000003</v>
      </c>
    </row>
    <row r="305" spans="2:4">
      <c r="B305" s="3">
        <v>43079</v>
      </c>
      <c r="C305" t="s">
        <v>5</v>
      </c>
      <c r="D305">
        <v>65.567999999999998</v>
      </c>
    </row>
    <row r="306" spans="2:4">
      <c r="B306" s="3">
        <v>43006</v>
      </c>
      <c r="C306" t="s">
        <v>5</v>
      </c>
      <c r="D306">
        <v>1.7440000000000002</v>
      </c>
    </row>
    <row r="307" spans="2:4">
      <c r="B307" s="3">
        <v>43053</v>
      </c>
      <c r="C307" t="s">
        <v>5</v>
      </c>
      <c r="D307">
        <v>8.64</v>
      </c>
    </row>
    <row r="308" spans="2:4">
      <c r="B308" s="3">
        <v>43001</v>
      </c>
      <c r="C308" t="s">
        <v>5</v>
      </c>
      <c r="D308">
        <v>119.96</v>
      </c>
    </row>
    <row r="309" spans="2:4">
      <c r="B309" s="3">
        <v>43001</v>
      </c>
      <c r="C309" t="s">
        <v>5</v>
      </c>
      <c r="D309">
        <v>31.44</v>
      </c>
    </row>
    <row r="310" spans="2:4">
      <c r="B310" s="3">
        <v>43001</v>
      </c>
      <c r="C310" t="s">
        <v>5</v>
      </c>
      <c r="D310">
        <v>6.88</v>
      </c>
    </row>
    <row r="311" spans="2:4">
      <c r="B311" s="3">
        <v>42890</v>
      </c>
      <c r="C311" t="s">
        <v>3</v>
      </c>
      <c r="D311">
        <v>31.983999999999998</v>
      </c>
    </row>
    <row r="312" spans="2:4">
      <c r="B312" s="3">
        <v>42890</v>
      </c>
      <c r="C312" t="s">
        <v>4</v>
      </c>
      <c r="D312">
        <v>71.984000000000009</v>
      </c>
    </row>
    <row r="313" spans="2:4">
      <c r="B313" s="3">
        <v>42756</v>
      </c>
      <c r="C313" t="s">
        <v>5</v>
      </c>
      <c r="D313">
        <v>348.20799999999997</v>
      </c>
    </row>
    <row r="314" spans="2:4">
      <c r="B314" s="3">
        <v>42756</v>
      </c>
      <c r="C314" t="s">
        <v>5</v>
      </c>
      <c r="D314">
        <v>35.783999999999999</v>
      </c>
    </row>
    <row r="315" spans="2:4">
      <c r="B315" s="3">
        <v>42846</v>
      </c>
      <c r="C315" t="s">
        <v>5</v>
      </c>
      <c r="D315">
        <v>2.6939999999999995</v>
      </c>
    </row>
    <row r="316" spans="2:4">
      <c r="B316" s="3">
        <v>42846</v>
      </c>
      <c r="C316" t="s">
        <v>5</v>
      </c>
      <c r="D316">
        <v>2.9339999999999993</v>
      </c>
    </row>
    <row r="317" spans="2:4">
      <c r="B317" s="3">
        <v>43087</v>
      </c>
      <c r="C317" t="s">
        <v>5</v>
      </c>
      <c r="D317">
        <v>46.672000000000004</v>
      </c>
    </row>
    <row r="318" spans="2:4">
      <c r="B318" s="3">
        <v>43087</v>
      </c>
      <c r="C318" t="s">
        <v>3</v>
      </c>
      <c r="D318">
        <v>119.83299999999998</v>
      </c>
    </row>
    <row r="319" spans="2:4">
      <c r="B319" s="3">
        <v>43087</v>
      </c>
      <c r="C319" t="s">
        <v>4</v>
      </c>
      <c r="D319">
        <v>119.98</v>
      </c>
    </row>
    <row r="320" spans="2:4">
      <c r="B320" s="3">
        <v>42915</v>
      </c>
      <c r="C320" t="s">
        <v>5</v>
      </c>
      <c r="D320">
        <v>362.94</v>
      </c>
    </row>
    <row r="321" spans="2:4">
      <c r="B321" s="3">
        <v>42915</v>
      </c>
      <c r="C321" t="s">
        <v>5</v>
      </c>
      <c r="D321">
        <v>11.54</v>
      </c>
    </row>
    <row r="322" spans="2:4">
      <c r="B322" s="3">
        <v>43077</v>
      </c>
      <c r="C322" t="s">
        <v>3</v>
      </c>
      <c r="D322">
        <v>109.48</v>
      </c>
    </row>
    <row r="323" spans="2:4">
      <c r="B323" s="3">
        <v>43077</v>
      </c>
      <c r="C323" t="s">
        <v>5</v>
      </c>
      <c r="D323">
        <v>272.94</v>
      </c>
    </row>
    <row r="324" spans="2:4">
      <c r="B324" s="3">
        <v>43077</v>
      </c>
      <c r="C324" t="s">
        <v>5</v>
      </c>
      <c r="D324">
        <v>19.440000000000001</v>
      </c>
    </row>
    <row r="325" spans="2:4">
      <c r="B325" s="3">
        <v>43077</v>
      </c>
      <c r="C325" t="s">
        <v>5</v>
      </c>
      <c r="D325">
        <v>31.92</v>
      </c>
    </row>
    <row r="326" spans="2:4">
      <c r="B326" s="3">
        <v>42749</v>
      </c>
      <c r="C326" t="s">
        <v>5</v>
      </c>
      <c r="D326">
        <v>21.744</v>
      </c>
    </row>
    <row r="327" spans="2:4">
      <c r="B327" s="3">
        <v>42749</v>
      </c>
      <c r="C327" t="s">
        <v>4</v>
      </c>
      <c r="D327">
        <v>7.92</v>
      </c>
    </row>
    <row r="328" spans="2:4">
      <c r="B328" s="3">
        <v>42792</v>
      </c>
      <c r="C328" t="s">
        <v>5</v>
      </c>
      <c r="D328">
        <v>81.92</v>
      </c>
    </row>
    <row r="329" spans="2:4">
      <c r="B329" s="3">
        <v>42792</v>
      </c>
      <c r="C329" t="s">
        <v>4</v>
      </c>
      <c r="D329">
        <v>889.53600000000006</v>
      </c>
    </row>
    <row r="330" spans="2:4">
      <c r="B330" s="3">
        <v>42792</v>
      </c>
      <c r="C330" t="s">
        <v>3</v>
      </c>
      <c r="D330">
        <v>892.22400000000005</v>
      </c>
    </row>
    <row r="331" spans="2:4">
      <c r="B331" s="3">
        <v>42792</v>
      </c>
      <c r="C331" t="s">
        <v>5</v>
      </c>
      <c r="D331">
        <v>223.92</v>
      </c>
    </row>
    <row r="332" spans="2:4">
      <c r="B332" s="3">
        <v>42792</v>
      </c>
      <c r="C332" t="s">
        <v>5</v>
      </c>
      <c r="D332">
        <v>23.12</v>
      </c>
    </row>
    <row r="333" spans="2:4">
      <c r="B333" s="3">
        <v>42948</v>
      </c>
      <c r="C333" t="s">
        <v>4</v>
      </c>
      <c r="D333">
        <v>271.95999999999998</v>
      </c>
    </row>
    <row r="334" spans="2:4">
      <c r="B334" s="3">
        <v>42987</v>
      </c>
      <c r="C334" t="s">
        <v>3</v>
      </c>
      <c r="D334">
        <v>141.37199999999999</v>
      </c>
    </row>
    <row r="335" spans="2:4">
      <c r="B335" s="3">
        <v>42987</v>
      </c>
      <c r="C335" t="s">
        <v>5</v>
      </c>
      <c r="D335">
        <v>3.036</v>
      </c>
    </row>
    <row r="336" spans="2:4">
      <c r="B336" s="3">
        <v>42987</v>
      </c>
      <c r="C336" t="s">
        <v>5</v>
      </c>
      <c r="D336">
        <v>4.503000000000001</v>
      </c>
    </row>
    <row r="337" spans="2:4">
      <c r="B337" s="3">
        <v>42987</v>
      </c>
      <c r="C337" t="s">
        <v>5</v>
      </c>
      <c r="D337">
        <v>4.6719999999999997</v>
      </c>
    </row>
    <row r="338" spans="2:4">
      <c r="B338" s="3">
        <v>42987</v>
      </c>
      <c r="C338" t="s">
        <v>4</v>
      </c>
      <c r="D338">
        <v>95.88000000000001</v>
      </c>
    </row>
    <row r="339" spans="2:4">
      <c r="B339" s="3">
        <v>42987</v>
      </c>
      <c r="C339" t="s">
        <v>3</v>
      </c>
      <c r="D339">
        <v>17.024000000000001</v>
      </c>
    </row>
    <row r="340" spans="2:4">
      <c r="B340" s="3">
        <v>42987</v>
      </c>
      <c r="C340" t="s">
        <v>4</v>
      </c>
      <c r="D340">
        <v>258.69600000000003</v>
      </c>
    </row>
    <row r="341" spans="2:4">
      <c r="B341" s="3">
        <v>42987</v>
      </c>
      <c r="C341" t="s">
        <v>4</v>
      </c>
      <c r="D341">
        <v>1931.9579999999999</v>
      </c>
    </row>
    <row r="342" spans="2:4">
      <c r="B342" s="3">
        <v>43045</v>
      </c>
      <c r="C342" t="s">
        <v>5</v>
      </c>
      <c r="D342">
        <v>15.28</v>
      </c>
    </row>
    <row r="343" spans="2:4">
      <c r="B343" s="3">
        <v>43045</v>
      </c>
      <c r="C343" t="s">
        <v>3</v>
      </c>
      <c r="D343">
        <v>8.73</v>
      </c>
    </row>
    <row r="344" spans="2:4">
      <c r="B344" s="3">
        <v>43045</v>
      </c>
      <c r="C344" t="s">
        <v>5</v>
      </c>
      <c r="D344">
        <v>5.68</v>
      </c>
    </row>
    <row r="345" spans="2:4">
      <c r="B345" s="3">
        <v>42869</v>
      </c>
      <c r="C345" t="s">
        <v>5</v>
      </c>
      <c r="D345">
        <v>48.69</v>
      </c>
    </row>
    <row r="346" spans="2:4">
      <c r="B346" s="3">
        <v>43087</v>
      </c>
      <c r="C346" t="s">
        <v>5</v>
      </c>
      <c r="D346">
        <v>38.82</v>
      </c>
    </row>
    <row r="347" spans="2:4">
      <c r="B347" s="3">
        <v>43087</v>
      </c>
      <c r="C347" t="s">
        <v>3</v>
      </c>
      <c r="D347">
        <v>1141.9379999999999</v>
      </c>
    </row>
    <row r="348" spans="2:4">
      <c r="B348" s="3">
        <v>43087</v>
      </c>
      <c r="C348" t="s">
        <v>5</v>
      </c>
      <c r="D348">
        <v>1704.56</v>
      </c>
    </row>
    <row r="349" spans="2:4">
      <c r="B349" s="3">
        <v>43087</v>
      </c>
      <c r="C349" t="s">
        <v>5</v>
      </c>
      <c r="D349">
        <v>3.2</v>
      </c>
    </row>
    <row r="350" spans="2:4">
      <c r="B350" s="3">
        <v>42804</v>
      </c>
      <c r="C350" t="s">
        <v>5</v>
      </c>
      <c r="D350">
        <v>5.2480000000000002</v>
      </c>
    </row>
    <row r="351" spans="2:4">
      <c r="B351" s="3">
        <v>42804</v>
      </c>
      <c r="C351" t="s">
        <v>4</v>
      </c>
      <c r="D351">
        <v>35.909999999999997</v>
      </c>
    </row>
    <row r="352" spans="2:4">
      <c r="B352" s="3">
        <v>42804</v>
      </c>
      <c r="C352" t="s">
        <v>3</v>
      </c>
      <c r="D352">
        <v>6.6959999999999997</v>
      </c>
    </row>
    <row r="353" spans="2:4">
      <c r="B353" s="3">
        <v>42804</v>
      </c>
      <c r="C353" t="s">
        <v>3</v>
      </c>
      <c r="D353">
        <v>43.872000000000007</v>
      </c>
    </row>
    <row r="354" spans="2:4">
      <c r="B354" s="3">
        <v>43031</v>
      </c>
      <c r="C354" t="s">
        <v>4</v>
      </c>
      <c r="D354">
        <v>863.87999999999988</v>
      </c>
    </row>
    <row r="355" spans="2:4">
      <c r="B355" s="3">
        <v>42923</v>
      </c>
      <c r="C355" t="s">
        <v>5</v>
      </c>
      <c r="D355">
        <v>17.472000000000001</v>
      </c>
    </row>
    <row r="356" spans="2:4">
      <c r="B356" s="3">
        <v>42980</v>
      </c>
      <c r="C356" t="s">
        <v>5</v>
      </c>
      <c r="D356">
        <v>6.57</v>
      </c>
    </row>
    <row r="357" spans="2:4">
      <c r="B357" s="3">
        <v>43001</v>
      </c>
      <c r="C357" t="s">
        <v>3</v>
      </c>
      <c r="D357">
        <v>29.328000000000003</v>
      </c>
    </row>
    <row r="358" spans="2:4">
      <c r="B358" s="3">
        <v>42890</v>
      </c>
      <c r="C358" t="s">
        <v>5</v>
      </c>
      <c r="D358">
        <v>12.48</v>
      </c>
    </row>
    <row r="359" spans="2:4">
      <c r="B359" s="3">
        <v>42834</v>
      </c>
      <c r="C359" t="s">
        <v>5</v>
      </c>
      <c r="D359">
        <v>15.120000000000001</v>
      </c>
    </row>
    <row r="360" spans="2:4">
      <c r="B360" s="3">
        <v>42834</v>
      </c>
      <c r="C360" t="s">
        <v>5</v>
      </c>
      <c r="D360">
        <v>17.430000000000003</v>
      </c>
    </row>
    <row r="361" spans="2:4">
      <c r="B361" s="3">
        <v>42834</v>
      </c>
      <c r="C361" t="s">
        <v>5</v>
      </c>
      <c r="D361">
        <v>251.64</v>
      </c>
    </row>
    <row r="362" spans="2:4">
      <c r="B362" s="3">
        <v>43099</v>
      </c>
      <c r="C362" t="s">
        <v>5</v>
      </c>
      <c r="D362">
        <v>13.904</v>
      </c>
    </row>
    <row r="363" spans="2:4">
      <c r="B363" s="3">
        <v>43099</v>
      </c>
      <c r="C363" t="s">
        <v>5</v>
      </c>
      <c r="D363">
        <v>20.72</v>
      </c>
    </row>
    <row r="364" spans="2:4">
      <c r="B364" s="3">
        <v>42919</v>
      </c>
      <c r="C364" t="s">
        <v>3</v>
      </c>
      <c r="D364">
        <v>23.99</v>
      </c>
    </row>
    <row r="365" spans="2:4">
      <c r="B365" s="3">
        <v>42919</v>
      </c>
      <c r="C365" t="s">
        <v>4</v>
      </c>
      <c r="D365">
        <v>287.96999999999997</v>
      </c>
    </row>
    <row r="366" spans="2:4">
      <c r="B366" s="3">
        <v>43079</v>
      </c>
      <c r="C366" t="s">
        <v>4</v>
      </c>
      <c r="D366">
        <v>14.200000000000001</v>
      </c>
    </row>
    <row r="367" spans="2:4">
      <c r="B367" s="3">
        <v>42769</v>
      </c>
      <c r="C367" t="s">
        <v>5</v>
      </c>
      <c r="D367">
        <v>5.2290000000000001</v>
      </c>
    </row>
    <row r="368" spans="2:4">
      <c r="B368" s="3">
        <v>42769</v>
      </c>
      <c r="C368" t="s">
        <v>5</v>
      </c>
      <c r="D368">
        <v>285.55200000000002</v>
      </c>
    </row>
    <row r="369" spans="2:4">
      <c r="B369" s="3">
        <v>42797</v>
      </c>
      <c r="C369" t="s">
        <v>5</v>
      </c>
      <c r="D369">
        <v>72.8</v>
      </c>
    </row>
    <row r="370" spans="2:4">
      <c r="B370" s="3">
        <v>43017</v>
      </c>
      <c r="C370" t="s">
        <v>5</v>
      </c>
      <c r="D370">
        <v>10.816000000000001</v>
      </c>
    </row>
    <row r="371" spans="2:4">
      <c r="B371" s="3">
        <v>43023</v>
      </c>
      <c r="C371" t="s">
        <v>5</v>
      </c>
      <c r="D371">
        <v>87.92</v>
      </c>
    </row>
    <row r="372" spans="2:4">
      <c r="B372" s="3">
        <v>42888</v>
      </c>
      <c r="C372" t="s">
        <v>4</v>
      </c>
      <c r="D372">
        <v>2.97</v>
      </c>
    </row>
    <row r="373" spans="2:4">
      <c r="B373" s="3">
        <v>42888</v>
      </c>
      <c r="C373" t="s">
        <v>5</v>
      </c>
      <c r="D373">
        <v>27.439999999999998</v>
      </c>
    </row>
    <row r="374" spans="2:4">
      <c r="B374" s="3">
        <v>42827</v>
      </c>
      <c r="C374" t="s">
        <v>3</v>
      </c>
      <c r="D374">
        <v>25.11</v>
      </c>
    </row>
    <row r="375" spans="2:4">
      <c r="B375" s="3">
        <v>42825</v>
      </c>
      <c r="C375" t="s">
        <v>3</v>
      </c>
      <c r="D375">
        <v>29.78</v>
      </c>
    </row>
    <row r="376" spans="2:4">
      <c r="B376" s="3">
        <v>42825</v>
      </c>
      <c r="C376" t="s">
        <v>4</v>
      </c>
      <c r="D376">
        <v>677.58</v>
      </c>
    </row>
    <row r="377" spans="2:4">
      <c r="B377" s="3">
        <v>42825</v>
      </c>
      <c r="C377" t="s">
        <v>5</v>
      </c>
      <c r="D377">
        <v>75.040000000000006</v>
      </c>
    </row>
    <row r="378" spans="2:4">
      <c r="B378" s="3">
        <v>42737</v>
      </c>
      <c r="C378" t="s">
        <v>4</v>
      </c>
      <c r="D378">
        <v>695.7</v>
      </c>
    </row>
    <row r="379" spans="2:4">
      <c r="B379" s="3">
        <v>42737</v>
      </c>
      <c r="C379" t="s">
        <v>5</v>
      </c>
      <c r="D379">
        <v>15.66</v>
      </c>
    </row>
    <row r="380" spans="2:4">
      <c r="B380" s="3">
        <v>42737</v>
      </c>
      <c r="C380" t="s">
        <v>5</v>
      </c>
      <c r="D380">
        <v>28.854000000000006</v>
      </c>
    </row>
    <row r="381" spans="2:4">
      <c r="B381" s="3">
        <v>42859</v>
      </c>
      <c r="C381" t="s">
        <v>4</v>
      </c>
      <c r="D381">
        <v>183.96</v>
      </c>
    </row>
    <row r="382" spans="2:4">
      <c r="B382" s="3">
        <v>42859</v>
      </c>
      <c r="C382" t="s">
        <v>5</v>
      </c>
      <c r="D382">
        <v>17.61</v>
      </c>
    </row>
    <row r="383" spans="2:4">
      <c r="B383" s="3">
        <v>42859</v>
      </c>
      <c r="C383" t="s">
        <v>3</v>
      </c>
      <c r="D383">
        <v>300.904</v>
      </c>
    </row>
    <row r="384" spans="2:4">
      <c r="B384" s="3">
        <v>42851</v>
      </c>
      <c r="C384" t="s">
        <v>3</v>
      </c>
      <c r="D384">
        <v>1.988</v>
      </c>
    </row>
    <row r="385" spans="2:4">
      <c r="B385" s="3">
        <v>43027</v>
      </c>
      <c r="C385" t="s">
        <v>5</v>
      </c>
      <c r="D385">
        <v>123.256</v>
      </c>
    </row>
    <row r="386" spans="2:4">
      <c r="B386" s="3">
        <v>43027</v>
      </c>
      <c r="C386" t="s">
        <v>5</v>
      </c>
      <c r="D386">
        <v>23.680000000000003</v>
      </c>
    </row>
    <row r="387" spans="2:4">
      <c r="B387" s="3">
        <v>43027</v>
      </c>
      <c r="C387" t="s">
        <v>4</v>
      </c>
      <c r="D387">
        <v>309.57600000000002</v>
      </c>
    </row>
    <row r="388" spans="2:4">
      <c r="B388" s="3">
        <v>43049</v>
      </c>
      <c r="C388" t="s">
        <v>5</v>
      </c>
      <c r="D388">
        <v>38.388000000000005</v>
      </c>
    </row>
    <row r="389" spans="2:4">
      <c r="B389" s="3">
        <v>43049</v>
      </c>
      <c r="C389" t="s">
        <v>4</v>
      </c>
      <c r="D389">
        <v>95.994000000000014</v>
      </c>
    </row>
    <row r="390" spans="2:4">
      <c r="B390" s="3">
        <v>43049</v>
      </c>
      <c r="C390" t="s">
        <v>4</v>
      </c>
      <c r="D390">
        <v>239.95200000000003</v>
      </c>
    </row>
    <row r="391" spans="2:4">
      <c r="B391" s="3">
        <v>43049</v>
      </c>
      <c r="C391" t="s">
        <v>4</v>
      </c>
      <c r="D391">
        <v>201.584</v>
      </c>
    </row>
    <row r="392" spans="2:4">
      <c r="B392" s="3">
        <v>43049</v>
      </c>
      <c r="C392" t="s">
        <v>3</v>
      </c>
      <c r="D392">
        <v>899.13600000000008</v>
      </c>
    </row>
    <row r="393" spans="2:4">
      <c r="B393" s="3">
        <v>42924</v>
      </c>
      <c r="C393" t="s">
        <v>3</v>
      </c>
      <c r="D393">
        <v>145.9</v>
      </c>
    </row>
    <row r="394" spans="2:4">
      <c r="B394" s="3">
        <v>42801</v>
      </c>
      <c r="C394" t="s">
        <v>4</v>
      </c>
      <c r="D394">
        <v>49.08</v>
      </c>
    </row>
    <row r="395" spans="2:4">
      <c r="B395" s="3">
        <v>42919</v>
      </c>
      <c r="C395" t="s">
        <v>5</v>
      </c>
      <c r="D395">
        <v>9.5519999999999996</v>
      </c>
    </row>
    <row r="396" spans="2:4">
      <c r="B396" s="3">
        <v>43017</v>
      </c>
      <c r="C396" t="s">
        <v>3</v>
      </c>
      <c r="D396">
        <v>652.45000000000005</v>
      </c>
    </row>
    <row r="397" spans="2:4">
      <c r="B397" s="3">
        <v>43017</v>
      </c>
      <c r="C397" t="s">
        <v>3</v>
      </c>
      <c r="D397">
        <v>66.644999999999996</v>
      </c>
    </row>
    <row r="398" spans="2:4">
      <c r="B398" s="3">
        <v>43043</v>
      </c>
      <c r="C398" t="s">
        <v>5</v>
      </c>
      <c r="D398">
        <v>23.680000000000003</v>
      </c>
    </row>
    <row r="399" spans="2:4">
      <c r="B399" s="3">
        <v>42763</v>
      </c>
      <c r="C399" t="s">
        <v>4</v>
      </c>
      <c r="D399">
        <v>239.96999999999997</v>
      </c>
    </row>
    <row r="400" spans="2:4">
      <c r="B400" s="3">
        <v>42763</v>
      </c>
      <c r="C400" t="s">
        <v>3</v>
      </c>
      <c r="D400">
        <v>37.74</v>
      </c>
    </row>
    <row r="401" spans="2:4">
      <c r="B401" s="3">
        <v>43065</v>
      </c>
      <c r="C401" t="s">
        <v>4</v>
      </c>
      <c r="D401">
        <v>220.75200000000001</v>
      </c>
    </row>
    <row r="402" spans="2:4">
      <c r="B402" s="3">
        <v>42906</v>
      </c>
      <c r="C402" t="s">
        <v>5</v>
      </c>
      <c r="D402">
        <v>31.104000000000006</v>
      </c>
    </row>
    <row r="403" spans="2:4">
      <c r="B403" s="3">
        <v>42906</v>
      </c>
      <c r="C403" t="s">
        <v>5</v>
      </c>
      <c r="D403">
        <v>5.2480000000000002</v>
      </c>
    </row>
    <row r="404" spans="2:4">
      <c r="B404" s="3">
        <v>42837</v>
      </c>
      <c r="C404" t="s">
        <v>5</v>
      </c>
      <c r="D404">
        <v>29.700000000000003</v>
      </c>
    </row>
    <row r="405" spans="2:4">
      <c r="B405" s="3">
        <v>42837</v>
      </c>
      <c r="C405" t="s">
        <v>5</v>
      </c>
      <c r="D405">
        <v>39.96</v>
      </c>
    </row>
    <row r="406" spans="2:4">
      <c r="B406" s="3">
        <v>43088</v>
      </c>
      <c r="C406" t="s">
        <v>5</v>
      </c>
      <c r="D406">
        <v>36.672000000000004</v>
      </c>
    </row>
    <row r="407" spans="2:4">
      <c r="B407" s="3">
        <v>42952</v>
      </c>
      <c r="C407" t="s">
        <v>5</v>
      </c>
      <c r="D407">
        <v>13.76</v>
      </c>
    </row>
    <row r="408" spans="2:4">
      <c r="B408" s="3">
        <v>42899</v>
      </c>
      <c r="C408" t="s">
        <v>5</v>
      </c>
      <c r="D408">
        <v>164.73599999999999</v>
      </c>
    </row>
    <row r="409" spans="2:4">
      <c r="B409" s="3">
        <v>42899</v>
      </c>
      <c r="C409" t="s">
        <v>3</v>
      </c>
      <c r="D409">
        <v>470.30199999999996</v>
      </c>
    </row>
    <row r="410" spans="2:4">
      <c r="B410" s="3">
        <v>42899</v>
      </c>
      <c r="C410" t="s">
        <v>4</v>
      </c>
      <c r="D410">
        <v>47.984000000000002</v>
      </c>
    </row>
    <row r="411" spans="2:4">
      <c r="B411" s="3">
        <v>42898</v>
      </c>
      <c r="C411" t="s">
        <v>5</v>
      </c>
      <c r="D411">
        <v>91.199999999999989</v>
      </c>
    </row>
    <row r="412" spans="2:4">
      <c r="B412" s="3">
        <v>42898</v>
      </c>
      <c r="C412" t="s">
        <v>3</v>
      </c>
      <c r="D412">
        <v>452.93999999999994</v>
      </c>
    </row>
    <row r="413" spans="2:4">
      <c r="B413" s="3">
        <v>43078</v>
      </c>
      <c r="C413" t="s">
        <v>3</v>
      </c>
      <c r="D413">
        <v>872.94</v>
      </c>
    </row>
    <row r="414" spans="2:4">
      <c r="B414" s="3">
        <v>43078</v>
      </c>
      <c r="C414" t="s">
        <v>5</v>
      </c>
      <c r="D414">
        <v>41.54</v>
      </c>
    </row>
    <row r="415" spans="2:4">
      <c r="B415" s="3">
        <v>43078</v>
      </c>
      <c r="C415" t="s">
        <v>5</v>
      </c>
      <c r="D415">
        <v>12.96</v>
      </c>
    </row>
    <row r="416" spans="2:4">
      <c r="B416" s="3">
        <v>42927</v>
      </c>
      <c r="C416" t="s">
        <v>5</v>
      </c>
      <c r="D416">
        <v>8.67</v>
      </c>
    </row>
    <row r="417" spans="2:4">
      <c r="B417" s="3">
        <v>42813</v>
      </c>
      <c r="C417" t="s">
        <v>5</v>
      </c>
      <c r="D417">
        <v>28.91</v>
      </c>
    </row>
    <row r="418" spans="2:4">
      <c r="B418" s="3">
        <v>43058</v>
      </c>
      <c r="C418" t="s">
        <v>4</v>
      </c>
      <c r="D418">
        <v>31.968000000000004</v>
      </c>
    </row>
    <row r="419" spans="2:4">
      <c r="B419" s="3">
        <v>42972</v>
      </c>
      <c r="C419" t="s">
        <v>5</v>
      </c>
      <c r="D419">
        <v>9.7280000000000015</v>
      </c>
    </row>
    <row r="420" spans="2:4">
      <c r="B420" s="3">
        <v>42972</v>
      </c>
      <c r="C420" t="s">
        <v>5</v>
      </c>
      <c r="D420">
        <v>3.4240000000000004</v>
      </c>
    </row>
    <row r="421" spans="2:4">
      <c r="B421" s="3">
        <v>42855</v>
      </c>
      <c r="C421" t="s">
        <v>5</v>
      </c>
      <c r="D421">
        <v>62.96</v>
      </c>
    </row>
    <row r="422" spans="2:4">
      <c r="B422" s="3">
        <v>43063</v>
      </c>
      <c r="C422" t="s">
        <v>5</v>
      </c>
      <c r="D422">
        <v>5.88</v>
      </c>
    </row>
    <row r="423" spans="2:4">
      <c r="B423" s="3">
        <v>43063</v>
      </c>
      <c r="C423" t="s">
        <v>3</v>
      </c>
      <c r="D423">
        <v>977.29200000000003</v>
      </c>
    </row>
    <row r="424" spans="2:4">
      <c r="B424" s="3">
        <v>43038</v>
      </c>
      <c r="C424" t="s">
        <v>3</v>
      </c>
      <c r="D424">
        <v>9.64</v>
      </c>
    </row>
    <row r="425" spans="2:4">
      <c r="B425" s="3">
        <v>42982</v>
      </c>
      <c r="C425" t="s">
        <v>5</v>
      </c>
      <c r="D425">
        <v>10.192000000000002</v>
      </c>
    </row>
    <row r="426" spans="2:4">
      <c r="B426" s="3">
        <v>42982</v>
      </c>
      <c r="C426" t="s">
        <v>5</v>
      </c>
      <c r="D426">
        <v>16.784000000000002</v>
      </c>
    </row>
    <row r="427" spans="2:4">
      <c r="B427" s="3">
        <v>42982</v>
      </c>
      <c r="C427" t="s">
        <v>5</v>
      </c>
      <c r="D427">
        <v>13.120000000000001</v>
      </c>
    </row>
    <row r="428" spans="2:4">
      <c r="B428" s="3">
        <v>43051</v>
      </c>
      <c r="C428" t="s">
        <v>5</v>
      </c>
      <c r="D428">
        <v>16.056000000000001</v>
      </c>
    </row>
    <row r="429" spans="2:4">
      <c r="B429" s="3">
        <v>43051</v>
      </c>
      <c r="C429" t="s">
        <v>5</v>
      </c>
      <c r="D429">
        <v>223.05600000000001</v>
      </c>
    </row>
    <row r="430" spans="2:4">
      <c r="B430" s="3">
        <v>43051</v>
      </c>
      <c r="C430" t="s">
        <v>5</v>
      </c>
      <c r="D430">
        <v>540.048</v>
      </c>
    </row>
    <row r="431" spans="2:4">
      <c r="B431" s="3">
        <v>43093</v>
      </c>
      <c r="C431" t="s">
        <v>5</v>
      </c>
      <c r="D431">
        <v>17.880000000000003</v>
      </c>
    </row>
    <row r="432" spans="2:4">
      <c r="B432" s="3">
        <v>43079</v>
      </c>
      <c r="C432" t="s">
        <v>5</v>
      </c>
      <c r="D432">
        <v>34.5</v>
      </c>
    </row>
    <row r="433" spans="2:4">
      <c r="B433" s="3">
        <v>42990</v>
      </c>
      <c r="C433" t="s">
        <v>3</v>
      </c>
      <c r="D433">
        <v>8.36</v>
      </c>
    </row>
    <row r="434" spans="2:4">
      <c r="B434" s="3">
        <v>42910</v>
      </c>
      <c r="C434" t="s">
        <v>5</v>
      </c>
      <c r="D434">
        <v>385.6</v>
      </c>
    </row>
    <row r="435" spans="2:4">
      <c r="B435" s="3">
        <v>42910</v>
      </c>
      <c r="C435" t="s">
        <v>5</v>
      </c>
      <c r="D435">
        <v>35.82</v>
      </c>
    </row>
    <row r="436" spans="2:4">
      <c r="B436" s="3">
        <v>42965</v>
      </c>
      <c r="C436" t="s">
        <v>5</v>
      </c>
      <c r="D436">
        <v>200.06400000000002</v>
      </c>
    </row>
    <row r="437" spans="2:4">
      <c r="B437" s="3">
        <v>42965</v>
      </c>
      <c r="C437" t="s">
        <v>5</v>
      </c>
      <c r="D437">
        <v>21.379999999999995</v>
      </c>
    </row>
    <row r="438" spans="2:4">
      <c r="B438" s="3">
        <v>42965</v>
      </c>
      <c r="C438" t="s">
        <v>5</v>
      </c>
      <c r="D438">
        <v>6.743999999999998</v>
      </c>
    </row>
    <row r="439" spans="2:4">
      <c r="B439" s="3">
        <v>43080</v>
      </c>
      <c r="C439" t="s">
        <v>3</v>
      </c>
      <c r="D439">
        <v>63.686</v>
      </c>
    </row>
    <row r="440" spans="2:4">
      <c r="B440" s="3">
        <v>43079</v>
      </c>
      <c r="C440" t="s">
        <v>3</v>
      </c>
      <c r="D440">
        <v>1669.6</v>
      </c>
    </row>
    <row r="441" spans="2:4">
      <c r="B441" s="3">
        <v>42777</v>
      </c>
      <c r="C441" t="s">
        <v>5</v>
      </c>
      <c r="D441">
        <v>21.335999999999999</v>
      </c>
    </row>
    <row r="442" spans="2:4">
      <c r="B442" s="3">
        <v>42841</v>
      </c>
      <c r="C442" t="s">
        <v>5</v>
      </c>
      <c r="D442">
        <v>16.520000000000003</v>
      </c>
    </row>
    <row r="443" spans="2:4">
      <c r="B443" s="3">
        <v>42978</v>
      </c>
      <c r="C443" t="s">
        <v>5</v>
      </c>
      <c r="D443">
        <v>10.744</v>
      </c>
    </row>
    <row r="444" spans="2:4">
      <c r="B444" s="3">
        <v>42978</v>
      </c>
      <c r="C444" t="s">
        <v>5</v>
      </c>
      <c r="D444">
        <v>8.3760000000000012</v>
      </c>
    </row>
    <row r="445" spans="2:4">
      <c r="B445" s="3">
        <v>42776</v>
      </c>
      <c r="C445" t="s">
        <v>3</v>
      </c>
      <c r="D445">
        <v>203.98299999999998</v>
      </c>
    </row>
    <row r="446" spans="2:4">
      <c r="B446" s="3">
        <v>42993</v>
      </c>
      <c r="C446" t="s">
        <v>4</v>
      </c>
      <c r="D446">
        <v>39.99</v>
      </c>
    </row>
    <row r="447" spans="2:4">
      <c r="B447" s="3">
        <v>42993</v>
      </c>
      <c r="C447" t="s">
        <v>5</v>
      </c>
      <c r="D447">
        <v>16.28</v>
      </c>
    </row>
    <row r="448" spans="2:4">
      <c r="B448" s="3">
        <v>42993</v>
      </c>
      <c r="C448" t="s">
        <v>3</v>
      </c>
      <c r="D448">
        <v>782.94</v>
      </c>
    </row>
    <row r="449" spans="2:4">
      <c r="B449" s="3">
        <v>42993</v>
      </c>
      <c r="C449" t="s">
        <v>5</v>
      </c>
      <c r="D449">
        <v>242.48000000000002</v>
      </c>
    </row>
    <row r="450" spans="2:4">
      <c r="B450" s="3">
        <v>43052</v>
      </c>
      <c r="C450" t="s">
        <v>5</v>
      </c>
      <c r="D450">
        <v>9.3239999999999981</v>
      </c>
    </row>
    <row r="451" spans="2:4">
      <c r="B451" s="3">
        <v>43024</v>
      </c>
      <c r="C451" t="s">
        <v>5</v>
      </c>
      <c r="D451">
        <v>124.75</v>
      </c>
    </row>
    <row r="452" spans="2:4">
      <c r="B452" s="3">
        <v>42982</v>
      </c>
      <c r="C452" t="s">
        <v>4</v>
      </c>
      <c r="D452">
        <v>91.96</v>
      </c>
    </row>
    <row r="453" spans="2:4">
      <c r="B453" s="3">
        <v>42983</v>
      </c>
      <c r="C453" t="s">
        <v>5</v>
      </c>
      <c r="D453">
        <v>2.78</v>
      </c>
    </row>
    <row r="454" spans="2:4">
      <c r="B454" s="3">
        <v>42916</v>
      </c>
      <c r="C454" t="s">
        <v>3</v>
      </c>
      <c r="D454">
        <v>1044.6299999999999</v>
      </c>
    </row>
    <row r="455" spans="2:4">
      <c r="B455" s="3">
        <v>42897</v>
      </c>
      <c r="C455" t="s">
        <v>5</v>
      </c>
      <c r="D455">
        <v>122.97</v>
      </c>
    </row>
    <row r="456" spans="2:4">
      <c r="B456" s="3">
        <v>43065</v>
      </c>
      <c r="C456" t="s">
        <v>5</v>
      </c>
      <c r="D456">
        <v>12.84</v>
      </c>
    </row>
    <row r="457" spans="2:4">
      <c r="B457" s="3">
        <v>42863</v>
      </c>
      <c r="C457" t="s">
        <v>3</v>
      </c>
      <c r="D457">
        <v>47.991999999999997</v>
      </c>
    </row>
    <row r="458" spans="2:4">
      <c r="B458" s="3">
        <v>43024</v>
      </c>
      <c r="C458" t="s">
        <v>3</v>
      </c>
      <c r="D458">
        <v>547.30000000000007</v>
      </c>
    </row>
    <row r="459" spans="2:4">
      <c r="B459" s="3">
        <v>43058</v>
      </c>
      <c r="C459" t="s">
        <v>5</v>
      </c>
      <c r="D459">
        <v>16.896000000000001</v>
      </c>
    </row>
    <row r="460" spans="2:4">
      <c r="B460" s="3">
        <v>43058</v>
      </c>
      <c r="C460" t="s">
        <v>5</v>
      </c>
      <c r="D460">
        <v>6.6720000000000006</v>
      </c>
    </row>
    <row r="461" spans="2:4">
      <c r="B461" s="3">
        <v>43058</v>
      </c>
      <c r="C461" t="s">
        <v>5</v>
      </c>
      <c r="D461">
        <v>99.13600000000001</v>
      </c>
    </row>
    <row r="462" spans="2:4">
      <c r="B462" s="3">
        <v>43058</v>
      </c>
      <c r="C462" t="s">
        <v>3</v>
      </c>
      <c r="D462">
        <v>15.991999999999999</v>
      </c>
    </row>
    <row r="463" spans="2:4">
      <c r="B463" s="3">
        <v>43069</v>
      </c>
      <c r="C463" t="s">
        <v>5</v>
      </c>
      <c r="D463">
        <v>155.94</v>
      </c>
    </row>
    <row r="464" spans="2:4">
      <c r="B464" s="3">
        <v>43090</v>
      </c>
      <c r="C464" t="s">
        <v>5</v>
      </c>
      <c r="D464">
        <v>1000.0200000000001</v>
      </c>
    </row>
    <row r="465" spans="2:4">
      <c r="B465" s="3">
        <v>42924</v>
      </c>
      <c r="C465" t="s">
        <v>3</v>
      </c>
      <c r="D465">
        <v>198.46</v>
      </c>
    </row>
    <row r="466" spans="2:4">
      <c r="B466" s="3">
        <v>42924</v>
      </c>
      <c r="C466" t="s">
        <v>5</v>
      </c>
      <c r="D466">
        <v>786.48</v>
      </c>
    </row>
    <row r="467" spans="2:4">
      <c r="B467" s="3">
        <v>42924</v>
      </c>
      <c r="C467" t="s">
        <v>5</v>
      </c>
      <c r="D467">
        <v>23.168000000000003</v>
      </c>
    </row>
    <row r="468" spans="2:4">
      <c r="B468" s="3">
        <v>42924</v>
      </c>
      <c r="C468" t="s">
        <v>4</v>
      </c>
      <c r="D468">
        <v>50</v>
      </c>
    </row>
    <row r="469" spans="2:4">
      <c r="B469" s="3">
        <v>42907</v>
      </c>
      <c r="C469" t="s">
        <v>3</v>
      </c>
      <c r="D469">
        <v>17.920000000000002</v>
      </c>
    </row>
    <row r="470" spans="2:4">
      <c r="B470" s="3">
        <v>42907</v>
      </c>
      <c r="C470" t="s">
        <v>5</v>
      </c>
      <c r="D470">
        <v>41.256000000000007</v>
      </c>
    </row>
    <row r="471" spans="2:4">
      <c r="B471" s="3">
        <v>43057</v>
      </c>
      <c r="C471" t="s">
        <v>5</v>
      </c>
      <c r="D471">
        <v>169.68</v>
      </c>
    </row>
    <row r="472" spans="2:4">
      <c r="B472" s="3">
        <v>43057</v>
      </c>
      <c r="C472" t="s">
        <v>4</v>
      </c>
      <c r="D472">
        <v>132.52000000000001</v>
      </c>
    </row>
    <row r="473" spans="2:4">
      <c r="B473" s="3">
        <v>43057</v>
      </c>
      <c r="C473" t="s">
        <v>5</v>
      </c>
      <c r="D473">
        <v>2.96</v>
      </c>
    </row>
    <row r="474" spans="2:4">
      <c r="B474" s="3">
        <v>43057</v>
      </c>
      <c r="C474" t="s">
        <v>5</v>
      </c>
      <c r="D474">
        <v>8.4480000000000004</v>
      </c>
    </row>
    <row r="475" spans="2:4">
      <c r="B475" s="3">
        <v>43057</v>
      </c>
      <c r="C475" t="s">
        <v>5</v>
      </c>
      <c r="D475">
        <v>95.94</v>
      </c>
    </row>
    <row r="476" spans="2:4">
      <c r="B476" s="3">
        <v>42755</v>
      </c>
      <c r="C476" t="s">
        <v>4</v>
      </c>
      <c r="D476">
        <v>160.77600000000001</v>
      </c>
    </row>
    <row r="477" spans="2:4">
      <c r="B477" s="3">
        <v>43038</v>
      </c>
      <c r="C477" t="s">
        <v>5</v>
      </c>
      <c r="D477">
        <v>88.751999999999995</v>
      </c>
    </row>
    <row r="478" spans="2:4">
      <c r="B478" s="3">
        <v>43038</v>
      </c>
      <c r="C478" t="s">
        <v>5</v>
      </c>
      <c r="D478">
        <v>13.904</v>
      </c>
    </row>
    <row r="479" spans="2:4">
      <c r="B479" s="3">
        <v>42855</v>
      </c>
      <c r="C479" t="s">
        <v>4</v>
      </c>
      <c r="D479">
        <v>677.57999999999993</v>
      </c>
    </row>
    <row r="480" spans="2:4">
      <c r="B480" s="3">
        <v>42855</v>
      </c>
      <c r="C480" t="s">
        <v>5</v>
      </c>
      <c r="D480">
        <v>13.896000000000001</v>
      </c>
    </row>
    <row r="481" spans="2:4">
      <c r="B481" s="3">
        <v>43027</v>
      </c>
      <c r="C481" t="s">
        <v>4</v>
      </c>
      <c r="D481">
        <v>16.68</v>
      </c>
    </row>
    <row r="482" spans="2:4">
      <c r="B482" s="3">
        <v>42919</v>
      </c>
      <c r="C482" t="s">
        <v>4</v>
      </c>
      <c r="D482">
        <v>167.96800000000002</v>
      </c>
    </row>
    <row r="483" spans="2:4">
      <c r="B483" s="3">
        <v>42849</v>
      </c>
      <c r="C483" t="s">
        <v>5</v>
      </c>
      <c r="D483">
        <v>99.28</v>
      </c>
    </row>
    <row r="484" spans="2:4">
      <c r="B484" s="3">
        <v>42849</v>
      </c>
      <c r="C484" t="s">
        <v>5</v>
      </c>
      <c r="D484">
        <v>1.1880000000000002</v>
      </c>
    </row>
    <row r="485" spans="2:4">
      <c r="B485" s="3">
        <v>42849</v>
      </c>
      <c r="C485" t="s">
        <v>5</v>
      </c>
      <c r="D485">
        <v>7.5180000000000007</v>
      </c>
    </row>
    <row r="486" spans="2:4">
      <c r="B486" s="3">
        <v>43079</v>
      </c>
      <c r="C486" t="s">
        <v>5</v>
      </c>
      <c r="D486">
        <v>10.368000000000002</v>
      </c>
    </row>
    <row r="487" spans="2:4">
      <c r="B487" s="3">
        <v>43079</v>
      </c>
      <c r="C487" t="s">
        <v>3</v>
      </c>
      <c r="D487">
        <v>310.88000000000005</v>
      </c>
    </row>
    <row r="488" spans="2:4">
      <c r="B488" s="3">
        <v>43078</v>
      </c>
      <c r="C488" t="s">
        <v>5</v>
      </c>
      <c r="D488">
        <v>33.450000000000003</v>
      </c>
    </row>
    <row r="489" spans="2:4">
      <c r="B489" s="3">
        <v>43078</v>
      </c>
      <c r="C489" t="s">
        <v>5</v>
      </c>
      <c r="D489">
        <v>10.4</v>
      </c>
    </row>
    <row r="490" spans="2:4">
      <c r="B490" s="3">
        <v>43038</v>
      </c>
      <c r="C490" t="s">
        <v>5</v>
      </c>
      <c r="D490">
        <v>43.86</v>
      </c>
    </row>
    <row r="491" spans="2:4">
      <c r="B491" s="3">
        <v>43038</v>
      </c>
      <c r="C491" t="s">
        <v>4</v>
      </c>
      <c r="D491">
        <v>148.47999999999999</v>
      </c>
    </row>
    <row r="492" spans="2:4">
      <c r="B492" s="3">
        <v>43038</v>
      </c>
      <c r="C492" t="s">
        <v>5</v>
      </c>
      <c r="D492">
        <v>7.42</v>
      </c>
    </row>
    <row r="493" spans="2:4">
      <c r="B493" s="3">
        <v>43038</v>
      </c>
      <c r="C493" t="s">
        <v>3</v>
      </c>
      <c r="D493">
        <v>71.992000000000004</v>
      </c>
    </row>
    <row r="494" spans="2:4">
      <c r="B494" s="3">
        <v>43038</v>
      </c>
      <c r="C494" t="s">
        <v>5</v>
      </c>
      <c r="D494">
        <v>19.899999999999999</v>
      </c>
    </row>
    <row r="495" spans="2:4">
      <c r="B495" s="3">
        <v>43038</v>
      </c>
      <c r="C495" t="s">
        <v>5</v>
      </c>
      <c r="D495">
        <v>1702.12</v>
      </c>
    </row>
    <row r="496" spans="2:4">
      <c r="B496" s="3">
        <v>42986</v>
      </c>
      <c r="C496" t="s">
        <v>3</v>
      </c>
      <c r="D496">
        <v>765.625</v>
      </c>
    </row>
    <row r="497" spans="2:4">
      <c r="B497" s="3">
        <v>43015</v>
      </c>
      <c r="C497" t="s">
        <v>3</v>
      </c>
      <c r="D497">
        <v>307.666</v>
      </c>
    </row>
    <row r="498" spans="2:4">
      <c r="B498" s="3">
        <v>42854</v>
      </c>
      <c r="C498" t="s">
        <v>3</v>
      </c>
      <c r="D498">
        <v>1048.3499999999999</v>
      </c>
    </row>
    <row r="499" spans="2:4">
      <c r="B499" s="3">
        <v>42945</v>
      </c>
      <c r="C499" t="s">
        <v>5</v>
      </c>
      <c r="D499">
        <v>34.848000000000006</v>
      </c>
    </row>
    <row r="500" spans="2:4">
      <c r="B500" s="3">
        <v>42945</v>
      </c>
      <c r="C500" t="s">
        <v>4</v>
      </c>
      <c r="D500">
        <v>22</v>
      </c>
    </row>
    <row r="501" spans="2:4">
      <c r="B501" s="3">
        <v>42945</v>
      </c>
      <c r="C501" t="s">
        <v>5</v>
      </c>
      <c r="D501">
        <v>4.3680000000000003</v>
      </c>
    </row>
    <row r="502" spans="2:4">
      <c r="B502" s="3">
        <v>43038</v>
      </c>
      <c r="C502" t="s">
        <v>5</v>
      </c>
      <c r="D502">
        <v>20.736000000000004</v>
      </c>
    </row>
    <row r="503" spans="2:4">
      <c r="B503" s="3">
        <v>43038</v>
      </c>
      <c r="C503" t="s">
        <v>3</v>
      </c>
      <c r="D503">
        <v>7.168000000000001</v>
      </c>
    </row>
    <row r="504" spans="2:4">
      <c r="B504" s="3">
        <v>43038</v>
      </c>
      <c r="C504" t="s">
        <v>5</v>
      </c>
      <c r="D504">
        <v>11.168000000000001</v>
      </c>
    </row>
    <row r="505" spans="2:4">
      <c r="B505" s="3">
        <v>43038</v>
      </c>
      <c r="C505" t="s">
        <v>4</v>
      </c>
      <c r="D505">
        <v>442.40000000000003</v>
      </c>
    </row>
    <row r="506" spans="2:4">
      <c r="B506" s="3">
        <v>43022</v>
      </c>
      <c r="C506" t="s">
        <v>3</v>
      </c>
      <c r="D506">
        <v>9.4600000000000009</v>
      </c>
    </row>
    <row r="507" spans="2:4">
      <c r="B507" s="3">
        <v>43071</v>
      </c>
      <c r="C507" t="s">
        <v>5</v>
      </c>
      <c r="D507">
        <v>559.62</v>
      </c>
    </row>
    <row r="508" spans="2:4">
      <c r="B508" s="3">
        <v>43071</v>
      </c>
      <c r="C508" t="s">
        <v>5</v>
      </c>
      <c r="D508">
        <v>109.92</v>
      </c>
    </row>
    <row r="509" spans="2:4">
      <c r="B509" s="3">
        <v>43071</v>
      </c>
      <c r="C509" t="s">
        <v>5</v>
      </c>
      <c r="D509">
        <v>8.56</v>
      </c>
    </row>
    <row r="510" spans="2:4">
      <c r="B510" s="3">
        <v>42796</v>
      </c>
      <c r="C510" t="s">
        <v>5</v>
      </c>
      <c r="D510">
        <v>6.9760000000000009</v>
      </c>
    </row>
    <row r="511" spans="2:4">
      <c r="B511" s="3">
        <v>42796</v>
      </c>
      <c r="C511" t="s">
        <v>5</v>
      </c>
      <c r="D511">
        <v>12.221999999999998</v>
      </c>
    </row>
    <row r="512" spans="2:4">
      <c r="B512" s="3">
        <v>43000</v>
      </c>
      <c r="C512" t="s">
        <v>5</v>
      </c>
      <c r="D512">
        <v>219.84</v>
      </c>
    </row>
    <row r="513" spans="2:4">
      <c r="B513" s="3">
        <v>43000</v>
      </c>
      <c r="C513" t="s">
        <v>4</v>
      </c>
      <c r="D513">
        <v>98.16</v>
      </c>
    </row>
    <row r="514" spans="2:4">
      <c r="B514" s="3">
        <v>43000</v>
      </c>
      <c r="C514" t="s">
        <v>5</v>
      </c>
      <c r="D514">
        <v>33.04</v>
      </c>
    </row>
    <row r="515" spans="2:4">
      <c r="B515" s="3">
        <v>43000</v>
      </c>
      <c r="C515" t="s">
        <v>4</v>
      </c>
      <c r="D515">
        <v>86.97</v>
      </c>
    </row>
    <row r="516" spans="2:4">
      <c r="B516" s="3">
        <v>42974</v>
      </c>
      <c r="C516" t="s">
        <v>5</v>
      </c>
      <c r="D516">
        <v>63.84</v>
      </c>
    </row>
    <row r="517" spans="2:4">
      <c r="B517" s="3">
        <v>42974</v>
      </c>
      <c r="C517" t="s">
        <v>4</v>
      </c>
      <c r="D517">
        <v>347.96999999999997</v>
      </c>
    </row>
    <row r="518" spans="2:4">
      <c r="B518" s="3">
        <v>42974</v>
      </c>
      <c r="C518" t="s">
        <v>5</v>
      </c>
      <c r="D518">
        <v>37.008000000000003</v>
      </c>
    </row>
    <row r="519" spans="2:4">
      <c r="B519" s="3">
        <v>43000</v>
      </c>
      <c r="C519" t="s">
        <v>5</v>
      </c>
      <c r="D519">
        <v>5.6070000000000011</v>
      </c>
    </row>
    <row r="520" spans="2:4">
      <c r="B520" s="3">
        <v>43000</v>
      </c>
      <c r="C520" t="s">
        <v>5</v>
      </c>
      <c r="D520">
        <v>4663.7360000000008</v>
      </c>
    </row>
    <row r="521" spans="2:4">
      <c r="B521" s="3">
        <v>43000</v>
      </c>
      <c r="C521" t="s">
        <v>4</v>
      </c>
      <c r="D521">
        <v>79.984000000000009</v>
      </c>
    </row>
    <row r="522" spans="2:4">
      <c r="B522" s="3">
        <v>43059</v>
      </c>
      <c r="C522" t="s">
        <v>3</v>
      </c>
      <c r="D522">
        <v>77.599999999999994</v>
      </c>
    </row>
    <row r="523" spans="2:4">
      <c r="B523" s="3">
        <v>43059</v>
      </c>
      <c r="C523" t="s">
        <v>3</v>
      </c>
      <c r="D523">
        <v>4.6560000000000006</v>
      </c>
    </row>
    <row r="524" spans="2:4">
      <c r="B524" s="3">
        <v>43029</v>
      </c>
      <c r="C524" t="s">
        <v>4</v>
      </c>
      <c r="D524">
        <v>1439.92</v>
      </c>
    </row>
    <row r="525" spans="2:4">
      <c r="B525" s="3">
        <v>43029</v>
      </c>
      <c r="C525" t="s">
        <v>3</v>
      </c>
      <c r="D525">
        <v>262.11</v>
      </c>
    </row>
    <row r="526" spans="2:4">
      <c r="B526" s="3">
        <v>42948</v>
      </c>
      <c r="C526" t="s">
        <v>4</v>
      </c>
      <c r="D526">
        <v>1439.982</v>
      </c>
    </row>
    <row r="527" spans="2:4">
      <c r="B527" s="3">
        <v>42948</v>
      </c>
      <c r="C527" t="s">
        <v>5</v>
      </c>
      <c r="D527">
        <v>36.288000000000011</v>
      </c>
    </row>
    <row r="528" spans="2:4">
      <c r="B528" s="3">
        <v>42785</v>
      </c>
      <c r="C528" t="s">
        <v>5</v>
      </c>
      <c r="D528">
        <v>1245.8599999999999</v>
      </c>
    </row>
    <row r="529" spans="2:4">
      <c r="B529" s="3">
        <v>42945</v>
      </c>
      <c r="C529" t="s">
        <v>4</v>
      </c>
      <c r="D529">
        <v>90.570000000000007</v>
      </c>
    </row>
    <row r="530" spans="2:4">
      <c r="B530" s="3">
        <v>42747</v>
      </c>
      <c r="C530" t="s">
        <v>5</v>
      </c>
      <c r="D530">
        <v>40.08</v>
      </c>
    </row>
    <row r="531" spans="2:4">
      <c r="B531" s="3">
        <v>42747</v>
      </c>
      <c r="C531" t="s">
        <v>3</v>
      </c>
      <c r="D531">
        <v>37.68</v>
      </c>
    </row>
    <row r="532" spans="2:4">
      <c r="B532" s="3">
        <v>42988</v>
      </c>
      <c r="C532" t="s">
        <v>3</v>
      </c>
      <c r="D532">
        <v>362.35199999999998</v>
      </c>
    </row>
    <row r="533" spans="2:4">
      <c r="B533" s="3">
        <v>42988</v>
      </c>
      <c r="C533" t="s">
        <v>5</v>
      </c>
      <c r="D533">
        <v>7.1840000000000011</v>
      </c>
    </row>
    <row r="534" spans="2:4">
      <c r="B534" s="3">
        <v>42867</v>
      </c>
      <c r="C534" t="s">
        <v>5</v>
      </c>
      <c r="D534">
        <v>127.92000000000002</v>
      </c>
    </row>
    <row r="535" spans="2:4">
      <c r="B535" s="3">
        <v>42867</v>
      </c>
      <c r="C535" t="s">
        <v>5</v>
      </c>
      <c r="D535">
        <v>34.239999999999988</v>
      </c>
    </row>
    <row r="536" spans="2:4">
      <c r="B536" s="3">
        <v>42820</v>
      </c>
      <c r="C536" t="s">
        <v>3</v>
      </c>
      <c r="D536">
        <v>257.56799999999998</v>
      </c>
    </row>
    <row r="537" spans="2:4">
      <c r="B537" s="3">
        <v>42820</v>
      </c>
      <c r="C537" t="s">
        <v>4</v>
      </c>
      <c r="D537">
        <v>119.96</v>
      </c>
    </row>
    <row r="538" spans="2:4">
      <c r="B538" s="3">
        <v>43051</v>
      </c>
      <c r="C538" t="s">
        <v>4</v>
      </c>
      <c r="D538">
        <v>370.78199999999998</v>
      </c>
    </row>
    <row r="539" spans="2:4">
      <c r="B539" s="3">
        <v>42840</v>
      </c>
      <c r="C539" t="s">
        <v>3</v>
      </c>
      <c r="D539">
        <v>196.45</v>
      </c>
    </row>
    <row r="540" spans="2:4">
      <c r="B540" s="3">
        <v>43060</v>
      </c>
      <c r="C540" t="s">
        <v>3</v>
      </c>
      <c r="D540">
        <v>70.98</v>
      </c>
    </row>
    <row r="541" spans="2:4">
      <c r="B541" s="3">
        <v>42819</v>
      </c>
      <c r="C541" t="s">
        <v>4</v>
      </c>
      <c r="D541">
        <v>470.37600000000009</v>
      </c>
    </row>
    <row r="542" spans="2:4">
      <c r="B542" s="3">
        <v>43098</v>
      </c>
      <c r="C542" t="s">
        <v>3</v>
      </c>
      <c r="D542">
        <v>393.56799999999998</v>
      </c>
    </row>
    <row r="543" spans="2:4">
      <c r="B543" s="3">
        <v>43098</v>
      </c>
      <c r="C543" t="s">
        <v>4</v>
      </c>
      <c r="D543">
        <v>302.37599999999998</v>
      </c>
    </row>
    <row r="544" spans="2:4">
      <c r="B544" s="3">
        <v>42822</v>
      </c>
      <c r="C544" t="s">
        <v>5</v>
      </c>
      <c r="D544">
        <v>68.742000000000019</v>
      </c>
    </row>
    <row r="545" spans="2:4">
      <c r="B545" s="3">
        <v>42754</v>
      </c>
      <c r="C545" t="s">
        <v>5</v>
      </c>
      <c r="D545">
        <v>6</v>
      </c>
    </row>
    <row r="546" spans="2:4">
      <c r="B546" s="3">
        <v>43091</v>
      </c>
      <c r="C546" t="s">
        <v>5</v>
      </c>
      <c r="D546">
        <v>7.8239999999999998</v>
      </c>
    </row>
    <row r="547" spans="2:4">
      <c r="B547" s="3">
        <v>43071</v>
      </c>
      <c r="C547" t="s">
        <v>5</v>
      </c>
      <c r="D547">
        <v>34.650000000000006</v>
      </c>
    </row>
    <row r="548" spans="2:4">
      <c r="B548" s="3">
        <v>43011</v>
      </c>
      <c r="C548" t="s">
        <v>5</v>
      </c>
      <c r="D548">
        <v>1793.98</v>
      </c>
    </row>
    <row r="549" spans="2:4">
      <c r="B549" s="3">
        <v>43029</v>
      </c>
      <c r="C549" t="s">
        <v>5</v>
      </c>
      <c r="D549">
        <v>5.1840000000000011</v>
      </c>
    </row>
    <row r="550" spans="2:4">
      <c r="B550" s="3">
        <v>43029</v>
      </c>
      <c r="C550" t="s">
        <v>3</v>
      </c>
      <c r="D550">
        <v>478.48</v>
      </c>
    </row>
    <row r="551" spans="2:4">
      <c r="B551" s="3">
        <v>43029</v>
      </c>
      <c r="C551" t="s">
        <v>4</v>
      </c>
      <c r="D551">
        <v>28.400000000000002</v>
      </c>
    </row>
    <row r="552" spans="2:4">
      <c r="B552" s="3">
        <v>43029</v>
      </c>
      <c r="C552" t="s">
        <v>5</v>
      </c>
      <c r="D552">
        <v>909.12</v>
      </c>
    </row>
    <row r="553" spans="2:4">
      <c r="B553" s="3">
        <v>43087</v>
      </c>
      <c r="C553" t="s">
        <v>3</v>
      </c>
      <c r="D553">
        <v>18.96</v>
      </c>
    </row>
    <row r="554" spans="2:4">
      <c r="B554" s="3">
        <v>42919</v>
      </c>
      <c r="C554" t="s">
        <v>5</v>
      </c>
      <c r="D554">
        <v>273.89600000000002</v>
      </c>
    </row>
    <row r="555" spans="2:4">
      <c r="B555" s="3">
        <v>42919</v>
      </c>
      <c r="C555" t="s">
        <v>4</v>
      </c>
      <c r="D555">
        <v>597.13200000000006</v>
      </c>
    </row>
    <row r="556" spans="2:4">
      <c r="B556" s="3">
        <v>42855</v>
      </c>
      <c r="C556" t="s">
        <v>5</v>
      </c>
      <c r="D556">
        <v>4.6079999999999997</v>
      </c>
    </row>
    <row r="557" spans="2:4">
      <c r="B557" s="3">
        <v>42855</v>
      </c>
      <c r="C557" t="s">
        <v>5</v>
      </c>
      <c r="D557">
        <v>15.528</v>
      </c>
    </row>
    <row r="558" spans="2:4">
      <c r="B558" s="3">
        <v>42855</v>
      </c>
      <c r="C558" t="s">
        <v>5</v>
      </c>
      <c r="D558">
        <v>11.952000000000002</v>
      </c>
    </row>
    <row r="559" spans="2:4">
      <c r="B559" s="3">
        <v>42964</v>
      </c>
      <c r="C559" t="s">
        <v>5</v>
      </c>
      <c r="D559">
        <v>895.92</v>
      </c>
    </row>
    <row r="560" spans="2:4">
      <c r="B560" s="3">
        <v>42964</v>
      </c>
      <c r="C560" t="s">
        <v>3</v>
      </c>
      <c r="D560">
        <v>462.56400000000002</v>
      </c>
    </row>
    <row r="561" spans="2:4">
      <c r="B561" s="3">
        <v>43074</v>
      </c>
      <c r="C561" t="s">
        <v>5</v>
      </c>
      <c r="D561">
        <v>92.94</v>
      </c>
    </row>
    <row r="562" spans="2:4">
      <c r="B562" s="3">
        <v>42803</v>
      </c>
      <c r="C562" t="s">
        <v>4</v>
      </c>
      <c r="D562">
        <v>199.98</v>
      </c>
    </row>
    <row r="563" spans="2:4">
      <c r="B563" s="3">
        <v>43067</v>
      </c>
      <c r="C563" t="s">
        <v>5</v>
      </c>
      <c r="D563">
        <v>88.768000000000001</v>
      </c>
    </row>
    <row r="564" spans="2:4">
      <c r="B564" s="3">
        <v>42810</v>
      </c>
      <c r="C564" t="s">
        <v>5</v>
      </c>
      <c r="D564">
        <v>6.48</v>
      </c>
    </row>
    <row r="565" spans="2:4">
      <c r="B565" s="3">
        <v>42810</v>
      </c>
      <c r="C565" t="s">
        <v>5</v>
      </c>
      <c r="D565">
        <v>46.51</v>
      </c>
    </row>
    <row r="566" spans="2:4">
      <c r="B566" s="3">
        <v>42810</v>
      </c>
      <c r="C566" t="s">
        <v>4</v>
      </c>
      <c r="D566">
        <v>659.97600000000011</v>
      </c>
    </row>
    <row r="567" spans="2:4">
      <c r="B567" s="3">
        <v>42953</v>
      </c>
      <c r="C567" t="s">
        <v>3</v>
      </c>
      <c r="D567">
        <v>145.74</v>
      </c>
    </row>
    <row r="568" spans="2:4">
      <c r="B568" s="3">
        <v>42953</v>
      </c>
      <c r="C568" t="s">
        <v>3</v>
      </c>
      <c r="D568">
        <v>15.4</v>
      </c>
    </row>
    <row r="569" spans="2:4">
      <c r="B569" s="3">
        <v>43066</v>
      </c>
      <c r="C569" t="s">
        <v>5</v>
      </c>
      <c r="D569">
        <v>244.54999999999998</v>
      </c>
    </row>
    <row r="570" spans="2:4">
      <c r="B570" s="3">
        <v>43066</v>
      </c>
      <c r="C570" t="s">
        <v>4</v>
      </c>
      <c r="D570">
        <v>166.16</v>
      </c>
    </row>
    <row r="571" spans="2:4">
      <c r="B571" s="3">
        <v>42976</v>
      </c>
      <c r="C571" t="s">
        <v>5</v>
      </c>
      <c r="D571">
        <v>47.360000000000007</v>
      </c>
    </row>
    <row r="572" spans="2:4">
      <c r="B572" s="3">
        <v>42976</v>
      </c>
      <c r="C572" t="s">
        <v>5</v>
      </c>
      <c r="D572">
        <v>27.439999999999998</v>
      </c>
    </row>
    <row r="573" spans="2:4">
      <c r="B573" s="3">
        <v>42976</v>
      </c>
      <c r="C573" t="s">
        <v>5</v>
      </c>
      <c r="D573">
        <v>3.2399999999999993</v>
      </c>
    </row>
    <row r="574" spans="2:4">
      <c r="B574" s="3">
        <v>42980</v>
      </c>
      <c r="C574" t="s">
        <v>5</v>
      </c>
      <c r="D574">
        <v>23.1</v>
      </c>
    </row>
    <row r="575" spans="2:4">
      <c r="B575" s="3">
        <v>42980</v>
      </c>
      <c r="C575" t="s">
        <v>3</v>
      </c>
      <c r="D575">
        <v>11.54</v>
      </c>
    </row>
    <row r="576" spans="2:4">
      <c r="B576" s="3">
        <v>42980</v>
      </c>
      <c r="C576" t="s">
        <v>3</v>
      </c>
      <c r="D576">
        <v>254.52599999999998</v>
      </c>
    </row>
    <row r="577" spans="2:4">
      <c r="B577" s="3">
        <v>42980</v>
      </c>
      <c r="C577" t="s">
        <v>5</v>
      </c>
      <c r="D577">
        <v>12.98</v>
      </c>
    </row>
    <row r="578" spans="2:4">
      <c r="B578" s="3">
        <v>42980</v>
      </c>
      <c r="C578" t="s">
        <v>5</v>
      </c>
      <c r="D578">
        <v>26.432000000000002</v>
      </c>
    </row>
    <row r="579" spans="2:4">
      <c r="B579" s="3">
        <v>42980</v>
      </c>
      <c r="C579" t="s">
        <v>4</v>
      </c>
      <c r="D579">
        <v>197.96999999999997</v>
      </c>
    </row>
    <row r="580" spans="2:4">
      <c r="B580" s="3">
        <v>42980</v>
      </c>
      <c r="C580" t="s">
        <v>5</v>
      </c>
      <c r="D580">
        <v>18.899999999999999</v>
      </c>
    </row>
    <row r="581" spans="2:4">
      <c r="B581" s="3">
        <v>42980</v>
      </c>
      <c r="C581" t="s">
        <v>3</v>
      </c>
      <c r="D581">
        <v>1282.4100000000001</v>
      </c>
    </row>
    <row r="582" spans="2:4">
      <c r="B582" s="3">
        <v>42980</v>
      </c>
      <c r="C582" t="s">
        <v>5</v>
      </c>
      <c r="D582">
        <v>4.92</v>
      </c>
    </row>
    <row r="583" spans="2:4">
      <c r="B583" s="3">
        <v>42980</v>
      </c>
      <c r="C583" t="s">
        <v>4</v>
      </c>
      <c r="D583">
        <v>238</v>
      </c>
    </row>
    <row r="584" spans="2:4">
      <c r="B584" s="3">
        <v>42980</v>
      </c>
      <c r="C584" t="s">
        <v>4</v>
      </c>
      <c r="D584">
        <v>167.97</v>
      </c>
    </row>
    <row r="585" spans="2:4">
      <c r="B585" s="3">
        <v>42980</v>
      </c>
      <c r="C585" t="s">
        <v>5</v>
      </c>
      <c r="D585">
        <v>17.12</v>
      </c>
    </row>
    <row r="586" spans="2:4">
      <c r="B586" s="3">
        <v>42988</v>
      </c>
      <c r="C586" t="s">
        <v>5</v>
      </c>
      <c r="D586">
        <v>16.200000000000003</v>
      </c>
    </row>
    <row r="587" spans="2:4">
      <c r="B587" s="3">
        <v>42988</v>
      </c>
      <c r="C587" t="s">
        <v>5</v>
      </c>
      <c r="D587">
        <v>33.99</v>
      </c>
    </row>
    <row r="588" spans="2:4">
      <c r="B588" s="3">
        <v>42988</v>
      </c>
      <c r="C588" t="s">
        <v>4</v>
      </c>
      <c r="D588">
        <v>296.84999999999997</v>
      </c>
    </row>
    <row r="589" spans="2:4">
      <c r="B589" s="3">
        <v>42988</v>
      </c>
      <c r="C589" t="s">
        <v>4</v>
      </c>
      <c r="D589">
        <v>112.80000000000001</v>
      </c>
    </row>
    <row r="590" spans="2:4">
      <c r="B590" s="3">
        <v>42988</v>
      </c>
      <c r="C590" t="s">
        <v>5</v>
      </c>
      <c r="D590">
        <v>13.71</v>
      </c>
    </row>
    <row r="591" spans="2:4">
      <c r="B591" s="3">
        <v>42988</v>
      </c>
      <c r="C591" t="s">
        <v>5</v>
      </c>
      <c r="D591">
        <v>24.900000000000002</v>
      </c>
    </row>
    <row r="592" spans="2:4">
      <c r="B592" s="3">
        <v>42988</v>
      </c>
      <c r="C592" t="s">
        <v>5</v>
      </c>
      <c r="D592">
        <v>286.29000000000002</v>
      </c>
    </row>
    <row r="593" spans="2:4">
      <c r="B593" s="3">
        <v>42988</v>
      </c>
      <c r="C593" t="s">
        <v>5</v>
      </c>
      <c r="D593">
        <v>24.18</v>
      </c>
    </row>
    <row r="594" spans="2:4">
      <c r="B594" s="3">
        <v>43090</v>
      </c>
      <c r="C594" t="s">
        <v>4</v>
      </c>
      <c r="D594">
        <v>281.96999999999997</v>
      </c>
    </row>
    <row r="595" spans="2:4">
      <c r="B595" s="3">
        <v>43090</v>
      </c>
      <c r="C595" t="s">
        <v>5</v>
      </c>
      <c r="D595">
        <v>69.5</v>
      </c>
    </row>
    <row r="596" spans="2:4">
      <c r="B596" s="3">
        <v>43090</v>
      </c>
      <c r="C596" t="s">
        <v>5</v>
      </c>
      <c r="D596">
        <v>166.44</v>
      </c>
    </row>
    <row r="597" spans="2:4">
      <c r="B597" s="3">
        <v>43001</v>
      </c>
      <c r="C597" t="s">
        <v>4</v>
      </c>
      <c r="D597">
        <v>291.95999999999998</v>
      </c>
    </row>
    <row r="598" spans="2:4">
      <c r="B598" s="3">
        <v>42861</v>
      </c>
      <c r="C598" t="s">
        <v>5</v>
      </c>
      <c r="D598">
        <v>6.4080000000000004</v>
      </c>
    </row>
    <row r="599" spans="2:4">
      <c r="B599" s="3">
        <v>42861</v>
      </c>
      <c r="C599" t="s">
        <v>4</v>
      </c>
      <c r="D599">
        <v>408.74399999999997</v>
      </c>
    </row>
    <row r="600" spans="2:4">
      <c r="B600" s="3">
        <v>42790</v>
      </c>
      <c r="C600" t="s">
        <v>5</v>
      </c>
      <c r="D600">
        <v>4.9560000000000004</v>
      </c>
    </row>
    <row r="601" spans="2:4">
      <c r="B601" s="3">
        <v>42911</v>
      </c>
      <c r="C601" t="s">
        <v>5</v>
      </c>
      <c r="D601">
        <v>71.040000000000006</v>
      </c>
    </row>
    <row r="602" spans="2:4">
      <c r="B602" s="3">
        <v>42911</v>
      </c>
      <c r="C602" t="s">
        <v>5</v>
      </c>
      <c r="D602">
        <v>5.3440000000000003</v>
      </c>
    </row>
    <row r="603" spans="2:4">
      <c r="B603" s="3">
        <v>42911</v>
      </c>
      <c r="C603" t="s">
        <v>5</v>
      </c>
      <c r="D603">
        <v>11.304</v>
      </c>
    </row>
    <row r="604" spans="2:4">
      <c r="B604" s="3">
        <v>43071</v>
      </c>
      <c r="C604" t="s">
        <v>5</v>
      </c>
      <c r="D604">
        <v>294.61999999999995</v>
      </c>
    </row>
    <row r="605" spans="2:4">
      <c r="B605" s="3">
        <v>43071</v>
      </c>
      <c r="C605" t="s">
        <v>3</v>
      </c>
      <c r="D605">
        <v>8.7520000000000007</v>
      </c>
    </row>
    <row r="606" spans="2:4">
      <c r="B606" s="3">
        <v>42836</v>
      </c>
      <c r="C606" t="s">
        <v>4</v>
      </c>
      <c r="D606">
        <v>199.95000000000002</v>
      </c>
    </row>
    <row r="607" spans="2:4">
      <c r="B607" s="3">
        <v>42836</v>
      </c>
      <c r="C607" t="s">
        <v>5</v>
      </c>
      <c r="D607">
        <v>41.86</v>
      </c>
    </row>
    <row r="608" spans="2:4">
      <c r="B608" s="3">
        <v>43094</v>
      </c>
      <c r="C608" t="s">
        <v>5</v>
      </c>
      <c r="D608">
        <v>95.94</v>
      </c>
    </row>
    <row r="609" spans="2:4">
      <c r="B609" s="3">
        <v>43094</v>
      </c>
      <c r="C609" t="s">
        <v>3</v>
      </c>
      <c r="D609">
        <v>304.45</v>
      </c>
    </row>
    <row r="610" spans="2:4">
      <c r="B610" s="3">
        <v>42836</v>
      </c>
      <c r="C610" t="s">
        <v>5</v>
      </c>
      <c r="D610">
        <v>11.363999999999997</v>
      </c>
    </row>
    <row r="611" spans="2:4">
      <c r="B611" s="3">
        <v>42950</v>
      </c>
      <c r="C611" t="s">
        <v>3</v>
      </c>
      <c r="D611">
        <v>183.37199999999999</v>
      </c>
    </row>
    <row r="612" spans="2:4">
      <c r="B612" s="3">
        <v>42967</v>
      </c>
      <c r="C612" t="s">
        <v>5</v>
      </c>
      <c r="D612">
        <v>239.12000000000003</v>
      </c>
    </row>
    <row r="613" spans="2:4">
      <c r="B613" s="3">
        <v>43003</v>
      </c>
      <c r="C613" t="s">
        <v>5</v>
      </c>
      <c r="D613">
        <v>8.26</v>
      </c>
    </row>
    <row r="614" spans="2:4">
      <c r="B614" s="3">
        <v>43003</v>
      </c>
      <c r="C614" t="s">
        <v>3</v>
      </c>
      <c r="D614">
        <v>269.96999999999997</v>
      </c>
    </row>
    <row r="615" spans="2:4">
      <c r="B615" s="3">
        <v>43057</v>
      </c>
      <c r="C615" t="s">
        <v>5</v>
      </c>
      <c r="D615">
        <v>38.864000000000004</v>
      </c>
    </row>
    <row r="616" spans="2:4">
      <c r="B616" s="3">
        <v>43091</v>
      </c>
      <c r="C616" t="s">
        <v>4</v>
      </c>
      <c r="D616">
        <v>199.95000000000002</v>
      </c>
    </row>
    <row r="617" spans="2:4">
      <c r="B617" s="3">
        <v>43091</v>
      </c>
      <c r="C617" t="s">
        <v>3</v>
      </c>
      <c r="D617">
        <v>1586.6899999999998</v>
      </c>
    </row>
    <row r="618" spans="2:4">
      <c r="B618" s="3">
        <v>43091</v>
      </c>
      <c r="C618" t="s">
        <v>4</v>
      </c>
      <c r="D618">
        <v>84.99</v>
      </c>
    </row>
    <row r="619" spans="2:4">
      <c r="B619" s="3">
        <v>43091</v>
      </c>
      <c r="C619" t="s">
        <v>3</v>
      </c>
      <c r="D619">
        <v>411.8</v>
      </c>
    </row>
    <row r="620" spans="2:4">
      <c r="B620" s="3">
        <v>43059</v>
      </c>
      <c r="C620" t="s">
        <v>3</v>
      </c>
      <c r="D620">
        <v>283.92</v>
      </c>
    </row>
    <row r="621" spans="2:4">
      <c r="B621" s="3">
        <v>43046</v>
      </c>
      <c r="C621" t="s">
        <v>4</v>
      </c>
      <c r="D621">
        <v>59.97</v>
      </c>
    </row>
    <row r="622" spans="2:4">
      <c r="B622" s="3">
        <v>43046</v>
      </c>
      <c r="C622" t="s">
        <v>4</v>
      </c>
      <c r="D622">
        <v>761.5440000000001</v>
      </c>
    </row>
    <row r="623" spans="2:4">
      <c r="B623" s="3">
        <v>42990</v>
      </c>
      <c r="C623" t="s">
        <v>5</v>
      </c>
      <c r="D623">
        <v>39.900000000000006</v>
      </c>
    </row>
    <row r="624" spans="2:4">
      <c r="B624" s="3">
        <v>42990</v>
      </c>
      <c r="C624" t="s">
        <v>5</v>
      </c>
      <c r="D624">
        <v>90.86</v>
      </c>
    </row>
    <row r="625" spans="2:4">
      <c r="B625" s="3">
        <v>42990</v>
      </c>
      <c r="C625" t="s">
        <v>5</v>
      </c>
      <c r="D625">
        <v>94.85</v>
      </c>
    </row>
    <row r="626" spans="2:4">
      <c r="B626" s="3">
        <v>42789</v>
      </c>
      <c r="C626" t="s">
        <v>5</v>
      </c>
      <c r="D626">
        <v>37.44</v>
      </c>
    </row>
    <row r="627" spans="2:4">
      <c r="B627" s="3">
        <v>42931</v>
      </c>
      <c r="C627" t="s">
        <v>5</v>
      </c>
      <c r="D627">
        <v>26.549999999999997</v>
      </c>
    </row>
    <row r="628" spans="2:4">
      <c r="B628" s="3">
        <v>42931</v>
      </c>
      <c r="C628" t="s">
        <v>3</v>
      </c>
      <c r="D628">
        <v>310.44300000000004</v>
      </c>
    </row>
    <row r="629" spans="2:4">
      <c r="B629" s="3">
        <v>42985</v>
      </c>
      <c r="C629" t="s">
        <v>5</v>
      </c>
      <c r="D629">
        <v>37.68</v>
      </c>
    </row>
    <row r="630" spans="2:4">
      <c r="B630" s="3">
        <v>42985</v>
      </c>
      <c r="C630" t="s">
        <v>4</v>
      </c>
      <c r="D630">
        <v>279.94400000000002</v>
      </c>
    </row>
    <row r="631" spans="2:4">
      <c r="B631" s="3">
        <v>42818</v>
      </c>
      <c r="C631" t="s">
        <v>5</v>
      </c>
      <c r="D631">
        <v>221.92</v>
      </c>
    </row>
    <row r="632" spans="2:4">
      <c r="B632" s="3">
        <v>42818</v>
      </c>
      <c r="C632" t="s">
        <v>4</v>
      </c>
      <c r="D632">
        <v>26</v>
      </c>
    </row>
    <row r="633" spans="2:4">
      <c r="B633" s="3">
        <v>42838</v>
      </c>
      <c r="C633" t="s">
        <v>5</v>
      </c>
      <c r="D633">
        <v>5.28</v>
      </c>
    </row>
    <row r="634" spans="2:4">
      <c r="B634" s="3">
        <v>42838</v>
      </c>
      <c r="C634" t="s">
        <v>5</v>
      </c>
      <c r="D634">
        <v>895.92</v>
      </c>
    </row>
    <row r="635" spans="2:4">
      <c r="B635" s="3">
        <v>42742</v>
      </c>
      <c r="C635" t="s">
        <v>5</v>
      </c>
      <c r="D635">
        <v>2.8080000000000007</v>
      </c>
    </row>
    <row r="636" spans="2:4">
      <c r="B636" s="3">
        <v>43048</v>
      </c>
      <c r="C636" t="s">
        <v>3</v>
      </c>
      <c r="D636">
        <v>215.976</v>
      </c>
    </row>
    <row r="637" spans="2:4">
      <c r="B637" s="3">
        <v>43000</v>
      </c>
      <c r="C637" t="s">
        <v>3</v>
      </c>
      <c r="D637">
        <v>241.96</v>
      </c>
    </row>
    <row r="638" spans="2:4">
      <c r="B638" s="3">
        <v>43000</v>
      </c>
      <c r="C638" t="s">
        <v>5</v>
      </c>
      <c r="D638">
        <v>27.72</v>
      </c>
    </row>
    <row r="639" spans="2:4">
      <c r="B639" s="3">
        <v>43070</v>
      </c>
      <c r="C639" t="s">
        <v>5</v>
      </c>
      <c r="D639">
        <v>104.68000000000002</v>
      </c>
    </row>
    <row r="640" spans="2:4">
      <c r="B640" s="3">
        <v>43070</v>
      </c>
      <c r="C640" t="s">
        <v>4</v>
      </c>
      <c r="D640">
        <v>62.957999999999998</v>
      </c>
    </row>
    <row r="641" spans="2:4">
      <c r="B641" s="3">
        <v>43055</v>
      </c>
      <c r="C641" t="s">
        <v>5</v>
      </c>
      <c r="D641">
        <v>146.82</v>
      </c>
    </row>
    <row r="642" spans="2:4">
      <c r="B642" s="3">
        <v>42825</v>
      </c>
      <c r="C642" t="s">
        <v>4</v>
      </c>
      <c r="D642">
        <v>84.949999999999989</v>
      </c>
    </row>
    <row r="643" spans="2:4">
      <c r="B643" s="3">
        <v>43058</v>
      </c>
      <c r="C643" t="s">
        <v>3</v>
      </c>
      <c r="D643">
        <v>233.05799999999999</v>
      </c>
    </row>
    <row r="644" spans="2:4">
      <c r="B644" s="3">
        <v>43029</v>
      </c>
      <c r="C644" t="s">
        <v>5</v>
      </c>
      <c r="D644">
        <v>17.856000000000002</v>
      </c>
    </row>
    <row r="645" spans="2:4">
      <c r="B645" s="3">
        <v>42807</v>
      </c>
      <c r="C645" t="s">
        <v>5</v>
      </c>
      <c r="D645">
        <v>314.54999999999995</v>
      </c>
    </row>
    <row r="646" spans="2:4">
      <c r="B646" s="3">
        <v>42762</v>
      </c>
      <c r="C646" t="s">
        <v>5</v>
      </c>
      <c r="D646">
        <v>14.015999999999998</v>
      </c>
    </row>
    <row r="647" spans="2:4">
      <c r="B647" s="3">
        <v>42762</v>
      </c>
      <c r="C647" t="s">
        <v>4</v>
      </c>
      <c r="D647">
        <v>71.975999999999999</v>
      </c>
    </row>
    <row r="648" spans="2:4">
      <c r="B648" s="3">
        <v>42762</v>
      </c>
      <c r="C648" t="s">
        <v>4</v>
      </c>
      <c r="D648">
        <v>107.982</v>
      </c>
    </row>
    <row r="649" spans="2:4">
      <c r="B649" s="3">
        <v>43058</v>
      </c>
      <c r="C649" t="s">
        <v>3</v>
      </c>
      <c r="D649">
        <v>305.31200000000001</v>
      </c>
    </row>
    <row r="650" spans="2:4">
      <c r="B650" s="3">
        <v>42948</v>
      </c>
      <c r="C650" t="s">
        <v>5</v>
      </c>
      <c r="D650">
        <v>54.896000000000008</v>
      </c>
    </row>
    <row r="651" spans="2:4">
      <c r="B651" s="3">
        <v>42957</v>
      </c>
      <c r="C651" t="s">
        <v>5</v>
      </c>
      <c r="D651">
        <v>70.08</v>
      </c>
    </row>
    <row r="652" spans="2:4">
      <c r="B652" s="3">
        <v>42957</v>
      </c>
      <c r="C652" t="s">
        <v>3</v>
      </c>
      <c r="D652">
        <v>121.3</v>
      </c>
    </row>
    <row r="653" spans="2:4">
      <c r="B653" s="3">
        <v>42957</v>
      </c>
      <c r="C653" t="s">
        <v>4</v>
      </c>
      <c r="D653">
        <v>1454.4900000000002</v>
      </c>
    </row>
    <row r="654" spans="2:4">
      <c r="B654" s="3">
        <v>43060</v>
      </c>
      <c r="C654" t="s">
        <v>3</v>
      </c>
      <c r="D654">
        <v>27.42</v>
      </c>
    </row>
    <row r="655" spans="2:4">
      <c r="B655" s="3">
        <v>43009</v>
      </c>
      <c r="C655" t="s">
        <v>5</v>
      </c>
      <c r="D655">
        <v>1.4400000000000002</v>
      </c>
    </row>
    <row r="656" spans="2:4">
      <c r="B656" s="3">
        <v>43009</v>
      </c>
      <c r="C656" t="s">
        <v>5</v>
      </c>
      <c r="D656">
        <v>61.77600000000001</v>
      </c>
    </row>
    <row r="657" spans="2:4">
      <c r="B657" s="3">
        <v>43009</v>
      </c>
      <c r="C657" t="s">
        <v>5</v>
      </c>
      <c r="D657">
        <v>241.96</v>
      </c>
    </row>
    <row r="658" spans="2:4">
      <c r="B658" s="3">
        <v>43009</v>
      </c>
      <c r="C658" t="s">
        <v>3</v>
      </c>
      <c r="D658">
        <v>108.608</v>
      </c>
    </row>
    <row r="659" spans="2:4">
      <c r="B659" s="3">
        <v>42944</v>
      </c>
      <c r="C659" t="s">
        <v>5</v>
      </c>
      <c r="D659">
        <v>9.9840000000000018</v>
      </c>
    </row>
    <row r="660" spans="2:4">
      <c r="B660" s="3">
        <v>42944</v>
      </c>
      <c r="C660" t="s">
        <v>5</v>
      </c>
      <c r="D660">
        <v>14.98</v>
      </c>
    </row>
    <row r="661" spans="2:4">
      <c r="B661" s="3">
        <v>42944</v>
      </c>
      <c r="C661" t="s">
        <v>4</v>
      </c>
      <c r="D661">
        <v>1145.6000000000001</v>
      </c>
    </row>
    <row r="662" spans="2:4">
      <c r="B662" s="3">
        <v>42947</v>
      </c>
      <c r="C662" t="s">
        <v>5</v>
      </c>
      <c r="D662">
        <v>54.816000000000003</v>
      </c>
    </row>
    <row r="663" spans="2:4">
      <c r="B663" s="3">
        <v>42945</v>
      </c>
      <c r="C663" t="s">
        <v>5</v>
      </c>
      <c r="D663">
        <v>2.8960000000000004</v>
      </c>
    </row>
    <row r="664" spans="2:4">
      <c r="B664" s="3">
        <v>42945</v>
      </c>
      <c r="C664" t="s">
        <v>4</v>
      </c>
      <c r="D664">
        <v>124.79200000000002</v>
      </c>
    </row>
    <row r="665" spans="2:4">
      <c r="B665" s="3">
        <v>42912</v>
      </c>
      <c r="C665" t="s">
        <v>3</v>
      </c>
      <c r="D665">
        <v>526.45000000000005</v>
      </c>
    </row>
    <row r="666" spans="2:4">
      <c r="B666" s="3">
        <v>42925</v>
      </c>
      <c r="C666" t="s">
        <v>5</v>
      </c>
      <c r="D666">
        <v>228.92</v>
      </c>
    </row>
    <row r="667" spans="2:4">
      <c r="B667" s="3">
        <v>43074</v>
      </c>
      <c r="C667" t="s">
        <v>4</v>
      </c>
      <c r="D667">
        <v>205.03</v>
      </c>
    </row>
    <row r="668" spans="2:4">
      <c r="B668" s="3">
        <v>42845</v>
      </c>
      <c r="C668" t="s">
        <v>3</v>
      </c>
      <c r="D668">
        <v>44.400000000000006</v>
      </c>
    </row>
    <row r="669" spans="2:4">
      <c r="B669" s="3">
        <v>43060</v>
      </c>
      <c r="C669" t="s">
        <v>5</v>
      </c>
      <c r="D669">
        <v>56.56</v>
      </c>
    </row>
    <row r="670" spans="2:4">
      <c r="B670" s="3">
        <v>43060</v>
      </c>
      <c r="C670" t="s">
        <v>5</v>
      </c>
      <c r="D670">
        <v>5.56</v>
      </c>
    </row>
    <row r="671" spans="2:4">
      <c r="B671" s="3">
        <v>43060</v>
      </c>
      <c r="C671" t="s">
        <v>5</v>
      </c>
      <c r="D671">
        <v>9.02</v>
      </c>
    </row>
    <row r="672" spans="2:4">
      <c r="B672" s="3">
        <v>43060</v>
      </c>
      <c r="C672" t="s">
        <v>5</v>
      </c>
      <c r="D672">
        <v>8.6199999999999992</v>
      </c>
    </row>
    <row r="673" spans="2:4">
      <c r="B673" s="3">
        <v>43060</v>
      </c>
      <c r="C673" t="s">
        <v>4</v>
      </c>
      <c r="D673">
        <v>659.97600000000011</v>
      </c>
    </row>
    <row r="674" spans="2:4">
      <c r="B674" s="3">
        <v>42902</v>
      </c>
      <c r="C674" t="s">
        <v>3</v>
      </c>
      <c r="D674">
        <v>1212.96</v>
      </c>
    </row>
    <row r="675" spans="2:4">
      <c r="B675" s="3">
        <v>42902</v>
      </c>
      <c r="C675" t="s">
        <v>5</v>
      </c>
      <c r="D675">
        <v>18.54</v>
      </c>
    </row>
    <row r="676" spans="2:4">
      <c r="B676" s="3">
        <v>42772</v>
      </c>
      <c r="C676" t="s">
        <v>3</v>
      </c>
      <c r="D676">
        <v>359.96999999999997</v>
      </c>
    </row>
    <row r="677" spans="2:4">
      <c r="B677" s="3">
        <v>43020</v>
      </c>
      <c r="C677" t="s">
        <v>5</v>
      </c>
      <c r="D677">
        <v>7.9680000000000009</v>
      </c>
    </row>
    <row r="678" spans="2:4">
      <c r="B678" s="3">
        <v>42995</v>
      </c>
      <c r="C678" t="s">
        <v>5</v>
      </c>
      <c r="D678">
        <v>12.96</v>
      </c>
    </row>
    <row r="679" spans="2:4">
      <c r="B679" s="3">
        <v>43089</v>
      </c>
      <c r="C679" t="s">
        <v>5</v>
      </c>
      <c r="D679">
        <v>6.48</v>
      </c>
    </row>
    <row r="680" spans="2:4">
      <c r="B680" s="3">
        <v>43089</v>
      </c>
      <c r="C680" t="s">
        <v>5</v>
      </c>
      <c r="D680">
        <v>6.9840000000000009</v>
      </c>
    </row>
    <row r="681" spans="2:4">
      <c r="B681" s="3">
        <v>43071</v>
      </c>
      <c r="C681" t="s">
        <v>5</v>
      </c>
      <c r="D681">
        <v>47.96</v>
      </c>
    </row>
    <row r="682" spans="2:4">
      <c r="B682" s="3">
        <v>43038</v>
      </c>
      <c r="C682" t="s">
        <v>3</v>
      </c>
      <c r="D682">
        <v>97.567999999999998</v>
      </c>
    </row>
    <row r="683" spans="2:4">
      <c r="B683" s="3">
        <v>43038</v>
      </c>
      <c r="C683" t="s">
        <v>3</v>
      </c>
      <c r="D683">
        <v>614.27200000000005</v>
      </c>
    </row>
    <row r="684" spans="2:4">
      <c r="B684" s="3">
        <v>43038</v>
      </c>
      <c r="C684" t="s">
        <v>3</v>
      </c>
      <c r="D684">
        <v>199.98</v>
      </c>
    </row>
    <row r="685" spans="2:4">
      <c r="B685" s="3">
        <v>43056</v>
      </c>
      <c r="C685" t="s">
        <v>5</v>
      </c>
      <c r="D685">
        <v>35.04</v>
      </c>
    </row>
    <row r="686" spans="2:4">
      <c r="B686" s="3">
        <v>42887</v>
      </c>
      <c r="C686" t="s">
        <v>5</v>
      </c>
      <c r="D686">
        <v>17.480000000000004</v>
      </c>
    </row>
    <row r="687" spans="2:4">
      <c r="B687" s="3">
        <v>42896</v>
      </c>
      <c r="C687" t="s">
        <v>5</v>
      </c>
      <c r="D687">
        <v>16.399999999999999</v>
      </c>
    </row>
    <row r="688" spans="2:4">
      <c r="B688" s="3">
        <v>42743</v>
      </c>
      <c r="C688" t="s">
        <v>3</v>
      </c>
      <c r="D688">
        <v>892.98</v>
      </c>
    </row>
    <row r="689" spans="2:4">
      <c r="B689" s="3">
        <v>43092</v>
      </c>
      <c r="C689" t="s">
        <v>3</v>
      </c>
      <c r="D689">
        <v>181.95</v>
      </c>
    </row>
    <row r="690" spans="2:4">
      <c r="B690" s="3">
        <v>42995</v>
      </c>
      <c r="C690" t="s">
        <v>3</v>
      </c>
      <c r="D690">
        <v>723.92</v>
      </c>
    </row>
    <row r="691" spans="2:4">
      <c r="B691" s="3">
        <v>42995</v>
      </c>
      <c r="C691" t="s">
        <v>5</v>
      </c>
      <c r="D691">
        <v>106.32</v>
      </c>
    </row>
    <row r="692" spans="2:4">
      <c r="B692" s="3">
        <v>43044</v>
      </c>
      <c r="C692" t="s">
        <v>4</v>
      </c>
      <c r="D692">
        <v>390.75</v>
      </c>
    </row>
    <row r="693" spans="2:4">
      <c r="B693" s="3">
        <v>42897</v>
      </c>
      <c r="C693" t="s">
        <v>3</v>
      </c>
      <c r="D693">
        <v>280.79200000000003</v>
      </c>
    </row>
    <row r="694" spans="2:4">
      <c r="B694" s="3">
        <v>42897</v>
      </c>
      <c r="C694" t="s">
        <v>5</v>
      </c>
      <c r="D694">
        <v>68.448000000000008</v>
      </c>
    </row>
    <row r="695" spans="2:4">
      <c r="B695" s="3">
        <v>42897</v>
      </c>
      <c r="C695" t="s">
        <v>5</v>
      </c>
      <c r="D695">
        <v>88.04</v>
      </c>
    </row>
    <row r="696" spans="2:4">
      <c r="B696" s="3">
        <v>42897</v>
      </c>
      <c r="C696" t="s">
        <v>5</v>
      </c>
      <c r="D696">
        <v>15.872</v>
      </c>
    </row>
    <row r="697" spans="2:4">
      <c r="B697" s="3">
        <v>42897</v>
      </c>
      <c r="C697" t="s">
        <v>5</v>
      </c>
      <c r="D697">
        <v>215.59200000000001</v>
      </c>
    </row>
    <row r="698" spans="2:4">
      <c r="B698" s="3">
        <v>42936</v>
      </c>
      <c r="C698" t="s">
        <v>5</v>
      </c>
      <c r="D698">
        <v>14.62</v>
      </c>
    </row>
    <row r="699" spans="2:4">
      <c r="B699" s="3">
        <v>42936</v>
      </c>
      <c r="C699" t="s">
        <v>5</v>
      </c>
      <c r="D699">
        <v>416.32</v>
      </c>
    </row>
    <row r="700" spans="2:4">
      <c r="B700" s="3">
        <v>42936</v>
      </c>
      <c r="C700" t="s">
        <v>5</v>
      </c>
      <c r="D700">
        <v>43</v>
      </c>
    </row>
    <row r="701" spans="2:4">
      <c r="B701" s="3">
        <v>42936</v>
      </c>
      <c r="C701" t="s">
        <v>3</v>
      </c>
      <c r="D701">
        <v>182.94</v>
      </c>
    </row>
    <row r="702" spans="2:4">
      <c r="B702" s="3">
        <v>42936</v>
      </c>
      <c r="C702" t="s">
        <v>5</v>
      </c>
      <c r="D702">
        <v>60.83</v>
      </c>
    </row>
    <row r="703" spans="2:4">
      <c r="B703" s="3">
        <v>42936</v>
      </c>
      <c r="C703" t="s">
        <v>4</v>
      </c>
      <c r="D703">
        <v>389.97</v>
      </c>
    </row>
    <row r="704" spans="2:4">
      <c r="B704" s="3">
        <v>42814</v>
      </c>
      <c r="C704" t="s">
        <v>4</v>
      </c>
      <c r="D704">
        <v>265.93</v>
      </c>
    </row>
    <row r="705" spans="2:4">
      <c r="B705" s="3">
        <v>43001</v>
      </c>
      <c r="C705" t="s">
        <v>5</v>
      </c>
      <c r="D705">
        <v>14.352000000000002</v>
      </c>
    </row>
    <row r="706" spans="2:4">
      <c r="B706" s="3">
        <v>42815</v>
      </c>
      <c r="C706" t="s">
        <v>5</v>
      </c>
      <c r="D706">
        <v>277.39999999999998</v>
      </c>
    </row>
    <row r="707" spans="2:4">
      <c r="B707" s="3">
        <v>42815</v>
      </c>
      <c r="C707" t="s">
        <v>5</v>
      </c>
      <c r="D707">
        <v>5.78</v>
      </c>
    </row>
    <row r="708" spans="2:4">
      <c r="B708" s="3">
        <v>43079</v>
      </c>
      <c r="C708" t="s">
        <v>5</v>
      </c>
      <c r="D708">
        <v>10.86</v>
      </c>
    </row>
    <row r="709" spans="2:4">
      <c r="B709" s="3">
        <v>43079</v>
      </c>
      <c r="C709" t="s">
        <v>5</v>
      </c>
      <c r="D709">
        <v>426.78999999999996</v>
      </c>
    </row>
    <row r="710" spans="2:4">
      <c r="B710" s="3">
        <v>43071</v>
      </c>
      <c r="C710" t="s">
        <v>5</v>
      </c>
      <c r="D710">
        <v>9.0240000000000009</v>
      </c>
    </row>
    <row r="711" spans="2:4">
      <c r="B711" s="3">
        <v>43071</v>
      </c>
      <c r="C711" t="s">
        <v>5</v>
      </c>
      <c r="D711">
        <v>69.456000000000003</v>
      </c>
    </row>
    <row r="712" spans="2:4">
      <c r="B712" s="3">
        <v>43071</v>
      </c>
      <c r="C712" t="s">
        <v>5</v>
      </c>
      <c r="D712">
        <v>10.86</v>
      </c>
    </row>
    <row r="713" spans="2:4">
      <c r="B713" s="3">
        <v>43071</v>
      </c>
      <c r="C713" t="s">
        <v>5</v>
      </c>
      <c r="D713">
        <v>79.47</v>
      </c>
    </row>
    <row r="714" spans="2:4">
      <c r="B714" s="3">
        <v>43071</v>
      </c>
      <c r="C714" t="s">
        <v>5</v>
      </c>
      <c r="D714">
        <v>10.08</v>
      </c>
    </row>
    <row r="715" spans="2:4">
      <c r="B715" s="3">
        <v>42841</v>
      </c>
      <c r="C715" t="s">
        <v>5</v>
      </c>
      <c r="D715">
        <v>13.710000000000003</v>
      </c>
    </row>
    <row r="716" spans="2:4">
      <c r="B716" s="3">
        <v>42776</v>
      </c>
      <c r="C716" t="s">
        <v>5</v>
      </c>
      <c r="D716">
        <v>23.12</v>
      </c>
    </row>
    <row r="717" spans="2:4">
      <c r="B717" s="3">
        <v>42923</v>
      </c>
      <c r="C717" t="s">
        <v>4</v>
      </c>
      <c r="D717">
        <v>252</v>
      </c>
    </row>
    <row r="718" spans="2:4">
      <c r="B718" s="3">
        <v>42759</v>
      </c>
      <c r="C718" t="s">
        <v>5</v>
      </c>
      <c r="D718">
        <v>5.67</v>
      </c>
    </row>
    <row r="719" spans="2:4">
      <c r="B719" s="3">
        <v>42819</v>
      </c>
      <c r="C719" t="s">
        <v>5</v>
      </c>
      <c r="D719">
        <v>176.04</v>
      </c>
    </row>
    <row r="720" spans="2:4">
      <c r="B720" s="3">
        <v>42819</v>
      </c>
      <c r="C720" t="s">
        <v>5</v>
      </c>
      <c r="D720">
        <v>16.02</v>
      </c>
    </row>
    <row r="721" spans="2:4">
      <c r="B721" s="3">
        <v>42819</v>
      </c>
      <c r="C721" t="s">
        <v>5</v>
      </c>
      <c r="D721">
        <v>185.92000000000002</v>
      </c>
    </row>
    <row r="722" spans="2:4">
      <c r="B722" s="3">
        <v>42819</v>
      </c>
      <c r="C722" t="s">
        <v>4</v>
      </c>
      <c r="D722">
        <v>211.16800000000001</v>
      </c>
    </row>
    <row r="723" spans="2:4">
      <c r="B723" s="3">
        <v>42819</v>
      </c>
      <c r="C723" t="s">
        <v>4</v>
      </c>
      <c r="D723">
        <v>479.98400000000004</v>
      </c>
    </row>
    <row r="724" spans="2:4">
      <c r="B724" s="3">
        <v>42961</v>
      </c>
      <c r="C724" t="s">
        <v>5</v>
      </c>
      <c r="D724">
        <v>5.76</v>
      </c>
    </row>
    <row r="725" spans="2:4">
      <c r="B725" s="3">
        <v>42961</v>
      </c>
      <c r="C725" t="s">
        <v>5</v>
      </c>
      <c r="D725">
        <v>16.68</v>
      </c>
    </row>
    <row r="726" spans="2:4">
      <c r="B726" s="3">
        <v>42987</v>
      </c>
      <c r="C726" t="s">
        <v>5</v>
      </c>
      <c r="D726">
        <v>628.80999999999995</v>
      </c>
    </row>
    <row r="727" spans="2:4">
      <c r="B727" s="3">
        <v>42987</v>
      </c>
      <c r="C727" t="s">
        <v>5</v>
      </c>
      <c r="D727">
        <v>56.449999999999996</v>
      </c>
    </row>
    <row r="728" spans="2:4">
      <c r="B728" s="3">
        <v>42826</v>
      </c>
      <c r="C728" t="s">
        <v>5</v>
      </c>
      <c r="D728">
        <v>94.199999999999989</v>
      </c>
    </row>
    <row r="729" spans="2:4">
      <c r="B729" s="3">
        <v>42826</v>
      </c>
      <c r="C729" t="s">
        <v>5</v>
      </c>
      <c r="D729">
        <v>28.4</v>
      </c>
    </row>
    <row r="730" spans="2:4">
      <c r="B730" s="3">
        <v>43015</v>
      </c>
      <c r="C730" t="s">
        <v>4</v>
      </c>
      <c r="D730">
        <v>1115.9099999999999</v>
      </c>
    </row>
    <row r="731" spans="2:4">
      <c r="B731" s="3">
        <v>43015</v>
      </c>
      <c r="C731" t="s">
        <v>4</v>
      </c>
      <c r="D731">
        <v>128.744</v>
      </c>
    </row>
    <row r="732" spans="2:4">
      <c r="B732" s="3">
        <v>43015</v>
      </c>
      <c r="C732" t="s">
        <v>4</v>
      </c>
      <c r="D732">
        <v>79.920000000000016</v>
      </c>
    </row>
    <row r="733" spans="2:4">
      <c r="B733" s="3">
        <v>42755</v>
      </c>
      <c r="C733" t="s">
        <v>5</v>
      </c>
      <c r="D733">
        <v>24.2</v>
      </c>
    </row>
    <row r="734" spans="2:4">
      <c r="B734" s="3">
        <v>42755</v>
      </c>
      <c r="C734" t="s">
        <v>4</v>
      </c>
      <c r="D734">
        <v>359.97600000000006</v>
      </c>
    </row>
    <row r="735" spans="2:4">
      <c r="B735" s="3">
        <v>42817</v>
      </c>
      <c r="C735" t="s">
        <v>3</v>
      </c>
      <c r="D735">
        <v>211.84</v>
      </c>
    </row>
    <row r="736" spans="2:4">
      <c r="B736" s="3">
        <v>43020</v>
      </c>
      <c r="C736" t="s">
        <v>4</v>
      </c>
      <c r="D736">
        <v>595</v>
      </c>
    </row>
    <row r="737" spans="2:4">
      <c r="B737" s="3">
        <v>43020</v>
      </c>
      <c r="C737" t="s">
        <v>5</v>
      </c>
      <c r="D737">
        <v>79.872000000000014</v>
      </c>
    </row>
    <row r="738" spans="2:4">
      <c r="B738" s="3">
        <v>43048</v>
      </c>
      <c r="C738" t="s">
        <v>5</v>
      </c>
      <c r="D738">
        <v>63.56</v>
      </c>
    </row>
    <row r="739" spans="2:4">
      <c r="B739" s="3">
        <v>43048</v>
      </c>
      <c r="C739" t="s">
        <v>4</v>
      </c>
      <c r="D739">
        <v>99.99</v>
      </c>
    </row>
    <row r="740" spans="2:4">
      <c r="B740" s="3">
        <v>43094</v>
      </c>
      <c r="C740" t="s">
        <v>4</v>
      </c>
      <c r="D740">
        <v>158.928</v>
      </c>
    </row>
    <row r="741" spans="2:4">
      <c r="B741" s="3">
        <v>43094</v>
      </c>
      <c r="C741" t="s">
        <v>5</v>
      </c>
      <c r="D741">
        <v>13.023000000000001</v>
      </c>
    </row>
    <row r="742" spans="2:4">
      <c r="B742" s="3">
        <v>43094</v>
      </c>
      <c r="C742" t="s">
        <v>3</v>
      </c>
      <c r="D742">
        <v>273.06</v>
      </c>
    </row>
    <row r="743" spans="2:4">
      <c r="B743" s="3">
        <v>43094</v>
      </c>
      <c r="C743" t="s">
        <v>5</v>
      </c>
      <c r="D743">
        <v>39.311999999999998</v>
      </c>
    </row>
    <row r="744" spans="2:4">
      <c r="B744" s="3">
        <v>42868</v>
      </c>
      <c r="C744" t="s">
        <v>5</v>
      </c>
      <c r="D744">
        <v>58.48</v>
      </c>
    </row>
    <row r="745" spans="2:4">
      <c r="B745" s="3">
        <v>43097</v>
      </c>
      <c r="C745" t="s">
        <v>3</v>
      </c>
      <c r="D745">
        <v>7.4</v>
      </c>
    </row>
    <row r="746" spans="2:4">
      <c r="B746" s="3">
        <v>42883</v>
      </c>
      <c r="C746" t="s">
        <v>4</v>
      </c>
      <c r="D746">
        <v>54.367999999999995</v>
      </c>
    </row>
    <row r="747" spans="2:4">
      <c r="B747" s="3">
        <v>42919</v>
      </c>
      <c r="C747" t="s">
        <v>3</v>
      </c>
      <c r="D747">
        <v>545.85</v>
      </c>
    </row>
    <row r="748" spans="2:4">
      <c r="B748" s="3">
        <v>42933</v>
      </c>
      <c r="C748" t="s">
        <v>3</v>
      </c>
      <c r="D748">
        <v>7.9040000000000008</v>
      </c>
    </row>
    <row r="749" spans="2:4">
      <c r="B749" s="3">
        <v>42811</v>
      </c>
      <c r="C749" t="s">
        <v>5</v>
      </c>
      <c r="D749">
        <v>18.75</v>
      </c>
    </row>
    <row r="750" spans="2:4">
      <c r="B750" s="3">
        <v>42811</v>
      </c>
      <c r="C750" t="s">
        <v>4</v>
      </c>
      <c r="D750">
        <v>119.69999999999999</v>
      </c>
    </row>
    <row r="751" spans="2:4">
      <c r="B751" s="3">
        <v>42811</v>
      </c>
      <c r="C751" t="s">
        <v>5</v>
      </c>
      <c r="D751">
        <v>9.1440000000000001</v>
      </c>
    </row>
    <row r="752" spans="2:4">
      <c r="B752" s="3">
        <v>42811</v>
      </c>
      <c r="C752" t="s">
        <v>4</v>
      </c>
      <c r="D752">
        <v>57.06</v>
      </c>
    </row>
    <row r="753" spans="2:4">
      <c r="B753" s="3">
        <v>42811</v>
      </c>
      <c r="C753" t="s">
        <v>4</v>
      </c>
      <c r="D753">
        <v>71.599999999999994</v>
      </c>
    </row>
    <row r="754" spans="2:4">
      <c r="B754" s="3">
        <v>42811</v>
      </c>
      <c r="C754" t="s">
        <v>5</v>
      </c>
      <c r="D754">
        <v>107.44</v>
      </c>
    </row>
    <row r="755" spans="2:4">
      <c r="B755" s="3">
        <v>42811</v>
      </c>
      <c r="C755" t="s">
        <v>5</v>
      </c>
      <c r="D755">
        <v>7.31</v>
      </c>
    </row>
    <row r="756" spans="2:4">
      <c r="B756" s="3">
        <v>42811</v>
      </c>
      <c r="C756" t="s">
        <v>5</v>
      </c>
      <c r="D756">
        <v>59.099999999999994</v>
      </c>
    </row>
    <row r="757" spans="2:4">
      <c r="B757" s="3">
        <v>42811</v>
      </c>
      <c r="C757" t="s">
        <v>5</v>
      </c>
      <c r="D757">
        <v>46.53</v>
      </c>
    </row>
    <row r="758" spans="2:4">
      <c r="B758" s="3">
        <v>42962</v>
      </c>
      <c r="C758" t="s">
        <v>5</v>
      </c>
      <c r="D758">
        <v>97.84</v>
      </c>
    </row>
    <row r="759" spans="2:4">
      <c r="B759" s="3">
        <v>43072</v>
      </c>
      <c r="C759" t="s">
        <v>5</v>
      </c>
      <c r="D759">
        <v>83.920000000000016</v>
      </c>
    </row>
    <row r="760" spans="2:4">
      <c r="B760" s="3">
        <v>43072</v>
      </c>
      <c r="C760" t="s">
        <v>5</v>
      </c>
      <c r="D760">
        <v>14.624000000000002</v>
      </c>
    </row>
    <row r="761" spans="2:4">
      <c r="B761" s="3">
        <v>43072</v>
      </c>
      <c r="C761" t="s">
        <v>4</v>
      </c>
      <c r="D761">
        <v>136.99</v>
      </c>
    </row>
    <row r="762" spans="2:4">
      <c r="B762" s="3">
        <v>43072</v>
      </c>
      <c r="C762" t="s">
        <v>5</v>
      </c>
      <c r="D762">
        <v>3.15</v>
      </c>
    </row>
    <row r="763" spans="2:4">
      <c r="B763" s="3">
        <v>42859</v>
      </c>
      <c r="C763" t="s">
        <v>5</v>
      </c>
      <c r="D763">
        <v>9.11</v>
      </c>
    </row>
    <row r="764" spans="2:4">
      <c r="B764" s="3">
        <v>42859</v>
      </c>
      <c r="C764" t="s">
        <v>5</v>
      </c>
      <c r="D764">
        <v>571.44000000000005</v>
      </c>
    </row>
    <row r="765" spans="2:4">
      <c r="B765" s="3">
        <v>42859</v>
      </c>
      <c r="C765" t="s">
        <v>5</v>
      </c>
      <c r="D765">
        <v>32.400000000000006</v>
      </c>
    </row>
    <row r="766" spans="2:4">
      <c r="B766" s="3">
        <v>42859</v>
      </c>
      <c r="C766" t="s">
        <v>5</v>
      </c>
      <c r="D766">
        <v>16.91</v>
      </c>
    </row>
    <row r="767" spans="2:4">
      <c r="B767" s="3">
        <v>42982</v>
      </c>
      <c r="C767" t="s">
        <v>3</v>
      </c>
      <c r="D767">
        <v>1322.3520000000001</v>
      </c>
    </row>
    <row r="768" spans="2:4">
      <c r="B768" s="3">
        <v>42905</v>
      </c>
      <c r="C768" t="s">
        <v>5</v>
      </c>
      <c r="D768">
        <v>11.184000000000001</v>
      </c>
    </row>
    <row r="769" spans="2:4">
      <c r="B769" s="3">
        <v>42905</v>
      </c>
      <c r="C769" t="s">
        <v>5</v>
      </c>
      <c r="D769">
        <v>153.584</v>
      </c>
    </row>
    <row r="770" spans="2:4">
      <c r="B770" s="3">
        <v>43093</v>
      </c>
      <c r="C770" t="s">
        <v>5</v>
      </c>
      <c r="D770">
        <v>1003.6200000000001</v>
      </c>
    </row>
    <row r="771" spans="2:4">
      <c r="B771" s="3">
        <v>42975</v>
      </c>
      <c r="C771" t="s">
        <v>4</v>
      </c>
      <c r="D771">
        <v>35.167999999999999</v>
      </c>
    </row>
    <row r="772" spans="2:4">
      <c r="B772" s="3">
        <v>42975</v>
      </c>
      <c r="C772" t="s">
        <v>3</v>
      </c>
      <c r="D772">
        <v>1137.75</v>
      </c>
    </row>
    <row r="773" spans="2:4">
      <c r="B773" s="3">
        <v>42975</v>
      </c>
      <c r="C773" t="s">
        <v>5</v>
      </c>
      <c r="D773">
        <v>99.680000000000021</v>
      </c>
    </row>
    <row r="774" spans="2:4">
      <c r="B774" s="3">
        <v>42975</v>
      </c>
      <c r="C774" t="s">
        <v>5</v>
      </c>
      <c r="D774">
        <v>5.56</v>
      </c>
    </row>
    <row r="775" spans="2:4">
      <c r="B775" s="3">
        <v>42908</v>
      </c>
      <c r="C775" t="s">
        <v>5</v>
      </c>
      <c r="D775">
        <v>37.608000000000004</v>
      </c>
    </row>
    <row r="776" spans="2:4">
      <c r="B776" s="3">
        <v>42903</v>
      </c>
      <c r="C776" t="s">
        <v>5</v>
      </c>
      <c r="D776">
        <v>12.224</v>
      </c>
    </row>
    <row r="777" spans="2:4">
      <c r="B777" s="3">
        <v>42903</v>
      </c>
      <c r="C777" t="s">
        <v>5</v>
      </c>
      <c r="D777">
        <v>2.3039999999999994</v>
      </c>
    </row>
    <row r="778" spans="2:4">
      <c r="B778" s="3">
        <v>42903</v>
      </c>
      <c r="C778" t="s">
        <v>5</v>
      </c>
      <c r="D778">
        <v>9.3599999999999977</v>
      </c>
    </row>
    <row r="779" spans="2:4">
      <c r="B779" s="3">
        <v>42796</v>
      </c>
      <c r="C779" t="s">
        <v>4</v>
      </c>
      <c r="D779">
        <v>196.77600000000001</v>
      </c>
    </row>
    <row r="780" spans="2:4">
      <c r="B780" s="3">
        <v>42796</v>
      </c>
      <c r="C780" t="s">
        <v>4</v>
      </c>
      <c r="D780">
        <v>479.93999999999994</v>
      </c>
    </row>
    <row r="781" spans="2:4">
      <c r="B781" s="3">
        <v>43071</v>
      </c>
      <c r="C781" t="s">
        <v>5</v>
      </c>
      <c r="D781">
        <v>45.660000000000011</v>
      </c>
    </row>
    <row r="782" spans="2:4">
      <c r="B782" s="3">
        <v>42857</v>
      </c>
      <c r="C782" t="s">
        <v>3</v>
      </c>
      <c r="D782">
        <v>129.93</v>
      </c>
    </row>
    <row r="783" spans="2:4">
      <c r="B783" s="3">
        <v>42962</v>
      </c>
      <c r="C783" t="s">
        <v>5</v>
      </c>
      <c r="D783">
        <v>1801.6320000000001</v>
      </c>
    </row>
    <row r="784" spans="2:4">
      <c r="B784" s="3">
        <v>42841</v>
      </c>
      <c r="C784" t="s">
        <v>5</v>
      </c>
      <c r="D784">
        <v>205.92</v>
      </c>
    </row>
    <row r="785" spans="2:4">
      <c r="B785" s="3">
        <v>42841</v>
      </c>
      <c r="C785" t="s">
        <v>3</v>
      </c>
      <c r="D785">
        <v>102.833</v>
      </c>
    </row>
    <row r="786" spans="2:4">
      <c r="B786" s="3">
        <v>43058</v>
      </c>
      <c r="C786" t="s">
        <v>3</v>
      </c>
      <c r="D786">
        <v>821.87999999999988</v>
      </c>
    </row>
    <row r="787" spans="2:4">
      <c r="B787" s="3">
        <v>43058</v>
      </c>
      <c r="C787" t="s">
        <v>5</v>
      </c>
      <c r="D787">
        <v>21.96</v>
      </c>
    </row>
    <row r="788" spans="2:4">
      <c r="B788" s="3">
        <v>43090</v>
      </c>
      <c r="C788" t="s">
        <v>4</v>
      </c>
      <c r="D788">
        <v>71</v>
      </c>
    </row>
    <row r="789" spans="2:4">
      <c r="B789" s="3">
        <v>43040</v>
      </c>
      <c r="C789" t="s">
        <v>5</v>
      </c>
      <c r="D789">
        <v>25.120000000000005</v>
      </c>
    </row>
    <row r="790" spans="2:4">
      <c r="B790" s="3">
        <v>43040</v>
      </c>
      <c r="C790" t="s">
        <v>3</v>
      </c>
      <c r="D790">
        <v>2665.62</v>
      </c>
    </row>
    <row r="791" spans="2:4">
      <c r="B791" s="3">
        <v>42985</v>
      </c>
      <c r="C791" t="s">
        <v>5</v>
      </c>
      <c r="D791">
        <v>478.08</v>
      </c>
    </row>
    <row r="792" spans="2:4">
      <c r="B792" s="3">
        <v>43096</v>
      </c>
      <c r="C792" t="s">
        <v>4</v>
      </c>
      <c r="D792">
        <v>164.38800000000001</v>
      </c>
    </row>
    <row r="793" spans="2:4">
      <c r="B793" s="3">
        <v>43096</v>
      </c>
      <c r="C793" t="s">
        <v>5</v>
      </c>
      <c r="D793">
        <v>13.247999999999999</v>
      </c>
    </row>
    <row r="794" spans="2:4">
      <c r="B794" s="3">
        <v>42932</v>
      </c>
      <c r="C794" t="s">
        <v>5</v>
      </c>
      <c r="D794">
        <v>2.9120000000000004</v>
      </c>
    </row>
    <row r="795" spans="2:4">
      <c r="B795" s="3">
        <v>42925</v>
      </c>
      <c r="C795" t="s">
        <v>3</v>
      </c>
      <c r="D795">
        <v>526.45000000000005</v>
      </c>
    </row>
    <row r="796" spans="2:4">
      <c r="B796" s="3">
        <v>42916</v>
      </c>
      <c r="C796" t="s">
        <v>5</v>
      </c>
      <c r="D796">
        <v>248.57</v>
      </c>
    </row>
    <row r="797" spans="2:4">
      <c r="B797" s="3">
        <v>42916</v>
      </c>
      <c r="C797" t="s">
        <v>3</v>
      </c>
      <c r="D797">
        <v>22.23</v>
      </c>
    </row>
    <row r="798" spans="2:4">
      <c r="B798" s="3">
        <v>43063</v>
      </c>
      <c r="C798" t="s">
        <v>4</v>
      </c>
      <c r="D798">
        <v>79.099999999999994</v>
      </c>
    </row>
    <row r="799" spans="2:4">
      <c r="B799" s="3">
        <v>43063</v>
      </c>
      <c r="C799" t="s">
        <v>5</v>
      </c>
      <c r="D799">
        <v>327.84</v>
      </c>
    </row>
    <row r="800" spans="2:4">
      <c r="B800" s="3">
        <v>42868</v>
      </c>
      <c r="C800" t="s">
        <v>5</v>
      </c>
      <c r="D800">
        <v>180.96</v>
      </c>
    </row>
    <row r="801" spans="2:4">
      <c r="B801" s="3">
        <v>42868</v>
      </c>
      <c r="C801" t="s">
        <v>5</v>
      </c>
      <c r="D801">
        <v>914.97</v>
      </c>
    </row>
    <row r="802" spans="2:4">
      <c r="B802" s="3">
        <v>42868</v>
      </c>
      <c r="C802" t="s">
        <v>4</v>
      </c>
      <c r="D802">
        <v>587.97</v>
      </c>
    </row>
    <row r="803" spans="2:4">
      <c r="B803" s="3">
        <v>42868</v>
      </c>
      <c r="C803" t="s">
        <v>5</v>
      </c>
      <c r="D803">
        <v>530.34</v>
      </c>
    </row>
    <row r="804" spans="2:4">
      <c r="B804" s="3">
        <v>42868</v>
      </c>
      <c r="C804" t="s">
        <v>5</v>
      </c>
      <c r="D804">
        <v>14.940000000000001</v>
      </c>
    </row>
    <row r="805" spans="2:4">
      <c r="B805" s="3">
        <v>42848</v>
      </c>
      <c r="C805" t="s">
        <v>5</v>
      </c>
      <c r="D805">
        <v>121.94</v>
      </c>
    </row>
    <row r="806" spans="2:4">
      <c r="B806" s="3">
        <v>42848</v>
      </c>
      <c r="C806" t="s">
        <v>5</v>
      </c>
      <c r="D806">
        <v>122.71000000000001</v>
      </c>
    </row>
    <row r="807" spans="2:4">
      <c r="B807" s="3">
        <v>42826</v>
      </c>
      <c r="C807" t="s">
        <v>5</v>
      </c>
      <c r="D807">
        <v>5.78</v>
      </c>
    </row>
    <row r="808" spans="2:4">
      <c r="B808" s="3">
        <v>42826</v>
      </c>
      <c r="C808" t="s">
        <v>5</v>
      </c>
      <c r="D808">
        <v>121.67999999999999</v>
      </c>
    </row>
    <row r="809" spans="2:4">
      <c r="B809" s="3">
        <v>43091</v>
      </c>
      <c r="C809" t="s">
        <v>5</v>
      </c>
      <c r="D809">
        <v>4.17</v>
      </c>
    </row>
    <row r="810" spans="2:4">
      <c r="B810" s="3">
        <v>43091</v>
      </c>
      <c r="C810" t="s">
        <v>4</v>
      </c>
      <c r="D810">
        <v>67.040000000000006</v>
      </c>
    </row>
    <row r="811" spans="2:4">
      <c r="B811" s="3">
        <v>43091</v>
      </c>
      <c r="C811" t="s">
        <v>5</v>
      </c>
      <c r="D811">
        <v>37.32</v>
      </c>
    </row>
    <row r="812" spans="2:4">
      <c r="B812" s="3">
        <v>43091</v>
      </c>
      <c r="C812" t="s">
        <v>5</v>
      </c>
      <c r="D812">
        <v>18.45</v>
      </c>
    </row>
    <row r="813" spans="2:4">
      <c r="B813" s="3">
        <v>43030</v>
      </c>
      <c r="C813" t="s">
        <v>4</v>
      </c>
      <c r="D813">
        <v>11199.968000000001</v>
      </c>
    </row>
    <row r="814" spans="2:4">
      <c r="B814" s="3">
        <v>43030</v>
      </c>
      <c r="C814" t="s">
        <v>4</v>
      </c>
      <c r="D814">
        <v>2399.6</v>
      </c>
    </row>
    <row r="815" spans="2:4">
      <c r="B815" s="3">
        <v>43030</v>
      </c>
      <c r="C815" t="s">
        <v>5</v>
      </c>
      <c r="D815">
        <v>63.9</v>
      </c>
    </row>
    <row r="816" spans="2:4">
      <c r="B816" s="3">
        <v>43030</v>
      </c>
      <c r="C816" t="s">
        <v>4</v>
      </c>
      <c r="D816">
        <v>52.99</v>
      </c>
    </row>
    <row r="817" spans="2:4">
      <c r="B817" s="3">
        <v>43052</v>
      </c>
      <c r="C817" t="s">
        <v>4</v>
      </c>
      <c r="D817">
        <v>60.864000000000004</v>
      </c>
    </row>
    <row r="818" spans="2:4">
      <c r="B818" s="3">
        <v>43052</v>
      </c>
      <c r="C818" t="s">
        <v>4</v>
      </c>
      <c r="D818">
        <v>652.99500000000012</v>
      </c>
    </row>
    <row r="819" spans="2:4">
      <c r="B819" s="3">
        <v>43052</v>
      </c>
      <c r="C819" t="s">
        <v>5</v>
      </c>
      <c r="D819">
        <v>11.220000000000002</v>
      </c>
    </row>
    <row r="820" spans="2:4">
      <c r="B820" s="3">
        <v>42870</v>
      </c>
      <c r="C820" t="s">
        <v>3</v>
      </c>
      <c r="D820">
        <v>39.96</v>
      </c>
    </row>
    <row r="821" spans="2:4">
      <c r="B821" s="3">
        <v>42870</v>
      </c>
      <c r="C821" t="s">
        <v>3</v>
      </c>
      <c r="D821">
        <v>42.624000000000002</v>
      </c>
    </row>
    <row r="822" spans="2:4">
      <c r="B822" s="3">
        <v>42870</v>
      </c>
      <c r="C822" t="s">
        <v>3</v>
      </c>
      <c r="D822">
        <v>220.96</v>
      </c>
    </row>
    <row r="823" spans="2:4">
      <c r="B823" s="3">
        <v>42898</v>
      </c>
      <c r="C823" t="s">
        <v>5</v>
      </c>
      <c r="D823">
        <v>19.04</v>
      </c>
    </row>
    <row r="824" spans="2:4">
      <c r="B824" s="3">
        <v>42898</v>
      </c>
      <c r="C824" t="s">
        <v>5</v>
      </c>
      <c r="D824">
        <v>13.128</v>
      </c>
    </row>
    <row r="825" spans="2:4">
      <c r="B825" s="3">
        <v>42898</v>
      </c>
      <c r="C825" t="s">
        <v>5</v>
      </c>
      <c r="D825">
        <v>64.14</v>
      </c>
    </row>
    <row r="826" spans="2:4">
      <c r="B826" s="3">
        <v>42898</v>
      </c>
      <c r="C826" t="s">
        <v>3</v>
      </c>
      <c r="D826">
        <v>858.24</v>
      </c>
    </row>
    <row r="827" spans="2:4">
      <c r="B827" s="3">
        <v>42995</v>
      </c>
      <c r="C827" t="s">
        <v>5</v>
      </c>
      <c r="D827">
        <v>10.776000000000002</v>
      </c>
    </row>
    <row r="828" spans="2:4">
      <c r="B828" s="3">
        <v>42995</v>
      </c>
      <c r="C828" t="s">
        <v>5</v>
      </c>
      <c r="D828">
        <v>11.784000000000001</v>
      </c>
    </row>
    <row r="829" spans="2:4">
      <c r="B829" s="3">
        <v>42995</v>
      </c>
      <c r="C829" t="s">
        <v>5</v>
      </c>
      <c r="D829">
        <v>164.88</v>
      </c>
    </row>
    <row r="830" spans="2:4">
      <c r="B830" s="3">
        <v>42995</v>
      </c>
      <c r="C830" t="s">
        <v>3</v>
      </c>
      <c r="D830">
        <v>1292.94</v>
      </c>
    </row>
    <row r="831" spans="2:4">
      <c r="B831" s="3">
        <v>42995</v>
      </c>
      <c r="C831" t="s">
        <v>5</v>
      </c>
      <c r="D831">
        <v>25.584000000000003</v>
      </c>
    </row>
    <row r="832" spans="2:4">
      <c r="B832" s="3">
        <v>42995</v>
      </c>
      <c r="C832" t="s">
        <v>5</v>
      </c>
      <c r="D832">
        <v>261.74</v>
      </c>
    </row>
    <row r="833" spans="2:4">
      <c r="B833" s="3">
        <v>42995</v>
      </c>
      <c r="C833" t="s">
        <v>5</v>
      </c>
      <c r="D833">
        <v>14.399999999999999</v>
      </c>
    </row>
    <row r="834" spans="2:4">
      <c r="B834" s="3">
        <v>43067</v>
      </c>
      <c r="C834" t="s">
        <v>4</v>
      </c>
      <c r="D834">
        <v>1979.89</v>
      </c>
    </row>
    <row r="835" spans="2:4">
      <c r="B835" s="3">
        <v>43067</v>
      </c>
      <c r="C835" t="s">
        <v>5</v>
      </c>
      <c r="D835">
        <v>79.959999999999994</v>
      </c>
    </row>
    <row r="836" spans="2:4">
      <c r="B836" s="3">
        <v>42839</v>
      </c>
      <c r="C836" t="s">
        <v>5</v>
      </c>
      <c r="D836">
        <v>8.76</v>
      </c>
    </row>
    <row r="837" spans="2:4">
      <c r="B837" s="3">
        <v>43072</v>
      </c>
      <c r="C837" t="s">
        <v>5</v>
      </c>
      <c r="D837">
        <v>166.44</v>
      </c>
    </row>
    <row r="838" spans="2:4">
      <c r="B838" s="3">
        <v>43066</v>
      </c>
      <c r="C838" t="s">
        <v>5</v>
      </c>
      <c r="D838">
        <v>8.76</v>
      </c>
    </row>
    <row r="839" spans="2:4">
      <c r="B839" s="3">
        <v>43066</v>
      </c>
      <c r="C839" t="s">
        <v>5</v>
      </c>
      <c r="D839">
        <v>43.584000000000003</v>
      </c>
    </row>
    <row r="840" spans="2:4">
      <c r="B840" s="3">
        <v>42756</v>
      </c>
      <c r="C840" t="s">
        <v>5</v>
      </c>
      <c r="D840">
        <v>14.399999999999999</v>
      </c>
    </row>
    <row r="841" spans="2:4">
      <c r="B841" s="3">
        <v>42756</v>
      </c>
      <c r="C841" t="s">
        <v>4</v>
      </c>
      <c r="D841">
        <v>619.94999999999993</v>
      </c>
    </row>
    <row r="842" spans="2:4">
      <c r="B842" s="3">
        <v>42756</v>
      </c>
      <c r="C842" t="s">
        <v>5</v>
      </c>
      <c r="D842">
        <v>89.52</v>
      </c>
    </row>
    <row r="843" spans="2:4">
      <c r="B843" s="3">
        <v>42756</v>
      </c>
      <c r="C843" t="s">
        <v>4</v>
      </c>
      <c r="D843">
        <v>350.97300000000007</v>
      </c>
    </row>
    <row r="844" spans="2:4">
      <c r="B844" s="3">
        <v>42756</v>
      </c>
      <c r="C844" t="s">
        <v>4</v>
      </c>
      <c r="D844">
        <v>164.99</v>
      </c>
    </row>
    <row r="845" spans="2:4">
      <c r="B845" s="3">
        <v>42915</v>
      </c>
      <c r="C845" t="s">
        <v>5</v>
      </c>
      <c r="D845">
        <v>312.55200000000002</v>
      </c>
    </row>
    <row r="846" spans="2:4">
      <c r="B846" s="3">
        <v>43073</v>
      </c>
      <c r="C846" t="s">
        <v>5</v>
      </c>
      <c r="D846">
        <v>5.3460000000000019</v>
      </c>
    </row>
    <row r="847" spans="2:4">
      <c r="B847" s="3">
        <v>42927</v>
      </c>
      <c r="C847" t="s">
        <v>4</v>
      </c>
      <c r="D847">
        <v>132.60000000000002</v>
      </c>
    </row>
    <row r="848" spans="2:4">
      <c r="B848" s="3">
        <v>42902</v>
      </c>
      <c r="C848" t="s">
        <v>5</v>
      </c>
      <c r="D848">
        <v>16.68</v>
      </c>
    </row>
    <row r="849" spans="2:4">
      <c r="B849" s="3">
        <v>42902</v>
      </c>
      <c r="C849" t="s">
        <v>5</v>
      </c>
      <c r="D849">
        <v>19.440000000000001</v>
      </c>
    </row>
    <row r="850" spans="2:4">
      <c r="B850" s="3">
        <v>42902</v>
      </c>
      <c r="C850" t="s">
        <v>5</v>
      </c>
      <c r="D850">
        <v>192.16</v>
      </c>
    </row>
    <row r="851" spans="2:4">
      <c r="B851" s="3">
        <v>43017</v>
      </c>
      <c r="C851" t="s">
        <v>3</v>
      </c>
      <c r="D851">
        <v>45.888000000000005</v>
      </c>
    </row>
    <row r="852" spans="2:4">
      <c r="B852" s="3">
        <v>42945</v>
      </c>
      <c r="C852" t="s">
        <v>5</v>
      </c>
      <c r="D852">
        <v>60.12</v>
      </c>
    </row>
    <row r="853" spans="2:4">
      <c r="B853" s="3">
        <v>42973</v>
      </c>
      <c r="C853" t="s">
        <v>4</v>
      </c>
      <c r="D853">
        <v>71.98</v>
      </c>
    </row>
    <row r="854" spans="2:4">
      <c r="B854" s="3">
        <v>43090</v>
      </c>
      <c r="C854" t="s">
        <v>5</v>
      </c>
      <c r="D854">
        <v>124.36</v>
      </c>
    </row>
    <row r="855" spans="2:4">
      <c r="B855" s="3">
        <v>43046</v>
      </c>
      <c r="C855" t="s">
        <v>4</v>
      </c>
      <c r="D855">
        <v>359.97</v>
      </c>
    </row>
    <row r="856" spans="2:4">
      <c r="B856" s="3">
        <v>43046</v>
      </c>
      <c r="C856" t="s">
        <v>3</v>
      </c>
      <c r="D856">
        <v>350.35199999999998</v>
      </c>
    </row>
    <row r="857" spans="2:4">
      <c r="B857" s="3">
        <v>43091</v>
      </c>
      <c r="C857" t="s">
        <v>5</v>
      </c>
      <c r="D857">
        <v>1.6410000000000002</v>
      </c>
    </row>
    <row r="858" spans="2:4">
      <c r="B858" s="3">
        <v>43091</v>
      </c>
      <c r="C858" t="s">
        <v>4</v>
      </c>
      <c r="D858">
        <v>629.95799999999997</v>
      </c>
    </row>
    <row r="859" spans="2:4">
      <c r="B859" s="3">
        <v>42779</v>
      </c>
      <c r="C859" t="s">
        <v>5</v>
      </c>
      <c r="D859">
        <v>6.63</v>
      </c>
    </row>
    <row r="860" spans="2:4">
      <c r="B860" s="3">
        <v>42779</v>
      </c>
      <c r="C860" t="s">
        <v>4</v>
      </c>
      <c r="D860">
        <v>799.96</v>
      </c>
    </row>
    <row r="861" spans="2:4">
      <c r="B861" s="3">
        <v>42779</v>
      </c>
      <c r="C861" t="s">
        <v>3</v>
      </c>
      <c r="D861">
        <v>107.53</v>
      </c>
    </row>
    <row r="862" spans="2:4">
      <c r="B862" s="3">
        <v>42841</v>
      </c>
      <c r="C862" t="s">
        <v>5</v>
      </c>
      <c r="D862">
        <v>477.24</v>
      </c>
    </row>
    <row r="863" spans="2:4">
      <c r="B863" s="3">
        <v>42841</v>
      </c>
      <c r="C863" t="s">
        <v>4</v>
      </c>
      <c r="D863">
        <v>25.98</v>
      </c>
    </row>
    <row r="864" spans="2:4">
      <c r="B864" s="3">
        <v>42954</v>
      </c>
      <c r="C864" t="s">
        <v>4</v>
      </c>
      <c r="D864">
        <v>79.992000000000004</v>
      </c>
    </row>
    <row r="865" spans="2:4">
      <c r="B865" s="3">
        <v>43020</v>
      </c>
      <c r="C865" t="s">
        <v>4</v>
      </c>
      <c r="D865">
        <v>0.99</v>
      </c>
    </row>
    <row r="866" spans="2:4">
      <c r="B866" s="3">
        <v>43020</v>
      </c>
      <c r="C866" t="s">
        <v>5</v>
      </c>
      <c r="D866">
        <v>101.84</v>
      </c>
    </row>
    <row r="867" spans="2:4">
      <c r="B867" s="3">
        <v>42908</v>
      </c>
      <c r="C867" t="s">
        <v>5</v>
      </c>
      <c r="D867">
        <v>10.332000000000003</v>
      </c>
    </row>
    <row r="868" spans="2:4">
      <c r="B868" s="3">
        <v>42908</v>
      </c>
      <c r="C868" t="s">
        <v>5</v>
      </c>
      <c r="D868">
        <v>31.155000000000005</v>
      </c>
    </row>
    <row r="869" spans="2:4">
      <c r="B869" s="3">
        <v>42908</v>
      </c>
      <c r="C869" t="s">
        <v>5</v>
      </c>
      <c r="D869">
        <v>8.9280000000000008</v>
      </c>
    </row>
    <row r="870" spans="2:4">
      <c r="B870" s="3">
        <v>42750</v>
      </c>
      <c r="C870" t="s">
        <v>5</v>
      </c>
      <c r="D870">
        <v>34.384</v>
      </c>
    </row>
    <row r="871" spans="2:4">
      <c r="B871" s="3">
        <v>42750</v>
      </c>
      <c r="C871" t="s">
        <v>5</v>
      </c>
      <c r="D871">
        <v>1924.1599999999999</v>
      </c>
    </row>
    <row r="872" spans="2:4">
      <c r="B872" s="3">
        <v>43079</v>
      </c>
      <c r="C872" t="s">
        <v>3</v>
      </c>
      <c r="D872">
        <v>19.103999999999999</v>
      </c>
    </row>
    <row r="873" spans="2:4">
      <c r="B873" s="3">
        <v>43050</v>
      </c>
      <c r="C873" t="s">
        <v>5</v>
      </c>
      <c r="D873">
        <v>10.368000000000002</v>
      </c>
    </row>
    <row r="874" spans="2:4">
      <c r="B874" s="3">
        <v>42855</v>
      </c>
      <c r="C874" t="s">
        <v>3</v>
      </c>
      <c r="D874">
        <v>23.680000000000003</v>
      </c>
    </row>
    <row r="875" spans="2:4">
      <c r="B875" s="3">
        <v>42855</v>
      </c>
      <c r="C875" t="s">
        <v>4</v>
      </c>
      <c r="D875">
        <v>2.3760000000000003</v>
      </c>
    </row>
    <row r="876" spans="2:4">
      <c r="B876" s="3">
        <v>42861</v>
      </c>
      <c r="C876" t="s">
        <v>5</v>
      </c>
      <c r="D876">
        <v>59.2</v>
      </c>
    </row>
    <row r="877" spans="2:4">
      <c r="B877" s="3">
        <v>43059</v>
      </c>
      <c r="C877" t="s">
        <v>5</v>
      </c>
      <c r="D877">
        <v>22</v>
      </c>
    </row>
    <row r="878" spans="2:4">
      <c r="B878" s="3">
        <v>43028</v>
      </c>
      <c r="C878" t="s">
        <v>5</v>
      </c>
      <c r="D878">
        <v>13.36</v>
      </c>
    </row>
    <row r="879" spans="2:4">
      <c r="B879" s="3">
        <v>43028</v>
      </c>
      <c r="C879" t="s">
        <v>5</v>
      </c>
      <c r="D879">
        <v>39.96</v>
      </c>
    </row>
    <row r="880" spans="2:4">
      <c r="B880" s="3">
        <v>43028</v>
      </c>
      <c r="C880" t="s">
        <v>5</v>
      </c>
      <c r="D880">
        <v>145.85000000000002</v>
      </c>
    </row>
    <row r="881" spans="2:4">
      <c r="B881" s="3">
        <v>43042</v>
      </c>
      <c r="C881" t="s">
        <v>3</v>
      </c>
      <c r="D881">
        <v>41.37</v>
      </c>
    </row>
    <row r="882" spans="2:4">
      <c r="B882" s="3">
        <v>42996</v>
      </c>
      <c r="C882" t="s">
        <v>5</v>
      </c>
      <c r="D882">
        <v>8.9280000000000008</v>
      </c>
    </row>
    <row r="883" spans="2:4">
      <c r="B883" s="3">
        <v>42996</v>
      </c>
      <c r="C883" t="s">
        <v>5</v>
      </c>
      <c r="D883">
        <v>47.584000000000003</v>
      </c>
    </row>
    <row r="884" spans="2:4">
      <c r="B884" s="3">
        <v>42761</v>
      </c>
      <c r="C884" t="s">
        <v>5</v>
      </c>
      <c r="D884">
        <v>15.469999999999999</v>
      </c>
    </row>
    <row r="885" spans="2:4">
      <c r="B885" s="3">
        <v>42761</v>
      </c>
      <c r="C885" t="s">
        <v>5</v>
      </c>
      <c r="D885">
        <v>7.16</v>
      </c>
    </row>
    <row r="886" spans="2:4">
      <c r="B886" s="3">
        <v>43050</v>
      </c>
      <c r="C886" t="s">
        <v>5</v>
      </c>
      <c r="D886">
        <v>10.89</v>
      </c>
    </row>
    <row r="887" spans="2:4">
      <c r="B887" s="3">
        <v>43050</v>
      </c>
      <c r="C887" t="s">
        <v>5</v>
      </c>
      <c r="D887">
        <v>19.440000000000001</v>
      </c>
    </row>
    <row r="888" spans="2:4">
      <c r="B888" s="3">
        <v>43050</v>
      </c>
      <c r="C888" t="s">
        <v>5</v>
      </c>
      <c r="D888">
        <v>121.6</v>
      </c>
    </row>
    <row r="889" spans="2:4">
      <c r="B889" s="3">
        <v>42978</v>
      </c>
      <c r="C889" t="s">
        <v>5</v>
      </c>
      <c r="D889">
        <v>229.54400000000001</v>
      </c>
    </row>
    <row r="890" spans="2:4">
      <c r="B890" s="3">
        <v>42817</v>
      </c>
      <c r="C890" t="s">
        <v>5</v>
      </c>
      <c r="D890">
        <v>143.72800000000001</v>
      </c>
    </row>
    <row r="891" spans="2:4">
      <c r="B891" s="3">
        <v>42873</v>
      </c>
      <c r="C891" t="s">
        <v>4</v>
      </c>
      <c r="D891">
        <v>36.048000000000002</v>
      </c>
    </row>
    <row r="892" spans="2:4">
      <c r="B892" s="3">
        <v>43056</v>
      </c>
      <c r="C892" t="s">
        <v>5</v>
      </c>
      <c r="D892">
        <v>50.94</v>
      </c>
    </row>
    <row r="893" spans="2:4">
      <c r="B893" s="3">
        <v>42988</v>
      </c>
      <c r="C893" t="s">
        <v>5</v>
      </c>
      <c r="D893">
        <v>762.59399999999982</v>
      </c>
    </row>
    <row r="894" spans="2:4">
      <c r="B894" s="3">
        <v>42833</v>
      </c>
      <c r="C894" t="s">
        <v>3</v>
      </c>
      <c r="D894">
        <v>56.28</v>
      </c>
    </row>
    <row r="895" spans="2:4">
      <c r="B895" s="3">
        <v>42833</v>
      </c>
      <c r="C895" t="s">
        <v>5</v>
      </c>
      <c r="D895">
        <v>2690.9700000000003</v>
      </c>
    </row>
    <row r="896" spans="2:4">
      <c r="B896" s="3">
        <v>43086</v>
      </c>
      <c r="C896" t="s">
        <v>5</v>
      </c>
      <c r="D896">
        <v>28.16</v>
      </c>
    </row>
    <row r="897" spans="2:4">
      <c r="B897" s="3">
        <v>42967</v>
      </c>
      <c r="C897" t="s">
        <v>5</v>
      </c>
      <c r="D897">
        <v>40.29</v>
      </c>
    </row>
    <row r="898" spans="2:4">
      <c r="B898" s="3">
        <v>42941</v>
      </c>
      <c r="C898" t="s">
        <v>5</v>
      </c>
      <c r="D898">
        <v>20.23</v>
      </c>
    </row>
    <row r="899" spans="2:4">
      <c r="B899" s="3">
        <v>42874</v>
      </c>
      <c r="C899" t="s">
        <v>4</v>
      </c>
      <c r="D899">
        <v>67.8</v>
      </c>
    </row>
    <row r="900" spans="2:4">
      <c r="B900" s="3">
        <v>42874</v>
      </c>
      <c r="C900" t="s">
        <v>4</v>
      </c>
      <c r="D900">
        <v>377.96999999999997</v>
      </c>
    </row>
    <row r="901" spans="2:4">
      <c r="B901" s="3">
        <v>42874</v>
      </c>
      <c r="C901" t="s">
        <v>3</v>
      </c>
      <c r="D901">
        <v>1628.82</v>
      </c>
    </row>
    <row r="902" spans="2:4">
      <c r="B902" s="3">
        <v>42874</v>
      </c>
      <c r="C902" t="s">
        <v>5</v>
      </c>
      <c r="D902">
        <v>286.93</v>
      </c>
    </row>
    <row r="903" spans="2:4">
      <c r="B903" s="3">
        <v>42959</v>
      </c>
      <c r="C903" t="s">
        <v>5</v>
      </c>
      <c r="D903">
        <v>20.736000000000004</v>
      </c>
    </row>
    <row r="904" spans="2:4">
      <c r="B904" s="3">
        <v>42960</v>
      </c>
      <c r="C904" t="s">
        <v>5</v>
      </c>
      <c r="D904">
        <v>31.44</v>
      </c>
    </row>
    <row r="905" spans="2:4">
      <c r="B905" s="3">
        <v>42960</v>
      </c>
      <c r="C905" t="s">
        <v>5</v>
      </c>
      <c r="D905">
        <v>83.79</v>
      </c>
    </row>
    <row r="906" spans="2:4">
      <c r="B906" s="3">
        <v>42960</v>
      </c>
      <c r="C906" t="s">
        <v>5</v>
      </c>
      <c r="D906">
        <v>59.519999999999996</v>
      </c>
    </row>
    <row r="907" spans="2:4">
      <c r="B907" s="3">
        <v>42960</v>
      </c>
      <c r="C907" t="s">
        <v>5</v>
      </c>
      <c r="D907">
        <v>31.92</v>
      </c>
    </row>
    <row r="908" spans="2:4">
      <c r="B908" s="3">
        <v>42898</v>
      </c>
      <c r="C908" t="s">
        <v>3</v>
      </c>
      <c r="D908">
        <v>17.088000000000001</v>
      </c>
    </row>
    <row r="909" spans="2:4">
      <c r="B909" s="3">
        <v>42901</v>
      </c>
      <c r="C909" t="s">
        <v>5</v>
      </c>
      <c r="D909">
        <v>4.26</v>
      </c>
    </row>
    <row r="910" spans="2:4">
      <c r="B910" s="3">
        <v>43055</v>
      </c>
      <c r="C910" t="s">
        <v>5</v>
      </c>
      <c r="D910">
        <v>811.28</v>
      </c>
    </row>
    <row r="911" spans="2:4">
      <c r="B911" s="3">
        <v>43098</v>
      </c>
      <c r="C911" t="s">
        <v>5</v>
      </c>
      <c r="D911">
        <v>6.0299999999999994</v>
      </c>
    </row>
    <row r="912" spans="2:4">
      <c r="B912" s="3">
        <v>43087</v>
      </c>
      <c r="C912" t="s">
        <v>5</v>
      </c>
      <c r="D912">
        <v>6.63</v>
      </c>
    </row>
    <row r="913" spans="2:4">
      <c r="B913" s="3">
        <v>43087</v>
      </c>
      <c r="C913" t="s">
        <v>5</v>
      </c>
      <c r="D913">
        <v>12.96</v>
      </c>
    </row>
    <row r="914" spans="2:4">
      <c r="B914" s="3">
        <v>43087</v>
      </c>
      <c r="C914" t="s">
        <v>5</v>
      </c>
      <c r="D914">
        <v>32.400000000000006</v>
      </c>
    </row>
    <row r="915" spans="2:4">
      <c r="B915" s="3">
        <v>43041</v>
      </c>
      <c r="C915" t="s">
        <v>5</v>
      </c>
      <c r="D915">
        <v>23.849999999999998</v>
      </c>
    </row>
    <row r="916" spans="2:4">
      <c r="B916" s="3">
        <v>43031</v>
      </c>
      <c r="C916" t="s">
        <v>5</v>
      </c>
      <c r="D916">
        <v>11.56</v>
      </c>
    </row>
    <row r="917" spans="2:4">
      <c r="B917" s="3">
        <v>43031</v>
      </c>
      <c r="C917" t="s">
        <v>5</v>
      </c>
      <c r="D917">
        <v>26.400000000000002</v>
      </c>
    </row>
    <row r="918" spans="2:4">
      <c r="B918" s="3">
        <v>43031</v>
      </c>
      <c r="C918" t="s">
        <v>3</v>
      </c>
      <c r="D918">
        <v>69.08</v>
      </c>
    </row>
    <row r="919" spans="2:4">
      <c r="B919" s="3">
        <v>43031</v>
      </c>
      <c r="C919" t="s">
        <v>4</v>
      </c>
      <c r="D919">
        <v>35.880000000000003</v>
      </c>
    </row>
    <row r="920" spans="2:4">
      <c r="B920" s="3">
        <v>42989</v>
      </c>
      <c r="C920" t="s">
        <v>5</v>
      </c>
      <c r="D920">
        <v>184.66</v>
      </c>
    </row>
    <row r="921" spans="2:4">
      <c r="B921" s="3">
        <v>43042</v>
      </c>
      <c r="C921" t="s">
        <v>5</v>
      </c>
      <c r="D921">
        <v>8.56</v>
      </c>
    </row>
    <row r="922" spans="2:4">
      <c r="B922" s="3">
        <v>43042</v>
      </c>
      <c r="C922" t="s">
        <v>5</v>
      </c>
      <c r="D922">
        <v>52.400000000000006</v>
      </c>
    </row>
    <row r="923" spans="2:4">
      <c r="B923" s="3">
        <v>43042</v>
      </c>
      <c r="C923" t="s">
        <v>5</v>
      </c>
      <c r="D923">
        <v>14.940000000000001</v>
      </c>
    </row>
    <row r="924" spans="2:4">
      <c r="B924" s="3">
        <v>42785</v>
      </c>
      <c r="C924" t="s">
        <v>5</v>
      </c>
      <c r="D924">
        <v>11.22</v>
      </c>
    </row>
    <row r="925" spans="2:4">
      <c r="B925" s="3">
        <v>42974</v>
      </c>
      <c r="C925" t="s">
        <v>5</v>
      </c>
      <c r="D925">
        <v>5.9520000000000008</v>
      </c>
    </row>
    <row r="926" spans="2:4">
      <c r="B926" s="3">
        <v>42765</v>
      </c>
      <c r="C926" t="s">
        <v>5</v>
      </c>
      <c r="D926">
        <v>129.30000000000001</v>
      </c>
    </row>
    <row r="927" spans="2:4">
      <c r="B927" s="3">
        <v>42926</v>
      </c>
      <c r="C927" t="s">
        <v>3</v>
      </c>
      <c r="D927">
        <v>18.84</v>
      </c>
    </row>
    <row r="928" spans="2:4">
      <c r="B928" s="3">
        <v>42890</v>
      </c>
      <c r="C928" t="s">
        <v>5</v>
      </c>
      <c r="D928">
        <v>8.64</v>
      </c>
    </row>
    <row r="929" spans="2:4">
      <c r="B929" s="3">
        <v>43027</v>
      </c>
      <c r="C929" t="s">
        <v>5</v>
      </c>
      <c r="D929">
        <v>1633.1880000000003</v>
      </c>
    </row>
    <row r="930" spans="2:4">
      <c r="B930" s="3">
        <v>43057</v>
      </c>
      <c r="C930" t="s">
        <v>3</v>
      </c>
      <c r="D930">
        <v>19.760000000000002</v>
      </c>
    </row>
    <row r="931" spans="2:4">
      <c r="B931" s="3">
        <v>42819</v>
      </c>
      <c r="C931" t="s">
        <v>3</v>
      </c>
      <c r="D931">
        <v>90.99</v>
      </c>
    </row>
    <row r="932" spans="2:4">
      <c r="B932" s="3">
        <v>42819</v>
      </c>
      <c r="C932" t="s">
        <v>3</v>
      </c>
      <c r="D932">
        <v>1526.5600000000002</v>
      </c>
    </row>
    <row r="933" spans="2:4">
      <c r="B933" s="3">
        <v>42819</v>
      </c>
      <c r="C933" t="s">
        <v>3</v>
      </c>
      <c r="D933">
        <v>368.96999999999997</v>
      </c>
    </row>
    <row r="934" spans="2:4">
      <c r="B934" s="3">
        <v>43058</v>
      </c>
      <c r="C934" t="s">
        <v>5</v>
      </c>
      <c r="D934">
        <v>305.01</v>
      </c>
    </row>
    <row r="935" spans="2:4">
      <c r="B935" s="3">
        <v>43058</v>
      </c>
      <c r="C935" t="s">
        <v>3</v>
      </c>
      <c r="D935">
        <v>18.7</v>
      </c>
    </row>
    <row r="936" spans="2:4">
      <c r="B936" s="3">
        <v>43083</v>
      </c>
      <c r="C936" t="s">
        <v>3</v>
      </c>
      <c r="D936">
        <v>26.25</v>
      </c>
    </row>
    <row r="937" spans="2:4">
      <c r="B937" s="3">
        <v>43083</v>
      </c>
      <c r="C937" t="s">
        <v>5</v>
      </c>
      <c r="D937">
        <v>64.959999999999994</v>
      </c>
    </row>
    <row r="938" spans="2:4">
      <c r="B938" s="3">
        <v>43083</v>
      </c>
      <c r="C938" t="s">
        <v>5</v>
      </c>
      <c r="D938">
        <v>43.7</v>
      </c>
    </row>
    <row r="939" spans="2:4">
      <c r="B939" s="3">
        <v>43051</v>
      </c>
      <c r="C939" t="s">
        <v>4</v>
      </c>
      <c r="D939">
        <v>41.6</v>
      </c>
    </row>
    <row r="940" spans="2:4">
      <c r="B940" s="3">
        <v>43051</v>
      </c>
      <c r="C940" t="s">
        <v>5</v>
      </c>
      <c r="D940">
        <v>23.120000000000005</v>
      </c>
    </row>
    <row r="941" spans="2:4">
      <c r="B941" s="3">
        <v>43051</v>
      </c>
      <c r="C941" t="s">
        <v>3</v>
      </c>
      <c r="D941">
        <v>113.88800000000002</v>
      </c>
    </row>
    <row r="942" spans="2:4">
      <c r="B942" s="3">
        <v>43051</v>
      </c>
      <c r="C942" t="s">
        <v>3</v>
      </c>
      <c r="D942">
        <v>113.56800000000001</v>
      </c>
    </row>
    <row r="943" spans="2:4">
      <c r="B943" s="3">
        <v>43051</v>
      </c>
      <c r="C943" t="s">
        <v>4</v>
      </c>
      <c r="D943">
        <v>7.9200000000000008</v>
      </c>
    </row>
    <row r="944" spans="2:4">
      <c r="B944" s="3">
        <v>43051</v>
      </c>
      <c r="C944" t="s">
        <v>4</v>
      </c>
      <c r="D944">
        <v>671.98400000000004</v>
      </c>
    </row>
    <row r="945" spans="2:4">
      <c r="B945" s="3">
        <v>42913</v>
      </c>
      <c r="C945" t="s">
        <v>3</v>
      </c>
      <c r="D945">
        <v>191.64600000000002</v>
      </c>
    </row>
    <row r="946" spans="2:4">
      <c r="B946" s="3">
        <v>42859</v>
      </c>
      <c r="C946" t="s">
        <v>5</v>
      </c>
      <c r="D946">
        <v>2.3130000000000002</v>
      </c>
    </row>
    <row r="947" spans="2:4">
      <c r="B947" s="3">
        <v>42851</v>
      </c>
      <c r="C947" t="s">
        <v>5</v>
      </c>
      <c r="D947">
        <v>20.34</v>
      </c>
    </row>
    <row r="948" spans="2:4">
      <c r="B948" s="3">
        <v>42851</v>
      </c>
      <c r="C948" t="s">
        <v>5</v>
      </c>
      <c r="D948">
        <v>39.28</v>
      </c>
    </row>
    <row r="949" spans="2:4">
      <c r="B949" s="3">
        <v>43085</v>
      </c>
      <c r="C949" t="s">
        <v>3</v>
      </c>
      <c r="D949">
        <v>81.567999999999998</v>
      </c>
    </row>
    <row r="950" spans="2:4">
      <c r="B950" s="3">
        <v>43085</v>
      </c>
      <c r="C950" t="s">
        <v>3</v>
      </c>
      <c r="D950">
        <v>97.184000000000012</v>
      </c>
    </row>
    <row r="951" spans="2:4">
      <c r="B951" s="3">
        <v>43085</v>
      </c>
      <c r="C951" t="s">
        <v>5</v>
      </c>
      <c r="D951">
        <v>24.320000000000004</v>
      </c>
    </row>
    <row r="952" spans="2:4">
      <c r="B952" s="3">
        <v>43085</v>
      </c>
      <c r="C952" t="s">
        <v>3</v>
      </c>
      <c r="D952">
        <v>18.96</v>
      </c>
    </row>
    <row r="953" spans="2:4">
      <c r="B953" s="3">
        <v>43045</v>
      </c>
      <c r="C953" t="s">
        <v>5</v>
      </c>
      <c r="D953">
        <v>499.58400000000006</v>
      </c>
    </row>
    <row r="954" spans="2:4">
      <c r="B954" s="3">
        <v>43045</v>
      </c>
      <c r="C954" t="s">
        <v>5</v>
      </c>
      <c r="D954">
        <v>31.104000000000006</v>
      </c>
    </row>
    <row r="955" spans="2:4">
      <c r="B955" s="3">
        <v>43045</v>
      </c>
      <c r="C955" t="s">
        <v>5</v>
      </c>
      <c r="D955">
        <v>13.272000000000002</v>
      </c>
    </row>
    <row r="956" spans="2:4">
      <c r="B956" s="3">
        <v>43045</v>
      </c>
      <c r="C956" t="s">
        <v>3</v>
      </c>
      <c r="D956">
        <v>28.272000000000006</v>
      </c>
    </row>
    <row r="957" spans="2:4">
      <c r="B957" s="3">
        <v>43045</v>
      </c>
      <c r="C957" t="s">
        <v>5</v>
      </c>
      <c r="D957">
        <v>259.13600000000002</v>
      </c>
    </row>
    <row r="958" spans="2:4">
      <c r="B958" s="3">
        <v>43085</v>
      </c>
      <c r="C958" t="s">
        <v>5</v>
      </c>
      <c r="D958">
        <v>10.8</v>
      </c>
    </row>
    <row r="959" spans="2:4">
      <c r="B959" s="3">
        <v>43073</v>
      </c>
      <c r="C959" t="s">
        <v>3</v>
      </c>
      <c r="D959">
        <v>188.55199999999996</v>
      </c>
    </row>
    <row r="960" spans="2:4">
      <c r="B960" s="3">
        <v>43011</v>
      </c>
      <c r="C960" t="s">
        <v>5</v>
      </c>
      <c r="D960">
        <v>22.58</v>
      </c>
    </row>
    <row r="961" spans="2:4">
      <c r="B961" s="3">
        <v>42805</v>
      </c>
      <c r="C961" t="s">
        <v>5</v>
      </c>
      <c r="D961">
        <v>895.92</v>
      </c>
    </row>
    <row r="962" spans="2:4">
      <c r="B962" s="3">
        <v>43085</v>
      </c>
      <c r="C962" t="s">
        <v>5</v>
      </c>
      <c r="D962">
        <v>33.375999999999998</v>
      </c>
    </row>
    <row r="963" spans="2:4">
      <c r="B963" s="3">
        <v>43021</v>
      </c>
      <c r="C963" t="s">
        <v>5</v>
      </c>
      <c r="D963">
        <v>904.9</v>
      </c>
    </row>
    <row r="964" spans="2:4">
      <c r="B964" s="3">
        <v>42842</v>
      </c>
      <c r="C964" t="s">
        <v>5</v>
      </c>
      <c r="D964">
        <v>12.030000000000001</v>
      </c>
    </row>
    <row r="965" spans="2:4">
      <c r="B965" s="3">
        <v>42842</v>
      </c>
      <c r="C965" t="s">
        <v>4</v>
      </c>
      <c r="D965">
        <v>2549.9850000000006</v>
      </c>
    </row>
    <row r="966" spans="2:4">
      <c r="B966" s="3">
        <v>42842</v>
      </c>
      <c r="C966" t="s">
        <v>5</v>
      </c>
      <c r="D966">
        <v>21.594000000000005</v>
      </c>
    </row>
    <row r="967" spans="2:4">
      <c r="B967" s="3">
        <v>42842</v>
      </c>
      <c r="C967" t="s">
        <v>5</v>
      </c>
      <c r="D967">
        <v>8.9640000000000022</v>
      </c>
    </row>
    <row r="968" spans="2:4">
      <c r="B968" s="3">
        <v>42842</v>
      </c>
      <c r="C968" t="s">
        <v>5</v>
      </c>
      <c r="D968">
        <v>20.736000000000004</v>
      </c>
    </row>
    <row r="969" spans="2:4">
      <c r="B969" s="3">
        <v>43056</v>
      </c>
      <c r="C969" t="s">
        <v>3</v>
      </c>
      <c r="D969">
        <v>327.73279999999994</v>
      </c>
    </row>
    <row r="970" spans="2:4">
      <c r="B970" s="3">
        <v>42847</v>
      </c>
      <c r="C970" t="s">
        <v>3</v>
      </c>
      <c r="D970">
        <v>254.35200000000003</v>
      </c>
    </row>
    <row r="971" spans="2:4">
      <c r="B971" s="3">
        <v>43086</v>
      </c>
      <c r="C971" t="s">
        <v>3</v>
      </c>
      <c r="D971">
        <v>504.90000000000003</v>
      </c>
    </row>
    <row r="972" spans="2:4">
      <c r="B972" s="3">
        <v>42994</v>
      </c>
      <c r="C972" t="s">
        <v>5</v>
      </c>
      <c r="D972">
        <v>20.736000000000004</v>
      </c>
    </row>
    <row r="973" spans="2:4">
      <c r="B973" s="3">
        <v>43011</v>
      </c>
      <c r="C973" t="s">
        <v>3</v>
      </c>
      <c r="D973">
        <v>171.28800000000001</v>
      </c>
    </row>
    <row r="974" spans="2:4">
      <c r="B974" s="3">
        <v>42989</v>
      </c>
      <c r="C974" t="s">
        <v>5</v>
      </c>
      <c r="D974">
        <v>12.96</v>
      </c>
    </row>
    <row r="975" spans="2:4">
      <c r="B975" s="3">
        <v>42989</v>
      </c>
      <c r="C975" t="s">
        <v>5</v>
      </c>
      <c r="D975">
        <v>22.18</v>
      </c>
    </row>
    <row r="976" spans="2:4">
      <c r="B976" s="3">
        <v>42989</v>
      </c>
      <c r="C976" t="s">
        <v>3</v>
      </c>
      <c r="D976">
        <v>2054.2720000000004</v>
      </c>
    </row>
    <row r="977" spans="2:4">
      <c r="B977" s="3">
        <v>43045</v>
      </c>
      <c r="C977" t="s">
        <v>5</v>
      </c>
      <c r="D977">
        <v>13.899999999999999</v>
      </c>
    </row>
    <row r="978" spans="2:4">
      <c r="B978" s="3">
        <v>43045</v>
      </c>
      <c r="C978" t="s">
        <v>5</v>
      </c>
      <c r="D978">
        <v>26.38</v>
      </c>
    </row>
    <row r="979" spans="2:4">
      <c r="B979" s="3">
        <v>42827</v>
      </c>
      <c r="C979" t="s">
        <v>3</v>
      </c>
      <c r="D979">
        <v>411.8</v>
      </c>
    </row>
    <row r="980" spans="2:4">
      <c r="B980" s="3">
        <v>42827</v>
      </c>
      <c r="C980" t="s">
        <v>4</v>
      </c>
      <c r="D980">
        <v>360</v>
      </c>
    </row>
    <row r="981" spans="2:4">
      <c r="B981" s="3">
        <v>43014</v>
      </c>
      <c r="C981" t="s">
        <v>3</v>
      </c>
      <c r="D981">
        <v>41.96</v>
      </c>
    </row>
    <row r="982" spans="2:4">
      <c r="B982" s="3">
        <v>43014</v>
      </c>
      <c r="C982" t="s">
        <v>5</v>
      </c>
      <c r="D982">
        <v>227.84</v>
      </c>
    </row>
    <row r="983" spans="2:4">
      <c r="B983" s="3">
        <v>43014</v>
      </c>
      <c r="C983" t="s">
        <v>5</v>
      </c>
      <c r="D983">
        <v>37.94</v>
      </c>
    </row>
    <row r="984" spans="2:4">
      <c r="B984" s="3">
        <v>43027</v>
      </c>
      <c r="C984" t="s">
        <v>5</v>
      </c>
      <c r="D984">
        <v>8.9600000000000009</v>
      </c>
    </row>
    <row r="985" spans="2:4">
      <c r="B985" s="3">
        <v>43027</v>
      </c>
      <c r="C985" t="s">
        <v>5</v>
      </c>
      <c r="D985">
        <v>31.5</v>
      </c>
    </row>
    <row r="986" spans="2:4">
      <c r="B986" s="3">
        <v>43027</v>
      </c>
      <c r="C986" t="s">
        <v>3</v>
      </c>
      <c r="D986">
        <v>30.56</v>
      </c>
    </row>
    <row r="987" spans="2:4">
      <c r="B987" s="3">
        <v>43027</v>
      </c>
      <c r="C987" t="s">
        <v>3</v>
      </c>
      <c r="D987">
        <v>24.368000000000002</v>
      </c>
    </row>
    <row r="988" spans="2:4">
      <c r="B988" s="3">
        <v>42797</v>
      </c>
      <c r="C988" t="s">
        <v>5</v>
      </c>
      <c r="D988">
        <v>26.880000000000003</v>
      </c>
    </row>
    <row r="989" spans="2:4">
      <c r="B989" s="3">
        <v>42807</v>
      </c>
      <c r="C989" t="s">
        <v>5</v>
      </c>
      <c r="D989">
        <v>90.8</v>
      </c>
    </row>
    <row r="990" spans="2:4">
      <c r="B990" s="3">
        <v>42807</v>
      </c>
      <c r="C990" t="s">
        <v>4</v>
      </c>
      <c r="D990">
        <v>140.73599999999999</v>
      </c>
    </row>
    <row r="991" spans="2:4">
      <c r="B991" s="3">
        <v>42807</v>
      </c>
      <c r="C991" t="s">
        <v>4</v>
      </c>
      <c r="D991">
        <v>214.95000000000002</v>
      </c>
    </row>
    <row r="992" spans="2:4">
      <c r="B992" s="3">
        <v>42807</v>
      </c>
      <c r="C992" t="s">
        <v>5</v>
      </c>
      <c r="D992">
        <v>45.36</v>
      </c>
    </row>
    <row r="993" spans="2:4">
      <c r="B993" s="3">
        <v>42807</v>
      </c>
      <c r="C993" t="s">
        <v>5</v>
      </c>
      <c r="D993">
        <v>288.24</v>
      </c>
    </row>
    <row r="994" spans="2:4">
      <c r="B994" s="3">
        <v>43069</v>
      </c>
      <c r="C994" t="s">
        <v>5</v>
      </c>
      <c r="D994">
        <v>663.93600000000004</v>
      </c>
    </row>
    <row r="995" spans="2:4">
      <c r="B995" s="3">
        <v>42982</v>
      </c>
      <c r="C995" t="s">
        <v>5</v>
      </c>
      <c r="D995">
        <v>12.96</v>
      </c>
    </row>
    <row r="996" spans="2:4">
      <c r="B996" s="3">
        <v>42982</v>
      </c>
      <c r="C996" t="s">
        <v>4</v>
      </c>
      <c r="D996">
        <v>43.176000000000002</v>
      </c>
    </row>
    <row r="997" spans="2:4">
      <c r="B997" s="3">
        <v>42882</v>
      </c>
      <c r="C997" t="s">
        <v>5</v>
      </c>
      <c r="D997">
        <v>58.34</v>
      </c>
    </row>
    <row r="998" spans="2:4">
      <c r="B998" s="3">
        <v>42882</v>
      </c>
      <c r="C998" t="s">
        <v>4</v>
      </c>
      <c r="D998">
        <v>539.97</v>
      </c>
    </row>
    <row r="999" spans="2:4">
      <c r="B999" s="3">
        <v>42775</v>
      </c>
      <c r="C999" t="s">
        <v>5</v>
      </c>
      <c r="D999">
        <v>252.78399999999996</v>
      </c>
    </row>
    <row r="1000" spans="2:4">
      <c r="B1000" s="3">
        <v>42775</v>
      </c>
      <c r="C1000" t="s">
        <v>4</v>
      </c>
      <c r="D1000">
        <v>127.98399999999999</v>
      </c>
    </row>
    <row r="1001" spans="2:4">
      <c r="B1001" s="3">
        <v>42775</v>
      </c>
      <c r="C1001" t="s">
        <v>3</v>
      </c>
      <c r="D1001">
        <v>3.9840000000000004</v>
      </c>
    </row>
    <row r="1002" spans="2:4">
      <c r="B1002" s="3">
        <v>42775</v>
      </c>
      <c r="C1002" t="s">
        <v>5</v>
      </c>
      <c r="D1002">
        <v>12.991999999999996</v>
      </c>
    </row>
    <row r="1003" spans="2:4">
      <c r="B1003" s="3">
        <v>42825</v>
      </c>
      <c r="C1003" t="s">
        <v>3</v>
      </c>
      <c r="D1003">
        <v>61</v>
      </c>
    </row>
    <row r="1004" spans="2:4">
      <c r="B1004" s="3">
        <v>42825</v>
      </c>
      <c r="C1004" t="s">
        <v>4</v>
      </c>
      <c r="D1004">
        <v>671.93</v>
      </c>
    </row>
    <row r="1005" spans="2:4">
      <c r="B1005" s="3">
        <v>42852</v>
      </c>
      <c r="C1005" t="s">
        <v>5</v>
      </c>
      <c r="D1005">
        <v>33.119999999999997</v>
      </c>
    </row>
    <row r="1006" spans="2:4">
      <c r="B1006" s="3">
        <v>42852</v>
      </c>
      <c r="C1006" t="s">
        <v>3</v>
      </c>
      <c r="D1006">
        <v>220.26559999999998</v>
      </c>
    </row>
    <row r="1007" spans="2:4">
      <c r="B1007" s="3">
        <v>42839</v>
      </c>
      <c r="C1007" t="s">
        <v>5</v>
      </c>
      <c r="D1007">
        <v>10.776000000000002</v>
      </c>
    </row>
    <row r="1008" spans="2:4">
      <c r="B1008" s="3">
        <v>42839</v>
      </c>
      <c r="C1008" t="s">
        <v>3</v>
      </c>
      <c r="D1008">
        <v>242.35200000000003</v>
      </c>
    </row>
    <row r="1009" spans="2:4">
      <c r="B1009" s="3">
        <v>43091</v>
      </c>
      <c r="C1009" t="s">
        <v>5</v>
      </c>
      <c r="D1009">
        <v>695.16</v>
      </c>
    </row>
    <row r="1010" spans="2:4">
      <c r="B1010" s="3">
        <v>43091</v>
      </c>
      <c r="C1010" t="s">
        <v>3</v>
      </c>
      <c r="D1010">
        <v>220.98</v>
      </c>
    </row>
    <row r="1011" spans="2:4">
      <c r="B1011" s="3">
        <v>42817</v>
      </c>
      <c r="C1011" t="s">
        <v>5</v>
      </c>
      <c r="D1011">
        <v>25.68</v>
      </c>
    </row>
    <row r="1012" spans="2:4">
      <c r="B1012" s="3">
        <v>42926</v>
      </c>
      <c r="C1012" t="s">
        <v>5</v>
      </c>
      <c r="D1012">
        <v>298.464</v>
      </c>
    </row>
    <row r="1013" spans="2:4">
      <c r="B1013" s="3">
        <v>42986</v>
      </c>
      <c r="C1013" t="s">
        <v>4</v>
      </c>
      <c r="D1013">
        <v>258.52799999999996</v>
      </c>
    </row>
    <row r="1014" spans="2:4">
      <c r="B1014" s="3">
        <v>43010</v>
      </c>
      <c r="C1014" t="s">
        <v>5</v>
      </c>
      <c r="D1014">
        <v>49.12</v>
      </c>
    </row>
    <row r="1015" spans="2:4">
      <c r="B1015" s="3">
        <v>43051</v>
      </c>
      <c r="C1015" t="s">
        <v>5</v>
      </c>
      <c r="D1015">
        <v>30.559999999999992</v>
      </c>
    </row>
    <row r="1016" spans="2:4">
      <c r="B1016" s="3">
        <v>43051</v>
      </c>
      <c r="C1016" t="s">
        <v>5</v>
      </c>
      <c r="D1016">
        <v>77.951999999999998</v>
      </c>
    </row>
    <row r="1017" spans="2:4">
      <c r="B1017" s="3">
        <v>43051</v>
      </c>
      <c r="C1017" t="s">
        <v>4</v>
      </c>
      <c r="D1017">
        <v>67.992000000000004</v>
      </c>
    </row>
    <row r="1018" spans="2:4">
      <c r="B1018" s="3">
        <v>43051</v>
      </c>
      <c r="C1018" t="s">
        <v>5</v>
      </c>
      <c r="D1018">
        <v>12.224</v>
      </c>
    </row>
    <row r="1019" spans="2:4">
      <c r="B1019" s="3">
        <v>43051</v>
      </c>
      <c r="C1019" t="s">
        <v>4</v>
      </c>
      <c r="D1019">
        <v>44.783999999999999</v>
      </c>
    </row>
    <row r="1020" spans="2:4">
      <c r="B1020" s="3">
        <v>43051</v>
      </c>
      <c r="C1020" t="s">
        <v>3</v>
      </c>
      <c r="D1020">
        <v>22.847999999999999</v>
      </c>
    </row>
    <row r="1021" spans="2:4">
      <c r="B1021" s="3">
        <v>43003</v>
      </c>
      <c r="C1021" t="s">
        <v>4</v>
      </c>
      <c r="D1021">
        <v>119.96000000000001</v>
      </c>
    </row>
    <row r="1022" spans="2:4">
      <c r="B1022" s="3">
        <v>43003</v>
      </c>
      <c r="C1022" t="s">
        <v>5</v>
      </c>
      <c r="D1022">
        <v>10.608000000000001</v>
      </c>
    </row>
    <row r="1023" spans="2:4">
      <c r="B1023" s="3">
        <v>42777</v>
      </c>
      <c r="C1023" t="s">
        <v>3</v>
      </c>
      <c r="D1023">
        <v>963.13600000000008</v>
      </c>
    </row>
    <row r="1024" spans="2:4">
      <c r="B1024" s="3">
        <v>42777</v>
      </c>
      <c r="C1024" t="s">
        <v>4</v>
      </c>
      <c r="D1024">
        <v>88.77600000000001</v>
      </c>
    </row>
    <row r="1025" spans="2:4">
      <c r="B1025" s="3">
        <v>42936</v>
      </c>
      <c r="C1025" t="s">
        <v>5</v>
      </c>
      <c r="D1025">
        <v>735.98</v>
      </c>
    </row>
    <row r="1026" spans="2:4">
      <c r="B1026" s="3">
        <v>43090</v>
      </c>
      <c r="C1026" t="s">
        <v>5</v>
      </c>
      <c r="D1026">
        <v>23.88</v>
      </c>
    </row>
    <row r="1027" spans="2:4">
      <c r="B1027" s="3">
        <v>43050</v>
      </c>
      <c r="C1027" t="s">
        <v>5</v>
      </c>
      <c r="D1027">
        <v>181.86</v>
      </c>
    </row>
    <row r="1028" spans="2:4">
      <c r="B1028" s="3">
        <v>43001</v>
      </c>
      <c r="C1028" t="s">
        <v>3</v>
      </c>
      <c r="D1028">
        <v>180.58800000000005</v>
      </c>
    </row>
    <row r="1029" spans="2:4">
      <c r="B1029" s="3">
        <v>43001</v>
      </c>
      <c r="C1029" t="s">
        <v>4</v>
      </c>
      <c r="D1029">
        <v>47.984000000000002</v>
      </c>
    </row>
    <row r="1030" spans="2:4">
      <c r="B1030" s="3">
        <v>42988</v>
      </c>
      <c r="C1030" t="s">
        <v>5</v>
      </c>
      <c r="D1030">
        <v>18.760000000000002</v>
      </c>
    </row>
    <row r="1031" spans="2:4">
      <c r="B1031" s="3">
        <v>43074</v>
      </c>
      <c r="C1031" t="s">
        <v>3</v>
      </c>
      <c r="D1031">
        <v>20.94</v>
      </c>
    </row>
    <row r="1032" spans="2:4">
      <c r="B1032" s="3">
        <v>43074</v>
      </c>
      <c r="C1032" t="s">
        <v>3</v>
      </c>
      <c r="D1032">
        <v>58.68</v>
      </c>
    </row>
    <row r="1033" spans="2:4">
      <c r="B1033" s="3">
        <v>43074</v>
      </c>
      <c r="C1033" t="s">
        <v>5</v>
      </c>
      <c r="D1033">
        <v>254.89999999999998</v>
      </c>
    </row>
    <row r="1034" spans="2:4">
      <c r="B1034" s="3">
        <v>43048</v>
      </c>
      <c r="C1034" t="s">
        <v>5</v>
      </c>
      <c r="D1034">
        <v>9.64</v>
      </c>
    </row>
    <row r="1035" spans="2:4">
      <c r="B1035" s="3">
        <v>43048</v>
      </c>
      <c r="C1035" t="s">
        <v>4</v>
      </c>
      <c r="D1035">
        <v>826.62000000000012</v>
      </c>
    </row>
    <row r="1036" spans="2:4">
      <c r="B1036" s="3">
        <v>43048</v>
      </c>
      <c r="C1036" t="s">
        <v>5</v>
      </c>
      <c r="D1036">
        <v>1633.14</v>
      </c>
    </row>
    <row r="1037" spans="2:4">
      <c r="B1037" s="3">
        <v>43048</v>
      </c>
      <c r="C1037" t="s">
        <v>5</v>
      </c>
      <c r="D1037">
        <v>544.38</v>
      </c>
    </row>
    <row r="1038" spans="2:4">
      <c r="B1038" s="3">
        <v>42806</v>
      </c>
      <c r="C1038" t="s">
        <v>4</v>
      </c>
      <c r="D1038">
        <v>69.930000000000007</v>
      </c>
    </row>
    <row r="1039" spans="2:4">
      <c r="B1039" s="3">
        <v>43028</v>
      </c>
      <c r="C1039" t="s">
        <v>5</v>
      </c>
      <c r="D1039">
        <v>3.75</v>
      </c>
    </row>
    <row r="1040" spans="2:4">
      <c r="B1040" s="3">
        <v>43028</v>
      </c>
      <c r="C1040" t="s">
        <v>5</v>
      </c>
      <c r="D1040">
        <v>20.928000000000001</v>
      </c>
    </row>
    <row r="1041" spans="2:4">
      <c r="B1041" s="3">
        <v>43010</v>
      </c>
      <c r="C1041" t="s">
        <v>4</v>
      </c>
      <c r="D1041">
        <v>65.989999999999995</v>
      </c>
    </row>
    <row r="1042" spans="2:4">
      <c r="B1042" s="3">
        <v>42890</v>
      </c>
      <c r="C1042" t="s">
        <v>5</v>
      </c>
      <c r="D1042">
        <v>6.3699999999999983</v>
      </c>
    </row>
    <row r="1043" spans="2:4">
      <c r="B1043" s="3">
        <v>42938</v>
      </c>
      <c r="C1043" t="s">
        <v>4</v>
      </c>
      <c r="D1043">
        <v>29.97</v>
      </c>
    </row>
    <row r="1044" spans="2:4">
      <c r="B1044" s="3">
        <v>43087</v>
      </c>
      <c r="C1044" t="s">
        <v>5</v>
      </c>
      <c r="D1044">
        <v>18.704000000000001</v>
      </c>
    </row>
    <row r="1045" spans="2:4">
      <c r="B1045" s="3">
        <v>43000</v>
      </c>
      <c r="C1045" t="s">
        <v>5</v>
      </c>
      <c r="D1045">
        <v>13.392000000000001</v>
      </c>
    </row>
    <row r="1046" spans="2:4">
      <c r="B1046" s="3">
        <v>43000</v>
      </c>
      <c r="C1046" t="s">
        <v>5</v>
      </c>
      <c r="D1046">
        <v>11.227999999999998</v>
      </c>
    </row>
    <row r="1047" spans="2:4">
      <c r="B1047" s="3">
        <v>42924</v>
      </c>
      <c r="C1047" t="s">
        <v>5</v>
      </c>
      <c r="D1047">
        <v>75.179999999999993</v>
      </c>
    </row>
    <row r="1048" spans="2:4">
      <c r="B1048" s="3">
        <v>43049</v>
      </c>
      <c r="C1048" t="s">
        <v>5</v>
      </c>
      <c r="D1048">
        <v>931.17600000000016</v>
      </c>
    </row>
    <row r="1049" spans="2:4">
      <c r="B1049" s="3">
        <v>43049</v>
      </c>
      <c r="C1049" t="s">
        <v>4</v>
      </c>
      <c r="D1049">
        <v>430.88</v>
      </c>
    </row>
    <row r="1050" spans="2:4">
      <c r="B1050" s="3">
        <v>42979</v>
      </c>
      <c r="C1050" t="s">
        <v>3</v>
      </c>
      <c r="D1050">
        <v>114.9</v>
      </c>
    </row>
    <row r="1051" spans="2:4">
      <c r="B1051" s="3">
        <v>42841</v>
      </c>
      <c r="C1051" t="s">
        <v>5</v>
      </c>
      <c r="D1051">
        <v>26.045999999999992</v>
      </c>
    </row>
    <row r="1052" spans="2:4">
      <c r="B1052" s="3">
        <v>42841</v>
      </c>
      <c r="C1052" t="s">
        <v>5</v>
      </c>
      <c r="D1052">
        <v>2.8959999999999995</v>
      </c>
    </row>
    <row r="1053" spans="2:4">
      <c r="B1053" s="3">
        <v>42841</v>
      </c>
      <c r="C1053" t="s">
        <v>5</v>
      </c>
      <c r="D1053">
        <v>32.544000000000004</v>
      </c>
    </row>
    <row r="1054" spans="2:4">
      <c r="B1054" s="3">
        <v>42825</v>
      </c>
      <c r="C1054" t="s">
        <v>5</v>
      </c>
      <c r="D1054">
        <v>13.467999999999998</v>
      </c>
    </row>
    <row r="1055" spans="2:4">
      <c r="B1055" s="3">
        <v>43070</v>
      </c>
      <c r="C1055" t="s">
        <v>4</v>
      </c>
      <c r="D1055">
        <v>219.80000000000004</v>
      </c>
    </row>
    <row r="1056" spans="2:4">
      <c r="B1056" s="3">
        <v>43070</v>
      </c>
      <c r="C1056" t="s">
        <v>3</v>
      </c>
      <c r="D1056">
        <v>317.05799999999999</v>
      </c>
    </row>
    <row r="1057" spans="2:4">
      <c r="B1057" s="3">
        <v>43079</v>
      </c>
      <c r="C1057" t="s">
        <v>4</v>
      </c>
      <c r="D1057">
        <v>49.08</v>
      </c>
    </row>
    <row r="1058" spans="2:4">
      <c r="B1058" s="3">
        <v>43079</v>
      </c>
      <c r="C1058" t="s">
        <v>5</v>
      </c>
      <c r="D1058">
        <v>324.90000000000003</v>
      </c>
    </row>
    <row r="1059" spans="2:4">
      <c r="B1059" s="3">
        <v>43079</v>
      </c>
      <c r="C1059" t="s">
        <v>5</v>
      </c>
      <c r="D1059">
        <v>18.240000000000002</v>
      </c>
    </row>
    <row r="1060" spans="2:4">
      <c r="B1060" s="3">
        <v>42842</v>
      </c>
      <c r="C1060" t="s">
        <v>3</v>
      </c>
      <c r="D1060">
        <v>60.311999999999998</v>
      </c>
    </row>
    <row r="1061" spans="2:4">
      <c r="B1061" s="3">
        <v>43035</v>
      </c>
      <c r="C1061" t="s">
        <v>5</v>
      </c>
      <c r="D1061">
        <v>7.0559999999999992</v>
      </c>
    </row>
    <row r="1062" spans="2:4">
      <c r="B1062" s="3">
        <v>43035</v>
      </c>
      <c r="C1062" t="s">
        <v>4</v>
      </c>
      <c r="D1062">
        <v>27.183999999999997</v>
      </c>
    </row>
    <row r="1063" spans="2:4">
      <c r="B1063" s="3">
        <v>42863</v>
      </c>
      <c r="C1063" t="s">
        <v>4</v>
      </c>
      <c r="D1063">
        <v>3359.9520000000002</v>
      </c>
    </row>
    <row r="1064" spans="2:4">
      <c r="B1064" s="3">
        <v>43041</v>
      </c>
      <c r="C1064" t="s">
        <v>5</v>
      </c>
      <c r="D1064">
        <v>18.240000000000002</v>
      </c>
    </row>
    <row r="1065" spans="2:4">
      <c r="B1065" s="3">
        <v>43041</v>
      </c>
      <c r="C1065" t="s">
        <v>5</v>
      </c>
      <c r="D1065">
        <v>27.78</v>
      </c>
    </row>
    <row r="1066" spans="2:4">
      <c r="B1066" s="3">
        <v>42786</v>
      </c>
      <c r="C1066" t="s">
        <v>5</v>
      </c>
      <c r="D1066">
        <v>6.56</v>
      </c>
    </row>
    <row r="1067" spans="2:4">
      <c r="B1067" s="3">
        <v>42786</v>
      </c>
      <c r="C1067" t="s">
        <v>5</v>
      </c>
      <c r="D1067">
        <v>13.11</v>
      </c>
    </row>
    <row r="1068" spans="2:4">
      <c r="B1068" s="3">
        <v>43009</v>
      </c>
      <c r="C1068" t="s">
        <v>4</v>
      </c>
      <c r="D1068">
        <v>1704.89</v>
      </c>
    </row>
    <row r="1069" spans="2:4">
      <c r="B1069" s="3">
        <v>43055</v>
      </c>
      <c r="C1069" t="s">
        <v>4</v>
      </c>
      <c r="D1069">
        <v>1919.9760000000001</v>
      </c>
    </row>
    <row r="1070" spans="2:4">
      <c r="B1070" s="3">
        <v>43093</v>
      </c>
      <c r="C1070" t="s">
        <v>3</v>
      </c>
      <c r="D1070">
        <v>271.76400000000001</v>
      </c>
    </row>
    <row r="1071" spans="2:4">
      <c r="B1071" s="3">
        <v>43093</v>
      </c>
      <c r="C1071" t="s">
        <v>5</v>
      </c>
      <c r="D1071">
        <v>14.376000000000001</v>
      </c>
    </row>
    <row r="1072" spans="2:4">
      <c r="B1072" s="3">
        <v>43049</v>
      </c>
      <c r="C1072" t="s">
        <v>3</v>
      </c>
      <c r="D1072">
        <v>341.96</v>
      </c>
    </row>
    <row r="1073" spans="2:4">
      <c r="B1073" s="3">
        <v>43083</v>
      </c>
      <c r="C1073" t="s">
        <v>4</v>
      </c>
      <c r="D1073">
        <v>227.976</v>
      </c>
    </row>
    <row r="1074" spans="2:4">
      <c r="B1074" s="3">
        <v>43083</v>
      </c>
      <c r="C1074" t="s">
        <v>4</v>
      </c>
      <c r="D1074">
        <v>52.679999999999993</v>
      </c>
    </row>
    <row r="1075" spans="2:4">
      <c r="B1075" s="3">
        <v>43083</v>
      </c>
      <c r="C1075" t="s">
        <v>3</v>
      </c>
      <c r="D1075">
        <v>2.032</v>
      </c>
    </row>
    <row r="1076" spans="2:4">
      <c r="B1076" s="3">
        <v>42968</v>
      </c>
      <c r="C1076" t="s">
        <v>5</v>
      </c>
      <c r="D1076">
        <v>17.12</v>
      </c>
    </row>
    <row r="1077" spans="2:4">
      <c r="B1077" s="3">
        <v>42968</v>
      </c>
      <c r="C1077" t="s">
        <v>4</v>
      </c>
      <c r="D1077">
        <v>431.96800000000007</v>
      </c>
    </row>
    <row r="1078" spans="2:4">
      <c r="B1078" s="3">
        <v>42968</v>
      </c>
      <c r="C1078" t="s">
        <v>3</v>
      </c>
      <c r="D1078">
        <v>129.91999999999999</v>
      </c>
    </row>
    <row r="1079" spans="2:4">
      <c r="B1079" s="3">
        <v>42968</v>
      </c>
      <c r="C1079" t="s">
        <v>3</v>
      </c>
      <c r="D1079">
        <v>568.72800000000007</v>
      </c>
    </row>
    <row r="1080" spans="2:4">
      <c r="B1080" s="3">
        <v>42968</v>
      </c>
      <c r="C1080" t="s">
        <v>5</v>
      </c>
      <c r="D1080">
        <v>117.14400000000001</v>
      </c>
    </row>
    <row r="1081" spans="2:4">
      <c r="B1081" s="3">
        <v>42968</v>
      </c>
      <c r="C1081" t="s">
        <v>5</v>
      </c>
      <c r="D1081">
        <v>203.52</v>
      </c>
    </row>
    <row r="1082" spans="2:4">
      <c r="B1082" s="3">
        <v>42968</v>
      </c>
      <c r="C1082" t="s">
        <v>5</v>
      </c>
      <c r="D1082">
        <v>51.75</v>
      </c>
    </row>
    <row r="1083" spans="2:4">
      <c r="B1083" s="3">
        <v>43044</v>
      </c>
      <c r="C1083" t="s">
        <v>5</v>
      </c>
      <c r="D1083">
        <v>16.029999999999998</v>
      </c>
    </row>
    <row r="1084" spans="2:4">
      <c r="B1084" s="3">
        <v>42985</v>
      </c>
      <c r="C1084" t="s">
        <v>5</v>
      </c>
      <c r="D1084">
        <v>73.007999999999996</v>
      </c>
    </row>
    <row r="1085" spans="2:4">
      <c r="B1085" s="3">
        <v>43001</v>
      </c>
      <c r="C1085" t="s">
        <v>5</v>
      </c>
      <c r="D1085">
        <v>25.824000000000002</v>
      </c>
    </row>
    <row r="1086" spans="2:4">
      <c r="B1086" s="3">
        <v>43001</v>
      </c>
      <c r="C1086" t="s">
        <v>5</v>
      </c>
      <c r="D1086">
        <v>160.96</v>
      </c>
    </row>
    <row r="1087" spans="2:4">
      <c r="B1087" s="3">
        <v>42811</v>
      </c>
      <c r="C1087" t="s">
        <v>5</v>
      </c>
      <c r="D1087">
        <v>13.775999999999996</v>
      </c>
    </row>
    <row r="1088" spans="2:4">
      <c r="B1088" s="3">
        <v>42811</v>
      </c>
      <c r="C1088" t="s">
        <v>5</v>
      </c>
      <c r="D1088">
        <v>10.272000000000002</v>
      </c>
    </row>
    <row r="1089" spans="2:4">
      <c r="B1089" s="3">
        <v>43062</v>
      </c>
      <c r="C1089" t="s">
        <v>3</v>
      </c>
      <c r="D1089">
        <v>24.048000000000002</v>
      </c>
    </row>
    <row r="1090" spans="2:4">
      <c r="B1090" s="3">
        <v>42974</v>
      </c>
      <c r="C1090" t="s">
        <v>5</v>
      </c>
      <c r="D1090">
        <v>2.8960000000000004</v>
      </c>
    </row>
    <row r="1091" spans="2:4">
      <c r="B1091" s="3">
        <v>43015</v>
      </c>
      <c r="C1091" t="s">
        <v>5</v>
      </c>
      <c r="D1091">
        <v>580.67200000000003</v>
      </c>
    </row>
    <row r="1092" spans="2:4">
      <c r="B1092" s="3">
        <v>43015</v>
      </c>
      <c r="C1092" t="s">
        <v>5</v>
      </c>
      <c r="D1092">
        <v>18.936</v>
      </c>
    </row>
    <row r="1093" spans="2:4">
      <c r="B1093" s="3">
        <v>43015</v>
      </c>
      <c r="C1093" t="s">
        <v>4</v>
      </c>
      <c r="D1093">
        <v>222.38400000000001</v>
      </c>
    </row>
    <row r="1094" spans="2:4">
      <c r="B1094" s="3">
        <v>43015</v>
      </c>
      <c r="C1094" t="s">
        <v>5</v>
      </c>
      <c r="D1094">
        <v>50.454000000000015</v>
      </c>
    </row>
    <row r="1095" spans="2:4">
      <c r="B1095" s="3">
        <v>43015</v>
      </c>
      <c r="C1095" t="s">
        <v>3</v>
      </c>
      <c r="D1095">
        <v>154.76400000000001</v>
      </c>
    </row>
    <row r="1096" spans="2:4">
      <c r="B1096" s="3">
        <v>42819</v>
      </c>
      <c r="C1096" t="s">
        <v>5</v>
      </c>
      <c r="D1096">
        <v>6.8480000000000008</v>
      </c>
    </row>
    <row r="1097" spans="2:4">
      <c r="B1097" s="3">
        <v>42896</v>
      </c>
      <c r="C1097" t="s">
        <v>5</v>
      </c>
      <c r="D1097">
        <v>40.032000000000004</v>
      </c>
    </row>
    <row r="1098" spans="2:4">
      <c r="B1098" s="3">
        <v>42917</v>
      </c>
      <c r="C1098" t="s">
        <v>5</v>
      </c>
      <c r="D1098">
        <v>443.92</v>
      </c>
    </row>
    <row r="1099" spans="2:4">
      <c r="B1099" s="3">
        <v>42917</v>
      </c>
      <c r="C1099" t="s">
        <v>5</v>
      </c>
      <c r="D1099">
        <v>169.99</v>
      </c>
    </row>
    <row r="1100" spans="2:4">
      <c r="B1100" s="3">
        <v>42917</v>
      </c>
      <c r="C1100" t="s">
        <v>5</v>
      </c>
      <c r="D1100">
        <v>25.92</v>
      </c>
    </row>
    <row r="1101" spans="2:4">
      <c r="B1101" s="3">
        <v>42884</v>
      </c>
      <c r="C1101" t="s">
        <v>3</v>
      </c>
      <c r="D1101">
        <v>65.424000000000007</v>
      </c>
    </row>
    <row r="1102" spans="2:4">
      <c r="B1102" s="3">
        <v>42855</v>
      </c>
      <c r="C1102" t="s">
        <v>5</v>
      </c>
      <c r="D1102">
        <v>10.368000000000002</v>
      </c>
    </row>
    <row r="1103" spans="2:4">
      <c r="B1103" s="3">
        <v>42919</v>
      </c>
      <c r="C1103" t="s">
        <v>5</v>
      </c>
      <c r="D1103">
        <v>32.896000000000001</v>
      </c>
    </row>
    <row r="1104" spans="2:4">
      <c r="B1104" s="3">
        <v>42919</v>
      </c>
      <c r="C1104" t="s">
        <v>3</v>
      </c>
      <c r="D1104">
        <v>215.148</v>
      </c>
    </row>
    <row r="1105" spans="2:4">
      <c r="B1105" s="3">
        <v>42919</v>
      </c>
      <c r="C1105" t="s">
        <v>5</v>
      </c>
      <c r="D1105">
        <v>30.96</v>
      </c>
    </row>
    <row r="1106" spans="2:4">
      <c r="B1106" s="3">
        <v>43077</v>
      </c>
      <c r="C1106" t="s">
        <v>5</v>
      </c>
      <c r="D1106">
        <v>29.79</v>
      </c>
    </row>
    <row r="1107" spans="2:4">
      <c r="B1107" s="3">
        <v>43077</v>
      </c>
      <c r="C1107" t="s">
        <v>3</v>
      </c>
      <c r="D1107">
        <v>128.9</v>
      </c>
    </row>
    <row r="1108" spans="2:4">
      <c r="B1108" s="3">
        <v>43077</v>
      </c>
      <c r="C1108" t="s">
        <v>5</v>
      </c>
      <c r="D1108">
        <v>60.12</v>
      </c>
    </row>
    <row r="1109" spans="2:4">
      <c r="B1109" s="3">
        <v>43074</v>
      </c>
      <c r="C1109" t="s">
        <v>5</v>
      </c>
      <c r="D1109">
        <v>24.816000000000003</v>
      </c>
    </row>
    <row r="1110" spans="2:4">
      <c r="B1110" s="3">
        <v>43074</v>
      </c>
      <c r="C1110" t="s">
        <v>5</v>
      </c>
      <c r="D1110">
        <v>14.976000000000003</v>
      </c>
    </row>
    <row r="1111" spans="2:4">
      <c r="B1111" s="3">
        <v>43038</v>
      </c>
      <c r="C1111" t="s">
        <v>3</v>
      </c>
      <c r="D1111">
        <v>16.192</v>
      </c>
    </row>
    <row r="1112" spans="2:4">
      <c r="B1112" s="3">
        <v>43038</v>
      </c>
      <c r="C1112" t="s">
        <v>3</v>
      </c>
      <c r="D1112">
        <v>251.00599999999997</v>
      </c>
    </row>
    <row r="1113" spans="2:4">
      <c r="B1113" s="3">
        <v>43038</v>
      </c>
      <c r="C1113" t="s">
        <v>5</v>
      </c>
      <c r="D1113">
        <v>54.192</v>
      </c>
    </row>
    <row r="1114" spans="2:4">
      <c r="B1114" s="3">
        <v>43058</v>
      </c>
      <c r="C1114" t="s">
        <v>5</v>
      </c>
      <c r="D1114">
        <v>16.740000000000002</v>
      </c>
    </row>
    <row r="1115" spans="2:4">
      <c r="B1115" s="3">
        <v>43058</v>
      </c>
      <c r="C1115" t="s">
        <v>5</v>
      </c>
      <c r="D1115">
        <v>2504.7399999999998</v>
      </c>
    </row>
    <row r="1116" spans="2:4">
      <c r="B1116" s="3">
        <v>42897</v>
      </c>
      <c r="C1116" t="s">
        <v>5</v>
      </c>
      <c r="D1116">
        <v>3.76</v>
      </c>
    </row>
    <row r="1117" spans="2:4">
      <c r="B1117" s="3">
        <v>42994</v>
      </c>
      <c r="C1117" t="s">
        <v>4</v>
      </c>
      <c r="D1117">
        <v>71.975999999999999</v>
      </c>
    </row>
    <row r="1118" spans="2:4">
      <c r="B1118" s="3">
        <v>42994</v>
      </c>
      <c r="C1118" t="s">
        <v>3</v>
      </c>
      <c r="D1118">
        <v>22.512000000000004</v>
      </c>
    </row>
    <row r="1119" spans="2:4">
      <c r="B1119" s="3">
        <v>42994</v>
      </c>
      <c r="C1119" t="s">
        <v>5</v>
      </c>
      <c r="D1119">
        <v>3.4440000000000008</v>
      </c>
    </row>
    <row r="1120" spans="2:4">
      <c r="B1120" s="3">
        <v>42994</v>
      </c>
      <c r="C1120" t="s">
        <v>5</v>
      </c>
      <c r="D1120">
        <v>538.19400000000007</v>
      </c>
    </row>
    <row r="1121" spans="2:4">
      <c r="B1121" s="3">
        <v>42994</v>
      </c>
      <c r="C1121" t="s">
        <v>4</v>
      </c>
      <c r="D1121">
        <v>47.984000000000002</v>
      </c>
    </row>
    <row r="1122" spans="2:4">
      <c r="B1122" s="3">
        <v>43044</v>
      </c>
      <c r="C1122" t="s">
        <v>4</v>
      </c>
      <c r="D1122">
        <v>492.76800000000003</v>
      </c>
    </row>
    <row r="1123" spans="2:4">
      <c r="B1123" s="3">
        <v>43072</v>
      </c>
      <c r="C1123" t="s">
        <v>4</v>
      </c>
      <c r="D1123">
        <v>47.992000000000004</v>
      </c>
    </row>
    <row r="1124" spans="2:4">
      <c r="B1124" s="3">
        <v>43051</v>
      </c>
      <c r="C1124" t="s">
        <v>5</v>
      </c>
      <c r="D1124">
        <v>10.848000000000001</v>
      </c>
    </row>
    <row r="1125" spans="2:4">
      <c r="B1125" s="3">
        <v>43051</v>
      </c>
      <c r="C1125" t="s">
        <v>4</v>
      </c>
      <c r="D1125">
        <v>18.544</v>
      </c>
    </row>
    <row r="1126" spans="2:4">
      <c r="B1126" s="3">
        <v>42797</v>
      </c>
      <c r="C1126" t="s">
        <v>3</v>
      </c>
      <c r="D1126">
        <v>180.98</v>
      </c>
    </row>
    <row r="1127" spans="2:4">
      <c r="B1127" s="3">
        <v>42797</v>
      </c>
      <c r="C1127" t="s">
        <v>4</v>
      </c>
      <c r="D1127">
        <v>99.98</v>
      </c>
    </row>
    <row r="1128" spans="2:4">
      <c r="B1128" s="3">
        <v>42983</v>
      </c>
      <c r="C1128" t="s">
        <v>5</v>
      </c>
      <c r="D1128">
        <v>147.184</v>
      </c>
    </row>
    <row r="1129" spans="2:4">
      <c r="B1129" s="3">
        <v>43002</v>
      </c>
      <c r="C1129" t="s">
        <v>4</v>
      </c>
      <c r="D1129">
        <v>72</v>
      </c>
    </row>
    <row r="1130" spans="2:4">
      <c r="B1130" s="3">
        <v>43002</v>
      </c>
      <c r="C1130" t="s">
        <v>4</v>
      </c>
      <c r="D1130">
        <v>655.90000000000009</v>
      </c>
    </row>
    <row r="1131" spans="2:4">
      <c r="B1131" s="3">
        <v>43002</v>
      </c>
      <c r="C1131" t="s">
        <v>3</v>
      </c>
      <c r="D1131">
        <v>603.91999999999996</v>
      </c>
    </row>
    <row r="1132" spans="2:4">
      <c r="B1132" s="3">
        <v>42835</v>
      </c>
      <c r="C1132" t="s">
        <v>5</v>
      </c>
      <c r="D1132">
        <v>10.368000000000002</v>
      </c>
    </row>
    <row r="1133" spans="2:4">
      <c r="B1133" s="3">
        <v>42835</v>
      </c>
      <c r="C1133" t="s">
        <v>4</v>
      </c>
      <c r="D1133">
        <v>95.736000000000004</v>
      </c>
    </row>
    <row r="1134" spans="2:4">
      <c r="B1134" s="3">
        <v>42982</v>
      </c>
      <c r="C1134" t="s">
        <v>3</v>
      </c>
      <c r="D1134">
        <v>825.17399999999998</v>
      </c>
    </row>
    <row r="1135" spans="2:4">
      <c r="B1135" s="3">
        <v>42982</v>
      </c>
      <c r="C1135" t="s">
        <v>5</v>
      </c>
      <c r="D1135">
        <v>17.760000000000002</v>
      </c>
    </row>
    <row r="1136" spans="2:4">
      <c r="B1136" s="3">
        <v>42982</v>
      </c>
      <c r="C1136" t="s">
        <v>5</v>
      </c>
      <c r="D1136">
        <v>6.911999999999999</v>
      </c>
    </row>
    <row r="1137" spans="2:4">
      <c r="B1137" s="3">
        <v>43079</v>
      </c>
      <c r="C1137" t="s">
        <v>4</v>
      </c>
      <c r="D1137">
        <v>599.97</v>
      </c>
    </row>
    <row r="1138" spans="2:4">
      <c r="B1138" s="3">
        <v>43079</v>
      </c>
      <c r="C1138" t="s">
        <v>4</v>
      </c>
      <c r="D1138">
        <v>38.97</v>
      </c>
    </row>
    <row r="1139" spans="2:4">
      <c r="B1139" s="3">
        <v>43079</v>
      </c>
      <c r="C1139" t="s">
        <v>5</v>
      </c>
      <c r="D1139">
        <v>45.84</v>
      </c>
    </row>
    <row r="1140" spans="2:4">
      <c r="B1140" s="3">
        <v>43092</v>
      </c>
      <c r="C1140" t="s">
        <v>5</v>
      </c>
      <c r="D1140">
        <v>28.672000000000004</v>
      </c>
    </row>
    <row r="1141" spans="2:4">
      <c r="B1141" s="3">
        <v>43092</v>
      </c>
      <c r="C1141" t="s">
        <v>5</v>
      </c>
      <c r="D1141">
        <v>29.311999999999994</v>
      </c>
    </row>
    <row r="1142" spans="2:4">
      <c r="B1142" s="3">
        <v>43038</v>
      </c>
      <c r="C1142" t="s">
        <v>5</v>
      </c>
      <c r="D1142">
        <v>105.98</v>
      </c>
    </row>
    <row r="1143" spans="2:4">
      <c r="B1143" s="3">
        <v>43038</v>
      </c>
      <c r="C1143" t="s">
        <v>5</v>
      </c>
      <c r="D1143">
        <v>35.06</v>
      </c>
    </row>
    <row r="1144" spans="2:4">
      <c r="B1144" s="3">
        <v>43038</v>
      </c>
      <c r="C1144" t="s">
        <v>3</v>
      </c>
      <c r="D1144">
        <v>33.94</v>
      </c>
    </row>
    <row r="1145" spans="2:4">
      <c r="B1145" s="3">
        <v>43038</v>
      </c>
      <c r="C1145" t="s">
        <v>5</v>
      </c>
      <c r="D1145">
        <v>30</v>
      </c>
    </row>
    <row r="1146" spans="2:4">
      <c r="B1146" s="3">
        <v>43062</v>
      </c>
      <c r="C1146" t="s">
        <v>5</v>
      </c>
      <c r="D1146">
        <v>7.4760000000000018</v>
      </c>
    </row>
    <row r="1147" spans="2:4">
      <c r="B1147" s="3">
        <v>43070</v>
      </c>
      <c r="C1147" t="s">
        <v>5</v>
      </c>
      <c r="D1147">
        <v>45.36</v>
      </c>
    </row>
    <row r="1148" spans="2:4">
      <c r="B1148" s="3">
        <v>43070</v>
      </c>
      <c r="C1148" t="s">
        <v>5</v>
      </c>
      <c r="D1148">
        <v>10.128</v>
      </c>
    </row>
    <row r="1149" spans="2:4">
      <c r="B1149" s="3">
        <v>43046</v>
      </c>
      <c r="C1149" t="s">
        <v>5</v>
      </c>
      <c r="D1149">
        <v>21.792000000000002</v>
      </c>
    </row>
    <row r="1150" spans="2:4">
      <c r="B1150" s="3">
        <v>43046</v>
      </c>
      <c r="C1150" t="s">
        <v>4</v>
      </c>
      <c r="D1150">
        <v>439.8</v>
      </c>
    </row>
    <row r="1151" spans="2:4">
      <c r="B1151" s="3">
        <v>42982</v>
      </c>
      <c r="C1151" t="s">
        <v>5</v>
      </c>
      <c r="D1151">
        <v>8.2560000000000002</v>
      </c>
    </row>
    <row r="1152" spans="2:4">
      <c r="B1152" s="3">
        <v>42982</v>
      </c>
      <c r="C1152" t="s">
        <v>5</v>
      </c>
      <c r="D1152">
        <v>25.560000000000002</v>
      </c>
    </row>
    <row r="1153" spans="2:4">
      <c r="B1153" s="3">
        <v>42982</v>
      </c>
      <c r="C1153" t="s">
        <v>5</v>
      </c>
      <c r="D1153">
        <v>4.3680000000000012</v>
      </c>
    </row>
    <row r="1154" spans="2:4">
      <c r="B1154" s="3">
        <v>42982</v>
      </c>
      <c r="C1154" t="s">
        <v>5</v>
      </c>
      <c r="D1154">
        <v>11.520000000000001</v>
      </c>
    </row>
    <row r="1155" spans="2:4">
      <c r="B1155" s="3">
        <v>42985</v>
      </c>
      <c r="C1155" t="s">
        <v>5</v>
      </c>
      <c r="D1155">
        <v>1577.94</v>
      </c>
    </row>
    <row r="1156" spans="2:4">
      <c r="B1156" s="3">
        <v>42919</v>
      </c>
      <c r="C1156" t="s">
        <v>4</v>
      </c>
      <c r="D1156">
        <v>59.98</v>
      </c>
    </row>
    <row r="1157" spans="2:4">
      <c r="B1157" s="3">
        <v>42919</v>
      </c>
      <c r="C1157" t="s">
        <v>4</v>
      </c>
      <c r="D1157">
        <v>2395.2000000000003</v>
      </c>
    </row>
    <row r="1158" spans="2:4">
      <c r="B1158" s="3">
        <v>42919</v>
      </c>
      <c r="C1158" t="s">
        <v>4</v>
      </c>
      <c r="D1158">
        <v>1687.8</v>
      </c>
    </row>
    <row r="1159" spans="2:4">
      <c r="B1159" s="3">
        <v>42919</v>
      </c>
      <c r="C1159" t="s">
        <v>4</v>
      </c>
      <c r="D1159">
        <v>7.9920000000000009</v>
      </c>
    </row>
    <row r="1160" spans="2:4">
      <c r="B1160" s="3">
        <v>42915</v>
      </c>
      <c r="C1160" t="s">
        <v>5</v>
      </c>
      <c r="D1160">
        <v>5.1840000000000011</v>
      </c>
    </row>
    <row r="1161" spans="2:4">
      <c r="B1161" s="3">
        <v>42954</v>
      </c>
      <c r="C1161" t="s">
        <v>5</v>
      </c>
      <c r="D1161">
        <v>11.68</v>
      </c>
    </row>
    <row r="1162" spans="2:4">
      <c r="B1162" s="3">
        <v>42954</v>
      </c>
      <c r="C1162" t="s">
        <v>5</v>
      </c>
      <c r="D1162">
        <v>104.80000000000001</v>
      </c>
    </row>
    <row r="1163" spans="2:4">
      <c r="B1163" s="3">
        <v>43009</v>
      </c>
      <c r="C1163" t="s">
        <v>5</v>
      </c>
      <c r="D1163">
        <v>104.85</v>
      </c>
    </row>
    <row r="1164" spans="2:4">
      <c r="B1164" s="3">
        <v>42981</v>
      </c>
      <c r="C1164" t="s">
        <v>5</v>
      </c>
      <c r="D1164">
        <v>5.96</v>
      </c>
    </row>
    <row r="1165" spans="2:4">
      <c r="B1165" s="3">
        <v>43002</v>
      </c>
      <c r="C1165" t="s">
        <v>4</v>
      </c>
      <c r="D1165">
        <v>1169.694</v>
      </c>
    </row>
    <row r="1166" spans="2:4">
      <c r="B1166" s="3">
        <v>43088</v>
      </c>
      <c r="C1166" t="s">
        <v>5</v>
      </c>
      <c r="D1166">
        <v>1665.62</v>
      </c>
    </row>
    <row r="1167" spans="2:4">
      <c r="B1167" s="3">
        <v>43063</v>
      </c>
      <c r="C1167" t="s">
        <v>5</v>
      </c>
      <c r="D1167">
        <v>2.88</v>
      </c>
    </row>
    <row r="1168" spans="2:4">
      <c r="B1168" s="3">
        <v>43063</v>
      </c>
      <c r="C1168" t="s">
        <v>5</v>
      </c>
      <c r="D1168">
        <v>1443.96</v>
      </c>
    </row>
    <row r="1169" spans="2:4">
      <c r="B1169" s="3">
        <v>43078</v>
      </c>
      <c r="C1169" t="s">
        <v>5</v>
      </c>
      <c r="D1169">
        <v>2.6240000000000001</v>
      </c>
    </row>
    <row r="1170" spans="2:4">
      <c r="B1170" s="3">
        <v>42912</v>
      </c>
      <c r="C1170" t="s">
        <v>4</v>
      </c>
      <c r="D1170">
        <v>431.92800000000005</v>
      </c>
    </row>
    <row r="1171" spans="2:4">
      <c r="B1171" s="3">
        <v>42968</v>
      </c>
      <c r="C1171" t="s">
        <v>5</v>
      </c>
      <c r="D1171">
        <v>277.39999999999998</v>
      </c>
    </row>
    <row r="1172" spans="2:4">
      <c r="B1172" s="3">
        <v>42968</v>
      </c>
      <c r="C1172" t="s">
        <v>3</v>
      </c>
      <c r="D1172">
        <v>25.16</v>
      </c>
    </row>
    <row r="1173" spans="2:4">
      <c r="B1173" s="3">
        <v>42968</v>
      </c>
      <c r="C1173" t="s">
        <v>3</v>
      </c>
      <c r="D1173">
        <v>91.92</v>
      </c>
    </row>
    <row r="1174" spans="2:4">
      <c r="B1174" s="3">
        <v>43058</v>
      </c>
      <c r="C1174" t="s">
        <v>3</v>
      </c>
      <c r="D1174">
        <v>718.11599999999987</v>
      </c>
    </row>
    <row r="1175" spans="2:4">
      <c r="B1175" s="3">
        <v>43058</v>
      </c>
      <c r="C1175" t="s">
        <v>5</v>
      </c>
      <c r="D1175">
        <v>31.776</v>
      </c>
    </row>
    <row r="1176" spans="2:4">
      <c r="B1176" s="3">
        <v>42982</v>
      </c>
      <c r="C1176" t="s">
        <v>5</v>
      </c>
      <c r="D1176">
        <v>487.98400000000004</v>
      </c>
    </row>
    <row r="1177" spans="2:4">
      <c r="B1177" s="3">
        <v>42982</v>
      </c>
      <c r="C1177" t="s">
        <v>4</v>
      </c>
      <c r="D1177">
        <v>5.5600000000000005</v>
      </c>
    </row>
    <row r="1178" spans="2:4">
      <c r="B1178" s="3">
        <v>42982</v>
      </c>
      <c r="C1178" t="s">
        <v>5</v>
      </c>
      <c r="D1178">
        <v>217.85</v>
      </c>
    </row>
    <row r="1179" spans="2:4">
      <c r="B1179" s="3">
        <v>42874</v>
      </c>
      <c r="C1179" t="s">
        <v>3</v>
      </c>
      <c r="D1179">
        <v>681.40800000000013</v>
      </c>
    </row>
    <row r="1180" spans="2:4">
      <c r="B1180" s="3">
        <v>42874</v>
      </c>
      <c r="C1180" t="s">
        <v>5</v>
      </c>
      <c r="D1180">
        <v>3.52</v>
      </c>
    </row>
    <row r="1181" spans="2:4">
      <c r="B1181" s="3">
        <v>42874</v>
      </c>
      <c r="C1181" t="s">
        <v>5</v>
      </c>
      <c r="D1181">
        <v>5.58</v>
      </c>
    </row>
    <row r="1182" spans="2:4">
      <c r="B1182" s="3">
        <v>42874</v>
      </c>
      <c r="C1182" t="s">
        <v>4</v>
      </c>
      <c r="D1182">
        <v>36.32</v>
      </c>
    </row>
    <row r="1183" spans="2:4">
      <c r="B1183" s="3">
        <v>43065</v>
      </c>
      <c r="C1183" t="s">
        <v>5</v>
      </c>
      <c r="D1183">
        <v>52.272000000000006</v>
      </c>
    </row>
    <row r="1184" spans="2:4">
      <c r="B1184" s="3">
        <v>43065</v>
      </c>
      <c r="C1184" t="s">
        <v>5</v>
      </c>
      <c r="D1184">
        <v>213.13600000000002</v>
      </c>
    </row>
    <row r="1185" spans="2:4">
      <c r="B1185" s="3">
        <v>42858</v>
      </c>
      <c r="C1185" t="s">
        <v>5</v>
      </c>
      <c r="D1185">
        <v>69.52</v>
      </c>
    </row>
    <row r="1186" spans="2:4">
      <c r="B1186" s="3">
        <v>42858</v>
      </c>
      <c r="C1186" t="s">
        <v>5</v>
      </c>
      <c r="D1186">
        <v>763.44</v>
      </c>
    </row>
    <row r="1187" spans="2:4">
      <c r="B1187" s="3">
        <v>43078</v>
      </c>
      <c r="C1187" t="s">
        <v>4</v>
      </c>
      <c r="D1187">
        <v>104.88</v>
      </c>
    </row>
    <row r="1188" spans="2:4">
      <c r="B1188" s="3">
        <v>43078</v>
      </c>
      <c r="C1188" t="s">
        <v>5</v>
      </c>
      <c r="D1188">
        <v>34.700000000000003</v>
      </c>
    </row>
    <row r="1189" spans="2:4">
      <c r="B1189" s="3">
        <v>43078</v>
      </c>
      <c r="C1189" t="s">
        <v>5</v>
      </c>
      <c r="D1189">
        <v>33.72</v>
      </c>
    </row>
    <row r="1190" spans="2:4">
      <c r="B1190" s="3">
        <v>43078</v>
      </c>
      <c r="C1190" t="s">
        <v>5</v>
      </c>
      <c r="D1190">
        <v>14.940000000000001</v>
      </c>
    </row>
    <row r="1191" spans="2:4">
      <c r="B1191" s="3">
        <v>42978</v>
      </c>
      <c r="C1191" t="s">
        <v>5</v>
      </c>
      <c r="D1191">
        <v>638.73</v>
      </c>
    </row>
    <row r="1192" spans="2:4">
      <c r="B1192" s="3">
        <v>42849</v>
      </c>
      <c r="C1192" t="s">
        <v>5</v>
      </c>
      <c r="D1192">
        <v>113.56800000000001</v>
      </c>
    </row>
    <row r="1193" spans="2:4">
      <c r="B1193" s="3">
        <v>42986</v>
      </c>
      <c r="C1193" t="s">
        <v>4</v>
      </c>
      <c r="D1193">
        <v>9.0960000000000001</v>
      </c>
    </row>
    <row r="1194" spans="2:4">
      <c r="B1194" s="3">
        <v>42919</v>
      </c>
      <c r="C1194" t="s">
        <v>4</v>
      </c>
      <c r="D1194">
        <v>258.89999999999998</v>
      </c>
    </row>
    <row r="1195" spans="2:4">
      <c r="B1195" s="3">
        <v>42919</v>
      </c>
      <c r="C1195" t="s">
        <v>5</v>
      </c>
      <c r="D1195">
        <v>24.56</v>
      </c>
    </row>
    <row r="1196" spans="2:4">
      <c r="B1196" s="3">
        <v>43045</v>
      </c>
      <c r="C1196" t="s">
        <v>3</v>
      </c>
      <c r="D1196">
        <v>127.372</v>
      </c>
    </row>
    <row r="1197" spans="2:4">
      <c r="B1197" s="3">
        <v>43045</v>
      </c>
      <c r="C1197" t="s">
        <v>5</v>
      </c>
      <c r="D1197">
        <v>47.952000000000005</v>
      </c>
    </row>
    <row r="1198" spans="2:4">
      <c r="B1198" s="3">
        <v>42888</v>
      </c>
      <c r="C1198" t="s">
        <v>5</v>
      </c>
      <c r="D1198">
        <v>25.344000000000001</v>
      </c>
    </row>
    <row r="1199" spans="2:4">
      <c r="B1199" s="3">
        <v>42888</v>
      </c>
      <c r="C1199" t="s">
        <v>5</v>
      </c>
      <c r="D1199">
        <v>43.92</v>
      </c>
    </row>
    <row r="1200" spans="2:4">
      <c r="B1200" s="3">
        <v>43052</v>
      </c>
      <c r="C1200" t="s">
        <v>4</v>
      </c>
      <c r="D1200">
        <v>163.96</v>
      </c>
    </row>
    <row r="1201" spans="2:4">
      <c r="B1201" s="3">
        <v>43093</v>
      </c>
      <c r="C1201" t="s">
        <v>3</v>
      </c>
      <c r="D1201">
        <v>37.93</v>
      </c>
    </row>
    <row r="1202" spans="2:4">
      <c r="B1202" s="3">
        <v>42812</v>
      </c>
      <c r="C1202" t="s">
        <v>5</v>
      </c>
      <c r="D1202">
        <v>23.832000000000001</v>
      </c>
    </row>
    <row r="1203" spans="2:4">
      <c r="B1203" s="3">
        <v>43023</v>
      </c>
      <c r="C1203" t="s">
        <v>3</v>
      </c>
      <c r="D1203">
        <v>510.24</v>
      </c>
    </row>
    <row r="1204" spans="2:4">
      <c r="B1204" s="3">
        <v>43023</v>
      </c>
      <c r="C1204" t="s">
        <v>5</v>
      </c>
      <c r="D1204">
        <v>204.95000000000002</v>
      </c>
    </row>
    <row r="1205" spans="2:4">
      <c r="B1205" s="3">
        <v>42846</v>
      </c>
      <c r="C1205" t="s">
        <v>4</v>
      </c>
      <c r="D1205">
        <v>11.54</v>
      </c>
    </row>
    <row r="1206" spans="2:4">
      <c r="B1206" s="3">
        <v>42846</v>
      </c>
      <c r="C1206" t="s">
        <v>3</v>
      </c>
      <c r="D1206">
        <v>162.60000000000002</v>
      </c>
    </row>
    <row r="1207" spans="2:4">
      <c r="B1207" s="3">
        <v>42884</v>
      </c>
      <c r="C1207" t="s">
        <v>5</v>
      </c>
      <c r="D1207">
        <v>23.55</v>
      </c>
    </row>
    <row r="1208" spans="2:4">
      <c r="B1208" s="3">
        <v>43061</v>
      </c>
      <c r="C1208" t="s">
        <v>5</v>
      </c>
      <c r="D1208">
        <v>35.712000000000003</v>
      </c>
    </row>
    <row r="1209" spans="2:4">
      <c r="B1209" s="3">
        <v>42828</v>
      </c>
      <c r="C1209" t="s">
        <v>5</v>
      </c>
      <c r="D1209">
        <v>7.0559999999999992</v>
      </c>
    </row>
    <row r="1210" spans="2:4">
      <c r="B1210" s="3">
        <v>42800</v>
      </c>
      <c r="C1210" t="s">
        <v>5</v>
      </c>
      <c r="D1210">
        <v>26.38</v>
      </c>
    </row>
    <row r="1211" spans="2:4">
      <c r="B1211" s="3">
        <v>42800</v>
      </c>
      <c r="C1211" t="s">
        <v>3</v>
      </c>
      <c r="D1211">
        <v>71.97</v>
      </c>
    </row>
    <row r="1212" spans="2:4">
      <c r="B1212" s="3">
        <v>42974</v>
      </c>
      <c r="C1212" t="s">
        <v>3</v>
      </c>
      <c r="D1212">
        <v>198.46</v>
      </c>
    </row>
    <row r="1213" spans="2:4">
      <c r="B1213" s="3">
        <v>42974</v>
      </c>
      <c r="C1213" t="s">
        <v>5</v>
      </c>
      <c r="D1213">
        <v>321.92</v>
      </c>
    </row>
    <row r="1214" spans="2:4">
      <c r="B1214" s="3">
        <v>42974</v>
      </c>
      <c r="C1214" t="s">
        <v>4</v>
      </c>
      <c r="D1214">
        <v>879.98400000000004</v>
      </c>
    </row>
    <row r="1215" spans="2:4">
      <c r="B1215" s="3">
        <v>42974</v>
      </c>
      <c r="C1215" t="s">
        <v>5</v>
      </c>
      <c r="D1215">
        <v>28.4</v>
      </c>
    </row>
    <row r="1216" spans="2:4">
      <c r="B1216" s="3">
        <v>42974</v>
      </c>
      <c r="C1216" t="s">
        <v>3</v>
      </c>
      <c r="D1216">
        <v>230.28000000000003</v>
      </c>
    </row>
    <row r="1217" spans="2:4">
      <c r="B1217" s="3">
        <v>42974</v>
      </c>
      <c r="C1217" t="s">
        <v>5</v>
      </c>
      <c r="D1217">
        <v>116.28</v>
      </c>
    </row>
    <row r="1218" spans="2:4">
      <c r="B1218" s="3">
        <v>42974</v>
      </c>
      <c r="C1218" t="s">
        <v>5</v>
      </c>
      <c r="D1218">
        <v>841.5680000000001</v>
      </c>
    </row>
    <row r="1219" spans="2:4">
      <c r="B1219" s="3">
        <v>42974</v>
      </c>
      <c r="C1219" t="s">
        <v>5</v>
      </c>
      <c r="D1219">
        <v>354.90000000000003</v>
      </c>
    </row>
    <row r="1220" spans="2:4">
      <c r="B1220" s="3">
        <v>42867</v>
      </c>
      <c r="C1220" t="s">
        <v>5</v>
      </c>
      <c r="D1220">
        <v>87.6</v>
      </c>
    </row>
    <row r="1221" spans="2:4">
      <c r="B1221" s="3">
        <v>42791</v>
      </c>
      <c r="C1221" t="s">
        <v>5</v>
      </c>
      <c r="D1221">
        <v>1.7879999999999996</v>
      </c>
    </row>
    <row r="1222" spans="2:4">
      <c r="B1222" s="3">
        <v>43069</v>
      </c>
      <c r="C1222" t="s">
        <v>4</v>
      </c>
      <c r="D1222">
        <v>71.975999999999999</v>
      </c>
    </row>
    <row r="1223" spans="2:4">
      <c r="B1223" s="3">
        <v>42782</v>
      </c>
      <c r="C1223" t="s">
        <v>5</v>
      </c>
      <c r="D1223">
        <v>37.94</v>
      </c>
    </row>
    <row r="1224" spans="2:4">
      <c r="B1224" s="3">
        <v>43052</v>
      </c>
      <c r="C1224" t="s">
        <v>5</v>
      </c>
      <c r="D1224">
        <v>8.9039999999999999</v>
      </c>
    </row>
    <row r="1225" spans="2:4">
      <c r="B1225" s="3">
        <v>43052</v>
      </c>
      <c r="C1225" t="s">
        <v>5</v>
      </c>
      <c r="D1225">
        <v>720.06400000000008</v>
      </c>
    </row>
    <row r="1226" spans="2:4">
      <c r="B1226" s="3">
        <v>42947</v>
      </c>
      <c r="C1226" t="s">
        <v>4</v>
      </c>
      <c r="D1226">
        <v>41.424000000000007</v>
      </c>
    </row>
    <row r="1227" spans="2:4">
      <c r="B1227" s="3">
        <v>43095</v>
      </c>
      <c r="C1227" t="s">
        <v>5</v>
      </c>
      <c r="D1227">
        <v>3.1320000000000001</v>
      </c>
    </row>
    <row r="1228" spans="2:4">
      <c r="B1228" s="3">
        <v>43001</v>
      </c>
      <c r="C1228" t="s">
        <v>5</v>
      </c>
      <c r="D1228">
        <v>251.64</v>
      </c>
    </row>
    <row r="1229" spans="2:4">
      <c r="B1229" s="3">
        <v>43043</v>
      </c>
      <c r="C1229" t="s">
        <v>3</v>
      </c>
      <c r="D1229">
        <v>523.76400000000001</v>
      </c>
    </row>
    <row r="1230" spans="2:4">
      <c r="B1230" s="3">
        <v>43043</v>
      </c>
      <c r="C1230" t="s">
        <v>4</v>
      </c>
      <c r="D1230">
        <v>1359.96</v>
      </c>
    </row>
    <row r="1231" spans="2:4">
      <c r="B1231" s="3">
        <v>42799</v>
      </c>
      <c r="C1231" t="s">
        <v>5</v>
      </c>
      <c r="D1231">
        <v>25.06</v>
      </c>
    </row>
    <row r="1232" spans="2:4">
      <c r="B1232" s="3">
        <v>43017</v>
      </c>
      <c r="C1232" t="s">
        <v>5</v>
      </c>
      <c r="D1232">
        <v>12.816000000000001</v>
      </c>
    </row>
    <row r="1233" spans="2:4">
      <c r="B1233" s="3">
        <v>43017</v>
      </c>
      <c r="C1233" t="s">
        <v>3</v>
      </c>
      <c r="D1233">
        <v>314.35199999999998</v>
      </c>
    </row>
    <row r="1234" spans="2:4">
      <c r="B1234" s="3">
        <v>43017</v>
      </c>
      <c r="C1234" t="s">
        <v>5</v>
      </c>
      <c r="D1234">
        <v>18.98</v>
      </c>
    </row>
    <row r="1235" spans="2:4">
      <c r="B1235" s="3">
        <v>43017</v>
      </c>
      <c r="C1235" t="s">
        <v>5</v>
      </c>
      <c r="D1235">
        <v>18.240000000000002</v>
      </c>
    </row>
    <row r="1236" spans="2:4">
      <c r="B1236" s="3">
        <v>42862</v>
      </c>
      <c r="C1236" t="s">
        <v>3</v>
      </c>
      <c r="D1236">
        <v>1458.65</v>
      </c>
    </row>
    <row r="1237" spans="2:4">
      <c r="B1237" s="3">
        <v>42862</v>
      </c>
      <c r="C1237" t="s">
        <v>3</v>
      </c>
      <c r="D1237">
        <v>26.64</v>
      </c>
    </row>
    <row r="1238" spans="2:4">
      <c r="B1238" s="3">
        <v>42862</v>
      </c>
      <c r="C1238" t="s">
        <v>3</v>
      </c>
      <c r="D1238">
        <v>476.8</v>
      </c>
    </row>
    <row r="1239" spans="2:4">
      <c r="B1239" s="3">
        <v>42862</v>
      </c>
      <c r="C1239" t="s">
        <v>5</v>
      </c>
      <c r="D1239">
        <v>87.444000000000003</v>
      </c>
    </row>
    <row r="1240" spans="2:4">
      <c r="B1240" s="3">
        <v>43064</v>
      </c>
      <c r="C1240" t="s">
        <v>5</v>
      </c>
      <c r="D1240">
        <v>501.81000000000006</v>
      </c>
    </row>
    <row r="1241" spans="2:4">
      <c r="B1241" s="3">
        <v>43000</v>
      </c>
      <c r="C1241" t="s">
        <v>5</v>
      </c>
      <c r="D1241">
        <v>691.96</v>
      </c>
    </row>
    <row r="1242" spans="2:4">
      <c r="B1242" s="3">
        <v>43000</v>
      </c>
      <c r="C1242" t="s">
        <v>4</v>
      </c>
      <c r="D1242">
        <v>34.950000000000003</v>
      </c>
    </row>
    <row r="1243" spans="2:4">
      <c r="B1243" s="3">
        <v>43065</v>
      </c>
      <c r="C1243" t="s">
        <v>5</v>
      </c>
      <c r="D1243">
        <v>33.567999999999991</v>
      </c>
    </row>
    <row r="1244" spans="2:4">
      <c r="B1244" s="3">
        <v>42892</v>
      </c>
      <c r="C1244" t="s">
        <v>3</v>
      </c>
      <c r="D1244">
        <v>4.95</v>
      </c>
    </row>
    <row r="1245" spans="2:4">
      <c r="B1245" s="3">
        <v>42892</v>
      </c>
      <c r="C1245" t="s">
        <v>5</v>
      </c>
      <c r="D1245">
        <v>26.400000000000002</v>
      </c>
    </row>
    <row r="1246" spans="2:4">
      <c r="B1246" s="3">
        <v>43031</v>
      </c>
      <c r="C1246" t="s">
        <v>5</v>
      </c>
      <c r="D1246">
        <v>3.5639999999999992</v>
      </c>
    </row>
    <row r="1247" spans="2:4">
      <c r="B1247" s="3">
        <v>43031</v>
      </c>
      <c r="C1247" t="s">
        <v>4</v>
      </c>
      <c r="D1247">
        <v>823.96000000000015</v>
      </c>
    </row>
    <row r="1248" spans="2:4">
      <c r="B1248" s="3">
        <v>43031</v>
      </c>
      <c r="C1248" t="s">
        <v>5</v>
      </c>
      <c r="D1248">
        <v>10.272000000000002</v>
      </c>
    </row>
    <row r="1249" spans="2:4">
      <c r="B1249" s="3">
        <v>42783</v>
      </c>
      <c r="C1249" t="s">
        <v>3</v>
      </c>
      <c r="D1249">
        <v>480.96</v>
      </c>
    </row>
    <row r="1250" spans="2:4">
      <c r="B1250" s="3">
        <v>42783</v>
      </c>
      <c r="C1250" t="s">
        <v>4</v>
      </c>
      <c r="D1250">
        <v>124.79200000000002</v>
      </c>
    </row>
    <row r="1251" spans="2:4">
      <c r="B1251" s="3">
        <v>43025</v>
      </c>
      <c r="C1251" t="s">
        <v>5</v>
      </c>
      <c r="D1251">
        <v>10.64</v>
      </c>
    </row>
    <row r="1252" spans="2:4">
      <c r="B1252" s="3">
        <v>42848</v>
      </c>
      <c r="C1252" t="s">
        <v>4</v>
      </c>
      <c r="D1252">
        <v>155.34</v>
      </c>
    </row>
    <row r="1253" spans="2:4">
      <c r="B1253" s="3">
        <v>42764</v>
      </c>
      <c r="C1253" t="s">
        <v>5</v>
      </c>
      <c r="D1253">
        <v>12.127999999999997</v>
      </c>
    </row>
    <row r="1254" spans="2:4">
      <c r="B1254" s="3">
        <v>42856</v>
      </c>
      <c r="C1254" t="s">
        <v>4</v>
      </c>
      <c r="D1254">
        <v>48.9</v>
      </c>
    </row>
    <row r="1255" spans="2:4">
      <c r="B1255" s="3">
        <v>43076</v>
      </c>
      <c r="C1255" t="s">
        <v>5</v>
      </c>
      <c r="D1255">
        <v>3.5519999999999996</v>
      </c>
    </row>
    <row r="1256" spans="2:4">
      <c r="B1256" s="3">
        <v>43076</v>
      </c>
      <c r="C1256" t="s">
        <v>5</v>
      </c>
      <c r="D1256">
        <v>15.552000000000003</v>
      </c>
    </row>
    <row r="1257" spans="2:4">
      <c r="B1257" s="3">
        <v>43069</v>
      </c>
      <c r="C1257" t="s">
        <v>5</v>
      </c>
      <c r="D1257">
        <v>2.3679999999999999</v>
      </c>
    </row>
    <row r="1258" spans="2:4">
      <c r="B1258" s="3">
        <v>43076</v>
      </c>
      <c r="C1258" t="s">
        <v>4</v>
      </c>
      <c r="D1258">
        <v>127.98399999999999</v>
      </c>
    </row>
    <row r="1259" spans="2:4">
      <c r="B1259" s="3">
        <v>42891</v>
      </c>
      <c r="C1259" t="s">
        <v>4</v>
      </c>
      <c r="D1259">
        <v>470.37600000000009</v>
      </c>
    </row>
    <row r="1260" spans="2:4">
      <c r="B1260" s="3">
        <v>42996</v>
      </c>
      <c r="C1260" t="s">
        <v>5</v>
      </c>
      <c r="D1260">
        <v>19.440000000000001</v>
      </c>
    </row>
    <row r="1261" spans="2:4">
      <c r="B1261" s="3">
        <v>42996</v>
      </c>
      <c r="C1261" t="s">
        <v>3</v>
      </c>
      <c r="D1261">
        <v>9.82</v>
      </c>
    </row>
    <row r="1262" spans="2:4">
      <c r="B1262" s="3">
        <v>42934</v>
      </c>
      <c r="C1262" t="s">
        <v>3</v>
      </c>
      <c r="D1262">
        <v>801.59999999999991</v>
      </c>
    </row>
    <row r="1263" spans="2:4">
      <c r="B1263" s="3">
        <v>42934</v>
      </c>
      <c r="C1263" t="s">
        <v>3</v>
      </c>
      <c r="D1263">
        <v>161.56800000000001</v>
      </c>
    </row>
    <row r="1264" spans="2:4">
      <c r="B1264" s="3">
        <v>42934</v>
      </c>
      <c r="C1264" t="s">
        <v>5</v>
      </c>
      <c r="D1264">
        <v>16.096</v>
      </c>
    </row>
    <row r="1265" spans="2:4">
      <c r="B1265" s="3">
        <v>42934</v>
      </c>
      <c r="C1265" t="s">
        <v>5</v>
      </c>
      <c r="D1265">
        <v>7.6560000000000006</v>
      </c>
    </row>
    <row r="1266" spans="2:4">
      <c r="B1266" s="3">
        <v>42934</v>
      </c>
      <c r="C1266" t="s">
        <v>3</v>
      </c>
      <c r="D1266">
        <v>311.97600000000006</v>
      </c>
    </row>
    <row r="1267" spans="2:4">
      <c r="B1267" s="3">
        <v>42975</v>
      </c>
      <c r="C1267" t="s">
        <v>5</v>
      </c>
      <c r="D1267">
        <v>25.344000000000001</v>
      </c>
    </row>
    <row r="1268" spans="2:4">
      <c r="B1268" s="3">
        <v>42975</v>
      </c>
      <c r="C1268" t="s">
        <v>5</v>
      </c>
      <c r="D1268">
        <v>26.720000000000002</v>
      </c>
    </row>
    <row r="1269" spans="2:4">
      <c r="B1269" s="3">
        <v>42980</v>
      </c>
      <c r="C1269" t="s">
        <v>5</v>
      </c>
      <c r="D1269">
        <v>9.3999999999999986</v>
      </c>
    </row>
    <row r="1270" spans="2:4">
      <c r="B1270" s="3">
        <v>42980</v>
      </c>
      <c r="C1270" t="s">
        <v>5</v>
      </c>
      <c r="D1270">
        <v>74</v>
      </c>
    </row>
    <row r="1271" spans="2:4">
      <c r="B1271" s="3">
        <v>42980</v>
      </c>
      <c r="C1271" t="s">
        <v>4</v>
      </c>
      <c r="D1271">
        <v>201.584</v>
      </c>
    </row>
    <row r="1272" spans="2:4">
      <c r="B1272" s="3">
        <v>42873</v>
      </c>
      <c r="C1272" t="s">
        <v>3</v>
      </c>
      <c r="D1272">
        <v>14.56</v>
      </c>
    </row>
    <row r="1273" spans="2:4">
      <c r="B1273" s="3">
        <v>42873</v>
      </c>
      <c r="C1273" t="s">
        <v>5</v>
      </c>
      <c r="D1273">
        <v>3.048</v>
      </c>
    </row>
    <row r="1274" spans="2:4">
      <c r="B1274" s="3">
        <v>42882</v>
      </c>
      <c r="C1274" t="s">
        <v>5</v>
      </c>
      <c r="D1274">
        <v>25.920000000000005</v>
      </c>
    </row>
    <row r="1275" spans="2:4">
      <c r="B1275" s="3">
        <v>43057</v>
      </c>
      <c r="C1275" t="s">
        <v>5</v>
      </c>
      <c r="D1275">
        <v>44.384</v>
      </c>
    </row>
    <row r="1276" spans="2:4">
      <c r="B1276" s="3">
        <v>43057</v>
      </c>
      <c r="C1276" t="s">
        <v>5</v>
      </c>
      <c r="D1276">
        <v>2.9440000000000004</v>
      </c>
    </row>
    <row r="1277" spans="2:4">
      <c r="B1277" s="3">
        <v>42750</v>
      </c>
      <c r="C1277" t="s">
        <v>5</v>
      </c>
      <c r="D1277">
        <v>12.7</v>
      </c>
    </row>
    <row r="1278" spans="2:4">
      <c r="B1278" s="3">
        <v>42785</v>
      </c>
      <c r="C1278" t="s">
        <v>5</v>
      </c>
      <c r="D1278">
        <v>12.84</v>
      </c>
    </row>
    <row r="1279" spans="2:4">
      <c r="B1279" s="3">
        <v>42785</v>
      </c>
      <c r="C1279" t="s">
        <v>3</v>
      </c>
      <c r="D1279">
        <v>44.67</v>
      </c>
    </row>
    <row r="1280" spans="2:4">
      <c r="B1280" s="3">
        <v>43010</v>
      </c>
      <c r="C1280" t="s">
        <v>5</v>
      </c>
      <c r="D1280">
        <v>8.94</v>
      </c>
    </row>
    <row r="1281" spans="2:4">
      <c r="B1281" s="3">
        <v>43010</v>
      </c>
      <c r="C1281" t="s">
        <v>4</v>
      </c>
      <c r="D1281">
        <v>84.784000000000006</v>
      </c>
    </row>
    <row r="1282" spans="2:4">
      <c r="B1282" s="3">
        <v>43084</v>
      </c>
      <c r="C1282" t="s">
        <v>3</v>
      </c>
      <c r="D1282">
        <v>22.77</v>
      </c>
    </row>
    <row r="1283" spans="2:4">
      <c r="B1283" s="3">
        <v>42833</v>
      </c>
      <c r="C1283" t="s">
        <v>5</v>
      </c>
      <c r="D1283">
        <v>2591.56</v>
      </c>
    </row>
    <row r="1284" spans="2:4">
      <c r="B1284" s="3">
        <v>42833</v>
      </c>
      <c r="C1284" t="s">
        <v>5</v>
      </c>
      <c r="D1284">
        <v>41.95</v>
      </c>
    </row>
    <row r="1285" spans="2:4">
      <c r="B1285" s="3">
        <v>42736</v>
      </c>
      <c r="C1285" t="s">
        <v>3</v>
      </c>
      <c r="D1285">
        <v>474.43</v>
      </c>
    </row>
    <row r="1286" spans="2:4">
      <c r="B1286" s="3">
        <v>43060</v>
      </c>
      <c r="C1286" t="s">
        <v>5</v>
      </c>
      <c r="D1286">
        <v>8.4480000000000004</v>
      </c>
    </row>
    <row r="1287" spans="2:4">
      <c r="B1287" s="3">
        <v>43060</v>
      </c>
      <c r="C1287" t="s">
        <v>5</v>
      </c>
      <c r="D1287">
        <v>39.295999999999999</v>
      </c>
    </row>
    <row r="1288" spans="2:4">
      <c r="B1288" s="3">
        <v>43035</v>
      </c>
      <c r="C1288" t="s">
        <v>3</v>
      </c>
      <c r="D1288">
        <v>556.66499999999996</v>
      </c>
    </row>
    <row r="1289" spans="2:4">
      <c r="B1289" s="3">
        <v>43035</v>
      </c>
      <c r="C1289" t="s">
        <v>4</v>
      </c>
      <c r="D1289">
        <v>95.84</v>
      </c>
    </row>
    <row r="1290" spans="2:4">
      <c r="B1290" s="3">
        <v>42958</v>
      </c>
      <c r="C1290" t="s">
        <v>5</v>
      </c>
      <c r="D1290">
        <v>29.664000000000001</v>
      </c>
    </row>
    <row r="1291" spans="2:4">
      <c r="B1291" s="3">
        <v>42958</v>
      </c>
      <c r="C1291" t="s">
        <v>5</v>
      </c>
      <c r="D1291">
        <v>9.1840000000000011</v>
      </c>
    </row>
    <row r="1292" spans="2:4">
      <c r="B1292" s="3">
        <v>42958</v>
      </c>
      <c r="C1292" t="s">
        <v>4</v>
      </c>
      <c r="D1292">
        <v>153.584</v>
      </c>
    </row>
    <row r="1293" spans="2:4">
      <c r="B1293" s="3">
        <v>42958</v>
      </c>
      <c r="C1293" t="s">
        <v>5</v>
      </c>
      <c r="D1293">
        <v>12.863999999999995</v>
      </c>
    </row>
    <row r="1294" spans="2:4">
      <c r="B1294" s="3">
        <v>43093</v>
      </c>
      <c r="C1294" t="s">
        <v>4</v>
      </c>
      <c r="D1294">
        <v>479.97</v>
      </c>
    </row>
    <row r="1295" spans="2:4">
      <c r="B1295" s="3">
        <v>43093</v>
      </c>
      <c r="C1295" t="s">
        <v>3</v>
      </c>
      <c r="D1295">
        <v>232.88</v>
      </c>
    </row>
    <row r="1296" spans="2:4">
      <c r="B1296" s="3">
        <v>43029</v>
      </c>
      <c r="C1296" t="s">
        <v>5</v>
      </c>
      <c r="D1296">
        <v>23.991999999999994</v>
      </c>
    </row>
    <row r="1297" spans="2:4">
      <c r="B1297" s="3">
        <v>42910</v>
      </c>
      <c r="C1297" t="s">
        <v>3</v>
      </c>
      <c r="D1297">
        <v>276.69</v>
      </c>
    </row>
    <row r="1298" spans="2:4">
      <c r="B1298" s="3">
        <v>42910</v>
      </c>
      <c r="C1298" t="s">
        <v>3</v>
      </c>
      <c r="D1298">
        <v>172.76400000000001</v>
      </c>
    </row>
    <row r="1299" spans="2:4">
      <c r="B1299" s="3">
        <v>43054</v>
      </c>
      <c r="C1299" t="s">
        <v>3</v>
      </c>
      <c r="D1299">
        <v>220.06399999999999</v>
      </c>
    </row>
    <row r="1300" spans="2:4">
      <c r="B1300" s="3">
        <v>43054</v>
      </c>
      <c r="C1300" t="s">
        <v>3</v>
      </c>
      <c r="D1300">
        <v>339.13600000000002</v>
      </c>
    </row>
    <row r="1301" spans="2:4">
      <c r="B1301" s="3">
        <v>42910</v>
      </c>
      <c r="C1301" t="s">
        <v>5</v>
      </c>
      <c r="D1301">
        <v>182.99399999999997</v>
      </c>
    </row>
    <row r="1302" spans="2:4">
      <c r="B1302" s="3">
        <v>42910</v>
      </c>
      <c r="C1302" t="s">
        <v>5</v>
      </c>
      <c r="D1302">
        <v>10.272000000000002</v>
      </c>
    </row>
    <row r="1303" spans="2:4">
      <c r="B1303" s="3">
        <v>42985</v>
      </c>
      <c r="C1303" t="s">
        <v>5</v>
      </c>
      <c r="D1303">
        <v>7.857000000000002</v>
      </c>
    </row>
    <row r="1304" spans="2:4">
      <c r="B1304" s="3">
        <v>42871</v>
      </c>
      <c r="C1304" t="s">
        <v>5</v>
      </c>
      <c r="D1304">
        <v>221.024</v>
      </c>
    </row>
    <row r="1305" spans="2:4">
      <c r="B1305" s="3">
        <v>42905</v>
      </c>
      <c r="C1305" t="s">
        <v>5</v>
      </c>
      <c r="D1305">
        <v>2.2639999999999993</v>
      </c>
    </row>
    <row r="1306" spans="2:4">
      <c r="B1306" s="3">
        <v>42905</v>
      </c>
      <c r="C1306" t="s">
        <v>5</v>
      </c>
      <c r="D1306">
        <v>0.44399999999999995</v>
      </c>
    </row>
    <row r="1307" spans="2:4">
      <c r="B1307" s="3">
        <v>42905</v>
      </c>
      <c r="C1307" t="s">
        <v>5</v>
      </c>
      <c r="D1307">
        <v>146.17600000000002</v>
      </c>
    </row>
    <row r="1308" spans="2:4">
      <c r="B1308" s="3">
        <v>43090</v>
      </c>
      <c r="C1308" t="s">
        <v>3</v>
      </c>
      <c r="D1308">
        <v>15.92</v>
      </c>
    </row>
    <row r="1309" spans="2:4">
      <c r="B1309" s="3">
        <v>42954</v>
      </c>
      <c r="C1309" t="s">
        <v>4</v>
      </c>
      <c r="D1309">
        <v>159.96000000000004</v>
      </c>
    </row>
    <row r="1310" spans="2:4">
      <c r="B1310" s="3">
        <v>42954</v>
      </c>
      <c r="C1310" t="s">
        <v>5</v>
      </c>
      <c r="D1310">
        <v>13.76</v>
      </c>
    </row>
    <row r="1311" spans="2:4">
      <c r="B1311" s="3">
        <v>42982</v>
      </c>
      <c r="C1311" t="s">
        <v>4</v>
      </c>
      <c r="D1311">
        <v>19.040000000000003</v>
      </c>
    </row>
    <row r="1312" spans="2:4">
      <c r="B1312" s="3">
        <v>42866</v>
      </c>
      <c r="C1312" t="s">
        <v>5</v>
      </c>
      <c r="D1312">
        <v>37.44</v>
      </c>
    </row>
    <row r="1313" spans="2:4">
      <c r="B1313" s="3">
        <v>42866</v>
      </c>
      <c r="C1313" t="s">
        <v>5</v>
      </c>
      <c r="D1313">
        <v>37.589999999999996</v>
      </c>
    </row>
    <row r="1314" spans="2:4">
      <c r="B1314" s="3">
        <v>42866</v>
      </c>
      <c r="C1314" t="s">
        <v>5</v>
      </c>
      <c r="D1314">
        <v>26.032</v>
      </c>
    </row>
    <row r="1315" spans="2:4">
      <c r="B1315" s="3">
        <v>42943</v>
      </c>
      <c r="C1315" t="s">
        <v>3</v>
      </c>
      <c r="D1315">
        <v>91.032000000000011</v>
      </c>
    </row>
    <row r="1316" spans="2:4">
      <c r="B1316" s="3">
        <v>42861</v>
      </c>
      <c r="C1316" t="s">
        <v>5</v>
      </c>
      <c r="D1316">
        <v>54.66</v>
      </c>
    </row>
    <row r="1317" spans="2:4">
      <c r="B1317" s="3">
        <v>43010</v>
      </c>
      <c r="C1317" t="s">
        <v>5</v>
      </c>
      <c r="D1317">
        <v>112.12000000000002</v>
      </c>
    </row>
    <row r="1318" spans="2:4">
      <c r="B1318" s="3">
        <v>43010</v>
      </c>
      <c r="C1318" t="s">
        <v>5</v>
      </c>
      <c r="D1318">
        <v>1575.14</v>
      </c>
    </row>
    <row r="1319" spans="2:4">
      <c r="B1319" s="3">
        <v>43058</v>
      </c>
      <c r="C1319" t="s">
        <v>5</v>
      </c>
      <c r="D1319">
        <v>25.060000000000002</v>
      </c>
    </row>
    <row r="1320" spans="2:4">
      <c r="B1320" s="3">
        <v>43070</v>
      </c>
      <c r="C1320" t="s">
        <v>5</v>
      </c>
      <c r="D1320">
        <v>37.392000000000003</v>
      </c>
    </row>
    <row r="1321" spans="2:4">
      <c r="B1321" s="3">
        <v>43070</v>
      </c>
      <c r="C1321" t="s">
        <v>3</v>
      </c>
      <c r="D1321">
        <v>79.12</v>
      </c>
    </row>
    <row r="1322" spans="2:4">
      <c r="B1322" s="3">
        <v>42765</v>
      </c>
      <c r="C1322" t="s">
        <v>5</v>
      </c>
      <c r="D1322">
        <v>12.74</v>
      </c>
    </row>
    <row r="1323" spans="2:4">
      <c r="B1323" s="3">
        <v>42765</v>
      </c>
      <c r="C1323" t="s">
        <v>5</v>
      </c>
      <c r="D1323">
        <v>8.82</v>
      </c>
    </row>
    <row r="1324" spans="2:4">
      <c r="B1324" s="3">
        <v>42765</v>
      </c>
      <c r="C1324" t="s">
        <v>3</v>
      </c>
      <c r="D1324">
        <v>120.78399999999999</v>
      </c>
    </row>
    <row r="1325" spans="2:4">
      <c r="B1325" s="3">
        <v>43031</v>
      </c>
      <c r="C1325" t="s">
        <v>5</v>
      </c>
      <c r="D1325">
        <v>9.7619999999999969</v>
      </c>
    </row>
    <row r="1326" spans="2:4">
      <c r="B1326" s="3">
        <v>43031</v>
      </c>
      <c r="C1326" t="s">
        <v>5</v>
      </c>
      <c r="D1326">
        <v>13.719999999999999</v>
      </c>
    </row>
    <row r="1327" spans="2:4">
      <c r="B1327" s="3">
        <v>43031</v>
      </c>
      <c r="C1327" t="s">
        <v>4</v>
      </c>
      <c r="D1327">
        <v>55.2</v>
      </c>
    </row>
    <row r="1328" spans="2:4">
      <c r="B1328" s="3">
        <v>43031</v>
      </c>
      <c r="C1328" t="s">
        <v>5</v>
      </c>
      <c r="D1328">
        <v>259.13600000000002</v>
      </c>
    </row>
    <row r="1329" spans="2:4">
      <c r="B1329" s="3">
        <v>42985</v>
      </c>
      <c r="C1329" t="s">
        <v>5</v>
      </c>
      <c r="D1329">
        <v>29.24</v>
      </c>
    </row>
    <row r="1330" spans="2:4">
      <c r="B1330" s="3">
        <v>42985</v>
      </c>
      <c r="C1330" t="s">
        <v>5</v>
      </c>
      <c r="D1330">
        <v>15.552000000000003</v>
      </c>
    </row>
    <row r="1331" spans="2:4">
      <c r="B1331" s="3">
        <v>42985</v>
      </c>
      <c r="C1331" t="s">
        <v>5</v>
      </c>
      <c r="D1331">
        <v>4.8960000000000008</v>
      </c>
    </row>
    <row r="1332" spans="2:4">
      <c r="B1332" s="3">
        <v>42869</v>
      </c>
      <c r="C1332" t="s">
        <v>4</v>
      </c>
      <c r="D1332">
        <v>539.97</v>
      </c>
    </row>
    <row r="1333" spans="2:4">
      <c r="B1333" s="3">
        <v>42869</v>
      </c>
      <c r="C1333" t="s">
        <v>5</v>
      </c>
      <c r="D1333">
        <v>22.58</v>
      </c>
    </row>
    <row r="1334" spans="2:4">
      <c r="B1334" s="3">
        <v>42749</v>
      </c>
      <c r="C1334" t="s">
        <v>4</v>
      </c>
      <c r="D1334">
        <v>169.06400000000002</v>
      </c>
    </row>
    <row r="1335" spans="2:4">
      <c r="B1335" s="3">
        <v>42749</v>
      </c>
      <c r="C1335" t="s">
        <v>5</v>
      </c>
      <c r="D1335">
        <v>168.624</v>
      </c>
    </row>
    <row r="1336" spans="2:4">
      <c r="B1336" s="3">
        <v>43055</v>
      </c>
      <c r="C1336" t="s">
        <v>5</v>
      </c>
      <c r="D1336">
        <v>48.86</v>
      </c>
    </row>
    <row r="1337" spans="2:4">
      <c r="B1337" s="3">
        <v>42800</v>
      </c>
      <c r="C1337" t="s">
        <v>5</v>
      </c>
      <c r="D1337">
        <v>14.976000000000001</v>
      </c>
    </row>
    <row r="1338" spans="2:4">
      <c r="B1338" s="3">
        <v>43015</v>
      </c>
      <c r="C1338" t="s">
        <v>5</v>
      </c>
      <c r="D1338">
        <v>4.2399999999999993</v>
      </c>
    </row>
    <row r="1339" spans="2:4">
      <c r="B1339" s="3">
        <v>43014</v>
      </c>
      <c r="C1339" t="s">
        <v>4</v>
      </c>
      <c r="D1339">
        <v>319.95999999999998</v>
      </c>
    </row>
    <row r="1340" spans="2:4">
      <c r="B1340" s="3">
        <v>43014</v>
      </c>
      <c r="C1340" t="s">
        <v>5</v>
      </c>
      <c r="D1340">
        <v>17.04</v>
      </c>
    </row>
    <row r="1341" spans="2:4">
      <c r="B1341" s="3">
        <v>43014</v>
      </c>
      <c r="C1341" t="s">
        <v>5</v>
      </c>
      <c r="D1341">
        <v>344.90999999999997</v>
      </c>
    </row>
    <row r="1342" spans="2:4">
      <c r="B1342" s="3">
        <v>42873</v>
      </c>
      <c r="C1342" t="s">
        <v>5</v>
      </c>
      <c r="D1342">
        <v>6.8739999999999988</v>
      </c>
    </row>
    <row r="1343" spans="2:4">
      <c r="B1343" s="3">
        <v>42873</v>
      </c>
      <c r="C1343" t="s">
        <v>5</v>
      </c>
      <c r="D1343">
        <v>1.9959999999999996</v>
      </c>
    </row>
    <row r="1344" spans="2:4">
      <c r="B1344" s="3">
        <v>42873</v>
      </c>
      <c r="C1344" t="s">
        <v>5</v>
      </c>
      <c r="D1344">
        <v>8.9280000000000008</v>
      </c>
    </row>
    <row r="1345" spans="2:4">
      <c r="B1345" s="3">
        <v>43056</v>
      </c>
      <c r="C1345" t="s">
        <v>4</v>
      </c>
      <c r="D1345">
        <v>10499.97</v>
      </c>
    </row>
    <row r="1346" spans="2:4">
      <c r="B1346" s="3">
        <v>43078</v>
      </c>
      <c r="C1346" t="s">
        <v>5</v>
      </c>
      <c r="D1346">
        <v>15.984000000000002</v>
      </c>
    </row>
    <row r="1347" spans="2:4">
      <c r="B1347" s="3">
        <v>42826</v>
      </c>
      <c r="C1347" t="s">
        <v>3</v>
      </c>
      <c r="D1347">
        <v>482.66399999999999</v>
      </c>
    </row>
    <row r="1348" spans="2:4">
      <c r="B1348" s="3">
        <v>42826</v>
      </c>
      <c r="C1348" t="s">
        <v>4</v>
      </c>
      <c r="D1348">
        <v>4799.9839999999995</v>
      </c>
    </row>
    <row r="1349" spans="2:4">
      <c r="B1349" s="3">
        <v>42897</v>
      </c>
      <c r="C1349" t="s">
        <v>5</v>
      </c>
      <c r="D1349">
        <v>37.94</v>
      </c>
    </row>
    <row r="1350" spans="2:4">
      <c r="B1350" s="3">
        <v>42897</v>
      </c>
      <c r="C1350" t="s">
        <v>5</v>
      </c>
      <c r="D1350">
        <v>18.288</v>
      </c>
    </row>
    <row r="1351" spans="2:4">
      <c r="B1351" s="3">
        <v>42897</v>
      </c>
      <c r="C1351" t="s">
        <v>4</v>
      </c>
      <c r="D1351">
        <v>385.80000000000007</v>
      </c>
    </row>
    <row r="1352" spans="2:4">
      <c r="B1352" s="3">
        <v>42897</v>
      </c>
      <c r="C1352" t="s">
        <v>5</v>
      </c>
      <c r="D1352">
        <v>102.96</v>
      </c>
    </row>
    <row r="1353" spans="2:4">
      <c r="B1353" s="3">
        <v>42897</v>
      </c>
      <c r="C1353" t="s">
        <v>3</v>
      </c>
      <c r="D1353">
        <v>174.42000000000002</v>
      </c>
    </row>
    <row r="1354" spans="2:4">
      <c r="B1354" s="3">
        <v>43050</v>
      </c>
      <c r="C1354" t="s">
        <v>5</v>
      </c>
      <c r="D1354">
        <v>45.92</v>
      </c>
    </row>
    <row r="1355" spans="2:4">
      <c r="B1355" s="3">
        <v>42921</v>
      </c>
      <c r="C1355" t="s">
        <v>3</v>
      </c>
      <c r="D1355">
        <v>332.02800000000002</v>
      </c>
    </row>
    <row r="1356" spans="2:4">
      <c r="B1356" s="3">
        <v>42921</v>
      </c>
      <c r="C1356" t="s">
        <v>5</v>
      </c>
      <c r="D1356">
        <v>11.393999999999998</v>
      </c>
    </row>
    <row r="1357" spans="2:4">
      <c r="B1357" s="3">
        <v>42921</v>
      </c>
      <c r="C1357" t="s">
        <v>5</v>
      </c>
      <c r="D1357">
        <v>15.552000000000003</v>
      </c>
    </row>
    <row r="1358" spans="2:4">
      <c r="B1358" s="3">
        <v>42921</v>
      </c>
      <c r="C1358" t="s">
        <v>5</v>
      </c>
      <c r="D1358">
        <v>31.104000000000006</v>
      </c>
    </row>
    <row r="1359" spans="2:4">
      <c r="B1359" s="3">
        <v>42921</v>
      </c>
      <c r="C1359" t="s">
        <v>5</v>
      </c>
      <c r="D1359">
        <v>6.3159999999999981</v>
      </c>
    </row>
    <row r="1360" spans="2:4">
      <c r="B1360" s="3">
        <v>42976</v>
      </c>
      <c r="C1360" t="s">
        <v>5</v>
      </c>
      <c r="D1360">
        <v>9.4080000000000013</v>
      </c>
    </row>
    <row r="1361" spans="2:4">
      <c r="B1361" s="3">
        <v>42820</v>
      </c>
      <c r="C1361" t="s">
        <v>5</v>
      </c>
      <c r="D1361">
        <v>19.829999999999998</v>
      </c>
    </row>
    <row r="1362" spans="2:4">
      <c r="B1362" s="3">
        <v>43098</v>
      </c>
      <c r="C1362" t="s">
        <v>5</v>
      </c>
      <c r="D1362">
        <v>209.7</v>
      </c>
    </row>
    <row r="1363" spans="2:4">
      <c r="B1363" s="3">
        <v>43067</v>
      </c>
      <c r="C1363" t="s">
        <v>5</v>
      </c>
      <c r="D1363">
        <v>1.64</v>
      </c>
    </row>
    <row r="1364" spans="2:4">
      <c r="B1364" s="3">
        <v>43067</v>
      </c>
      <c r="C1364" t="s">
        <v>3</v>
      </c>
      <c r="D1364">
        <v>1049.2</v>
      </c>
    </row>
    <row r="1365" spans="2:4">
      <c r="B1365" s="3">
        <v>43067</v>
      </c>
      <c r="C1365" t="s">
        <v>3</v>
      </c>
      <c r="D1365">
        <v>20.9</v>
      </c>
    </row>
    <row r="1366" spans="2:4">
      <c r="B1366" s="3">
        <v>43021</v>
      </c>
      <c r="C1366" t="s">
        <v>5</v>
      </c>
      <c r="D1366">
        <v>63.311999999999998</v>
      </c>
    </row>
    <row r="1367" spans="2:4">
      <c r="B1367" s="3">
        <v>43021</v>
      </c>
      <c r="C1367" t="s">
        <v>5</v>
      </c>
      <c r="D1367">
        <v>96.783999999999978</v>
      </c>
    </row>
    <row r="1368" spans="2:4">
      <c r="B1368" s="3">
        <v>43021</v>
      </c>
      <c r="C1368" t="s">
        <v>3</v>
      </c>
      <c r="D1368">
        <v>10.476000000000001</v>
      </c>
    </row>
    <row r="1369" spans="2:4">
      <c r="B1369" s="3">
        <v>43036</v>
      </c>
      <c r="C1369" t="s">
        <v>5</v>
      </c>
      <c r="D1369">
        <v>47.98</v>
      </c>
    </row>
    <row r="1370" spans="2:4">
      <c r="B1370" s="3">
        <v>43023</v>
      </c>
      <c r="C1370" t="s">
        <v>5</v>
      </c>
      <c r="D1370">
        <v>13.049999999999999</v>
      </c>
    </row>
    <row r="1371" spans="2:4">
      <c r="B1371" s="3">
        <v>42954</v>
      </c>
      <c r="C1371" t="s">
        <v>4</v>
      </c>
      <c r="D1371">
        <v>63.96</v>
      </c>
    </row>
    <row r="1372" spans="2:4">
      <c r="B1372" s="3">
        <v>42999</v>
      </c>
      <c r="C1372" t="s">
        <v>5</v>
      </c>
      <c r="D1372">
        <v>80.48</v>
      </c>
    </row>
    <row r="1373" spans="2:4">
      <c r="B1373" s="3">
        <v>43042</v>
      </c>
      <c r="C1373" t="s">
        <v>5</v>
      </c>
      <c r="D1373">
        <v>11.673000000000002</v>
      </c>
    </row>
    <row r="1374" spans="2:4">
      <c r="B1374" s="3">
        <v>42911</v>
      </c>
      <c r="C1374" t="s">
        <v>3</v>
      </c>
      <c r="D1374">
        <v>871.4</v>
      </c>
    </row>
    <row r="1375" spans="2:4">
      <c r="B1375" s="3">
        <v>42937</v>
      </c>
      <c r="C1375" t="s">
        <v>4</v>
      </c>
      <c r="D1375">
        <v>71.928000000000011</v>
      </c>
    </row>
    <row r="1376" spans="2:4">
      <c r="B1376" s="3">
        <v>42937</v>
      </c>
      <c r="C1376" t="s">
        <v>5</v>
      </c>
      <c r="D1376">
        <v>25.99</v>
      </c>
    </row>
    <row r="1377" spans="2:4">
      <c r="B1377" s="3">
        <v>42965</v>
      </c>
      <c r="C1377" t="s">
        <v>5</v>
      </c>
      <c r="D1377">
        <v>323.10000000000002</v>
      </c>
    </row>
    <row r="1378" spans="2:4">
      <c r="B1378" s="3">
        <v>43097</v>
      </c>
      <c r="C1378" t="s">
        <v>5</v>
      </c>
      <c r="D1378">
        <v>64.784000000000006</v>
      </c>
    </row>
    <row r="1379" spans="2:4">
      <c r="B1379" s="3">
        <v>43078</v>
      </c>
      <c r="C1379" t="s">
        <v>5</v>
      </c>
      <c r="D1379">
        <v>11.16</v>
      </c>
    </row>
    <row r="1380" spans="2:4">
      <c r="B1380" s="3">
        <v>43078</v>
      </c>
      <c r="C1380" t="s">
        <v>3</v>
      </c>
      <c r="D1380">
        <v>896.32799999999997</v>
      </c>
    </row>
    <row r="1381" spans="2:4">
      <c r="B1381" s="3">
        <v>43078</v>
      </c>
      <c r="C1381" t="s">
        <v>5</v>
      </c>
      <c r="D1381">
        <v>189</v>
      </c>
    </row>
    <row r="1382" spans="2:4">
      <c r="B1382" s="3">
        <v>42804</v>
      </c>
      <c r="C1382" t="s">
        <v>4</v>
      </c>
      <c r="D1382">
        <v>53.981999999999999</v>
      </c>
    </row>
    <row r="1383" spans="2:4">
      <c r="B1383" s="3">
        <v>43030</v>
      </c>
      <c r="C1383" t="s">
        <v>3</v>
      </c>
      <c r="D1383">
        <v>177.22499999999999</v>
      </c>
    </row>
    <row r="1384" spans="2:4">
      <c r="B1384" s="3">
        <v>42919</v>
      </c>
      <c r="C1384" t="s">
        <v>3</v>
      </c>
      <c r="D1384">
        <v>129.39000000000001</v>
      </c>
    </row>
    <row r="1385" spans="2:4">
      <c r="B1385" s="3">
        <v>42982</v>
      </c>
      <c r="C1385" t="s">
        <v>5</v>
      </c>
      <c r="D1385">
        <v>54.32</v>
      </c>
    </row>
    <row r="1386" spans="2:4">
      <c r="B1386" s="3">
        <v>42970</v>
      </c>
      <c r="C1386" t="s">
        <v>4</v>
      </c>
      <c r="D1386">
        <v>4367.8960000000006</v>
      </c>
    </row>
    <row r="1387" spans="2:4">
      <c r="B1387" s="3">
        <v>42970</v>
      </c>
      <c r="C1387" t="s">
        <v>5</v>
      </c>
      <c r="D1387">
        <v>49.568000000000005</v>
      </c>
    </row>
    <row r="1388" spans="2:4">
      <c r="B1388" s="3">
        <v>42970</v>
      </c>
      <c r="C1388" t="s">
        <v>5</v>
      </c>
      <c r="D1388">
        <v>161.376</v>
      </c>
    </row>
    <row r="1389" spans="2:4">
      <c r="B1389" s="3">
        <v>42970</v>
      </c>
      <c r="C1389" t="s">
        <v>3</v>
      </c>
      <c r="D1389">
        <v>2.7840000000000003</v>
      </c>
    </row>
    <row r="1390" spans="2:4">
      <c r="B1390" s="3">
        <v>42970</v>
      </c>
      <c r="C1390" t="s">
        <v>5</v>
      </c>
      <c r="D1390">
        <v>8.7200000000000006</v>
      </c>
    </row>
    <row r="1391" spans="2:4">
      <c r="B1391" s="3">
        <v>43076</v>
      </c>
      <c r="C1391" t="s">
        <v>3</v>
      </c>
      <c r="D1391">
        <v>82.38</v>
      </c>
    </row>
    <row r="1392" spans="2:4">
      <c r="B1392" s="3">
        <v>42826</v>
      </c>
      <c r="C1392" t="s">
        <v>5</v>
      </c>
      <c r="D1392">
        <v>42.929999999999993</v>
      </c>
    </row>
    <row r="1393" spans="2:4">
      <c r="B1393" s="3">
        <v>43011</v>
      </c>
      <c r="C1393" t="s">
        <v>5</v>
      </c>
      <c r="D1393">
        <v>15.552000000000003</v>
      </c>
    </row>
    <row r="1394" spans="2:4">
      <c r="B1394" s="3">
        <v>43011</v>
      </c>
      <c r="C1394" t="s">
        <v>5</v>
      </c>
      <c r="D1394">
        <v>17.920000000000002</v>
      </c>
    </row>
    <row r="1395" spans="2:4">
      <c r="B1395" s="3">
        <v>42979</v>
      </c>
      <c r="C1395" t="s">
        <v>4</v>
      </c>
      <c r="D1395">
        <v>19.989999999999998</v>
      </c>
    </row>
    <row r="1396" spans="2:4">
      <c r="B1396" s="3">
        <v>42979</v>
      </c>
      <c r="C1396" t="s">
        <v>5</v>
      </c>
      <c r="D1396">
        <v>22.92</v>
      </c>
    </row>
    <row r="1397" spans="2:4">
      <c r="B1397" s="3">
        <v>42974</v>
      </c>
      <c r="C1397" t="s">
        <v>5</v>
      </c>
      <c r="D1397">
        <v>5.1840000000000011</v>
      </c>
    </row>
    <row r="1398" spans="2:4">
      <c r="B1398" s="3">
        <v>43086</v>
      </c>
      <c r="C1398" t="s">
        <v>5</v>
      </c>
      <c r="D1398">
        <v>544.38</v>
      </c>
    </row>
    <row r="1399" spans="2:4">
      <c r="B1399" s="3">
        <v>42813</v>
      </c>
      <c r="C1399" t="s">
        <v>5</v>
      </c>
      <c r="D1399">
        <v>19.824000000000002</v>
      </c>
    </row>
    <row r="1400" spans="2:4">
      <c r="B1400" s="3">
        <v>42813</v>
      </c>
      <c r="C1400" t="s">
        <v>4</v>
      </c>
      <c r="D1400">
        <v>657.50400000000002</v>
      </c>
    </row>
    <row r="1401" spans="2:4">
      <c r="B1401" s="3">
        <v>42813</v>
      </c>
      <c r="C1401" t="s">
        <v>4</v>
      </c>
      <c r="D1401">
        <v>99.54</v>
      </c>
    </row>
    <row r="1402" spans="2:4">
      <c r="B1402" s="3">
        <v>42813</v>
      </c>
      <c r="C1402" t="s">
        <v>4</v>
      </c>
      <c r="D1402">
        <v>199.96</v>
      </c>
    </row>
    <row r="1403" spans="2:4">
      <c r="B1403" s="3">
        <v>43063</v>
      </c>
      <c r="C1403" t="s">
        <v>5</v>
      </c>
      <c r="D1403">
        <v>20.724000000000004</v>
      </c>
    </row>
    <row r="1404" spans="2:4">
      <c r="B1404" s="3">
        <v>43063</v>
      </c>
      <c r="C1404" t="s">
        <v>5</v>
      </c>
      <c r="D1404">
        <v>415.87200000000007</v>
      </c>
    </row>
    <row r="1405" spans="2:4">
      <c r="B1405" s="3">
        <v>42836</v>
      </c>
      <c r="C1405" t="s">
        <v>5</v>
      </c>
      <c r="D1405">
        <v>16.768000000000001</v>
      </c>
    </row>
    <row r="1406" spans="2:4">
      <c r="B1406" s="3">
        <v>42836</v>
      </c>
      <c r="C1406" t="s">
        <v>4</v>
      </c>
      <c r="D1406">
        <v>27.12</v>
      </c>
    </row>
    <row r="1407" spans="2:4">
      <c r="B1407" s="3">
        <v>43079</v>
      </c>
      <c r="C1407" t="s">
        <v>4</v>
      </c>
      <c r="D1407">
        <v>95.84</v>
      </c>
    </row>
    <row r="1408" spans="2:4">
      <c r="B1408" s="3">
        <v>43079</v>
      </c>
      <c r="C1408" t="s">
        <v>5</v>
      </c>
      <c r="D1408">
        <v>12.96</v>
      </c>
    </row>
    <row r="1409" spans="2:4">
      <c r="B1409" s="3">
        <v>43063</v>
      </c>
      <c r="C1409" t="s">
        <v>5</v>
      </c>
      <c r="D1409">
        <v>19.008000000000003</v>
      </c>
    </row>
    <row r="1410" spans="2:4">
      <c r="B1410" s="3">
        <v>43080</v>
      </c>
      <c r="C1410" t="s">
        <v>5</v>
      </c>
      <c r="D1410">
        <v>10.368000000000002</v>
      </c>
    </row>
    <row r="1411" spans="2:4">
      <c r="B1411" s="3">
        <v>43080</v>
      </c>
      <c r="C1411" t="s">
        <v>3</v>
      </c>
      <c r="D1411">
        <v>77.720000000000013</v>
      </c>
    </row>
    <row r="1412" spans="2:4">
      <c r="B1412" s="3">
        <v>43080</v>
      </c>
      <c r="C1412" t="s">
        <v>3</v>
      </c>
      <c r="D1412">
        <v>520.46399999999994</v>
      </c>
    </row>
    <row r="1413" spans="2:4">
      <c r="B1413" s="3">
        <v>42783</v>
      </c>
      <c r="C1413" t="s">
        <v>4</v>
      </c>
      <c r="D1413">
        <v>29.160000000000004</v>
      </c>
    </row>
    <row r="1414" spans="2:4">
      <c r="B1414" s="3">
        <v>42875</v>
      </c>
      <c r="C1414" t="s">
        <v>5</v>
      </c>
      <c r="D1414">
        <v>131.94</v>
      </c>
    </row>
    <row r="1415" spans="2:4">
      <c r="B1415" s="3">
        <v>42875</v>
      </c>
      <c r="C1415" t="s">
        <v>5</v>
      </c>
      <c r="D1415">
        <v>25.92</v>
      </c>
    </row>
    <row r="1416" spans="2:4">
      <c r="B1416" s="3">
        <v>42875</v>
      </c>
      <c r="C1416" t="s">
        <v>5</v>
      </c>
      <c r="D1416">
        <v>704.76</v>
      </c>
    </row>
    <row r="1417" spans="2:4">
      <c r="B1417" s="3">
        <v>42875</v>
      </c>
      <c r="C1417" t="s">
        <v>5</v>
      </c>
      <c r="D1417">
        <v>7.41</v>
      </c>
    </row>
    <row r="1418" spans="2:4">
      <c r="B1418" s="3">
        <v>42875</v>
      </c>
      <c r="C1418" t="s">
        <v>5</v>
      </c>
      <c r="D1418">
        <v>21.5</v>
      </c>
    </row>
    <row r="1419" spans="2:4">
      <c r="B1419" s="3">
        <v>42989</v>
      </c>
      <c r="C1419" t="s">
        <v>5</v>
      </c>
      <c r="D1419">
        <v>10.528</v>
      </c>
    </row>
    <row r="1420" spans="2:4">
      <c r="B1420" s="3">
        <v>42989</v>
      </c>
      <c r="C1420" t="s">
        <v>5</v>
      </c>
      <c r="D1420">
        <v>20.544000000000004</v>
      </c>
    </row>
    <row r="1421" spans="2:4">
      <c r="B1421" s="3">
        <v>42939</v>
      </c>
      <c r="C1421" t="s">
        <v>5</v>
      </c>
      <c r="D1421">
        <v>11.68</v>
      </c>
    </row>
    <row r="1422" spans="2:4">
      <c r="B1422" s="3">
        <v>42939</v>
      </c>
      <c r="C1422" t="s">
        <v>4</v>
      </c>
      <c r="D1422">
        <v>159.75</v>
      </c>
    </row>
    <row r="1423" spans="2:4">
      <c r="B1423" s="3">
        <v>43059</v>
      </c>
      <c r="C1423" t="s">
        <v>5</v>
      </c>
      <c r="D1423">
        <v>46.76</v>
      </c>
    </row>
    <row r="1424" spans="2:4">
      <c r="B1424" s="3">
        <v>43059</v>
      </c>
      <c r="C1424" t="s">
        <v>3</v>
      </c>
      <c r="D1424">
        <v>183.96800000000002</v>
      </c>
    </row>
    <row r="1425" spans="2:4">
      <c r="B1425" s="3">
        <v>43059</v>
      </c>
      <c r="C1425" t="s">
        <v>4</v>
      </c>
      <c r="D1425">
        <v>1259.97</v>
      </c>
    </row>
    <row r="1426" spans="2:4">
      <c r="B1426" s="3">
        <v>43059</v>
      </c>
      <c r="C1426" t="s">
        <v>5</v>
      </c>
      <c r="D1426">
        <v>68.97</v>
      </c>
    </row>
    <row r="1427" spans="2:4">
      <c r="B1427" s="3">
        <v>42966</v>
      </c>
      <c r="C1427" t="s">
        <v>5</v>
      </c>
      <c r="D1427">
        <v>387.99</v>
      </c>
    </row>
    <row r="1428" spans="2:4">
      <c r="B1428" s="3">
        <v>42834</v>
      </c>
      <c r="C1428" t="s">
        <v>5</v>
      </c>
      <c r="D1428">
        <v>478.24</v>
      </c>
    </row>
    <row r="1429" spans="2:4">
      <c r="B1429" s="3">
        <v>42873</v>
      </c>
      <c r="C1429" t="s">
        <v>5</v>
      </c>
      <c r="D1429">
        <v>17.239999999999998</v>
      </c>
    </row>
    <row r="1430" spans="2:4">
      <c r="B1430" s="3">
        <v>42873</v>
      </c>
      <c r="C1430" t="s">
        <v>3</v>
      </c>
      <c r="D1430">
        <v>302.94</v>
      </c>
    </row>
    <row r="1431" spans="2:4">
      <c r="B1431" s="3">
        <v>42873</v>
      </c>
      <c r="C1431" t="s">
        <v>4</v>
      </c>
      <c r="D1431">
        <v>34.75</v>
      </c>
    </row>
    <row r="1432" spans="2:4">
      <c r="B1432" s="3">
        <v>42873</v>
      </c>
      <c r="C1432" t="s">
        <v>5</v>
      </c>
      <c r="D1432">
        <v>113.94</v>
      </c>
    </row>
    <row r="1433" spans="2:4">
      <c r="B1433" s="3">
        <v>42873</v>
      </c>
      <c r="C1433" t="s">
        <v>4</v>
      </c>
      <c r="D1433">
        <v>55.98</v>
      </c>
    </row>
    <row r="1434" spans="2:4">
      <c r="B1434" s="3">
        <v>43000</v>
      </c>
      <c r="C1434" t="s">
        <v>5</v>
      </c>
      <c r="D1434">
        <v>27.18</v>
      </c>
    </row>
    <row r="1435" spans="2:4">
      <c r="B1435" s="3">
        <v>42815</v>
      </c>
      <c r="C1435" t="s">
        <v>3</v>
      </c>
      <c r="D1435">
        <v>1805.88</v>
      </c>
    </row>
    <row r="1436" spans="2:4">
      <c r="B1436" s="3">
        <v>42992</v>
      </c>
      <c r="C1436" t="s">
        <v>5</v>
      </c>
      <c r="D1436">
        <v>70.949999999999989</v>
      </c>
    </row>
    <row r="1437" spans="2:4">
      <c r="B1437" s="3">
        <v>42954</v>
      </c>
      <c r="C1437" t="s">
        <v>5</v>
      </c>
      <c r="D1437">
        <v>244.54999999999998</v>
      </c>
    </row>
    <row r="1438" spans="2:4">
      <c r="B1438" s="3">
        <v>42807</v>
      </c>
      <c r="C1438" t="s">
        <v>5</v>
      </c>
      <c r="D1438">
        <v>1332.4960000000001</v>
      </c>
    </row>
    <row r="1439" spans="2:4">
      <c r="B1439" s="3">
        <v>43006</v>
      </c>
      <c r="C1439" t="s">
        <v>3</v>
      </c>
      <c r="D1439">
        <v>32.776000000000003</v>
      </c>
    </row>
    <row r="1440" spans="2:4">
      <c r="B1440" s="3">
        <v>43006</v>
      </c>
      <c r="C1440" t="s">
        <v>5</v>
      </c>
      <c r="D1440">
        <v>147.184</v>
      </c>
    </row>
    <row r="1441" spans="2:4">
      <c r="B1441" s="3">
        <v>43006</v>
      </c>
      <c r="C1441" t="s">
        <v>4</v>
      </c>
      <c r="D1441">
        <v>54.384000000000007</v>
      </c>
    </row>
    <row r="1442" spans="2:4">
      <c r="B1442" s="3">
        <v>43006</v>
      </c>
      <c r="C1442" t="s">
        <v>5</v>
      </c>
      <c r="D1442">
        <v>76.77600000000001</v>
      </c>
    </row>
    <row r="1443" spans="2:4">
      <c r="B1443" s="3">
        <v>43006</v>
      </c>
      <c r="C1443" t="s">
        <v>5</v>
      </c>
      <c r="D1443">
        <v>14.352000000000002</v>
      </c>
    </row>
    <row r="1444" spans="2:4">
      <c r="B1444" s="3">
        <v>43006</v>
      </c>
      <c r="C1444" t="s">
        <v>5</v>
      </c>
      <c r="D1444">
        <v>209.79200000000003</v>
      </c>
    </row>
    <row r="1445" spans="2:4">
      <c r="B1445" s="3">
        <v>43063</v>
      </c>
      <c r="C1445" t="s">
        <v>5</v>
      </c>
      <c r="D1445">
        <v>16.38</v>
      </c>
    </row>
    <row r="1446" spans="2:4">
      <c r="B1446" s="3">
        <v>43063</v>
      </c>
      <c r="C1446" t="s">
        <v>5</v>
      </c>
      <c r="D1446">
        <v>167.96</v>
      </c>
    </row>
    <row r="1447" spans="2:4">
      <c r="B1447" s="3">
        <v>43063</v>
      </c>
      <c r="C1447" t="s">
        <v>3</v>
      </c>
      <c r="D1447">
        <v>321.56799999999998</v>
      </c>
    </row>
    <row r="1448" spans="2:4">
      <c r="B1448" s="3">
        <v>43063</v>
      </c>
      <c r="C1448" t="s">
        <v>5</v>
      </c>
      <c r="D1448">
        <v>12.96</v>
      </c>
    </row>
    <row r="1449" spans="2:4">
      <c r="B1449" s="3">
        <v>42863</v>
      </c>
      <c r="C1449" t="s">
        <v>3</v>
      </c>
      <c r="D1449">
        <v>128.05799999999999</v>
      </c>
    </row>
    <row r="1450" spans="2:4">
      <c r="B1450" s="3">
        <v>43007</v>
      </c>
      <c r="C1450" t="s">
        <v>3</v>
      </c>
      <c r="D1450">
        <v>63.686</v>
      </c>
    </row>
    <row r="1451" spans="2:4">
      <c r="B1451" s="3">
        <v>43007</v>
      </c>
      <c r="C1451" t="s">
        <v>4</v>
      </c>
      <c r="D1451">
        <v>239.976</v>
      </c>
    </row>
    <row r="1452" spans="2:4">
      <c r="B1452" s="3">
        <v>43007</v>
      </c>
      <c r="C1452" t="s">
        <v>3</v>
      </c>
      <c r="D1452">
        <v>344.22</v>
      </c>
    </row>
    <row r="1453" spans="2:4">
      <c r="B1453" s="3">
        <v>43007</v>
      </c>
      <c r="C1453" t="s">
        <v>5</v>
      </c>
      <c r="D1453">
        <v>15.552000000000003</v>
      </c>
    </row>
    <row r="1454" spans="2:4">
      <c r="B1454" s="3">
        <v>43007</v>
      </c>
      <c r="C1454" t="s">
        <v>3</v>
      </c>
      <c r="D1454">
        <v>21.248000000000001</v>
      </c>
    </row>
    <row r="1455" spans="2:4">
      <c r="B1455" s="3">
        <v>43007</v>
      </c>
      <c r="C1455" t="s">
        <v>5</v>
      </c>
      <c r="D1455">
        <v>8.4480000000000004</v>
      </c>
    </row>
    <row r="1456" spans="2:4">
      <c r="B1456" s="3">
        <v>43030</v>
      </c>
      <c r="C1456" t="s">
        <v>5</v>
      </c>
      <c r="D1456">
        <v>333.09000000000003</v>
      </c>
    </row>
    <row r="1457" spans="2:4">
      <c r="B1457" s="3">
        <v>43030</v>
      </c>
      <c r="C1457" t="s">
        <v>3</v>
      </c>
      <c r="D1457">
        <v>248.98</v>
      </c>
    </row>
    <row r="1458" spans="2:4">
      <c r="B1458" s="3">
        <v>42961</v>
      </c>
      <c r="C1458" t="s">
        <v>3</v>
      </c>
      <c r="D1458">
        <v>418.29599999999994</v>
      </c>
    </row>
    <row r="1459" spans="2:4">
      <c r="B1459" s="3">
        <v>42904</v>
      </c>
      <c r="C1459" t="s">
        <v>3</v>
      </c>
      <c r="D1459">
        <v>917.92349999999988</v>
      </c>
    </row>
    <row r="1460" spans="2:4">
      <c r="B1460" s="3">
        <v>42904</v>
      </c>
      <c r="C1460" t="s">
        <v>5</v>
      </c>
      <c r="D1460">
        <v>38.880000000000003</v>
      </c>
    </row>
    <row r="1461" spans="2:4">
      <c r="B1461" s="3">
        <v>43071</v>
      </c>
      <c r="C1461" t="s">
        <v>5</v>
      </c>
      <c r="D1461">
        <v>631.17600000000016</v>
      </c>
    </row>
    <row r="1462" spans="2:4">
      <c r="B1462" s="3">
        <v>42878</v>
      </c>
      <c r="C1462" t="s">
        <v>3</v>
      </c>
      <c r="D1462">
        <v>171.28800000000001</v>
      </c>
    </row>
    <row r="1463" spans="2:4">
      <c r="B1463" s="3">
        <v>43030</v>
      </c>
      <c r="C1463" t="s">
        <v>5</v>
      </c>
      <c r="D1463">
        <v>36.44</v>
      </c>
    </row>
    <row r="1464" spans="2:4">
      <c r="B1464" s="3">
        <v>42896</v>
      </c>
      <c r="C1464" t="s">
        <v>5</v>
      </c>
      <c r="D1464">
        <v>1347.5200000000002</v>
      </c>
    </row>
    <row r="1465" spans="2:4">
      <c r="B1465" s="3">
        <v>42786</v>
      </c>
      <c r="C1465" t="s">
        <v>5</v>
      </c>
      <c r="D1465">
        <v>9.4320000000000004</v>
      </c>
    </row>
    <row r="1466" spans="2:4">
      <c r="B1466" s="3">
        <v>42933</v>
      </c>
      <c r="C1466" t="s">
        <v>4</v>
      </c>
      <c r="D1466">
        <v>269.98</v>
      </c>
    </row>
    <row r="1467" spans="2:4">
      <c r="B1467" s="3">
        <v>42933</v>
      </c>
      <c r="C1467" t="s">
        <v>5</v>
      </c>
      <c r="D1467">
        <v>99.9</v>
      </c>
    </row>
    <row r="1468" spans="2:4">
      <c r="B1468" s="3">
        <v>42933</v>
      </c>
      <c r="C1468" t="s">
        <v>3</v>
      </c>
      <c r="D1468">
        <v>39.08</v>
      </c>
    </row>
    <row r="1469" spans="2:4">
      <c r="B1469" s="3">
        <v>42986</v>
      </c>
      <c r="C1469" t="s">
        <v>4</v>
      </c>
      <c r="D1469">
        <v>116.83199999999999</v>
      </c>
    </row>
    <row r="1470" spans="2:4">
      <c r="B1470" s="3">
        <v>42924</v>
      </c>
      <c r="C1470" t="s">
        <v>3</v>
      </c>
      <c r="D1470">
        <v>15.84</v>
      </c>
    </row>
    <row r="1471" spans="2:4">
      <c r="B1471" s="3">
        <v>42924</v>
      </c>
      <c r="C1471" t="s">
        <v>5</v>
      </c>
      <c r="D1471">
        <v>86.376000000000005</v>
      </c>
    </row>
    <row r="1472" spans="2:4">
      <c r="B1472" s="3">
        <v>42924</v>
      </c>
      <c r="C1472" t="s">
        <v>5</v>
      </c>
      <c r="D1472">
        <v>18.240000000000002</v>
      </c>
    </row>
    <row r="1473" spans="2:4">
      <c r="B1473" s="3">
        <v>42924</v>
      </c>
      <c r="C1473" t="s">
        <v>5</v>
      </c>
      <c r="D1473">
        <v>13.12</v>
      </c>
    </row>
    <row r="1474" spans="2:4">
      <c r="B1474" s="3">
        <v>42902</v>
      </c>
      <c r="C1474" t="s">
        <v>5</v>
      </c>
      <c r="D1474">
        <v>5.9359999999999991</v>
      </c>
    </row>
    <row r="1475" spans="2:4">
      <c r="B1475" s="3">
        <v>42824</v>
      </c>
      <c r="C1475" t="s">
        <v>5</v>
      </c>
      <c r="D1475">
        <v>325.86</v>
      </c>
    </row>
    <row r="1476" spans="2:4">
      <c r="B1476" s="3">
        <v>42855</v>
      </c>
      <c r="C1476" t="s">
        <v>5</v>
      </c>
      <c r="D1476">
        <v>5.76</v>
      </c>
    </row>
    <row r="1477" spans="2:4">
      <c r="B1477" s="3">
        <v>43029</v>
      </c>
      <c r="C1477" t="s">
        <v>5</v>
      </c>
      <c r="D1477">
        <v>8.5590000000000011</v>
      </c>
    </row>
    <row r="1478" spans="2:4">
      <c r="B1478" s="3">
        <v>43004</v>
      </c>
      <c r="C1478" t="s">
        <v>3</v>
      </c>
      <c r="D1478">
        <v>419.13599999999997</v>
      </c>
    </row>
    <row r="1479" spans="2:4">
      <c r="B1479" s="3">
        <v>43072</v>
      </c>
      <c r="C1479" t="s">
        <v>5</v>
      </c>
      <c r="D1479">
        <v>45.216000000000001</v>
      </c>
    </row>
    <row r="1480" spans="2:4">
      <c r="B1480" s="3">
        <v>43072</v>
      </c>
      <c r="C1480" t="s">
        <v>5</v>
      </c>
      <c r="D1480">
        <v>28.782000000000004</v>
      </c>
    </row>
    <row r="1481" spans="2:4">
      <c r="B1481" s="3">
        <v>43072</v>
      </c>
      <c r="C1481" t="s">
        <v>5</v>
      </c>
      <c r="D1481">
        <v>24.448</v>
      </c>
    </row>
    <row r="1482" spans="2:4">
      <c r="B1482" s="3">
        <v>42933</v>
      </c>
      <c r="C1482" t="s">
        <v>4</v>
      </c>
      <c r="D1482">
        <v>479.98400000000004</v>
      </c>
    </row>
    <row r="1483" spans="2:4">
      <c r="B1483" s="3">
        <v>43041</v>
      </c>
      <c r="C1483" t="s">
        <v>5</v>
      </c>
      <c r="D1483">
        <v>76.58</v>
      </c>
    </row>
    <row r="1484" spans="2:4">
      <c r="B1484" s="3">
        <v>43041</v>
      </c>
      <c r="C1484" t="s">
        <v>5</v>
      </c>
      <c r="D1484">
        <v>8.8000000000000007</v>
      </c>
    </row>
    <row r="1485" spans="2:4">
      <c r="B1485" s="3">
        <v>43041</v>
      </c>
      <c r="C1485" t="s">
        <v>5</v>
      </c>
      <c r="D1485">
        <v>590.35199999999998</v>
      </c>
    </row>
    <row r="1486" spans="2:4">
      <c r="B1486" s="3">
        <v>43041</v>
      </c>
      <c r="C1486" t="s">
        <v>5</v>
      </c>
      <c r="D1486">
        <v>5.58</v>
      </c>
    </row>
    <row r="1487" spans="2:4">
      <c r="B1487" s="3">
        <v>43041</v>
      </c>
      <c r="C1487" t="s">
        <v>3</v>
      </c>
      <c r="D1487">
        <v>25.02</v>
      </c>
    </row>
    <row r="1488" spans="2:4">
      <c r="B1488" s="3">
        <v>43041</v>
      </c>
      <c r="C1488" t="s">
        <v>5</v>
      </c>
      <c r="D1488">
        <v>452.55000000000007</v>
      </c>
    </row>
    <row r="1489" spans="2:4">
      <c r="B1489" s="3">
        <v>42975</v>
      </c>
      <c r="C1489" t="s">
        <v>5</v>
      </c>
      <c r="D1489">
        <v>21.81</v>
      </c>
    </row>
    <row r="1490" spans="2:4">
      <c r="B1490" s="3">
        <v>42975</v>
      </c>
      <c r="C1490" t="s">
        <v>5</v>
      </c>
      <c r="D1490">
        <v>91.6</v>
      </c>
    </row>
    <row r="1491" spans="2:4">
      <c r="B1491" s="3">
        <v>43048</v>
      </c>
      <c r="C1491" t="s">
        <v>3</v>
      </c>
      <c r="D1491">
        <v>47.12</v>
      </c>
    </row>
    <row r="1492" spans="2:4">
      <c r="B1492" s="3">
        <v>43093</v>
      </c>
      <c r="C1492" t="s">
        <v>4</v>
      </c>
      <c r="D1492">
        <v>2879.9520000000002</v>
      </c>
    </row>
    <row r="1493" spans="2:4">
      <c r="B1493" s="3">
        <v>43093</v>
      </c>
      <c r="C1493" t="s">
        <v>5</v>
      </c>
      <c r="D1493">
        <v>90.480000000000018</v>
      </c>
    </row>
    <row r="1494" spans="2:4">
      <c r="B1494" s="3">
        <v>42987</v>
      </c>
      <c r="C1494" t="s">
        <v>5</v>
      </c>
      <c r="D1494">
        <v>8.8320000000000007</v>
      </c>
    </row>
    <row r="1495" spans="2:4">
      <c r="B1495" s="3">
        <v>42987</v>
      </c>
      <c r="C1495" t="s">
        <v>5</v>
      </c>
      <c r="D1495">
        <v>177.536</v>
      </c>
    </row>
    <row r="1496" spans="2:4">
      <c r="B1496" s="3">
        <v>42987</v>
      </c>
      <c r="C1496" t="s">
        <v>5</v>
      </c>
      <c r="D1496">
        <v>258.48</v>
      </c>
    </row>
    <row r="1497" spans="2:4">
      <c r="B1497" s="3">
        <v>42987</v>
      </c>
      <c r="C1497" t="s">
        <v>3</v>
      </c>
      <c r="D1497">
        <v>14.135999999999999</v>
      </c>
    </row>
    <row r="1498" spans="2:4">
      <c r="B1498" s="3">
        <v>42950</v>
      </c>
      <c r="C1498" t="s">
        <v>5</v>
      </c>
      <c r="D1498">
        <v>51.75</v>
      </c>
    </row>
    <row r="1499" spans="2:4">
      <c r="B1499" s="3">
        <v>42950</v>
      </c>
      <c r="C1499" t="s">
        <v>3</v>
      </c>
      <c r="D1499">
        <v>123.96000000000001</v>
      </c>
    </row>
    <row r="1500" spans="2:4">
      <c r="B1500" s="3">
        <v>42806</v>
      </c>
      <c r="C1500" t="s">
        <v>5</v>
      </c>
      <c r="D1500">
        <v>242.94</v>
      </c>
    </row>
    <row r="1501" spans="2:4">
      <c r="B1501" s="3">
        <v>42852</v>
      </c>
      <c r="C1501" t="s">
        <v>5</v>
      </c>
      <c r="D1501">
        <v>123.92</v>
      </c>
    </row>
    <row r="1502" spans="2:4">
      <c r="B1502" s="3">
        <v>42852</v>
      </c>
      <c r="C1502" t="s">
        <v>5</v>
      </c>
      <c r="D1502">
        <v>12.39</v>
      </c>
    </row>
    <row r="1503" spans="2:4">
      <c r="B1503" s="3">
        <v>42852</v>
      </c>
      <c r="C1503" t="s">
        <v>5</v>
      </c>
      <c r="D1503">
        <v>47.3</v>
      </c>
    </row>
    <row r="1504" spans="2:4">
      <c r="B1504" s="3">
        <v>43030</v>
      </c>
      <c r="C1504" t="s">
        <v>5</v>
      </c>
      <c r="D1504">
        <v>3.1680000000000006</v>
      </c>
    </row>
    <row r="1505" spans="2:4">
      <c r="B1505" s="3">
        <v>43030</v>
      </c>
      <c r="C1505" t="s">
        <v>3</v>
      </c>
      <c r="D1505">
        <v>579.13599999999997</v>
      </c>
    </row>
    <row r="1506" spans="2:4">
      <c r="B1506" s="3">
        <v>42869</v>
      </c>
      <c r="C1506" t="s">
        <v>5</v>
      </c>
      <c r="D1506">
        <v>440.18999999999994</v>
      </c>
    </row>
    <row r="1507" spans="2:4">
      <c r="B1507" s="3">
        <v>42869</v>
      </c>
      <c r="C1507" t="s">
        <v>5</v>
      </c>
      <c r="D1507">
        <v>64.400000000000006</v>
      </c>
    </row>
    <row r="1508" spans="2:4">
      <c r="B1508" s="3">
        <v>42833</v>
      </c>
      <c r="C1508" t="s">
        <v>5</v>
      </c>
      <c r="D1508">
        <v>244.54999999999998</v>
      </c>
    </row>
    <row r="1509" spans="2:4">
      <c r="B1509" s="3">
        <v>42833</v>
      </c>
      <c r="C1509" t="s">
        <v>5</v>
      </c>
      <c r="D1509">
        <v>195.76</v>
      </c>
    </row>
    <row r="1510" spans="2:4">
      <c r="B1510" s="3">
        <v>42783</v>
      </c>
      <c r="C1510" t="s">
        <v>5</v>
      </c>
      <c r="D1510">
        <v>11.76</v>
      </c>
    </row>
    <row r="1511" spans="2:4">
      <c r="B1511" s="3">
        <v>42783</v>
      </c>
      <c r="C1511" t="s">
        <v>5</v>
      </c>
      <c r="D1511">
        <v>166.45</v>
      </c>
    </row>
    <row r="1512" spans="2:4">
      <c r="B1512" s="3">
        <v>42910</v>
      </c>
      <c r="C1512" t="s">
        <v>5</v>
      </c>
      <c r="D1512">
        <v>2.88</v>
      </c>
    </row>
    <row r="1513" spans="2:4">
      <c r="B1513" s="3">
        <v>42861</v>
      </c>
      <c r="C1513" t="s">
        <v>5</v>
      </c>
      <c r="D1513">
        <v>11.059999999999999</v>
      </c>
    </row>
    <row r="1514" spans="2:4">
      <c r="B1514" s="3">
        <v>42861</v>
      </c>
      <c r="C1514" t="s">
        <v>3</v>
      </c>
      <c r="D1514">
        <v>623.46479999999997</v>
      </c>
    </row>
    <row r="1515" spans="2:4">
      <c r="B1515" s="3">
        <v>42861</v>
      </c>
      <c r="C1515" t="s">
        <v>5</v>
      </c>
      <c r="D1515">
        <v>772.68000000000006</v>
      </c>
    </row>
    <row r="1516" spans="2:4">
      <c r="B1516" s="3">
        <v>42821</v>
      </c>
      <c r="C1516" t="s">
        <v>3</v>
      </c>
      <c r="D1516">
        <v>15.008000000000003</v>
      </c>
    </row>
    <row r="1517" spans="2:4">
      <c r="B1517" s="3">
        <v>42824</v>
      </c>
      <c r="C1517" t="s">
        <v>5</v>
      </c>
      <c r="D1517">
        <v>5.7150000000000016</v>
      </c>
    </row>
    <row r="1518" spans="2:4">
      <c r="B1518" s="3">
        <v>42866</v>
      </c>
      <c r="C1518" t="s">
        <v>5</v>
      </c>
      <c r="D1518">
        <v>5.2480000000000002</v>
      </c>
    </row>
    <row r="1519" spans="2:4">
      <c r="B1519" s="3">
        <v>42866</v>
      </c>
      <c r="C1519" t="s">
        <v>5</v>
      </c>
      <c r="D1519">
        <v>74.415999999999997</v>
      </c>
    </row>
    <row r="1520" spans="2:4">
      <c r="B1520" s="3">
        <v>42866</v>
      </c>
      <c r="C1520" t="s">
        <v>5</v>
      </c>
      <c r="D1520">
        <v>6.8480000000000008</v>
      </c>
    </row>
    <row r="1521" spans="2:4">
      <c r="B1521" s="3">
        <v>42866</v>
      </c>
      <c r="C1521" t="s">
        <v>3</v>
      </c>
      <c r="D1521">
        <v>7.9959999999999996</v>
      </c>
    </row>
    <row r="1522" spans="2:4">
      <c r="B1522" s="3">
        <v>42915</v>
      </c>
      <c r="C1522" t="s">
        <v>5</v>
      </c>
      <c r="D1522">
        <v>895.92</v>
      </c>
    </row>
    <row r="1523" spans="2:4">
      <c r="B1523" s="3">
        <v>42915</v>
      </c>
      <c r="C1523" t="s">
        <v>5</v>
      </c>
      <c r="D1523">
        <v>130.71</v>
      </c>
    </row>
    <row r="1524" spans="2:4">
      <c r="B1524" s="3">
        <v>42915</v>
      </c>
      <c r="C1524" t="s">
        <v>5</v>
      </c>
      <c r="D1524">
        <v>11.68</v>
      </c>
    </row>
    <row r="1525" spans="2:4">
      <c r="B1525" s="3">
        <v>42915</v>
      </c>
      <c r="C1525" t="s">
        <v>4</v>
      </c>
      <c r="D1525">
        <v>62.31</v>
      </c>
    </row>
    <row r="1526" spans="2:4">
      <c r="B1526" s="3">
        <v>42873</v>
      </c>
      <c r="C1526" t="s">
        <v>4</v>
      </c>
      <c r="D1526">
        <v>344.70400000000001</v>
      </c>
    </row>
    <row r="1527" spans="2:4">
      <c r="B1527" s="3">
        <v>43072</v>
      </c>
      <c r="C1527" t="s">
        <v>3</v>
      </c>
      <c r="D1527">
        <v>521.96</v>
      </c>
    </row>
    <row r="1528" spans="2:4">
      <c r="B1528" s="3">
        <v>42979</v>
      </c>
      <c r="C1528" t="s">
        <v>5</v>
      </c>
      <c r="D1528">
        <v>7.58</v>
      </c>
    </row>
    <row r="1529" spans="2:4">
      <c r="B1529" s="3">
        <v>43051</v>
      </c>
      <c r="C1529" t="s">
        <v>5</v>
      </c>
      <c r="D1529">
        <v>9.9600000000000009</v>
      </c>
    </row>
    <row r="1530" spans="2:4">
      <c r="B1530" s="3">
        <v>43051</v>
      </c>
      <c r="C1530" t="s">
        <v>5</v>
      </c>
      <c r="D1530">
        <v>9.2099999999999991</v>
      </c>
    </row>
    <row r="1531" spans="2:4">
      <c r="B1531" s="3">
        <v>43051</v>
      </c>
      <c r="C1531" t="s">
        <v>5</v>
      </c>
      <c r="D1531">
        <v>27.93</v>
      </c>
    </row>
    <row r="1532" spans="2:4">
      <c r="B1532" s="3">
        <v>42799</v>
      </c>
      <c r="C1532" t="s">
        <v>5</v>
      </c>
      <c r="D1532">
        <v>7.9</v>
      </c>
    </row>
    <row r="1533" spans="2:4">
      <c r="B1533" s="3">
        <v>42799</v>
      </c>
      <c r="C1533" t="s">
        <v>5</v>
      </c>
      <c r="D1533">
        <v>221.16</v>
      </c>
    </row>
    <row r="1534" spans="2:4">
      <c r="B1534" s="3">
        <v>42799</v>
      </c>
      <c r="C1534" t="s">
        <v>5</v>
      </c>
      <c r="D1534">
        <v>127.96</v>
      </c>
    </row>
    <row r="1535" spans="2:4">
      <c r="B1535" s="3">
        <v>42799</v>
      </c>
      <c r="C1535" t="s">
        <v>5</v>
      </c>
      <c r="D1535">
        <v>18.690000000000001</v>
      </c>
    </row>
    <row r="1536" spans="2:4">
      <c r="B1536" s="3">
        <v>43059</v>
      </c>
      <c r="C1536" t="s">
        <v>3</v>
      </c>
      <c r="D1536">
        <v>209.56799999999998</v>
      </c>
    </row>
    <row r="1537" spans="2:4">
      <c r="B1537" s="3">
        <v>42769</v>
      </c>
      <c r="C1537" t="s">
        <v>5</v>
      </c>
      <c r="D1537">
        <v>3.8820000000000006</v>
      </c>
    </row>
    <row r="1538" spans="2:4">
      <c r="B1538" s="3">
        <v>42769</v>
      </c>
      <c r="C1538" t="s">
        <v>5</v>
      </c>
      <c r="D1538">
        <v>115.29600000000001</v>
      </c>
    </row>
    <row r="1539" spans="2:4">
      <c r="B1539" s="3">
        <v>42999</v>
      </c>
      <c r="C1539" t="s">
        <v>5</v>
      </c>
      <c r="D1539">
        <v>1.9080000000000004</v>
      </c>
    </row>
    <row r="1540" spans="2:4">
      <c r="B1540" s="3">
        <v>42855</v>
      </c>
      <c r="C1540" t="s">
        <v>5</v>
      </c>
      <c r="D1540">
        <v>43.371999999999993</v>
      </c>
    </row>
    <row r="1541" spans="2:4">
      <c r="B1541" s="3">
        <v>43063</v>
      </c>
      <c r="C1541" t="s">
        <v>5</v>
      </c>
      <c r="D1541">
        <v>27.76</v>
      </c>
    </row>
    <row r="1542" spans="2:4">
      <c r="B1542" s="3">
        <v>42888</v>
      </c>
      <c r="C1542" t="s">
        <v>5</v>
      </c>
      <c r="D1542">
        <v>25.344000000000001</v>
      </c>
    </row>
    <row r="1543" spans="2:4">
      <c r="B1543" s="3">
        <v>43062</v>
      </c>
      <c r="C1543" t="s">
        <v>3</v>
      </c>
      <c r="D1543">
        <v>6.4640000000000004</v>
      </c>
    </row>
    <row r="1544" spans="2:4">
      <c r="B1544" s="3">
        <v>43062</v>
      </c>
      <c r="C1544" t="s">
        <v>5</v>
      </c>
      <c r="D1544">
        <v>11.52</v>
      </c>
    </row>
    <row r="1545" spans="2:4">
      <c r="B1545" s="3">
        <v>43062</v>
      </c>
      <c r="C1545" t="s">
        <v>4</v>
      </c>
      <c r="D1545">
        <v>222.38400000000001</v>
      </c>
    </row>
    <row r="1546" spans="2:4">
      <c r="B1546" s="3">
        <v>43055</v>
      </c>
      <c r="C1546" t="s">
        <v>5</v>
      </c>
      <c r="D1546">
        <v>23.36</v>
      </c>
    </row>
    <row r="1547" spans="2:4">
      <c r="B1547" s="3">
        <v>43046</v>
      </c>
      <c r="C1547" t="s">
        <v>5</v>
      </c>
      <c r="D1547">
        <v>100.94</v>
      </c>
    </row>
    <row r="1548" spans="2:4">
      <c r="B1548" s="3">
        <v>42763</v>
      </c>
      <c r="C1548" t="s">
        <v>5</v>
      </c>
      <c r="D1548">
        <v>279.89999999999998</v>
      </c>
    </row>
    <row r="1549" spans="2:4">
      <c r="B1549" s="3">
        <v>42929</v>
      </c>
      <c r="C1549" t="s">
        <v>4</v>
      </c>
      <c r="D1549">
        <v>39.593999999999994</v>
      </c>
    </row>
    <row r="1550" spans="2:4">
      <c r="B1550" s="3">
        <v>42929</v>
      </c>
      <c r="C1550" t="s">
        <v>3</v>
      </c>
      <c r="D1550">
        <v>91.00800000000001</v>
      </c>
    </row>
    <row r="1551" spans="2:4">
      <c r="B1551" s="3">
        <v>42894</v>
      </c>
      <c r="C1551" t="s">
        <v>5</v>
      </c>
      <c r="D1551">
        <v>10.36</v>
      </c>
    </row>
    <row r="1552" spans="2:4">
      <c r="B1552" s="3">
        <v>43051</v>
      </c>
      <c r="C1552" t="s">
        <v>5</v>
      </c>
      <c r="D1552">
        <v>14.016</v>
      </c>
    </row>
    <row r="1553" spans="2:4">
      <c r="B1553" s="3">
        <v>43013</v>
      </c>
      <c r="C1553" t="s">
        <v>5</v>
      </c>
      <c r="D1553">
        <v>39.92</v>
      </c>
    </row>
    <row r="1554" spans="2:4">
      <c r="B1554" s="3">
        <v>43013</v>
      </c>
      <c r="C1554" t="s">
        <v>5</v>
      </c>
      <c r="D1554">
        <v>61.96</v>
      </c>
    </row>
    <row r="1555" spans="2:4">
      <c r="B1555" s="3">
        <v>43013</v>
      </c>
      <c r="C1555" t="s">
        <v>5</v>
      </c>
      <c r="D1555">
        <v>19.936000000000003</v>
      </c>
    </row>
    <row r="1556" spans="2:4">
      <c r="B1556" s="3">
        <v>42887</v>
      </c>
      <c r="C1556" t="s">
        <v>5</v>
      </c>
      <c r="D1556">
        <v>3.7980000000000005</v>
      </c>
    </row>
    <row r="1557" spans="2:4">
      <c r="B1557" s="3">
        <v>42887</v>
      </c>
      <c r="C1557" t="s">
        <v>5</v>
      </c>
      <c r="D1557">
        <v>27.744000000000003</v>
      </c>
    </row>
    <row r="1558" spans="2:4">
      <c r="B1558" s="3">
        <v>42887</v>
      </c>
      <c r="C1558" t="s">
        <v>4</v>
      </c>
      <c r="D1558">
        <v>158.37599999999998</v>
      </c>
    </row>
    <row r="1559" spans="2:4">
      <c r="B1559" s="3">
        <v>43059</v>
      </c>
      <c r="C1559" t="s">
        <v>3</v>
      </c>
      <c r="D1559">
        <v>27.58</v>
      </c>
    </row>
    <row r="1560" spans="2:4">
      <c r="B1560" s="3">
        <v>43007</v>
      </c>
      <c r="C1560" t="s">
        <v>5</v>
      </c>
      <c r="D1560">
        <v>243.92</v>
      </c>
    </row>
    <row r="1561" spans="2:4">
      <c r="B1561" s="3">
        <v>43084</v>
      </c>
      <c r="C1561" t="s">
        <v>5</v>
      </c>
      <c r="D1561">
        <v>10.192000000000002</v>
      </c>
    </row>
    <row r="1562" spans="2:4">
      <c r="B1562" s="3">
        <v>42912</v>
      </c>
      <c r="C1562" t="s">
        <v>4</v>
      </c>
      <c r="D1562">
        <v>239.96999999999997</v>
      </c>
    </row>
    <row r="1563" spans="2:4">
      <c r="B1563" s="3">
        <v>43052</v>
      </c>
      <c r="C1563" t="s">
        <v>3</v>
      </c>
      <c r="D1563">
        <v>2404.7040000000002</v>
      </c>
    </row>
    <row r="1564" spans="2:4">
      <c r="B1564" s="3">
        <v>43052</v>
      </c>
      <c r="C1564" t="s">
        <v>5</v>
      </c>
      <c r="D1564">
        <v>563.024</v>
      </c>
    </row>
    <row r="1565" spans="2:4">
      <c r="B1565" s="3">
        <v>43052</v>
      </c>
      <c r="C1565" t="s">
        <v>5</v>
      </c>
      <c r="D1565">
        <v>344.90999999999997</v>
      </c>
    </row>
    <row r="1566" spans="2:4">
      <c r="B1566" s="3">
        <v>43052</v>
      </c>
      <c r="C1566" t="s">
        <v>5</v>
      </c>
      <c r="D1566">
        <v>8.64</v>
      </c>
    </row>
    <row r="1567" spans="2:4">
      <c r="B1567" s="3">
        <v>43063</v>
      </c>
      <c r="C1567" t="s">
        <v>4</v>
      </c>
      <c r="D1567">
        <v>89.987999999999985</v>
      </c>
    </row>
    <row r="1568" spans="2:4">
      <c r="B1568" s="3">
        <v>43063</v>
      </c>
      <c r="C1568" t="s">
        <v>5</v>
      </c>
      <c r="D1568">
        <v>229.54400000000001</v>
      </c>
    </row>
    <row r="1569" spans="2:4">
      <c r="B1569" s="3">
        <v>42878</v>
      </c>
      <c r="C1569" t="s">
        <v>5</v>
      </c>
      <c r="D1569">
        <v>1.8239999999999998</v>
      </c>
    </row>
    <row r="1570" spans="2:4">
      <c r="B1570" s="3">
        <v>42878</v>
      </c>
      <c r="C1570" t="s">
        <v>5</v>
      </c>
      <c r="D1570">
        <v>18.319999999999997</v>
      </c>
    </row>
    <row r="1571" spans="2:4">
      <c r="B1571" s="3">
        <v>42878</v>
      </c>
      <c r="C1571" t="s">
        <v>5</v>
      </c>
      <c r="D1571">
        <v>48.816000000000003</v>
      </c>
    </row>
    <row r="1572" spans="2:4">
      <c r="B1572" s="3">
        <v>42878</v>
      </c>
      <c r="C1572" t="s">
        <v>5</v>
      </c>
      <c r="D1572">
        <v>1.1879999999999997</v>
      </c>
    </row>
    <row r="1573" spans="2:4">
      <c r="B1573" s="3">
        <v>43041</v>
      </c>
      <c r="C1573" t="s">
        <v>5</v>
      </c>
      <c r="D1573">
        <v>5.32</v>
      </c>
    </row>
    <row r="1574" spans="2:4">
      <c r="B1574" s="3">
        <v>43041</v>
      </c>
      <c r="C1574" t="s">
        <v>3</v>
      </c>
      <c r="D1574">
        <v>975.92</v>
      </c>
    </row>
    <row r="1575" spans="2:4">
      <c r="B1575" s="3">
        <v>43041</v>
      </c>
      <c r="C1575" t="s">
        <v>4</v>
      </c>
      <c r="D1575">
        <v>2249.91</v>
      </c>
    </row>
    <row r="1576" spans="2:4">
      <c r="B1576" s="3">
        <v>43041</v>
      </c>
      <c r="C1576" t="s">
        <v>5</v>
      </c>
      <c r="D1576">
        <v>59.92</v>
      </c>
    </row>
    <row r="1577" spans="2:4">
      <c r="B1577" s="3">
        <v>42802</v>
      </c>
      <c r="C1577" t="s">
        <v>5</v>
      </c>
      <c r="D1577">
        <v>171.20000000000002</v>
      </c>
    </row>
    <row r="1578" spans="2:4">
      <c r="B1578" s="3">
        <v>42802</v>
      </c>
      <c r="C1578" t="s">
        <v>5</v>
      </c>
      <c r="D1578">
        <v>3.36</v>
      </c>
    </row>
    <row r="1579" spans="2:4">
      <c r="B1579" s="3">
        <v>43086</v>
      </c>
      <c r="C1579" t="s">
        <v>5</v>
      </c>
      <c r="D1579">
        <v>481.32</v>
      </c>
    </row>
    <row r="1580" spans="2:4">
      <c r="B1580" s="3">
        <v>43086</v>
      </c>
      <c r="C1580" t="s">
        <v>5</v>
      </c>
      <c r="D1580">
        <v>13.98</v>
      </c>
    </row>
    <row r="1581" spans="2:4">
      <c r="B1581" s="3">
        <v>42801</v>
      </c>
      <c r="C1581" t="s">
        <v>5</v>
      </c>
      <c r="D1581">
        <v>25.92</v>
      </c>
    </row>
    <row r="1582" spans="2:4">
      <c r="B1582" s="3">
        <v>42801</v>
      </c>
      <c r="C1582" t="s">
        <v>5</v>
      </c>
      <c r="D1582">
        <v>91.59</v>
      </c>
    </row>
    <row r="1583" spans="2:4">
      <c r="B1583" s="3">
        <v>42749</v>
      </c>
      <c r="C1583" t="s">
        <v>5</v>
      </c>
      <c r="D1583">
        <v>18.335999999999999</v>
      </c>
    </row>
    <row r="1584" spans="2:4">
      <c r="B1584" s="3">
        <v>42749</v>
      </c>
      <c r="C1584" t="s">
        <v>5</v>
      </c>
      <c r="D1584">
        <v>36.288000000000011</v>
      </c>
    </row>
    <row r="1585" spans="2:4">
      <c r="B1585" s="3">
        <v>42749</v>
      </c>
      <c r="C1585" t="s">
        <v>4</v>
      </c>
      <c r="D1585">
        <v>111.98399999999999</v>
      </c>
    </row>
    <row r="1586" spans="2:4">
      <c r="B1586" s="3">
        <v>42749</v>
      </c>
      <c r="C1586" t="s">
        <v>5</v>
      </c>
      <c r="D1586">
        <v>5.9700000000000006</v>
      </c>
    </row>
    <row r="1587" spans="2:4">
      <c r="B1587" s="3">
        <v>42749</v>
      </c>
      <c r="C1587" t="s">
        <v>5</v>
      </c>
      <c r="D1587">
        <v>2.508</v>
      </c>
    </row>
    <row r="1588" spans="2:4">
      <c r="B1588" s="3">
        <v>43017</v>
      </c>
      <c r="C1588" t="s">
        <v>5</v>
      </c>
      <c r="D1588">
        <v>67.144000000000005</v>
      </c>
    </row>
    <row r="1589" spans="2:4">
      <c r="B1589" s="3">
        <v>43017</v>
      </c>
      <c r="C1589" t="s">
        <v>3</v>
      </c>
      <c r="D1589">
        <v>254.05799999999999</v>
      </c>
    </row>
    <row r="1590" spans="2:4">
      <c r="B1590" s="3">
        <v>42966</v>
      </c>
      <c r="C1590" t="s">
        <v>5</v>
      </c>
      <c r="D1590">
        <v>2.2959999999999994</v>
      </c>
    </row>
    <row r="1591" spans="2:4">
      <c r="B1591" s="3">
        <v>43094</v>
      </c>
      <c r="C1591" t="s">
        <v>5</v>
      </c>
      <c r="D1591">
        <v>96.08</v>
      </c>
    </row>
    <row r="1592" spans="2:4">
      <c r="B1592" s="3">
        <v>43094</v>
      </c>
      <c r="C1592" t="s">
        <v>5</v>
      </c>
      <c r="D1592">
        <v>3.62</v>
      </c>
    </row>
    <row r="1593" spans="2:4">
      <c r="B1593" s="3">
        <v>43094</v>
      </c>
      <c r="C1593" t="s">
        <v>5</v>
      </c>
      <c r="D1593">
        <v>629.09999999999991</v>
      </c>
    </row>
    <row r="1594" spans="2:4">
      <c r="B1594" s="3">
        <v>43094</v>
      </c>
      <c r="C1594" t="s">
        <v>4</v>
      </c>
      <c r="D1594">
        <v>90.48</v>
      </c>
    </row>
    <row r="1595" spans="2:4">
      <c r="B1595" s="3">
        <v>42988</v>
      </c>
      <c r="C1595" t="s">
        <v>5</v>
      </c>
      <c r="D1595">
        <v>14.88</v>
      </c>
    </row>
    <row r="1596" spans="2:4">
      <c r="B1596" s="3">
        <v>43027</v>
      </c>
      <c r="C1596" t="s">
        <v>3</v>
      </c>
      <c r="D1596">
        <v>91.275000000000006</v>
      </c>
    </row>
    <row r="1597" spans="2:4">
      <c r="B1597" s="3">
        <v>43070</v>
      </c>
      <c r="C1597" t="s">
        <v>5</v>
      </c>
      <c r="D1597">
        <v>19.440000000000001</v>
      </c>
    </row>
    <row r="1598" spans="2:4">
      <c r="B1598" s="3">
        <v>43070</v>
      </c>
      <c r="C1598" t="s">
        <v>3</v>
      </c>
      <c r="D1598">
        <v>897.15000000000009</v>
      </c>
    </row>
    <row r="1599" spans="2:4">
      <c r="B1599" s="3">
        <v>42819</v>
      </c>
      <c r="C1599" t="s">
        <v>5</v>
      </c>
      <c r="D1599">
        <v>23.1</v>
      </c>
    </row>
    <row r="1600" spans="2:4">
      <c r="B1600" s="3">
        <v>42741</v>
      </c>
      <c r="C1600" t="s">
        <v>5</v>
      </c>
      <c r="D1600">
        <v>33.74</v>
      </c>
    </row>
    <row r="1601" spans="2:4">
      <c r="B1601" s="3">
        <v>43090</v>
      </c>
      <c r="C1601" t="s">
        <v>5</v>
      </c>
      <c r="D1601">
        <v>375.34</v>
      </c>
    </row>
    <row r="1602" spans="2:4">
      <c r="B1602" s="3">
        <v>43066</v>
      </c>
      <c r="C1602" t="s">
        <v>5</v>
      </c>
      <c r="D1602">
        <v>117.48800000000001</v>
      </c>
    </row>
    <row r="1603" spans="2:4">
      <c r="B1603" s="3">
        <v>43066</v>
      </c>
      <c r="C1603" t="s">
        <v>3</v>
      </c>
      <c r="D1603">
        <v>18.84</v>
      </c>
    </row>
    <row r="1604" spans="2:4">
      <c r="B1604" s="3">
        <v>43077</v>
      </c>
      <c r="C1604" t="s">
        <v>5</v>
      </c>
      <c r="D1604">
        <v>69.48</v>
      </c>
    </row>
    <row r="1605" spans="2:4">
      <c r="B1605" s="3">
        <v>42978</v>
      </c>
      <c r="C1605" t="s">
        <v>5</v>
      </c>
      <c r="D1605">
        <v>6.6719999999999988</v>
      </c>
    </row>
    <row r="1606" spans="2:4">
      <c r="B1606" s="3">
        <v>42978</v>
      </c>
      <c r="C1606" t="s">
        <v>4</v>
      </c>
      <c r="D1606">
        <v>689.40800000000002</v>
      </c>
    </row>
    <row r="1607" spans="2:4">
      <c r="B1607" s="3">
        <v>43076</v>
      </c>
      <c r="C1607" t="s">
        <v>5</v>
      </c>
      <c r="D1607">
        <v>1889.9899999999998</v>
      </c>
    </row>
    <row r="1608" spans="2:4">
      <c r="B1608" s="3">
        <v>42804</v>
      </c>
      <c r="C1608" t="s">
        <v>5</v>
      </c>
      <c r="D1608">
        <v>48.783999999999999</v>
      </c>
    </row>
    <row r="1609" spans="2:4">
      <c r="B1609" s="3">
        <v>42804</v>
      </c>
      <c r="C1609" t="s">
        <v>5</v>
      </c>
      <c r="D1609">
        <v>13.092000000000002</v>
      </c>
    </row>
    <row r="1610" spans="2:4">
      <c r="B1610" s="3">
        <v>42862</v>
      </c>
      <c r="C1610" t="s">
        <v>4</v>
      </c>
      <c r="D1610">
        <v>79.989999999999995</v>
      </c>
    </row>
    <row r="1611" spans="2:4">
      <c r="B1611" s="3">
        <v>42866</v>
      </c>
      <c r="C1611" t="s">
        <v>3</v>
      </c>
      <c r="D1611">
        <v>209.97900000000001</v>
      </c>
    </row>
    <row r="1612" spans="2:4">
      <c r="B1612" s="3">
        <v>42937</v>
      </c>
      <c r="C1612" t="s">
        <v>5</v>
      </c>
      <c r="D1612">
        <v>33.930000000000007</v>
      </c>
    </row>
    <row r="1613" spans="2:4">
      <c r="B1613" s="3">
        <v>42937</v>
      </c>
      <c r="C1613" t="s">
        <v>5</v>
      </c>
      <c r="D1613">
        <v>222.32000000000005</v>
      </c>
    </row>
    <row r="1614" spans="2:4">
      <c r="B1614" s="3">
        <v>42937</v>
      </c>
      <c r="C1614" t="s">
        <v>4</v>
      </c>
      <c r="D1614">
        <v>210.56400000000002</v>
      </c>
    </row>
    <row r="1615" spans="2:4">
      <c r="B1615" s="3">
        <v>42817</v>
      </c>
      <c r="C1615" t="s">
        <v>5</v>
      </c>
      <c r="D1615">
        <v>347.58</v>
      </c>
    </row>
    <row r="1616" spans="2:4">
      <c r="B1616" s="3">
        <v>42945</v>
      </c>
      <c r="C1616" t="s">
        <v>5</v>
      </c>
      <c r="D1616">
        <v>33.479999999999997</v>
      </c>
    </row>
    <row r="1617" spans="2:4">
      <c r="B1617" s="3">
        <v>42945</v>
      </c>
      <c r="C1617" t="s">
        <v>4</v>
      </c>
      <c r="D1617">
        <v>461.97</v>
      </c>
    </row>
    <row r="1618" spans="2:4">
      <c r="B1618" s="3">
        <v>42945</v>
      </c>
      <c r="C1618" t="s">
        <v>5</v>
      </c>
      <c r="D1618">
        <v>137.62</v>
      </c>
    </row>
    <row r="1619" spans="2:4">
      <c r="B1619" s="3">
        <v>42945</v>
      </c>
      <c r="C1619" t="s">
        <v>3</v>
      </c>
      <c r="D1619">
        <v>302.67</v>
      </c>
    </row>
    <row r="1620" spans="2:4">
      <c r="B1620" s="3">
        <v>42764</v>
      </c>
      <c r="C1620" t="s">
        <v>5</v>
      </c>
      <c r="D1620">
        <v>8.34</v>
      </c>
    </row>
    <row r="1621" spans="2:4">
      <c r="B1621" s="3">
        <v>42764</v>
      </c>
      <c r="C1621" t="s">
        <v>5</v>
      </c>
      <c r="D1621">
        <v>8.57</v>
      </c>
    </row>
    <row r="1622" spans="2:4">
      <c r="B1622" s="3">
        <v>42764</v>
      </c>
      <c r="C1622" t="s">
        <v>5</v>
      </c>
      <c r="D1622">
        <v>119.61600000000001</v>
      </c>
    </row>
    <row r="1623" spans="2:4">
      <c r="B1623" s="3">
        <v>43056</v>
      </c>
      <c r="C1623" t="s">
        <v>4</v>
      </c>
      <c r="D1623">
        <v>239.96000000000004</v>
      </c>
    </row>
    <row r="1624" spans="2:4">
      <c r="B1624" s="3">
        <v>42874</v>
      </c>
      <c r="C1624" t="s">
        <v>5</v>
      </c>
      <c r="D1624">
        <v>195.64</v>
      </c>
    </row>
    <row r="1625" spans="2:4">
      <c r="B1625" s="3">
        <v>43000</v>
      </c>
      <c r="C1625" t="s">
        <v>4</v>
      </c>
      <c r="D1625">
        <v>391.98</v>
      </c>
    </row>
    <row r="1626" spans="2:4">
      <c r="B1626" s="3">
        <v>43069</v>
      </c>
      <c r="C1626" t="s">
        <v>4</v>
      </c>
      <c r="D1626">
        <v>383.97600000000006</v>
      </c>
    </row>
    <row r="1627" spans="2:4">
      <c r="B1627" s="3">
        <v>43069</v>
      </c>
      <c r="C1627" t="s">
        <v>3</v>
      </c>
      <c r="D1627">
        <v>1781.6819999999998</v>
      </c>
    </row>
    <row r="1628" spans="2:4">
      <c r="B1628" s="3">
        <v>42750</v>
      </c>
      <c r="C1628" t="s">
        <v>5</v>
      </c>
      <c r="D1628">
        <v>21.400000000000002</v>
      </c>
    </row>
    <row r="1629" spans="2:4">
      <c r="B1629" s="3">
        <v>42850</v>
      </c>
      <c r="C1629" t="s">
        <v>5</v>
      </c>
      <c r="D1629">
        <v>13.904</v>
      </c>
    </row>
    <row r="1630" spans="2:4">
      <c r="B1630" s="3">
        <v>43050</v>
      </c>
      <c r="C1630" t="s">
        <v>5</v>
      </c>
      <c r="D1630">
        <v>18.240000000000002</v>
      </c>
    </row>
    <row r="1631" spans="2:4">
      <c r="B1631" s="3">
        <v>43064</v>
      </c>
      <c r="C1631" t="s">
        <v>3</v>
      </c>
      <c r="D1631">
        <v>359.49899999999997</v>
      </c>
    </row>
    <row r="1632" spans="2:4">
      <c r="B1632" s="3">
        <v>43064</v>
      </c>
      <c r="C1632" t="s">
        <v>5</v>
      </c>
      <c r="D1632">
        <v>10.48</v>
      </c>
    </row>
    <row r="1633" spans="2:4">
      <c r="B1633" s="3">
        <v>42951</v>
      </c>
      <c r="C1633" t="s">
        <v>5</v>
      </c>
      <c r="D1633">
        <v>7.9680000000000009</v>
      </c>
    </row>
    <row r="1634" spans="2:4">
      <c r="B1634" s="3">
        <v>42951</v>
      </c>
      <c r="C1634" t="s">
        <v>5</v>
      </c>
      <c r="D1634">
        <v>8.7840000000000007</v>
      </c>
    </row>
    <row r="1635" spans="2:4">
      <c r="B1635" s="3">
        <v>43099</v>
      </c>
      <c r="C1635" t="s">
        <v>5</v>
      </c>
      <c r="D1635">
        <v>3.024</v>
      </c>
    </row>
    <row r="1636" spans="2:4">
      <c r="B1636" s="3">
        <v>42850</v>
      </c>
      <c r="C1636" t="s">
        <v>5</v>
      </c>
      <c r="D1636">
        <v>42.047999999999995</v>
      </c>
    </row>
    <row r="1637" spans="2:4">
      <c r="B1637" s="3">
        <v>42850</v>
      </c>
      <c r="C1637" t="s">
        <v>5</v>
      </c>
      <c r="D1637">
        <v>67.92</v>
      </c>
    </row>
    <row r="1638" spans="2:4">
      <c r="B1638" s="3">
        <v>42941</v>
      </c>
      <c r="C1638" t="s">
        <v>5</v>
      </c>
      <c r="D1638">
        <v>3.3040000000000003</v>
      </c>
    </row>
    <row r="1639" spans="2:4">
      <c r="B1639" s="3">
        <v>43050</v>
      </c>
      <c r="C1639" t="s">
        <v>5</v>
      </c>
      <c r="D1639">
        <v>35.479999999999997</v>
      </c>
    </row>
    <row r="1640" spans="2:4">
      <c r="B1640" s="3">
        <v>43098</v>
      </c>
      <c r="C1640" t="s">
        <v>3</v>
      </c>
      <c r="D1640">
        <v>101.12</v>
      </c>
    </row>
    <row r="1641" spans="2:4">
      <c r="B1641" s="3">
        <v>43065</v>
      </c>
      <c r="C1641" t="s">
        <v>5</v>
      </c>
      <c r="D1641">
        <v>58.730000000000004</v>
      </c>
    </row>
    <row r="1642" spans="2:4">
      <c r="B1642" s="3">
        <v>43065</v>
      </c>
      <c r="C1642" t="s">
        <v>5</v>
      </c>
      <c r="D1642">
        <v>93.344000000000008</v>
      </c>
    </row>
    <row r="1643" spans="2:4">
      <c r="B1643" s="3">
        <v>43007</v>
      </c>
      <c r="C1643" t="s">
        <v>5</v>
      </c>
      <c r="D1643">
        <v>23.34</v>
      </c>
    </row>
    <row r="1644" spans="2:4">
      <c r="B1644" s="3">
        <v>43007</v>
      </c>
      <c r="C1644" t="s">
        <v>5</v>
      </c>
      <c r="D1644">
        <v>51.550000000000004</v>
      </c>
    </row>
    <row r="1645" spans="2:4">
      <c r="B1645" s="3">
        <v>42768</v>
      </c>
      <c r="C1645" t="s">
        <v>3</v>
      </c>
      <c r="D1645">
        <v>86.26</v>
      </c>
    </row>
    <row r="1646" spans="2:4">
      <c r="B1646" s="3">
        <v>42768</v>
      </c>
      <c r="C1646" t="s">
        <v>5</v>
      </c>
      <c r="D1646">
        <v>139.04</v>
      </c>
    </row>
    <row r="1647" spans="2:4">
      <c r="B1647" s="3">
        <v>42768</v>
      </c>
      <c r="C1647" t="s">
        <v>5</v>
      </c>
      <c r="D1647">
        <v>46.8</v>
      </c>
    </row>
    <row r="1648" spans="2:4">
      <c r="B1648" s="3">
        <v>43093</v>
      </c>
      <c r="C1648" t="s">
        <v>3</v>
      </c>
      <c r="D1648">
        <v>8.5440000000000005</v>
      </c>
    </row>
    <row r="1649" spans="2:4">
      <c r="B1649" s="3">
        <v>43093</v>
      </c>
      <c r="C1649" t="s">
        <v>3</v>
      </c>
      <c r="D1649">
        <v>842.37600000000009</v>
      </c>
    </row>
    <row r="1650" spans="2:4">
      <c r="B1650" s="3">
        <v>42800</v>
      </c>
      <c r="C1650" t="s">
        <v>5</v>
      </c>
      <c r="D1650">
        <v>67.78</v>
      </c>
    </row>
    <row r="1651" spans="2:4">
      <c r="B1651" s="3">
        <v>43003</v>
      </c>
      <c r="C1651" t="s">
        <v>5</v>
      </c>
      <c r="D1651">
        <v>39.900000000000006</v>
      </c>
    </row>
    <row r="1652" spans="2:4">
      <c r="B1652" s="3">
        <v>42916</v>
      </c>
      <c r="C1652" t="s">
        <v>4</v>
      </c>
      <c r="D1652">
        <v>1001.5840000000001</v>
      </c>
    </row>
    <row r="1653" spans="2:4">
      <c r="B1653" s="3">
        <v>42916</v>
      </c>
      <c r="C1653" t="s">
        <v>3</v>
      </c>
      <c r="D1653">
        <v>569.05799999999999</v>
      </c>
    </row>
    <row r="1654" spans="2:4">
      <c r="B1654" s="3">
        <v>42916</v>
      </c>
      <c r="C1654" t="s">
        <v>3</v>
      </c>
      <c r="D1654">
        <v>14.224000000000002</v>
      </c>
    </row>
    <row r="1655" spans="2:4">
      <c r="B1655" s="3">
        <v>43027</v>
      </c>
      <c r="C1655" t="s">
        <v>5</v>
      </c>
      <c r="D1655">
        <v>2.0719999999999996</v>
      </c>
    </row>
    <row r="1656" spans="2:4">
      <c r="B1656" s="3">
        <v>43027</v>
      </c>
      <c r="C1656" t="s">
        <v>3</v>
      </c>
      <c r="D1656">
        <v>328.39919999999995</v>
      </c>
    </row>
    <row r="1657" spans="2:4">
      <c r="B1657" s="3">
        <v>42990</v>
      </c>
      <c r="C1657" t="s">
        <v>5</v>
      </c>
      <c r="D1657">
        <v>45.36</v>
      </c>
    </row>
    <row r="1658" spans="2:4">
      <c r="B1658" s="3">
        <v>42990</v>
      </c>
      <c r="C1658" t="s">
        <v>5</v>
      </c>
      <c r="D1658">
        <v>45.78</v>
      </c>
    </row>
    <row r="1659" spans="2:4">
      <c r="B1659" s="3">
        <v>43002</v>
      </c>
      <c r="C1659" t="s">
        <v>5</v>
      </c>
      <c r="D1659">
        <v>40.29</v>
      </c>
    </row>
    <row r="1660" spans="2:4">
      <c r="B1660" s="3">
        <v>43002</v>
      </c>
      <c r="C1660" t="s">
        <v>5</v>
      </c>
      <c r="D1660">
        <v>38.71</v>
      </c>
    </row>
    <row r="1661" spans="2:4">
      <c r="B1661" s="3">
        <v>43053</v>
      </c>
      <c r="C1661" t="s">
        <v>4</v>
      </c>
      <c r="D1661">
        <v>167.95200000000003</v>
      </c>
    </row>
    <row r="1662" spans="2:4">
      <c r="B1662" s="3">
        <v>43053</v>
      </c>
      <c r="C1662" t="s">
        <v>5</v>
      </c>
      <c r="D1662">
        <v>45.04</v>
      </c>
    </row>
    <row r="1663" spans="2:4">
      <c r="B1663" s="3">
        <v>42860</v>
      </c>
      <c r="C1663" t="s">
        <v>5</v>
      </c>
      <c r="D1663">
        <v>23.16</v>
      </c>
    </row>
    <row r="1664" spans="2:4">
      <c r="B1664" s="3">
        <v>42987</v>
      </c>
      <c r="C1664" t="s">
        <v>5</v>
      </c>
      <c r="D1664">
        <v>17.48</v>
      </c>
    </row>
    <row r="1665" spans="2:4">
      <c r="B1665" s="3">
        <v>42840</v>
      </c>
      <c r="C1665" t="s">
        <v>5</v>
      </c>
      <c r="D1665">
        <v>79.14</v>
      </c>
    </row>
    <row r="1666" spans="2:4">
      <c r="B1666" s="3">
        <v>42896</v>
      </c>
      <c r="C1666" t="s">
        <v>5</v>
      </c>
      <c r="D1666">
        <v>8.4</v>
      </c>
    </row>
    <row r="1667" spans="2:4">
      <c r="B1667" s="3">
        <v>42979</v>
      </c>
      <c r="C1667" t="s">
        <v>3</v>
      </c>
      <c r="D1667">
        <v>498.26000000000005</v>
      </c>
    </row>
    <row r="1668" spans="2:4">
      <c r="B1668" s="3">
        <v>42873</v>
      </c>
      <c r="C1668" t="s">
        <v>5</v>
      </c>
      <c r="D1668">
        <v>706.86</v>
      </c>
    </row>
    <row r="1669" spans="2:4">
      <c r="B1669" s="3">
        <v>42873</v>
      </c>
      <c r="C1669" t="s">
        <v>4</v>
      </c>
      <c r="D1669">
        <v>114.94999999999999</v>
      </c>
    </row>
    <row r="1670" spans="2:4">
      <c r="B1670" s="3">
        <v>42873</v>
      </c>
      <c r="C1670" t="s">
        <v>5</v>
      </c>
      <c r="D1670">
        <v>43.19</v>
      </c>
    </row>
    <row r="1671" spans="2:4">
      <c r="B1671" s="3">
        <v>42990</v>
      </c>
      <c r="C1671" t="s">
        <v>5</v>
      </c>
      <c r="D1671">
        <v>166.44</v>
      </c>
    </row>
    <row r="1672" spans="2:4">
      <c r="B1672" s="3">
        <v>42813</v>
      </c>
      <c r="C1672" t="s">
        <v>5</v>
      </c>
      <c r="D1672">
        <v>14.624000000000002</v>
      </c>
    </row>
    <row r="1673" spans="2:4">
      <c r="B1673" s="3">
        <v>42813</v>
      </c>
      <c r="C1673" t="s">
        <v>3</v>
      </c>
      <c r="D1673">
        <v>697.16</v>
      </c>
    </row>
    <row r="1674" spans="2:4">
      <c r="B1674" s="3">
        <v>42813</v>
      </c>
      <c r="C1674" t="s">
        <v>3</v>
      </c>
      <c r="D1674">
        <v>30.93</v>
      </c>
    </row>
    <row r="1675" spans="2:4">
      <c r="B1675" s="3">
        <v>42813</v>
      </c>
      <c r="C1675" t="s">
        <v>5</v>
      </c>
      <c r="D1675">
        <v>27.496000000000002</v>
      </c>
    </row>
    <row r="1676" spans="2:4">
      <c r="B1676" s="3">
        <v>42969</v>
      </c>
      <c r="C1676" t="s">
        <v>3</v>
      </c>
      <c r="D1676">
        <v>210.00800000000001</v>
      </c>
    </row>
    <row r="1677" spans="2:4">
      <c r="B1677" s="3">
        <v>42951</v>
      </c>
      <c r="C1677" t="s">
        <v>5</v>
      </c>
      <c r="D1677">
        <v>3.3179999999999996</v>
      </c>
    </row>
    <row r="1678" spans="2:4">
      <c r="B1678" s="3">
        <v>43042</v>
      </c>
      <c r="C1678" t="s">
        <v>4</v>
      </c>
      <c r="D1678">
        <v>43.5</v>
      </c>
    </row>
    <row r="1679" spans="2:4">
      <c r="B1679" s="3">
        <v>42738</v>
      </c>
      <c r="C1679" t="s">
        <v>5</v>
      </c>
      <c r="D1679">
        <v>38.880000000000003</v>
      </c>
    </row>
    <row r="1680" spans="2:4">
      <c r="B1680" s="3">
        <v>43017</v>
      </c>
      <c r="C1680" t="s">
        <v>5</v>
      </c>
      <c r="D1680">
        <v>35.200000000000003</v>
      </c>
    </row>
    <row r="1681" spans="2:4">
      <c r="B1681" s="3">
        <v>43028</v>
      </c>
      <c r="C1681" t="s">
        <v>5</v>
      </c>
      <c r="D1681">
        <v>45.527999999999999</v>
      </c>
    </row>
    <row r="1682" spans="2:4">
      <c r="B1682" s="3">
        <v>43008</v>
      </c>
      <c r="C1682" t="s">
        <v>5</v>
      </c>
      <c r="D1682">
        <v>11.76</v>
      </c>
    </row>
    <row r="1683" spans="2:4">
      <c r="B1683" s="3">
        <v>43008</v>
      </c>
      <c r="C1683" t="s">
        <v>5</v>
      </c>
      <c r="D1683">
        <v>167.94</v>
      </c>
    </row>
    <row r="1684" spans="2:4">
      <c r="B1684" s="3">
        <v>43008</v>
      </c>
      <c r="C1684" t="s">
        <v>5</v>
      </c>
      <c r="D1684">
        <v>3.89</v>
      </c>
    </row>
    <row r="1685" spans="2:4">
      <c r="B1685" s="3">
        <v>43055</v>
      </c>
      <c r="C1685" t="s">
        <v>4</v>
      </c>
      <c r="D1685">
        <v>52.44</v>
      </c>
    </row>
    <row r="1686" spans="2:4">
      <c r="B1686" s="3">
        <v>42989</v>
      </c>
      <c r="C1686" t="s">
        <v>3</v>
      </c>
      <c r="D1686">
        <v>32.36</v>
      </c>
    </row>
    <row r="1687" spans="2:4">
      <c r="B1687" s="3">
        <v>42989</v>
      </c>
      <c r="C1687" t="s">
        <v>5</v>
      </c>
      <c r="D1687">
        <v>406.59999999999997</v>
      </c>
    </row>
    <row r="1688" spans="2:4">
      <c r="B1688" s="3">
        <v>42751</v>
      </c>
      <c r="C1688" t="s">
        <v>3</v>
      </c>
      <c r="D1688">
        <v>27.92</v>
      </c>
    </row>
    <row r="1689" spans="2:4">
      <c r="B1689" s="3">
        <v>42751</v>
      </c>
      <c r="C1689" t="s">
        <v>3</v>
      </c>
      <c r="D1689">
        <v>399.67200000000003</v>
      </c>
    </row>
    <row r="1690" spans="2:4">
      <c r="B1690" s="3">
        <v>43083</v>
      </c>
      <c r="C1690" t="s">
        <v>4</v>
      </c>
      <c r="D1690">
        <v>159.80000000000001</v>
      </c>
    </row>
    <row r="1691" spans="2:4">
      <c r="B1691" s="3">
        <v>43083</v>
      </c>
      <c r="C1691" t="s">
        <v>4</v>
      </c>
      <c r="D1691">
        <v>44.75</v>
      </c>
    </row>
    <row r="1692" spans="2:4">
      <c r="B1692" s="3">
        <v>42985</v>
      </c>
      <c r="C1692" t="s">
        <v>4</v>
      </c>
      <c r="D1692">
        <v>13.48</v>
      </c>
    </row>
    <row r="1693" spans="2:4">
      <c r="B1693" s="3">
        <v>43015</v>
      </c>
      <c r="C1693" t="s">
        <v>5</v>
      </c>
      <c r="D1693">
        <v>85.52</v>
      </c>
    </row>
    <row r="1694" spans="2:4">
      <c r="B1694" s="3">
        <v>42860</v>
      </c>
      <c r="C1694" t="s">
        <v>5</v>
      </c>
      <c r="D1694">
        <v>21.240000000000002</v>
      </c>
    </row>
    <row r="1695" spans="2:4">
      <c r="B1695" s="3">
        <v>42860</v>
      </c>
      <c r="C1695" t="s">
        <v>5</v>
      </c>
      <c r="D1695">
        <v>9.5520000000000014</v>
      </c>
    </row>
    <row r="1696" spans="2:4">
      <c r="B1696" s="3">
        <v>42860</v>
      </c>
      <c r="C1696" t="s">
        <v>3</v>
      </c>
      <c r="D1696">
        <v>89.991000000000014</v>
      </c>
    </row>
    <row r="1697" spans="2:4">
      <c r="B1697" s="3">
        <v>42855</v>
      </c>
      <c r="C1697" t="s">
        <v>5</v>
      </c>
      <c r="D1697">
        <v>163.96</v>
      </c>
    </row>
    <row r="1698" spans="2:4">
      <c r="B1698" s="3">
        <v>42906</v>
      </c>
      <c r="C1698" t="s">
        <v>5</v>
      </c>
      <c r="D1698">
        <v>4.4640000000000004</v>
      </c>
    </row>
    <row r="1699" spans="2:4">
      <c r="B1699" s="3">
        <v>42962</v>
      </c>
      <c r="C1699" t="s">
        <v>5</v>
      </c>
      <c r="D1699">
        <v>50.4</v>
      </c>
    </row>
    <row r="1700" spans="2:4">
      <c r="B1700" s="3">
        <v>42798</v>
      </c>
      <c r="C1700" t="s">
        <v>5</v>
      </c>
      <c r="D1700">
        <v>89.567999999999998</v>
      </c>
    </row>
    <row r="1701" spans="2:4">
      <c r="B1701" s="3">
        <v>42943</v>
      </c>
      <c r="C1701" t="s">
        <v>3</v>
      </c>
      <c r="D1701">
        <v>14.89</v>
      </c>
    </row>
    <row r="1702" spans="2:4">
      <c r="B1702" s="3">
        <v>42943</v>
      </c>
      <c r="C1702" t="s">
        <v>4</v>
      </c>
      <c r="D1702">
        <v>543.91999999999996</v>
      </c>
    </row>
    <row r="1703" spans="2:4">
      <c r="B1703" s="3">
        <v>43058</v>
      </c>
      <c r="C1703" t="s">
        <v>3</v>
      </c>
      <c r="D1703">
        <v>191.05799999999999</v>
      </c>
    </row>
    <row r="1704" spans="2:4">
      <c r="B1704" s="3">
        <v>43058</v>
      </c>
      <c r="C1704" t="s">
        <v>5</v>
      </c>
      <c r="D1704">
        <v>13.040000000000001</v>
      </c>
    </row>
    <row r="1705" spans="2:4">
      <c r="B1705" s="3">
        <v>43058</v>
      </c>
      <c r="C1705" t="s">
        <v>5</v>
      </c>
      <c r="D1705">
        <v>1525.1879999999996</v>
      </c>
    </row>
    <row r="1706" spans="2:4">
      <c r="B1706" s="3">
        <v>42855</v>
      </c>
      <c r="C1706" t="s">
        <v>3</v>
      </c>
      <c r="D1706">
        <v>64.959999999999994</v>
      </c>
    </row>
    <row r="1707" spans="2:4">
      <c r="B1707" s="3">
        <v>42855</v>
      </c>
      <c r="C1707" t="s">
        <v>5</v>
      </c>
      <c r="D1707">
        <v>30.56</v>
      </c>
    </row>
    <row r="1708" spans="2:4">
      <c r="B1708" s="3">
        <v>43010</v>
      </c>
      <c r="C1708" t="s">
        <v>3</v>
      </c>
      <c r="D1708">
        <v>11.808</v>
      </c>
    </row>
    <row r="1709" spans="2:4">
      <c r="B1709" s="3">
        <v>43010</v>
      </c>
      <c r="C1709" t="s">
        <v>3</v>
      </c>
      <c r="D1709">
        <v>9.6560000000000006</v>
      </c>
    </row>
    <row r="1710" spans="2:4">
      <c r="B1710" s="3">
        <v>43010</v>
      </c>
      <c r="C1710" t="s">
        <v>5</v>
      </c>
      <c r="D1710">
        <v>20.736000000000004</v>
      </c>
    </row>
    <row r="1711" spans="2:4">
      <c r="B1711" s="3">
        <v>43010</v>
      </c>
      <c r="C1711" t="s">
        <v>5</v>
      </c>
      <c r="D1711">
        <v>27.360000000000003</v>
      </c>
    </row>
    <row r="1712" spans="2:4">
      <c r="B1712" s="3">
        <v>43010</v>
      </c>
      <c r="C1712" t="s">
        <v>3</v>
      </c>
      <c r="D1712">
        <v>2314.116</v>
      </c>
    </row>
    <row r="1713" spans="2:4">
      <c r="B1713" s="3">
        <v>43010</v>
      </c>
      <c r="C1713" t="s">
        <v>5</v>
      </c>
      <c r="D1713">
        <v>34.236000000000004</v>
      </c>
    </row>
    <row r="1714" spans="2:4">
      <c r="B1714" s="3">
        <v>43010</v>
      </c>
      <c r="C1714" t="s">
        <v>3</v>
      </c>
      <c r="D1714">
        <v>19.760000000000002</v>
      </c>
    </row>
    <row r="1715" spans="2:4">
      <c r="B1715" s="3">
        <v>42996</v>
      </c>
      <c r="C1715" t="s">
        <v>5</v>
      </c>
      <c r="D1715">
        <v>15.96</v>
      </c>
    </row>
    <row r="1716" spans="2:4">
      <c r="B1716" s="3">
        <v>43024</v>
      </c>
      <c r="C1716" t="s">
        <v>5</v>
      </c>
      <c r="D1716">
        <v>307.77600000000001</v>
      </c>
    </row>
    <row r="1717" spans="2:4">
      <c r="B1717" s="3">
        <v>42815</v>
      </c>
      <c r="C1717" t="s">
        <v>5</v>
      </c>
      <c r="D1717">
        <v>725.84</v>
      </c>
    </row>
    <row r="1718" spans="2:4">
      <c r="B1718" s="3">
        <v>42815</v>
      </c>
      <c r="C1718" t="s">
        <v>5</v>
      </c>
      <c r="D1718">
        <v>10.896000000000001</v>
      </c>
    </row>
    <row r="1719" spans="2:4">
      <c r="B1719" s="3">
        <v>42815</v>
      </c>
      <c r="C1719" t="s">
        <v>5</v>
      </c>
      <c r="D1719">
        <v>8.5440000000000005</v>
      </c>
    </row>
    <row r="1720" spans="2:4">
      <c r="B1720" s="3">
        <v>43078</v>
      </c>
      <c r="C1720" t="s">
        <v>5</v>
      </c>
      <c r="D1720">
        <v>143.85600000000002</v>
      </c>
    </row>
    <row r="1721" spans="2:4">
      <c r="B1721" s="3">
        <v>42839</v>
      </c>
      <c r="C1721" t="s">
        <v>3</v>
      </c>
      <c r="D1721">
        <v>198.27200000000002</v>
      </c>
    </row>
    <row r="1722" spans="2:4">
      <c r="B1722" s="3">
        <v>42895</v>
      </c>
      <c r="C1722" t="s">
        <v>5</v>
      </c>
      <c r="D1722">
        <v>720.7600000000001</v>
      </c>
    </row>
    <row r="1723" spans="2:4">
      <c r="B1723" s="3">
        <v>42896</v>
      </c>
      <c r="C1723" t="s">
        <v>4</v>
      </c>
      <c r="D1723">
        <v>88.77600000000001</v>
      </c>
    </row>
    <row r="1724" spans="2:4">
      <c r="B1724" s="3">
        <v>42896</v>
      </c>
      <c r="C1724" t="s">
        <v>5</v>
      </c>
      <c r="D1724">
        <v>11.56</v>
      </c>
    </row>
    <row r="1725" spans="2:4">
      <c r="B1725" s="3">
        <v>42896</v>
      </c>
      <c r="C1725" t="s">
        <v>5</v>
      </c>
      <c r="D1725">
        <v>15.58</v>
      </c>
    </row>
    <row r="1726" spans="2:4">
      <c r="B1726" s="3">
        <v>42988</v>
      </c>
      <c r="C1726" t="s">
        <v>5</v>
      </c>
      <c r="D1726">
        <v>85.055999999999997</v>
      </c>
    </row>
    <row r="1727" spans="2:4">
      <c r="B1727" s="3">
        <v>42833</v>
      </c>
      <c r="C1727" t="s">
        <v>3</v>
      </c>
      <c r="D1727">
        <v>273.95999999999998</v>
      </c>
    </row>
    <row r="1728" spans="2:4">
      <c r="B1728" s="3">
        <v>42833</v>
      </c>
      <c r="C1728" t="s">
        <v>3</v>
      </c>
      <c r="D1728">
        <v>306.89999999999998</v>
      </c>
    </row>
    <row r="1729" spans="2:4">
      <c r="B1729" s="3">
        <v>42882</v>
      </c>
      <c r="C1729" t="s">
        <v>4</v>
      </c>
      <c r="D1729">
        <v>98.16</v>
      </c>
    </row>
    <row r="1730" spans="2:4">
      <c r="B1730" s="3">
        <v>42882</v>
      </c>
      <c r="C1730" t="s">
        <v>5</v>
      </c>
      <c r="D1730">
        <v>31.44</v>
      </c>
    </row>
    <row r="1731" spans="2:4">
      <c r="B1731" s="3">
        <v>42912</v>
      </c>
      <c r="C1731" t="s">
        <v>4</v>
      </c>
      <c r="D1731">
        <v>358.2</v>
      </c>
    </row>
    <row r="1732" spans="2:4">
      <c r="B1732" s="3">
        <v>42912</v>
      </c>
      <c r="C1732" t="s">
        <v>4</v>
      </c>
      <c r="D1732">
        <v>545.91599999999994</v>
      </c>
    </row>
    <row r="1733" spans="2:4">
      <c r="B1733" s="3">
        <v>42806</v>
      </c>
      <c r="C1733" t="s">
        <v>5</v>
      </c>
      <c r="D1733">
        <v>40.410000000000004</v>
      </c>
    </row>
    <row r="1734" spans="2:4">
      <c r="B1734" s="3">
        <v>42784</v>
      </c>
      <c r="C1734" t="s">
        <v>4</v>
      </c>
      <c r="D1734">
        <v>167.976</v>
      </c>
    </row>
    <row r="1735" spans="2:4">
      <c r="B1735" s="3">
        <v>42784</v>
      </c>
      <c r="C1735" t="s">
        <v>4</v>
      </c>
      <c r="D1735">
        <v>109.53</v>
      </c>
    </row>
    <row r="1736" spans="2:4">
      <c r="B1736" s="3">
        <v>42784</v>
      </c>
      <c r="C1736" t="s">
        <v>5</v>
      </c>
      <c r="D1736">
        <v>9.82</v>
      </c>
    </row>
    <row r="1737" spans="2:4">
      <c r="B1737" s="3">
        <v>43049</v>
      </c>
      <c r="C1737" t="s">
        <v>5</v>
      </c>
      <c r="D1737">
        <v>26.352000000000004</v>
      </c>
    </row>
    <row r="1738" spans="2:4">
      <c r="B1738" s="3">
        <v>42999</v>
      </c>
      <c r="C1738" t="s">
        <v>4</v>
      </c>
      <c r="D1738">
        <v>71.98</v>
      </c>
    </row>
    <row r="1739" spans="2:4">
      <c r="B1739" s="3">
        <v>42999</v>
      </c>
      <c r="C1739" t="s">
        <v>4</v>
      </c>
      <c r="D1739">
        <v>79.98</v>
      </c>
    </row>
    <row r="1740" spans="2:4">
      <c r="B1740" s="3">
        <v>42971</v>
      </c>
      <c r="C1740" t="s">
        <v>5</v>
      </c>
      <c r="D1740">
        <v>24.672000000000001</v>
      </c>
    </row>
    <row r="1741" spans="2:4">
      <c r="B1741" s="3">
        <v>42971</v>
      </c>
      <c r="C1741" t="s">
        <v>5</v>
      </c>
      <c r="D1741">
        <v>3.7439999999999998</v>
      </c>
    </row>
    <row r="1742" spans="2:4">
      <c r="B1742" s="3">
        <v>43077</v>
      </c>
      <c r="C1742" t="s">
        <v>5</v>
      </c>
      <c r="D1742">
        <v>87.92</v>
      </c>
    </row>
    <row r="1743" spans="2:4">
      <c r="B1743" s="3">
        <v>43077</v>
      </c>
      <c r="C1743" t="s">
        <v>5</v>
      </c>
      <c r="D1743">
        <v>22.424000000000003</v>
      </c>
    </row>
    <row r="1744" spans="2:4">
      <c r="B1744" s="3">
        <v>43077</v>
      </c>
      <c r="C1744" t="s">
        <v>5</v>
      </c>
      <c r="D1744">
        <v>90.480000000000018</v>
      </c>
    </row>
    <row r="1745" spans="2:4">
      <c r="B1745" s="3">
        <v>43077</v>
      </c>
      <c r="C1745" t="s">
        <v>5</v>
      </c>
      <c r="D1745">
        <v>42.76</v>
      </c>
    </row>
    <row r="1746" spans="2:4">
      <c r="B1746" s="3">
        <v>42996</v>
      </c>
      <c r="C1746" t="s">
        <v>5</v>
      </c>
      <c r="D1746">
        <v>10.080000000000002</v>
      </c>
    </row>
    <row r="1747" spans="2:4">
      <c r="B1747" s="3">
        <v>42996</v>
      </c>
      <c r="C1747" t="s">
        <v>4</v>
      </c>
      <c r="D1747">
        <v>101.34</v>
      </c>
    </row>
    <row r="1748" spans="2:4">
      <c r="B1748" s="3">
        <v>43001</v>
      </c>
      <c r="C1748" t="s">
        <v>5</v>
      </c>
      <c r="D1748">
        <v>73.175999999999974</v>
      </c>
    </row>
    <row r="1749" spans="2:4">
      <c r="B1749" s="3">
        <v>43001</v>
      </c>
      <c r="C1749" t="s">
        <v>5</v>
      </c>
      <c r="D1749">
        <v>20.736000000000004</v>
      </c>
    </row>
    <row r="1750" spans="2:4">
      <c r="B1750" s="3">
        <v>43001</v>
      </c>
      <c r="C1750" t="s">
        <v>4</v>
      </c>
      <c r="D1750">
        <v>39.984000000000002</v>
      </c>
    </row>
    <row r="1751" spans="2:4">
      <c r="B1751" s="3">
        <v>43042</v>
      </c>
      <c r="C1751" t="s">
        <v>5</v>
      </c>
      <c r="D1751">
        <v>26.400000000000002</v>
      </c>
    </row>
    <row r="1752" spans="2:4">
      <c r="B1752" s="3">
        <v>42755</v>
      </c>
      <c r="C1752" t="s">
        <v>5</v>
      </c>
      <c r="D1752">
        <v>3.52</v>
      </c>
    </row>
    <row r="1753" spans="2:4">
      <c r="B1753" s="3">
        <v>43029</v>
      </c>
      <c r="C1753" t="s">
        <v>5</v>
      </c>
      <c r="D1753">
        <v>161.56800000000001</v>
      </c>
    </row>
    <row r="1754" spans="2:4">
      <c r="B1754" s="3">
        <v>43029</v>
      </c>
      <c r="C1754" t="s">
        <v>5</v>
      </c>
      <c r="D1754">
        <v>4.0640000000000001</v>
      </c>
    </row>
    <row r="1755" spans="2:4">
      <c r="B1755" s="3">
        <v>43029</v>
      </c>
      <c r="C1755" t="s">
        <v>5</v>
      </c>
      <c r="D1755">
        <v>6.2160000000000002</v>
      </c>
    </row>
    <row r="1756" spans="2:4">
      <c r="B1756" s="3">
        <v>42850</v>
      </c>
      <c r="C1756" t="s">
        <v>5</v>
      </c>
      <c r="D1756">
        <v>8.895999999999999</v>
      </c>
    </row>
    <row r="1757" spans="2:4">
      <c r="B1757" s="3">
        <v>43052</v>
      </c>
      <c r="C1757" t="s">
        <v>5</v>
      </c>
      <c r="D1757">
        <v>2.0640000000000001</v>
      </c>
    </row>
    <row r="1758" spans="2:4">
      <c r="B1758" s="3">
        <v>42987</v>
      </c>
      <c r="C1758" t="s">
        <v>5</v>
      </c>
      <c r="D1758">
        <v>6.3680000000000003</v>
      </c>
    </row>
    <row r="1759" spans="2:4">
      <c r="B1759" s="3">
        <v>42874</v>
      </c>
      <c r="C1759" t="s">
        <v>5</v>
      </c>
      <c r="D1759">
        <v>38.016000000000005</v>
      </c>
    </row>
    <row r="1760" spans="2:4">
      <c r="B1760" s="3">
        <v>42853</v>
      </c>
      <c r="C1760" t="s">
        <v>5</v>
      </c>
      <c r="D1760">
        <v>8.3840000000000003</v>
      </c>
    </row>
    <row r="1761" spans="2:4">
      <c r="B1761" s="3">
        <v>42853</v>
      </c>
      <c r="C1761" t="s">
        <v>5</v>
      </c>
      <c r="D1761">
        <v>6.8480000000000008</v>
      </c>
    </row>
    <row r="1762" spans="2:4">
      <c r="B1762" s="3">
        <v>43098</v>
      </c>
      <c r="C1762" t="s">
        <v>5</v>
      </c>
      <c r="D1762">
        <v>19.600000000000001</v>
      </c>
    </row>
    <row r="1763" spans="2:4">
      <c r="B1763" s="3">
        <v>43098</v>
      </c>
      <c r="C1763" t="s">
        <v>3</v>
      </c>
      <c r="D1763">
        <v>68.459999999999994</v>
      </c>
    </row>
    <row r="1764" spans="2:4">
      <c r="B1764" s="3">
        <v>42982</v>
      </c>
      <c r="C1764" t="s">
        <v>5</v>
      </c>
      <c r="D1764">
        <v>13.343999999999998</v>
      </c>
    </row>
    <row r="1765" spans="2:4">
      <c r="B1765" s="3">
        <v>42982</v>
      </c>
      <c r="C1765" t="s">
        <v>3</v>
      </c>
      <c r="D1765">
        <v>1478.2719999999999</v>
      </c>
    </row>
    <row r="1766" spans="2:4">
      <c r="B1766" s="3">
        <v>43006</v>
      </c>
      <c r="C1766" t="s">
        <v>3</v>
      </c>
      <c r="D1766">
        <v>9.24</v>
      </c>
    </row>
    <row r="1767" spans="2:4">
      <c r="B1767" s="3">
        <v>43088</v>
      </c>
      <c r="C1767" t="s">
        <v>3</v>
      </c>
      <c r="D1767">
        <v>13.360000000000001</v>
      </c>
    </row>
    <row r="1768" spans="2:4">
      <c r="B1768" s="3">
        <v>43088</v>
      </c>
      <c r="C1768" t="s">
        <v>5</v>
      </c>
      <c r="D1768">
        <v>78.256</v>
      </c>
    </row>
    <row r="1769" spans="2:4">
      <c r="B1769" s="3">
        <v>43088</v>
      </c>
      <c r="C1769" t="s">
        <v>3</v>
      </c>
      <c r="D1769">
        <v>102.01800000000001</v>
      </c>
    </row>
    <row r="1770" spans="2:4">
      <c r="B1770" s="3">
        <v>43095</v>
      </c>
      <c r="C1770" t="s">
        <v>5</v>
      </c>
      <c r="D1770">
        <v>750.68</v>
      </c>
    </row>
    <row r="1771" spans="2:4">
      <c r="B1771" s="3">
        <v>42901</v>
      </c>
      <c r="C1771" t="s">
        <v>5</v>
      </c>
      <c r="D1771">
        <v>44.400000000000006</v>
      </c>
    </row>
    <row r="1772" spans="2:4">
      <c r="B1772" s="3">
        <v>42901</v>
      </c>
      <c r="C1772" t="s">
        <v>5</v>
      </c>
      <c r="D1772">
        <v>84.55</v>
      </c>
    </row>
    <row r="1773" spans="2:4">
      <c r="B1773" s="3">
        <v>42901</v>
      </c>
      <c r="C1773" t="s">
        <v>5</v>
      </c>
      <c r="D1773">
        <v>17.940000000000001</v>
      </c>
    </row>
    <row r="1774" spans="2:4">
      <c r="B1774" s="3">
        <v>43016</v>
      </c>
      <c r="C1774" t="s">
        <v>4</v>
      </c>
      <c r="D1774">
        <v>103.19200000000001</v>
      </c>
    </row>
    <row r="1775" spans="2:4">
      <c r="B1775" s="3">
        <v>43016</v>
      </c>
      <c r="C1775" t="s">
        <v>4</v>
      </c>
      <c r="D1775">
        <v>36</v>
      </c>
    </row>
    <row r="1776" spans="2:4">
      <c r="B1776" s="3">
        <v>43016</v>
      </c>
      <c r="C1776" t="s">
        <v>4</v>
      </c>
      <c r="D1776">
        <v>239.96</v>
      </c>
    </row>
    <row r="1777" spans="2:4">
      <c r="B1777" s="3">
        <v>43016</v>
      </c>
      <c r="C1777" t="s">
        <v>5</v>
      </c>
      <c r="D1777">
        <v>40.68</v>
      </c>
    </row>
    <row r="1778" spans="2:4">
      <c r="B1778" s="3">
        <v>42765</v>
      </c>
      <c r="C1778" t="s">
        <v>3</v>
      </c>
      <c r="D1778">
        <v>419.13599999999997</v>
      </c>
    </row>
    <row r="1779" spans="2:4">
      <c r="B1779" s="3">
        <v>42826</v>
      </c>
      <c r="C1779" t="s">
        <v>4</v>
      </c>
      <c r="D1779">
        <v>23.976000000000003</v>
      </c>
    </row>
    <row r="1780" spans="2:4">
      <c r="B1780" s="3">
        <v>42826</v>
      </c>
      <c r="C1780" t="s">
        <v>5</v>
      </c>
      <c r="D1780">
        <v>6.2640000000000002</v>
      </c>
    </row>
    <row r="1781" spans="2:4">
      <c r="B1781" s="3">
        <v>42826</v>
      </c>
      <c r="C1781" t="s">
        <v>5</v>
      </c>
      <c r="D1781">
        <v>20.808</v>
      </c>
    </row>
    <row r="1782" spans="2:4">
      <c r="B1782" s="3">
        <v>42826</v>
      </c>
      <c r="C1782" t="s">
        <v>3</v>
      </c>
      <c r="D1782">
        <v>218.35200000000003</v>
      </c>
    </row>
    <row r="1783" spans="2:4">
      <c r="B1783" s="3">
        <v>42761</v>
      </c>
      <c r="C1783" t="s">
        <v>5</v>
      </c>
      <c r="D1783">
        <v>18.16</v>
      </c>
    </row>
    <row r="1784" spans="2:4">
      <c r="B1784" s="3">
        <v>42898</v>
      </c>
      <c r="C1784" t="s">
        <v>4</v>
      </c>
      <c r="D1784">
        <v>63.920000000000009</v>
      </c>
    </row>
    <row r="1785" spans="2:4">
      <c r="B1785" s="3">
        <v>42931</v>
      </c>
      <c r="C1785" t="s">
        <v>5</v>
      </c>
      <c r="D1785">
        <v>6.56</v>
      </c>
    </row>
    <row r="1786" spans="2:4">
      <c r="B1786" s="3">
        <v>42931</v>
      </c>
      <c r="C1786" t="s">
        <v>5</v>
      </c>
      <c r="D1786">
        <v>7.83</v>
      </c>
    </row>
    <row r="1787" spans="2:4">
      <c r="B1787" s="3">
        <v>42931</v>
      </c>
      <c r="C1787" t="s">
        <v>4</v>
      </c>
      <c r="D1787">
        <v>41.9</v>
      </c>
    </row>
    <row r="1788" spans="2:4">
      <c r="B1788" s="3">
        <v>42931</v>
      </c>
      <c r="C1788" t="s">
        <v>3</v>
      </c>
      <c r="D1788">
        <v>664.14599999999996</v>
      </c>
    </row>
    <row r="1789" spans="2:4">
      <c r="B1789" s="3">
        <v>42931</v>
      </c>
      <c r="C1789" t="s">
        <v>5</v>
      </c>
      <c r="D1789">
        <v>8.9600000000000009</v>
      </c>
    </row>
    <row r="1790" spans="2:4">
      <c r="B1790" s="3">
        <v>43041</v>
      </c>
      <c r="C1790" t="s">
        <v>3</v>
      </c>
      <c r="D1790">
        <v>3.3119999999999998</v>
      </c>
    </row>
    <row r="1791" spans="2:4">
      <c r="B1791" s="3">
        <v>43041</v>
      </c>
      <c r="C1791" t="s">
        <v>5</v>
      </c>
      <c r="D1791">
        <v>20.136000000000003</v>
      </c>
    </row>
    <row r="1792" spans="2:4">
      <c r="B1792" s="3">
        <v>43041</v>
      </c>
      <c r="C1792" t="s">
        <v>5</v>
      </c>
      <c r="D1792">
        <v>8.8559999999999999</v>
      </c>
    </row>
    <row r="1793" spans="2:4">
      <c r="B1793" s="3">
        <v>43041</v>
      </c>
      <c r="C1793" t="s">
        <v>4</v>
      </c>
      <c r="D1793">
        <v>859.19999999999993</v>
      </c>
    </row>
    <row r="1794" spans="2:4">
      <c r="B1794" s="3">
        <v>42870</v>
      </c>
      <c r="C1794" t="s">
        <v>5</v>
      </c>
      <c r="D1794">
        <v>56.704000000000001</v>
      </c>
    </row>
    <row r="1795" spans="2:4">
      <c r="B1795" s="3">
        <v>42870</v>
      </c>
      <c r="C1795" t="s">
        <v>4</v>
      </c>
      <c r="D1795">
        <v>11.120000000000001</v>
      </c>
    </row>
    <row r="1796" spans="2:4">
      <c r="B1796" s="3">
        <v>43073</v>
      </c>
      <c r="C1796" t="s">
        <v>3</v>
      </c>
      <c r="D1796">
        <v>239.95999999999998</v>
      </c>
    </row>
    <row r="1797" spans="2:4">
      <c r="B1797" s="3">
        <v>43073</v>
      </c>
      <c r="C1797" t="s">
        <v>3</v>
      </c>
      <c r="D1797">
        <v>54.768000000000001</v>
      </c>
    </row>
    <row r="1798" spans="2:4">
      <c r="B1798" s="3">
        <v>43073</v>
      </c>
      <c r="C1798" t="s">
        <v>5</v>
      </c>
      <c r="D1798">
        <v>13.392000000000001</v>
      </c>
    </row>
    <row r="1799" spans="2:4">
      <c r="B1799" s="3">
        <v>43073</v>
      </c>
      <c r="C1799" t="s">
        <v>5</v>
      </c>
      <c r="D1799">
        <v>23.92</v>
      </c>
    </row>
    <row r="1800" spans="2:4">
      <c r="B1800" s="3">
        <v>43073</v>
      </c>
      <c r="C1800" t="s">
        <v>4</v>
      </c>
      <c r="D1800">
        <v>255.96799999999999</v>
      </c>
    </row>
    <row r="1801" spans="2:4">
      <c r="B1801" s="3">
        <v>42855</v>
      </c>
      <c r="C1801" t="s">
        <v>5</v>
      </c>
      <c r="D1801">
        <v>9.7799999999999994</v>
      </c>
    </row>
    <row r="1802" spans="2:4">
      <c r="B1802" s="3">
        <v>42849</v>
      </c>
      <c r="C1802" t="s">
        <v>5</v>
      </c>
      <c r="D1802">
        <v>1.81</v>
      </c>
    </row>
    <row r="1803" spans="2:4">
      <c r="B1803" s="3">
        <v>42953</v>
      </c>
      <c r="C1803" t="s">
        <v>5</v>
      </c>
      <c r="D1803">
        <v>115.29600000000001</v>
      </c>
    </row>
    <row r="1804" spans="2:4">
      <c r="B1804" s="3">
        <v>43071</v>
      </c>
      <c r="C1804" t="s">
        <v>4</v>
      </c>
      <c r="D1804">
        <v>2479.96</v>
      </c>
    </row>
    <row r="1805" spans="2:4">
      <c r="B1805" s="3">
        <v>42877</v>
      </c>
      <c r="C1805" t="s">
        <v>3</v>
      </c>
      <c r="D1805">
        <v>181.98599999999999</v>
      </c>
    </row>
    <row r="1806" spans="2:4">
      <c r="B1806" s="3">
        <v>42877</v>
      </c>
      <c r="C1806" t="s">
        <v>5</v>
      </c>
      <c r="D1806">
        <v>1.5919999999999996</v>
      </c>
    </row>
    <row r="1807" spans="2:4">
      <c r="B1807" s="3">
        <v>42877</v>
      </c>
      <c r="C1807" t="s">
        <v>5</v>
      </c>
      <c r="D1807">
        <v>22.344000000000001</v>
      </c>
    </row>
    <row r="1808" spans="2:4">
      <c r="B1808" s="3">
        <v>43000</v>
      </c>
      <c r="C1808" t="s">
        <v>5</v>
      </c>
      <c r="D1808">
        <v>67.400000000000006</v>
      </c>
    </row>
    <row r="1809" spans="2:4">
      <c r="B1809" s="3">
        <v>42985</v>
      </c>
      <c r="C1809" t="s">
        <v>3</v>
      </c>
      <c r="D1809">
        <v>25.16</v>
      </c>
    </row>
    <row r="1810" spans="2:4">
      <c r="B1810" s="3">
        <v>42985</v>
      </c>
      <c r="C1810" t="s">
        <v>4</v>
      </c>
      <c r="D1810">
        <v>126.56</v>
      </c>
    </row>
    <row r="1811" spans="2:4">
      <c r="B1811" s="3">
        <v>43010</v>
      </c>
      <c r="C1811" t="s">
        <v>3</v>
      </c>
      <c r="D1811">
        <v>10.16</v>
      </c>
    </row>
    <row r="1812" spans="2:4">
      <c r="B1812" s="3">
        <v>42825</v>
      </c>
      <c r="C1812" t="s">
        <v>5</v>
      </c>
      <c r="D1812">
        <v>34.54</v>
      </c>
    </row>
    <row r="1813" spans="2:4">
      <c r="B1813" s="3">
        <v>42825</v>
      </c>
      <c r="C1813" t="s">
        <v>4</v>
      </c>
      <c r="D1813">
        <v>2999.95</v>
      </c>
    </row>
    <row r="1814" spans="2:4">
      <c r="B1814" s="3">
        <v>42825</v>
      </c>
      <c r="C1814" t="s">
        <v>5</v>
      </c>
      <c r="D1814">
        <v>64.12</v>
      </c>
    </row>
    <row r="1815" spans="2:4">
      <c r="B1815" s="3">
        <v>42807</v>
      </c>
      <c r="C1815" t="s">
        <v>5</v>
      </c>
      <c r="D1815">
        <v>19.456000000000003</v>
      </c>
    </row>
    <row r="1816" spans="2:4">
      <c r="B1816" s="3">
        <v>42807</v>
      </c>
      <c r="C1816" t="s">
        <v>4</v>
      </c>
      <c r="D1816">
        <v>209.98599999999999</v>
      </c>
    </row>
    <row r="1817" spans="2:4">
      <c r="B1817" s="3">
        <v>42807</v>
      </c>
      <c r="C1817" t="s">
        <v>5</v>
      </c>
      <c r="D1817">
        <v>29.760000000000005</v>
      </c>
    </row>
    <row r="1818" spans="2:4">
      <c r="B1818" s="3">
        <v>42807</v>
      </c>
      <c r="C1818" t="s">
        <v>3</v>
      </c>
      <c r="D1818">
        <v>89.768000000000001</v>
      </c>
    </row>
    <row r="1819" spans="2:4">
      <c r="B1819" s="3">
        <v>42807</v>
      </c>
      <c r="C1819" t="s">
        <v>4</v>
      </c>
      <c r="D1819">
        <v>959.98400000000004</v>
      </c>
    </row>
    <row r="1820" spans="2:4">
      <c r="B1820" s="3">
        <v>42807</v>
      </c>
      <c r="C1820" t="s">
        <v>5</v>
      </c>
      <c r="D1820">
        <v>15.552000000000003</v>
      </c>
    </row>
    <row r="1821" spans="2:4">
      <c r="B1821" s="3">
        <v>42807</v>
      </c>
      <c r="C1821" t="s">
        <v>4</v>
      </c>
      <c r="D1821">
        <v>34.360000000000007</v>
      </c>
    </row>
    <row r="1822" spans="2:4">
      <c r="B1822" s="3">
        <v>42987</v>
      </c>
      <c r="C1822" t="s">
        <v>5</v>
      </c>
      <c r="D1822">
        <v>6.56</v>
      </c>
    </row>
    <row r="1823" spans="2:4">
      <c r="B1823" s="3">
        <v>42987</v>
      </c>
      <c r="C1823" t="s">
        <v>3</v>
      </c>
      <c r="D1823">
        <v>243.92</v>
      </c>
    </row>
    <row r="1824" spans="2:4">
      <c r="B1824" s="3">
        <v>42987</v>
      </c>
      <c r="C1824" t="s">
        <v>5</v>
      </c>
      <c r="D1824">
        <v>47.52</v>
      </c>
    </row>
    <row r="1825" spans="2:4">
      <c r="B1825" s="3">
        <v>43012</v>
      </c>
      <c r="C1825" t="s">
        <v>3</v>
      </c>
      <c r="D1825">
        <v>19.98</v>
      </c>
    </row>
    <row r="1826" spans="2:4">
      <c r="B1826" s="3">
        <v>43069</v>
      </c>
      <c r="C1826" t="s">
        <v>5</v>
      </c>
      <c r="D1826">
        <v>83.56</v>
      </c>
    </row>
    <row r="1827" spans="2:4">
      <c r="B1827" s="3">
        <v>43069</v>
      </c>
      <c r="C1827" t="s">
        <v>4</v>
      </c>
      <c r="D1827">
        <v>546.06000000000006</v>
      </c>
    </row>
    <row r="1828" spans="2:4">
      <c r="B1828" s="3">
        <v>43069</v>
      </c>
      <c r="C1828" t="s">
        <v>5</v>
      </c>
      <c r="D1828">
        <v>269.49</v>
      </c>
    </row>
    <row r="1829" spans="2:4">
      <c r="B1829" s="3">
        <v>43058</v>
      </c>
      <c r="C1829" t="s">
        <v>5</v>
      </c>
      <c r="D1829">
        <v>59.913000000000011</v>
      </c>
    </row>
    <row r="1830" spans="2:4">
      <c r="B1830" s="3">
        <v>43002</v>
      </c>
      <c r="C1830" t="s">
        <v>4</v>
      </c>
      <c r="D1830">
        <v>391.98</v>
      </c>
    </row>
    <row r="1831" spans="2:4">
      <c r="B1831" s="3">
        <v>43002</v>
      </c>
      <c r="C1831" t="s">
        <v>4</v>
      </c>
      <c r="D1831">
        <v>437.84999999999997</v>
      </c>
    </row>
    <row r="1832" spans="2:4">
      <c r="B1832" s="3">
        <v>42779</v>
      </c>
      <c r="C1832" t="s">
        <v>5</v>
      </c>
      <c r="D1832">
        <v>25.02</v>
      </c>
    </row>
    <row r="1833" spans="2:4">
      <c r="B1833" s="3">
        <v>42779</v>
      </c>
      <c r="C1833" t="s">
        <v>5</v>
      </c>
      <c r="D1833">
        <v>10.709999999999999</v>
      </c>
    </row>
    <row r="1834" spans="2:4">
      <c r="B1834" s="3">
        <v>42819</v>
      </c>
      <c r="C1834" t="s">
        <v>5</v>
      </c>
      <c r="D1834">
        <v>11.05</v>
      </c>
    </row>
    <row r="1835" spans="2:4">
      <c r="B1835" s="3">
        <v>42978</v>
      </c>
      <c r="C1835" t="s">
        <v>4</v>
      </c>
      <c r="D1835">
        <v>659.9</v>
      </c>
    </row>
    <row r="1836" spans="2:4">
      <c r="B1836" s="3">
        <v>42965</v>
      </c>
      <c r="C1836" t="s">
        <v>4</v>
      </c>
      <c r="D1836">
        <v>843.9</v>
      </c>
    </row>
    <row r="1837" spans="2:4">
      <c r="B1837" s="3">
        <v>42965</v>
      </c>
      <c r="C1837" t="s">
        <v>4</v>
      </c>
      <c r="D1837">
        <v>1496.16</v>
      </c>
    </row>
    <row r="1838" spans="2:4">
      <c r="B1838" s="3">
        <v>42916</v>
      </c>
      <c r="C1838" t="s">
        <v>3</v>
      </c>
      <c r="D1838">
        <v>19.52</v>
      </c>
    </row>
    <row r="1839" spans="2:4">
      <c r="B1839" s="3">
        <v>42912</v>
      </c>
      <c r="C1839" t="s">
        <v>5</v>
      </c>
      <c r="D1839">
        <v>13.872000000000002</v>
      </c>
    </row>
    <row r="1840" spans="2:4">
      <c r="B1840" s="3">
        <v>42912</v>
      </c>
      <c r="C1840" t="s">
        <v>3</v>
      </c>
      <c r="D1840">
        <v>273.55200000000002</v>
      </c>
    </row>
    <row r="1841" spans="2:4">
      <c r="B1841" s="3">
        <v>42981</v>
      </c>
      <c r="C1841" t="s">
        <v>5</v>
      </c>
      <c r="D1841">
        <v>82.56</v>
      </c>
    </row>
    <row r="1842" spans="2:4">
      <c r="B1842" s="3">
        <v>42981</v>
      </c>
      <c r="C1842" t="s">
        <v>4</v>
      </c>
      <c r="D1842">
        <v>284.96999999999997</v>
      </c>
    </row>
    <row r="1843" spans="2:4">
      <c r="B1843" s="3">
        <v>42820</v>
      </c>
      <c r="C1843" t="s">
        <v>3</v>
      </c>
      <c r="D1843">
        <v>60.84</v>
      </c>
    </row>
    <row r="1844" spans="2:4">
      <c r="B1844" s="3">
        <v>42827</v>
      </c>
      <c r="C1844" t="s">
        <v>5</v>
      </c>
      <c r="D1844">
        <v>11.12</v>
      </c>
    </row>
    <row r="1845" spans="2:4">
      <c r="B1845" s="3">
        <v>42817</v>
      </c>
      <c r="C1845" t="s">
        <v>5</v>
      </c>
      <c r="D1845">
        <v>34.76</v>
      </c>
    </row>
    <row r="1846" spans="2:4">
      <c r="B1846" s="3">
        <v>42839</v>
      </c>
      <c r="C1846" t="s">
        <v>3</v>
      </c>
      <c r="D1846">
        <v>74.45</v>
      </c>
    </row>
    <row r="1847" spans="2:4">
      <c r="B1847" s="3">
        <v>43041</v>
      </c>
      <c r="C1847" t="s">
        <v>5</v>
      </c>
      <c r="D1847">
        <v>19.440000000000001</v>
      </c>
    </row>
    <row r="1848" spans="2:4">
      <c r="B1848" s="3">
        <v>42933</v>
      </c>
      <c r="C1848" t="s">
        <v>5</v>
      </c>
      <c r="D1848">
        <v>32.400000000000006</v>
      </c>
    </row>
    <row r="1849" spans="2:4">
      <c r="B1849" s="3">
        <v>42933</v>
      </c>
      <c r="C1849" t="s">
        <v>5</v>
      </c>
      <c r="D1849">
        <v>57.9</v>
      </c>
    </row>
    <row r="1850" spans="2:4">
      <c r="B1850" s="3">
        <v>42933</v>
      </c>
      <c r="C1850" t="s">
        <v>5</v>
      </c>
      <c r="D1850">
        <v>10.56</v>
      </c>
    </row>
    <row r="1851" spans="2:4">
      <c r="B1851" s="3">
        <v>42933</v>
      </c>
      <c r="C1851" t="s">
        <v>3</v>
      </c>
      <c r="D1851">
        <v>1194.165</v>
      </c>
    </row>
    <row r="1852" spans="2:4">
      <c r="B1852" s="3">
        <v>43014</v>
      </c>
      <c r="C1852" t="s">
        <v>5</v>
      </c>
      <c r="D1852">
        <v>40.99</v>
      </c>
    </row>
    <row r="1853" spans="2:4">
      <c r="B1853" s="3">
        <v>43035</v>
      </c>
      <c r="C1853" t="s">
        <v>5</v>
      </c>
      <c r="D1853">
        <v>15.840000000000002</v>
      </c>
    </row>
    <row r="1854" spans="2:4">
      <c r="B1854" s="3">
        <v>43035</v>
      </c>
      <c r="C1854" t="s">
        <v>5</v>
      </c>
      <c r="D1854">
        <v>8.4480000000000004</v>
      </c>
    </row>
    <row r="1855" spans="2:4">
      <c r="B1855" s="3">
        <v>43022</v>
      </c>
      <c r="C1855" t="s">
        <v>5</v>
      </c>
      <c r="D1855">
        <v>27.395999999999997</v>
      </c>
    </row>
    <row r="1856" spans="2:4">
      <c r="B1856" s="3">
        <v>43022</v>
      </c>
      <c r="C1856" t="s">
        <v>5</v>
      </c>
      <c r="D1856">
        <v>13.455999999999998</v>
      </c>
    </row>
    <row r="1857" spans="2:4">
      <c r="B1857" s="3">
        <v>43042</v>
      </c>
      <c r="C1857" t="s">
        <v>5</v>
      </c>
      <c r="D1857">
        <v>35.880000000000003</v>
      </c>
    </row>
    <row r="1858" spans="2:4">
      <c r="B1858" s="3">
        <v>43000</v>
      </c>
      <c r="C1858" t="s">
        <v>5</v>
      </c>
      <c r="D1858">
        <v>40.176000000000002</v>
      </c>
    </row>
    <row r="1859" spans="2:4">
      <c r="B1859" s="3">
        <v>42947</v>
      </c>
      <c r="C1859" t="s">
        <v>4</v>
      </c>
      <c r="D1859">
        <v>36.792000000000002</v>
      </c>
    </row>
    <row r="1860" spans="2:4">
      <c r="B1860" s="3">
        <v>43003</v>
      </c>
      <c r="C1860" t="s">
        <v>5</v>
      </c>
      <c r="D1860">
        <v>177.54999999999998</v>
      </c>
    </row>
    <row r="1861" spans="2:4">
      <c r="B1861" s="3">
        <v>42823</v>
      </c>
      <c r="C1861" t="s">
        <v>5</v>
      </c>
      <c r="D1861">
        <v>81.400000000000006</v>
      </c>
    </row>
    <row r="1862" spans="2:4">
      <c r="B1862" s="3">
        <v>43077</v>
      </c>
      <c r="C1862" t="s">
        <v>4</v>
      </c>
      <c r="D1862">
        <v>178.10999999999999</v>
      </c>
    </row>
    <row r="1863" spans="2:4">
      <c r="B1863" s="3">
        <v>43077</v>
      </c>
      <c r="C1863" t="s">
        <v>5</v>
      </c>
      <c r="D1863">
        <v>1089.75</v>
      </c>
    </row>
    <row r="1864" spans="2:4">
      <c r="B1864" s="3">
        <v>43077</v>
      </c>
      <c r="C1864" t="s">
        <v>5</v>
      </c>
      <c r="D1864">
        <v>61.06</v>
      </c>
    </row>
    <row r="1865" spans="2:4">
      <c r="B1865" s="3">
        <v>43077</v>
      </c>
      <c r="C1865" t="s">
        <v>3</v>
      </c>
      <c r="D1865">
        <v>459.92</v>
      </c>
    </row>
    <row r="1866" spans="2:4">
      <c r="B1866" s="3">
        <v>43077</v>
      </c>
      <c r="C1866" t="s">
        <v>5</v>
      </c>
      <c r="D1866">
        <v>27.52</v>
      </c>
    </row>
    <row r="1867" spans="2:4">
      <c r="B1867" s="3">
        <v>42915</v>
      </c>
      <c r="C1867" t="s">
        <v>3</v>
      </c>
      <c r="D1867">
        <v>638.82000000000005</v>
      </c>
    </row>
    <row r="1868" spans="2:4">
      <c r="B1868" s="3">
        <v>42915</v>
      </c>
      <c r="C1868" t="s">
        <v>5</v>
      </c>
      <c r="D1868">
        <v>30.69</v>
      </c>
    </row>
    <row r="1869" spans="2:4">
      <c r="B1869" s="3">
        <v>42915</v>
      </c>
      <c r="C1869" t="s">
        <v>3</v>
      </c>
      <c r="D1869">
        <v>25.16</v>
      </c>
    </row>
    <row r="1870" spans="2:4">
      <c r="B1870" s="3">
        <v>42822</v>
      </c>
      <c r="C1870" t="s">
        <v>5</v>
      </c>
      <c r="D1870">
        <v>12.96</v>
      </c>
    </row>
    <row r="1871" spans="2:4">
      <c r="B1871" s="3">
        <v>42822</v>
      </c>
      <c r="C1871" t="s">
        <v>3</v>
      </c>
      <c r="D1871">
        <v>26.48</v>
      </c>
    </row>
    <row r="1872" spans="2:4">
      <c r="B1872" s="3">
        <v>42822</v>
      </c>
      <c r="C1872" t="s">
        <v>4</v>
      </c>
      <c r="D1872">
        <v>532.72</v>
      </c>
    </row>
    <row r="1873" spans="2:4">
      <c r="B1873" s="3">
        <v>42822</v>
      </c>
      <c r="C1873" t="s">
        <v>5</v>
      </c>
      <c r="D1873">
        <v>26.72</v>
      </c>
    </row>
    <row r="1874" spans="2:4">
      <c r="B1874" s="3">
        <v>42822</v>
      </c>
      <c r="C1874" t="s">
        <v>5</v>
      </c>
      <c r="D1874">
        <v>20.04</v>
      </c>
    </row>
    <row r="1875" spans="2:4">
      <c r="B1875" s="3">
        <v>42822</v>
      </c>
      <c r="C1875" t="s">
        <v>5</v>
      </c>
      <c r="D1875">
        <v>795.48</v>
      </c>
    </row>
    <row r="1876" spans="2:4">
      <c r="B1876" s="3">
        <v>42822</v>
      </c>
      <c r="C1876" t="s">
        <v>3</v>
      </c>
      <c r="D1876">
        <v>21.560000000000002</v>
      </c>
    </row>
    <row r="1877" spans="2:4">
      <c r="B1877" s="3">
        <v>43057</v>
      </c>
      <c r="C1877" t="s">
        <v>4</v>
      </c>
      <c r="D1877">
        <v>74.95</v>
      </c>
    </row>
    <row r="1878" spans="2:4">
      <c r="B1878" s="3">
        <v>42959</v>
      </c>
      <c r="C1878" t="s">
        <v>5</v>
      </c>
      <c r="D1878">
        <v>542.93999999999994</v>
      </c>
    </row>
    <row r="1879" spans="2:4">
      <c r="B1879" s="3">
        <v>42959</v>
      </c>
      <c r="C1879" t="s">
        <v>3</v>
      </c>
      <c r="D1879">
        <v>54.92</v>
      </c>
    </row>
    <row r="1880" spans="2:4">
      <c r="B1880" s="3">
        <v>42986</v>
      </c>
      <c r="C1880" t="s">
        <v>4</v>
      </c>
      <c r="D1880">
        <v>85.2</v>
      </c>
    </row>
    <row r="1881" spans="2:4">
      <c r="B1881" s="3">
        <v>43010</v>
      </c>
      <c r="C1881" t="s">
        <v>3</v>
      </c>
      <c r="D1881">
        <v>217.76400000000001</v>
      </c>
    </row>
    <row r="1882" spans="2:4">
      <c r="B1882" s="3">
        <v>43010</v>
      </c>
      <c r="C1882" t="s">
        <v>5</v>
      </c>
      <c r="D1882">
        <v>39.072000000000003</v>
      </c>
    </row>
    <row r="1883" spans="2:4">
      <c r="B1883" s="3">
        <v>43010</v>
      </c>
      <c r="C1883" t="s">
        <v>5</v>
      </c>
      <c r="D1883">
        <v>22.638000000000002</v>
      </c>
    </row>
    <row r="1884" spans="2:4">
      <c r="B1884" s="3">
        <v>43010</v>
      </c>
      <c r="C1884" t="s">
        <v>5</v>
      </c>
      <c r="D1884">
        <v>95.143999999999991</v>
      </c>
    </row>
    <row r="1885" spans="2:4">
      <c r="B1885" s="3">
        <v>42835</v>
      </c>
      <c r="C1885" t="s">
        <v>3</v>
      </c>
      <c r="D1885">
        <v>12.320000000000002</v>
      </c>
    </row>
    <row r="1886" spans="2:4">
      <c r="B1886" s="3">
        <v>42835</v>
      </c>
      <c r="C1886" t="s">
        <v>5</v>
      </c>
      <c r="D1886">
        <v>4.4190000000000005</v>
      </c>
    </row>
    <row r="1887" spans="2:4">
      <c r="B1887" s="3">
        <v>43007</v>
      </c>
      <c r="C1887" t="s">
        <v>5</v>
      </c>
      <c r="D1887">
        <v>35</v>
      </c>
    </row>
    <row r="1888" spans="2:4">
      <c r="B1888" s="3">
        <v>43007</v>
      </c>
      <c r="C1888" t="s">
        <v>3</v>
      </c>
      <c r="D1888">
        <v>72.784000000000006</v>
      </c>
    </row>
    <row r="1889" spans="2:4">
      <c r="B1889" s="3">
        <v>43007</v>
      </c>
      <c r="C1889" t="s">
        <v>5</v>
      </c>
      <c r="D1889">
        <v>97.84</v>
      </c>
    </row>
    <row r="1890" spans="2:4">
      <c r="B1890" s="3">
        <v>43007</v>
      </c>
      <c r="C1890" t="s">
        <v>3</v>
      </c>
      <c r="D1890">
        <v>51.75</v>
      </c>
    </row>
    <row r="1891" spans="2:4">
      <c r="B1891" s="3">
        <v>43007</v>
      </c>
      <c r="C1891" t="s">
        <v>5</v>
      </c>
      <c r="D1891">
        <v>46.672000000000004</v>
      </c>
    </row>
    <row r="1892" spans="2:4">
      <c r="B1892" s="3">
        <v>42867</v>
      </c>
      <c r="C1892" t="s">
        <v>5</v>
      </c>
      <c r="D1892">
        <v>10.272000000000002</v>
      </c>
    </row>
    <row r="1893" spans="2:4">
      <c r="B1893" s="3">
        <v>43052</v>
      </c>
      <c r="C1893" t="s">
        <v>5</v>
      </c>
      <c r="D1893">
        <v>61.792000000000002</v>
      </c>
    </row>
    <row r="1894" spans="2:4">
      <c r="B1894" s="3">
        <v>43052</v>
      </c>
      <c r="C1894" t="s">
        <v>3</v>
      </c>
      <c r="D1894">
        <v>205.99919999999997</v>
      </c>
    </row>
    <row r="1895" spans="2:4">
      <c r="B1895" s="3">
        <v>42867</v>
      </c>
      <c r="C1895" t="s">
        <v>5</v>
      </c>
      <c r="D1895">
        <v>238.62</v>
      </c>
    </row>
    <row r="1896" spans="2:4">
      <c r="B1896" s="3">
        <v>42867</v>
      </c>
      <c r="C1896" t="s">
        <v>5</v>
      </c>
      <c r="D1896">
        <v>7.77</v>
      </c>
    </row>
    <row r="1897" spans="2:4">
      <c r="B1897" s="3">
        <v>42867</v>
      </c>
      <c r="C1897" t="s">
        <v>3</v>
      </c>
      <c r="D1897">
        <v>285.48</v>
      </c>
    </row>
    <row r="1898" spans="2:4">
      <c r="B1898" s="3">
        <v>42867</v>
      </c>
      <c r="C1898" t="s">
        <v>5</v>
      </c>
      <c r="D1898">
        <v>19.168000000000003</v>
      </c>
    </row>
    <row r="1899" spans="2:4">
      <c r="B1899" s="3">
        <v>42981</v>
      </c>
      <c r="C1899" t="s">
        <v>5</v>
      </c>
      <c r="D1899">
        <v>419.4</v>
      </c>
    </row>
    <row r="1900" spans="2:4">
      <c r="B1900" s="3">
        <v>42981</v>
      </c>
      <c r="C1900" t="s">
        <v>3</v>
      </c>
      <c r="D1900">
        <v>90.801000000000002</v>
      </c>
    </row>
    <row r="1901" spans="2:4">
      <c r="B1901" s="3">
        <v>42981</v>
      </c>
      <c r="C1901" t="s">
        <v>3</v>
      </c>
      <c r="D1901">
        <v>181.76400000000001</v>
      </c>
    </row>
    <row r="1902" spans="2:4">
      <c r="B1902" s="3">
        <v>42981</v>
      </c>
      <c r="C1902" t="s">
        <v>5</v>
      </c>
      <c r="D1902">
        <v>5.56</v>
      </c>
    </row>
    <row r="1903" spans="2:4">
      <c r="B1903" s="3">
        <v>43066</v>
      </c>
      <c r="C1903" t="s">
        <v>4</v>
      </c>
      <c r="D1903">
        <v>57.567999999999998</v>
      </c>
    </row>
    <row r="1904" spans="2:4">
      <c r="B1904" s="3">
        <v>42981</v>
      </c>
      <c r="C1904" t="s">
        <v>3</v>
      </c>
      <c r="D1904">
        <v>239.66599999999997</v>
      </c>
    </row>
    <row r="1905" spans="2:4">
      <c r="B1905" s="3">
        <v>42824</v>
      </c>
      <c r="C1905" t="s">
        <v>5</v>
      </c>
      <c r="D1905">
        <v>59.76</v>
      </c>
    </row>
    <row r="1906" spans="2:4">
      <c r="B1906" s="3">
        <v>42890</v>
      </c>
      <c r="C1906" t="s">
        <v>5</v>
      </c>
      <c r="D1906">
        <v>108.08</v>
      </c>
    </row>
    <row r="1907" spans="2:4">
      <c r="B1907" s="3">
        <v>42890</v>
      </c>
      <c r="C1907" t="s">
        <v>5</v>
      </c>
      <c r="D1907">
        <v>9.5400000000000009</v>
      </c>
    </row>
    <row r="1908" spans="2:4">
      <c r="B1908" s="3">
        <v>43016</v>
      </c>
      <c r="C1908" t="s">
        <v>5</v>
      </c>
      <c r="D1908">
        <v>42.76</v>
      </c>
    </row>
    <row r="1909" spans="2:4">
      <c r="B1909" s="3">
        <v>42988</v>
      </c>
      <c r="C1909" t="s">
        <v>5</v>
      </c>
      <c r="D1909">
        <v>2.78</v>
      </c>
    </row>
    <row r="1910" spans="2:4">
      <c r="B1910" s="3">
        <v>42987</v>
      </c>
      <c r="C1910" t="s">
        <v>5</v>
      </c>
      <c r="D1910">
        <v>99.87</v>
      </c>
    </row>
    <row r="1911" spans="2:4">
      <c r="B1911" s="3">
        <v>42747</v>
      </c>
      <c r="C1911" t="s">
        <v>5</v>
      </c>
      <c r="D1911">
        <v>9.7799999999999994</v>
      </c>
    </row>
    <row r="1912" spans="2:4">
      <c r="B1912" s="3">
        <v>43045</v>
      </c>
      <c r="C1912" t="s">
        <v>5</v>
      </c>
      <c r="D1912">
        <v>59.94</v>
      </c>
    </row>
    <row r="1913" spans="2:4">
      <c r="B1913" s="3">
        <v>43045</v>
      </c>
      <c r="C1913" t="s">
        <v>5</v>
      </c>
      <c r="D1913">
        <v>45.36</v>
      </c>
    </row>
    <row r="1914" spans="2:4">
      <c r="B1914" s="3">
        <v>43045</v>
      </c>
      <c r="C1914" t="s">
        <v>5</v>
      </c>
      <c r="D1914">
        <v>26.400000000000002</v>
      </c>
    </row>
    <row r="1915" spans="2:4">
      <c r="B1915" s="3">
        <v>43045</v>
      </c>
      <c r="C1915" t="s">
        <v>5</v>
      </c>
      <c r="D1915">
        <v>41.4</v>
      </c>
    </row>
    <row r="1916" spans="2:4">
      <c r="B1916" s="3">
        <v>43045</v>
      </c>
      <c r="C1916" t="s">
        <v>4</v>
      </c>
      <c r="D1916">
        <v>16.95</v>
      </c>
    </row>
    <row r="1917" spans="2:4">
      <c r="B1917" s="3">
        <v>43058</v>
      </c>
      <c r="C1917" t="s">
        <v>5</v>
      </c>
      <c r="D1917">
        <v>22.959999999999997</v>
      </c>
    </row>
    <row r="1918" spans="2:4">
      <c r="B1918" s="3">
        <v>42889</v>
      </c>
      <c r="C1918" t="s">
        <v>4</v>
      </c>
      <c r="D1918">
        <v>1099.5</v>
      </c>
    </row>
    <row r="1919" spans="2:4">
      <c r="B1919" s="3">
        <v>42923</v>
      </c>
      <c r="C1919" t="s">
        <v>3</v>
      </c>
      <c r="D1919">
        <v>87.210000000000008</v>
      </c>
    </row>
    <row r="1920" spans="2:4">
      <c r="B1920" s="3">
        <v>42923</v>
      </c>
      <c r="C1920" t="s">
        <v>5</v>
      </c>
      <c r="D1920">
        <v>15.552000000000003</v>
      </c>
    </row>
    <row r="1921" spans="2:4">
      <c r="B1921" s="3">
        <v>42923</v>
      </c>
      <c r="C1921" t="s">
        <v>4</v>
      </c>
      <c r="D1921">
        <v>683.98799999999994</v>
      </c>
    </row>
    <row r="1922" spans="2:4">
      <c r="B1922" s="3">
        <v>42923</v>
      </c>
      <c r="C1922" t="s">
        <v>5</v>
      </c>
      <c r="D1922">
        <v>13.392000000000001</v>
      </c>
    </row>
    <row r="1923" spans="2:4">
      <c r="B1923" s="3">
        <v>42923</v>
      </c>
      <c r="C1923" t="s">
        <v>4</v>
      </c>
      <c r="D1923">
        <v>16.776000000000003</v>
      </c>
    </row>
    <row r="1924" spans="2:4">
      <c r="B1924" s="3">
        <v>42923</v>
      </c>
      <c r="C1924" t="s">
        <v>4</v>
      </c>
      <c r="D1924">
        <v>527.91999999999996</v>
      </c>
    </row>
    <row r="1925" spans="2:4">
      <c r="B1925" s="3">
        <v>42874</v>
      </c>
      <c r="C1925" t="s">
        <v>4</v>
      </c>
      <c r="D1925">
        <v>95.992000000000004</v>
      </c>
    </row>
    <row r="1926" spans="2:4">
      <c r="B1926" s="3">
        <v>42874</v>
      </c>
      <c r="C1926" t="s">
        <v>5</v>
      </c>
      <c r="D1926">
        <v>13.216000000000001</v>
      </c>
    </row>
    <row r="1927" spans="2:4">
      <c r="B1927" s="3">
        <v>43020</v>
      </c>
      <c r="C1927" t="s">
        <v>4</v>
      </c>
      <c r="D1927">
        <v>435.84000000000003</v>
      </c>
    </row>
    <row r="1928" spans="2:4">
      <c r="B1928" s="3">
        <v>43020</v>
      </c>
      <c r="C1928" t="s">
        <v>5</v>
      </c>
      <c r="D1928">
        <v>5.88</v>
      </c>
    </row>
    <row r="1929" spans="2:4">
      <c r="B1929" s="3">
        <v>42799</v>
      </c>
      <c r="C1929" t="s">
        <v>5</v>
      </c>
      <c r="D1929">
        <v>42.68</v>
      </c>
    </row>
    <row r="1930" spans="2:4">
      <c r="B1930" s="3">
        <v>42799</v>
      </c>
      <c r="C1930" t="s">
        <v>4</v>
      </c>
      <c r="D1930">
        <v>299.96999999999997</v>
      </c>
    </row>
    <row r="1931" spans="2:4">
      <c r="B1931" s="3">
        <v>42799</v>
      </c>
      <c r="C1931" t="s">
        <v>5</v>
      </c>
      <c r="D1931">
        <v>262.24</v>
      </c>
    </row>
    <row r="1932" spans="2:4">
      <c r="B1932" s="3">
        <v>42799</v>
      </c>
      <c r="C1932" t="s">
        <v>5</v>
      </c>
      <c r="D1932">
        <v>234.36</v>
      </c>
    </row>
    <row r="1933" spans="2:4">
      <c r="B1933" s="3">
        <v>42840</v>
      </c>
      <c r="C1933" t="s">
        <v>5</v>
      </c>
      <c r="D1933">
        <v>20.736000000000004</v>
      </c>
    </row>
    <row r="1934" spans="2:4">
      <c r="B1934" s="3">
        <v>42775</v>
      </c>
      <c r="C1934" t="s">
        <v>3</v>
      </c>
      <c r="D1934">
        <v>21.12</v>
      </c>
    </row>
    <row r="1935" spans="2:4">
      <c r="B1935" s="3">
        <v>42967</v>
      </c>
      <c r="C1935" t="s">
        <v>5</v>
      </c>
      <c r="D1935">
        <v>17.22</v>
      </c>
    </row>
    <row r="1936" spans="2:4">
      <c r="B1936" s="3">
        <v>42967</v>
      </c>
      <c r="C1936" t="s">
        <v>5</v>
      </c>
      <c r="D1936">
        <v>226.56</v>
      </c>
    </row>
    <row r="1937" spans="2:4">
      <c r="B1937" s="3">
        <v>42967</v>
      </c>
      <c r="C1937" t="s">
        <v>4</v>
      </c>
      <c r="D1937">
        <v>107.88</v>
      </c>
    </row>
    <row r="1938" spans="2:4">
      <c r="B1938" s="3">
        <v>42772</v>
      </c>
      <c r="C1938" t="s">
        <v>3</v>
      </c>
      <c r="D1938">
        <v>240.78400000000002</v>
      </c>
    </row>
    <row r="1939" spans="2:4">
      <c r="B1939" s="3">
        <v>42929</v>
      </c>
      <c r="C1939" t="s">
        <v>5</v>
      </c>
      <c r="D1939">
        <v>360.38</v>
      </c>
    </row>
    <row r="1940" spans="2:4">
      <c r="B1940" s="3">
        <v>42929</v>
      </c>
      <c r="C1940" t="s">
        <v>5</v>
      </c>
      <c r="D1940">
        <v>13.56</v>
      </c>
    </row>
    <row r="1941" spans="2:4">
      <c r="B1941" s="3">
        <v>42849</v>
      </c>
      <c r="C1941" t="s">
        <v>4</v>
      </c>
      <c r="D1941">
        <v>552</v>
      </c>
    </row>
    <row r="1942" spans="2:4">
      <c r="B1942" s="3">
        <v>42994</v>
      </c>
      <c r="C1942" t="s">
        <v>5</v>
      </c>
      <c r="D1942">
        <v>20.544000000000004</v>
      </c>
    </row>
    <row r="1943" spans="2:4">
      <c r="B1943" s="3">
        <v>42993</v>
      </c>
      <c r="C1943" t="s">
        <v>5</v>
      </c>
      <c r="D1943">
        <v>2357.4880000000003</v>
      </c>
    </row>
    <row r="1944" spans="2:4">
      <c r="B1944" s="3">
        <v>42993</v>
      </c>
      <c r="C1944" t="s">
        <v>4</v>
      </c>
      <c r="D1944">
        <v>369.54399999999998</v>
      </c>
    </row>
    <row r="1945" spans="2:4">
      <c r="B1945" s="3">
        <v>42993</v>
      </c>
      <c r="C1945" t="s">
        <v>3</v>
      </c>
      <c r="D1945">
        <v>184.75200000000001</v>
      </c>
    </row>
    <row r="1946" spans="2:4">
      <c r="B1946" s="3">
        <v>42999</v>
      </c>
      <c r="C1946" t="s">
        <v>5</v>
      </c>
      <c r="D1946">
        <v>12.294</v>
      </c>
    </row>
    <row r="1947" spans="2:4">
      <c r="B1947" s="3">
        <v>42985</v>
      </c>
      <c r="C1947" t="s">
        <v>3</v>
      </c>
      <c r="D1947">
        <v>19.760000000000002</v>
      </c>
    </row>
    <row r="1948" spans="2:4">
      <c r="B1948" s="3">
        <v>43080</v>
      </c>
      <c r="C1948" t="s">
        <v>4</v>
      </c>
      <c r="D1948">
        <v>128.85000000000002</v>
      </c>
    </row>
    <row r="1949" spans="2:4">
      <c r="B1949" s="3">
        <v>42826</v>
      </c>
      <c r="C1949" t="s">
        <v>3</v>
      </c>
      <c r="D1949">
        <v>127.94999999999999</v>
      </c>
    </row>
    <row r="1950" spans="2:4">
      <c r="B1950" s="3">
        <v>42849</v>
      </c>
      <c r="C1950" t="s">
        <v>4</v>
      </c>
      <c r="D1950">
        <v>69.98</v>
      </c>
    </row>
    <row r="1951" spans="2:4">
      <c r="B1951" s="3">
        <v>42971</v>
      </c>
      <c r="C1951" t="s">
        <v>5</v>
      </c>
      <c r="D1951">
        <v>646.27200000000005</v>
      </c>
    </row>
    <row r="1952" spans="2:4">
      <c r="B1952" s="3">
        <v>42971</v>
      </c>
      <c r="C1952" t="s">
        <v>5</v>
      </c>
      <c r="D1952">
        <v>10.368000000000002</v>
      </c>
    </row>
    <row r="1953" spans="2:4">
      <c r="B1953" s="3">
        <v>42789</v>
      </c>
      <c r="C1953" t="s">
        <v>5</v>
      </c>
      <c r="D1953">
        <v>8.4</v>
      </c>
    </row>
    <row r="1954" spans="2:4">
      <c r="B1954" s="3">
        <v>42789</v>
      </c>
      <c r="C1954" t="s">
        <v>4</v>
      </c>
      <c r="D1954">
        <v>71.959999999999994</v>
      </c>
    </row>
    <row r="1955" spans="2:4">
      <c r="B1955" s="3">
        <v>42922</v>
      </c>
      <c r="C1955" t="s">
        <v>3</v>
      </c>
      <c r="D1955">
        <v>239.24</v>
      </c>
    </row>
    <row r="1956" spans="2:4">
      <c r="B1956" s="3">
        <v>42848</v>
      </c>
      <c r="C1956" t="s">
        <v>5</v>
      </c>
      <c r="D1956">
        <v>54.900000000000006</v>
      </c>
    </row>
    <row r="1957" spans="2:4">
      <c r="B1957" s="3">
        <v>43002</v>
      </c>
      <c r="C1957" t="s">
        <v>4</v>
      </c>
      <c r="D1957">
        <v>859.2</v>
      </c>
    </row>
    <row r="1958" spans="2:4">
      <c r="B1958" s="3">
        <v>43002</v>
      </c>
      <c r="C1958" t="s">
        <v>4</v>
      </c>
      <c r="D1958">
        <v>506.28</v>
      </c>
    </row>
    <row r="1959" spans="2:4">
      <c r="B1959" s="3">
        <v>42874</v>
      </c>
      <c r="C1959" t="s">
        <v>3</v>
      </c>
      <c r="D1959">
        <v>314.35199999999998</v>
      </c>
    </row>
    <row r="1960" spans="2:4">
      <c r="B1960" s="3">
        <v>42874</v>
      </c>
      <c r="C1960" t="s">
        <v>5</v>
      </c>
      <c r="D1960">
        <v>27.888000000000002</v>
      </c>
    </row>
    <row r="1961" spans="2:4">
      <c r="B1961" s="3">
        <v>42875</v>
      </c>
      <c r="C1961" t="s">
        <v>3</v>
      </c>
      <c r="D1961">
        <v>518.27200000000005</v>
      </c>
    </row>
    <row r="1962" spans="2:4">
      <c r="B1962" s="3">
        <v>42875</v>
      </c>
      <c r="C1962" t="s">
        <v>3</v>
      </c>
      <c r="D1962">
        <v>6.98</v>
      </c>
    </row>
    <row r="1963" spans="2:4">
      <c r="B1963" s="3">
        <v>42875</v>
      </c>
      <c r="C1963" t="s">
        <v>4</v>
      </c>
      <c r="D1963">
        <v>343.20000000000005</v>
      </c>
    </row>
    <row r="1964" spans="2:4">
      <c r="B1964" s="3">
        <v>42960</v>
      </c>
      <c r="C1964" t="s">
        <v>5</v>
      </c>
      <c r="D1964">
        <v>17.544</v>
      </c>
    </row>
    <row r="1965" spans="2:4">
      <c r="B1965" s="3">
        <v>43094</v>
      </c>
      <c r="C1965" t="s">
        <v>5</v>
      </c>
      <c r="D1965">
        <v>153.55199999999999</v>
      </c>
    </row>
    <row r="1966" spans="2:4">
      <c r="B1966" s="3">
        <v>43094</v>
      </c>
      <c r="C1966" t="s">
        <v>5</v>
      </c>
      <c r="D1966">
        <v>270.62</v>
      </c>
    </row>
    <row r="1967" spans="2:4">
      <c r="B1967" s="3">
        <v>42952</v>
      </c>
      <c r="C1967" t="s">
        <v>5</v>
      </c>
      <c r="D1967">
        <v>151.05600000000001</v>
      </c>
    </row>
    <row r="1968" spans="2:4">
      <c r="B1968" s="3">
        <v>43097</v>
      </c>
      <c r="C1968" t="s">
        <v>5</v>
      </c>
      <c r="D1968">
        <v>1.1880000000000002</v>
      </c>
    </row>
    <row r="1969" spans="2:4">
      <c r="B1969" s="3">
        <v>42998</v>
      </c>
      <c r="C1969" t="s">
        <v>3</v>
      </c>
      <c r="D1969">
        <v>272.64600000000002</v>
      </c>
    </row>
    <row r="1970" spans="2:4">
      <c r="B1970" s="3">
        <v>42998</v>
      </c>
      <c r="C1970" t="s">
        <v>4</v>
      </c>
      <c r="D1970">
        <v>212.8</v>
      </c>
    </row>
    <row r="1971" spans="2:4">
      <c r="B1971" s="3">
        <v>42998</v>
      </c>
      <c r="C1971" t="s">
        <v>5</v>
      </c>
      <c r="D1971">
        <v>38.520000000000003</v>
      </c>
    </row>
    <row r="1972" spans="2:4">
      <c r="B1972" s="3">
        <v>42998</v>
      </c>
      <c r="C1972" t="s">
        <v>4</v>
      </c>
      <c r="D1972">
        <v>72.64</v>
      </c>
    </row>
    <row r="1973" spans="2:4">
      <c r="B1973" s="3">
        <v>42998</v>
      </c>
      <c r="C1973" t="s">
        <v>5</v>
      </c>
      <c r="D1973">
        <v>45.4</v>
      </c>
    </row>
    <row r="1974" spans="2:4">
      <c r="B1974" s="3">
        <v>42998</v>
      </c>
      <c r="C1974" t="s">
        <v>5</v>
      </c>
      <c r="D1974">
        <v>13.76</v>
      </c>
    </row>
    <row r="1975" spans="2:4">
      <c r="B1975" s="3">
        <v>42998</v>
      </c>
      <c r="C1975" t="s">
        <v>3</v>
      </c>
      <c r="D1975">
        <v>80.991</v>
      </c>
    </row>
    <row r="1976" spans="2:4">
      <c r="B1976" s="3">
        <v>42998</v>
      </c>
      <c r="C1976" t="s">
        <v>5</v>
      </c>
      <c r="D1976">
        <v>11.784000000000001</v>
      </c>
    </row>
    <row r="1977" spans="2:4">
      <c r="B1977" s="3">
        <v>42998</v>
      </c>
      <c r="C1977" t="s">
        <v>5</v>
      </c>
      <c r="D1977">
        <v>4.3600000000000003</v>
      </c>
    </row>
    <row r="1978" spans="2:4">
      <c r="B1978" s="3">
        <v>42998</v>
      </c>
      <c r="C1978" t="s">
        <v>3</v>
      </c>
      <c r="D1978">
        <v>2888.1270000000004</v>
      </c>
    </row>
    <row r="1979" spans="2:4">
      <c r="B1979" s="3">
        <v>42998</v>
      </c>
      <c r="C1979" t="s">
        <v>4</v>
      </c>
      <c r="D1979">
        <v>1299.6600000000001</v>
      </c>
    </row>
    <row r="1980" spans="2:4">
      <c r="B1980" s="3">
        <v>42998</v>
      </c>
      <c r="C1980" t="s">
        <v>3</v>
      </c>
      <c r="D1980">
        <v>2254.41</v>
      </c>
    </row>
    <row r="1981" spans="2:4">
      <c r="B1981" s="3">
        <v>42998</v>
      </c>
      <c r="C1981" t="s">
        <v>4</v>
      </c>
      <c r="D1981">
        <v>104.85000000000001</v>
      </c>
    </row>
    <row r="1982" spans="2:4">
      <c r="B1982" s="3">
        <v>42998</v>
      </c>
      <c r="C1982" t="s">
        <v>4</v>
      </c>
      <c r="D1982">
        <v>59.97</v>
      </c>
    </row>
    <row r="1983" spans="2:4">
      <c r="B1983" s="3">
        <v>42969</v>
      </c>
      <c r="C1983" t="s">
        <v>3</v>
      </c>
      <c r="D1983">
        <v>314.53199999999998</v>
      </c>
    </row>
    <row r="1984" spans="2:4">
      <c r="B1984" s="3">
        <v>42997</v>
      </c>
      <c r="C1984" t="s">
        <v>4</v>
      </c>
      <c r="D1984">
        <v>191.976</v>
      </c>
    </row>
    <row r="1985" spans="2:4">
      <c r="B1985" s="3">
        <v>42997</v>
      </c>
      <c r="C1985" t="s">
        <v>5</v>
      </c>
      <c r="D1985">
        <v>23.832000000000001</v>
      </c>
    </row>
    <row r="1986" spans="2:4">
      <c r="B1986" s="3">
        <v>42997</v>
      </c>
      <c r="C1986" t="s">
        <v>3</v>
      </c>
      <c r="D1986">
        <v>409.21600000000001</v>
      </c>
    </row>
    <row r="1987" spans="2:4">
      <c r="B1987" s="3">
        <v>42997</v>
      </c>
      <c r="C1987" t="s">
        <v>3</v>
      </c>
      <c r="D1987">
        <v>72.588000000000008</v>
      </c>
    </row>
    <row r="1988" spans="2:4">
      <c r="B1988" s="3">
        <v>43073</v>
      </c>
      <c r="C1988" t="s">
        <v>5</v>
      </c>
      <c r="D1988">
        <v>61.567999999999998</v>
      </c>
    </row>
    <row r="1989" spans="2:4">
      <c r="B1989" s="3">
        <v>42889</v>
      </c>
      <c r="C1989" t="s">
        <v>4</v>
      </c>
      <c r="D1989">
        <v>44.75</v>
      </c>
    </row>
    <row r="1990" spans="2:4">
      <c r="B1990" s="3">
        <v>42889</v>
      </c>
      <c r="C1990" t="s">
        <v>5</v>
      </c>
      <c r="D1990">
        <v>11.96</v>
      </c>
    </row>
    <row r="1991" spans="2:4">
      <c r="B1991" s="3">
        <v>42889</v>
      </c>
      <c r="C1991" t="s">
        <v>5</v>
      </c>
      <c r="D1991">
        <v>3.9119999999999999</v>
      </c>
    </row>
    <row r="1992" spans="2:4">
      <c r="B1992" s="3">
        <v>42820</v>
      </c>
      <c r="C1992" t="s">
        <v>4</v>
      </c>
      <c r="D1992">
        <v>53.25</v>
      </c>
    </row>
    <row r="1993" spans="2:4">
      <c r="B1993" s="3">
        <v>42820</v>
      </c>
      <c r="C1993" t="s">
        <v>5</v>
      </c>
      <c r="D1993">
        <v>3.76</v>
      </c>
    </row>
    <row r="1994" spans="2:4">
      <c r="B1994" s="3">
        <v>42993</v>
      </c>
      <c r="C1994" t="s">
        <v>5</v>
      </c>
      <c r="D1994">
        <v>163.96</v>
      </c>
    </row>
    <row r="1995" spans="2:4">
      <c r="B1995" s="3">
        <v>42925</v>
      </c>
      <c r="C1995" t="s">
        <v>5</v>
      </c>
      <c r="D1995">
        <v>274.8</v>
      </c>
    </row>
    <row r="1996" spans="2:4">
      <c r="B1996" s="3">
        <v>42925</v>
      </c>
      <c r="C1996" t="s">
        <v>5</v>
      </c>
      <c r="D1996">
        <v>195.64</v>
      </c>
    </row>
    <row r="1997" spans="2:4">
      <c r="B1997" s="3">
        <v>42925</v>
      </c>
      <c r="C1997" t="s">
        <v>4</v>
      </c>
      <c r="D1997">
        <v>257.98</v>
      </c>
    </row>
    <row r="1998" spans="2:4">
      <c r="B1998" s="3">
        <v>42925</v>
      </c>
      <c r="C1998" t="s">
        <v>5</v>
      </c>
      <c r="D1998">
        <v>119.03999999999999</v>
      </c>
    </row>
    <row r="1999" spans="2:4">
      <c r="B1999" s="3">
        <v>42913</v>
      </c>
      <c r="C1999" t="s">
        <v>5</v>
      </c>
      <c r="D1999">
        <v>20.07</v>
      </c>
    </row>
    <row r="2000" spans="2:4">
      <c r="B2000" s="3">
        <v>43060</v>
      </c>
      <c r="C2000" t="s">
        <v>5</v>
      </c>
      <c r="D2000">
        <v>11.76</v>
      </c>
    </row>
    <row r="2001" spans="2:4">
      <c r="B2001" s="3">
        <v>43060</v>
      </c>
      <c r="C2001" t="s">
        <v>5</v>
      </c>
      <c r="D2001">
        <v>40.736000000000004</v>
      </c>
    </row>
    <row r="2002" spans="2:4">
      <c r="B2002" s="3">
        <v>43097</v>
      </c>
      <c r="C2002" t="s">
        <v>3</v>
      </c>
      <c r="D2002">
        <v>340.70400000000006</v>
      </c>
    </row>
    <row r="2003" spans="2:4">
      <c r="B2003" s="3">
        <v>42919</v>
      </c>
      <c r="C2003" t="s">
        <v>5</v>
      </c>
      <c r="D2003">
        <v>87.92</v>
      </c>
    </row>
    <row r="2004" spans="2:4">
      <c r="B2004" s="3">
        <v>42845</v>
      </c>
      <c r="C2004" t="s">
        <v>3</v>
      </c>
      <c r="D2004">
        <v>51.967999999999996</v>
      </c>
    </row>
    <row r="2005" spans="2:4">
      <c r="B2005" s="3">
        <v>42845</v>
      </c>
      <c r="C2005" t="s">
        <v>5</v>
      </c>
      <c r="D2005">
        <v>51.336000000000006</v>
      </c>
    </row>
    <row r="2006" spans="2:4">
      <c r="B2006" s="3">
        <v>42845</v>
      </c>
      <c r="C2006" t="s">
        <v>5</v>
      </c>
      <c r="D2006">
        <v>332.70400000000001</v>
      </c>
    </row>
    <row r="2007" spans="2:4">
      <c r="B2007" s="3">
        <v>42845</v>
      </c>
      <c r="C2007" t="s">
        <v>3</v>
      </c>
      <c r="D2007">
        <v>42.408000000000008</v>
      </c>
    </row>
    <row r="2008" spans="2:4">
      <c r="B2008" s="3">
        <v>42829</v>
      </c>
      <c r="C2008" t="s">
        <v>4</v>
      </c>
      <c r="D2008">
        <v>383.84000000000003</v>
      </c>
    </row>
    <row r="2009" spans="2:4">
      <c r="B2009" s="3">
        <v>43082</v>
      </c>
      <c r="C2009" t="s">
        <v>5</v>
      </c>
      <c r="D2009">
        <v>31.44</v>
      </c>
    </row>
    <row r="2010" spans="2:4">
      <c r="B2010" s="3">
        <v>43091</v>
      </c>
      <c r="C2010" t="s">
        <v>5</v>
      </c>
      <c r="D2010">
        <v>25.920000000000005</v>
      </c>
    </row>
    <row r="2011" spans="2:4">
      <c r="B2011" s="3">
        <v>43091</v>
      </c>
      <c r="C2011" t="s">
        <v>5</v>
      </c>
      <c r="D2011">
        <v>6.3299999999999992</v>
      </c>
    </row>
    <row r="2012" spans="2:4">
      <c r="B2012" s="3">
        <v>43091</v>
      </c>
      <c r="C2012" t="s">
        <v>5</v>
      </c>
      <c r="D2012">
        <v>75.88</v>
      </c>
    </row>
    <row r="2013" spans="2:4">
      <c r="B2013" s="3">
        <v>43029</v>
      </c>
      <c r="C2013" t="s">
        <v>4</v>
      </c>
      <c r="D2013">
        <v>329.988</v>
      </c>
    </row>
    <row r="2014" spans="2:4">
      <c r="B2014" s="3">
        <v>43029</v>
      </c>
      <c r="C2014" t="s">
        <v>5</v>
      </c>
      <c r="D2014">
        <v>71.376000000000005</v>
      </c>
    </row>
    <row r="2015" spans="2:4">
      <c r="B2015" s="3">
        <v>43070</v>
      </c>
      <c r="C2015" t="s">
        <v>3</v>
      </c>
      <c r="D2015">
        <v>7.7120000000000006</v>
      </c>
    </row>
    <row r="2016" spans="2:4">
      <c r="B2016" s="3">
        <v>43007</v>
      </c>
      <c r="C2016" t="s">
        <v>5</v>
      </c>
      <c r="D2016">
        <v>51.168000000000006</v>
      </c>
    </row>
    <row r="2017" spans="2:4">
      <c r="B2017" s="3">
        <v>42965</v>
      </c>
      <c r="C2017" t="s">
        <v>5</v>
      </c>
      <c r="D2017">
        <v>2793.5280000000002</v>
      </c>
    </row>
    <row r="2018" spans="2:4">
      <c r="B2018" s="3">
        <v>42965</v>
      </c>
      <c r="C2018" t="s">
        <v>5</v>
      </c>
      <c r="D2018">
        <v>1000.0200000000001</v>
      </c>
    </row>
    <row r="2019" spans="2:4">
      <c r="B2019" s="3">
        <v>42965</v>
      </c>
      <c r="C2019" t="s">
        <v>3</v>
      </c>
      <c r="D2019">
        <v>65.94</v>
      </c>
    </row>
    <row r="2020" spans="2:4">
      <c r="B2020" s="3">
        <v>43051</v>
      </c>
      <c r="C2020" t="s">
        <v>5</v>
      </c>
      <c r="D2020">
        <v>18.240000000000002</v>
      </c>
    </row>
    <row r="2021" spans="2:4">
      <c r="B2021" s="3">
        <v>43051</v>
      </c>
      <c r="C2021" t="s">
        <v>5</v>
      </c>
      <c r="D2021">
        <v>76.12</v>
      </c>
    </row>
    <row r="2022" spans="2:4">
      <c r="B2022" s="3">
        <v>42992</v>
      </c>
      <c r="C2022" t="s">
        <v>5</v>
      </c>
      <c r="D2022">
        <v>56.699999999999996</v>
      </c>
    </row>
    <row r="2023" spans="2:4">
      <c r="B2023" s="3">
        <v>43092</v>
      </c>
      <c r="C2023" t="s">
        <v>3</v>
      </c>
      <c r="D2023">
        <v>72.703999999999994</v>
      </c>
    </row>
    <row r="2024" spans="2:4">
      <c r="B2024" s="3">
        <v>43092</v>
      </c>
      <c r="C2024" t="s">
        <v>5</v>
      </c>
      <c r="D2024">
        <v>12.263999999999999</v>
      </c>
    </row>
    <row r="2025" spans="2:4">
      <c r="B2025" s="3">
        <v>43092</v>
      </c>
      <c r="C2025" t="s">
        <v>5</v>
      </c>
      <c r="D2025">
        <v>218.35200000000003</v>
      </c>
    </row>
    <row r="2026" spans="2:4">
      <c r="B2026" s="3">
        <v>42927</v>
      </c>
      <c r="C2026" t="s">
        <v>5</v>
      </c>
      <c r="D2026">
        <v>30.32</v>
      </c>
    </row>
    <row r="2027" spans="2:4">
      <c r="B2027" s="3">
        <v>42989</v>
      </c>
      <c r="C2027" t="s">
        <v>3</v>
      </c>
      <c r="D2027">
        <v>177.56800000000001</v>
      </c>
    </row>
    <row r="2028" spans="2:4">
      <c r="B2028" s="3">
        <v>42989</v>
      </c>
      <c r="C2028" t="s">
        <v>5</v>
      </c>
      <c r="D2028">
        <v>19.440000000000001</v>
      </c>
    </row>
    <row r="2029" spans="2:4">
      <c r="B2029" s="3">
        <v>42989</v>
      </c>
      <c r="C2029" t="s">
        <v>5</v>
      </c>
      <c r="D2029">
        <v>71.28</v>
      </c>
    </row>
    <row r="2030" spans="2:4">
      <c r="B2030" s="3">
        <v>42989</v>
      </c>
      <c r="C2030" t="s">
        <v>5</v>
      </c>
      <c r="D2030">
        <v>1471.96</v>
      </c>
    </row>
    <row r="2031" spans="2:4">
      <c r="B2031" s="3">
        <v>42989</v>
      </c>
      <c r="C2031" t="s">
        <v>4</v>
      </c>
      <c r="D2031">
        <v>79.959999999999994</v>
      </c>
    </row>
    <row r="2032" spans="2:4">
      <c r="B2032" s="3">
        <v>42883</v>
      </c>
      <c r="C2032" t="s">
        <v>3</v>
      </c>
      <c r="D2032">
        <v>247.44</v>
      </c>
    </row>
    <row r="2033" spans="2:4">
      <c r="B2033" s="3">
        <v>42884</v>
      </c>
      <c r="C2033" t="s">
        <v>5</v>
      </c>
      <c r="D2033">
        <v>43.41</v>
      </c>
    </row>
    <row r="2034" spans="2:4">
      <c r="B2034" s="3">
        <v>42884</v>
      </c>
      <c r="C2034" t="s">
        <v>3</v>
      </c>
      <c r="D2034">
        <v>6.24</v>
      </c>
    </row>
    <row r="2035" spans="2:4">
      <c r="B2035" s="3">
        <v>42884</v>
      </c>
      <c r="C2035" t="s">
        <v>5</v>
      </c>
      <c r="D2035">
        <v>465.16</v>
      </c>
    </row>
    <row r="2036" spans="2:4">
      <c r="B2036" s="3">
        <v>42884</v>
      </c>
      <c r="C2036" t="s">
        <v>5</v>
      </c>
      <c r="D2036">
        <v>7.98</v>
      </c>
    </row>
    <row r="2037" spans="2:4">
      <c r="B2037" s="3">
        <v>42987</v>
      </c>
      <c r="C2037" t="s">
        <v>5</v>
      </c>
      <c r="D2037">
        <v>9.8560000000000016</v>
      </c>
    </row>
    <row r="2038" spans="2:4">
      <c r="B2038" s="3">
        <v>43041</v>
      </c>
      <c r="C2038" t="s">
        <v>5</v>
      </c>
      <c r="D2038">
        <v>384.59200000000004</v>
      </c>
    </row>
    <row r="2039" spans="2:4">
      <c r="B2039" s="3">
        <v>42939</v>
      </c>
      <c r="C2039" t="s">
        <v>5</v>
      </c>
      <c r="D2039">
        <v>41.4</v>
      </c>
    </row>
    <row r="2040" spans="2:4">
      <c r="B2040" s="3">
        <v>42860</v>
      </c>
      <c r="C2040" t="s">
        <v>5</v>
      </c>
      <c r="D2040">
        <v>34.5</v>
      </c>
    </row>
    <row r="2041" spans="2:4">
      <c r="B2041" s="3">
        <v>43071</v>
      </c>
      <c r="C2041" t="s">
        <v>4</v>
      </c>
      <c r="D2041">
        <v>39.992000000000004</v>
      </c>
    </row>
    <row r="2042" spans="2:4">
      <c r="B2042" s="3">
        <v>43071</v>
      </c>
      <c r="C2042" t="s">
        <v>3</v>
      </c>
      <c r="D2042">
        <v>1159.056</v>
      </c>
    </row>
    <row r="2043" spans="2:4">
      <c r="B2043" s="3">
        <v>43071</v>
      </c>
      <c r="C2043" t="s">
        <v>5</v>
      </c>
      <c r="D2043">
        <v>179.89999999999998</v>
      </c>
    </row>
    <row r="2044" spans="2:4">
      <c r="B2044" s="3">
        <v>43080</v>
      </c>
      <c r="C2044" t="s">
        <v>4</v>
      </c>
      <c r="D2044">
        <v>116.312</v>
      </c>
    </row>
    <row r="2045" spans="2:4">
      <c r="B2045" s="3">
        <v>42867</v>
      </c>
      <c r="C2045" t="s">
        <v>5</v>
      </c>
      <c r="D2045">
        <v>5.9039999999999999</v>
      </c>
    </row>
    <row r="2046" spans="2:4">
      <c r="B2046" s="3">
        <v>43071</v>
      </c>
      <c r="C2046" t="s">
        <v>3</v>
      </c>
      <c r="D2046">
        <v>701.96</v>
      </c>
    </row>
    <row r="2047" spans="2:4">
      <c r="B2047" s="3">
        <v>43069</v>
      </c>
      <c r="C2047" t="s">
        <v>3</v>
      </c>
      <c r="D2047">
        <v>25.83</v>
      </c>
    </row>
    <row r="2048" spans="2:4">
      <c r="B2048" s="3">
        <v>43062</v>
      </c>
      <c r="C2048" t="s">
        <v>4</v>
      </c>
      <c r="D2048">
        <v>195.96000000000004</v>
      </c>
    </row>
    <row r="2049" spans="2:4">
      <c r="B2049" s="3">
        <v>42904</v>
      </c>
      <c r="C2049" t="s">
        <v>5</v>
      </c>
      <c r="D2049">
        <v>74.352000000000004</v>
      </c>
    </row>
    <row r="2050" spans="2:4">
      <c r="B2050" s="3">
        <v>42860</v>
      </c>
      <c r="C2050" t="s">
        <v>5</v>
      </c>
      <c r="D2050">
        <v>6.68</v>
      </c>
    </row>
    <row r="2051" spans="2:4">
      <c r="B2051" s="3">
        <v>42782</v>
      </c>
      <c r="C2051" t="s">
        <v>5</v>
      </c>
      <c r="D2051">
        <v>579.51</v>
      </c>
    </row>
    <row r="2052" spans="2:4">
      <c r="B2052" s="3">
        <v>42782</v>
      </c>
      <c r="C2052" t="s">
        <v>4</v>
      </c>
      <c r="D2052">
        <v>14.99</v>
      </c>
    </row>
    <row r="2053" spans="2:4">
      <c r="B2053" s="3">
        <v>43064</v>
      </c>
      <c r="C2053" t="s">
        <v>4</v>
      </c>
      <c r="D2053">
        <v>39.960000000000008</v>
      </c>
    </row>
    <row r="2054" spans="2:4">
      <c r="B2054" s="3">
        <v>43064</v>
      </c>
      <c r="C2054" t="s">
        <v>5</v>
      </c>
      <c r="D2054">
        <v>34.08</v>
      </c>
    </row>
    <row r="2055" spans="2:4">
      <c r="B2055" s="3">
        <v>43006</v>
      </c>
      <c r="C2055" t="s">
        <v>5</v>
      </c>
      <c r="D2055">
        <v>10.368000000000002</v>
      </c>
    </row>
    <row r="2056" spans="2:4">
      <c r="B2056" s="3">
        <v>43013</v>
      </c>
      <c r="C2056" t="s">
        <v>4</v>
      </c>
      <c r="D2056">
        <v>87.8</v>
      </c>
    </row>
    <row r="2057" spans="2:4">
      <c r="B2057" s="3">
        <v>43013</v>
      </c>
      <c r="C2057" t="s">
        <v>3</v>
      </c>
      <c r="D2057">
        <v>221.38200000000001</v>
      </c>
    </row>
    <row r="2058" spans="2:4">
      <c r="B2058" s="3">
        <v>43013</v>
      </c>
      <c r="C2058" t="s">
        <v>4</v>
      </c>
      <c r="D2058">
        <v>5199.96</v>
      </c>
    </row>
    <row r="2059" spans="2:4">
      <c r="B2059" s="3">
        <v>43028</v>
      </c>
      <c r="C2059" t="s">
        <v>5</v>
      </c>
      <c r="D2059">
        <v>24.55</v>
      </c>
    </row>
    <row r="2060" spans="2:4">
      <c r="B2060" s="3">
        <v>42981</v>
      </c>
      <c r="C2060" t="s">
        <v>3</v>
      </c>
      <c r="D2060">
        <v>108.40000000000002</v>
      </c>
    </row>
    <row r="2061" spans="2:4">
      <c r="B2061" s="3">
        <v>43042</v>
      </c>
      <c r="C2061" t="s">
        <v>4</v>
      </c>
      <c r="D2061">
        <v>361.37600000000003</v>
      </c>
    </row>
    <row r="2062" spans="2:4">
      <c r="B2062" s="3">
        <v>42758</v>
      </c>
      <c r="C2062" t="s">
        <v>5</v>
      </c>
      <c r="D2062">
        <v>19.68</v>
      </c>
    </row>
    <row r="2063" spans="2:4">
      <c r="B2063" s="3">
        <v>42758</v>
      </c>
      <c r="C2063" t="s">
        <v>5</v>
      </c>
      <c r="D2063">
        <v>25.92</v>
      </c>
    </row>
    <row r="2064" spans="2:4">
      <c r="B2064" s="3">
        <v>42758</v>
      </c>
      <c r="C2064" t="s">
        <v>5</v>
      </c>
      <c r="D2064">
        <v>6.48</v>
      </c>
    </row>
    <row r="2065" spans="2:4">
      <c r="B2065" s="3">
        <v>42758</v>
      </c>
      <c r="C2065" t="s">
        <v>4</v>
      </c>
      <c r="D2065">
        <v>86.352000000000004</v>
      </c>
    </row>
    <row r="2066" spans="2:4">
      <c r="B2066" s="3">
        <v>43060</v>
      </c>
      <c r="C2066" t="s">
        <v>5</v>
      </c>
      <c r="D2066">
        <v>150.80000000000001</v>
      </c>
    </row>
    <row r="2067" spans="2:4">
      <c r="B2067" s="3">
        <v>43060</v>
      </c>
      <c r="C2067" t="s">
        <v>4</v>
      </c>
      <c r="D2067">
        <v>1039.992</v>
      </c>
    </row>
    <row r="2068" spans="2:4">
      <c r="B2068" s="3">
        <v>43060</v>
      </c>
      <c r="C2068" t="s">
        <v>5</v>
      </c>
      <c r="D2068">
        <v>51.84</v>
      </c>
    </row>
    <row r="2069" spans="2:4">
      <c r="B2069" s="3">
        <v>42829</v>
      </c>
      <c r="C2069" t="s">
        <v>4</v>
      </c>
      <c r="D2069">
        <v>41.22</v>
      </c>
    </row>
    <row r="2070" spans="2:4">
      <c r="B2070" s="3">
        <v>42829</v>
      </c>
      <c r="C2070" t="s">
        <v>5</v>
      </c>
      <c r="D2070">
        <v>240.37</v>
      </c>
    </row>
    <row r="2071" spans="2:4">
      <c r="B2071" s="3">
        <v>42829</v>
      </c>
      <c r="C2071" t="s">
        <v>4</v>
      </c>
      <c r="D2071">
        <v>119.02</v>
      </c>
    </row>
    <row r="2072" spans="2:4">
      <c r="B2072" s="3">
        <v>42874</v>
      </c>
      <c r="C2072" t="s">
        <v>5</v>
      </c>
      <c r="D2072">
        <v>133.12</v>
      </c>
    </row>
    <row r="2073" spans="2:4">
      <c r="B2073" s="3">
        <v>43011</v>
      </c>
      <c r="C2073" t="s">
        <v>3</v>
      </c>
      <c r="D2073">
        <v>83.92</v>
      </c>
    </row>
    <row r="2074" spans="2:4">
      <c r="B2074" s="3">
        <v>43011</v>
      </c>
      <c r="C2074" t="s">
        <v>5</v>
      </c>
      <c r="D2074">
        <v>6.63</v>
      </c>
    </row>
    <row r="2075" spans="2:4">
      <c r="B2075" s="3">
        <v>43011</v>
      </c>
      <c r="C2075" t="s">
        <v>4</v>
      </c>
      <c r="D2075">
        <v>371.96999999999997</v>
      </c>
    </row>
    <row r="2076" spans="2:4">
      <c r="B2076" s="3">
        <v>42835</v>
      </c>
      <c r="C2076" t="s">
        <v>4</v>
      </c>
      <c r="D2076">
        <v>99.99</v>
      </c>
    </row>
    <row r="2077" spans="2:4">
      <c r="B2077" s="3">
        <v>42835</v>
      </c>
      <c r="C2077" t="s">
        <v>5</v>
      </c>
      <c r="D2077">
        <v>286.14999999999998</v>
      </c>
    </row>
    <row r="2078" spans="2:4">
      <c r="B2078" s="3">
        <v>42750</v>
      </c>
      <c r="C2078" t="s">
        <v>5</v>
      </c>
      <c r="D2078">
        <v>32.783999999999992</v>
      </c>
    </row>
    <row r="2079" spans="2:4">
      <c r="B2079" s="3">
        <v>42750</v>
      </c>
      <c r="C2079" t="s">
        <v>4</v>
      </c>
      <c r="D2079">
        <v>47.984000000000002</v>
      </c>
    </row>
    <row r="2080" spans="2:4">
      <c r="B2080" s="3">
        <v>42750</v>
      </c>
      <c r="C2080" t="s">
        <v>4</v>
      </c>
      <c r="D2080">
        <v>62.591999999999999</v>
      </c>
    </row>
    <row r="2081" spans="2:4">
      <c r="B2081" s="3">
        <v>42750</v>
      </c>
      <c r="C2081" t="s">
        <v>5</v>
      </c>
      <c r="D2081">
        <v>4.2759999999999989</v>
      </c>
    </row>
    <row r="2082" spans="2:4">
      <c r="B2082" s="3">
        <v>43039</v>
      </c>
      <c r="C2082" t="s">
        <v>5</v>
      </c>
      <c r="D2082">
        <v>5.2480000000000002</v>
      </c>
    </row>
    <row r="2083" spans="2:4">
      <c r="B2083" s="3">
        <v>42953</v>
      </c>
      <c r="C2083" t="s">
        <v>4</v>
      </c>
      <c r="D2083">
        <v>824.95</v>
      </c>
    </row>
    <row r="2084" spans="2:4">
      <c r="B2084" s="3">
        <v>42953</v>
      </c>
      <c r="C2084" t="s">
        <v>5</v>
      </c>
      <c r="D2084">
        <v>24.64</v>
      </c>
    </row>
    <row r="2085" spans="2:4">
      <c r="B2085" s="3">
        <v>42953</v>
      </c>
      <c r="C2085" t="s">
        <v>5</v>
      </c>
      <c r="D2085">
        <v>227.88</v>
      </c>
    </row>
    <row r="2086" spans="2:4">
      <c r="B2086" s="3">
        <v>42885</v>
      </c>
      <c r="C2086" t="s">
        <v>3</v>
      </c>
      <c r="D2086">
        <v>241.96</v>
      </c>
    </row>
    <row r="2087" spans="2:4">
      <c r="B2087" s="3">
        <v>42885</v>
      </c>
      <c r="C2087" t="s">
        <v>5</v>
      </c>
      <c r="D2087">
        <v>3.89</v>
      </c>
    </row>
    <row r="2088" spans="2:4">
      <c r="B2088" s="3">
        <v>42885</v>
      </c>
      <c r="C2088" t="s">
        <v>3</v>
      </c>
      <c r="D2088">
        <v>8.01</v>
      </c>
    </row>
    <row r="2089" spans="2:4">
      <c r="B2089" s="3">
        <v>42978</v>
      </c>
      <c r="C2089" t="s">
        <v>3</v>
      </c>
      <c r="D2089">
        <v>569.5680000000001</v>
      </c>
    </row>
    <row r="2090" spans="2:4">
      <c r="B2090" s="3">
        <v>42978</v>
      </c>
      <c r="C2090" t="s">
        <v>5</v>
      </c>
      <c r="D2090">
        <v>149.73000000000002</v>
      </c>
    </row>
    <row r="2091" spans="2:4">
      <c r="B2091" s="3">
        <v>42869</v>
      </c>
      <c r="C2091" t="s">
        <v>3</v>
      </c>
      <c r="D2091">
        <v>899.43</v>
      </c>
    </row>
    <row r="2092" spans="2:4">
      <c r="B2092" s="3">
        <v>42869</v>
      </c>
      <c r="C2092" t="s">
        <v>5</v>
      </c>
      <c r="D2092">
        <v>46.2</v>
      </c>
    </row>
    <row r="2093" spans="2:4">
      <c r="B2093" s="3">
        <v>42869</v>
      </c>
      <c r="C2093" t="s">
        <v>5</v>
      </c>
      <c r="D2093">
        <v>47.952000000000005</v>
      </c>
    </row>
    <row r="2094" spans="2:4">
      <c r="B2094" s="3">
        <v>42869</v>
      </c>
      <c r="C2094" t="s">
        <v>4</v>
      </c>
      <c r="D2094">
        <v>7.9920000000000009</v>
      </c>
    </row>
    <row r="2095" spans="2:4">
      <c r="B2095" s="3">
        <v>42869</v>
      </c>
      <c r="C2095" t="s">
        <v>5</v>
      </c>
      <c r="D2095">
        <v>76.864000000000004</v>
      </c>
    </row>
    <row r="2096" spans="2:4">
      <c r="B2096" s="3">
        <v>42964</v>
      </c>
      <c r="C2096" t="s">
        <v>5</v>
      </c>
      <c r="D2096">
        <v>102.93</v>
      </c>
    </row>
    <row r="2097" spans="2:4">
      <c r="B2097" s="3">
        <v>42964</v>
      </c>
      <c r="C2097" t="s">
        <v>4</v>
      </c>
      <c r="D2097">
        <v>98.16</v>
      </c>
    </row>
    <row r="2098" spans="2:4">
      <c r="B2098" s="3">
        <v>43049</v>
      </c>
      <c r="C2098" t="s">
        <v>5</v>
      </c>
      <c r="D2098">
        <v>11.520000000000001</v>
      </c>
    </row>
    <row r="2099" spans="2:4">
      <c r="B2099" s="3">
        <v>42968</v>
      </c>
      <c r="C2099" t="s">
        <v>5</v>
      </c>
      <c r="D2099">
        <v>83.88</v>
      </c>
    </row>
    <row r="2100" spans="2:4">
      <c r="B2100" s="3">
        <v>42966</v>
      </c>
      <c r="C2100" t="s">
        <v>5</v>
      </c>
      <c r="D2100">
        <v>19.440000000000001</v>
      </c>
    </row>
    <row r="2101" spans="2:4">
      <c r="B2101" s="3">
        <v>42882</v>
      </c>
      <c r="C2101" t="s">
        <v>3</v>
      </c>
      <c r="D2101">
        <v>35</v>
      </c>
    </row>
    <row r="2102" spans="2:4">
      <c r="B2102" s="3">
        <v>42882</v>
      </c>
      <c r="C2102" t="s">
        <v>5</v>
      </c>
      <c r="D2102">
        <v>477.15000000000003</v>
      </c>
    </row>
    <row r="2103" spans="2:4">
      <c r="B2103" s="3">
        <v>42882</v>
      </c>
      <c r="C2103" t="s">
        <v>4</v>
      </c>
      <c r="D2103">
        <v>302.37599999999998</v>
      </c>
    </row>
    <row r="2104" spans="2:4">
      <c r="B2104" s="3">
        <v>43083</v>
      </c>
      <c r="C2104" t="s">
        <v>3</v>
      </c>
      <c r="D2104">
        <v>974.98799999999983</v>
      </c>
    </row>
    <row r="2105" spans="2:4">
      <c r="B2105" s="3">
        <v>42798</v>
      </c>
      <c r="C2105" t="s">
        <v>3</v>
      </c>
      <c r="D2105">
        <v>103.50000000000001</v>
      </c>
    </row>
    <row r="2106" spans="2:4">
      <c r="B2106" s="3">
        <v>42798</v>
      </c>
      <c r="C2106" t="s">
        <v>5</v>
      </c>
      <c r="D2106">
        <v>2.4640000000000004</v>
      </c>
    </row>
    <row r="2107" spans="2:4">
      <c r="B2107" s="3">
        <v>42798</v>
      </c>
      <c r="C2107" t="s">
        <v>5</v>
      </c>
      <c r="D2107">
        <v>8.7200000000000006</v>
      </c>
    </row>
    <row r="2108" spans="2:4">
      <c r="B2108" s="3">
        <v>42947</v>
      </c>
      <c r="C2108" t="s">
        <v>5</v>
      </c>
      <c r="D2108">
        <v>56.56</v>
      </c>
    </row>
    <row r="2109" spans="2:4">
      <c r="B2109" s="3">
        <v>42947</v>
      </c>
      <c r="C2109" t="s">
        <v>3</v>
      </c>
      <c r="D2109">
        <v>36.96</v>
      </c>
    </row>
    <row r="2110" spans="2:4">
      <c r="B2110" s="3">
        <v>42869</v>
      </c>
      <c r="C2110" t="s">
        <v>5</v>
      </c>
      <c r="D2110">
        <v>3.76</v>
      </c>
    </row>
    <row r="2111" spans="2:4">
      <c r="B2111" s="3">
        <v>42869</v>
      </c>
      <c r="C2111" t="s">
        <v>5</v>
      </c>
      <c r="D2111">
        <v>14.7</v>
      </c>
    </row>
    <row r="2112" spans="2:4">
      <c r="B2112" s="3">
        <v>42869</v>
      </c>
      <c r="C2112" t="s">
        <v>5</v>
      </c>
      <c r="D2112">
        <v>37.200000000000003</v>
      </c>
    </row>
    <row r="2113" spans="2:4">
      <c r="B2113" s="3">
        <v>42869</v>
      </c>
      <c r="C2113" t="s">
        <v>4</v>
      </c>
      <c r="D2113">
        <v>89.97</v>
      </c>
    </row>
    <row r="2114" spans="2:4">
      <c r="B2114" s="3">
        <v>42869</v>
      </c>
      <c r="C2114" t="s">
        <v>3</v>
      </c>
      <c r="D2114">
        <v>261.95999999999998</v>
      </c>
    </row>
    <row r="2115" spans="2:4">
      <c r="B2115" s="3">
        <v>42869</v>
      </c>
      <c r="C2115" t="s">
        <v>5</v>
      </c>
      <c r="D2115">
        <v>74</v>
      </c>
    </row>
    <row r="2116" spans="2:4">
      <c r="B2116" s="3">
        <v>42877</v>
      </c>
      <c r="C2116" t="s">
        <v>4</v>
      </c>
      <c r="D2116">
        <v>68.459999999999994</v>
      </c>
    </row>
    <row r="2117" spans="2:4">
      <c r="B2117" s="3">
        <v>42889</v>
      </c>
      <c r="C2117" t="s">
        <v>5</v>
      </c>
      <c r="D2117">
        <v>4.5540000000000003</v>
      </c>
    </row>
    <row r="2118" spans="2:4">
      <c r="B2118" s="3">
        <v>42889</v>
      </c>
      <c r="C2118" t="s">
        <v>5</v>
      </c>
      <c r="D2118">
        <v>5.2</v>
      </c>
    </row>
    <row r="2119" spans="2:4">
      <c r="B2119" s="3">
        <v>42889</v>
      </c>
      <c r="C2119" t="s">
        <v>4</v>
      </c>
      <c r="D2119">
        <v>205.99200000000002</v>
      </c>
    </row>
    <row r="2120" spans="2:4">
      <c r="B2120" s="3">
        <v>42889</v>
      </c>
      <c r="C2120" t="s">
        <v>5</v>
      </c>
      <c r="D2120">
        <v>15.552000000000003</v>
      </c>
    </row>
    <row r="2121" spans="2:4">
      <c r="B2121" s="3">
        <v>42889</v>
      </c>
      <c r="C2121" t="s">
        <v>4</v>
      </c>
      <c r="D2121">
        <v>503.96000000000004</v>
      </c>
    </row>
    <row r="2122" spans="2:4">
      <c r="B2122" s="3">
        <v>42889</v>
      </c>
      <c r="C2122" t="s">
        <v>5</v>
      </c>
      <c r="D2122">
        <v>24.472000000000001</v>
      </c>
    </row>
    <row r="2123" spans="2:4">
      <c r="B2123" s="3">
        <v>42889</v>
      </c>
      <c r="C2123" t="s">
        <v>3</v>
      </c>
      <c r="D2123">
        <v>241.56799999999998</v>
      </c>
    </row>
    <row r="2124" spans="2:4">
      <c r="B2124" s="3">
        <v>42889</v>
      </c>
      <c r="C2124" t="s">
        <v>4</v>
      </c>
      <c r="D2124">
        <v>110.4</v>
      </c>
    </row>
    <row r="2125" spans="2:4">
      <c r="B2125" s="3">
        <v>42889</v>
      </c>
      <c r="C2125" t="s">
        <v>3</v>
      </c>
      <c r="D2125">
        <v>384.76799999999997</v>
      </c>
    </row>
    <row r="2126" spans="2:4">
      <c r="B2126" s="3">
        <v>42889</v>
      </c>
      <c r="C2126" t="s">
        <v>4</v>
      </c>
      <c r="D2126">
        <v>78.66</v>
      </c>
    </row>
    <row r="2127" spans="2:4">
      <c r="B2127" s="3">
        <v>42889</v>
      </c>
      <c r="C2127" t="s">
        <v>5</v>
      </c>
      <c r="D2127">
        <v>45.36</v>
      </c>
    </row>
    <row r="2128" spans="2:4">
      <c r="B2128" s="3">
        <v>42997</v>
      </c>
      <c r="C2128" t="s">
        <v>5</v>
      </c>
      <c r="D2128">
        <v>32.400000000000006</v>
      </c>
    </row>
    <row r="2129" spans="2:4">
      <c r="B2129" s="3">
        <v>43036</v>
      </c>
      <c r="C2129" t="s">
        <v>4</v>
      </c>
      <c r="D2129">
        <v>24</v>
      </c>
    </row>
    <row r="2130" spans="2:4">
      <c r="B2130" s="3">
        <v>43036</v>
      </c>
      <c r="C2130" t="s">
        <v>5</v>
      </c>
      <c r="D2130">
        <v>15.552000000000003</v>
      </c>
    </row>
    <row r="2131" spans="2:4">
      <c r="B2131" s="3">
        <v>43036</v>
      </c>
      <c r="C2131" t="s">
        <v>4</v>
      </c>
      <c r="D2131">
        <v>26.176000000000002</v>
      </c>
    </row>
    <row r="2132" spans="2:4">
      <c r="B2132" s="3">
        <v>43056</v>
      </c>
      <c r="C2132" t="s">
        <v>5</v>
      </c>
      <c r="D2132">
        <v>1247.6399999999999</v>
      </c>
    </row>
    <row r="2133" spans="2:4">
      <c r="B2133" s="3">
        <v>43089</v>
      </c>
      <c r="C2133" t="s">
        <v>5</v>
      </c>
      <c r="D2133">
        <v>279.89999999999998</v>
      </c>
    </row>
    <row r="2134" spans="2:4">
      <c r="B2134" s="3">
        <v>43089</v>
      </c>
      <c r="C2134" t="s">
        <v>5</v>
      </c>
      <c r="D2134">
        <v>50.352000000000004</v>
      </c>
    </row>
    <row r="2135" spans="2:4">
      <c r="B2135" s="3">
        <v>43089</v>
      </c>
      <c r="C2135" t="s">
        <v>5</v>
      </c>
      <c r="D2135">
        <v>34.019999999999996</v>
      </c>
    </row>
    <row r="2136" spans="2:4">
      <c r="B2136" s="3">
        <v>42800</v>
      </c>
      <c r="C2136" t="s">
        <v>5</v>
      </c>
      <c r="D2136">
        <v>23.88</v>
      </c>
    </row>
    <row r="2137" spans="2:4">
      <c r="B2137" s="3">
        <v>42800</v>
      </c>
      <c r="C2137" t="s">
        <v>5</v>
      </c>
      <c r="D2137">
        <v>11.52</v>
      </c>
    </row>
    <row r="2138" spans="2:4">
      <c r="B2138" s="3">
        <v>42800</v>
      </c>
      <c r="C2138" t="s">
        <v>5</v>
      </c>
      <c r="D2138">
        <v>286.93</v>
      </c>
    </row>
    <row r="2139" spans="2:4">
      <c r="B2139" s="3">
        <v>42800</v>
      </c>
      <c r="C2139" t="s">
        <v>4</v>
      </c>
      <c r="D2139">
        <v>206.38400000000001</v>
      </c>
    </row>
    <row r="2140" spans="2:4">
      <c r="B2140" s="3">
        <v>42993</v>
      </c>
      <c r="C2140" t="s">
        <v>3</v>
      </c>
      <c r="D2140">
        <v>218.35200000000003</v>
      </c>
    </row>
    <row r="2141" spans="2:4">
      <c r="B2141" s="3">
        <v>42993</v>
      </c>
      <c r="C2141" t="s">
        <v>3</v>
      </c>
      <c r="D2141">
        <v>529.9</v>
      </c>
    </row>
    <row r="2142" spans="2:4">
      <c r="B2142" s="3">
        <v>42993</v>
      </c>
      <c r="C2142" t="s">
        <v>5</v>
      </c>
      <c r="D2142">
        <v>99.3</v>
      </c>
    </row>
    <row r="2143" spans="2:4">
      <c r="B2143" s="3">
        <v>42993</v>
      </c>
      <c r="C2143" t="s">
        <v>5</v>
      </c>
      <c r="D2143">
        <v>108.96</v>
      </c>
    </row>
    <row r="2144" spans="2:4">
      <c r="B2144" s="3">
        <v>42993</v>
      </c>
      <c r="C2144" t="s">
        <v>5</v>
      </c>
      <c r="D2144">
        <v>2.6880000000000002</v>
      </c>
    </row>
    <row r="2145" spans="2:4">
      <c r="B2145" s="3">
        <v>42751</v>
      </c>
      <c r="C2145" t="s">
        <v>5</v>
      </c>
      <c r="D2145">
        <v>5443.96</v>
      </c>
    </row>
    <row r="2146" spans="2:4">
      <c r="B2146" s="3">
        <v>42751</v>
      </c>
      <c r="C2146" t="s">
        <v>3</v>
      </c>
      <c r="D2146">
        <v>302.67</v>
      </c>
    </row>
    <row r="2147" spans="2:4">
      <c r="B2147" s="3">
        <v>42751</v>
      </c>
      <c r="C2147" t="s">
        <v>5</v>
      </c>
      <c r="D2147">
        <v>56.07</v>
      </c>
    </row>
    <row r="2148" spans="2:4">
      <c r="B2148" s="3">
        <v>43073</v>
      </c>
      <c r="C2148" t="s">
        <v>5</v>
      </c>
      <c r="D2148">
        <v>8.8000000000000007</v>
      </c>
    </row>
    <row r="2149" spans="2:4">
      <c r="B2149" s="3">
        <v>43073</v>
      </c>
      <c r="C2149" t="s">
        <v>4</v>
      </c>
      <c r="D2149">
        <v>142.80000000000001</v>
      </c>
    </row>
    <row r="2150" spans="2:4">
      <c r="B2150" s="3">
        <v>43073</v>
      </c>
      <c r="C2150" t="s">
        <v>4</v>
      </c>
      <c r="D2150">
        <v>399.95</v>
      </c>
    </row>
    <row r="2151" spans="2:4">
      <c r="B2151" s="3">
        <v>43055</v>
      </c>
      <c r="C2151" t="s">
        <v>5</v>
      </c>
      <c r="D2151">
        <v>73.679999999999993</v>
      </c>
    </row>
    <row r="2152" spans="2:4">
      <c r="B2152" s="3">
        <v>43055</v>
      </c>
      <c r="C2152" t="s">
        <v>3</v>
      </c>
      <c r="D2152">
        <v>139.91999999999999</v>
      </c>
    </row>
    <row r="2153" spans="2:4">
      <c r="B2153" s="3">
        <v>43055</v>
      </c>
      <c r="C2153" t="s">
        <v>4</v>
      </c>
      <c r="D2153">
        <v>107.88</v>
      </c>
    </row>
    <row r="2154" spans="2:4">
      <c r="B2154" s="3">
        <v>43055</v>
      </c>
      <c r="C2154" t="s">
        <v>5</v>
      </c>
      <c r="D2154">
        <v>33.29</v>
      </c>
    </row>
    <row r="2155" spans="2:4">
      <c r="B2155" s="3">
        <v>42869</v>
      </c>
      <c r="C2155" t="s">
        <v>5</v>
      </c>
      <c r="D2155">
        <v>58.170000000000009</v>
      </c>
    </row>
    <row r="2156" spans="2:4">
      <c r="B2156" s="3">
        <v>42869</v>
      </c>
      <c r="C2156" t="s">
        <v>5</v>
      </c>
      <c r="D2156">
        <v>5.04</v>
      </c>
    </row>
    <row r="2157" spans="2:4">
      <c r="B2157" s="3">
        <v>42869</v>
      </c>
      <c r="C2157" t="s">
        <v>5</v>
      </c>
      <c r="D2157">
        <v>24.784000000000002</v>
      </c>
    </row>
    <row r="2158" spans="2:4">
      <c r="B2158" s="3">
        <v>43085</v>
      </c>
      <c r="C2158" t="s">
        <v>5</v>
      </c>
      <c r="D2158">
        <v>13.36</v>
      </c>
    </row>
    <row r="2159" spans="2:4">
      <c r="B2159" s="3">
        <v>43085</v>
      </c>
      <c r="C2159" t="s">
        <v>5</v>
      </c>
      <c r="D2159">
        <v>158.9</v>
      </c>
    </row>
    <row r="2160" spans="2:4">
      <c r="B2160" s="3">
        <v>42825</v>
      </c>
      <c r="C2160" t="s">
        <v>5</v>
      </c>
      <c r="D2160">
        <v>33.61999999999999</v>
      </c>
    </row>
    <row r="2161" spans="2:4">
      <c r="B2161" s="3">
        <v>42771</v>
      </c>
      <c r="C2161" t="s">
        <v>5</v>
      </c>
      <c r="D2161">
        <v>243.99199999999996</v>
      </c>
    </row>
    <row r="2162" spans="2:4">
      <c r="B2162" s="3">
        <v>42771</v>
      </c>
      <c r="C2162" t="s">
        <v>5</v>
      </c>
      <c r="D2162">
        <v>7.120000000000001</v>
      </c>
    </row>
    <row r="2163" spans="2:4">
      <c r="B2163" s="3">
        <v>42797</v>
      </c>
      <c r="C2163" t="s">
        <v>4</v>
      </c>
      <c r="D2163">
        <v>1049.44</v>
      </c>
    </row>
    <row r="2164" spans="2:4">
      <c r="B2164" s="3">
        <v>42797</v>
      </c>
      <c r="C2164" t="s">
        <v>3</v>
      </c>
      <c r="D2164">
        <v>170.35200000000003</v>
      </c>
    </row>
    <row r="2165" spans="2:4">
      <c r="B2165" s="3">
        <v>42937</v>
      </c>
      <c r="C2165" t="s">
        <v>5</v>
      </c>
      <c r="D2165">
        <v>101.94</v>
      </c>
    </row>
    <row r="2166" spans="2:4">
      <c r="B2166" s="3">
        <v>42937</v>
      </c>
      <c r="C2166" t="s">
        <v>4</v>
      </c>
      <c r="D2166">
        <v>271.95999999999998</v>
      </c>
    </row>
    <row r="2167" spans="2:4">
      <c r="B2167" s="3">
        <v>42937</v>
      </c>
      <c r="C2167" t="s">
        <v>3</v>
      </c>
      <c r="D2167">
        <v>8.8000000000000007</v>
      </c>
    </row>
    <row r="2168" spans="2:4">
      <c r="B2168" s="3">
        <v>42937</v>
      </c>
      <c r="C2168" t="s">
        <v>5</v>
      </c>
      <c r="D2168">
        <v>19.68</v>
      </c>
    </row>
    <row r="2169" spans="2:4">
      <c r="B2169" s="3">
        <v>42937</v>
      </c>
      <c r="C2169" t="s">
        <v>3</v>
      </c>
      <c r="D2169">
        <v>302.94</v>
      </c>
    </row>
    <row r="2170" spans="2:4">
      <c r="B2170" s="3">
        <v>42937</v>
      </c>
      <c r="C2170" t="s">
        <v>5</v>
      </c>
      <c r="D2170">
        <v>14.940000000000001</v>
      </c>
    </row>
    <row r="2171" spans="2:4">
      <c r="B2171" s="3">
        <v>42937</v>
      </c>
      <c r="C2171" t="s">
        <v>5</v>
      </c>
      <c r="D2171">
        <v>231.72</v>
      </c>
    </row>
    <row r="2172" spans="2:4">
      <c r="B2172" s="3">
        <v>42848</v>
      </c>
      <c r="C2172" t="s">
        <v>5</v>
      </c>
      <c r="D2172">
        <v>11.760000000000002</v>
      </c>
    </row>
    <row r="2173" spans="2:4">
      <c r="B2173" s="3">
        <v>42848</v>
      </c>
      <c r="C2173" t="s">
        <v>5</v>
      </c>
      <c r="D2173">
        <v>5.3440000000000003</v>
      </c>
    </row>
    <row r="2174" spans="2:4">
      <c r="B2174" s="3">
        <v>42903</v>
      </c>
      <c r="C2174" t="s">
        <v>5</v>
      </c>
      <c r="D2174">
        <v>146.352</v>
      </c>
    </row>
    <row r="2175" spans="2:4">
      <c r="B2175" s="3">
        <v>42748</v>
      </c>
      <c r="C2175" t="s">
        <v>5</v>
      </c>
      <c r="D2175">
        <v>32.400000000000006</v>
      </c>
    </row>
    <row r="2176" spans="2:4">
      <c r="B2176" s="3">
        <v>42748</v>
      </c>
      <c r="C2176" t="s">
        <v>5</v>
      </c>
      <c r="D2176">
        <v>209.94</v>
      </c>
    </row>
    <row r="2177" spans="2:4">
      <c r="B2177" s="3">
        <v>42748</v>
      </c>
      <c r="C2177" t="s">
        <v>5</v>
      </c>
      <c r="D2177">
        <v>4164.0499999999993</v>
      </c>
    </row>
    <row r="2178" spans="2:4">
      <c r="B2178" s="3">
        <v>42748</v>
      </c>
      <c r="C2178" t="s">
        <v>3</v>
      </c>
      <c r="D2178">
        <v>212.94</v>
      </c>
    </row>
    <row r="2179" spans="2:4">
      <c r="B2179" s="3">
        <v>42861</v>
      </c>
      <c r="C2179" t="s">
        <v>5</v>
      </c>
      <c r="D2179">
        <v>68.541000000000011</v>
      </c>
    </row>
    <row r="2180" spans="2:4">
      <c r="B2180" s="3">
        <v>42861</v>
      </c>
      <c r="C2180" t="s">
        <v>4</v>
      </c>
      <c r="D2180">
        <v>627.16800000000012</v>
      </c>
    </row>
    <row r="2181" spans="2:4">
      <c r="B2181" s="3">
        <v>42861</v>
      </c>
      <c r="C2181" t="s">
        <v>5</v>
      </c>
      <c r="D2181">
        <v>122.12000000000002</v>
      </c>
    </row>
    <row r="2182" spans="2:4">
      <c r="B2182" s="3">
        <v>43066</v>
      </c>
      <c r="C2182" t="s">
        <v>5</v>
      </c>
      <c r="D2182">
        <v>6.99</v>
      </c>
    </row>
    <row r="2183" spans="2:4">
      <c r="B2183" s="3">
        <v>43066</v>
      </c>
      <c r="C2183" t="s">
        <v>5</v>
      </c>
      <c r="D2183">
        <v>107.42400000000001</v>
      </c>
    </row>
    <row r="2184" spans="2:4">
      <c r="B2184" s="3">
        <v>42952</v>
      </c>
      <c r="C2184" t="s">
        <v>5</v>
      </c>
      <c r="D2184">
        <v>125.88</v>
      </c>
    </row>
    <row r="2185" spans="2:4">
      <c r="B2185" s="3">
        <v>42952</v>
      </c>
      <c r="C2185" t="s">
        <v>4</v>
      </c>
      <c r="D2185">
        <v>79.78</v>
      </c>
    </row>
    <row r="2186" spans="2:4">
      <c r="B2186" s="3">
        <v>42952</v>
      </c>
      <c r="C2186" t="s">
        <v>5</v>
      </c>
      <c r="D2186">
        <v>133.20000000000002</v>
      </c>
    </row>
    <row r="2187" spans="2:4">
      <c r="B2187" s="3">
        <v>42986</v>
      </c>
      <c r="C2187" t="s">
        <v>5</v>
      </c>
      <c r="D2187">
        <v>42.615999999999993</v>
      </c>
    </row>
    <row r="2188" spans="2:4">
      <c r="B2188" s="3">
        <v>42986</v>
      </c>
      <c r="C2188" t="s">
        <v>4</v>
      </c>
      <c r="D2188">
        <v>319.98400000000004</v>
      </c>
    </row>
    <row r="2189" spans="2:4">
      <c r="B2189" s="3">
        <v>42986</v>
      </c>
      <c r="C2189" t="s">
        <v>5</v>
      </c>
      <c r="D2189">
        <v>45.92</v>
      </c>
    </row>
    <row r="2190" spans="2:4">
      <c r="B2190" s="3">
        <v>42986</v>
      </c>
      <c r="C2190" t="s">
        <v>3</v>
      </c>
      <c r="D2190">
        <v>21.184000000000001</v>
      </c>
    </row>
    <row r="2191" spans="2:4">
      <c r="B2191" s="3">
        <v>42986</v>
      </c>
      <c r="C2191" t="s">
        <v>5</v>
      </c>
      <c r="D2191">
        <v>20.736000000000004</v>
      </c>
    </row>
    <row r="2192" spans="2:4">
      <c r="B2192" s="3">
        <v>42986</v>
      </c>
      <c r="C2192" t="s">
        <v>3</v>
      </c>
      <c r="D2192">
        <v>213.42999999999995</v>
      </c>
    </row>
    <row r="2193" spans="2:4">
      <c r="B2193" s="3">
        <v>42786</v>
      </c>
      <c r="C2193" t="s">
        <v>4</v>
      </c>
      <c r="D2193">
        <v>333.57600000000002</v>
      </c>
    </row>
    <row r="2194" spans="2:4">
      <c r="B2194" s="3">
        <v>42786</v>
      </c>
      <c r="C2194" t="s">
        <v>4</v>
      </c>
      <c r="D2194">
        <v>31.992000000000004</v>
      </c>
    </row>
    <row r="2195" spans="2:4">
      <c r="B2195" s="3">
        <v>42786</v>
      </c>
      <c r="C2195" t="s">
        <v>5</v>
      </c>
      <c r="D2195">
        <v>51.168000000000006</v>
      </c>
    </row>
    <row r="2196" spans="2:4">
      <c r="B2196" s="3">
        <v>42786</v>
      </c>
      <c r="C2196" t="s">
        <v>5</v>
      </c>
      <c r="D2196">
        <v>10.64</v>
      </c>
    </row>
    <row r="2197" spans="2:4">
      <c r="B2197" s="3">
        <v>42786</v>
      </c>
      <c r="C2197" t="s">
        <v>3</v>
      </c>
      <c r="D2197">
        <v>68.703999999999994</v>
      </c>
    </row>
    <row r="2198" spans="2:4">
      <c r="B2198" s="3">
        <v>42786</v>
      </c>
      <c r="C2198" t="s">
        <v>3</v>
      </c>
      <c r="D2198">
        <v>386.91</v>
      </c>
    </row>
    <row r="2199" spans="2:4">
      <c r="B2199" s="3">
        <v>43034</v>
      </c>
      <c r="C2199" t="s">
        <v>3</v>
      </c>
      <c r="D2199">
        <v>356.85</v>
      </c>
    </row>
    <row r="2200" spans="2:4">
      <c r="B2200" s="3">
        <v>43034</v>
      </c>
      <c r="C2200" t="s">
        <v>5</v>
      </c>
      <c r="D2200">
        <v>251.57999999999998</v>
      </c>
    </row>
    <row r="2201" spans="2:4">
      <c r="B2201" s="3">
        <v>42867</v>
      </c>
      <c r="C2201" t="s">
        <v>3</v>
      </c>
      <c r="D2201">
        <v>42.85</v>
      </c>
    </row>
    <row r="2202" spans="2:4">
      <c r="B2202" s="3">
        <v>42867</v>
      </c>
      <c r="C2202" t="s">
        <v>5</v>
      </c>
      <c r="D2202">
        <v>6.16</v>
      </c>
    </row>
    <row r="2203" spans="2:4">
      <c r="B2203" s="3">
        <v>42867</v>
      </c>
      <c r="C2203" t="s">
        <v>5</v>
      </c>
      <c r="D2203">
        <v>17</v>
      </c>
    </row>
    <row r="2204" spans="2:4">
      <c r="B2204" s="3">
        <v>42867</v>
      </c>
      <c r="C2204" t="s">
        <v>4</v>
      </c>
      <c r="D2204">
        <v>87.4</v>
      </c>
    </row>
    <row r="2205" spans="2:4">
      <c r="B2205" s="3">
        <v>42880</v>
      </c>
      <c r="C2205" t="s">
        <v>5</v>
      </c>
      <c r="D2205">
        <v>29.84</v>
      </c>
    </row>
    <row r="2206" spans="2:4">
      <c r="B2206" s="3">
        <v>42980</v>
      </c>
      <c r="C2206" t="s">
        <v>5</v>
      </c>
      <c r="D2206">
        <v>10.9</v>
      </c>
    </row>
    <row r="2207" spans="2:4">
      <c r="B2207" s="3">
        <v>42980</v>
      </c>
      <c r="C2207" t="s">
        <v>5</v>
      </c>
      <c r="D2207">
        <v>79.92</v>
      </c>
    </row>
    <row r="2208" spans="2:4">
      <c r="B2208" s="3">
        <v>42980</v>
      </c>
      <c r="C2208" t="s">
        <v>5</v>
      </c>
      <c r="D2208">
        <v>146.82</v>
      </c>
    </row>
    <row r="2209" spans="2:4">
      <c r="B2209" s="3">
        <v>42736</v>
      </c>
      <c r="C2209" t="s">
        <v>5</v>
      </c>
      <c r="D2209">
        <v>3.6</v>
      </c>
    </row>
    <row r="2210" spans="2:4">
      <c r="B2210" s="3">
        <v>42804</v>
      </c>
      <c r="C2210" t="s">
        <v>4</v>
      </c>
      <c r="D2210">
        <v>111.96</v>
      </c>
    </row>
    <row r="2211" spans="2:4">
      <c r="B2211" s="3">
        <v>43071</v>
      </c>
      <c r="C2211" t="s">
        <v>5</v>
      </c>
      <c r="D2211">
        <v>12.160000000000002</v>
      </c>
    </row>
    <row r="2212" spans="2:4">
      <c r="B2212" s="3">
        <v>42947</v>
      </c>
      <c r="C2212" t="s">
        <v>5</v>
      </c>
      <c r="D2212">
        <v>17.52</v>
      </c>
    </row>
    <row r="2213" spans="2:4">
      <c r="B2213" s="3">
        <v>42947</v>
      </c>
      <c r="C2213" t="s">
        <v>5</v>
      </c>
      <c r="D2213">
        <v>155.88</v>
      </c>
    </row>
    <row r="2214" spans="2:4">
      <c r="B2214" s="3">
        <v>42958</v>
      </c>
      <c r="C2214" t="s">
        <v>5</v>
      </c>
      <c r="D2214">
        <v>477.51</v>
      </c>
    </row>
    <row r="2215" spans="2:4">
      <c r="B2215" s="3">
        <v>43008</v>
      </c>
      <c r="C2215" t="s">
        <v>5</v>
      </c>
      <c r="D2215">
        <v>164.88</v>
      </c>
    </row>
    <row r="2216" spans="2:4">
      <c r="B2216" s="3">
        <v>42937</v>
      </c>
      <c r="C2216" t="s">
        <v>5</v>
      </c>
      <c r="D2216">
        <v>16.34</v>
      </c>
    </row>
    <row r="2217" spans="2:4">
      <c r="B2217" s="3">
        <v>42937</v>
      </c>
      <c r="C2217" t="s">
        <v>3</v>
      </c>
      <c r="D2217">
        <v>225.29600000000002</v>
      </c>
    </row>
    <row r="2218" spans="2:4">
      <c r="B2218" s="3">
        <v>42937</v>
      </c>
      <c r="C2218" t="s">
        <v>5</v>
      </c>
      <c r="D2218">
        <v>50.352000000000004</v>
      </c>
    </row>
    <row r="2219" spans="2:4">
      <c r="B2219" s="3">
        <v>42965</v>
      </c>
      <c r="C2219" t="s">
        <v>5</v>
      </c>
      <c r="D2219">
        <v>9.9120000000000008</v>
      </c>
    </row>
    <row r="2220" spans="2:4">
      <c r="B2220" s="3">
        <v>43083</v>
      </c>
      <c r="C2220" t="s">
        <v>3</v>
      </c>
      <c r="D2220">
        <v>266.35200000000003</v>
      </c>
    </row>
    <row r="2221" spans="2:4">
      <c r="B2221" s="3">
        <v>43083</v>
      </c>
      <c r="C2221" t="s">
        <v>3</v>
      </c>
      <c r="D2221">
        <v>56.328000000000003</v>
      </c>
    </row>
    <row r="2222" spans="2:4">
      <c r="B2222" s="3">
        <v>43083</v>
      </c>
      <c r="C2222" t="s">
        <v>4</v>
      </c>
      <c r="D2222">
        <v>39.264000000000003</v>
      </c>
    </row>
    <row r="2223" spans="2:4">
      <c r="B2223" s="3">
        <v>43083</v>
      </c>
      <c r="C2223" t="s">
        <v>5</v>
      </c>
      <c r="D2223">
        <v>95.231999999999999</v>
      </c>
    </row>
    <row r="2224" spans="2:4">
      <c r="B2224" s="3">
        <v>42997</v>
      </c>
      <c r="C2224" t="s">
        <v>4</v>
      </c>
      <c r="D2224">
        <v>149.94999999999999</v>
      </c>
    </row>
    <row r="2225" spans="2:4">
      <c r="B2225" s="3">
        <v>42997</v>
      </c>
      <c r="C2225" t="s">
        <v>5</v>
      </c>
      <c r="D2225">
        <v>23.32</v>
      </c>
    </row>
    <row r="2226" spans="2:4">
      <c r="B2226" s="3">
        <v>42997</v>
      </c>
      <c r="C2226" t="s">
        <v>5</v>
      </c>
      <c r="D2226">
        <v>16.740000000000002</v>
      </c>
    </row>
    <row r="2227" spans="2:4">
      <c r="B2227" s="3">
        <v>42982</v>
      </c>
      <c r="C2227" t="s">
        <v>5</v>
      </c>
      <c r="D2227">
        <v>14.82</v>
      </c>
    </row>
    <row r="2228" spans="2:4">
      <c r="B2228" s="3">
        <v>42957</v>
      </c>
      <c r="C2228" t="s">
        <v>5</v>
      </c>
      <c r="D2228">
        <v>177.2</v>
      </c>
    </row>
    <row r="2229" spans="2:4">
      <c r="B2229" s="3">
        <v>42922</v>
      </c>
      <c r="C2229" t="s">
        <v>3</v>
      </c>
      <c r="D2229">
        <v>122.13600000000001</v>
      </c>
    </row>
    <row r="2230" spans="2:4">
      <c r="B2230" s="3">
        <v>42902</v>
      </c>
      <c r="C2230" t="s">
        <v>4</v>
      </c>
      <c r="D2230">
        <v>479.952</v>
      </c>
    </row>
    <row r="2231" spans="2:4">
      <c r="B2231" s="3">
        <v>42902</v>
      </c>
      <c r="C2231" t="s">
        <v>5</v>
      </c>
      <c r="D2231">
        <v>23.92</v>
      </c>
    </row>
    <row r="2232" spans="2:4">
      <c r="B2232" s="3">
        <v>43052</v>
      </c>
      <c r="C2232" t="s">
        <v>4</v>
      </c>
      <c r="D2232">
        <v>629.94999999999993</v>
      </c>
    </row>
    <row r="2233" spans="2:4">
      <c r="B2233" s="3">
        <v>43080</v>
      </c>
      <c r="C2233" t="s">
        <v>5</v>
      </c>
      <c r="D2233">
        <v>14.952000000000002</v>
      </c>
    </row>
    <row r="2234" spans="2:4">
      <c r="B2234" s="3">
        <v>43080</v>
      </c>
      <c r="C2234" t="s">
        <v>5</v>
      </c>
      <c r="D2234">
        <v>17.940000000000001</v>
      </c>
    </row>
    <row r="2235" spans="2:4">
      <c r="B2235" s="3">
        <v>43080</v>
      </c>
      <c r="C2235" t="s">
        <v>4</v>
      </c>
      <c r="D2235">
        <v>116.98</v>
      </c>
    </row>
    <row r="2236" spans="2:4">
      <c r="B2236" s="3">
        <v>42993</v>
      </c>
      <c r="C2236" t="s">
        <v>3</v>
      </c>
      <c r="D2236">
        <v>47.400000000000006</v>
      </c>
    </row>
    <row r="2237" spans="2:4">
      <c r="B2237" s="3">
        <v>42993</v>
      </c>
      <c r="C2237" t="s">
        <v>3</v>
      </c>
      <c r="D2237">
        <v>512.96</v>
      </c>
    </row>
    <row r="2238" spans="2:4">
      <c r="B2238" s="3">
        <v>42993</v>
      </c>
      <c r="C2238" t="s">
        <v>4</v>
      </c>
      <c r="D2238">
        <v>395.93999999999994</v>
      </c>
    </row>
    <row r="2239" spans="2:4">
      <c r="B2239" s="3">
        <v>42993</v>
      </c>
      <c r="C2239" t="s">
        <v>5</v>
      </c>
      <c r="D2239">
        <v>81.96</v>
      </c>
    </row>
    <row r="2240" spans="2:4">
      <c r="B2240" s="3">
        <v>43071</v>
      </c>
      <c r="C2240" t="s">
        <v>5</v>
      </c>
      <c r="D2240">
        <v>32.776000000000003</v>
      </c>
    </row>
    <row r="2241" spans="2:4">
      <c r="B2241" s="3">
        <v>42912</v>
      </c>
      <c r="C2241" t="s">
        <v>5</v>
      </c>
      <c r="D2241">
        <v>272.94</v>
      </c>
    </row>
    <row r="2242" spans="2:4">
      <c r="B2242" s="3">
        <v>42845</v>
      </c>
      <c r="C2242" t="s">
        <v>3</v>
      </c>
      <c r="D2242">
        <v>317.05799999999999</v>
      </c>
    </row>
    <row r="2243" spans="2:4">
      <c r="B2243" s="3">
        <v>42845</v>
      </c>
      <c r="C2243" t="s">
        <v>5</v>
      </c>
      <c r="D2243">
        <v>15.76</v>
      </c>
    </row>
    <row r="2244" spans="2:4">
      <c r="B2244" s="3">
        <v>42845</v>
      </c>
      <c r="C2244" t="s">
        <v>3</v>
      </c>
      <c r="D2244">
        <v>14.560000000000002</v>
      </c>
    </row>
    <row r="2245" spans="2:4">
      <c r="B2245" s="3">
        <v>42997</v>
      </c>
      <c r="C2245" t="s">
        <v>5</v>
      </c>
      <c r="D2245">
        <v>35.4</v>
      </c>
    </row>
    <row r="2246" spans="2:4">
      <c r="B2246" s="3">
        <v>43078</v>
      </c>
      <c r="C2246" t="s">
        <v>5</v>
      </c>
      <c r="D2246">
        <v>419.4</v>
      </c>
    </row>
    <row r="2247" spans="2:4">
      <c r="B2247" s="3">
        <v>43078</v>
      </c>
      <c r="C2247" t="s">
        <v>5</v>
      </c>
      <c r="D2247">
        <v>13.005000000000003</v>
      </c>
    </row>
    <row r="2248" spans="2:4">
      <c r="B2248" s="3">
        <v>42763</v>
      </c>
      <c r="C2248" t="s">
        <v>4</v>
      </c>
      <c r="D2248">
        <v>449.91</v>
      </c>
    </row>
    <row r="2249" spans="2:4">
      <c r="B2249" s="3">
        <v>42941</v>
      </c>
      <c r="C2249" t="s">
        <v>3</v>
      </c>
      <c r="D2249">
        <v>20.096000000000004</v>
      </c>
    </row>
    <row r="2250" spans="2:4">
      <c r="B2250" s="3">
        <v>42941</v>
      </c>
      <c r="C2250" t="s">
        <v>5</v>
      </c>
      <c r="D2250">
        <v>37.752000000000002</v>
      </c>
    </row>
    <row r="2251" spans="2:4">
      <c r="B2251" s="3">
        <v>42941</v>
      </c>
      <c r="C2251" t="s">
        <v>3</v>
      </c>
      <c r="D2251">
        <v>138.58799999999999</v>
      </c>
    </row>
    <row r="2252" spans="2:4">
      <c r="B2252" s="3">
        <v>42941</v>
      </c>
      <c r="C2252" t="s">
        <v>5</v>
      </c>
      <c r="D2252">
        <v>259.92000000000007</v>
      </c>
    </row>
    <row r="2253" spans="2:4">
      <c r="B2253" s="3">
        <v>42941</v>
      </c>
      <c r="C2253" t="s">
        <v>5</v>
      </c>
      <c r="D2253">
        <v>20.736000000000004</v>
      </c>
    </row>
    <row r="2254" spans="2:4">
      <c r="B2254" s="3">
        <v>43094</v>
      </c>
      <c r="C2254" t="s">
        <v>5</v>
      </c>
      <c r="D2254">
        <v>3.8560000000000003</v>
      </c>
    </row>
    <row r="2255" spans="2:4">
      <c r="B2255" s="3">
        <v>42992</v>
      </c>
      <c r="C2255" t="s">
        <v>5</v>
      </c>
      <c r="D2255">
        <v>3.8820000000000006</v>
      </c>
    </row>
    <row r="2256" spans="2:4">
      <c r="B2256" s="3">
        <v>42992</v>
      </c>
      <c r="C2256" t="s">
        <v>4</v>
      </c>
      <c r="D2256">
        <v>12.585000000000003</v>
      </c>
    </row>
    <row r="2257" spans="2:4">
      <c r="B2257" s="3">
        <v>42992</v>
      </c>
      <c r="C2257" t="s">
        <v>3</v>
      </c>
      <c r="D2257">
        <v>113.372</v>
      </c>
    </row>
    <row r="2258" spans="2:4">
      <c r="B2258" s="3">
        <v>42992</v>
      </c>
      <c r="C2258" t="s">
        <v>5</v>
      </c>
      <c r="D2258">
        <v>18.312000000000001</v>
      </c>
    </row>
    <row r="2259" spans="2:4">
      <c r="B2259" s="3">
        <v>42992</v>
      </c>
      <c r="C2259" t="s">
        <v>3</v>
      </c>
      <c r="D2259">
        <v>127.93599999999999</v>
      </c>
    </row>
    <row r="2260" spans="2:4">
      <c r="B2260" s="3">
        <v>42992</v>
      </c>
      <c r="C2260" t="s">
        <v>4</v>
      </c>
      <c r="D2260">
        <v>241.17000000000002</v>
      </c>
    </row>
    <row r="2261" spans="2:4">
      <c r="B2261" s="3">
        <v>43097</v>
      </c>
      <c r="C2261" t="s">
        <v>5</v>
      </c>
      <c r="D2261">
        <v>1.6799999999999995</v>
      </c>
    </row>
    <row r="2262" spans="2:4">
      <c r="B2262" s="3">
        <v>43097</v>
      </c>
      <c r="C2262" t="s">
        <v>3</v>
      </c>
      <c r="D2262">
        <v>7.968</v>
      </c>
    </row>
    <row r="2263" spans="2:4">
      <c r="B2263" s="3">
        <v>43097</v>
      </c>
      <c r="C2263" t="s">
        <v>3</v>
      </c>
      <c r="D2263">
        <v>113.372</v>
      </c>
    </row>
    <row r="2264" spans="2:4">
      <c r="B2264" s="3">
        <v>43097</v>
      </c>
      <c r="C2264" t="s">
        <v>3</v>
      </c>
      <c r="D2264">
        <v>2.9600000000000004</v>
      </c>
    </row>
    <row r="2265" spans="2:4">
      <c r="B2265" s="3">
        <v>43041</v>
      </c>
      <c r="C2265" t="s">
        <v>5</v>
      </c>
      <c r="D2265">
        <v>168.1</v>
      </c>
    </row>
    <row r="2266" spans="2:4">
      <c r="B2266" s="3">
        <v>42937</v>
      </c>
      <c r="C2266" t="s">
        <v>5</v>
      </c>
      <c r="D2266">
        <v>17.48</v>
      </c>
    </row>
    <row r="2267" spans="2:4">
      <c r="B2267" s="3">
        <v>43023</v>
      </c>
      <c r="C2267" t="s">
        <v>5</v>
      </c>
      <c r="D2267">
        <v>152.65</v>
      </c>
    </row>
    <row r="2268" spans="2:4">
      <c r="B2268" s="3">
        <v>43023</v>
      </c>
      <c r="C2268" t="s">
        <v>3</v>
      </c>
      <c r="D2268">
        <v>22.72</v>
      </c>
    </row>
    <row r="2269" spans="2:4">
      <c r="B2269" s="3">
        <v>42771</v>
      </c>
      <c r="C2269" t="s">
        <v>5</v>
      </c>
      <c r="D2269">
        <v>1640.6999999999998</v>
      </c>
    </row>
    <row r="2270" spans="2:4">
      <c r="B2270" s="3">
        <v>42771</v>
      </c>
      <c r="C2270" t="s">
        <v>4</v>
      </c>
      <c r="D2270">
        <v>371.2</v>
      </c>
    </row>
    <row r="2271" spans="2:4">
      <c r="B2271" s="3">
        <v>43092</v>
      </c>
      <c r="C2271" t="s">
        <v>5</v>
      </c>
      <c r="D2271">
        <v>62.04</v>
      </c>
    </row>
    <row r="2272" spans="2:4">
      <c r="B2272" s="3">
        <v>43092</v>
      </c>
      <c r="C2272" t="s">
        <v>4</v>
      </c>
      <c r="D2272">
        <v>494.97</v>
      </c>
    </row>
    <row r="2273" spans="2:4">
      <c r="B2273" s="3">
        <v>43092</v>
      </c>
      <c r="C2273" t="s">
        <v>5</v>
      </c>
      <c r="D2273">
        <v>367.96</v>
      </c>
    </row>
    <row r="2274" spans="2:4">
      <c r="B2274" s="3">
        <v>43092</v>
      </c>
      <c r="C2274" t="s">
        <v>5</v>
      </c>
      <c r="D2274">
        <v>44.96</v>
      </c>
    </row>
    <row r="2275" spans="2:4">
      <c r="B2275" s="3">
        <v>43092</v>
      </c>
      <c r="C2275" t="s">
        <v>5</v>
      </c>
      <c r="D2275">
        <v>182.94</v>
      </c>
    </row>
    <row r="2276" spans="2:4">
      <c r="B2276" s="3">
        <v>42842</v>
      </c>
      <c r="C2276" t="s">
        <v>5</v>
      </c>
      <c r="D2276">
        <v>28.14</v>
      </c>
    </row>
    <row r="2277" spans="2:4">
      <c r="B2277" s="3">
        <v>42842</v>
      </c>
      <c r="C2277" t="s">
        <v>5</v>
      </c>
      <c r="D2277">
        <v>7.38</v>
      </c>
    </row>
    <row r="2278" spans="2:4">
      <c r="B2278" s="3">
        <v>42842</v>
      </c>
      <c r="C2278" t="s">
        <v>5</v>
      </c>
      <c r="D2278">
        <v>10.9</v>
      </c>
    </row>
    <row r="2279" spans="2:4">
      <c r="B2279" s="3">
        <v>42842</v>
      </c>
      <c r="C2279" t="s">
        <v>4</v>
      </c>
      <c r="D2279">
        <v>274.89</v>
      </c>
    </row>
    <row r="2280" spans="2:4">
      <c r="B2280" s="3">
        <v>42842</v>
      </c>
      <c r="C2280" t="s">
        <v>5</v>
      </c>
      <c r="D2280">
        <v>23.04</v>
      </c>
    </row>
    <row r="2281" spans="2:4">
      <c r="B2281" s="3">
        <v>42842</v>
      </c>
      <c r="C2281" t="s">
        <v>3</v>
      </c>
      <c r="D2281">
        <v>218.35200000000003</v>
      </c>
    </row>
    <row r="2282" spans="2:4">
      <c r="B2282" s="3">
        <v>43070</v>
      </c>
      <c r="C2282" t="s">
        <v>5</v>
      </c>
      <c r="D2282">
        <v>10.368000000000002</v>
      </c>
    </row>
    <row r="2283" spans="2:4">
      <c r="B2283" s="3">
        <v>42988</v>
      </c>
      <c r="C2283" t="s">
        <v>4</v>
      </c>
      <c r="D2283">
        <v>37.056000000000004</v>
      </c>
    </row>
    <row r="2284" spans="2:4">
      <c r="B2284" s="3">
        <v>42988</v>
      </c>
      <c r="C2284" t="s">
        <v>4</v>
      </c>
      <c r="D2284">
        <v>259.89600000000002</v>
      </c>
    </row>
    <row r="2285" spans="2:4">
      <c r="B2285" s="3">
        <v>42850</v>
      </c>
      <c r="C2285" t="s">
        <v>5</v>
      </c>
      <c r="D2285">
        <v>19.049999999999997</v>
      </c>
    </row>
    <row r="2286" spans="2:4">
      <c r="B2286" s="3">
        <v>42850</v>
      </c>
      <c r="C2286" t="s">
        <v>5</v>
      </c>
      <c r="D2286">
        <v>73.343999999999994</v>
      </c>
    </row>
    <row r="2287" spans="2:4">
      <c r="B2287" s="3">
        <v>42996</v>
      </c>
      <c r="C2287" t="s">
        <v>4</v>
      </c>
      <c r="D2287">
        <v>95.68</v>
      </c>
    </row>
    <row r="2288" spans="2:4">
      <c r="B2288" s="3">
        <v>42996</v>
      </c>
      <c r="C2288" t="s">
        <v>5</v>
      </c>
      <c r="D2288">
        <v>50.96</v>
      </c>
    </row>
    <row r="2289" spans="2:4">
      <c r="B2289" s="3">
        <v>42996</v>
      </c>
      <c r="C2289" t="s">
        <v>5</v>
      </c>
      <c r="D2289">
        <v>113.94</v>
      </c>
    </row>
    <row r="2290" spans="2:4">
      <c r="B2290" s="3">
        <v>42996</v>
      </c>
      <c r="C2290" t="s">
        <v>5</v>
      </c>
      <c r="D2290">
        <v>25.92</v>
      </c>
    </row>
    <row r="2291" spans="2:4">
      <c r="B2291" s="3">
        <v>42996</v>
      </c>
      <c r="C2291" t="s">
        <v>3</v>
      </c>
      <c r="D2291">
        <v>20.32</v>
      </c>
    </row>
    <row r="2292" spans="2:4">
      <c r="B2292" s="3">
        <v>42996</v>
      </c>
      <c r="C2292" t="s">
        <v>4</v>
      </c>
      <c r="D2292">
        <v>411.98</v>
      </c>
    </row>
    <row r="2293" spans="2:4">
      <c r="B2293" s="3">
        <v>42996</v>
      </c>
      <c r="C2293" t="s">
        <v>5</v>
      </c>
      <c r="D2293">
        <v>34.479999999999997</v>
      </c>
    </row>
    <row r="2294" spans="2:4">
      <c r="B2294" s="3">
        <v>42996</v>
      </c>
      <c r="C2294" t="s">
        <v>5</v>
      </c>
      <c r="D2294">
        <v>244.54999999999998</v>
      </c>
    </row>
    <row r="2295" spans="2:4">
      <c r="B2295" s="3">
        <v>42965</v>
      </c>
      <c r="C2295" t="s">
        <v>5</v>
      </c>
      <c r="D2295">
        <v>10.782000000000002</v>
      </c>
    </row>
    <row r="2296" spans="2:4">
      <c r="B2296" s="3">
        <v>42940</v>
      </c>
      <c r="C2296" t="s">
        <v>4</v>
      </c>
      <c r="D2296">
        <v>2399.96</v>
      </c>
    </row>
    <row r="2297" spans="2:4">
      <c r="B2297" s="3">
        <v>42980</v>
      </c>
      <c r="C2297" t="s">
        <v>5</v>
      </c>
      <c r="D2297">
        <v>16</v>
      </c>
    </row>
    <row r="2298" spans="2:4">
      <c r="B2298" s="3">
        <v>42980</v>
      </c>
      <c r="C2298" t="s">
        <v>5</v>
      </c>
      <c r="D2298">
        <v>5.5879999999999992</v>
      </c>
    </row>
    <row r="2299" spans="2:4">
      <c r="B2299" s="3">
        <v>42980</v>
      </c>
      <c r="C2299" t="s">
        <v>5</v>
      </c>
      <c r="D2299">
        <v>235.92</v>
      </c>
    </row>
    <row r="2300" spans="2:4">
      <c r="B2300" s="3">
        <v>43075</v>
      </c>
      <c r="C2300" t="s">
        <v>5</v>
      </c>
      <c r="D2300">
        <v>10.68</v>
      </c>
    </row>
    <row r="2301" spans="2:4">
      <c r="B2301" s="3">
        <v>42875</v>
      </c>
      <c r="C2301" t="s">
        <v>5</v>
      </c>
      <c r="D2301">
        <v>41.28</v>
      </c>
    </row>
    <row r="2302" spans="2:4">
      <c r="B2302" s="3">
        <v>43079</v>
      </c>
      <c r="C2302" t="s">
        <v>3</v>
      </c>
      <c r="D2302">
        <v>14.76</v>
      </c>
    </row>
    <row r="2303" spans="2:4">
      <c r="B2303" s="3">
        <v>42945</v>
      </c>
      <c r="C2303" t="s">
        <v>3</v>
      </c>
      <c r="D2303">
        <v>115.96</v>
      </c>
    </row>
    <row r="2304" spans="2:4">
      <c r="B2304" s="3">
        <v>42948</v>
      </c>
      <c r="C2304" t="s">
        <v>5</v>
      </c>
      <c r="D2304">
        <v>186.54</v>
      </c>
    </row>
    <row r="2305" spans="2:4">
      <c r="B2305" s="3">
        <v>42857</v>
      </c>
      <c r="C2305" t="s">
        <v>4</v>
      </c>
      <c r="D2305">
        <v>159.56</v>
      </c>
    </row>
    <row r="2306" spans="2:4">
      <c r="B2306" s="3">
        <v>42792</v>
      </c>
      <c r="C2306" t="s">
        <v>5</v>
      </c>
      <c r="D2306">
        <v>356.78999999999996</v>
      </c>
    </row>
    <row r="2307" spans="2:4">
      <c r="B2307" s="3">
        <v>42829</v>
      </c>
      <c r="C2307" t="s">
        <v>5</v>
      </c>
      <c r="D2307">
        <v>16.98</v>
      </c>
    </row>
    <row r="2308" spans="2:4">
      <c r="B2308" s="3">
        <v>43069</v>
      </c>
      <c r="C2308" t="s">
        <v>4</v>
      </c>
      <c r="D2308">
        <v>95.976000000000013</v>
      </c>
    </row>
    <row r="2309" spans="2:4">
      <c r="B2309" s="3">
        <v>42912</v>
      </c>
      <c r="C2309" t="s">
        <v>5</v>
      </c>
      <c r="D2309">
        <v>102.36799999999999</v>
      </c>
    </row>
    <row r="2310" spans="2:4">
      <c r="B2310" s="3">
        <v>42912</v>
      </c>
      <c r="C2310" t="s">
        <v>5</v>
      </c>
      <c r="D2310">
        <v>28.4</v>
      </c>
    </row>
    <row r="2311" spans="2:4">
      <c r="B2311" s="3">
        <v>42912</v>
      </c>
      <c r="C2311" t="s">
        <v>5</v>
      </c>
      <c r="D2311">
        <v>713.88</v>
      </c>
    </row>
    <row r="2312" spans="2:4">
      <c r="B2312" s="3">
        <v>42912</v>
      </c>
      <c r="C2312" t="s">
        <v>5</v>
      </c>
      <c r="D2312">
        <v>68.52</v>
      </c>
    </row>
    <row r="2313" spans="2:4">
      <c r="B2313" s="3">
        <v>43058</v>
      </c>
      <c r="C2313" t="s">
        <v>5</v>
      </c>
      <c r="D2313">
        <v>58.407999999999994</v>
      </c>
    </row>
    <row r="2314" spans="2:4">
      <c r="B2314" s="3">
        <v>43058</v>
      </c>
      <c r="C2314" t="s">
        <v>3</v>
      </c>
      <c r="D2314">
        <v>79.97399999999999</v>
      </c>
    </row>
    <row r="2315" spans="2:4">
      <c r="B2315" s="3">
        <v>43049</v>
      </c>
      <c r="C2315" t="s">
        <v>5</v>
      </c>
      <c r="D2315">
        <v>7.8000000000000007</v>
      </c>
    </row>
    <row r="2316" spans="2:4">
      <c r="B2316" s="3">
        <v>42997</v>
      </c>
      <c r="C2316" t="s">
        <v>5</v>
      </c>
      <c r="D2316">
        <v>12.624000000000001</v>
      </c>
    </row>
    <row r="2317" spans="2:4">
      <c r="B2317" s="3">
        <v>42997</v>
      </c>
      <c r="C2317" t="s">
        <v>4</v>
      </c>
      <c r="D2317">
        <v>89.584000000000003</v>
      </c>
    </row>
    <row r="2318" spans="2:4">
      <c r="B2318" s="3">
        <v>42997</v>
      </c>
      <c r="C2318" t="s">
        <v>4</v>
      </c>
      <c r="D2318">
        <v>471.92</v>
      </c>
    </row>
    <row r="2319" spans="2:4">
      <c r="B2319" s="3">
        <v>42997</v>
      </c>
      <c r="C2319" t="s">
        <v>5</v>
      </c>
      <c r="D2319">
        <v>18.180000000000003</v>
      </c>
    </row>
    <row r="2320" spans="2:4">
      <c r="B2320" s="3">
        <v>42993</v>
      </c>
      <c r="C2320" t="s">
        <v>5</v>
      </c>
      <c r="D2320">
        <v>31.744</v>
      </c>
    </row>
    <row r="2321" spans="2:4">
      <c r="B2321" s="3">
        <v>43064</v>
      </c>
      <c r="C2321" t="s">
        <v>5</v>
      </c>
      <c r="D2321">
        <v>48.87</v>
      </c>
    </row>
    <row r="2322" spans="2:4">
      <c r="B2322" s="3">
        <v>42749</v>
      </c>
      <c r="C2322" t="s">
        <v>5</v>
      </c>
      <c r="D2322">
        <v>154.9</v>
      </c>
    </row>
    <row r="2323" spans="2:4">
      <c r="B2323" s="3">
        <v>43050</v>
      </c>
      <c r="C2323" t="s">
        <v>5</v>
      </c>
      <c r="D2323">
        <v>1158.1199999999999</v>
      </c>
    </row>
    <row r="2324" spans="2:4">
      <c r="B2324" s="3">
        <v>43080</v>
      </c>
      <c r="C2324" t="s">
        <v>5</v>
      </c>
      <c r="D2324">
        <v>1.3919999999999997</v>
      </c>
    </row>
    <row r="2325" spans="2:4">
      <c r="B2325" s="3">
        <v>43092</v>
      </c>
      <c r="C2325" t="s">
        <v>5</v>
      </c>
      <c r="D2325">
        <v>13.839999999999998</v>
      </c>
    </row>
    <row r="2326" spans="2:4">
      <c r="B2326" s="3">
        <v>43092</v>
      </c>
      <c r="C2326" t="s">
        <v>5</v>
      </c>
      <c r="D2326">
        <v>175.87200000000001</v>
      </c>
    </row>
    <row r="2327" spans="2:4">
      <c r="B2327" s="3">
        <v>42881</v>
      </c>
      <c r="C2327" t="s">
        <v>5</v>
      </c>
      <c r="D2327">
        <v>208.44</v>
      </c>
    </row>
    <row r="2328" spans="2:4">
      <c r="B2328" s="3">
        <v>42881</v>
      </c>
      <c r="C2328" t="s">
        <v>5</v>
      </c>
      <c r="D2328">
        <v>25.76</v>
      </c>
    </row>
    <row r="2329" spans="2:4">
      <c r="B2329" s="3">
        <v>43078</v>
      </c>
      <c r="C2329" t="s">
        <v>3</v>
      </c>
      <c r="D2329">
        <v>148.25700000000001</v>
      </c>
    </row>
    <row r="2330" spans="2:4">
      <c r="B2330" s="3">
        <v>42772</v>
      </c>
      <c r="C2330" t="s">
        <v>4</v>
      </c>
      <c r="D2330">
        <v>227.45999999999998</v>
      </c>
    </row>
    <row r="2331" spans="2:4">
      <c r="B2331" s="3">
        <v>42772</v>
      </c>
      <c r="C2331" t="s">
        <v>5</v>
      </c>
      <c r="D2331">
        <v>46.24</v>
      </c>
    </row>
    <row r="2332" spans="2:4">
      <c r="B2332" s="3">
        <v>42764</v>
      </c>
      <c r="C2332" t="s">
        <v>5</v>
      </c>
      <c r="D2332">
        <v>5.22</v>
      </c>
    </row>
    <row r="2333" spans="2:4">
      <c r="B2333" s="3">
        <v>43048</v>
      </c>
      <c r="C2333" t="s">
        <v>3</v>
      </c>
      <c r="D2333">
        <v>523.39200000000005</v>
      </c>
    </row>
    <row r="2334" spans="2:4">
      <c r="B2334" s="3">
        <v>43000</v>
      </c>
      <c r="C2334" t="s">
        <v>5</v>
      </c>
      <c r="D2334">
        <v>12.96</v>
      </c>
    </row>
    <row r="2335" spans="2:4">
      <c r="B2335" s="3">
        <v>43000</v>
      </c>
      <c r="C2335" t="s">
        <v>5</v>
      </c>
      <c r="D2335">
        <v>17.940000000000001</v>
      </c>
    </row>
    <row r="2336" spans="2:4">
      <c r="B2336" s="3">
        <v>43086</v>
      </c>
      <c r="C2336" t="s">
        <v>5</v>
      </c>
      <c r="D2336">
        <v>166.72</v>
      </c>
    </row>
    <row r="2337" spans="2:4">
      <c r="B2337" s="3">
        <v>43086</v>
      </c>
      <c r="C2337" t="s">
        <v>5</v>
      </c>
      <c r="D2337">
        <v>24.816000000000003</v>
      </c>
    </row>
    <row r="2338" spans="2:4">
      <c r="B2338" s="3">
        <v>43086</v>
      </c>
      <c r="C2338" t="s">
        <v>3</v>
      </c>
      <c r="D2338">
        <v>124.36</v>
      </c>
    </row>
    <row r="2339" spans="2:4">
      <c r="B2339" s="3">
        <v>42934</v>
      </c>
      <c r="C2339" t="s">
        <v>4</v>
      </c>
      <c r="D2339">
        <v>599.97</v>
      </c>
    </row>
    <row r="2340" spans="2:4">
      <c r="B2340" s="3">
        <v>42934</v>
      </c>
      <c r="C2340" t="s">
        <v>3</v>
      </c>
      <c r="D2340">
        <v>198.744</v>
      </c>
    </row>
    <row r="2341" spans="2:4">
      <c r="B2341" s="3">
        <v>42934</v>
      </c>
      <c r="C2341" t="s">
        <v>5</v>
      </c>
      <c r="D2341">
        <v>9.1840000000000011</v>
      </c>
    </row>
    <row r="2342" spans="2:4">
      <c r="B2342" s="3">
        <v>42978</v>
      </c>
      <c r="C2342" t="s">
        <v>5</v>
      </c>
      <c r="D2342">
        <v>6.2080000000000002</v>
      </c>
    </row>
    <row r="2343" spans="2:4">
      <c r="B2343" s="3">
        <v>42770</v>
      </c>
      <c r="C2343" t="s">
        <v>5</v>
      </c>
      <c r="D2343">
        <v>32.67</v>
      </c>
    </row>
    <row r="2344" spans="2:4">
      <c r="B2344" s="3">
        <v>42937</v>
      </c>
      <c r="C2344" t="s">
        <v>5</v>
      </c>
      <c r="D2344">
        <v>3.52</v>
      </c>
    </row>
    <row r="2345" spans="2:4">
      <c r="B2345" s="3">
        <v>42937</v>
      </c>
      <c r="C2345" t="s">
        <v>4</v>
      </c>
      <c r="D2345">
        <v>1626.1920000000002</v>
      </c>
    </row>
    <row r="2346" spans="2:4">
      <c r="B2346" s="3">
        <v>43003</v>
      </c>
      <c r="C2346" t="s">
        <v>5</v>
      </c>
      <c r="D2346">
        <v>8.5950000000000024</v>
      </c>
    </row>
    <row r="2347" spans="2:4">
      <c r="B2347" s="3">
        <v>43003</v>
      </c>
      <c r="C2347" t="s">
        <v>5</v>
      </c>
      <c r="D2347">
        <v>190.89600000000002</v>
      </c>
    </row>
    <row r="2348" spans="2:4">
      <c r="B2348" s="3">
        <v>42950</v>
      </c>
      <c r="C2348" t="s">
        <v>5</v>
      </c>
      <c r="D2348">
        <v>99.87</v>
      </c>
    </row>
    <row r="2349" spans="2:4">
      <c r="B2349" s="3">
        <v>42901</v>
      </c>
      <c r="C2349" t="s">
        <v>4</v>
      </c>
      <c r="D2349">
        <v>119.96</v>
      </c>
    </row>
    <row r="2350" spans="2:4">
      <c r="B2350" s="3">
        <v>43045</v>
      </c>
      <c r="C2350" t="s">
        <v>5</v>
      </c>
      <c r="D2350">
        <v>318.95999999999998</v>
      </c>
    </row>
    <row r="2351" spans="2:4">
      <c r="B2351" s="3">
        <v>42982</v>
      </c>
      <c r="C2351" t="s">
        <v>5</v>
      </c>
      <c r="D2351">
        <v>421.1</v>
      </c>
    </row>
    <row r="2352" spans="2:4">
      <c r="B2352" s="3">
        <v>42905</v>
      </c>
      <c r="C2352" t="s">
        <v>3</v>
      </c>
      <c r="D2352">
        <v>760.11599999999987</v>
      </c>
    </row>
    <row r="2353" spans="2:4">
      <c r="B2353" s="3">
        <v>42905</v>
      </c>
      <c r="C2353" t="s">
        <v>3</v>
      </c>
      <c r="D2353">
        <v>38.784000000000006</v>
      </c>
    </row>
    <row r="2354" spans="2:4">
      <c r="B2354" s="3">
        <v>42905</v>
      </c>
      <c r="C2354" t="s">
        <v>4</v>
      </c>
      <c r="D2354">
        <v>122.32799999999999</v>
      </c>
    </row>
    <row r="2355" spans="2:4">
      <c r="B2355" s="3">
        <v>42779</v>
      </c>
      <c r="C2355" t="s">
        <v>5</v>
      </c>
      <c r="D2355">
        <v>17.940000000000001</v>
      </c>
    </row>
    <row r="2356" spans="2:4">
      <c r="B2356" s="3">
        <v>43056</v>
      </c>
      <c r="C2356" t="s">
        <v>5</v>
      </c>
      <c r="D2356">
        <v>13.904</v>
      </c>
    </row>
    <row r="2357" spans="2:4">
      <c r="B2357" s="3">
        <v>43070</v>
      </c>
      <c r="C2357" t="s">
        <v>5</v>
      </c>
      <c r="D2357">
        <v>41.86</v>
      </c>
    </row>
    <row r="2358" spans="2:4">
      <c r="B2358" s="3">
        <v>43070</v>
      </c>
      <c r="C2358" t="s">
        <v>3</v>
      </c>
      <c r="D2358">
        <v>141.96</v>
      </c>
    </row>
    <row r="2359" spans="2:4">
      <c r="B2359" s="3">
        <v>43065</v>
      </c>
      <c r="C2359" t="s">
        <v>3</v>
      </c>
      <c r="D2359">
        <v>257.94</v>
      </c>
    </row>
    <row r="2360" spans="2:4">
      <c r="B2360" s="3">
        <v>43065</v>
      </c>
      <c r="C2360" t="s">
        <v>4</v>
      </c>
      <c r="D2360">
        <v>1879.96</v>
      </c>
    </row>
    <row r="2361" spans="2:4">
      <c r="B2361" s="3">
        <v>43065</v>
      </c>
      <c r="C2361" t="s">
        <v>3</v>
      </c>
      <c r="D2361">
        <v>27.46</v>
      </c>
    </row>
    <row r="2362" spans="2:4">
      <c r="B2362" s="3">
        <v>43065</v>
      </c>
      <c r="C2362" t="s">
        <v>4</v>
      </c>
      <c r="D2362">
        <v>89.98</v>
      </c>
    </row>
    <row r="2363" spans="2:4">
      <c r="B2363" s="3">
        <v>43065</v>
      </c>
      <c r="C2363" t="s">
        <v>3</v>
      </c>
      <c r="D2363">
        <v>828.59999999999991</v>
      </c>
    </row>
    <row r="2364" spans="2:4">
      <c r="B2364" s="3">
        <v>42985</v>
      </c>
      <c r="C2364" t="s">
        <v>4</v>
      </c>
      <c r="D2364">
        <v>113.52</v>
      </c>
    </row>
    <row r="2365" spans="2:4">
      <c r="B2365" s="3">
        <v>42985</v>
      </c>
      <c r="C2365" t="s">
        <v>3</v>
      </c>
      <c r="D2365">
        <v>135.29999999999998</v>
      </c>
    </row>
    <row r="2366" spans="2:4">
      <c r="B2366" s="3">
        <v>42805</v>
      </c>
      <c r="C2366" t="s">
        <v>4</v>
      </c>
      <c r="D2366">
        <v>776.84999999999991</v>
      </c>
    </row>
    <row r="2367" spans="2:4">
      <c r="B2367" s="3">
        <v>42805</v>
      </c>
      <c r="C2367" t="s">
        <v>5</v>
      </c>
      <c r="D2367">
        <v>12.294</v>
      </c>
    </row>
    <row r="2368" spans="2:4">
      <c r="B2368" s="3">
        <v>42805</v>
      </c>
      <c r="C2368" t="s">
        <v>3</v>
      </c>
      <c r="D2368">
        <v>154.76400000000001</v>
      </c>
    </row>
    <row r="2369" spans="2:4">
      <c r="B2369" s="3">
        <v>42805</v>
      </c>
      <c r="C2369" t="s">
        <v>5</v>
      </c>
      <c r="D2369">
        <v>43.28</v>
      </c>
    </row>
    <row r="2370" spans="2:4">
      <c r="B2370" s="3">
        <v>43091</v>
      </c>
      <c r="C2370" t="s">
        <v>3</v>
      </c>
      <c r="D2370">
        <v>141.96</v>
      </c>
    </row>
    <row r="2371" spans="2:4">
      <c r="B2371" s="3">
        <v>43091</v>
      </c>
      <c r="C2371" t="s">
        <v>3</v>
      </c>
      <c r="D2371">
        <v>182.55</v>
      </c>
    </row>
    <row r="2372" spans="2:4">
      <c r="B2372" s="3">
        <v>42854</v>
      </c>
      <c r="C2372" t="s">
        <v>5</v>
      </c>
      <c r="D2372">
        <v>4.91</v>
      </c>
    </row>
    <row r="2373" spans="2:4">
      <c r="B2373" s="3">
        <v>43016</v>
      </c>
      <c r="C2373" t="s">
        <v>3</v>
      </c>
      <c r="D2373">
        <v>145.76400000000001</v>
      </c>
    </row>
    <row r="2374" spans="2:4">
      <c r="B2374" s="3">
        <v>42850</v>
      </c>
      <c r="C2374" t="s">
        <v>4</v>
      </c>
      <c r="D2374">
        <v>107.97</v>
      </c>
    </row>
    <row r="2375" spans="2:4">
      <c r="B2375" s="3">
        <v>42820</v>
      </c>
      <c r="C2375" t="s">
        <v>4</v>
      </c>
      <c r="D2375">
        <v>143.96</v>
      </c>
    </row>
    <row r="2376" spans="2:4">
      <c r="B2376" s="3">
        <v>42820</v>
      </c>
      <c r="C2376" t="s">
        <v>4</v>
      </c>
      <c r="D2376">
        <v>2399.96</v>
      </c>
    </row>
    <row r="2377" spans="2:4">
      <c r="B2377" s="3">
        <v>42820</v>
      </c>
      <c r="C2377" t="s">
        <v>5</v>
      </c>
      <c r="D2377">
        <v>74.352000000000004</v>
      </c>
    </row>
    <row r="2378" spans="2:4">
      <c r="B2378" s="3">
        <v>42820</v>
      </c>
      <c r="C2378" t="s">
        <v>5</v>
      </c>
      <c r="D2378">
        <v>87.167999999999978</v>
      </c>
    </row>
    <row r="2379" spans="2:4">
      <c r="B2379" s="3">
        <v>42820</v>
      </c>
      <c r="C2379" t="s">
        <v>5</v>
      </c>
      <c r="D2379">
        <v>32.231999999999999</v>
      </c>
    </row>
    <row r="2380" spans="2:4">
      <c r="B2380" s="3">
        <v>42859</v>
      </c>
      <c r="C2380" t="s">
        <v>5</v>
      </c>
      <c r="D2380">
        <v>2.2020000000000004</v>
      </c>
    </row>
    <row r="2381" spans="2:4">
      <c r="B2381" s="3">
        <v>42859</v>
      </c>
      <c r="C2381" t="s">
        <v>5</v>
      </c>
      <c r="D2381">
        <v>9.3960000000000008</v>
      </c>
    </row>
    <row r="2382" spans="2:4">
      <c r="B2382" s="3">
        <v>42855</v>
      </c>
      <c r="C2382" t="s">
        <v>5</v>
      </c>
      <c r="D2382">
        <v>23.24</v>
      </c>
    </row>
    <row r="2383" spans="2:4">
      <c r="B2383" s="3">
        <v>42846</v>
      </c>
      <c r="C2383" t="s">
        <v>3</v>
      </c>
      <c r="D2383">
        <v>908.82</v>
      </c>
    </row>
    <row r="2384" spans="2:4">
      <c r="B2384" s="3">
        <v>42964</v>
      </c>
      <c r="C2384" t="s">
        <v>5</v>
      </c>
      <c r="D2384">
        <v>5.5520000000000005</v>
      </c>
    </row>
    <row r="2385" spans="2:4">
      <c r="B2385" s="3">
        <v>42964</v>
      </c>
      <c r="C2385" t="s">
        <v>5</v>
      </c>
      <c r="D2385">
        <v>8.016</v>
      </c>
    </row>
    <row r="2386" spans="2:4">
      <c r="B2386" s="3">
        <v>42964</v>
      </c>
      <c r="C2386" t="s">
        <v>3</v>
      </c>
      <c r="D2386">
        <v>74.591999999999999</v>
      </c>
    </row>
    <row r="2387" spans="2:4">
      <c r="B2387" s="3">
        <v>42964</v>
      </c>
      <c r="C2387" t="s">
        <v>3</v>
      </c>
      <c r="D2387">
        <v>16.784000000000002</v>
      </c>
    </row>
    <row r="2388" spans="2:4">
      <c r="B2388" s="3">
        <v>42964</v>
      </c>
      <c r="C2388" t="s">
        <v>5</v>
      </c>
      <c r="D2388">
        <v>38.86399999999999</v>
      </c>
    </row>
    <row r="2389" spans="2:4">
      <c r="B2389" s="3">
        <v>43010</v>
      </c>
      <c r="C2389" t="s">
        <v>3</v>
      </c>
      <c r="D2389">
        <v>17.46</v>
      </c>
    </row>
    <row r="2390" spans="2:4">
      <c r="B2390" s="3">
        <v>43010</v>
      </c>
      <c r="C2390" t="s">
        <v>4</v>
      </c>
      <c r="D2390">
        <v>369.16</v>
      </c>
    </row>
    <row r="2391" spans="2:4">
      <c r="B2391" s="3">
        <v>43023</v>
      </c>
      <c r="C2391" t="s">
        <v>5</v>
      </c>
      <c r="D2391">
        <v>14.73</v>
      </c>
    </row>
    <row r="2392" spans="2:4">
      <c r="B2392" s="3">
        <v>42744</v>
      </c>
      <c r="C2392" t="s">
        <v>5</v>
      </c>
      <c r="D2392">
        <v>274.49100000000004</v>
      </c>
    </row>
    <row r="2393" spans="2:4">
      <c r="B2393" s="3">
        <v>42762</v>
      </c>
      <c r="C2393" t="s">
        <v>4</v>
      </c>
      <c r="D2393">
        <v>137.94</v>
      </c>
    </row>
    <row r="2394" spans="2:4">
      <c r="B2394" s="3">
        <v>42980</v>
      </c>
      <c r="C2394" t="s">
        <v>4</v>
      </c>
      <c r="D2394">
        <v>40.68</v>
      </c>
    </row>
    <row r="2395" spans="2:4">
      <c r="B2395" s="3">
        <v>42790</v>
      </c>
      <c r="C2395" t="s">
        <v>5</v>
      </c>
      <c r="D2395">
        <v>123.92000000000002</v>
      </c>
    </row>
    <row r="2396" spans="2:4">
      <c r="B2396" s="3">
        <v>42790</v>
      </c>
      <c r="C2396" t="s">
        <v>4</v>
      </c>
      <c r="D2396">
        <v>1319.8</v>
      </c>
    </row>
    <row r="2397" spans="2:4">
      <c r="B2397" s="3">
        <v>42807</v>
      </c>
      <c r="C2397" t="s">
        <v>5</v>
      </c>
      <c r="D2397">
        <v>30.88</v>
      </c>
    </row>
    <row r="2398" spans="2:4">
      <c r="B2398" s="3">
        <v>42807</v>
      </c>
      <c r="C2398" t="s">
        <v>5</v>
      </c>
      <c r="D2398">
        <v>465.16</v>
      </c>
    </row>
    <row r="2399" spans="2:4">
      <c r="B2399" s="3">
        <v>42807</v>
      </c>
      <c r="C2399" t="s">
        <v>5</v>
      </c>
      <c r="D2399">
        <v>27.12</v>
      </c>
    </row>
    <row r="2400" spans="2:4">
      <c r="B2400" s="3">
        <v>42848</v>
      </c>
      <c r="C2400" t="s">
        <v>3</v>
      </c>
      <c r="D2400">
        <v>66.36</v>
      </c>
    </row>
    <row r="2401" spans="2:4">
      <c r="B2401" s="3">
        <v>42848</v>
      </c>
      <c r="C2401" t="s">
        <v>5</v>
      </c>
      <c r="D2401">
        <v>92.88000000000001</v>
      </c>
    </row>
    <row r="2402" spans="2:4">
      <c r="B2402" s="3">
        <v>42848</v>
      </c>
      <c r="C2402" t="s">
        <v>3</v>
      </c>
      <c r="D2402">
        <v>24.14</v>
      </c>
    </row>
    <row r="2403" spans="2:4">
      <c r="B2403" s="3">
        <v>42964</v>
      </c>
      <c r="C2403" t="s">
        <v>3</v>
      </c>
      <c r="D2403">
        <v>4416.174</v>
      </c>
    </row>
    <row r="2404" spans="2:4">
      <c r="B2404" s="3">
        <v>42877</v>
      </c>
      <c r="C2404" t="s">
        <v>5</v>
      </c>
      <c r="D2404">
        <v>49.56</v>
      </c>
    </row>
    <row r="2405" spans="2:4">
      <c r="B2405" s="3">
        <v>42775</v>
      </c>
      <c r="C2405" t="s">
        <v>5</v>
      </c>
      <c r="D2405">
        <v>354.90000000000003</v>
      </c>
    </row>
    <row r="2406" spans="2:4">
      <c r="B2406" s="3">
        <v>42896</v>
      </c>
      <c r="C2406" t="s">
        <v>5</v>
      </c>
      <c r="D2406">
        <v>14.700000000000001</v>
      </c>
    </row>
    <row r="2407" spans="2:4">
      <c r="B2407" s="3">
        <v>43030</v>
      </c>
      <c r="C2407" t="s">
        <v>4</v>
      </c>
      <c r="D2407">
        <v>32.700000000000003</v>
      </c>
    </row>
    <row r="2408" spans="2:4">
      <c r="B2408" s="3">
        <v>43030</v>
      </c>
      <c r="C2408" t="s">
        <v>5</v>
      </c>
      <c r="D2408">
        <v>31.680000000000003</v>
      </c>
    </row>
    <row r="2409" spans="2:4">
      <c r="B2409" s="3">
        <v>42899</v>
      </c>
      <c r="C2409" t="s">
        <v>5</v>
      </c>
      <c r="D2409">
        <v>181.86</v>
      </c>
    </row>
    <row r="2410" spans="2:4">
      <c r="B2410" s="3">
        <v>42963</v>
      </c>
      <c r="C2410" t="s">
        <v>5</v>
      </c>
      <c r="D2410">
        <v>13.428000000000003</v>
      </c>
    </row>
    <row r="2411" spans="2:4">
      <c r="B2411" s="3">
        <v>42963</v>
      </c>
      <c r="C2411" t="s">
        <v>5</v>
      </c>
      <c r="D2411">
        <v>67.13600000000001</v>
      </c>
    </row>
    <row r="2412" spans="2:4">
      <c r="B2412" s="3">
        <v>43024</v>
      </c>
      <c r="C2412" t="s">
        <v>4</v>
      </c>
      <c r="D2412">
        <v>599.98500000000013</v>
      </c>
    </row>
    <row r="2413" spans="2:4">
      <c r="B2413" s="3">
        <v>42908</v>
      </c>
      <c r="C2413" t="s">
        <v>5</v>
      </c>
      <c r="D2413">
        <v>3.0359999999999996</v>
      </c>
    </row>
    <row r="2414" spans="2:4">
      <c r="B2414" s="3">
        <v>42987</v>
      </c>
      <c r="C2414" t="s">
        <v>5</v>
      </c>
      <c r="D2414">
        <v>25.920000000000005</v>
      </c>
    </row>
    <row r="2415" spans="2:4">
      <c r="B2415" s="3">
        <v>42987</v>
      </c>
      <c r="C2415" t="s">
        <v>3</v>
      </c>
      <c r="D2415">
        <v>66.112000000000009</v>
      </c>
    </row>
    <row r="2416" spans="2:4">
      <c r="B2416" s="3">
        <v>43022</v>
      </c>
      <c r="C2416" t="s">
        <v>4</v>
      </c>
      <c r="D2416">
        <v>46.36</v>
      </c>
    </row>
    <row r="2417" spans="2:4">
      <c r="B2417" s="3">
        <v>43073</v>
      </c>
      <c r="C2417" t="s">
        <v>4</v>
      </c>
      <c r="D2417">
        <v>649</v>
      </c>
    </row>
    <row r="2418" spans="2:4">
      <c r="B2418" s="3">
        <v>42982</v>
      </c>
      <c r="C2418" t="s">
        <v>3</v>
      </c>
      <c r="D2418">
        <v>97.184000000000012</v>
      </c>
    </row>
    <row r="2419" spans="2:4">
      <c r="B2419" s="3">
        <v>42982</v>
      </c>
      <c r="C2419" t="s">
        <v>5</v>
      </c>
      <c r="D2419">
        <v>10.368000000000002</v>
      </c>
    </row>
    <row r="2420" spans="2:4">
      <c r="B2420" s="3">
        <v>42896</v>
      </c>
      <c r="C2420" t="s">
        <v>5</v>
      </c>
      <c r="D2420">
        <v>14.129999999999999</v>
      </c>
    </row>
    <row r="2421" spans="2:4">
      <c r="B2421" s="3">
        <v>42866</v>
      </c>
      <c r="C2421" t="s">
        <v>5</v>
      </c>
      <c r="D2421">
        <v>43.92</v>
      </c>
    </row>
    <row r="2422" spans="2:4">
      <c r="B2422" s="3">
        <v>43056</v>
      </c>
      <c r="C2422" t="s">
        <v>5</v>
      </c>
      <c r="D2422">
        <v>19.608000000000001</v>
      </c>
    </row>
    <row r="2423" spans="2:4">
      <c r="B2423" s="3">
        <v>43056</v>
      </c>
      <c r="C2423" t="s">
        <v>5</v>
      </c>
      <c r="D2423">
        <v>4.1580000000000004</v>
      </c>
    </row>
    <row r="2424" spans="2:4">
      <c r="B2424" s="3">
        <v>43065</v>
      </c>
      <c r="C2424" t="s">
        <v>4</v>
      </c>
      <c r="D2424">
        <v>979.95</v>
      </c>
    </row>
    <row r="2425" spans="2:4">
      <c r="B2425" s="3">
        <v>43065</v>
      </c>
      <c r="C2425" t="s">
        <v>3</v>
      </c>
      <c r="D2425">
        <v>135.29999999999998</v>
      </c>
    </row>
    <row r="2426" spans="2:4">
      <c r="B2426" s="3">
        <v>42981</v>
      </c>
      <c r="C2426" t="s">
        <v>5</v>
      </c>
      <c r="D2426">
        <v>8.9039999999999999</v>
      </c>
    </row>
    <row r="2427" spans="2:4">
      <c r="B2427" s="3">
        <v>42981</v>
      </c>
      <c r="C2427" t="s">
        <v>4</v>
      </c>
      <c r="D2427">
        <v>100.80000000000001</v>
      </c>
    </row>
    <row r="2428" spans="2:4">
      <c r="B2428" s="3">
        <v>43074</v>
      </c>
      <c r="C2428" t="s">
        <v>3</v>
      </c>
      <c r="D2428">
        <v>41.96</v>
      </c>
    </row>
    <row r="2429" spans="2:4">
      <c r="B2429" s="3">
        <v>43074</v>
      </c>
      <c r="C2429" t="s">
        <v>5</v>
      </c>
      <c r="D2429">
        <v>9.4499999999999993</v>
      </c>
    </row>
    <row r="2430" spans="2:4">
      <c r="B2430" s="3">
        <v>43049</v>
      </c>
      <c r="C2430" t="s">
        <v>5</v>
      </c>
      <c r="D2430">
        <v>400.79999999999995</v>
      </c>
    </row>
    <row r="2431" spans="2:4">
      <c r="B2431" s="3">
        <v>43049</v>
      </c>
      <c r="C2431" t="s">
        <v>5</v>
      </c>
      <c r="D2431">
        <v>28.792000000000002</v>
      </c>
    </row>
    <row r="2432" spans="2:4">
      <c r="B2432" s="3">
        <v>43034</v>
      </c>
      <c r="C2432" t="s">
        <v>4</v>
      </c>
      <c r="D2432">
        <v>61.541999999999994</v>
      </c>
    </row>
    <row r="2433" spans="2:4">
      <c r="B2433" s="3">
        <v>43034</v>
      </c>
      <c r="C2433" t="s">
        <v>5</v>
      </c>
      <c r="D2433">
        <v>81.438000000000017</v>
      </c>
    </row>
    <row r="2434" spans="2:4">
      <c r="B2434" s="3">
        <v>42999</v>
      </c>
      <c r="C2434" t="s">
        <v>5</v>
      </c>
      <c r="D2434">
        <v>15.51</v>
      </c>
    </row>
    <row r="2435" spans="2:4">
      <c r="B2435" s="3">
        <v>43080</v>
      </c>
      <c r="C2435" t="s">
        <v>3</v>
      </c>
      <c r="D2435">
        <v>721.87500000000011</v>
      </c>
    </row>
    <row r="2436" spans="2:4">
      <c r="B2436" s="3">
        <v>43080</v>
      </c>
      <c r="C2436" t="s">
        <v>4</v>
      </c>
      <c r="D2436">
        <v>73.567999999999998</v>
      </c>
    </row>
    <row r="2437" spans="2:4">
      <c r="B2437" s="3">
        <v>43080</v>
      </c>
      <c r="C2437" t="s">
        <v>5</v>
      </c>
      <c r="D2437">
        <v>13.584000000000001</v>
      </c>
    </row>
    <row r="2438" spans="2:4">
      <c r="B2438" s="3">
        <v>43080</v>
      </c>
      <c r="C2438" t="s">
        <v>3</v>
      </c>
      <c r="D2438">
        <v>64.784000000000006</v>
      </c>
    </row>
    <row r="2439" spans="2:4">
      <c r="B2439" s="3">
        <v>43029</v>
      </c>
      <c r="C2439" t="s">
        <v>5</v>
      </c>
      <c r="D2439">
        <v>38.82</v>
      </c>
    </row>
    <row r="2440" spans="2:4">
      <c r="B2440" s="3">
        <v>43029</v>
      </c>
      <c r="C2440" t="s">
        <v>5</v>
      </c>
      <c r="D2440">
        <v>21.9</v>
      </c>
    </row>
    <row r="2441" spans="2:4">
      <c r="B2441" s="3">
        <v>43049</v>
      </c>
      <c r="C2441" t="s">
        <v>4</v>
      </c>
      <c r="D2441">
        <v>111.79</v>
      </c>
    </row>
    <row r="2442" spans="2:4">
      <c r="B2442" s="3">
        <v>42810</v>
      </c>
      <c r="C2442" t="s">
        <v>4</v>
      </c>
      <c r="D2442">
        <v>445.44</v>
      </c>
    </row>
    <row r="2443" spans="2:4">
      <c r="B2443" s="3">
        <v>42772</v>
      </c>
      <c r="C2443" t="s">
        <v>5</v>
      </c>
      <c r="D2443">
        <v>29.900000000000002</v>
      </c>
    </row>
    <row r="2444" spans="2:4">
      <c r="B2444" s="3">
        <v>42840</v>
      </c>
      <c r="C2444" t="s">
        <v>5</v>
      </c>
      <c r="D2444">
        <v>15.570000000000004</v>
      </c>
    </row>
    <row r="2445" spans="2:4">
      <c r="B2445" s="3">
        <v>42742</v>
      </c>
      <c r="C2445" t="s">
        <v>5</v>
      </c>
      <c r="D2445">
        <v>153.78</v>
      </c>
    </row>
    <row r="2446" spans="2:4">
      <c r="B2446" s="3">
        <v>42742</v>
      </c>
      <c r="C2446" t="s">
        <v>5</v>
      </c>
      <c r="D2446">
        <v>61.019999999999996</v>
      </c>
    </row>
    <row r="2447" spans="2:4">
      <c r="B2447" s="3">
        <v>42742</v>
      </c>
      <c r="C2447" t="s">
        <v>5</v>
      </c>
      <c r="D2447">
        <v>110.11</v>
      </c>
    </row>
    <row r="2448" spans="2:4">
      <c r="B2448" s="3">
        <v>42742</v>
      </c>
      <c r="C2448" t="s">
        <v>5</v>
      </c>
      <c r="D2448">
        <v>7.89</v>
      </c>
    </row>
    <row r="2449" spans="2:4">
      <c r="B2449" s="3">
        <v>42960</v>
      </c>
      <c r="C2449" t="s">
        <v>5</v>
      </c>
      <c r="D2449">
        <v>36.024000000000001</v>
      </c>
    </row>
    <row r="2450" spans="2:4">
      <c r="B2450" s="3">
        <v>43041</v>
      </c>
      <c r="C2450" t="s">
        <v>5</v>
      </c>
      <c r="D2450">
        <v>54.336000000000006</v>
      </c>
    </row>
    <row r="2451" spans="2:4">
      <c r="B2451" s="3">
        <v>43068</v>
      </c>
      <c r="C2451" t="s">
        <v>3</v>
      </c>
      <c r="D2451">
        <v>390.36799999999999</v>
      </c>
    </row>
    <row r="2452" spans="2:4">
      <c r="B2452" s="3">
        <v>43068</v>
      </c>
      <c r="C2452" t="s">
        <v>3</v>
      </c>
      <c r="D2452">
        <v>101.52000000000001</v>
      </c>
    </row>
    <row r="2453" spans="2:4">
      <c r="B2453" s="3">
        <v>43073</v>
      </c>
      <c r="C2453" t="s">
        <v>5</v>
      </c>
      <c r="D2453">
        <v>74.352000000000004</v>
      </c>
    </row>
    <row r="2454" spans="2:4">
      <c r="B2454" s="3">
        <v>42857</v>
      </c>
      <c r="C2454" t="s">
        <v>5</v>
      </c>
      <c r="D2454">
        <v>15.700000000000001</v>
      </c>
    </row>
    <row r="2455" spans="2:4">
      <c r="B2455" s="3">
        <v>42857</v>
      </c>
      <c r="C2455" t="s">
        <v>5</v>
      </c>
      <c r="D2455">
        <v>59.519999999999996</v>
      </c>
    </row>
    <row r="2456" spans="2:4">
      <c r="B2456" s="3">
        <v>42857</v>
      </c>
      <c r="C2456" t="s">
        <v>5</v>
      </c>
      <c r="D2456">
        <v>34.4</v>
      </c>
    </row>
    <row r="2457" spans="2:4">
      <c r="B2457" s="3">
        <v>42953</v>
      </c>
      <c r="C2457" t="s">
        <v>5</v>
      </c>
      <c r="D2457">
        <v>70.12</v>
      </c>
    </row>
    <row r="2458" spans="2:4">
      <c r="B2458" s="3">
        <v>42755</v>
      </c>
      <c r="C2458" t="s">
        <v>5</v>
      </c>
      <c r="D2458">
        <v>11.52</v>
      </c>
    </row>
    <row r="2459" spans="2:4">
      <c r="B2459" s="3">
        <v>42885</v>
      </c>
      <c r="C2459" t="s">
        <v>4</v>
      </c>
      <c r="D2459">
        <v>156.79200000000003</v>
      </c>
    </row>
    <row r="2460" spans="2:4">
      <c r="B2460" s="3">
        <v>42885</v>
      </c>
      <c r="C2460" t="s">
        <v>4</v>
      </c>
      <c r="D2460">
        <v>35.360000000000007</v>
      </c>
    </row>
    <row r="2461" spans="2:4">
      <c r="B2461" s="3">
        <v>42885</v>
      </c>
      <c r="C2461" t="s">
        <v>3</v>
      </c>
      <c r="D2461">
        <v>13.591999999999999</v>
      </c>
    </row>
    <row r="2462" spans="2:4">
      <c r="B2462" s="3">
        <v>42835</v>
      </c>
      <c r="C2462" t="s">
        <v>5</v>
      </c>
      <c r="D2462">
        <v>195.10400000000001</v>
      </c>
    </row>
    <row r="2463" spans="2:4">
      <c r="B2463" s="3">
        <v>42835</v>
      </c>
      <c r="C2463" t="s">
        <v>3</v>
      </c>
      <c r="D2463">
        <v>36.671999999999997</v>
      </c>
    </row>
    <row r="2464" spans="2:4">
      <c r="B2464" s="3">
        <v>42980</v>
      </c>
      <c r="C2464" t="s">
        <v>5</v>
      </c>
      <c r="D2464">
        <v>18.72</v>
      </c>
    </row>
    <row r="2465" spans="2:4">
      <c r="B2465" s="3">
        <v>42980</v>
      </c>
      <c r="C2465" t="s">
        <v>3</v>
      </c>
      <c r="D2465">
        <v>236.52800000000002</v>
      </c>
    </row>
    <row r="2466" spans="2:4">
      <c r="B2466" s="3">
        <v>42769</v>
      </c>
      <c r="C2466" t="s">
        <v>5</v>
      </c>
      <c r="D2466">
        <v>5.1840000000000011</v>
      </c>
    </row>
    <row r="2467" spans="2:4">
      <c r="B2467" s="3">
        <v>42769</v>
      </c>
      <c r="C2467" t="s">
        <v>5</v>
      </c>
      <c r="D2467">
        <v>65.584000000000003</v>
      </c>
    </row>
    <row r="2468" spans="2:4">
      <c r="B2468" s="3">
        <v>42769</v>
      </c>
      <c r="C2468" t="s">
        <v>3</v>
      </c>
      <c r="D2468">
        <v>22.200000000000003</v>
      </c>
    </row>
    <row r="2469" spans="2:4">
      <c r="B2469" s="3">
        <v>42769</v>
      </c>
      <c r="C2469" t="s">
        <v>5</v>
      </c>
      <c r="D2469">
        <v>419.4</v>
      </c>
    </row>
    <row r="2470" spans="2:4">
      <c r="B2470" s="3">
        <v>43050</v>
      </c>
      <c r="C2470" t="s">
        <v>3</v>
      </c>
      <c r="D2470">
        <v>88.920000000000016</v>
      </c>
    </row>
    <row r="2471" spans="2:4">
      <c r="B2471" s="3">
        <v>42995</v>
      </c>
      <c r="C2471" t="s">
        <v>5</v>
      </c>
      <c r="D2471">
        <v>9.9120000000000008</v>
      </c>
    </row>
    <row r="2472" spans="2:4">
      <c r="B2472" s="3">
        <v>42995</v>
      </c>
      <c r="C2472" t="s">
        <v>3</v>
      </c>
      <c r="D2472">
        <v>318.43</v>
      </c>
    </row>
    <row r="2473" spans="2:4">
      <c r="B2473" s="3">
        <v>42995</v>
      </c>
      <c r="C2473" t="s">
        <v>5</v>
      </c>
      <c r="D2473">
        <v>5.7999999999999989</v>
      </c>
    </row>
    <row r="2474" spans="2:4">
      <c r="B2474" s="3">
        <v>42995</v>
      </c>
      <c r="C2474" t="s">
        <v>4</v>
      </c>
      <c r="D2474">
        <v>1415.76</v>
      </c>
    </row>
    <row r="2475" spans="2:4">
      <c r="B2475" s="3">
        <v>42911</v>
      </c>
      <c r="C2475" t="s">
        <v>4</v>
      </c>
      <c r="D2475">
        <v>148.47999999999999</v>
      </c>
    </row>
    <row r="2476" spans="2:4">
      <c r="B2476" s="3">
        <v>43050</v>
      </c>
      <c r="C2476" t="s">
        <v>3</v>
      </c>
      <c r="D2476">
        <v>34.92</v>
      </c>
    </row>
    <row r="2477" spans="2:4">
      <c r="B2477" s="3">
        <v>43097</v>
      </c>
      <c r="C2477" t="s">
        <v>5</v>
      </c>
      <c r="D2477">
        <v>2.48</v>
      </c>
    </row>
    <row r="2478" spans="2:4">
      <c r="B2478" s="3">
        <v>43097</v>
      </c>
      <c r="C2478" t="s">
        <v>5</v>
      </c>
      <c r="D2478">
        <v>25.9</v>
      </c>
    </row>
    <row r="2479" spans="2:4">
      <c r="B2479" s="3">
        <v>43044</v>
      </c>
      <c r="C2479" t="s">
        <v>5</v>
      </c>
      <c r="D2479">
        <v>12.96</v>
      </c>
    </row>
    <row r="2480" spans="2:4">
      <c r="B2480" s="3">
        <v>43055</v>
      </c>
      <c r="C2480" t="s">
        <v>4</v>
      </c>
      <c r="D2480">
        <v>119.94</v>
      </c>
    </row>
    <row r="2481" spans="2:4">
      <c r="B2481" s="3">
        <v>42989</v>
      </c>
      <c r="C2481" t="s">
        <v>5</v>
      </c>
      <c r="D2481">
        <v>10.272000000000002</v>
      </c>
    </row>
    <row r="2482" spans="2:4">
      <c r="B2482" s="3">
        <v>42989</v>
      </c>
      <c r="C2482" t="s">
        <v>3</v>
      </c>
      <c r="D2482">
        <v>512.19000000000005</v>
      </c>
    </row>
    <row r="2483" spans="2:4">
      <c r="B2483" s="3">
        <v>42989</v>
      </c>
      <c r="C2483" t="s">
        <v>5</v>
      </c>
      <c r="D2483">
        <v>1.5559999999999996</v>
      </c>
    </row>
    <row r="2484" spans="2:4">
      <c r="B2484" s="3">
        <v>42930</v>
      </c>
      <c r="C2484" t="s">
        <v>5</v>
      </c>
      <c r="D2484">
        <v>4.4479999999999995</v>
      </c>
    </row>
    <row r="2485" spans="2:4">
      <c r="B2485" s="3">
        <v>42930</v>
      </c>
      <c r="C2485" t="s">
        <v>3</v>
      </c>
      <c r="D2485">
        <v>276.69</v>
      </c>
    </row>
    <row r="2486" spans="2:4">
      <c r="B2486" s="3">
        <v>42930</v>
      </c>
      <c r="C2486" t="s">
        <v>5</v>
      </c>
      <c r="D2486">
        <v>4.96</v>
      </c>
    </row>
    <row r="2487" spans="2:4">
      <c r="B2487" s="3">
        <v>42930</v>
      </c>
      <c r="C2487" t="s">
        <v>5</v>
      </c>
      <c r="D2487">
        <v>71.92</v>
      </c>
    </row>
    <row r="2488" spans="2:4">
      <c r="B2488" s="3">
        <v>42930</v>
      </c>
      <c r="C2488" t="s">
        <v>3</v>
      </c>
      <c r="D2488">
        <v>18.84</v>
      </c>
    </row>
    <row r="2489" spans="2:4">
      <c r="B2489" s="3">
        <v>42930</v>
      </c>
      <c r="C2489" t="s">
        <v>4</v>
      </c>
      <c r="D2489">
        <v>140.97</v>
      </c>
    </row>
    <row r="2490" spans="2:4">
      <c r="B2490" s="3">
        <v>42930</v>
      </c>
      <c r="C2490" t="s">
        <v>4</v>
      </c>
      <c r="D2490">
        <v>470.37600000000009</v>
      </c>
    </row>
    <row r="2491" spans="2:4">
      <c r="B2491" s="3">
        <v>42824</v>
      </c>
      <c r="C2491" t="s">
        <v>5</v>
      </c>
      <c r="D2491">
        <v>6.08</v>
      </c>
    </row>
    <row r="2492" spans="2:4">
      <c r="B2492" s="3">
        <v>42824</v>
      </c>
      <c r="C2492" t="s">
        <v>4</v>
      </c>
      <c r="D2492">
        <v>164.79200000000003</v>
      </c>
    </row>
    <row r="2493" spans="2:4">
      <c r="B2493" s="3">
        <v>42894</v>
      </c>
      <c r="C2493" t="s">
        <v>5</v>
      </c>
      <c r="D2493">
        <v>12.175999999999998</v>
      </c>
    </row>
    <row r="2494" spans="2:4">
      <c r="B2494" s="3">
        <v>42930</v>
      </c>
      <c r="C2494" t="s">
        <v>5</v>
      </c>
      <c r="D2494">
        <v>9.2480000000000011</v>
      </c>
    </row>
    <row r="2495" spans="2:4">
      <c r="B2495" s="3">
        <v>42930</v>
      </c>
      <c r="C2495" t="s">
        <v>4</v>
      </c>
      <c r="D2495">
        <v>1889.9459999999999</v>
      </c>
    </row>
    <row r="2496" spans="2:4">
      <c r="B2496" s="3">
        <v>42930</v>
      </c>
      <c r="C2496" t="s">
        <v>5</v>
      </c>
      <c r="D2496">
        <v>62.040000000000006</v>
      </c>
    </row>
    <row r="2497" spans="2:4">
      <c r="B2497" s="3">
        <v>42930</v>
      </c>
      <c r="C2497" t="s">
        <v>3</v>
      </c>
      <c r="D2497">
        <v>396.92000000000007</v>
      </c>
    </row>
    <row r="2498" spans="2:4">
      <c r="B2498" s="3">
        <v>42930</v>
      </c>
      <c r="C2498" t="s">
        <v>5</v>
      </c>
      <c r="D2498">
        <v>239.45599999999999</v>
      </c>
    </row>
    <row r="2499" spans="2:4">
      <c r="B2499" s="3">
        <v>42930</v>
      </c>
      <c r="C2499" t="s">
        <v>5</v>
      </c>
      <c r="D2499">
        <v>13.120000000000001</v>
      </c>
    </row>
    <row r="2500" spans="2:4">
      <c r="B2500" s="3">
        <v>43078</v>
      </c>
      <c r="C2500" t="s">
        <v>5</v>
      </c>
      <c r="D2500">
        <v>29.36</v>
      </c>
    </row>
    <row r="2501" spans="2:4">
      <c r="B2501" s="3">
        <v>43078</v>
      </c>
      <c r="C2501" t="s">
        <v>5</v>
      </c>
      <c r="D2501">
        <v>214.89999999999998</v>
      </c>
    </row>
    <row r="2502" spans="2:4">
      <c r="B2502" s="3">
        <v>43078</v>
      </c>
      <c r="C2502" t="s">
        <v>5</v>
      </c>
      <c r="D2502">
        <v>15.92</v>
      </c>
    </row>
    <row r="2503" spans="2:4">
      <c r="B2503" s="3">
        <v>43078</v>
      </c>
      <c r="C2503" t="s">
        <v>4</v>
      </c>
      <c r="D2503">
        <v>146.44999999999999</v>
      </c>
    </row>
    <row r="2504" spans="2:4">
      <c r="B2504" s="3">
        <v>43078</v>
      </c>
      <c r="C2504" t="s">
        <v>5</v>
      </c>
      <c r="D2504">
        <v>15.14</v>
      </c>
    </row>
    <row r="2505" spans="2:4">
      <c r="B2505" s="3">
        <v>43078</v>
      </c>
      <c r="C2505" t="s">
        <v>5</v>
      </c>
      <c r="D2505">
        <v>5.76</v>
      </c>
    </row>
    <row r="2506" spans="2:4">
      <c r="B2506" s="3">
        <v>43078</v>
      </c>
      <c r="C2506" t="s">
        <v>4</v>
      </c>
      <c r="D2506">
        <v>1399.98</v>
      </c>
    </row>
    <row r="2507" spans="2:4">
      <c r="B2507" s="3">
        <v>43004</v>
      </c>
      <c r="C2507" t="s">
        <v>5</v>
      </c>
      <c r="D2507">
        <v>71.88</v>
      </c>
    </row>
    <row r="2508" spans="2:4">
      <c r="B2508" s="3">
        <v>43004</v>
      </c>
      <c r="C2508" t="s">
        <v>3</v>
      </c>
      <c r="D2508">
        <v>9.24</v>
      </c>
    </row>
    <row r="2509" spans="2:4">
      <c r="B2509" s="3">
        <v>43004</v>
      </c>
      <c r="C2509" t="s">
        <v>5</v>
      </c>
      <c r="D2509">
        <v>35.880000000000003</v>
      </c>
    </row>
    <row r="2510" spans="2:4">
      <c r="B2510" s="3">
        <v>43004</v>
      </c>
      <c r="C2510" t="s">
        <v>5</v>
      </c>
      <c r="D2510">
        <v>17.04</v>
      </c>
    </row>
    <row r="2511" spans="2:4">
      <c r="B2511" s="3">
        <v>43004</v>
      </c>
      <c r="C2511" t="s">
        <v>5</v>
      </c>
      <c r="D2511">
        <v>931.17600000000016</v>
      </c>
    </row>
    <row r="2512" spans="2:4">
      <c r="B2512" s="3">
        <v>42791</v>
      </c>
      <c r="C2512" t="s">
        <v>3</v>
      </c>
      <c r="D2512">
        <v>196.78399999999999</v>
      </c>
    </row>
    <row r="2513" spans="2:4">
      <c r="B2513" s="3">
        <v>42791</v>
      </c>
      <c r="C2513" t="s">
        <v>3</v>
      </c>
      <c r="D2513">
        <v>231.92000000000002</v>
      </c>
    </row>
    <row r="2514" spans="2:4">
      <c r="B2514" s="3">
        <v>42825</v>
      </c>
      <c r="C2514" t="s">
        <v>5</v>
      </c>
      <c r="D2514">
        <v>29.700000000000003</v>
      </c>
    </row>
    <row r="2515" spans="2:4">
      <c r="B2515" s="3">
        <v>43072</v>
      </c>
      <c r="C2515" t="s">
        <v>3</v>
      </c>
      <c r="D2515">
        <v>13.591999999999999</v>
      </c>
    </row>
    <row r="2516" spans="2:4">
      <c r="B2516" s="3">
        <v>43071</v>
      </c>
      <c r="C2516" t="s">
        <v>5</v>
      </c>
      <c r="D2516">
        <v>114.28800000000001</v>
      </c>
    </row>
    <row r="2517" spans="2:4">
      <c r="B2517" s="3">
        <v>43071</v>
      </c>
      <c r="C2517" t="s">
        <v>5</v>
      </c>
      <c r="D2517">
        <v>36.624000000000002</v>
      </c>
    </row>
    <row r="2518" spans="2:4">
      <c r="B2518" s="3">
        <v>43071</v>
      </c>
      <c r="C2518" t="s">
        <v>3</v>
      </c>
      <c r="D2518">
        <v>242.35200000000003</v>
      </c>
    </row>
    <row r="2519" spans="2:4">
      <c r="B2519" s="3">
        <v>43071</v>
      </c>
      <c r="C2519" t="s">
        <v>4</v>
      </c>
      <c r="D2519">
        <v>49.616000000000007</v>
      </c>
    </row>
    <row r="2520" spans="2:4">
      <c r="B2520" s="3">
        <v>43071</v>
      </c>
      <c r="C2520" t="s">
        <v>3</v>
      </c>
      <c r="D2520">
        <v>508.70400000000006</v>
      </c>
    </row>
    <row r="2521" spans="2:4">
      <c r="B2521" s="3">
        <v>43071</v>
      </c>
      <c r="C2521" t="s">
        <v>4</v>
      </c>
      <c r="D2521">
        <v>57.36</v>
      </c>
    </row>
    <row r="2522" spans="2:4">
      <c r="B2522" s="3">
        <v>43071</v>
      </c>
      <c r="C2522" t="s">
        <v>3</v>
      </c>
      <c r="D2522">
        <v>906.68000000000006</v>
      </c>
    </row>
    <row r="2523" spans="2:4">
      <c r="B2523" s="3">
        <v>43066</v>
      </c>
      <c r="C2523" t="s">
        <v>5</v>
      </c>
      <c r="D2523">
        <v>158.28</v>
      </c>
    </row>
    <row r="2524" spans="2:4">
      <c r="B2524" s="3">
        <v>43066</v>
      </c>
      <c r="C2524" t="s">
        <v>5</v>
      </c>
      <c r="D2524">
        <v>497.93999999999994</v>
      </c>
    </row>
    <row r="2525" spans="2:4">
      <c r="B2525" s="3">
        <v>43013</v>
      </c>
      <c r="C2525" t="s">
        <v>4</v>
      </c>
      <c r="D2525">
        <v>63.824000000000005</v>
      </c>
    </row>
    <row r="2526" spans="2:4">
      <c r="B2526" s="3">
        <v>42846</v>
      </c>
      <c r="C2526" t="s">
        <v>4</v>
      </c>
      <c r="D2526">
        <v>47.975999999999999</v>
      </c>
    </row>
    <row r="2527" spans="2:4">
      <c r="B2527" s="3">
        <v>42846</v>
      </c>
      <c r="C2527" t="s">
        <v>5</v>
      </c>
      <c r="D2527">
        <v>20.736000000000004</v>
      </c>
    </row>
    <row r="2528" spans="2:4">
      <c r="B2528" s="3">
        <v>43055</v>
      </c>
      <c r="C2528" t="s">
        <v>3</v>
      </c>
      <c r="D2528">
        <v>17.309999999999999</v>
      </c>
    </row>
    <row r="2529" spans="2:4">
      <c r="B2529" s="3">
        <v>42845</v>
      </c>
      <c r="C2529" t="s">
        <v>5</v>
      </c>
      <c r="D2529">
        <v>146.86000000000001</v>
      </c>
    </row>
    <row r="2530" spans="2:4">
      <c r="B2530" s="3">
        <v>42845</v>
      </c>
      <c r="C2530" t="s">
        <v>5</v>
      </c>
      <c r="D2530">
        <v>36.56</v>
      </c>
    </row>
    <row r="2531" spans="2:4">
      <c r="B2531" s="3">
        <v>43093</v>
      </c>
      <c r="C2531" t="s">
        <v>5</v>
      </c>
      <c r="D2531">
        <v>264.32</v>
      </c>
    </row>
    <row r="2532" spans="2:4">
      <c r="B2532" s="3">
        <v>42858</v>
      </c>
      <c r="C2532" t="s">
        <v>5</v>
      </c>
      <c r="D2532">
        <v>25.92</v>
      </c>
    </row>
    <row r="2533" spans="2:4">
      <c r="B2533" s="3">
        <v>42858</v>
      </c>
      <c r="C2533" t="s">
        <v>5</v>
      </c>
      <c r="D2533">
        <v>22.959999999999997</v>
      </c>
    </row>
    <row r="2534" spans="2:4">
      <c r="B2534" s="3">
        <v>43035</v>
      </c>
      <c r="C2534" t="s">
        <v>3</v>
      </c>
      <c r="D2534">
        <v>189.57600000000002</v>
      </c>
    </row>
    <row r="2535" spans="2:4">
      <c r="B2535" s="3">
        <v>43035</v>
      </c>
      <c r="C2535" t="s">
        <v>4</v>
      </c>
      <c r="D2535">
        <v>71.959999999999994</v>
      </c>
    </row>
    <row r="2536" spans="2:4">
      <c r="B2536" s="3">
        <v>43098</v>
      </c>
      <c r="C2536" t="s">
        <v>3</v>
      </c>
      <c r="D2536">
        <v>1207.8399999999999</v>
      </c>
    </row>
    <row r="2537" spans="2:4">
      <c r="B2537" s="3">
        <v>43098</v>
      </c>
      <c r="C2537" t="s">
        <v>5</v>
      </c>
      <c r="D2537">
        <v>12.53</v>
      </c>
    </row>
    <row r="2538" spans="2:4">
      <c r="B2538" s="3">
        <v>43098</v>
      </c>
      <c r="C2538" t="s">
        <v>5</v>
      </c>
      <c r="D2538">
        <v>34.58</v>
      </c>
    </row>
    <row r="2539" spans="2:4">
      <c r="B2539" s="3">
        <v>43098</v>
      </c>
      <c r="C2539" t="s">
        <v>3</v>
      </c>
      <c r="D2539">
        <v>300.98</v>
      </c>
    </row>
    <row r="2540" spans="2:4">
      <c r="B2540" s="3">
        <v>43098</v>
      </c>
      <c r="C2540" t="s">
        <v>3</v>
      </c>
      <c r="D2540">
        <v>258.75</v>
      </c>
    </row>
    <row r="2541" spans="2:4">
      <c r="B2541" s="3">
        <v>42796</v>
      </c>
      <c r="C2541" t="s">
        <v>5</v>
      </c>
      <c r="D2541">
        <v>59.519999999999996</v>
      </c>
    </row>
    <row r="2542" spans="2:4">
      <c r="B2542" s="3">
        <v>42796</v>
      </c>
      <c r="C2542" t="s">
        <v>5</v>
      </c>
      <c r="D2542">
        <v>57.959999999999994</v>
      </c>
    </row>
    <row r="2543" spans="2:4">
      <c r="B2543" s="3">
        <v>42796</v>
      </c>
      <c r="C2543" t="s">
        <v>3</v>
      </c>
      <c r="D2543">
        <v>441.96</v>
      </c>
    </row>
    <row r="2544" spans="2:4">
      <c r="B2544" s="3">
        <v>42796</v>
      </c>
      <c r="C2544" t="s">
        <v>5</v>
      </c>
      <c r="D2544">
        <v>68.039999999999992</v>
      </c>
    </row>
    <row r="2545" spans="2:4">
      <c r="B2545" s="3">
        <v>42954</v>
      </c>
      <c r="C2545" t="s">
        <v>4</v>
      </c>
      <c r="D2545">
        <v>119.44800000000001</v>
      </c>
    </row>
    <row r="2546" spans="2:4">
      <c r="B2546" s="3">
        <v>42954</v>
      </c>
      <c r="C2546" t="s">
        <v>5</v>
      </c>
      <c r="D2546">
        <v>118.16</v>
      </c>
    </row>
    <row r="2547" spans="2:4">
      <c r="B2547" s="3">
        <v>42946</v>
      </c>
      <c r="C2547" t="s">
        <v>5</v>
      </c>
      <c r="D2547">
        <v>76.77600000000001</v>
      </c>
    </row>
    <row r="2548" spans="2:4">
      <c r="B2548" s="3">
        <v>42887</v>
      </c>
      <c r="C2548" t="s">
        <v>5</v>
      </c>
      <c r="D2548">
        <v>53.9</v>
      </c>
    </row>
    <row r="2549" spans="2:4">
      <c r="B2549" s="3">
        <v>43007</v>
      </c>
      <c r="C2549" t="s">
        <v>5</v>
      </c>
      <c r="D2549">
        <v>99.2</v>
      </c>
    </row>
    <row r="2550" spans="2:4">
      <c r="B2550" s="3">
        <v>42991</v>
      </c>
      <c r="C2550" t="s">
        <v>5</v>
      </c>
      <c r="D2550">
        <v>15.920000000000002</v>
      </c>
    </row>
    <row r="2551" spans="2:4">
      <c r="B2551" s="3">
        <v>42861</v>
      </c>
      <c r="C2551" t="s">
        <v>5</v>
      </c>
      <c r="D2551">
        <v>152.94</v>
      </c>
    </row>
    <row r="2552" spans="2:4">
      <c r="B2552" s="3">
        <v>42931</v>
      </c>
      <c r="C2552" t="s">
        <v>5</v>
      </c>
      <c r="D2552">
        <v>179.94</v>
      </c>
    </row>
    <row r="2553" spans="2:4">
      <c r="B2553" s="3">
        <v>42931</v>
      </c>
      <c r="C2553" t="s">
        <v>3</v>
      </c>
      <c r="D2553">
        <v>872.94</v>
      </c>
    </row>
    <row r="2554" spans="2:4">
      <c r="B2554" s="3">
        <v>42931</v>
      </c>
      <c r="C2554" t="s">
        <v>5</v>
      </c>
      <c r="D2554">
        <v>12.96</v>
      </c>
    </row>
    <row r="2555" spans="2:4">
      <c r="B2555" s="3">
        <v>42918</v>
      </c>
      <c r="C2555" t="s">
        <v>5</v>
      </c>
      <c r="D2555">
        <v>163.96</v>
      </c>
    </row>
    <row r="2556" spans="2:4">
      <c r="B2556" s="3">
        <v>42918</v>
      </c>
      <c r="C2556" t="s">
        <v>5</v>
      </c>
      <c r="D2556">
        <v>5.2319999999999984</v>
      </c>
    </row>
    <row r="2557" spans="2:4">
      <c r="B2557" s="3">
        <v>43083</v>
      </c>
      <c r="C2557" t="s">
        <v>4</v>
      </c>
      <c r="D2557">
        <v>1199.98</v>
      </c>
    </row>
    <row r="2558" spans="2:4">
      <c r="B2558" s="3">
        <v>43083</v>
      </c>
      <c r="C2558" t="s">
        <v>5</v>
      </c>
      <c r="D2558">
        <v>73.849999999999994</v>
      </c>
    </row>
    <row r="2559" spans="2:4">
      <c r="B2559" s="3">
        <v>43083</v>
      </c>
      <c r="C2559" t="s">
        <v>5</v>
      </c>
      <c r="D2559">
        <v>25.71</v>
      </c>
    </row>
    <row r="2560" spans="2:4">
      <c r="B2560" s="3">
        <v>43083</v>
      </c>
      <c r="C2560" t="s">
        <v>5</v>
      </c>
      <c r="D2560">
        <v>17.28</v>
      </c>
    </row>
    <row r="2561" spans="2:4">
      <c r="B2561" s="3">
        <v>43083</v>
      </c>
      <c r="C2561" t="s">
        <v>3</v>
      </c>
      <c r="D2561">
        <v>526.58199999999999</v>
      </c>
    </row>
    <row r="2562" spans="2:4">
      <c r="B2562" s="3">
        <v>43023</v>
      </c>
      <c r="C2562" t="s">
        <v>5</v>
      </c>
      <c r="D2562">
        <v>11.68</v>
      </c>
    </row>
    <row r="2563" spans="2:4">
      <c r="B2563" s="3">
        <v>43036</v>
      </c>
      <c r="C2563" t="s">
        <v>3</v>
      </c>
      <c r="D2563">
        <v>77.951999999999998</v>
      </c>
    </row>
    <row r="2564" spans="2:4">
      <c r="B2564" s="3">
        <v>43036</v>
      </c>
      <c r="C2564" t="s">
        <v>5</v>
      </c>
      <c r="D2564">
        <v>147.184</v>
      </c>
    </row>
    <row r="2565" spans="2:4">
      <c r="B2565" s="3">
        <v>43036</v>
      </c>
      <c r="C2565" t="s">
        <v>5</v>
      </c>
      <c r="D2565">
        <v>47.952000000000005</v>
      </c>
    </row>
    <row r="2566" spans="2:4">
      <c r="B2566" s="3">
        <v>43042</v>
      </c>
      <c r="C2566" t="s">
        <v>4</v>
      </c>
      <c r="D2566">
        <v>40.775999999999996</v>
      </c>
    </row>
    <row r="2567" spans="2:4">
      <c r="B2567" s="3">
        <v>42987</v>
      </c>
      <c r="C2567" t="s">
        <v>4</v>
      </c>
      <c r="D2567">
        <v>159.96</v>
      </c>
    </row>
    <row r="2568" spans="2:4">
      <c r="B2568" s="3">
        <v>42841</v>
      </c>
      <c r="C2568" t="s">
        <v>5</v>
      </c>
      <c r="D2568">
        <v>40.74</v>
      </c>
    </row>
    <row r="2569" spans="2:4">
      <c r="B2569" s="3">
        <v>42899</v>
      </c>
      <c r="C2569" t="s">
        <v>3</v>
      </c>
      <c r="D2569">
        <v>291.13600000000002</v>
      </c>
    </row>
    <row r="2570" spans="2:4">
      <c r="B2570" s="3">
        <v>42996</v>
      </c>
      <c r="C2570" t="s">
        <v>5</v>
      </c>
      <c r="D2570">
        <v>114.84800000000001</v>
      </c>
    </row>
    <row r="2571" spans="2:4">
      <c r="B2571" s="3">
        <v>42888</v>
      </c>
      <c r="C2571" t="s">
        <v>5</v>
      </c>
      <c r="D2571">
        <v>10.688000000000001</v>
      </c>
    </row>
    <row r="2572" spans="2:4">
      <c r="B2572" s="3">
        <v>42993</v>
      </c>
      <c r="C2572" t="s">
        <v>5</v>
      </c>
      <c r="D2572">
        <v>12.419999999999998</v>
      </c>
    </row>
    <row r="2573" spans="2:4">
      <c r="B2573" s="3">
        <v>43087</v>
      </c>
      <c r="C2573" t="s">
        <v>5</v>
      </c>
      <c r="D2573">
        <v>12.672000000000001</v>
      </c>
    </row>
    <row r="2574" spans="2:4">
      <c r="B2574" s="3">
        <v>42946</v>
      </c>
      <c r="C2574" t="s">
        <v>4</v>
      </c>
      <c r="D2574">
        <v>89.949999999999989</v>
      </c>
    </row>
    <row r="2575" spans="2:4">
      <c r="B2575" s="3">
        <v>42967</v>
      </c>
      <c r="C2575" t="s">
        <v>5</v>
      </c>
      <c r="D2575">
        <v>25.92</v>
      </c>
    </row>
    <row r="2576" spans="2:4">
      <c r="B2576" s="3">
        <v>43056</v>
      </c>
      <c r="C2576" t="s">
        <v>5</v>
      </c>
      <c r="D2576">
        <v>268.24</v>
      </c>
    </row>
    <row r="2577" spans="2:4">
      <c r="B2577" s="3">
        <v>43056</v>
      </c>
      <c r="C2577" t="s">
        <v>4</v>
      </c>
      <c r="D2577">
        <v>431.16000000000008</v>
      </c>
    </row>
    <row r="2578" spans="2:4">
      <c r="B2578" s="3">
        <v>43052</v>
      </c>
      <c r="C2578" t="s">
        <v>4</v>
      </c>
      <c r="D2578">
        <v>43.6</v>
      </c>
    </row>
    <row r="2579" spans="2:4">
      <c r="B2579" s="3">
        <v>43052</v>
      </c>
      <c r="C2579" t="s">
        <v>3</v>
      </c>
      <c r="D2579">
        <v>154.94999999999999</v>
      </c>
    </row>
    <row r="2580" spans="2:4">
      <c r="B2580" s="3">
        <v>43072</v>
      </c>
      <c r="C2580" t="s">
        <v>5</v>
      </c>
      <c r="D2580">
        <v>10.368000000000002</v>
      </c>
    </row>
    <row r="2581" spans="2:4">
      <c r="B2581" s="3">
        <v>43004</v>
      </c>
      <c r="C2581" t="s">
        <v>5</v>
      </c>
      <c r="D2581">
        <v>2.2239999999999998</v>
      </c>
    </row>
    <row r="2582" spans="2:4">
      <c r="B2582" s="3">
        <v>42959</v>
      </c>
      <c r="C2582" t="s">
        <v>5</v>
      </c>
      <c r="D2582">
        <v>17.52</v>
      </c>
    </row>
    <row r="2583" spans="2:4">
      <c r="B2583" s="3">
        <v>42959</v>
      </c>
      <c r="C2583" t="s">
        <v>3</v>
      </c>
      <c r="D2583">
        <v>1779.9</v>
      </c>
    </row>
    <row r="2584" spans="2:4">
      <c r="B2584" s="3">
        <v>42959</v>
      </c>
      <c r="C2584" t="s">
        <v>5</v>
      </c>
      <c r="D2584">
        <v>219.89999999999998</v>
      </c>
    </row>
    <row r="2585" spans="2:4">
      <c r="B2585" s="3">
        <v>43051</v>
      </c>
      <c r="C2585" t="s">
        <v>5</v>
      </c>
      <c r="D2585">
        <v>26.720000000000002</v>
      </c>
    </row>
    <row r="2586" spans="2:4">
      <c r="B2586" s="3">
        <v>42997</v>
      </c>
      <c r="C2586" t="s">
        <v>5</v>
      </c>
      <c r="D2586">
        <v>4.8420000000000005</v>
      </c>
    </row>
    <row r="2587" spans="2:4">
      <c r="B2587" s="3">
        <v>43020</v>
      </c>
      <c r="C2587" t="s">
        <v>4</v>
      </c>
      <c r="D2587">
        <v>39.984000000000002</v>
      </c>
    </row>
    <row r="2588" spans="2:4">
      <c r="B2588" s="3">
        <v>42818</v>
      </c>
      <c r="C2588" t="s">
        <v>5</v>
      </c>
      <c r="D2588">
        <v>47.01</v>
      </c>
    </row>
    <row r="2589" spans="2:4">
      <c r="B2589" s="3">
        <v>42818</v>
      </c>
      <c r="C2589" t="s">
        <v>4</v>
      </c>
      <c r="D2589">
        <v>469.99</v>
      </c>
    </row>
    <row r="2590" spans="2:4">
      <c r="B2590" s="3">
        <v>42818</v>
      </c>
      <c r="C2590" t="s">
        <v>3</v>
      </c>
      <c r="D2590">
        <v>207.84600000000003</v>
      </c>
    </row>
    <row r="2591" spans="2:4">
      <c r="B2591" s="3">
        <v>42887</v>
      </c>
      <c r="C2591" t="s">
        <v>5</v>
      </c>
      <c r="D2591">
        <v>324.74400000000003</v>
      </c>
    </row>
    <row r="2592" spans="2:4">
      <c r="B2592" s="3">
        <v>42894</v>
      </c>
      <c r="C2592" t="s">
        <v>3</v>
      </c>
      <c r="D2592">
        <v>1497.6659999999999</v>
      </c>
    </row>
    <row r="2593" spans="2:4">
      <c r="B2593" s="3">
        <v>42894</v>
      </c>
      <c r="C2593" t="s">
        <v>4</v>
      </c>
      <c r="D2593">
        <v>17.52</v>
      </c>
    </row>
    <row r="2594" spans="2:4">
      <c r="B2594" s="3">
        <v>42761</v>
      </c>
      <c r="C2594" t="s">
        <v>5</v>
      </c>
      <c r="D2594">
        <v>11.84</v>
      </c>
    </row>
    <row r="2595" spans="2:4">
      <c r="B2595" s="3">
        <v>43077</v>
      </c>
      <c r="C2595" t="s">
        <v>5</v>
      </c>
      <c r="D2595">
        <v>592.74</v>
      </c>
    </row>
    <row r="2596" spans="2:4">
      <c r="B2596" s="3">
        <v>43039</v>
      </c>
      <c r="C2596" t="s">
        <v>4</v>
      </c>
      <c r="D2596">
        <v>508.76800000000003</v>
      </c>
    </row>
    <row r="2597" spans="2:4">
      <c r="B2597" s="3">
        <v>43039</v>
      </c>
      <c r="C2597" t="s">
        <v>5</v>
      </c>
      <c r="D2597">
        <v>9.9120000000000008</v>
      </c>
    </row>
    <row r="2598" spans="2:4">
      <c r="B2598" s="3">
        <v>42937</v>
      </c>
      <c r="C2598" t="s">
        <v>3</v>
      </c>
      <c r="D2598">
        <v>124.404</v>
      </c>
    </row>
    <row r="2599" spans="2:4">
      <c r="B2599" s="3">
        <v>43076</v>
      </c>
      <c r="C2599" t="s">
        <v>5</v>
      </c>
      <c r="D2599">
        <v>320.64</v>
      </c>
    </row>
    <row r="2600" spans="2:4">
      <c r="B2600" s="3">
        <v>43076</v>
      </c>
      <c r="C2600" t="s">
        <v>4</v>
      </c>
      <c r="D2600">
        <v>52</v>
      </c>
    </row>
    <row r="2601" spans="2:4">
      <c r="B2601" s="3">
        <v>42796</v>
      </c>
      <c r="C2601" t="s">
        <v>5</v>
      </c>
      <c r="D2601">
        <v>18.528000000000002</v>
      </c>
    </row>
    <row r="2602" spans="2:4">
      <c r="B2602" s="3">
        <v>42919</v>
      </c>
      <c r="C2602" t="s">
        <v>4</v>
      </c>
      <c r="D2602">
        <v>24</v>
      </c>
    </row>
    <row r="2603" spans="2:4">
      <c r="B2603" s="3">
        <v>43003</v>
      </c>
      <c r="C2603" t="s">
        <v>5</v>
      </c>
      <c r="D2603">
        <v>24.448</v>
      </c>
    </row>
    <row r="2604" spans="2:4">
      <c r="B2604" s="3">
        <v>42987</v>
      </c>
      <c r="C2604" t="s">
        <v>5</v>
      </c>
      <c r="D2604">
        <v>31.104000000000006</v>
      </c>
    </row>
    <row r="2605" spans="2:4">
      <c r="B2605" s="3">
        <v>42987</v>
      </c>
      <c r="C2605" t="s">
        <v>5</v>
      </c>
      <c r="D2605">
        <v>11.176000000000002</v>
      </c>
    </row>
    <row r="2606" spans="2:4">
      <c r="B2606" s="3">
        <v>43072</v>
      </c>
      <c r="C2606" t="s">
        <v>5</v>
      </c>
      <c r="D2606">
        <v>13.343999999999998</v>
      </c>
    </row>
    <row r="2607" spans="2:4">
      <c r="B2607" s="3">
        <v>43072</v>
      </c>
      <c r="C2607" t="s">
        <v>4</v>
      </c>
      <c r="D2607">
        <v>76.75200000000001</v>
      </c>
    </row>
    <row r="2608" spans="2:4">
      <c r="B2608" s="3">
        <v>43072</v>
      </c>
      <c r="C2608" t="s">
        <v>4</v>
      </c>
      <c r="D2608">
        <v>102.33600000000001</v>
      </c>
    </row>
    <row r="2609" spans="2:4">
      <c r="B2609" s="3">
        <v>43072</v>
      </c>
      <c r="C2609" t="s">
        <v>5</v>
      </c>
      <c r="D2609">
        <v>10.32</v>
      </c>
    </row>
    <row r="2610" spans="2:4">
      <c r="B2610" s="3">
        <v>43072</v>
      </c>
      <c r="C2610" t="s">
        <v>5</v>
      </c>
      <c r="D2610">
        <v>47.32</v>
      </c>
    </row>
    <row r="2611" spans="2:4">
      <c r="B2611" s="3">
        <v>43072</v>
      </c>
      <c r="C2611" t="s">
        <v>3</v>
      </c>
      <c r="D2611">
        <v>23.376000000000001</v>
      </c>
    </row>
    <row r="2612" spans="2:4">
      <c r="B2612" s="3">
        <v>43072</v>
      </c>
      <c r="C2612" t="s">
        <v>3</v>
      </c>
      <c r="D2612">
        <v>16.72</v>
      </c>
    </row>
    <row r="2613" spans="2:4">
      <c r="B2613" s="3">
        <v>43072</v>
      </c>
      <c r="C2613" t="s">
        <v>3</v>
      </c>
      <c r="D2613">
        <v>16.192</v>
      </c>
    </row>
    <row r="2614" spans="2:4">
      <c r="B2614" s="3">
        <v>42939</v>
      </c>
      <c r="C2614" t="s">
        <v>5</v>
      </c>
      <c r="D2614">
        <v>13.919999999999998</v>
      </c>
    </row>
    <row r="2615" spans="2:4">
      <c r="B2615" s="3">
        <v>42907</v>
      </c>
      <c r="C2615" t="s">
        <v>5</v>
      </c>
      <c r="D2615">
        <v>82.4</v>
      </c>
    </row>
    <row r="2616" spans="2:4">
      <c r="B2616" s="3">
        <v>42907</v>
      </c>
      <c r="C2616" t="s">
        <v>5</v>
      </c>
      <c r="D2616">
        <v>6.24</v>
      </c>
    </row>
    <row r="2617" spans="2:4">
      <c r="B2617" s="3">
        <v>42907</v>
      </c>
      <c r="C2617" t="s">
        <v>5</v>
      </c>
      <c r="D2617">
        <v>447.84</v>
      </c>
    </row>
    <row r="2618" spans="2:4">
      <c r="B2618" s="3">
        <v>42960</v>
      </c>
      <c r="C2618" t="s">
        <v>5</v>
      </c>
      <c r="D2618">
        <v>272.048</v>
      </c>
    </row>
    <row r="2619" spans="2:4">
      <c r="B2619" s="3">
        <v>42960</v>
      </c>
      <c r="C2619" t="s">
        <v>5</v>
      </c>
      <c r="D2619">
        <v>1614.5820000000003</v>
      </c>
    </row>
    <row r="2620" spans="2:4">
      <c r="B2620" s="3">
        <v>42960</v>
      </c>
      <c r="C2620" t="s">
        <v>5</v>
      </c>
      <c r="D2620">
        <v>24.320000000000004</v>
      </c>
    </row>
    <row r="2621" spans="2:4">
      <c r="B2621" s="3">
        <v>42960</v>
      </c>
      <c r="C2621" t="s">
        <v>4</v>
      </c>
      <c r="D2621">
        <v>1.5840000000000001</v>
      </c>
    </row>
    <row r="2622" spans="2:4">
      <c r="B2622" s="3">
        <v>42960</v>
      </c>
      <c r="C2622" t="s">
        <v>3</v>
      </c>
      <c r="D2622">
        <v>31.983999999999998</v>
      </c>
    </row>
    <row r="2623" spans="2:4">
      <c r="B2623" s="3">
        <v>42960</v>
      </c>
      <c r="C2623" t="s">
        <v>5</v>
      </c>
      <c r="D2623">
        <v>14.76</v>
      </c>
    </row>
    <row r="2624" spans="2:4">
      <c r="B2624" s="3">
        <v>42960</v>
      </c>
      <c r="C2624" t="s">
        <v>3</v>
      </c>
      <c r="D2624">
        <v>423.64799999999997</v>
      </c>
    </row>
    <row r="2625" spans="2:4">
      <c r="B2625" s="3">
        <v>42972</v>
      </c>
      <c r="C2625" t="s">
        <v>5</v>
      </c>
      <c r="D2625">
        <v>25.695999999999998</v>
      </c>
    </row>
    <row r="2626" spans="2:4">
      <c r="B2626" s="3">
        <v>42903</v>
      </c>
      <c r="C2626" t="s">
        <v>4</v>
      </c>
      <c r="D2626">
        <v>3404.5</v>
      </c>
    </row>
    <row r="2627" spans="2:4">
      <c r="B2627" s="3">
        <v>42903</v>
      </c>
      <c r="C2627" t="s">
        <v>4</v>
      </c>
      <c r="D2627">
        <v>101.34</v>
      </c>
    </row>
    <row r="2628" spans="2:4">
      <c r="B2628" s="3">
        <v>42982</v>
      </c>
      <c r="C2628" t="s">
        <v>5</v>
      </c>
      <c r="D2628">
        <v>30.384</v>
      </c>
    </row>
    <row r="2629" spans="2:4">
      <c r="B2629" s="3">
        <v>42993</v>
      </c>
      <c r="C2629" t="s">
        <v>5</v>
      </c>
      <c r="D2629">
        <v>38.619999999999997</v>
      </c>
    </row>
    <row r="2630" spans="2:4">
      <c r="B2630" s="3">
        <v>42993</v>
      </c>
      <c r="C2630" t="s">
        <v>4</v>
      </c>
      <c r="D2630">
        <v>59.98</v>
      </c>
    </row>
    <row r="2631" spans="2:4">
      <c r="B2631" s="3">
        <v>42807</v>
      </c>
      <c r="C2631" t="s">
        <v>5</v>
      </c>
      <c r="D2631">
        <v>174.3</v>
      </c>
    </row>
    <row r="2632" spans="2:4">
      <c r="B2632" s="3">
        <v>43002</v>
      </c>
      <c r="C2632" t="s">
        <v>4</v>
      </c>
      <c r="D2632">
        <v>383.96000000000004</v>
      </c>
    </row>
    <row r="2633" spans="2:4">
      <c r="B2633" s="3">
        <v>43002</v>
      </c>
      <c r="C2633" t="s">
        <v>5</v>
      </c>
      <c r="D2633">
        <v>15.570000000000004</v>
      </c>
    </row>
    <row r="2634" spans="2:4">
      <c r="B2634" s="3">
        <v>43059</v>
      </c>
      <c r="C2634" t="s">
        <v>4</v>
      </c>
      <c r="D2634">
        <v>2.9699999999999998</v>
      </c>
    </row>
    <row r="2635" spans="2:4">
      <c r="B2635" s="3">
        <v>43059</v>
      </c>
      <c r="C2635" t="s">
        <v>4</v>
      </c>
      <c r="D2635">
        <v>569.99</v>
      </c>
    </row>
    <row r="2636" spans="2:4">
      <c r="B2636" s="3">
        <v>43059</v>
      </c>
      <c r="C2636" t="s">
        <v>3</v>
      </c>
      <c r="D2636">
        <v>50.97</v>
      </c>
    </row>
    <row r="2637" spans="2:4">
      <c r="B2637" s="3">
        <v>42941</v>
      </c>
      <c r="C2637" t="s">
        <v>3</v>
      </c>
      <c r="D2637">
        <v>298.11599999999999</v>
      </c>
    </row>
    <row r="2638" spans="2:4">
      <c r="B2638" s="3">
        <v>42964</v>
      </c>
      <c r="C2638" t="s">
        <v>5</v>
      </c>
      <c r="D2638">
        <v>23.36</v>
      </c>
    </row>
    <row r="2639" spans="2:4">
      <c r="B2639" s="3">
        <v>42964</v>
      </c>
      <c r="C2639" t="s">
        <v>4</v>
      </c>
      <c r="D2639">
        <v>71.975999999999999</v>
      </c>
    </row>
    <row r="2640" spans="2:4">
      <c r="B2640" s="3">
        <v>42964</v>
      </c>
      <c r="C2640" t="s">
        <v>5</v>
      </c>
      <c r="D2640">
        <v>8.56</v>
      </c>
    </row>
    <row r="2641" spans="2:4">
      <c r="B2641" s="3">
        <v>42964</v>
      </c>
      <c r="C2641" t="s">
        <v>5</v>
      </c>
      <c r="D2641">
        <v>13.919999999999998</v>
      </c>
    </row>
    <row r="2642" spans="2:4">
      <c r="B2642" s="3">
        <v>42964</v>
      </c>
      <c r="C2642" t="s">
        <v>5</v>
      </c>
      <c r="D2642">
        <v>2518.29</v>
      </c>
    </row>
    <row r="2643" spans="2:4">
      <c r="B2643" s="3">
        <v>42964</v>
      </c>
      <c r="C2643" t="s">
        <v>5</v>
      </c>
      <c r="D2643">
        <v>540.56999999999994</v>
      </c>
    </row>
    <row r="2644" spans="2:4">
      <c r="B2644" s="3">
        <v>42964</v>
      </c>
      <c r="C2644" t="s">
        <v>5</v>
      </c>
      <c r="D2644">
        <v>221.05600000000001</v>
      </c>
    </row>
    <row r="2645" spans="2:4">
      <c r="B2645" s="3">
        <v>43094</v>
      </c>
      <c r="C2645" t="s">
        <v>5</v>
      </c>
      <c r="D2645">
        <v>39.581999999999987</v>
      </c>
    </row>
    <row r="2646" spans="2:4">
      <c r="B2646" s="3">
        <v>43094</v>
      </c>
      <c r="C2646" t="s">
        <v>5</v>
      </c>
      <c r="D2646">
        <v>44.688000000000002</v>
      </c>
    </row>
    <row r="2647" spans="2:4">
      <c r="B2647" s="3">
        <v>43094</v>
      </c>
      <c r="C2647" t="s">
        <v>5</v>
      </c>
      <c r="D2647">
        <v>31.744</v>
      </c>
    </row>
    <row r="2648" spans="2:4">
      <c r="B2648" s="3">
        <v>43094</v>
      </c>
      <c r="C2648" t="s">
        <v>5</v>
      </c>
      <c r="D2648">
        <v>40.97999999999999</v>
      </c>
    </row>
    <row r="2649" spans="2:4">
      <c r="B2649" s="3">
        <v>43094</v>
      </c>
      <c r="C2649" t="s">
        <v>5</v>
      </c>
      <c r="D2649">
        <v>3.1679999999999993</v>
      </c>
    </row>
    <row r="2650" spans="2:4">
      <c r="B2650" s="3">
        <v>43013</v>
      </c>
      <c r="C2650" t="s">
        <v>3</v>
      </c>
      <c r="D2650">
        <v>435.16800000000006</v>
      </c>
    </row>
    <row r="2651" spans="2:4">
      <c r="B2651" s="3">
        <v>43013</v>
      </c>
      <c r="C2651" t="s">
        <v>5</v>
      </c>
      <c r="D2651">
        <v>14.9</v>
      </c>
    </row>
    <row r="2652" spans="2:4">
      <c r="B2652" s="3">
        <v>43013</v>
      </c>
      <c r="C2652" t="s">
        <v>5</v>
      </c>
      <c r="D2652">
        <v>15.8</v>
      </c>
    </row>
    <row r="2653" spans="2:4">
      <c r="B2653" s="3">
        <v>43013</v>
      </c>
      <c r="C2653" t="s">
        <v>3</v>
      </c>
      <c r="D2653">
        <v>72.900000000000006</v>
      </c>
    </row>
    <row r="2654" spans="2:4">
      <c r="B2654" s="3">
        <v>43013</v>
      </c>
      <c r="C2654" t="s">
        <v>3</v>
      </c>
      <c r="D2654">
        <v>206.35200000000003</v>
      </c>
    </row>
    <row r="2655" spans="2:4">
      <c r="B2655" s="3">
        <v>43013</v>
      </c>
      <c r="C2655" t="s">
        <v>4</v>
      </c>
      <c r="D2655">
        <v>7.9920000000000009</v>
      </c>
    </row>
    <row r="2656" spans="2:4">
      <c r="B2656" s="3">
        <v>43057</v>
      </c>
      <c r="C2656" t="s">
        <v>5</v>
      </c>
      <c r="D2656">
        <v>81.360000000000014</v>
      </c>
    </row>
    <row r="2657" spans="2:4">
      <c r="B2657" s="3">
        <v>43057</v>
      </c>
      <c r="C2657" t="s">
        <v>5</v>
      </c>
      <c r="D2657">
        <v>20.232000000000003</v>
      </c>
    </row>
    <row r="2658" spans="2:4">
      <c r="B2658" s="3">
        <v>43057</v>
      </c>
      <c r="C2658" t="s">
        <v>5</v>
      </c>
      <c r="D2658">
        <v>389.05600000000004</v>
      </c>
    </row>
    <row r="2659" spans="2:4">
      <c r="B2659" s="3">
        <v>43057</v>
      </c>
      <c r="C2659" t="s">
        <v>5</v>
      </c>
      <c r="D2659">
        <v>20.736000000000004</v>
      </c>
    </row>
    <row r="2660" spans="2:4">
      <c r="B2660" s="3">
        <v>43057</v>
      </c>
      <c r="C2660" t="s">
        <v>5</v>
      </c>
      <c r="D2660">
        <v>41.472000000000008</v>
      </c>
    </row>
    <row r="2661" spans="2:4">
      <c r="B2661" s="3">
        <v>42757</v>
      </c>
      <c r="C2661" t="s">
        <v>5</v>
      </c>
      <c r="D2661">
        <v>15.120000000000001</v>
      </c>
    </row>
    <row r="2662" spans="2:4">
      <c r="B2662" s="3">
        <v>42757</v>
      </c>
      <c r="C2662" t="s">
        <v>5</v>
      </c>
      <c r="D2662">
        <v>7.8719999999999999</v>
      </c>
    </row>
    <row r="2663" spans="2:4">
      <c r="B2663" s="3">
        <v>43042</v>
      </c>
      <c r="C2663" t="s">
        <v>4</v>
      </c>
      <c r="D2663">
        <v>199.75</v>
      </c>
    </row>
    <row r="2664" spans="2:4">
      <c r="B2664" s="3">
        <v>43042</v>
      </c>
      <c r="C2664" t="s">
        <v>3</v>
      </c>
      <c r="D2664">
        <v>1673.1839999999997</v>
      </c>
    </row>
    <row r="2665" spans="2:4">
      <c r="B2665" s="3">
        <v>42880</v>
      </c>
      <c r="C2665" t="s">
        <v>5</v>
      </c>
      <c r="D2665">
        <v>663.92</v>
      </c>
    </row>
    <row r="2666" spans="2:4">
      <c r="B2666" s="3">
        <v>42880</v>
      </c>
      <c r="C2666" t="s">
        <v>4</v>
      </c>
      <c r="D2666">
        <v>120</v>
      </c>
    </row>
    <row r="2667" spans="2:4">
      <c r="B2667" s="3">
        <v>42880</v>
      </c>
      <c r="C2667" t="s">
        <v>5</v>
      </c>
      <c r="D2667">
        <v>3.29</v>
      </c>
    </row>
    <row r="2668" spans="2:4">
      <c r="B2668" s="3">
        <v>42880</v>
      </c>
      <c r="C2668" t="s">
        <v>3</v>
      </c>
      <c r="D2668">
        <v>18.84</v>
      </c>
    </row>
    <row r="2669" spans="2:4">
      <c r="B2669" s="3">
        <v>43025</v>
      </c>
      <c r="C2669" t="s">
        <v>4</v>
      </c>
      <c r="D2669">
        <v>52.792000000000002</v>
      </c>
    </row>
    <row r="2670" spans="2:4">
      <c r="B2670" s="3">
        <v>43041</v>
      </c>
      <c r="C2670" t="s">
        <v>5</v>
      </c>
      <c r="D2670">
        <v>83.9</v>
      </c>
    </row>
    <row r="2671" spans="2:4">
      <c r="B2671" s="3">
        <v>43041</v>
      </c>
      <c r="C2671" t="s">
        <v>5</v>
      </c>
      <c r="D2671">
        <v>11.76</v>
      </c>
    </row>
    <row r="2672" spans="2:4">
      <c r="B2672" s="3">
        <v>42926</v>
      </c>
      <c r="C2672" t="s">
        <v>5</v>
      </c>
      <c r="D2672">
        <v>41.910000000000004</v>
      </c>
    </row>
    <row r="2673" spans="2:4">
      <c r="B2673" s="3">
        <v>42916</v>
      </c>
      <c r="C2673" t="s">
        <v>3</v>
      </c>
      <c r="D2673">
        <v>435.99900000000002</v>
      </c>
    </row>
    <row r="2674" spans="2:4">
      <c r="B2674" s="3">
        <v>42968</v>
      </c>
      <c r="C2674" t="s">
        <v>3</v>
      </c>
      <c r="D2674">
        <v>388.70400000000006</v>
      </c>
    </row>
    <row r="2675" spans="2:4">
      <c r="B2675" s="3">
        <v>42968</v>
      </c>
      <c r="C2675" t="s">
        <v>5</v>
      </c>
      <c r="D2675">
        <v>572.58000000000004</v>
      </c>
    </row>
    <row r="2676" spans="2:4">
      <c r="B2676" s="3">
        <v>42968</v>
      </c>
      <c r="C2676" t="s">
        <v>4</v>
      </c>
      <c r="D2676">
        <v>33.18</v>
      </c>
    </row>
    <row r="2677" spans="2:4">
      <c r="B2677" s="3">
        <v>42805</v>
      </c>
      <c r="C2677" t="s">
        <v>4</v>
      </c>
      <c r="D2677">
        <v>63.88</v>
      </c>
    </row>
    <row r="2678" spans="2:4">
      <c r="B2678" s="3">
        <v>42805</v>
      </c>
      <c r="C2678" t="s">
        <v>3</v>
      </c>
      <c r="D2678">
        <v>26.72</v>
      </c>
    </row>
    <row r="2679" spans="2:4">
      <c r="B2679" s="3">
        <v>42993</v>
      </c>
      <c r="C2679" t="s">
        <v>5</v>
      </c>
      <c r="D2679">
        <v>295.05599999999998</v>
      </c>
    </row>
    <row r="2680" spans="2:4">
      <c r="B2680" s="3">
        <v>43042</v>
      </c>
      <c r="C2680" t="s">
        <v>5</v>
      </c>
      <c r="D2680">
        <v>16.272000000000002</v>
      </c>
    </row>
    <row r="2681" spans="2:4">
      <c r="B2681" s="3">
        <v>43006</v>
      </c>
      <c r="C2681" t="s">
        <v>5</v>
      </c>
      <c r="D2681">
        <v>2.6550000000000002</v>
      </c>
    </row>
    <row r="2682" spans="2:4">
      <c r="B2682" s="3">
        <v>42736</v>
      </c>
      <c r="C2682" t="s">
        <v>5</v>
      </c>
      <c r="D2682">
        <v>454.56000000000006</v>
      </c>
    </row>
    <row r="2683" spans="2:4">
      <c r="B2683" s="3">
        <v>42736</v>
      </c>
      <c r="C2683" t="s">
        <v>3</v>
      </c>
      <c r="D2683">
        <v>141.41999999999999</v>
      </c>
    </row>
    <row r="2684" spans="2:4">
      <c r="B2684" s="3">
        <v>42736</v>
      </c>
      <c r="C2684" t="s">
        <v>3</v>
      </c>
      <c r="D2684">
        <v>310.74399999999997</v>
      </c>
    </row>
    <row r="2685" spans="2:4">
      <c r="B2685" s="3">
        <v>42736</v>
      </c>
      <c r="C2685" t="s">
        <v>5</v>
      </c>
      <c r="D2685">
        <v>12.736000000000001</v>
      </c>
    </row>
    <row r="2686" spans="2:4">
      <c r="B2686" s="3">
        <v>42736</v>
      </c>
      <c r="C2686" t="s">
        <v>5</v>
      </c>
      <c r="D2686">
        <v>6.469999999999998</v>
      </c>
    </row>
    <row r="2687" spans="2:4">
      <c r="B2687" s="3">
        <v>42736</v>
      </c>
      <c r="C2687" t="s">
        <v>5</v>
      </c>
      <c r="D2687">
        <v>13.747999999999998</v>
      </c>
    </row>
    <row r="2688" spans="2:4">
      <c r="B2688" s="3">
        <v>42736</v>
      </c>
      <c r="C2688" t="s">
        <v>5</v>
      </c>
      <c r="D2688">
        <v>15.223999999999997</v>
      </c>
    </row>
    <row r="2689" spans="2:4">
      <c r="B2689" s="3">
        <v>42853</v>
      </c>
      <c r="C2689" t="s">
        <v>5</v>
      </c>
      <c r="D2689">
        <v>28.08</v>
      </c>
    </row>
    <row r="2690" spans="2:4">
      <c r="B2690" s="3">
        <v>43047</v>
      </c>
      <c r="C2690" t="s">
        <v>5</v>
      </c>
      <c r="D2690">
        <v>109.9</v>
      </c>
    </row>
    <row r="2691" spans="2:4">
      <c r="B2691" s="3">
        <v>42943</v>
      </c>
      <c r="C2691" t="s">
        <v>3</v>
      </c>
      <c r="D2691">
        <v>23.88</v>
      </c>
    </row>
    <row r="2692" spans="2:4">
      <c r="B2692" s="3">
        <v>42943</v>
      </c>
      <c r="C2692" t="s">
        <v>5</v>
      </c>
      <c r="D2692">
        <v>26.2</v>
      </c>
    </row>
    <row r="2693" spans="2:4">
      <c r="B2693" s="3">
        <v>42943</v>
      </c>
      <c r="C2693" t="s">
        <v>5</v>
      </c>
      <c r="D2693">
        <v>12.96</v>
      </c>
    </row>
    <row r="2694" spans="2:4">
      <c r="B2694" s="3">
        <v>42943</v>
      </c>
      <c r="C2694" t="s">
        <v>4</v>
      </c>
      <c r="D2694">
        <v>234.95000000000002</v>
      </c>
    </row>
    <row r="2695" spans="2:4">
      <c r="B2695" s="3">
        <v>43097</v>
      </c>
      <c r="C2695" t="s">
        <v>5</v>
      </c>
      <c r="D2695">
        <v>118.25</v>
      </c>
    </row>
    <row r="2696" spans="2:4">
      <c r="B2696" s="3">
        <v>43097</v>
      </c>
      <c r="C2696" t="s">
        <v>5</v>
      </c>
      <c r="D2696">
        <v>4.28</v>
      </c>
    </row>
    <row r="2697" spans="2:4">
      <c r="B2697" s="3">
        <v>42783</v>
      </c>
      <c r="C2697" t="s">
        <v>3</v>
      </c>
      <c r="D2697">
        <v>89.066399999999987</v>
      </c>
    </row>
    <row r="2698" spans="2:4">
      <c r="B2698" s="3">
        <v>42783</v>
      </c>
      <c r="C2698" t="s">
        <v>5</v>
      </c>
      <c r="D2698">
        <v>175.44</v>
      </c>
    </row>
    <row r="2699" spans="2:4">
      <c r="B2699" s="3">
        <v>42783</v>
      </c>
      <c r="C2699" t="s">
        <v>4</v>
      </c>
      <c r="D2699">
        <v>438.33600000000001</v>
      </c>
    </row>
    <row r="2700" spans="2:4">
      <c r="B2700" s="3">
        <v>43077</v>
      </c>
      <c r="C2700" t="s">
        <v>3</v>
      </c>
      <c r="D2700">
        <v>215.54400000000001</v>
      </c>
    </row>
    <row r="2701" spans="2:4">
      <c r="B2701" s="3">
        <v>43057</v>
      </c>
      <c r="C2701" t="s">
        <v>5</v>
      </c>
      <c r="D2701">
        <v>55.584000000000003</v>
      </c>
    </row>
    <row r="2702" spans="2:4">
      <c r="B2702" s="3">
        <v>43057</v>
      </c>
      <c r="C2702" t="s">
        <v>3</v>
      </c>
      <c r="D2702">
        <v>127.38599999999998</v>
      </c>
    </row>
    <row r="2703" spans="2:4">
      <c r="B2703" s="3">
        <v>43011</v>
      </c>
      <c r="C2703" t="s">
        <v>5</v>
      </c>
      <c r="D2703">
        <v>20.64</v>
      </c>
    </row>
    <row r="2704" spans="2:4">
      <c r="B2704" s="3">
        <v>42976</v>
      </c>
      <c r="C2704" t="s">
        <v>3</v>
      </c>
      <c r="D2704">
        <v>148.02000000000001</v>
      </c>
    </row>
    <row r="2705" spans="2:4">
      <c r="B2705" s="3">
        <v>43063</v>
      </c>
      <c r="C2705" t="s">
        <v>5</v>
      </c>
      <c r="D2705">
        <v>33.29</v>
      </c>
    </row>
    <row r="2706" spans="2:4">
      <c r="B2706" s="3">
        <v>42916</v>
      </c>
      <c r="C2706" t="s">
        <v>5</v>
      </c>
      <c r="D2706">
        <v>204.95000000000002</v>
      </c>
    </row>
    <row r="2707" spans="2:4">
      <c r="B2707" s="3">
        <v>42938</v>
      </c>
      <c r="C2707" t="s">
        <v>3</v>
      </c>
      <c r="D2707">
        <v>526.34399999999994</v>
      </c>
    </row>
    <row r="2708" spans="2:4">
      <c r="B2708" s="3">
        <v>42985</v>
      </c>
      <c r="C2708" t="s">
        <v>3</v>
      </c>
      <c r="D2708">
        <v>161.56800000000001</v>
      </c>
    </row>
    <row r="2709" spans="2:4">
      <c r="B2709" s="3">
        <v>42973</v>
      </c>
      <c r="C2709" t="s">
        <v>3</v>
      </c>
      <c r="D2709">
        <v>64.959999999999994</v>
      </c>
    </row>
    <row r="2710" spans="2:4">
      <c r="B2710" s="3">
        <v>42895</v>
      </c>
      <c r="C2710" t="s">
        <v>5</v>
      </c>
      <c r="D2710">
        <v>49.12</v>
      </c>
    </row>
    <row r="2711" spans="2:4">
      <c r="B2711" s="3">
        <v>42817</v>
      </c>
      <c r="C2711" t="s">
        <v>5</v>
      </c>
      <c r="D2711">
        <v>32.479999999999997</v>
      </c>
    </row>
    <row r="2712" spans="2:4">
      <c r="B2712" s="3">
        <v>42817</v>
      </c>
      <c r="C2712" t="s">
        <v>5</v>
      </c>
      <c r="D2712">
        <v>20.04</v>
      </c>
    </row>
    <row r="2713" spans="2:4">
      <c r="B2713" s="3">
        <v>42817</v>
      </c>
      <c r="C2713" t="s">
        <v>4</v>
      </c>
      <c r="D2713">
        <v>13999.96</v>
      </c>
    </row>
    <row r="2714" spans="2:4">
      <c r="B2714" s="3">
        <v>42814</v>
      </c>
      <c r="C2714" t="s">
        <v>4</v>
      </c>
      <c r="D2714">
        <v>238</v>
      </c>
    </row>
    <row r="2715" spans="2:4">
      <c r="B2715" s="3">
        <v>42814</v>
      </c>
      <c r="C2715" t="s">
        <v>5</v>
      </c>
      <c r="D2715">
        <v>61.96</v>
      </c>
    </row>
    <row r="2716" spans="2:4">
      <c r="B2716" s="3">
        <v>43095</v>
      </c>
      <c r="C2716" t="s">
        <v>5</v>
      </c>
      <c r="D2716">
        <v>16.032</v>
      </c>
    </row>
    <row r="2717" spans="2:4">
      <c r="B2717" s="3">
        <v>43045</v>
      </c>
      <c r="C2717" t="s">
        <v>3</v>
      </c>
      <c r="D2717">
        <v>2036.8600000000001</v>
      </c>
    </row>
    <row r="2718" spans="2:4">
      <c r="B2718" s="3">
        <v>43045</v>
      </c>
      <c r="C2718" t="s">
        <v>3</v>
      </c>
      <c r="D2718">
        <v>449.56800000000004</v>
      </c>
    </row>
    <row r="2719" spans="2:4">
      <c r="B2719" s="3">
        <v>43045</v>
      </c>
      <c r="C2719" t="s">
        <v>4</v>
      </c>
      <c r="D2719">
        <v>108.96000000000001</v>
      </c>
    </row>
    <row r="2720" spans="2:4">
      <c r="B2720" s="3">
        <v>43091</v>
      </c>
      <c r="C2720" t="s">
        <v>4</v>
      </c>
      <c r="D2720">
        <v>474.95</v>
      </c>
    </row>
    <row r="2721" spans="2:4">
      <c r="B2721" s="3">
        <v>42873</v>
      </c>
      <c r="C2721" t="s">
        <v>3</v>
      </c>
      <c r="D2721">
        <v>22.608000000000001</v>
      </c>
    </row>
    <row r="2722" spans="2:4">
      <c r="B2722" s="3">
        <v>42873</v>
      </c>
      <c r="C2722" t="s">
        <v>3</v>
      </c>
      <c r="D2722">
        <v>1.8920000000000003</v>
      </c>
    </row>
    <row r="2723" spans="2:4">
      <c r="B2723" s="3">
        <v>42939</v>
      </c>
      <c r="C2723" t="s">
        <v>5</v>
      </c>
      <c r="D2723">
        <v>63.311999999999998</v>
      </c>
    </row>
    <row r="2724" spans="2:4">
      <c r="B2724" s="3">
        <v>43056</v>
      </c>
      <c r="C2724" t="s">
        <v>5</v>
      </c>
      <c r="D2724">
        <v>38.880000000000003</v>
      </c>
    </row>
    <row r="2725" spans="2:4">
      <c r="B2725" s="3">
        <v>43056</v>
      </c>
      <c r="C2725" t="s">
        <v>3</v>
      </c>
      <c r="D2725">
        <v>187.76</v>
      </c>
    </row>
    <row r="2726" spans="2:4">
      <c r="B2726" s="3">
        <v>42983</v>
      </c>
      <c r="C2726" t="s">
        <v>4</v>
      </c>
      <c r="D2726">
        <v>89.567999999999998</v>
      </c>
    </row>
    <row r="2727" spans="2:4">
      <c r="B2727" s="3">
        <v>42983</v>
      </c>
      <c r="C2727" t="s">
        <v>5</v>
      </c>
      <c r="D2727">
        <v>71.959999999999994</v>
      </c>
    </row>
    <row r="2728" spans="2:4">
      <c r="B2728" s="3">
        <v>42983</v>
      </c>
      <c r="C2728" t="s">
        <v>5</v>
      </c>
      <c r="D2728">
        <v>15.552000000000003</v>
      </c>
    </row>
    <row r="2729" spans="2:4">
      <c r="B2729" s="3">
        <v>42849</v>
      </c>
      <c r="C2729" t="s">
        <v>5</v>
      </c>
      <c r="D2729">
        <v>10.429999999999996</v>
      </c>
    </row>
    <row r="2730" spans="2:4">
      <c r="B2730" s="3">
        <v>42849</v>
      </c>
      <c r="C2730" t="s">
        <v>5</v>
      </c>
      <c r="D2730">
        <v>72.784000000000006</v>
      </c>
    </row>
    <row r="2731" spans="2:4">
      <c r="B2731" s="3">
        <v>42985</v>
      </c>
      <c r="C2731" t="s">
        <v>5</v>
      </c>
      <c r="D2731">
        <v>81.567999999999998</v>
      </c>
    </row>
    <row r="2732" spans="2:4">
      <c r="B2732" s="3">
        <v>43040</v>
      </c>
      <c r="C2732" t="s">
        <v>5</v>
      </c>
      <c r="D2732">
        <v>189.7</v>
      </c>
    </row>
    <row r="2733" spans="2:4">
      <c r="B2733" s="3">
        <v>43040</v>
      </c>
      <c r="C2733" t="s">
        <v>5</v>
      </c>
      <c r="D2733">
        <v>40.99</v>
      </c>
    </row>
    <row r="2734" spans="2:4">
      <c r="B2734" s="3">
        <v>42856</v>
      </c>
      <c r="C2734" t="s">
        <v>5</v>
      </c>
      <c r="D2734">
        <v>3.3280000000000003</v>
      </c>
    </row>
    <row r="2735" spans="2:4">
      <c r="B2735" s="3">
        <v>42856</v>
      </c>
      <c r="C2735" t="s">
        <v>3</v>
      </c>
      <c r="D2735">
        <v>933.26200000000006</v>
      </c>
    </row>
    <row r="2736" spans="2:4">
      <c r="B2736" s="3">
        <v>42856</v>
      </c>
      <c r="C2736" t="s">
        <v>3</v>
      </c>
      <c r="D2736">
        <v>2803.92</v>
      </c>
    </row>
    <row r="2737" spans="2:4">
      <c r="B2737" s="3">
        <v>43028</v>
      </c>
      <c r="C2737" t="s">
        <v>5</v>
      </c>
      <c r="D2737">
        <v>4.7679999999999998</v>
      </c>
    </row>
    <row r="2738" spans="2:4">
      <c r="B2738" s="3">
        <v>43028</v>
      </c>
      <c r="C2738" t="s">
        <v>5</v>
      </c>
      <c r="D2738">
        <v>6.6720000000000006</v>
      </c>
    </row>
    <row r="2739" spans="2:4">
      <c r="B2739" s="3">
        <v>43028</v>
      </c>
      <c r="C2739" t="s">
        <v>5</v>
      </c>
      <c r="D2739">
        <v>4.4479999999999995</v>
      </c>
    </row>
    <row r="2740" spans="2:4">
      <c r="B2740" s="3">
        <v>43028</v>
      </c>
      <c r="C2740" t="s">
        <v>3</v>
      </c>
      <c r="D2740">
        <v>43.936000000000007</v>
      </c>
    </row>
    <row r="2741" spans="2:4">
      <c r="B2741" s="3">
        <v>42959</v>
      </c>
      <c r="C2741" t="s">
        <v>4</v>
      </c>
      <c r="D2741">
        <v>299.99</v>
      </c>
    </row>
    <row r="2742" spans="2:4">
      <c r="B2742" s="3">
        <v>42959</v>
      </c>
      <c r="C2742" t="s">
        <v>5</v>
      </c>
      <c r="D2742">
        <v>192.16</v>
      </c>
    </row>
    <row r="2743" spans="2:4">
      <c r="B2743" s="3">
        <v>42959</v>
      </c>
      <c r="C2743" t="s">
        <v>4</v>
      </c>
      <c r="D2743">
        <v>242.624</v>
      </c>
    </row>
    <row r="2744" spans="2:4">
      <c r="B2744" s="3">
        <v>42959</v>
      </c>
      <c r="C2744" t="s">
        <v>5</v>
      </c>
      <c r="D2744">
        <v>46.74</v>
      </c>
    </row>
    <row r="2745" spans="2:4">
      <c r="B2745" s="3">
        <v>42959</v>
      </c>
      <c r="C2745" t="s">
        <v>4</v>
      </c>
      <c r="D2745">
        <v>174.95000000000002</v>
      </c>
    </row>
    <row r="2746" spans="2:4">
      <c r="B2746" s="3">
        <v>42959</v>
      </c>
      <c r="C2746" t="s">
        <v>5</v>
      </c>
      <c r="D2746">
        <v>100.70400000000001</v>
      </c>
    </row>
    <row r="2747" spans="2:4">
      <c r="B2747" s="3">
        <v>42765</v>
      </c>
      <c r="C2747" t="s">
        <v>3</v>
      </c>
      <c r="D2747">
        <v>69.375</v>
      </c>
    </row>
    <row r="2748" spans="2:4">
      <c r="B2748" s="3">
        <v>42765</v>
      </c>
      <c r="C2748" t="s">
        <v>5</v>
      </c>
      <c r="D2748">
        <v>31.680000000000003</v>
      </c>
    </row>
    <row r="2749" spans="2:4">
      <c r="B2749" s="3">
        <v>42765</v>
      </c>
      <c r="C2749" t="s">
        <v>4</v>
      </c>
      <c r="D2749">
        <v>2003.1680000000001</v>
      </c>
    </row>
    <row r="2750" spans="2:4">
      <c r="B2750" s="3">
        <v>42765</v>
      </c>
      <c r="C2750" t="s">
        <v>5</v>
      </c>
      <c r="D2750">
        <v>9.3439999999999994</v>
      </c>
    </row>
    <row r="2751" spans="2:4">
      <c r="B2751" s="3">
        <v>42916</v>
      </c>
      <c r="C2751" t="s">
        <v>5</v>
      </c>
      <c r="D2751">
        <v>1085.42</v>
      </c>
    </row>
    <row r="2752" spans="2:4">
      <c r="B2752" s="3">
        <v>42847</v>
      </c>
      <c r="C2752" t="s">
        <v>5</v>
      </c>
      <c r="D2752">
        <v>675.06000000000006</v>
      </c>
    </row>
    <row r="2753" spans="2:4">
      <c r="B2753" s="3">
        <v>42864</v>
      </c>
      <c r="C2753" t="s">
        <v>5</v>
      </c>
      <c r="D2753">
        <v>65.231999999999999</v>
      </c>
    </row>
    <row r="2754" spans="2:4">
      <c r="B2754" s="3">
        <v>42864</v>
      </c>
      <c r="C2754" t="s">
        <v>3</v>
      </c>
      <c r="D2754">
        <v>207</v>
      </c>
    </row>
    <row r="2755" spans="2:4">
      <c r="B2755" s="3">
        <v>43042</v>
      </c>
      <c r="C2755" t="s">
        <v>5</v>
      </c>
      <c r="D2755">
        <v>18.368000000000002</v>
      </c>
    </row>
    <row r="2756" spans="2:4">
      <c r="B2756" s="3">
        <v>42807</v>
      </c>
      <c r="C2756" t="s">
        <v>4</v>
      </c>
      <c r="D2756">
        <v>299.89999999999998</v>
      </c>
    </row>
    <row r="2757" spans="2:4">
      <c r="B2757" s="3">
        <v>42942</v>
      </c>
      <c r="C2757" t="s">
        <v>4</v>
      </c>
      <c r="D2757">
        <v>1649.95</v>
      </c>
    </row>
    <row r="2758" spans="2:4">
      <c r="B2758" s="3">
        <v>42942</v>
      </c>
      <c r="C2758" t="s">
        <v>3</v>
      </c>
      <c r="D2758">
        <v>362.35199999999998</v>
      </c>
    </row>
    <row r="2759" spans="2:4">
      <c r="B2759" s="3">
        <v>43042</v>
      </c>
      <c r="C2759" t="s">
        <v>3</v>
      </c>
      <c r="D2759">
        <v>486.36800000000005</v>
      </c>
    </row>
    <row r="2760" spans="2:4">
      <c r="B2760" s="3">
        <v>42761</v>
      </c>
      <c r="C2760" t="s">
        <v>3</v>
      </c>
      <c r="D2760">
        <v>62.72</v>
      </c>
    </row>
    <row r="2761" spans="2:4">
      <c r="B2761" s="3">
        <v>42761</v>
      </c>
      <c r="C2761" t="s">
        <v>4</v>
      </c>
      <c r="D2761">
        <v>2939.9300000000003</v>
      </c>
    </row>
    <row r="2762" spans="2:4">
      <c r="B2762" s="3">
        <v>42836</v>
      </c>
      <c r="C2762" t="s">
        <v>5</v>
      </c>
      <c r="D2762">
        <v>1.752</v>
      </c>
    </row>
    <row r="2763" spans="2:4">
      <c r="B2763" s="3">
        <v>42836</v>
      </c>
      <c r="C2763" t="s">
        <v>5</v>
      </c>
      <c r="D2763">
        <v>20.992000000000001</v>
      </c>
    </row>
    <row r="2764" spans="2:4">
      <c r="B2764" s="3">
        <v>43052</v>
      </c>
      <c r="C2764" t="s">
        <v>5</v>
      </c>
      <c r="D2764">
        <v>11.21</v>
      </c>
    </row>
    <row r="2765" spans="2:4">
      <c r="B2765" s="3">
        <v>42986</v>
      </c>
      <c r="C2765" t="s">
        <v>5</v>
      </c>
      <c r="D2765">
        <v>61.68</v>
      </c>
    </row>
    <row r="2766" spans="2:4">
      <c r="B2766" s="3">
        <v>42986</v>
      </c>
      <c r="C2766" t="s">
        <v>4</v>
      </c>
      <c r="D2766">
        <v>158.376</v>
      </c>
    </row>
    <row r="2767" spans="2:4">
      <c r="B2767" s="3">
        <v>42937</v>
      </c>
      <c r="C2767" t="s">
        <v>5</v>
      </c>
      <c r="D2767">
        <v>2.8639999999999994</v>
      </c>
    </row>
    <row r="2768" spans="2:4">
      <c r="B2768" s="3">
        <v>42937</v>
      </c>
      <c r="C2768" t="s">
        <v>5</v>
      </c>
      <c r="D2768">
        <v>94.191999999999979</v>
      </c>
    </row>
    <row r="2769" spans="2:4">
      <c r="B2769" s="3">
        <v>43014</v>
      </c>
      <c r="C2769" t="s">
        <v>5</v>
      </c>
      <c r="D2769">
        <v>143.69999999999999</v>
      </c>
    </row>
    <row r="2770" spans="2:4">
      <c r="B2770" s="3">
        <v>43014</v>
      </c>
      <c r="C2770" t="s">
        <v>5</v>
      </c>
      <c r="D2770">
        <v>6.48</v>
      </c>
    </row>
    <row r="2771" spans="2:4">
      <c r="B2771" s="3">
        <v>43046</v>
      </c>
      <c r="C2771" t="s">
        <v>4</v>
      </c>
      <c r="D2771">
        <v>7.88</v>
      </c>
    </row>
    <row r="2772" spans="2:4">
      <c r="B2772" s="3">
        <v>42868</v>
      </c>
      <c r="C2772" t="s">
        <v>5</v>
      </c>
      <c r="D2772">
        <v>299.52</v>
      </c>
    </row>
    <row r="2773" spans="2:4">
      <c r="B2773" s="3">
        <v>42838</v>
      </c>
      <c r="C2773" t="s">
        <v>3</v>
      </c>
      <c r="D2773">
        <v>436.70400000000006</v>
      </c>
    </row>
    <row r="2774" spans="2:4">
      <c r="B2774" s="3">
        <v>42897</v>
      </c>
      <c r="C2774" t="s">
        <v>5</v>
      </c>
      <c r="D2774">
        <v>61.44</v>
      </c>
    </row>
    <row r="2775" spans="2:4">
      <c r="B2775" s="3">
        <v>42858</v>
      </c>
      <c r="C2775" t="s">
        <v>3</v>
      </c>
      <c r="D2775">
        <v>32.448</v>
      </c>
    </row>
    <row r="2776" spans="2:4">
      <c r="B2776" s="3">
        <v>42858</v>
      </c>
      <c r="C2776" t="s">
        <v>5</v>
      </c>
      <c r="D2776">
        <v>26.388000000000002</v>
      </c>
    </row>
    <row r="2777" spans="2:4">
      <c r="B2777" s="3">
        <v>42858</v>
      </c>
      <c r="C2777" t="s">
        <v>3</v>
      </c>
      <c r="D2777">
        <v>373.46999999999991</v>
      </c>
    </row>
    <row r="2778" spans="2:4">
      <c r="B2778" s="3">
        <v>42858</v>
      </c>
      <c r="C2778" t="s">
        <v>5</v>
      </c>
      <c r="D2778">
        <v>64.2</v>
      </c>
    </row>
    <row r="2779" spans="2:4">
      <c r="B2779" s="3">
        <v>42858</v>
      </c>
      <c r="C2779" t="s">
        <v>5</v>
      </c>
      <c r="D2779">
        <v>8</v>
      </c>
    </row>
    <row r="2780" spans="2:4">
      <c r="B2780" s="3">
        <v>42737</v>
      </c>
      <c r="C2780" t="s">
        <v>5</v>
      </c>
      <c r="D2780">
        <v>31.744</v>
      </c>
    </row>
    <row r="2781" spans="2:4">
      <c r="B2781" s="3">
        <v>42737</v>
      </c>
      <c r="C2781" t="s">
        <v>5</v>
      </c>
      <c r="D2781">
        <v>5.4319999999999986</v>
      </c>
    </row>
    <row r="2782" spans="2:4">
      <c r="B2782" s="3">
        <v>42737</v>
      </c>
      <c r="C2782" t="s">
        <v>3</v>
      </c>
      <c r="D2782">
        <v>913.43000000000006</v>
      </c>
    </row>
    <row r="2783" spans="2:4">
      <c r="B2783" s="3">
        <v>42737</v>
      </c>
      <c r="C2783" t="s">
        <v>5</v>
      </c>
      <c r="D2783">
        <v>372.14400000000001</v>
      </c>
    </row>
    <row r="2784" spans="2:4">
      <c r="B2784" s="3">
        <v>42853</v>
      </c>
      <c r="C2784" t="s">
        <v>4</v>
      </c>
      <c r="D2784">
        <v>751.98400000000004</v>
      </c>
    </row>
    <row r="2785" spans="2:4">
      <c r="B2785" s="3">
        <v>42765</v>
      </c>
      <c r="C2785" t="s">
        <v>4</v>
      </c>
      <c r="D2785">
        <v>604.76800000000003</v>
      </c>
    </row>
    <row r="2786" spans="2:4">
      <c r="B2786" s="3">
        <v>42815</v>
      </c>
      <c r="C2786" t="s">
        <v>5</v>
      </c>
      <c r="D2786">
        <v>64.384</v>
      </c>
    </row>
    <row r="2787" spans="2:4">
      <c r="B2787" s="3">
        <v>42982</v>
      </c>
      <c r="C2787" t="s">
        <v>5</v>
      </c>
      <c r="D2787">
        <v>11.808</v>
      </c>
    </row>
    <row r="2788" spans="2:4">
      <c r="B2788" s="3">
        <v>43073</v>
      </c>
      <c r="C2788" t="s">
        <v>5</v>
      </c>
      <c r="D2788">
        <v>11.76</v>
      </c>
    </row>
    <row r="2789" spans="2:4">
      <c r="B2789" s="3">
        <v>43092</v>
      </c>
      <c r="C2789" t="s">
        <v>3</v>
      </c>
      <c r="D2789">
        <v>27.46</v>
      </c>
    </row>
    <row r="2790" spans="2:4">
      <c r="B2790" s="3">
        <v>43041</v>
      </c>
      <c r="C2790" t="s">
        <v>3</v>
      </c>
      <c r="D2790">
        <v>155.37199999999999</v>
      </c>
    </row>
    <row r="2791" spans="2:4">
      <c r="B2791" s="3">
        <v>42924</v>
      </c>
      <c r="C2791" t="s">
        <v>3</v>
      </c>
      <c r="D2791">
        <v>83.92</v>
      </c>
    </row>
    <row r="2792" spans="2:4">
      <c r="B2792" s="3">
        <v>42924</v>
      </c>
      <c r="C2792" t="s">
        <v>4</v>
      </c>
      <c r="D2792">
        <v>141.9</v>
      </c>
    </row>
    <row r="2793" spans="2:4">
      <c r="B2793" s="3">
        <v>42924</v>
      </c>
      <c r="C2793" t="s">
        <v>3</v>
      </c>
      <c r="D2793">
        <v>39.979999999999997</v>
      </c>
    </row>
    <row r="2794" spans="2:4">
      <c r="B2794" s="3">
        <v>42924</v>
      </c>
      <c r="C2794" t="s">
        <v>5</v>
      </c>
      <c r="D2794">
        <v>28.91</v>
      </c>
    </row>
    <row r="2795" spans="2:4">
      <c r="B2795" s="3">
        <v>42924</v>
      </c>
      <c r="C2795" t="s">
        <v>5</v>
      </c>
      <c r="D2795">
        <v>174.95000000000002</v>
      </c>
    </row>
    <row r="2796" spans="2:4">
      <c r="B2796" s="3">
        <v>42804</v>
      </c>
      <c r="C2796" t="s">
        <v>3</v>
      </c>
      <c r="D2796">
        <v>933.40800000000002</v>
      </c>
    </row>
    <row r="2797" spans="2:4">
      <c r="B2797" s="3">
        <v>42831</v>
      </c>
      <c r="C2797" t="s">
        <v>5</v>
      </c>
      <c r="D2797">
        <v>106.32</v>
      </c>
    </row>
    <row r="2798" spans="2:4">
      <c r="B2798" s="3">
        <v>42864</v>
      </c>
      <c r="C2798" t="s">
        <v>5</v>
      </c>
      <c r="D2798">
        <v>147.91999999999999</v>
      </c>
    </row>
    <row r="2799" spans="2:4">
      <c r="B2799" s="3">
        <v>42864</v>
      </c>
      <c r="C2799" t="s">
        <v>5</v>
      </c>
      <c r="D2799">
        <v>104.28</v>
      </c>
    </row>
    <row r="2800" spans="2:4">
      <c r="B2800" s="3">
        <v>42864</v>
      </c>
      <c r="C2800" t="s">
        <v>3</v>
      </c>
      <c r="D2800">
        <v>286.85000000000002</v>
      </c>
    </row>
    <row r="2801" spans="2:4">
      <c r="B2801" s="3">
        <v>42864</v>
      </c>
      <c r="C2801" t="s">
        <v>5</v>
      </c>
      <c r="D2801">
        <v>66.959999999999994</v>
      </c>
    </row>
    <row r="2802" spans="2:4">
      <c r="B2802" s="3">
        <v>42864</v>
      </c>
      <c r="C2802" t="s">
        <v>4</v>
      </c>
      <c r="D2802">
        <v>199.98</v>
      </c>
    </row>
    <row r="2803" spans="2:4">
      <c r="B2803" s="3">
        <v>43020</v>
      </c>
      <c r="C2803" t="s">
        <v>4</v>
      </c>
      <c r="D2803">
        <v>45</v>
      </c>
    </row>
    <row r="2804" spans="2:4">
      <c r="B2804" s="3">
        <v>43020</v>
      </c>
      <c r="C2804" t="s">
        <v>5</v>
      </c>
      <c r="D2804">
        <v>17.899999999999999</v>
      </c>
    </row>
    <row r="2805" spans="2:4">
      <c r="B2805" s="3">
        <v>43020</v>
      </c>
      <c r="C2805" t="s">
        <v>3</v>
      </c>
      <c r="D2805">
        <v>40.479999999999997</v>
      </c>
    </row>
    <row r="2806" spans="2:4">
      <c r="B2806" s="3">
        <v>43020</v>
      </c>
      <c r="C2806" t="s">
        <v>3</v>
      </c>
      <c r="D2806">
        <v>2154.9</v>
      </c>
    </row>
    <row r="2807" spans="2:4">
      <c r="B2807" s="3">
        <v>43062</v>
      </c>
      <c r="C2807" t="s">
        <v>5</v>
      </c>
      <c r="D2807">
        <v>4.3600000000000003</v>
      </c>
    </row>
    <row r="2808" spans="2:4">
      <c r="B2808" s="3">
        <v>43051</v>
      </c>
      <c r="C2808" t="s">
        <v>4</v>
      </c>
      <c r="D2808">
        <v>62.352000000000004</v>
      </c>
    </row>
    <row r="2809" spans="2:4">
      <c r="B2809" s="3">
        <v>43047</v>
      </c>
      <c r="C2809" t="s">
        <v>3</v>
      </c>
      <c r="D2809">
        <v>274.20000000000005</v>
      </c>
    </row>
    <row r="2810" spans="2:4">
      <c r="B2810" s="3">
        <v>42808</v>
      </c>
      <c r="C2810" t="s">
        <v>4</v>
      </c>
      <c r="D2810">
        <v>49.616000000000007</v>
      </c>
    </row>
    <row r="2811" spans="2:4">
      <c r="B2811" s="3">
        <v>42861</v>
      </c>
      <c r="C2811" t="s">
        <v>5</v>
      </c>
      <c r="D2811">
        <v>84.415999999999997</v>
      </c>
    </row>
    <row r="2812" spans="2:4">
      <c r="B2812" s="3">
        <v>43031</v>
      </c>
      <c r="C2812" t="s">
        <v>3</v>
      </c>
      <c r="D2812">
        <v>240.744</v>
      </c>
    </row>
    <row r="2813" spans="2:4">
      <c r="B2813" s="3">
        <v>43031</v>
      </c>
      <c r="C2813" t="s">
        <v>3</v>
      </c>
      <c r="D2813">
        <v>35</v>
      </c>
    </row>
    <row r="2814" spans="2:4">
      <c r="B2814" s="3">
        <v>43031</v>
      </c>
      <c r="C2814" t="s">
        <v>3</v>
      </c>
      <c r="D2814">
        <v>210.68</v>
      </c>
    </row>
    <row r="2815" spans="2:4">
      <c r="B2815" s="3">
        <v>43031</v>
      </c>
      <c r="C2815" t="s">
        <v>3</v>
      </c>
      <c r="D2815">
        <v>637.89599999999996</v>
      </c>
    </row>
    <row r="2816" spans="2:4">
      <c r="B2816" s="3">
        <v>43031</v>
      </c>
      <c r="C2816" t="s">
        <v>5</v>
      </c>
      <c r="D2816">
        <v>43.44</v>
      </c>
    </row>
    <row r="2817" spans="2:4">
      <c r="B2817" s="3">
        <v>43031</v>
      </c>
      <c r="C2817" t="s">
        <v>5</v>
      </c>
      <c r="D2817">
        <v>2.2200000000000002</v>
      </c>
    </row>
    <row r="2818" spans="2:4">
      <c r="B2818" s="3">
        <v>42883</v>
      </c>
      <c r="C2818" t="s">
        <v>3</v>
      </c>
      <c r="D2818">
        <v>106.869</v>
      </c>
    </row>
    <row r="2819" spans="2:4">
      <c r="B2819" s="3">
        <v>42883</v>
      </c>
      <c r="C2819" t="s">
        <v>5</v>
      </c>
      <c r="D2819">
        <v>3.5639999999999992</v>
      </c>
    </row>
    <row r="2820" spans="2:4">
      <c r="B2820" s="3">
        <v>42848</v>
      </c>
      <c r="C2820" t="s">
        <v>3</v>
      </c>
      <c r="D2820">
        <v>387.13600000000002</v>
      </c>
    </row>
    <row r="2821" spans="2:4">
      <c r="B2821" s="3">
        <v>42848</v>
      </c>
      <c r="C2821" t="s">
        <v>4</v>
      </c>
      <c r="D2821">
        <v>45.408000000000001</v>
      </c>
    </row>
    <row r="2822" spans="2:4">
      <c r="B2822" s="3">
        <v>42848</v>
      </c>
      <c r="C2822" t="s">
        <v>3</v>
      </c>
      <c r="D2822">
        <v>77.951999999999998</v>
      </c>
    </row>
    <row r="2823" spans="2:4">
      <c r="B2823" s="3">
        <v>42848</v>
      </c>
      <c r="C2823" t="s">
        <v>5</v>
      </c>
      <c r="D2823">
        <v>3</v>
      </c>
    </row>
    <row r="2824" spans="2:4">
      <c r="B2824" s="3">
        <v>42834</v>
      </c>
      <c r="C2824" t="s">
        <v>5</v>
      </c>
      <c r="D2824">
        <v>37.896000000000001</v>
      </c>
    </row>
    <row r="2825" spans="2:4">
      <c r="B2825" s="3">
        <v>42834</v>
      </c>
      <c r="C2825" t="s">
        <v>5</v>
      </c>
      <c r="D2825">
        <v>65.584000000000003</v>
      </c>
    </row>
    <row r="2826" spans="2:4">
      <c r="B2826" s="3">
        <v>43035</v>
      </c>
      <c r="C2826" t="s">
        <v>5</v>
      </c>
      <c r="D2826">
        <v>44.783999999999999</v>
      </c>
    </row>
    <row r="2827" spans="2:4">
      <c r="B2827" s="3">
        <v>43087</v>
      </c>
      <c r="C2827" t="s">
        <v>5</v>
      </c>
      <c r="D2827">
        <v>5.76</v>
      </c>
    </row>
    <row r="2828" spans="2:4">
      <c r="B2828" s="3">
        <v>42777</v>
      </c>
      <c r="C2828" t="s">
        <v>5</v>
      </c>
      <c r="D2828">
        <v>20.7</v>
      </c>
    </row>
    <row r="2829" spans="2:4">
      <c r="B2829" s="3">
        <v>43002</v>
      </c>
      <c r="C2829" t="s">
        <v>3</v>
      </c>
      <c r="D2829">
        <v>199.8</v>
      </c>
    </row>
    <row r="2830" spans="2:4">
      <c r="B2830" s="3">
        <v>42821</v>
      </c>
      <c r="C2830" t="s">
        <v>5</v>
      </c>
      <c r="D2830">
        <v>45.68</v>
      </c>
    </row>
    <row r="2831" spans="2:4">
      <c r="B2831" s="3">
        <v>42821</v>
      </c>
      <c r="C2831" t="s">
        <v>5</v>
      </c>
      <c r="D2831">
        <v>110.96</v>
      </c>
    </row>
    <row r="2832" spans="2:4">
      <c r="B2832" s="3">
        <v>42821</v>
      </c>
      <c r="C2832" t="s">
        <v>5</v>
      </c>
      <c r="D2832">
        <v>11.94</v>
      </c>
    </row>
    <row r="2833" spans="2:4">
      <c r="B2833" s="3">
        <v>42923</v>
      </c>
      <c r="C2833" t="s">
        <v>5</v>
      </c>
      <c r="D2833">
        <v>5.9399999999999995</v>
      </c>
    </row>
    <row r="2834" spans="2:4">
      <c r="B2834" s="3">
        <v>42891</v>
      </c>
      <c r="C2834" t="s">
        <v>5</v>
      </c>
      <c r="D2834">
        <v>20.736000000000004</v>
      </c>
    </row>
    <row r="2835" spans="2:4">
      <c r="B2835" s="3">
        <v>42890</v>
      </c>
      <c r="C2835" t="s">
        <v>3</v>
      </c>
      <c r="D2835">
        <v>30.336000000000006</v>
      </c>
    </row>
    <row r="2836" spans="2:4">
      <c r="B2836" s="3">
        <v>43073</v>
      </c>
      <c r="C2836" t="s">
        <v>3</v>
      </c>
      <c r="D2836">
        <v>12.99</v>
      </c>
    </row>
    <row r="2837" spans="2:4">
      <c r="B2837" s="3">
        <v>43073</v>
      </c>
      <c r="C2837" t="s">
        <v>3</v>
      </c>
      <c r="D2837">
        <v>182.22</v>
      </c>
    </row>
    <row r="2838" spans="2:4">
      <c r="B2838" s="3">
        <v>43073</v>
      </c>
      <c r="C2838" t="s">
        <v>3</v>
      </c>
      <c r="D2838">
        <v>302.94</v>
      </c>
    </row>
    <row r="2839" spans="2:4">
      <c r="B2839" s="3">
        <v>42999</v>
      </c>
      <c r="C2839" t="s">
        <v>5</v>
      </c>
      <c r="D2839">
        <v>55.86</v>
      </c>
    </row>
    <row r="2840" spans="2:4">
      <c r="B2840" s="3">
        <v>42810</v>
      </c>
      <c r="C2840" t="s">
        <v>4</v>
      </c>
      <c r="D2840">
        <v>44.375999999999998</v>
      </c>
    </row>
    <row r="2841" spans="2:4">
      <c r="B2841" s="3">
        <v>42810</v>
      </c>
      <c r="C2841" t="s">
        <v>3</v>
      </c>
      <c r="D2841">
        <v>51.264000000000003</v>
      </c>
    </row>
    <row r="2842" spans="2:4">
      <c r="B2842" s="3">
        <v>42810</v>
      </c>
      <c r="C2842" t="s">
        <v>5</v>
      </c>
      <c r="D2842">
        <v>5.1930000000000005</v>
      </c>
    </row>
    <row r="2843" spans="2:4">
      <c r="B2843" s="3">
        <v>42810</v>
      </c>
      <c r="C2843" t="s">
        <v>4</v>
      </c>
      <c r="D2843">
        <v>159.98400000000001</v>
      </c>
    </row>
    <row r="2844" spans="2:4">
      <c r="B2844" s="3">
        <v>42810</v>
      </c>
      <c r="C2844" t="s">
        <v>5</v>
      </c>
      <c r="D2844">
        <v>54.224000000000004</v>
      </c>
    </row>
    <row r="2845" spans="2:4">
      <c r="B2845" s="3">
        <v>43049</v>
      </c>
      <c r="C2845" t="s">
        <v>3</v>
      </c>
      <c r="D2845">
        <v>241.42399999999998</v>
      </c>
    </row>
    <row r="2846" spans="2:4">
      <c r="B2846" s="3">
        <v>42803</v>
      </c>
      <c r="C2846" t="s">
        <v>4</v>
      </c>
      <c r="D2846">
        <v>479.98400000000004</v>
      </c>
    </row>
    <row r="2847" spans="2:4">
      <c r="B2847" s="3">
        <v>42803</v>
      </c>
      <c r="C2847" t="s">
        <v>5</v>
      </c>
      <c r="D2847">
        <v>30.84</v>
      </c>
    </row>
    <row r="2848" spans="2:4">
      <c r="B2848" s="3">
        <v>43052</v>
      </c>
      <c r="C2848" t="s">
        <v>4</v>
      </c>
      <c r="D2848">
        <v>239.92</v>
      </c>
    </row>
    <row r="2849" spans="2:4">
      <c r="B2849" s="3">
        <v>42855</v>
      </c>
      <c r="C2849" t="s">
        <v>5</v>
      </c>
      <c r="D2849">
        <v>4.8420000000000005</v>
      </c>
    </row>
    <row r="2850" spans="2:4">
      <c r="B2850" s="3">
        <v>42855</v>
      </c>
      <c r="C2850" t="s">
        <v>3</v>
      </c>
      <c r="D2850">
        <v>220.70400000000001</v>
      </c>
    </row>
    <row r="2851" spans="2:4">
      <c r="B2851" s="3">
        <v>42974</v>
      </c>
      <c r="C2851" t="s">
        <v>5</v>
      </c>
      <c r="D2851">
        <v>14.336000000000002</v>
      </c>
    </row>
    <row r="2852" spans="2:4">
      <c r="B2852" s="3">
        <v>42919</v>
      </c>
      <c r="C2852" t="s">
        <v>3</v>
      </c>
      <c r="D2852">
        <v>102.3</v>
      </c>
    </row>
    <row r="2853" spans="2:4">
      <c r="B2853" s="3">
        <v>43091</v>
      </c>
      <c r="C2853" t="s">
        <v>3</v>
      </c>
      <c r="D2853">
        <v>607.52</v>
      </c>
    </row>
    <row r="2854" spans="2:4">
      <c r="B2854" s="3">
        <v>43091</v>
      </c>
      <c r="C2854" t="s">
        <v>5</v>
      </c>
      <c r="D2854">
        <v>31.16</v>
      </c>
    </row>
    <row r="2855" spans="2:4">
      <c r="B2855" s="3">
        <v>43078</v>
      </c>
      <c r="C2855" t="s">
        <v>5</v>
      </c>
      <c r="D2855">
        <v>11.088000000000003</v>
      </c>
    </row>
    <row r="2856" spans="2:4">
      <c r="B2856" s="3">
        <v>42927</v>
      </c>
      <c r="C2856" t="s">
        <v>4</v>
      </c>
      <c r="D2856">
        <v>1287.45</v>
      </c>
    </row>
    <row r="2857" spans="2:4">
      <c r="B2857" s="3">
        <v>42927</v>
      </c>
      <c r="C2857" t="s">
        <v>5</v>
      </c>
      <c r="D2857">
        <v>168.1</v>
      </c>
    </row>
    <row r="2858" spans="2:4">
      <c r="B2858" s="3">
        <v>42764</v>
      </c>
      <c r="C2858" t="s">
        <v>5</v>
      </c>
      <c r="D2858">
        <v>4.7679999999999998</v>
      </c>
    </row>
    <row r="2859" spans="2:4">
      <c r="B2859" s="3">
        <v>43007</v>
      </c>
      <c r="C2859" t="s">
        <v>5</v>
      </c>
      <c r="D2859">
        <v>7.98</v>
      </c>
    </row>
    <row r="2860" spans="2:4">
      <c r="B2860" s="3">
        <v>42848</v>
      </c>
      <c r="C2860" t="s">
        <v>5</v>
      </c>
      <c r="D2860">
        <v>18.687999999999999</v>
      </c>
    </row>
    <row r="2861" spans="2:4">
      <c r="B2861" s="3">
        <v>42848</v>
      </c>
      <c r="C2861" t="s">
        <v>3</v>
      </c>
      <c r="D2861">
        <v>11.664000000000001</v>
      </c>
    </row>
    <row r="2862" spans="2:4">
      <c r="B2862" s="3">
        <v>43048</v>
      </c>
      <c r="C2862" t="s">
        <v>4</v>
      </c>
      <c r="D2862">
        <v>191.976</v>
      </c>
    </row>
    <row r="2863" spans="2:4">
      <c r="B2863" s="3">
        <v>43048</v>
      </c>
      <c r="C2863" t="s">
        <v>4</v>
      </c>
      <c r="D2863">
        <v>499.16800000000006</v>
      </c>
    </row>
    <row r="2864" spans="2:4">
      <c r="B2864" s="3">
        <v>42965</v>
      </c>
      <c r="C2864" t="s">
        <v>4</v>
      </c>
      <c r="D2864">
        <v>23.18</v>
      </c>
    </row>
    <row r="2865" spans="2:4">
      <c r="B2865" s="3">
        <v>43052</v>
      </c>
      <c r="C2865" t="s">
        <v>4</v>
      </c>
      <c r="D2865">
        <v>82.95</v>
      </c>
    </row>
    <row r="2866" spans="2:4">
      <c r="B2866" s="3">
        <v>42797</v>
      </c>
      <c r="C2866" t="s">
        <v>3</v>
      </c>
      <c r="D2866">
        <v>399.67200000000003</v>
      </c>
    </row>
    <row r="2867" spans="2:4">
      <c r="B2867" s="3">
        <v>42986</v>
      </c>
      <c r="C2867" t="s">
        <v>5</v>
      </c>
      <c r="D2867">
        <v>65.12</v>
      </c>
    </row>
    <row r="2868" spans="2:4">
      <c r="B2868" s="3">
        <v>43045</v>
      </c>
      <c r="C2868" t="s">
        <v>3</v>
      </c>
      <c r="D2868">
        <v>30.560000000000002</v>
      </c>
    </row>
    <row r="2869" spans="2:4">
      <c r="B2869" s="3">
        <v>42868</v>
      </c>
      <c r="C2869" t="s">
        <v>5</v>
      </c>
      <c r="D2869">
        <v>20.768000000000001</v>
      </c>
    </row>
    <row r="2870" spans="2:4">
      <c r="B2870" s="3">
        <v>42972</v>
      </c>
      <c r="C2870" t="s">
        <v>3</v>
      </c>
      <c r="D2870">
        <v>130.97999999999999</v>
      </c>
    </row>
    <row r="2871" spans="2:4">
      <c r="B2871" s="3">
        <v>42852</v>
      </c>
      <c r="C2871" t="s">
        <v>3</v>
      </c>
      <c r="D2871">
        <v>139.58000000000001</v>
      </c>
    </row>
    <row r="2872" spans="2:4">
      <c r="B2872" s="3">
        <v>42939</v>
      </c>
      <c r="C2872" t="s">
        <v>4</v>
      </c>
      <c r="D2872">
        <v>399.95</v>
      </c>
    </row>
    <row r="2873" spans="2:4">
      <c r="B2873" s="3">
        <v>42747</v>
      </c>
      <c r="C2873" t="s">
        <v>5</v>
      </c>
      <c r="D2873">
        <v>760.97999999999979</v>
      </c>
    </row>
    <row r="2874" spans="2:4">
      <c r="B2874" s="3">
        <v>43071</v>
      </c>
      <c r="C2874" t="s">
        <v>5</v>
      </c>
      <c r="D2874">
        <v>67.860000000000014</v>
      </c>
    </row>
    <row r="2875" spans="2:4">
      <c r="B2875" s="3">
        <v>43064</v>
      </c>
      <c r="C2875" t="s">
        <v>3</v>
      </c>
      <c r="D2875">
        <v>723.92</v>
      </c>
    </row>
    <row r="2876" spans="2:4">
      <c r="B2876" s="3">
        <v>42824</v>
      </c>
      <c r="C2876" t="s">
        <v>3</v>
      </c>
      <c r="D2876">
        <v>94.2</v>
      </c>
    </row>
    <row r="2877" spans="2:4">
      <c r="B2877" s="3">
        <v>42782</v>
      </c>
      <c r="C2877" t="s">
        <v>5</v>
      </c>
      <c r="D2877">
        <v>18.368000000000002</v>
      </c>
    </row>
    <row r="2878" spans="2:4">
      <c r="B2878" s="3">
        <v>42782</v>
      </c>
      <c r="C2878" t="s">
        <v>3</v>
      </c>
      <c r="D2878">
        <v>600.55799999999999</v>
      </c>
    </row>
    <row r="2879" spans="2:4">
      <c r="B2879" s="3">
        <v>42782</v>
      </c>
      <c r="C2879" t="s">
        <v>5</v>
      </c>
      <c r="D2879">
        <v>50.352000000000004</v>
      </c>
    </row>
    <row r="2880" spans="2:4">
      <c r="B2880" s="3">
        <v>42782</v>
      </c>
      <c r="C2880" t="s">
        <v>5</v>
      </c>
      <c r="D2880">
        <v>28.031999999999996</v>
      </c>
    </row>
    <row r="2881" spans="2:4">
      <c r="B2881" s="3">
        <v>42782</v>
      </c>
      <c r="C2881" t="s">
        <v>3</v>
      </c>
      <c r="D2881">
        <v>7.6920000000000002</v>
      </c>
    </row>
    <row r="2882" spans="2:4">
      <c r="B2882" s="3">
        <v>43032</v>
      </c>
      <c r="C2882" t="s">
        <v>3</v>
      </c>
      <c r="D2882">
        <v>517.40500000000009</v>
      </c>
    </row>
    <row r="2883" spans="2:4">
      <c r="B2883" s="3">
        <v>43064</v>
      </c>
      <c r="C2883" t="s">
        <v>5</v>
      </c>
      <c r="D2883">
        <v>5.16</v>
      </c>
    </row>
    <row r="2884" spans="2:4">
      <c r="B2884" s="3">
        <v>43053</v>
      </c>
      <c r="C2884" t="s">
        <v>5</v>
      </c>
      <c r="D2884">
        <v>96.359999999999985</v>
      </c>
    </row>
    <row r="2885" spans="2:4">
      <c r="B2885" s="3">
        <v>42993</v>
      </c>
      <c r="C2885" t="s">
        <v>3</v>
      </c>
      <c r="D2885">
        <v>300.904</v>
      </c>
    </row>
    <row r="2886" spans="2:4">
      <c r="B2886" s="3">
        <v>42901</v>
      </c>
      <c r="C2886" t="s">
        <v>4</v>
      </c>
      <c r="D2886">
        <v>239.976</v>
      </c>
    </row>
    <row r="2887" spans="2:4">
      <c r="B2887" s="3">
        <v>42901</v>
      </c>
      <c r="C2887" t="s">
        <v>3</v>
      </c>
      <c r="D2887">
        <v>31.168000000000003</v>
      </c>
    </row>
    <row r="2888" spans="2:4">
      <c r="B2888" s="3">
        <v>42901</v>
      </c>
      <c r="C2888" t="s">
        <v>3</v>
      </c>
      <c r="D2888">
        <v>120.96</v>
      </c>
    </row>
    <row r="2889" spans="2:4">
      <c r="B2889" s="3">
        <v>42901</v>
      </c>
      <c r="C2889" t="s">
        <v>4</v>
      </c>
      <c r="D2889">
        <v>2239.9360000000001</v>
      </c>
    </row>
    <row r="2890" spans="2:4">
      <c r="B2890" s="3">
        <v>42901</v>
      </c>
      <c r="C2890" t="s">
        <v>5</v>
      </c>
      <c r="D2890">
        <v>76.608000000000004</v>
      </c>
    </row>
    <row r="2891" spans="2:4">
      <c r="B2891" s="3">
        <v>42901</v>
      </c>
      <c r="C2891" t="s">
        <v>5</v>
      </c>
      <c r="D2891">
        <v>142.77600000000001</v>
      </c>
    </row>
    <row r="2892" spans="2:4">
      <c r="B2892" s="3">
        <v>42901</v>
      </c>
      <c r="C2892" t="s">
        <v>5</v>
      </c>
      <c r="D2892">
        <v>91.360000000000014</v>
      </c>
    </row>
    <row r="2893" spans="2:4">
      <c r="B2893" s="3">
        <v>42927</v>
      </c>
      <c r="C2893" t="s">
        <v>4</v>
      </c>
      <c r="D2893">
        <v>71.951999999999998</v>
      </c>
    </row>
    <row r="2894" spans="2:4">
      <c r="B2894" s="3">
        <v>42927</v>
      </c>
      <c r="C2894" t="s">
        <v>5</v>
      </c>
      <c r="D2894">
        <v>29.800000000000004</v>
      </c>
    </row>
    <row r="2895" spans="2:4">
      <c r="B2895" s="3">
        <v>43055</v>
      </c>
      <c r="C2895" t="s">
        <v>5</v>
      </c>
      <c r="D2895">
        <v>1.8240000000000003</v>
      </c>
    </row>
    <row r="2896" spans="2:4">
      <c r="B2896" s="3">
        <v>42812</v>
      </c>
      <c r="C2896" t="s">
        <v>5</v>
      </c>
      <c r="D2896">
        <v>46.2</v>
      </c>
    </row>
    <row r="2897" spans="2:4">
      <c r="B2897" s="3">
        <v>42913</v>
      </c>
      <c r="C2897" t="s">
        <v>5</v>
      </c>
      <c r="D2897">
        <v>19.440000000000001</v>
      </c>
    </row>
    <row r="2898" spans="2:4">
      <c r="B2898" s="3">
        <v>42913</v>
      </c>
      <c r="C2898" t="s">
        <v>3</v>
      </c>
      <c r="D2898">
        <v>126.30000000000001</v>
      </c>
    </row>
    <row r="2899" spans="2:4">
      <c r="B2899" s="3">
        <v>42913</v>
      </c>
      <c r="C2899" t="s">
        <v>4</v>
      </c>
      <c r="D2899">
        <v>1287.45</v>
      </c>
    </row>
    <row r="2900" spans="2:4">
      <c r="B2900" s="3">
        <v>42831</v>
      </c>
      <c r="C2900" t="s">
        <v>5</v>
      </c>
      <c r="D2900">
        <v>8.1000000000000014</v>
      </c>
    </row>
    <row r="2901" spans="2:4">
      <c r="B2901" s="3">
        <v>43077</v>
      </c>
      <c r="C2901" t="s">
        <v>5</v>
      </c>
      <c r="D2901">
        <v>13.247999999999999</v>
      </c>
    </row>
    <row r="2902" spans="2:4">
      <c r="B2902" s="3">
        <v>43077</v>
      </c>
      <c r="C2902" t="s">
        <v>4</v>
      </c>
      <c r="D2902">
        <v>83.987999999999985</v>
      </c>
    </row>
    <row r="2903" spans="2:4">
      <c r="B2903" s="3">
        <v>42768</v>
      </c>
      <c r="C2903" t="s">
        <v>3</v>
      </c>
      <c r="D2903">
        <v>210.58</v>
      </c>
    </row>
    <row r="2904" spans="2:4">
      <c r="B2904" s="3">
        <v>42768</v>
      </c>
      <c r="C2904" t="s">
        <v>5</v>
      </c>
      <c r="D2904">
        <v>30.960000000000004</v>
      </c>
    </row>
    <row r="2905" spans="2:4">
      <c r="B2905" s="3">
        <v>42768</v>
      </c>
      <c r="C2905" t="s">
        <v>4</v>
      </c>
      <c r="D2905">
        <v>239.98400000000004</v>
      </c>
    </row>
    <row r="2906" spans="2:4">
      <c r="B2906" s="3">
        <v>42987</v>
      </c>
      <c r="C2906" t="s">
        <v>5</v>
      </c>
      <c r="D2906">
        <v>17.712</v>
      </c>
    </row>
    <row r="2907" spans="2:4">
      <c r="B2907" s="3">
        <v>42987</v>
      </c>
      <c r="C2907" t="s">
        <v>5</v>
      </c>
      <c r="D2907">
        <v>4.8600000000000012</v>
      </c>
    </row>
    <row r="2908" spans="2:4">
      <c r="B2908" s="3">
        <v>42987</v>
      </c>
      <c r="C2908" t="s">
        <v>5</v>
      </c>
      <c r="D2908">
        <v>6.2580000000000009</v>
      </c>
    </row>
    <row r="2909" spans="2:4">
      <c r="B2909" s="3">
        <v>42992</v>
      </c>
      <c r="C2909" t="s">
        <v>5</v>
      </c>
      <c r="D2909">
        <v>942.78400000000011</v>
      </c>
    </row>
    <row r="2910" spans="2:4">
      <c r="B2910" s="3">
        <v>42992</v>
      </c>
      <c r="C2910" t="s">
        <v>5</v>
      </c>
      <c r="D2910">
        <v>74.352000000000004</v>
      </c>
    </row>
    <row r="2911" spans="2:4">
      <c r="B2911" s="3">
        <v>43082</v>
      </c>
      <c r="C2911" t="s">
        <v>3</v>
      </c>
      <c r="D2911">
        <v>287.976</v>
      </c>
    </row>
    <row r="2912" spans="2:4">
      <c r="B2912" s="3">
        <v>42811</v>
      </c>
      <c r="C2912" t="s">
        <v>5</v>
      </c>
      <c r="D2912">
        <v>4.6079999999999997</v>
      </c>
    </row>
    <row r="2913" spans="2:4">
      <c r="B2913" s="3">
        <v>42883</v>
      </c>
      <c r="C2913" t="s">
        <v>4</v>
      </c>
      <c r="D2913">
        <v>195.96000000000004</v>
      </c>
    </row>
    <row r="2914" spans="2:4">
      <c r="B2914" s="3">
        <v>42883</v>
      </c>
      <c r="C2914" t="s">
        <v>5</v>
      </c>
      <c r="D2914">
        <v>15.552000000000003</v>
      </c>
    </row>
    <row r="2915" spans="2:4">
      <c r="B2915" s="3">
        <v>42883</v>
      </c>
      <c r="C2915" t="s">
        <v>4</v>
      </c>
      <c r="D2915">
        <v>271.96800000000002</v>
      </c>
    </row>
    <row r="2916" spans="2:4">
      <c r="B2916" s="3">
        <v>42901</v>
      </c>
      <c r="C2916" t="s">
        <v>3</v>
      </c>
      <c r="D2916">
        <v>698.35200000000009</v>
      </c>
    </row>
    <row r="2917" spans="2:4">
      <c r="B2917" s="3">
        <v>42901</v>
      </c>
      <c r="C2917" t="s">
        <v>3</v>
      </c>
      <c r="D2917">
        <v>77.728000000000009</v>
      </c>
    </row>
    <row r="2918" spans="2:4">
      <c r="B2918" s="3">
        <v>42812</v>
      </c>
      <c r="C2918" t="s">
        <v>4</v>
      </c>
      <c r="D2918">
        <v>537.54399999999998</v>
      </c>
    </row>
    <row r="2919" spans="2:4">
      <c r="B2919" s="3">
        <v>43062</v>
      </c>
      <c r="C2919" t="s">
        <v>5</v>
      </c>
      <c r="D2919">
        <v>10.688000000000001</v>
      </c>
    </row>
    <row r="2920" spans="2:4">
      <c r="B2920" s="3">
        <v>42966</v>
      </c>
      <c r="C2920" t="s">
        <v>5</v>
      </c>
      <c r="D2920">
        <v>102.72</v>
      </c>
    </row>
    <row r="2921" spans="2:4">
      <c r="B2921" s="3">
        <v>43034</v>
      </c>
      <c r="C2921" t="s">
        <v>5</v>
      </c>
      <c r="D2921">
        <v>33.282000000000004</v>
      </c>
    </row>
    <row r="2922" spans="2:4">
      <c r="B2922" s="3">
        <v>43034</v>
      </c>
      <c r="C2922" t="s">
        <v>4</v>
      </c>
      <c r="D2922">
        <v>118.64999999999998</v>
      </c>
    </row>
    <row r="2923" spans="2:4">
      <c r="B2923" s="3">
        <v>43034</v>
      </c>
      <c r="C2923" t="s">
        <v>5</v>
      </c>
      <c r="D2923">
        <v>14.76</v>
      </c>
    </row>
    <row r="2924" spans="2:4">
      <c r="B2924" s="3">
        <v>42885</v>
      </c>
      <c r="C2924" t="s">
        <v>5</v>
      </c>
      <c r="D2924">
        <v>37.520000000000003</v>
      </c>
    </row>
    <row r="2925" spans="2:4">
      <c r="B2925" s="3">
        <v>43042</v>
      </c>
      <c r="C2925" t="s">
        <v>4</v>
      </c>
      <c r="D2925">
        <v>959.98400000000004</v>
      </c>
    </row>
    <row r="2926" spans="2:4">
      <c r="B2926" s="3">
        <v>43042</v>
      </c>
      <c r="C2926" t="s">
        <v>5</v>
      </c>
      <c r="D2926">
        <v>4.0860000000000003</v>
      </c>
    </row>
    <row r="2927" spans="2:4">
      <c r="B2927" s="3">
        <v>43042</v>
      </c>
      <c r="C2927" t="s">
        <v>5</v>
      </c>
      <c r="D2927">
        <v>55.984000000000009</v>
      </c>
    </row>
    <row r="2928" spans="2:4">
      <c r="B2928" s="3">
        <v>43042</v>
      </c>
      <c r="C2928" t="s">
        <v>5</v>
      </c>
      <c r="D2928">
        <v>10.688000000000001</v>
      </c>
    </row>
    <row r="2929" spans="2:4">
      <c r="B2929" s="3">
        <v>42815</v>
      </c>
      <c r="C2929" t="s">
        <v>5</v>
      </c>
      <c r="D2929">
        <v>8.8559999999999999</v>
      </c>
    </row>
    <row r="2930" spans="2:4">
      <c r="B2930" s="3">
        <v>43002</v>
      </c>
      <c r="C2930" t="s">
        <v>5</v>
      </c>
      <c r="D2930">
        <v>15.51</v>
      </c>
    </row>
    <row r="2931" spans="2:4">
      <c r="B2931" s="3">
        <v>43002</v>
      </c>
      <c r="C2931" t="s">
        <v>4</v>
      </c>
      <c r="D2931">
        <v>89.9</v>
      </c>
    </row>
    <row r="2932" spans="2:4">
      <c r="B2932" s="3">
        <v>43002</v>
      </c>
      <c r="C2932" t="s">
        <v>5</v>
      </c>
      <c r="D2932">
        <v>14.28</v>
      </c>
    </row>
    <row r="2933" spans="2:4">
      <c r="B2933" s="3">
        <v>43002</v>
      </c>
      <c r="C2933" t="s">
        <v>5</v>
      </c>
      <c r="D2933">
        <v>12.72</v>
      </c>
    </row>
    <row r="2934" spans="2:4">
      <c r="B2934" s="3">
        <v>43002</v>
      </c>
      <c r="C2934" t="s">
        <v>5</v>
      </c>
      <c r="D2934">
        <v>15.75</v>
      </c>
    </row>
    <row r="2935" spans="2:4">
      <c r="B2935" s="3">
        <v>43087</v>
      </c>
      <c r="C2935" t="s">
        <v>5</v>
      </c>
      <c r="D2935">
        <v>7.2359999999999998</v>
      </c>
    </row>
    <row r="2936" spans="2:4">
      <c r="B2936" s="3">
        <v>43087</v>
      </c>
      <c r="C2936" t="s">
        <v>5</v>
      </c>
      <c r="D2936">
        <v>4.8239999999999998</v>
      </c>
    </row>
    <row r="2937" spans="2:4">
      <c r="B2937" s="3">
        <v>43087</v>
      </c>
      <c r="C2937" t="s">
        <v>5</v>
      </c>
      <c r="D2937">
        <v>91.360000000000014</v>
      </c>
    </row>
    <row r="2938" spans="2:4">
      <c r="B2938" s="3">
        <v>43087</v>
      </c>
      <c r="C2938" t="s">
        <v>5</v>
      </c>
      <c r="D2938">
        <v>130.11199999999999</v>
      </c>
    </row>
    <row r="2939" spans="2:4">
      <c r="B2939" s="3">
        <v>43093</v>
      </c>
      <c r="C2939" t="s">
        <v>5</v>
      </c>
      <c r="D2939">
        <v>21.312000000000005</v>
      </c>
    </row>
    <row r="2940" spans="2:4">
      <c r="B2940" s="3">
        <v>43021</v>
      </c>
      <c r="C2940" t="s">
        <v>4</v>
      </c>
      <c r="D2940">
        <v>209.94</v>
      </c>
    </row>
    <row r="2941" spans="2:4">
      <c r="B2941" s="3">
        <v>43021</v>
      </c>
      <c r="C2941" t="s">
        <v>4</v>
      </c>
      <c r="D2941">
        <v>31.983999999999998</v>
      </c>
    </row>
    <row r="2942" spans="2:4">
      <c r="B2942" s="3">
        <v>43021</v>
      </c>
      <c r="C2942" t="s">
        <v>5</v>
      </c>
      <c r="D2942">
        <v>5083.96</v>
      </c>
    </row>
    <row r="2943" spans="2:4">
      <c r="B2943" s="3">
        <v>42967</v>
      </c>
      <c r="C2943" t="s">
        <v>4</v>
      </c>
      <c r="D2943">
        <v>35.96</v>
      </c>
    </row>
    <row r="2944" spans="2:4">
      <c r="B2944" s="3">
        <v>43070</v>
      </c>
      <c r="C2944" t="s">
        <v>5</v>
      </c>
      <c r="D2944">
        <v>15.920000000000002</v>
      </c>
    </row>
    <row r="2945" spans="2:4">
      <c r="B2945" s="3">
        <v>43070</v>
      </c>
      <c r="C2945" t="s">
        <v>3</v>
      </c>
      <c r="D2945">
        <v>70.679999999999993</v>
      </c>
    </row>
    <row r="2946" spans="2:4">
      <c r="B2946" s="3">
        <v>43070</v>
      </c>
      <c r="C2946" t="s">
        <v>5</v>
      </c>
      <c r="D2946">
        <v>541.24</v>
      </c>
    </row>
    <row r="2947" spans="2:4">
      <c r="B2947" s="3">
        <v>43053</v>
      </c>
      <c r="C2947" t="s">
        <v>5</v>
      </c>
      <c r="D2947">
        <v>21.989999999999995</v>
      </c>
    </row>
    <row r="2948" spans="2:4">
      <c r="B2948" s="3">
        <v>42995</v>
      </c>
      <c r="C2948" t="s">
        <v>4</v>
      </c>
      <c r="D2948">
        <v>480</v>
      </c>
    </row>
    <row r="2949" spans="2:4">
      <c r="B2949" s="3">
        <v>42995</v>
      </c>
      <c r="C2949" t="s">
        <v>5</v>
      </c>
      <c r="D2949">
        <v>34.049999999999997</v>
      </c>
    </row>
    <row r="2950" spans="2:4">
      <c r="B2950" s="3">
        <v>43028</v>
      </c>
      <c r="C2950" t="s">
        <v>4</v>
      </c>
      <c r="D2950">
        <v>15.984000000000002</v>
      </c>
    </row>
    <row r="2951" spans="2:4">
      <c r="B2951" s="3">
        <v>43028</v>
      </c>
      <c r="C2951" t="s">
        <v>5</v>
      </c>
      <c r="D2951">
        <v>14.352000000000002</v>
      </c>
    </row>
    <row r="2952" spans="2:4">
      <c r="B2952" s="3">
        <v>43070</v>
      </c>
      <c r="C2952" t="s">
        <v>3</v>
      </c>
      <c r="D2952">
        <v>629.64</v>
      </c>
    </row>
    <row r="2953" spans="2:4">
      <c r="B2953" s="3">
        <v>43036</v>
      </c>
      <c r="C2953" t="s">
        <v>5</v>
      </c>
      <c r="D2953">
        <v>21.93</v>
      </c>
    </row>
    <row r="2954" spans="2:4">
      <c r="B2954" s="3">
        <v>43043</v>
      </c>
      <c r="C2954" t="s">
        <v>4</v>
      </c>
      <c r="D2954">
        <v>95.976000000000013</v>
      </c>
    </row>
    <row r="2955" spans="2:4">
      <c r="B2955" s="3">
        <v>43043</v>
      </c>
      <c r="C2955" t="s">
        <v>4</v>
      </c>
      <c r="D2955">
        <v>143.928</v>
      </c>
    </row>
    <row r="2956" spans="2:4">
      <c r="B2956" s="3">
        <v>43043</v>
      </c>
      <c r="C2956" t="s">
        <v>5</v>
      </c>
      <c r="D2956">
        <v>3.5640000000000009</v>
      </c>
    </row>
    <row r="2957" spans="2:4">
      <c r="B2957" s="3">
        <v>43043</v>
      </c>
      <c r="C2957" t="s">
        <v>5</v>
      </c>
      <c r="D2957">
        <v>4.9280000000000008</v>
      </c>
    </row>
    <row r="2958" spans="2:4">
      <c r="B2958" s="3">
        <v>42897</v>
      </c>
      <c r="C2958" t="s">
        <v>5</v>
      </c>
      <c r="D2958">
        <v>4.572000000000001</v>
      </c>
    </row>
    <row r="2959" spans="2:4">
      <c r="B2959" s="3">
        <v>43087</v>
      </c>
      <c r="C2959" t="s">
        <v>3</v>
      </c>
      <c r="D2959">
        <v>99.949999999999989</v>
      </c>
    </row>
    <row r="2960" spans="2:4">
      <c r="B2960" s="3">
        <v>43087</v>
      </c>
      <c r="C2960" t="s">
        <v>4</v>
      </c>
      <c r="D2960">
        <v>29.339999999999996</v>
      </c>
    </row>
    <row r="2961" spans="2:4">
      <c r="B2961" s="3">
        <v>42974</v>
      </c>
      <c r="C2961" t="s">
        <v>5</v>
      </c>
      <c r="D2961">
        <v>12.672000000000001</v>
      </c>
    </row>
    <row r="2962" spans="2:4">
      <c r="B2962" s="3">
        <v>42974</v>
      </c>
      <c r="C2962" t="s">
        <v>4</v>
      </c>
      <c r="D2962">
        <v>1119.8880000000001</v>
      </c>
    </row>
    <row r="2963" spans="2:4">
      <c r="B2963" s="3">
        <v>43018</v>
      </c>
      <c r="C2963" t="s">
        <v>3</v>
      </c>
      <c r="D2963">
        <v>239.358</v>
      </c>
    </row>
    <row r="2964" spans="2:4">
      <c r="B2964" s="3">
        <v>43093</v>
      </c>
      <c r="C2964" t="s">
        <v>5</v>
      </c>
      <c r="D2964">
        <v>19.440000000000001</v>
      </c>
    </row>
    <row r="2965" spans="2:4">
      <c r="B2965" s="3">
        <v>43093</v>
      </c>
      <c r="C2965" t="s">
        <v>5</v>
      </c>
      <c r="D2965">
        <v>12.3</v>
      </c>
    </row>
    <row r="2966" spans="2:4">
      <c r="B2966" s="3">
        <v>43091</v>
      </c>
      <c r="C2966" t="s">
        <v>3</v>
      </c>
      <c r="D2966">
        <v>934.9559999999999</v>
      </c>
    </row>
    <row r="2967" spans="2:4">
      <c r="B2967" s="3">
        <v>43091</v>
      </c>
      <c r="C2967" t="s">
        <v>4</v>
      </c>
      <c r="D2967">
        <v>46.864000000000004</v>
      </c>
    </row>
    <row r="2968" spans="2:4">
      <c r="B2968" s="3">
        <v>43091</v>
      </c>
      <c r="C2968" t="s">
        <v>5</v>
      </c>
      <c r="D2968">
        <v>26.160000000000004</v>
      </c>
    </row>
    <row r="2969" spans="2:4">
      <c r="B2969" s="3">
        <v>43091</v>
      </c>
      <c r="C2969" t="s">
        <v>5</v>
      </c>
      <c r="D2969">
        <v>23.128</v>
      </c>
    </row>
    <row r="2970" spans="2:4">
      <c r="B2970" s="3">
        <v>43091</v>
      </c>
      <c r="C2970" t="s">
        <v>5</v>
      </c>
      <c r="D2970">
        <v>59.24</v>
      </c>
    </row>
    <row r="2971" spans="2:4">
      <c r="B2971" s="3">
        <v>43094</v>
      </c>
      <c r="C2971" t="s">
        <v>3</v>
      </c>
      <c r="D2971">
        <v>21</v>
      </c>
    </row>
    <row r="2972" spans="2:4">
      <c r="B2972" s="3">
        <v>43094</v>
      </c>
      <c r="C2972" t="s">
        <v>4</v>
      </c>
      <c r="D2972">
        <v>120</v>
      </c>
    </row>
    <row r="2973" spans="2:4">
      <c r="B2973" s="3">
        <v>43064</v>
      </c>
      <c r="C2973" t="s">
        <v>4</v>
      </c>
      <c r="D2973">
        <v>299.95999999999998</v>
      </c>
    </row>
    <row r="2974" spans="2:4">
      <c r="B2974" s="3">
        <v>43064</v>
      </c>
      <c r="C2974" t="s">
        <v>5</v>
      </c>
      <c r="D2974">
        <v>67.839999999999989</v>
      </c>
    </row>
    <row r="2975" spans="2:4">
      <c r="B2975" s="3">
        <v>43064</v>
      </c>
      <c r="C2975" t="s">
        <v>3</v>
      </c>
      <c r="D2975">
        <v>853.92999999999984</v>
      </c>
    </row>
    <row r="2976" spans="2:4">
      <c r="B2976" s="3">
        <v>43064</v>
      </c>
      <c r="C2976" t="s">
        <v>5</v>
      </c>
      <c r="D2976">
        <v>18.687999999999999</v>
      </c>
    </row>
    <row r="2977" spans="2:4">
      <c r="B2977" s="3">
        <v>43045</v>
      </c>
      <c r="C2977" t="s">
        <v>5</v>
      </c>
      <c r="D2977">
        <v>1.2479999999999998</v>
      </c>
    </row>
    <row r="2978" spans="2:4">
      <c r="B2978" s="3">
        <v>43071</v>
      </c>
      <c r="C2978" t="s">
        <v>5</v>
      </c>
      <c r="D2978">
        <v>19.728000000000002</v>
      </c>
    </row>
    <row r="2979" spans="2:4">
      <c r="B2979" s="3">
        <v>43071</v>
      </c>
      <c r="C2979" t="s">
        <v>4</v>
      </c>
      <c r="D2979">
        <v>151.18799999999999</v>
      </c>
    </row>
    <row r="2980" spans="2:4">
      <c r="B2980" s="3">
        <v>42818</v>
      </c>
      <c r="C2980" t="s">
        <v>3</v>
      </c>
      <c r="D2980">
        <v>271.76400000000001</v>
      </c>
    </row>
    <row r="2981" spans="2:4">
      <c r="B2981" s="3">
        <v>42850</v>
      </c>
      <c r="C2981" t="s">
        <v>3</v>
      </c>
      <c r="D2981">
        <v>344.98099999999994</v>
      </c>
    </row>
    <row r="2982" spans="2:4">
      <c r="B2982" s="3">
        <v>43062</v>
      </c>
      <c r="C2982" t="s">
        <v>5</v>
      </c>
      <c r="D2982">
        <v>36.288000000000011</v>
      </c>
    </row>
    <row r="2983" spans="2:4">
      <c r="B2983" s="3">
        <v>43062</v>
      </c>
      <c r="C2983" t="s">
        <v>5</v>
      </c>
      <c r="D2983">
        <v>78.304000000000002</v>
      </c>
    </row>
    <row r="2984" spans="2:4">
      <c r="B2984" s="3">
        <v>43062</v>
      </c>
      <c r="C2984" t="s">
        <v>3</v>
      </c>
      <c r="D2984">
        <v>127.785</v>
      </c>
    </row>
    <row r="2985" spans="2:4">
      <c r="B2985" s="3">
        <v>43062</v>
      </c>
      <c r="C2985" t="s">
        <v>5</v>
      </c>
      <c r="D2985">
        <v>6.1039999999999983</v>
      </c>
    </row>
    <row r="2986" spans="2:4">
      <c r="B2986" s="3">
        <v>43009</v>
      </c>
      <c r="C2986" t="s">
        <v>4</v>
      </c>
      <c r="D2986">
        <v>104.75</v>
      </c>
    </row>
    <row r="2987" spans="2:4">
      <c r="B2987" s="3">
        <v>43024</v>
      </c>
      <c r="C2987" t="s">
        <v>4</v>
      </c>
      <c r="D2987">
        <v>18.528000000000002</v>
      </c>
    </row>
    <row r="2988" spans="2:4">
      <c r="B2988" s="3">
        <v>43024</v>
      </c>
      <c r="C2988" t="s">
        <v>3</v>
      </c>
      <c r="D2988">
        <v>1875.258</v>
      </c>
    </row>
    <row r="2989" spans="2:4">
      <c r="B2989" s="3">
        <v>43050</v>
      </c>
      <c r="C2989" t="s">
        <v>4</v>
      </c>
      <c r="D2989">
        <v>35.183999999999997</v>
      </c>
    </row>
    <row r="2990" spans="2:4">
      <c r="B2990" s="3">
        <v>42814</v>
      </c>
      <c r="C2990" t="s">
        <v>5</v>
      </c>
      <c r="D2990">
        <v>56.704000000000001</v>
      </c>
    </row>
    <row r="2991" spans="2:4">
      <c r="B2991" s="3">
        <v>42814</v>
      </c>
      <c r="C2991" t="s">
        <v>5</v>
      </c>
      <c r="D2991">
        <v>274.06400000000002</v>
      </c>
    </row>
    <row r="2992" spans="2:4">
      <c r="B2992" s="3">
        <v>42868</v>
      </c>
      <c r="C2992" t="s">
        <v>3</v>
      </c>
      <c r="D2992">
        <v>458.42999999999995</v>
      </c>
    </row>
    <row r="2993" spans="2:4">
      <c r="B2993" s="3">
        <v>43057</v>
      </c>
      <c r="C2993" t="s">
        <v>5</v>
      </c>
      <c r="D2993">
        <v>92.52</v>
      </c>
    </row>
    <row r="2994" spans="2:4">
      <c r="B2994" s="3">
        <v>43057</v>
      </c>
      <c r="C2994" t="s">
        <v>5</v>
      </c>
      <c r="D2994">
        <v>37.76</v>
      </c>
    </row>
    <row r="2995" spans="2:4">
      <c r="B2995" s="3">
        <v>43057</v>
      </c>
      <c r="C2995" t="s">
        <v>5</v>
      </c>
      <c r="D2995">
        <v>7.38</v>
      </c>
    </row>
    <row r="2996" spans="2:4">
      <c r="B2996" s="3">
        <v>43057</v>
      </c>
      <c r="C2996" t="s">
        <v>3</v>
      </c>
      <c r="D2996">
        <v>5.82</v>
      </c>
    </row>
    <row r="2997" spans="2:4">
      <c r="B2997" s="3">
        <v>42928</v>
      </c>
      <c r="C2997" t="s">
        <v>5</v>
      </c>
      <c r="D2997">
        <v>3.8159999999999998</v>
      </c>
    </row>
    <row r="2998" spans="2:4">
      <c r="B2998" s="3">
        <v>42874</v>
      </c>
      <c r="C2998" t="s">
        <v>5</v>
      </c>
      <c r="D2998">
        <v>26.16</v>
      </c>
    </row>
    <row r="2999" spans="2:4">
      <c r="B2999" s="3">
        <v>42812</v>
      </c>
      <c r="C2999" t="s">
        <v>5</v>
      </c>
      <c r="D2999">
        <v>13.899999999999999</v>
      </c>
    </row>
    <row r="3000" spans="2:4">
      <c r="B3000" s="3">
        <v>42812</v>
      </c>
      <c r="C3000" t="s">
        <v>5</v>
      </c>
      <c r="D3000">
        <v>19.399999999999999</v>
      </c>
    </row>
    <row r="3001" spans="2:4">
      <c r="B3001" s="3">
        <v>42979</v>
      </c>
      <c r="C3001" t="s">
        <v>5</v>
      </c>
      <c r="D3001">
        <v>314.60000000000002</v>
      </c>
    </row>
    <row r="3002" spans="2:4">
      <c r="B3002" s="3">
        <v>42979</v>
      </c>
      <c r="C3002" t="s">
        <v>3</v>
      </c>
      <c r="D3002">
        <v>283.56</v>
      </c>
    </row>
    <row r="3003" spans="2:4">
      <c r="B3003" s="3">
        <v>42908</v>
      </c>
      <c r="C3003" t="s">
        <v>3</v>
      </c>
      <c r="D3003">
        <v>487.96</v>
      </c>
    </row>
    <row r="3004" spans="2:4">
      <c r="B3004" s="3">
        <v>43060</v>
      </c>
      <c r="C3004" t="s">
        <v>4</v>
      </c>
      <c r="D3004">
        <v>55.176000000000002</v>
      </c>
    </row>
    <row r="3005" spans="2:4">
      <c r="B3005" s="3">
        <v>43085</v>
      </c>
      <c r="C3005" t="s">
        <v>5</v>
      </c>
      <c r="D3005">
        <v>5.9840000000000009</v>
      </c>
    </row>
    <row r="3006" spans="2:4">
      <c r="B3006" s="3">
        <v>43085</v>
      </c>
      <c r="C3006" t="s">
        <v>4</v>
      </c>
      <c r="D3006">
        <v>189.95000000000002</v>
      </c>
    </row>
    <row r="3007" spans="2:4">
      <c r="B3007" s="3">
        <v>43085</v>
      </c>
      <c r="C3007" t="s">
        <v>4</v>
      </c>
      <c r="D3007">
        <v>149.94999999999999</v>
      </c>
    </row>
    <row r="3008" spans="2:4">
      <c r="B3008" s="3">
        <v>43085</v>
      </c>
      <c r="C3008" t="s">
        <v>5</v>
      </c>
      <c r="D3008">
        <v>29.950000000000003</v>
      </c>
    </row>
    <row r="3009" spans="2:4">
      <c r="B3009" s="3">
        <v>43085</v>
      </c>
      <c r="C3009" t="s">
        <v>5</v>
      </c>
      <c r="D3009">
        <v>44.400000000000006</v>
      </c>
    </row>
    <row r="3010" spans="2:4">
      <c r="B3010" s="3">
        <v>43000</v>
      </c>
      <c r="C3010" t="s">
        <v>5</v>
      </c>
      <c r="D3010">
        <v>21.96</v>
      </c>
    </row>
    <row r="3011" spans="2:4">
      <c r="B3011" s="3">
        <v>42881</v>
      </c>
      <c r="C3011" t="s">
        <v>4</v>
      </c>
      <c r="D3011">
        <v>23.08</v>
      </c>
    </row>
    <row r="3012" spans="2:4">
      <c r="B3012" s="3">
        <v>43073</v>
      </c>
      <c r="C3012" t="s">
        <v>3</v>
      </c>
      <c r="D3012">
        <v>11.352000000000002</v>
      </c>
    </row>
    <row r="3013" spans="2:4">
      <c r="B3013" s="3">
        <v>42989</v>
      </c>
      <c r="C3013" t="s">
        <v>4</v>
      </c>
      <c r="D3013">
        <v>143.952</v>
      </c>
    </row>
    <row r="3014" spans="2:4">
      <c r="B3014" s="3">
        <v>42989</v>
      </c>
      <c r="C3014" t="s">
        <v>5</v>
      </c>
      <c r="D3014">
        <v>19.440000000000001</v>
      </c>
    </row>
    <row r="3015" spans="2:4">
      <c r="B3015" s="3">
        <v>43041</v>
      </c>
      <c r="C3015" t="s">
        <v>5</v>
      </c>
      <c r="D3015">
        <v>5.56</v>
      </c>
    </row>
    <row r="3016" spans="2:4">
      <c r="B3016" s="3">
        <v>43021</v>
      </c>
      <c r="C3016" t="s">
        <v>5</v>
      </c>
      <c r="D3016">
        <v>348.56</v>
      </c>
    </row>
    <row r="3017" spans="2:4">
      <c r="B3017" s="3">
        <v>43020</v>
      </c>
      <c r="C3017" t="s">
        <v>4</v>
      </c>
      <c r="D3017">
        <v>369.54399999999998</v>
      </c>
    </row>
    <row r="3018" spans="2:4">
      <c r="B3018" s="3">
        <v>43020</v>
      </c>
      <c r="C3018" t="s">
        <v>5</v>
      </c>
      <c r="D3018">
        <v>10.368000000000002</v>
      </c>
    </row>
    <row r="3019" spans="2:4">
      <c r="B3019" s="3">
        <v>43020</v>
      </c>
      <c r="C3019" t="s">
        <v>4</v>
      </c>
      <c r="D3019">
        <v>791.87999999999988</v>
      </c>
    </row>
    <row r="3020" spans="2:4">
      <c r="B3020" s="3">
        <v>42754</v>
      </c>
      <c r="C3020" t="s">
        <v>4</v>
      </c>
      <c r="D3020">
        <v>429.59999999999997</v>
      </c>
    </row>
    <row r="3021" spans="2:4">
      <c r="B3021" s="3">
        <v>42754</v>
      </c>
      <c r="C3021" t="s">
        <v>3</v>
      </c>
      <c r="D3021">
        <v>31.968000000000004</v>
      </c>
    </row>
    <row r="3022" spans="2:4">
      <c r="B3022" s="3">
        <v>42754</v>
      </c>
      <c r="C3022" t="s">
        <v>3</v>
      </c>
      <c r="D3022">
        <v>887.27099999999984</v>
      </c>
    </row>
    <row r="3023" spans="2:4">
      <c r="B3023" s="3">
        <v>42754</v>
      </c>
      <c r="C3023" t="s">
        <v>5</v>
      </c>
      <c r="D3023">
        <v>21.696000000000002</v>
      </c>
    </row>
    <row r="3024" spans="2:4">
      <c r="B3024" s="3">
        <v>42812</v>
      </c>
      <c r="C3024" t="s">
        <v>5</v>
      </c>
      <c r="D3024">
        <v>90.86</v>
      </c>
    </row>
    <row r="3025" spans="2:4">
      <c r="B3025" s="3">
        <v>43063</v>
      </c>
      <c r="C3025" t="s">
        <v>5</v>
      </c>
      <c r="D3025">
        <v>7.78</v>
      </c>
    </row>
    <row r="3026" spans="2:4">
      <c r="B3026" s="3">
        <v>42880</v>
      </c>
      <c r="C3026" t="s">
        <v>5</v>
      </c>
      <c r="D3026">
        <v>50.135999999999996</v>
      </c>
    </row>
    <row r="3027" spans="2:4">
      <c r="B3027" s="3">
        <v>42982</v>
      </c>
      <c r="C3027" t="s">
        <v>5</v>
      </c>
      <c r="D3027">
        <v>88.074000000000012</v>
      </c>
    </row>
    <row r="3028" spans="2:4">
      <c r="B3028" s="3">
        <v>42883</v>
      </c>
      <c r="C3028" t="s">
        <v>3</v>
      </c>
      <c r="D3028">
        <v>27.46</v>
      </c>
    </row>
    <row r="3029" spans="2:4">
      <c r="B3029" s="3">
        <v>42883</v>
      </c>
      <c r="C3029" t="s">
        <v>5</v>
      </c>
      <c r="D3029">
        <v>125.13</v>
      </c>
    </row>
    <row r="3030" spans="2:4">
      <c r="B3030" s="3">
        <v>43008</v>
      </c>
      <c r="C3030" t="s">
        <v>4</v>
      </c>
      <c r="D3030">
        <v>159.97999999999999</v>
      </c>
    </row>
    <row r="3031" spans="2:4">
      <c r="B3031" s="3">
        <v>42875</v>
      </c>
      <c r="C3031" t="s">
        <v>5</v>
      </c>
      <c r="D3031">
        <v>8.2880000000000003</v>
      </c>
    </row>
    <row r="3032" spans="2:4">
      <c r="B3032" s="3">
        <v>42875</v>
      </c>
      <c r="C3032" t="s">
        <v>4</v>
      </c>
      <c r="D3032">
        <v>1123.1280000000002</v>
      </c>
    </row>
    <row r="3033" spans="2:4">
      <c r="B3033" s="3">
        <v>42875</v>
      </c>
      <c r="C3033" t="s">
        <v>5</v>
      </c>
      <c r="D3033">
        <v>64.900000000000006</v>
      </c>
    </row>
    <row r="3034" spans="2:4">
      <c r="B3034" s="3">
        <v>42898</v>
      </c>
      <c r="C3034" t="s">
        <v>4</v>
      </c>
      <c r="D3034">
        <v>71.975999999999999</v>
      </c>
    </row>
    <row r="3035" spans="2:4">
      <c r="B3035" s="3">
        <v>42898</v>
      </c>
      <c r="C3035" t="s">
        <v>5</v>
      </c>
      <c r="D3035">
        <v>19.440000000000001</v>
      </c>
    </row>
    <row r="3036" spans="2:4">
      <c r="B3036" s="3">
        <v>42954</v>
      </c>
      <c r="C3036" t="s">
        <v>4</v>
      </c>
      <c r="D3036">
        <v>707.88</v>
      </c>
    </row>
    <row r="3037" spans="2:4">
      <c r="B3037" s="3">
        <v>42954</v>
      </c>
      <c r="C3037" t="s">
        <v>5</v>
      </c>
      <c r="D3037">
        <v>11.952000000000002</v>
      </c>
    </row>
    <row r="3038" spans="2:4">
      <c r="B3038" s="3">
        <v>42954</v>
      </c>
      <c r="C3038" t="s">
        <v>5</v>
      </c>
      <c r="D3038">
        <v>31.128000000000004</v>
      </c>
    </row>
    <row r="3039" spans="2:4">
      <c r="B3039" s="3">
        <v>42954</v>
      </c>
      <c r="C3039" t="s">
        <v>4</v>
      </c>
      <c r="D3039">
        <v>55.76</v>
      </c>
    </row>
    <row r="3040" spans="2:4">
      <c r="B3040" s="3">
        <v>42954</v>
      </c>
      <c r="C3040" t="s">
        <v>5</v>
      </c>
      <c r="D3040">
        <v>24.56</v>
      </c>
    </row>
    <row r="3041" spans="2:4">
      <c r="B3041" s="3">
        <v>42954</v>
      </c>
      <c r="C3041" t="s">
        <v>3</v>
      </c>
      <c r="D3041">
        <v>51.75</v>
      </c>
    </row>
    <row r="3042" spans="2:4">
      <c r="B3042" s="3">
        <v>42954</v>
      </c>
      <c r="C3042" t="s">
        <v>3</v>
      </c>
      <c r="D3042">
        <v>207.18400000000003</v>
      </c>
    </row>
    <row r="3043" spans="2:4">
      <c r="B3043" s="3">
        <v>42954</v>
      </c>
      <c r="C3043" t="s">
        <v>5</v>
      </c>
      <c r="D3043">
        <v>1473.1</v>
      </c>
    </row>
    <row r="3044" spans="2:4">
      <c r="B3044" s="3">
        <v>42950</v>
      </c>
      <c r="C3044" t="s">
        <v>4</v>
      </c>
      <c r="D3044">
        <v>39.816000000000003</v>
      </c>
    </row>
    <row r="3045" spans="2:4">
      <c r="B3045" s="3">
        <v>42950</v>
      </c>
      <c r="C3045" t="s">
        <v>5</v>
      </c>
      <c r="D3045">
        <v>16.059999999999999</v>
      </c>
    </row>
    <row r="3046" spans="2:4">
      <c r="B3046" s="3">
        <v>43080</v>
      </c>
      <c r="C3046" t="s">
        <v>5</v>
      </c>
      <c r="D3046">
        <v>7.28</v>
      </c>
    </row>
    <row r="3047" spans="2:4">
      <c r="B3047" s="3">
        <v>43080</v>
      </c>
      <c r="C3047" t="s">
        <v>5</v>
      </c>
      <c r="D3047">
        <v>5.4</v>
      </c>
    </row>
    <row r="3048" spans="2:4">
      <c r="B3048" s="3">
        <v>43008</v>
      </c>
      <c r="C3048" t="s">
        <v>5</v>
      </c>
      <c r="D3048">
        <v>20.664000000000001</v>
      </c>
    </row>
    <row r="3049" spans="2:4">
      <c r="B3049" s="3">
        <v>43063</v>
      </c>
      <c r="C3049" t="s">
        <v>5</v>
      </c>
      <c r="D3049">
        <v>13.761999999999997</v>
      </c>
    </row>
    <row r="3050" spans="2:4">
      <c r="B3050" s="3">
        <v>43053</v>
      </c>
      <c r="C3050" t="s">
        <v>5</v>
      </c>
      <c r="D3050">
        <v>15.28</v>
      </c>
    </row>
    <row r="3051" spans="2:4">
      <c r="B3051" s="3">
        <v>43021</v>
      </c>
      <c r="C3051" t="s">
        <v>5</v>
      </c>
      <c r="D3051">
        <v>11.07</v>
      </c>
    </row>
    <row r="3052" spans="2:4">
      <c r="B3052" s="3">
        <v>43021</v>
      </c>
      <c r="C3052" t="s">
        <v>3</v>
      </c>
      <c r="D3052">
        <v>1504.52</v>
      </c>
    </row>
    <row r="3053" spans="2:4">
      <c r="B3053" s="3">
        <v>43021</v>
      </c>
      <c r="C3053" t="s">
        <v>5</v>
      </c>
      <c r="D3053">
        <v>25.92</v>
      </c>
    </row>
    <row r="3054" spans="2:4">
      <c r="B3054" s="3">
        <v>43043</v>
      </c>
      <c r="C3054" t="s">
        <v>5</v>
      </c>
      <c r="D3054">
        <v>7.5359999999999987</v>
      </c>
    </row>
    <row r="3055" spans="2:4">
      <c r="B3055" s="3">
        <v>43043</v>
      </c>
      <c r="C3055" t="s">
        <v>5</v>
      </c>
      <c r="D3055">
        <v>1.4079999999999997</v>
      </c>
    </row>
    <row r="3056" spans="2:4">
      <c r="B3056" s="3">
        <v>43043</v>
      </c>
      <c r="C3056" t="s">
        <v>5</v>
      </c>
      <c r="D3056">
        <v>4.1439999999999992</v>
      </c>
    </row>
    <row r="3057" spans="2:4">
      <c r="B3057" s="3">
        <v>43043</v>
      </c>
      <c r="C3057" t="s">
        <v>5</v>
      </c>
      <c r="D3057">
        <v>52.751999999999995</v>
      </c>
    </row>
    <row r="3058" spans="2:4">
      <c r="B3058" s="3">
        <v>42813</v>
      </c>
      <c r="C3058" t="s">
        <v>5</v>
      </c>
      <c r="D3058">
        <v>381.35999999999996</v>
      </c>
    </row>
    <row r="3059" spans="2:4">
      <c r="B3059" s="3">
        <v>42939</v>
      </c>
      <c r="C3059" t="s">
        <v>5</v>
      </c>
      <c r="D3059">
        <v>15.192</v>
      </c>
    </row>
    <row r="3060" spans="2:4">
      <c r="B3060" s="3">
        <v>42939</v>
      </c>
      <c r="C3060" t="s">
        <v>5</v>
      </c>
      <c r="D3060">
        <v>58.320000000000007</v>
      </c>
    </row>
    <row r="3061" spans="2:4">
      <c r="B3061" s="3">
        <v>42777</v>
      </c>
      <c r="C3061" t="s">
        <v>3</v>
      </c>
      <c r="D3061">
        <v>147.56800000000001</v>
      </c>
    </row>
    <row r="3062" spans="2:4">
      <c r="B3062" s="3">
        <v>43035</v>
      </c>
      <c r="C3062" t="s">
        <v>5</v>
      </c>
      <c r="D3062">
        <v>56.783999999999999</v>
      </c>
    </row>
    <row r="3063" spans="2:4">
      <c r="B3063" s="3">
        <v>43035</v>
      </c>
      <c r="C3063" t="s">
        <v>5</v>
      </c>
      <c r="D3063">
        <v>5.6070000000000011</v>
      </c>
    </row>
    <row r="3064" spans="2:4">
      <c r="B3064" s="3">
        <v>43035</v>
      </c>
      <c r="C3064" t="s">
        <v>5</v>
      </c>
      <c r="D3064">
        <v>6.5760000000000005</v>
      </c>
    </row>
    <row r="3065" spans="2:4">
      <c r="B3065" s="3">
        <v>42877</v>
      </c>
      <c r="C3065" t="s">
        <v>5</v>
      </c>
      <c r="D3065">
        <v>9.84</v>
      </c>
    </row>
    <row r="3066" spans="2:4">
      <c r="B3066" s="3">
        <v>42877</v>
      </c>
      <c r="C3066" t="s">
        <v>5</v>
      </c>
      <c r="D3066">
        <v>2.78</v>
      </c>
    </row>
    <row r="3067" spans="2:4">
      <c r="B3067" s="3">
        <v>42796</v>
      </c>
      <c r="C3067" t="s">
        <v>5</v>
      </c>
      <c r="D3067">
        <v>107.64800000000001</v>
      </c>
    </row>
    <row r="3068" spans="2:4">
      <c r="B3068" s="3">
        <v>43001</v>
      </c>
      <c r="C3068" t="s">
        <v>4</v>
      </c>
      <c r="D3068">
        <v>199.95000000000002</v>
      </c>
    </row>
    <row r="3069" spans="2:4">
      <c r="B3069" s="3">
        <v>43001</v>
      </c>
      <c r="C3069" t="s">
        <v>5</v>
      </c>
      <c r="D3069">
        <v>12.96</v>
      </c>
    </row>
    <row r="3070" spans="2:4">
      <c r="B3070" s="3">
        <v>43050</v>
      </c>
      <c r="C3070" t="s">
        <v>5</v>
      </c>
      <c r="D3070">
        <v>25.5</v>
      </c>
    </row>
    <row r="3071" spans="2:4">
      <c r="B3071" s="3">
        <v>42980</v>
      </c>
      <c r="C3071" t="s">
        <v>3</v>
      </c>
      <c r="D3071">
        <v>215.976</v>
      </c>
    </row>
    <row r="3072" spans="2:4">
      <c r="B3072" s="3">
        <v>43063</v>
      </c>
      <c r="C3072" t="s">
        <v>5</v>
      </c>
      <c r="D3072">
        <v>11.673000000000002</v>
      </c>
    </row>
    <row r="3073" spans="2:4">
      <c r="B3073" s="3">
        <v>43063</v>
      </c>
      <c r="C3073" t="s">
        <v>5</v>
      </c>
      <c r="D3073">
        <v>64.848000000000013</v>
      </c>
    </row>
    <row r="3074" spans="2:4">
      <c r="B3074" s="3">
        <v>42968</v>
      </c>
      <c r="C3074" t="s">
        <v>5</v>
      </c>
      <c r="D3074">
        <v>32.088000000000001</v>
      </c>
    </row>
    <row r="3075" spans="2:4">
      <c r="B3075" s="3">
        <v>42968</v>
      </c>
      <c r="C3075" t="s">
        <v>5</v>
      </c>
      <c r="D3075">
        <v>4305.5520000000006</v>
      </c>
    </row>
    <row r="3076" spans="2:4">
      <c r="B3076" s="3">
        <v>42980</v>
      </c>
      <c r="C3076" t="s">
        <v>5</v>
      </c>
      <c r="D3076">
        <v>1577.94</v>
      </c>
    </row>
    <row r="3077" spans="2:4">
      <c r="B3077" s="3">
        <v>43070</v>
      </c>
      <c r="C3077" t="s">
        <v>5</v>
      </c>
      <c r="D3077">
        <v>15.936000000000002</v>
      </c>
    </row>
    <row r="3078" spans="2:4">
      <c r="B3078" s="3">
        <v>43070</v>
      </c>
      <c r="C3078" t="s">
        <v>5</v>
      </c>
      <c r="D3078">
        <v>8.0010000000000012</v>
      </c>
    </row>
    <row r="3079" spans="2:4">
      <c r="B3079" s="3">
        <v>43070</v>
      </c>
      <c r="C3079" t="s">
        <v>3</v>
      </c>
      <c r="D3079">
        <v>398.97199999999998</v>
      </c>
    </row>
    <row r="3080" spans="2:4">
      <c r="B3080" s="3">
        <v>42989</v>
      </c>
      <c r="C3080" t="s">
        <v>5</v>
      </c>
      <c r="D3080">
        <v>67.900000000000006</v>
      </c>
    </row>
    <row r="3081" spans="2:4">
      <c r="B3081" s="3">
        <v>42980</v>
      </c>
      <c r="C3081" t="s">
        <v>5</v>
      </c>
      <c r="D3081">
        <v>11.696</v>
      </c>
    </row>
    <row r="3082" spans="2:4">
      <c r="B3082" s="3">
        <v>42905</v>
      </c>
      <c r="C3082" t="s">
        <v>5</v>
      </c>
      <c r="D3082">
        <v>6.8879999999999981</v>
      </c>
    </row>
    <row r="3083" spans="2:4">
      <c r="B3083" s="3">
        <v>42905</v>
      </c>
      <c r="C3083" t="s">
        <v>3</v>
      </c>
      <c r="D3083">
        <v>457.4849999999999</v>
      </c>
    </row>
    <row r="3084" spans="2:4">
      <c r="B3084" s="3">
        <v>43069</v>
      </c>
      <c r="C3084" t="s">
        <v>3</v>
      </c>
      <c r="D3084">
        <v>1079.316</v>
      </c>
    </row>
    <row r="3085" spans="2:4">
      <c r="B3085" s="3">
        <v>42796</v>
      </c>
      <c r="C3085" t="s">
        <v>5</v>
      </c>
      <c r="D3085">
        <v>0.55599999999999983</v>
      </c>
    </row>
    <row r="3086" spans="2:4">
      <c r="B3086" s="3">
        <v>43056</v>
      </c>
      <c r="C3086" t="s">
        <v>5</v>
      </c>
      <c r="D3086">
        <v>43.8</v>
      </c>
    </row>
    <row r="3087" spans="2:4">
      <c r="B3087" s="3">
        <v>42883</v>
      </c>
      <c r="C3087" t="s">
        <v>5</v>
      </c>
      <c r="D3087">
        <v>13.872000000000002</v>
      </c>
    </row>
    <row r="3088" spans="2:4">
      <c r="B3088" s="3">
        <v>42883</v>
      </c>
      <c r="C3088" t="s">
        <v>3</v>
      </c>
      <c r="D3088">
        <v>115.96</v>
      </c>
    </row>
    <row r="3089" spans="2:4">
      <c r="B3089" s="3">
        <v>42800</v>
      </c>
      <c r="C3089" t="s">
        <v>5</v>
      </c>
      <c r="D3089">
        <v>4.9280000000000008</v>
      </c>
    </row>
    <row r="3090" spans="2:4">
      <c r="B3090" s="3">
        <v>42800</v>
      </c>
      <c r="C3090" t="s">
        <v>5</v>
      </c>
      <c r="D3090">
        <v>63.488</v>
      </c>
    </row>
    <row r="3091" spans="2:4">
      <c r="B3091" s="3">
        <v>42787</v>
      </c>
      <c r="C3091" t="s">
        <v>4</v>
      </c>
      <c r="D3091">
        <v>47.904000000000003</v>
      </c>
    </row>
    <row r="3092" spans="2:4">
      <c r="B3092" s="3">
        <v>42936</v>
      </c>
      <c r="C3092" t="s">
        <v>5</v>
      </c>
      <c r="D3092">
        <v>13.36</v>
      </c>
    </row>
    <row r="3093" spans="2:4">
      <c r="B3093" s="3">
        <v>42936</v>
      </c>
      <c r="C3093" t="s">
        <v>3</v>
      </c>
      <c r="D3093">
        <v>163.76400000000001</v>
      </c>
    </row>
    <row r="3094" spans="2:4">
      <c r="B3094" s="3">
        <v>42936</v>
      </c>
      <c r="C3094" t="s">
        <v>3</v>
      </c>
      <c r="D3094">
        <v>183.92</v>
      </c>
    </row>
    <row r="3095" spans="2:4">
      <c r="B3095" s="3">
        <v>43001</v>
      </c>
      <c r="C3095" t="s">
        <v>5</v>
      </c>
      <c r="D3095">
        <v>211.04</v>
      </c>
    </row>
    <row r="3096" spans="2:4">
      <c r="B3096" s="3">
        <v>43001</v>
      </c>
      <c r="C3096" t="s">
        <v>3</v>
      </c>
      <c r="D3096">
        <v>594.81600000000003</v>
      </c>
    </row>
    <row r="3097" spans="2:4">
      <c r="B3097" s="3">
        <v>43001</v>
      </c>
      <c r="C3097" t="s">
        <v>5</v>
      </c>
      <c r="D3097">
        <v>72.960000000000008</v>
      </c>
    </row>
    <row r="3098" spans="2:4">
      <c r="B3098" s="3">
        <v>42985</v>
      </c>
      <c r="C3098" t="s">
        <v>3</v>
      </c>
      <c r="D3098">
        <v>80.959999999999994</v>
      </c>
    </row>
    <row r="3099" spans="2:4">
      <c r="B3099" s="3">
        <v>42985</v>
      </c>
      <c r="C3099" t="s">
        <v>4</v>
      </c>
      <c r="D3099">
        <v>455.71199999999999</v>
      </c>
    </row>
    <row r="3100" spans="2:4">
      <c r="B3100" s="3">
        <v>42985</v>
      </c>
      <c r="C3100" t="s">
        <v>5</v>
      </c>
      <c r="D3100">
        <v>25.98</v>
      </c>
    </row>
    <row r="3101" spans="2:4">
      <c r="B3101" s="3">
        <v>42989</v>
      </c>
      <c r="C3101" t="s">
        <v>5</v>
      </c>
      <c r="D3101">
        <v>195.68</v>
      </c>
    </row>
    <row r="3102" spans="2:4">
      <c r="B3102" s="3">
        <v>42989</v>
      </c>
      <c r="C3102" t="s">
        <v>5</v>
      </c>
      <c r="D3102">
        <v>14.2</v>
      </c>
    </row>
    <row r="3103" spans="2:4">
      <c r="B3103" s="3">
        <v>42856</v>
      </c>
      <c r="C3103" t="s">
        <v>3</v>
      </c>
      <c r="D3103">
        <v>314.35199999999998</v>
      </c>
    </row>
    <row r="3104" spans="2:4">
      <c r="B3104" s="3">
        <v>42856</v>
      </c>
      <c r="C3104" t="s">
        <v>5</v>
      </c>
      <c r="D3104">
        <v>4.6079999999999997</v>
      </c>
    </row>
    <row r="3105" spans="2:4">
      <c r="B3105" s="3">
        <v>42994</v>
      </c>
      <c r="C3105" t="s">
        <v>5</v>
      </c>
      <c r="D3105">
        <v>17.899999999999999</v>
      </c>
    </row>
    <row r="3106" spans="2:4">
      <c r="B3106" s="3">
        <v>42783</v>
      </c>
      <c r="C3106" t="s">
        <v>3</v>
      </c>
      <c r="D3106">
        <v>455.97</v>
      </c>
    </row>
    <row r="3107" spans="2:4">
      <c r="B3107" s="3">
        <v>42783</v>
      </c>
      <c r="C3107" t="s">
        <v>5</v>
      </c>
      <c r="D3107">
        <v>5.7150000000000016</v>
      </c>
    </row>
    <row r="3108" spans="2:4">
      <c r="B3108" s="3">
        <v>42783</v>
      </c>
      <c r="C3108" t="s">
        <v>4</v>
      </c>
      <c r="D3108">
        <v>57.593999999999994</v>
      </c>
    </row>
    <row r="3109" spans="2:4">
      <c r="B3109" s="3">
        <v>42783</v>
      </c>
      <c r="C3109" t="s">
        <v>3</v>
      </c>
      <c r="D3109">
        <v>30.144000000000002</v>
      </c>
    </row>
    <row r="3110" spans="2:4">
      <c r="B3110" s="3">
        <v>42783</v>
      </c>
      <c r="C3110" t="s">
        <v>3</v>
      </c>
      <c r="D3110">
        <v>899.43</v>
      </c>
    </row>
    <row r="3111" spans="2:4">
      <c r="B3111" s="3">
        <v>43002</v>
      </c>
      <c r="C3111" t="s">
        <v>3</v>
      </c>
      <c r="D3111">
        <v>520.46399999999994</v>
      </c>
    </row>
    <row r="3112" spans="2:4">
      <c r="B3112" s="3">
        <v>43002</v>
      </c>
      <c r="C3112" t="s">
        <v>5</v>
      </c>
      <c r="D3112">
        <v>11.423999999999999</v>
      </c>
    </row>
    <row r="3113" spans="2:4">
      <c r="B3113" s="3">
        <v>42815</v>
      </c>
      <c r="C3113" t="s">
        <v>5</v>
      </c>
      <c r="D3113">
        <v>30.576000000000001</v>
      </c>
    </row>
    <row r="3114" spans="2:4">
      <c r="B3114" s="3">
        <v>42815</v>
      </c>
      <c r="C3114" t="s">
        <v>5</v>
      </c>
      <c r="D3114">
        <v>13.020000000000001</v>
      </c>
    </row>
    <row r="3115" spans="2:4">
      <c r="B3115" s="3">
        <v>42815</v>
      </c>
      <c r="C3115" t="s">
        <v>3</v>
      </c>
      <c r="D3115">
        <v>22.14</v>
      </c>
    </row>
    <row r="3116" spans="2:4">
      <c r="B3116" s="3">
        <v>42815</v>
      </c>
      <c r="C3116" t="s">
        <v>5</v>
      </c>
      <c r="D3116">
        <v>359.32</v>
      </c>
    </row>
    <row r="3117" spans="2:4">
      <c r="B3117" s="3">
        <v>43046</v>
      </c>
      <c r="C3117" t="s">
        <v>3</v>
      </c>
      <c r="D3117">
        <v>272.96999999999997</v>
      </c>
    </row>
    <row r="3118" spans="2:4">
      <c r="B3118" s="3">
        <v>42862</v>
      </c>
      <c r="C3118" t="s">
        <v>4</v>
      </c>
      <c r="D3118">
        <v>419.94399999999996</v>
      </c>
    </row>
    <row r="3119" spans="2:4">
      <c r="B3119" s="3">
        <v>43094</v>
      </c>
      <c r="C3119" t="s">
        <v>4</v>
      </c>
      <c r="D3119">
        <v>31.799999999999997</v>
      </c>
    </row>
    <row r="3120" spans="2:4">
      <c r="B3120" s="3">
        <v>43086</v>
      </c>
      <c r="C3120" t="s">
        <v>5</v>
      </c>
      <c r="D3120">
        <v>32.56</v>
      </c>
    </row>
    <row r="3121" spans="2:4">
      <c r="B3121" s="3">
        <v>42958</v>
      </c>
      <c r="C3121" t="s">
        <v>5</v>
      </c>
      <c r="D3121">
        <v>25.92</v>
      </c>
    </row>
    <row r="3122" spans="2:4">
      <c r="B3122" s="3">
        <v>42974</v>
      </c>
      <c r="C3122" t="s">
        <v>3</v>
      </c>
      <c r="D3122">
        <v>120.57600000000001</v>
      </c>
    </row>
    <row r="3123" spans="2:4">
      <c r="B3123" s="3">
        <v>42754</v>
      </c>
      <c r="C3123" t="s">
        <v>5</v>
      </c>
      <c r="D3123">
        <v>79.92</v>
      </c>
    </row>
    <row r="3124" spans="2:4">
      <c r="B3124" s="3">
        <v>42754</v>
      </c>
      <c r="C3124" t="s">
        <v>5</v>
      </c>
      <c r="D3124">
        <v>12.28</v>
      </c>
    </row>
    <row r="3125" spans="2:4">
      <c r="B3125" s="3">
        <v>42754</v>
      </c>
      <c r="C3125" t="s">
        <v>5</v>
      </c>
      <c r="D3125">
        <v>542.93999999999994</v>
      </c>
    </row>
    <row r="3126" spans="2:4">
      <c r="B3126" s="3">
        <v>42754</v>
      </c>
      <c r="C3126" t="s">
        <v>5</v>
      </c>
      <c r="D3126">
        <v>2.04</v>
      </c>
    </row>
    <row r="3127" spans="2:4">
      <c r="B3127" s="3">
        <v>42807</v>
      </c>
      <c r="C3127" t="s">
        <v>4</v>
      </c>
      <c r="D3127">
        <v>7.9920000000000009</v>
      </c>
    </row>
    <row r="3128" spans="2:4">
      <c r="B3128" s="3">
        <v>42838</v>
      </c>
      <c r="C3128" t="s">
        <v>5</v>
      </c>
      <c r="D3128">
        <v>7.92</v>
      </c>
    </row>
    <row r="3129" spans="2:4">
      <c r="B3129" s="3">
        <v>43000</v>
      </c>
      <c r="C3129" t="s">
        <v>4</v>
      </c>
      <c r="D3129">
        <v>1071</v>
      </c>
    </row>
    <row r="3130" spans="2:4">
      <c r="B3130" s="3">
        <v>43000</v>
      </c>
      <c r="C3130" t="s">
        <v>3</v>
      </c>
      <c r="D3130">
        <v>12.07</v>
      </c>
    </row>
    <row r="3131" spans="2:4">
      <c r="B3131" s="3">
        <v>43079</v>
      </c>
      <c r="C3131" t="s">
        <v>5</v>
      </c>
      <c r="D3131">
        <v>3.2730000000000006</v>
      </c>
    </row>
    <row r="3132" spans="2:4">
      <c r="B3132" s="3">
        <v>43079</v>
      </c>
      <c r="C3132" t="s">
        <v>3</v>
      </c>
      <c r="D3132">
        <v>87.92</v>
      </c>
    </row>
    <row r="3133" spans="2:4">
      <c r="B3133" s="3">
        <v>43010</v>
      </c>
      <c r="C3133" t="s">
        <v>5</v>
      </c>
      <c r="D3133">
        <v>15.223999999999997</v>
      </c>
    </row>
    <row r="3134" spans="2:4">
      <c r="B3134" s="3">
        <v>43010</v>
      </c>
      <c r="C3134" t="s">
        <v>5</v>
      </c>
      <c r="D3134">
        <v>21.983999999999995</v>
      </c>
    </row>
    <row r="3135" spans="2:4">
      <c r="B3135" s="3">
        <v>42881</v>
      </c>
      <c r="C3135" t="s">
        <v>5</v>
      </c>
      <c r="D3135">
        <v>12.96</v>
      </c>
    </row>
    <row r="3136" spans="2:4">
      <c r="B3136" s="3">
        <v>42947</v>
      </c>
      <c r="C3136" t="s">
        <v>4</v>
      </c>
      <c r="D3136">
        <v>285.57599999999996</v>
      </c>
    </row>
    <row r="3137" spans="2:4">
      <c r="B3137" s="3">
        <v>42832</v>
      </c>
      <c r="C3137" t="s">
        <v>5</v>
      </c>
      <c r="D3137">
        <v>16.256</v>
      </c>
    </row>
    <row r="3138" spans="2:4">
      <c r="B3138" s="3">
        <v>42832</v>
      </c>
      <c r="C3138" t="s">
        <v>4</v>
      </c>
      <c r="D3138">
        <v>219.18400000000003</v>
      </c>
    </row>
    <row r="3139" spans="2:4">
      <c r="B3139" s="3">
        <v>42882</v>
      </c>
      <c r="C3139" t="s">
        <v>3</v>
      </c>
      <c r="D3139">
        <v>477.29999999999995</v>
      </c>
    </row>
    <row r="3140" spans="2:4">
      <c r="B3140" s="3">
        <v>42889</v>
      </c>
      <c r="C3140" t="s">
        <v>5</v>
      </c>
      <c r="D3140">
        <v>136.26</v>
      </c>
    </row>
    <row r="3141" spans="2:4">
      <c r="B3141" s="3">
        <v>42882</v>
      </c>
      <c r="C3141" t="s">
        <v>4</v>
      </c>
      <c r="D3141">
        <v>27.192</v>
      </c>
    </row>
    <row r="3142" spans="2:4">
      <c r="B3142" s="3">
        <v>42882</v>
      </c>
      <c r="C3142" t="s">
        <v>5</v>
      </c>
      <c r="D3142">
        <v>12.059999999999999</v>
      </c>
    </row>
    <row r="3143" spans="2:4">
      <c r="B3143" s="3">
        <v>43064</v>
      </c>
      <c r="C3143" t="s">
        <v>3</v>
      </c>
      <c r="D3143">
        <v>701.96</v>
      </c>
    </row>
    <row r="3144" spans="2:4">
      <c r="B3144" s="3">
        <v>43044</v>
      </c>
      <c r="C3144" t="s">
        <v>5</v>
      </c>
      <c r="D3144">
        <v>164.68800000000002</v>
      </c>
    </row>
    <row r="3145" spans="2:4">
      <c r="B3145" s="3">
        <v>43044</v>
      </c>
      <c r="C3145" t="s">
        <v>3</v>
      </c>
      <c r="D3145">
        <v>166.5</v>
      </c>
    </row>
    <row r="3146" spans="2:4">
      <c r="B3146" s="3">
        <v>43044</v>
      </c>
      <c r="C3146" t="s">
        <v>5</v>
      </c>
      <c r="D3146">
        <v>12.96</v>
      </c>
    </row>
    <row r="3147" spans="2:4">
      <c r="B3147" s="3">
        <v>43044</v>
      </c>
      <c r="C3147" t="s">
        <v>5</v>
      </c>
      <c r="D3147">
        <v>110.96</v>
      </c>
    </row>
    <row r="3148" spans="2:4">
      <c r="B3148" s="3">
        <v>43044</v>
      </c>
      <c r="C3148" t="s">
        <v>4</v>
      </c>
      <c r="D3148">
        <v>99.98</v>
      </c>
    </row>
    <row r="3149" spans="2:4">
      <c r="B3149" s="3">
        <v>43044</v>
      </c>
      <c r="C3149" t="s">
        <v>5</v>
      </c>
      <c r="D3149">
        <v>11.423999999999999</v>
      </c>
    </row>
    <row r="3150" spans="2:4">
      <c r="B3150" s="3">
        <v>43044</v>
      </c>
      <c r="C3150" t="s">
        <v>3</v>
      </c>
      <c r="D3150">
        <v>128.12400000000002</v>
      </c>
    </row>
    <row r="3151" spans="2:4">
      <c r="B3151" s="3">
        <v>43044</v>
      </c>
      <c r="C3151" t="s">
        <v>3</v>
      </c>
      <c r="D3151">
        <v>101.4</v>
      </c>
    </row>
    <row r="3152" spans="2:4">
      <c r="B3152" s="3">
        <v>43045</v>
      </c>
      <c r="C3152" t="s">
        <v>5</v>
      </c>
      <c r="D3152">
        <v>18.16</v>
      </c>
    </row>
    <row r="3153" spans="2:4">
      <c r="B3153" s="3">
        <v>43020</v>
      </c>
      <c r="C3153" t="s">
        <v>3</v>
      </c>
      <c r="D3153">
        <v>673.34399999999994</v>
      </c>
    </row>
    <row r="3154" spans="2:4">
      <c r="B3154" s="3">
        <v>43080</v>
      </c>
      <c r="C3154" t="s">
        <v>5</v>
      </c>
      <c r="D3154">
        <v>6.5400000000000009</v>
      </c>
    </row>
    <row r="3155" spans="2:4">
      <c r="B3155" s="3">
        <v>42738</v>
      </c>
      <c r="C3155" t="s">
        <v>5</v>
      </c>
      <c r="D3155">
        <v>2022.2720000000002</v>
      </c>
    </row>
    <row r="3156" spans="2:4">
      <c r="B3156" s="3">
        <v>42738</v>
      </c>
      <c r="C3156" t="s">
        <v>5</v>
      </c>
      <c r="D3156">
        <v>9.120000000000001</v>
      </c>
    </row>
    <row r="3157" spans="2:4">
      <c r="B3157" s="3">
        <v>43046</v>
      </c>
      <c r="C3157" t="s">
        <v>5</v>
      </c>
      <c r="D3157">
        <v>38.160000000000004</v>
      </c>
    </row>
    <row r="3158" spans="2:4">
      <c r="B3158" s="3">
        <v>43044</v>
      </c>
      <c r="C3158" t="s">
        <v>5</v>
      </c>
      <c r="D3158">
        <v>4.41</v>
      </c>
    </row>
    <row r="3159" spans="2:4">
      <c r="B3159" s="3">
        <v>43044</v>
      </c>
      <c r="C3159" t="s">
        <v>5</v>
      </c>
      <c r="D3159">
        <v>167.94</v>
      </c>
    </row>
    <row r="3160" spans="2:4">
      <c r="B3160" s="3">
        <v>43044</v>
      </c>
      <c r="C3160" t="s">
        <v>5</v>
      </c>
      <c r="D3160">
        <v>67.8</v>
      </c>
    </row>
    <row r="3161" spans="2:4">
      <c r="B3161" s="3">
        <v>42885</v>
      </c>
      <c r="C3161" t="s">
        <v>3</v>
      </c>
      <c r="D3161">
        <v>204.66639999999998</v>
      </c>
    </row>
    <row r="3162" spans="2:4">
      <c r="B3162" s="3">
        <v>42863</v>
      </c>
      <c r="C3162" t="s">
        <v>5</v>
      </c>
      <c r="D3162">
        <v>81.08</v>
      </c>
    </row>
    <row r="3163" spans="2:4">
      <c r="B3163" s="3">
        <v>43074</v>
      </c>
      <c r="C3163" t="s">
        <v>5</v>
      </c>
      <c r="D3163">
        <v>83.920000000000016</v>
      </c>
    </row>
    <row r="3164" spans="2:4">
      <c r="B3164" s="3">
        <v>43074</v>
      </c>
      <c r="C3164" t="s">
        <v>3</v>
      </c>
      <c r="D3164">
        <v>199.89999999999998</v>
      </c>
    </row>
    <row r="3165" spans="2:4">
      <c r="B3165" s="3">
        <v>43074</v>
      </c>
      <c r="C3165" t="s">
        <v>4</v>
      </c>
      <c r="D3165">
        <v>31.176000000000002</v>
      </c>
    </row>
    <row r="3166" spans="2:4">
      <c r="B3166" s="3">
        <v>43074</v>
      </c>
      <c r="C3166" t="s">
        <v>5</v>
      </c>
      <c r="D3166">
        <v>172.75200000000001</v>
      </c>
    </row>
    <row r="3167" spans="2:4">
      <c r="B3167" s="3">
        <v>43074</v>
      </c>
      <c r="C3167" t="s">
        <v>5</v>
      </c>
      <c r="D3167">
        <v>9.2959999999999994</v>
      </c>
    </row>
    <row r="3168" spans="2:4">
      <c r="B3168" s="3">
        <v>42818</v>
      </c>
      <c r="C3168" t="s">
        <v>5</v>
      </c>
      <c r="D3168">
        <v>12.768000000000001</v>
      </c>
    </row>
    <row r="3169" spans="2:4">
      <c r="B3169" s="3">
        <v>42924</v>
      </c>
      <c r="C3169" t="s">
        <v>5</v>
      </c>
      <c r="D3169">
        <v>52.76</v>
      </c>
    </row>
    <row r="3170" spans="2:4">
      <c r="B3170" s="3">
        <v>43034</v>
      </c>
      <c r="C3170" t="s">
        <v>5</v>
      </c>
      <c r="D3170">
        <v>55.616</v>
      </c>
    </row>
    <row r="3171" spans="2:4">
      <c r="B3171" s="3">
        <v>42898</v>
      </c>
      <c r="C3171" t="s">
        <v>3</v>
      </c>
      <c r="D3171">
        <v>8.8559999999999999</v>
      </c>
    </row>
    <row r="3172" spans="2:4">
      <c r="B3172" s="3">
        <v>42985</v>
      </c>
      <c r="C3172" t="s">
        <v>5</v>
      </c>
      <c r="D3172">
        <v>16.899999999999999</v>
      </c>
    </row>
    <row r="3173" spans="2:4">
      <c r="B3173" s="3">
        <v>42985</v>
      </c>
      <c r="C3173" t="s">
        <v>5</v>
      </c>
      <c r="D3173">
        <v>39.96</v>
      </c>
    </row>
    <row r="3174" spans="2:4">
      <c r="B3174" s="3">
        <v>42921</v>
      </c>
      <c r="C3174" t="s">
        <v>4</v>
      </c>
      <c r="D3174">
        <v>79.959999999999994</v>
      </c>
    </row>
    <row r="3175" spans="2:4">
      <c r="B3175" s="3">
        <v>42992</v>
      </c>
      <c r="C3175" t="s">
        <v>4</v>
      </c>
      <c r="D3175">
        <v>1079.8499999999999</v>
      </c>
    </row>
    <row r="3176" spans="2:4">
      <c r="B3176" s="3">
        <v>42992</v>
      </c>
      <c r="C3176" t="s">
        <v>5</v>
      </c>
      <c r="D3176">
        <v>70.98</v>
      </c>
    </row>
    <row r="3177" spans="2:4">
      <c r="B3177" s="3">
        <v>42992</v>
      </c>
      <c r="C3177" t="s">
        <v>5</v>
      </c>
      <c r="D3177">
        <v>29.950000000000003</v>
      </c>
    </row>
    <row r="3178" spans="2:4">
      <c r="B3178" s="3">
        <v>42992</v>
      </c>
      <c r="C3178" t="s">
        <v>3</v>
      </c>
      <c r="D3178">
        <v>589.41</v>
      </c>
    </row>
    <row r="3179" spans="2:4">
      <c r="B3179" s="3">
        <v>42911</v>
      </c>
      <c r="C3179" t="s">
        <v>3</v>
      </c>
      <c r="D3179">
        <v>400.78400000000005</v>
      </c>
    </row>
    <row r="3180" spans="2:4">
      <c r="B3180" s="3">
        <v>42973</v>
      </c>
      <c r="C3180" t="s">
        <v>5</v>
      </c>
      <c r="D3180">
        <v>53.72</v>
      </c>
    </row>
    <row r="3181" spans="2:4">
      <c r="B3181" s="3">
        <v>42842</v>
      </c>
      <c r="C3181" t="s">
        <v>5</v>
      </c>
      <c r="D3181">
        <v>195.136</v>
      </c>
    </row>
    <row r="3182" spans="2:4">
      <c r="B3182" s="3">
        <v>42939</v>
      </c>
      <c r="C3182" t="s">
        <v>5</v>
      </c>
      <c r="D3182">
        <v>121.536</v>
      </c>
    </row>
    <row r="3183" spans="2:4">
      <c r="B3183" s="3">
        <v>42992</v>
      </c>
      <c r="C3183" t="s">
        <v>5</v>
      </c>
      <c r="D3183">
        <v>8.56</v>
      </c>
    </row>
    <row r="3184" spans="2:4">
      <c r="B3184" s="3">
        <v>42992</v>
      </c>
      <c r="C3184" t="s">
        <v>5</v>
      </c>
      <c r="D3184">
        <v>11.56</v>
      </c>
    </row>
    <row r="3185" spans="2:4">
      <c r="B3185" s="3">
        <v>42759</v>
      </c>
      <c r="C3185" t="s">
        <v>5</v>
      </c>
      <c r="D3185">
        <v>25.86</v>
      </c>
    </row>
    <row r="3186" spans="2:4">
      <c r="B3186" s="3">
        <v>42759</v>
      </c>
      <c r="C3186" t="s">
        <v>5</v>
      </c>
      <c r="D3186">
        <v>276.78400000000005</v>
      </c>
    </row>
    <row r="3187" spans="2:4">
      <c r="B3187" s="3">
        <v>42759</v>
      </c>
      <c r="C3187" t="s">
        <v>4</v>
      </c>
      <c r="D3187">
        <v>110.352</v>
      </c>
    </row>
    <row r="3188" spans="2:4">
      <c r="B3188" s="3">
        <v>42863</v>
      </c>
      <c r="C3188" t="s">
        <v>5</v>
      </c>
      <c r="D3188">
        <v>41.472000000000008</v>
      </c>
    </row>
    <row r="3189" spans="2:4">
      <c r="B3189" s="3">
        <v>43043</v>
      </c>
      <c r="C3189" t="s">
        <v>4</v>
      </c>
      <c r="D3189">
        <v>70.720000000000013</v>
      </c>
    </row>
    <row r="3190" spans="2:4">
      <c r="B3190" s="3">
        <v>43043</v>
      </c>
      <c r="C3190" t="s">
        <v>5</v>
      </c>
      <c r="D3190">
        <v>194.35200000000003</v>
      </c>
    </row>
    <row r="3191" spans="2:4">
      <c r="B3191" s="3">
        <v>43074</v>
      </c>
      <c r="C3191" t="s">
        <v>5</v>
      </c>
      <c r="D3191">
        <v>21.6</v>
      </c>
    </row>
    <row r="3192" spans="2:4">
      <c r="B3192" s="3">
        <v>43074</v>
      </c>
      <c r="C3192" t="s">
        <v>5</v>
      </c>
      <c r="D3192">
        <v>11.07</v>
      </c>
    </row>
    <row r="3193" spans="2:4">
      <c r="B3193" s="3">
        <v>43032</v>
      </c>
      <c r="C3193" t="s">
        <v>5</v>
      </c>
      <c r="D3193">
        <v>11.68</v>
      </c>
    </row>
    <row r="3194" spans="2:4">
      <c r="B3194" s="3">
        <v>43055</v>
      </c>
      <c r="C3194" t="s">
        <v>4</v>
      </c>
      <c r="D3194">
        <v>899.98199999999997</v>
      </c>
    </row>
    <row r="3195" spans="2:4">
      <c r="B3195" s="3">
        <v>43055</v>
      </c>
      <c r="C3195" t="s">
        <v>5</v>
      </c>
      <c r="D3195">
        <v>86.352000000000004</v>
      </c>
    </row>
    <row r="3196" spans="2:4">
      <c r="B3196" s="3">
        <v>43055</v>
      </c>
      <c r="C3196" t="s">
        <v>4</v>
      </c>
      <c r="D3196">
        <v>139.96000000000004</v>
      </c>
    </row>
    <row r="3197" spans="2:4">
      <c r="B3197" s="3">
        <v>42915</v>
      </c>
      <c r="C3197" t="s">
        <v>5</v>
      </c>
      <c r="D3197">
        <v>21.391999999999992</v>
      </c>
    </row>
    <row r="3198" spans="2:4">
      <c r="B3198" s="3">
        <v>42915</v>
      </c>
      <c r="C3198" t="s">
        <v>3</v>
      </c>
      <c r="D3198">
        <v>307.31400000000002</v>
      </c>
    </row>
    <row r="3199" spans="2:4">
      <c r="B3199" s="3">
        <v>42915</v>
      </c>
      <c r="C3199" t="s">
        <v>3</v>
      </c>
      <c r="D3199">
        <v>409.99919999999997</v>
      </c>
    </row>
    <row r="3200" spans="2:4">
      <c r="B3200" s="3">
        <v>43001</v>
      </c>
      <c r="C3200" t="s">
        <v>5</v>
      </c>
      <c r="D3200">
        <v>9.2480000000000011</v>
      </c>
    </row>
    <row r="3201" spans="2:4">
      <c r="B3201" s="3">
        <v>42779</v>
      </c>
      <c r="C3201" t="s">
        <v>5</v>
      </c>
      <c r="D3201">
        <v>90.64</v>
      </c>
    </row>
    <row r="3202" spans="2:4">
      <c r="B3202" s="3">
        <v>43051</v>
      </c>
      <c r="C3202" t="s">
        <v>5</v>
      </c>
      <c r="D3202">
        <v>11.56</v>
      </c>
    </row>
    <row r="3203" spans="2:4">
      <c r="B3203" s="3">
        <v>42894</v>
      </c>
      <c r="C3203" t="s">
        <v>4</v>
      </c>
      <c r="D3203">
        <v>89.544000000000011</v>
      </c>
    </row>
    <row r="3204" spans="2:4">
      <c r="B3204" s="3">
        <v>42894</v>
      </c>
      <c r="C3204" t="s">
        <v>5</v>
      </c>
      <c r="D3204">
        <v>35.167999999999999</v>
      </c>
    </row>
    <row r="3205" spans="2:4">
      <c r="B3205" s="3">
        <v>42894</v>
      </c>
      <c r="C3205" t="s">
        <v>5</v>
      </c>
      <c r="D3205">
        <v>72.588000000000008</v>
      </c>
    </row>
    <row r="3206" spans="2:4">
      <c r="B3206" s="3">
        <v>42758</v>
      </c>
      <c r="C3206" t="s">
        <v>4</v>
      </c>
      <c r="D3206">
        <v>95.984000000000009</v>
      </c>
    </row>
    <row r="3207" spans="2:4">
      <c r="B3207" s="3">
        <v>42758</v>
      </c>
      <c r="C3207" t="s">
        <v>5</v>
      </c>
      <c r="D3207">
        <v>4.9380000000000006</v>
      </c>
    </row>
    <row r="3208" spans="2:4">
      <c r="B3208" s="3">
        <v>42978</v>
      </c>
      <c r="C3208" t="s">
        <v>5</v>
      </c>
      <c r="D3208">
        <v>193.95000000000002</v>
      </c>
    </row>
    <row r="3209" spans="2:4">
      <c r="B3209" s="3">
        <v>43055</v>
      </c>
      <c r="C3209" t="s">
        <v>3</v>
      </c>
      <c r="D3209">
        <v>119.94</v>
      </c>
    </row>
    <row r="3210" spans="2:4">
      <c r="B3210" s="3">
        <v>43055</v>
      </c>
      <c r="C3210" t="s">
        <v>3</v>
      </c>
      <c r="D3210">
        <v>12.419999999999998</v>
      </c>
    </row>
    <row r="3211" spans="2:4">
      <c r="B3211" s="3">
        <v>42827</v>
      </c>
      <c r="C3211" t="s">
        <v>5</v>
      </c>
      <c r="D3211">
        <v>14.940000000000001</v>
      </c>
    </row>
    <row r="3212" spans="2:4">
      <c r="B3212" s="3">
        <v>43052</v>
      </c>
      <c r="C3212" t="s">
        <v>4</v>
      </c>
      <c r="D3212">
        <v>22</v>
      </c>
    </row>
    <row r="3213" spans="2:4">
      <c r="B3213" s="3">
        <v>43082</v>
      </c>
      <c r="C3213" t="s">
        <v>5</v>
      </c>
      <c r="D3213">
        <v>8.64</v>
      </c>
    </row>
    <row r="3214" spans="2:4">
      <c r="B3214" s="3">
        <v>43082</v>
      </c>
      <c r="C3214" t="s">
        <v>5</v>
      </c>
      <c r="D3214">
        <v>38.880000000000003</v>
      </c>
    </row>
    <row r="3215" spans="2:4">
      <c r="B3215" s="3">
        <v>43082</v>
      </c>
      <c r="C3215" t="s">
        <v>3</v>
      </c>
      <c r="D3215">
        <v>201.04</v>
      </c>
    </row>
    <row r="3216" spans="2:4">
      <c r="B3216" s="3">
        <v>43082</v>
      </c>
      <c r="C3216" t="s">
        <v>5</v>
      </c>
      <c r="D3216">
        <v>12.96</v>
      </c>
    </row>
    <row r="3217" spans="2:4">
      <c r="B3217" s="3">
        <v>42737</v>
      </c>
      <c r="C3217" t="s">
        <v>4</v>
      </c>
      <c r="D3217">
        <v>16.59</v>
      </c>
    </row>
    <row r="3218" spans="2:4">
      <c r="B3218" s="3">
        <v>42885</v>
      </c>
      <c r="C3218" t="s">
        <v>5</v>
      </c>
      <c r="D3218">
        <v>35.099999999999994</v>
      </c>
    </row>
    <row r="3219" spans="2:4">
      <c r="B3219" s="3">
        <v>43008</v>
      </c>
      <c r="C3219" t="s">
        <v>5</v>
      </c>
      <c r="D3219">
        <v>11.645999999999997</v>
      </c>
    </row>
    <row r="3220" spans="2:4">
      <c r="B3220" s="3">
        <v>42906</v>
      </c>
      <c r="C3220" t="s">
        <v>5</v>
      </c>
      <c r="D3220">
        <v>32.400000000000006</v>
      </c>
    </row>
    <row r="3221" spans="2:4">
      <c r="B3221" s="3">
        <v>42906</v>
      </c>
      <c r="C3221" t="s">
        <v>4</v>
      </c>
      <c r="D3221">
        <v>503.96</v>
      </c>
    </row>
    <row r="3222" spans="2:4">
      <c r="B3222" s="3">
        <v>42829</v>
      </c>
      <c r="C3222" t="s">
        <v>5</v>
      </c>
      <c r="D3222">
        <v>7.04</v>
      </c>
    </row>
    <row r="3223" spans="2:4">
      <c r="B3223" s="3">
        <v>43002</v>
      </c>
      <c r="C3223" t="s">
        <v>5</v>
      </c>
      <c r="D3223">
        <v>31.08</v>
      </c>
    </row>
    <row r="3224" spans="2:4">
      <c r="B3224" s="3">
        <v>43002</v>
      </c>
      <c r="C3224" t="s">
        <v>5</v>
      </c>
      <c r="D3224">
        <v>7.3</v>
      </c>
    </row>
    <row r="3225" spans="2:4">
      <c r="B3225" s="3">
        <v>43084</v>
      </c>
      <c r="C3225" t="s">
        <v>5</v>
      </c>
      <c r="D3225">
        <v>22.830000000000002</v>
      </c>
    </row>
    <row r="3226" spans="2:4">
      <c r="B3226" s="3">
        <v>43084</v>
      </c>
      <c r="C3226" t="s">
        <v>5</v>
      </c>
      <c r="D3226">
        <v>54.32</v>
      </c>
    </row>
    <row r="3227" spans="2:4">
      <c r="B3227" s="3">
        <v>43084</v>
      </c>
      <c r="C3227" t="s">
        <v>4</v>
      </c>
      <c r="D3227">
        <v>196.77600000000001</v>
      </c>
    </row>
    <row r="3228" spans="2:4">
      <c r="B3228" s="3">
        <v>42947</v>
      </c>
      <c r="C3228" t="s">
        <v>5</v>
      </c>
      <c r="D3228">
        <v>11.54</v>
      </c>
    </row>
    <row r="3229" spans="2:4">
      <c r="B3229" s="3">
        <v>42947</v>
      </c>
      <c r="C3229" t="s">
        <v>5</v>
      </c>
      <c r="D3229">
        <v>849.95</v>
      </c>
    </row>
    <row r="3230" spans="2:4">
      <c r="B3230" s="3">
        <v>42947</v>
      </c>
      <c r="C3230" t="s">
        <v>5</v>
      </c>
      <c r="D3230">
        <v>11.01</v>
      </c>
    </row>
    <row r="3231" spans="2:4">
      <c r="B3231" s="3">
        <v>43027</v>
      </c>
      <c r="C3231" t="s">
        <v>5</v>
      </c>
      <c r="D3231">
        <v>39.624000000000009</v>
      </c>
    </row>
    <row r="3232" spans="2:4">
      <c r="B3232" s="3">
        <v>43051</v>
      </c>
      <c r="C3232" t="s">
        <v>5</v>
      </c>
      <c r="D3232">
        <v>221.024</v>
      </c>
    </row>
    <row r="3233" spans="2:4">
      <c r="B3233" s="3">
        <v>42995</v>
      </c>
      <c r="C3233" t="s">
        <v>4</v>
      </c>
      <c r="D3233">
        <v>89.97</v>
      </c>
    </row>
    <row r="3234" spans="2:4">
      <c r="B3234" s="3">
        <v>43071</v>
      </c>
      <c r="C3234" t="s">
        <v>5</v>
      </c>
      <c r="D3234">
        <v>286.85999999999996</v>
      </c>
    </row>
    <row r="3235" spans="2:4">
      <c r="B3235" s="3">
        <v>43071</v>
      </c>
      <c r="C3235" t="s">
        <v>4</v>
      </c>
      <c r="D3235">
        <v>979.95</v>
      </c>
    </row>
    <row r="3236" spans="2:4">
      <c r="B3236" s="3">
        <v>43071</v>
      </c>
      <c r="C3236" t="s">
        <v>5</v>
      </c>
      <c r="D3236">
        <v>4.3600000000000003</v>
      </c>
    </row>
    <row r="3237" spans="2:4">
      <c r="B3237" s="3">
        <v>43053</v>
      </c>
      <c r="C3237" t="s">
        <v>5</v>
      </c>
      <c r="D3237">
        <v>34.24</v>
      </c>
    </row>
    <row r="3238" spans="2:4">
      <c r="B3238" s="3">
        <v>42810</v>
      </c>
      <c r="C3238" t="s">
        <v>5</v>
      </c>
      <c r="D3238">
        <v>310.12</v>
      </c>
    </row>
    <row r="3239" spans="2:4">
      <c r="B3239" s="3">
        <v>42810</v>
      </c>
      <c r="C3239" t="s">
        <v>5</v>
      </c>
      <c r="D3239">
        <v>70.463999999999999</v>
      </c>
    </row>
    <row r="3240" spans="2:4">
      <c r="B3240" s="3">
        <v>42810</v>
      </c>
      <c r="C3240" t="s">
        <v>5</v>
      </c>
      <c r="D3240">
        <v>19.68</v>
      </c>
    </row>
    <row r="3241" spans="2:4">
      <c r="B3241" s="3">
        <v>42810</v>
      </c>
      <c r="C3241" t="s">
        <v>5</v>
      </c>
      <c r="D3241">
        <v>140.67000000000002</v>
      </c>
    </row>
    <row r="3242" spans="2:4">
      <c r="B3242" s="3">
        <v>43067</v>
      </c>
      <c r="C3242" t="s">
        <v>5</v>
      </c>
      <c r="D3242">
        <v>62.65</v>
      </c>
    </row>
    <row r="3243" spans="2:4">
      <c r="B3243" s="3">
        <v>42756</v>
      </c>
      <c r="C3243" t="s">
        <v>5</v>
      </c>
      <c r="D3243">
        <v>268.57600000000002</v>
      </c>
    </row>
    <row r="3244" spans="2:4">
      <c r="B3244" s="3">
        <v>43063</v>
      </c>
      <c r="C3244" t="s">
        <v>3</v>
      </c>
      <c r="D3244">
        <v>364.08000000000004</v>
      </c>
    </row>
    <row r="3245" spans="2:4">
      <c r="B3245" s="3">
        <v>43063</v>
      </c>
      <c r="C3245" t="s">
        <v>3</v>
      </c>
      <c r="D3245">
        <v>71.088000000000008</v>
      </c>
    </row>
    <row r="3246" spans="2:4">
      <c r="B3246" s="3">
        <v>42821</v>
      </c>
      <c r="C3246" t="s">
        <v>5</v>
      </c>
      <c r="D3246">
        <v>8.26</v>
      </c>
    </row>
    <row r="3247" spans="2:4">
      <c r="B3247" s="3">
        <v>42821</v>
      </c>
      <c r="C3247" t="s">
        <v>5</v>
      </c>
      <c r="D3247">
        <v>17.760000000000002</v>
      </c>
    </row>
    <row r="3248" spans="2:4">
      <c r="B3248" s="3">
        <v>42821</v>
      </c>
      <c r="C3248" t="s">
        <v>5</v>
      </c>
      <c r="D3248">
        <v>332.94</v>
      </c>
    </row>
    <row r="3249" spans="2:4">
      <c r="B3249" s="3">
        <v>42821</v>
      </c>
      <c r="C3249" t="s">
        <v>3</v>
      </c>
      <c r="D3249">
        <v>292.10000000000002</v>
      </c>
    </row>
    <row r="3250" spans="2:4">
      <c r="B3250" s="3">
        <v>42821</v>
      </c>
      <c r="C3250" t="s">
        <v>4</v>
      </c>
      <c r="D3250">
        <v>206.1</v>
      </c>
    </row>
    <row r="3251" spans="2:4">
      <c r="B3251" s="3">
        <v>42821</v>
      </c>
      <c r="C3251" t="s">
        <v>5</v>
      </c>
      <c r="D3251">
        <v>17.64</v>
      </c>
    </row>
    <row r="3252" spans="2:4">
      <c r="B3252" s="3">
        <v>43043</v>
      </c>
      <c r="C3252" t="s">
        <v>5</v>
      </c>
      <c r="D3252">
        <v>4.3</v>
      </c>
    </row>
    <row r="3253" spans="2:4">
      <c r="B3253" s="3">
        <v>42794</v>
      </c>
      <c r="C3253" t="s">
        <v>5</v>
      </c>
      <c r="D3253">
        <v>9.84</v>
      </c>
    </row>
    <row r="3254" spans="2:4">
      <c r="B3254" s="3">
        <v>42794</v>
      </c>
      <c r="C3254" t="s">
        <v>5</v>
      </c>
      <c r="D3254">
        <v>7.78</v>
      </c>
    </row>
    <row r="3255" spans="2:4">
      <c r="B3255" s="3">
        <v>43078</v>
      </c>
      <c r="C3255" t="s">
        <v>5</v>
      </c>
      <c r="D3255">
        <v>54.900000000000006</v>
      </c>
    </row>
    <row r="3256" spans="2:4">
      <c r="B3256" s="3">
        <v>43076</v>
      </c>
      <c r="C3256" t="s">
        <v>5</v>
      </c>
      <c r="D3256">
        <v>50.04</v>
      </c>
    </row>
    <row r="3257" spans="2:4">
      <c r="B3257" s="3">
        <v>42821</v>
      </c>
      <c r="C3257" t="s">
        <v>3</v>
      </c>
      <c r="D3257">
        <v>1023.3319999999999</v>
      </c>
    </row>
    <row r="3258" spans="2:4">
      <c r="B3258" s="3">
        <v>42821</v>
      </c>
      <c r="C3258" t="s">
        <v>3</v>
      </c>
      <c r="D3258">
        <v>600.55799999999999</v>
      </c>
    </row>
    <row r="3259" spans="2:4">
      <c r="B3259" s="3">
        <v>42821</v>
      </c>
      <c r="C3259" t="s">
        <v>4</v>
      </c>
      <c r="D3259">
        <v>39.992000000000004</v>
      </c>
    </row>
    <row r="3260" spans="2:4">
      <c r="B3260" s="3">
        <v>42821</v>
      </c>
      <c r="C3260" t="s">
        <v>3</v>
      </c>
      <c r="D3260">
        <v>211.24599999999998</v>
      </c>
    </row>
    <row r="3261" spans="2:4">
      <c r="B3261" s="3">
        <v>43007</v>
      </c>
      <c r="C3261" t="s">
        <v>5</v>
      </c>
      <c r="D3261">
        <v>97.3</v>
      </c>
    </row>
    <row r="3262" spans="2:4">
      <c r="B3262" s="3">
        <v>42943</v>
      </c>
      <c r="C3262" t="s">
        <v>3</v>
      </c>
      <c r="D3262">
        <v>194.84800000000001</v>
      </c>
    </row>
    <row r="3263" spans="2:4">
      <c r="B3263" s="3">
        <v>42937</v>
      </c>
      <c r="C3263" t="s">
        <v>5</v>
      </c>
      <c r="D3263">
        <v>2.1119999999999997</v>
      </c>
    </row>
    <row r="3264" spans="2:4">
      <c r="B3264" s="3">
        <v>42905</v>
      </c>
      <c r="C3264" t="s">
        <v>5</v>
      </c>
      <c r="D3264">
        <v>129.30000000000001</v>
      </c>
    </row>
    <row r="3265" spans="2:4">
      <c r="B3265" s="3">
        <v>42905</v>
      </c>
      <c r="C3265" t="s">
        <v>5</v>
      </c>
      <c r="D3265">
        <v>11.568000000000001</v>
      </c>
    </row>
    <row r="3266" spans="2:4">
      <c r="B3266" s="3">
        <v>42932</v>
      </c>
      <c r="C3266" t="s">
        <v>3</v>
      </c>
      <c r="D3266">
        <v>242.35200000000003</v>
      </c>
    </row>
    <row r="3267" spans="2:4">
      <c r="B3267" s="3">
        <v>42992</v>
      </c>
      <c r="C3267" t="s">
        <v>4</v>
      </c>
      <c r="D3267">
        <v>895.94400000000019</v>
      </c>
    </row>
    <row r="3268" spans="2:4">
      <c r="B3268" s="3">
        <v>42980</v>
      </c>
      <c r="C3268" t="s">
        <v>5</v>
      </c>
      <c r="D3268">
        <v>43.099999999999994</v>
      </c>
    </row>
    <row r="3269" spans="2:4">
      <c r="B3269" s="3">
        <v>42980</v>
      </c>
      <c r="C3269" t="s">
        <v>3</v>
      </c>
      <c r="D3269">
        <v>511.5</v>
      </c>
    </row>
    <row r="3270" spans="2:4">
      <c r="B3270" s="3">
        <v>42980</v>
      </c>
      <c r="C3270" t="s">
        <v>5</v>
      </c>
      <c r="D3270">
        <v>147.91999999999999</v>
      </c>
    </row>
    <row r="3271" spans="2:4">
      <c r="B3271" s="3">
        <v>42905</v>
      </c>
      <c r="C3271" t="s">
        <v>3</v>
      </c>
      <c r="D3271">
        <v>50.32</v>
      </c>
    </row>
    <row r="3272" spans="2:4">
      <c r="B3272" s="3">
        <v>42905</v>
      </c>
      <c r="C3272" t="s">
        <v>5</v>
      </c>
      <c r="D3272">
        <v>24.56</v>
      </c>
    </row>
    <row r="3273" spans="2:4">
      <c r="B3273" s="3">
        <v>42749</v>
      </c>
      <c r="C3273" t="s">
        <v>5</v>
      </c>
      <c r="D3273">
        <v>67.400000000000006</v>
      </c>
    </row>
    <row r="3274" spans="2:4">
      <c r="B3274" s="3">
        <v>42749</v>
      </c>
      <c r="C3274" t="s">
        <v>5</v>
      </c>
      <c r="D3274">
        <v>2.52</v>
      </c>
    </row>
    <row r="3275" spans="2:4">
      <c r="B3275" s="3">
        <v>42749</v>
      </c>
      <c r="C3275" t="s">
        <v>4</v>
      </c>
      <c r="D3275">
        <v>67.8</v>
      </c>
    </row>
    <row r="3276" spans="2:4">
      <c r="B3276" s="3">
        <v>42749</v>
      </c>
      <c r="C3276" t="s">
        <v>5</v>
      </c>
      <c r="D3276">
        <v>18.760000000000002</v>
      </c>
    </row>
    <row r="3277" spans="2:4">
      <c r="B3277" s="3">
        <v>42749</v>
      </c>
      <c r="C3277" t="s">
        <v>4</v>
      </c>
      <c r="D3277">
        <v>12.12</v>
      </c>
    </row>
    <row r="3278" spans="2:4">
      <c r="B3278" s="3">
        <v>42749</v>
      </c>
      <c r="C3278" t="s">
        <v>5</v>
      </c>
      <c r="D3278">
        <v>11.34</v>
      </c>
    </row>
    <row r="3279" spans="2:4">
      <c r="B3279" s="3">
        <v>42749</v>
      </c>
      <c r="C3279" t="s">
        <v>4</v>
      </c>
      <c r="D3279">
        <v>159.80000000000001</v>
      </c>
    </row>
    <row r="3280" spans="2:4">
      <c r="B3280" s="3">
        <v>42749</v>
      </c>
      <c r="C3280" t="s">
        <v>3</v>
      </c>
      <c r="D3280">
        <v>18.96</v>
      </c>
    </row>
    <row r="3281" spans="2:4">
      <c r="B3281" s="3">
        <v>43014</v>
      </c>
      <c r="C3281" t="s">
        <v>5</v>
      </c>
      <c r="D3281">
        <v>290.33600000000001</v>
      </c>
    </row>
    <row r="3282" spans="2:4">
      <c r="B3282" s="3">
        <v>43014</v>
      </c>
      <c r="C3282" t="s">
        <v>5</v>
      </c>
      <c r="D3282">
        <v>19.152000000000001</v>
      </c>
    </row>
    <row r="3283" spans="2:4">
      <c r="B3283" s="3">
        <v>42845</v>
      </c>
      <c r="C3283" t="s">
        <v>5</v>
      </c>
      <c r="D3283">
        <v>848.5440000000001</v>
      </c>
    </row>
    <row r="3284" spans="2:4">
      <c r="B3284" s="3">
        <v>42845</v>
      </c>
      <c r="C3284" t="s">
        <v>5</v>
      </c>
      <c r="D3284">
        <v>8.7000000000000011</v>
      </c>
    </row>
    <row r="3285" spans="2:4">
      <c r="B3285" s="3">
        <v>42845</v>
      </c>
      <c r="C3285" t="s">
        <v>4</v>
      </c>
      <c r="D3285">
        <v>122.38199999999999</v>
      </c>
    </row>
    <row r="3286" spans="2:4">
      <c r="B3286" s="3">
        <v>43020</v>
      </c>
      <c r="C3286" t="s">
        <v>5</v>
      </c>
      <c r="D3286">
        <v>9.9600000000000009</v>
      </c>
    </row>
    <row r="3287" spans="2:4">
      <c r="B3287" s="3">
        <v>42813</v>
      </c>
      <c r="C3287" t="s">
        <v>5</v>
      </c>
      <c r="D3287">
        <v>8.94</v>
      </c>
    </row>
    <row r="3288" spans="2:4">
      <c r="B3288" s="3">
        <v>42968</v>
      </c>
      <c r="C3288" t="s">
        <v>5</v>
      </c>
      <c r="D3288">
        <v>237.09600000000003</v>
      </c>
    </row>
    <row r="3289" spans="2:4">
      <c r="B3289" s="3">
        <v>42968</v>
      </c>
      <c r="C3289" t="s">
        <v>3</v>
      </c>
      <c r="D3289">
        <v>22.752000000000002</v>
      </c>
    </row>
    <row r="3290" spans="2:4">
      <c r="B3290" s="3">
        <v>42968</v>
      </c>
      <c r="C3290" t="s">
        <v>5</v>
      </c>
      <c r="D3290">
        <v>6.6720000000000006</v>
      </c>
    </row>
    <row r="3291" spans="2:4">
      <c r="B3291" s="3">
        <v>42764</v>
      </c>
      <c r="C3291" t="s">
        <v>5</v>
      </c>
      <c r="D3291">
        <v>12.96</v>
      </c>
    </row>
    <row r="3292" spans="2:4">
      <c r="B3292" s="3">
        <v>42764</v>
      </c>
      <c r="C3292" t="s">
        <v>5</v>
      </c>
      <c r="D3292">
        <v>94.85</v>
      </c>
    </row>
    <row r="3293" spans="2:4">
      <c r="B3293" s="3">
        <v>42764</v>
      </c>
      <c r="C3293" t="s">
        <v>5</v>
      </c>
      <c r="D3293">
        <v>13.48</v>
      </c>
    </row>
    <row r="3294" spans="2:4">
      <c r="B3294" s="3">
        <v>42764</v>
      </c>
      <c r="C3294" t="s">
        <v>3</v>
      </c>
      <c r="D3294">
        <v>14.91</v>
      </c>
    </row>
    <row r="3295" spans="2:4">
      <c r="B3295" s="3">
        <v>42861</v>
      </c>
      <c r="C3295" t="s">
        <v>4</v>
      </c>
      <c r="D3295">
        <v>191.96800000000002</v>
      </c>
    </row>
    <row r="3296" spans="2:4">
      <c r="B3296" s="3">
        <v>42910</v>
      </c>
      <c r="C3296" t="s">
        <v>5</v>
      </c>
      <c r="D3296">
        <v>102.93</v>
      </c>
    </row>
    <row r="3297" spans="2:4">
      <c r="B3297" s="3">
        <v>43063</v>
      </c>
      <c r="C3297" t="s">
        <v>4</v>
      </c>
      <c r="D3297">
        <v>223.58</v>
      </c>
    </row>
    <row r="3298" spans="2:4">
      <c r="B3298" s="3">
        <v>42887</v>
      </c>
      <c r="C3298" t="s">
        <v>3</v>
      </c>
      <c r="D3298">
        <v>1925.88</v>
      </c>
    </row>
    <row r="3299" spans="2:4">
      <c r="B3299" s="3">
        <v>42887</v>
      </c>
      <c r="C3299" t="s">
        <v>5</v>
      </c>
      <c r="D3299">
        <v>2405.1999999999998</v>
      </c>
    </row>
    <row r="3300" spans="2:4">
      <c r="B3300" s="3">
        <v>42887</v>
      </c>
      <c r="C3300" t="s">
        <v>4</v>
      </c>
      <c r="D3300">
        <v>83.97</v>
      </c>
    </row>
    <row r="3301" spans="2:4">
      <c r="B3301" s="3">
        <v>42887</v>
      </c>
      <c r="C3301" t="s">
        <v>4</v>
      </c>
      <c r="D3301">
        <v>39.89</v>
      </c>
    </row>
    <row r="3302" spans="2:4">
      <c r="B3302" s="3">
        <v>42887</v>
      </c>
      <c r="C3302" t="s">
        <v>5</v>
      </c>
      <c r="D3302">
        <v>17.38</v>
      </c>
    </row>
    <row r="3303" spans="2:4">
      <c r="B3303" s="3">
        <v>43014</v>
      </c>
      <c r="C3303" t="s">
        <v>5</v>
      </c>
      <c r="D3303">
        <v>9.3439999999999994</v>
      </c>
    </row>
    <row r="3304" spans="2:4">
      <c r="B3304" s="3">
        <v>42994</v>
      </c>
      <c r="C3304" t="s">
        <v>4</v>
      </c>
      <c r="D3304">
        <v>18</v>
      </c>
    </row>
    <row r="3305" spans="2:4">
      <c r="B3305" s="3">
        <v>43080</v>
      </c>
      <c r="C3305" t="s">
        <v>5</v>
      </c>
      <c r="D3305">
        <v>40.199999999999996</v>
      </c>
    </row>
    <row r="3306" spans="2:4">
      <c r="B3306" s="3">
        <v>43080</v>
      </c>
      <c r="C3306" t="s">
        <v>5</v>
      </c>
      <c r="D3306">
        <v>735.98</v>
      </c>
    </row>
    <row r="3307" spans="2:4">
      <c r="B3307" s="3">
        <v>43080</v>
      </c>
      <c r="C3307" t="s">
        <v>5</v>
      </c>
      <c r="D3307">
        <v>22.75</v>
      </c>
    </row>
    <row r="3308" spans="2:4">
      <c r="B3308" s="3">
        <v>42950</v>
      </c>
      <c r="C3308" t="s">
        <v>5</v>
      </c>
      <c r="D3308">
        <v>16.520000000000003</v>
      </c>
    </row>
    <row r="3309" spans="2:4">
      <c r="B3309" s="3">
        <v>43056</v>
      </c>
      <c r="C3309" t="s">
        <v>4</v>
      </c>
      <c r="D3309">
        <v>79.989999999999995</v>
      </c>
    </row>
    <row r="3310" spans="2:4">
      <c r="B3310" s="3">
        <v>43056</v>
      </c>
      <c r="C3310" t="s">
        <v>4</v>
      </c>
      <c r="D3310">
        <v>206.1</v>
      </c>
    </row>
    <row r="3311" spans="2:4">
      <c r="B3311" s="3">
        <v>42792</v>
      </c>
      <c r="C3311" t="s">
        <v>3</v>
      </c>
      <c r="D3311">
        <v>91.96</v>
      </c>
    </row>
    <row r="3312" spans="2:4">
      <c r="B3312" s="3">
        <v>42792</v>
      </c>
      <c r="C3312" t="s">
        <v>4</v>
      </c>
      <c r="D3312">
        <v>258.57600000000002</v>
      </c>
    </row>
    <row r="3313" spans="2:4">
      <c r="B3313" s="3">
        <v>42792</v>
      </c>
      <c r="C3313" t="s">
        <v>5</v>
      </c>
      <c r="D3313">
        <v>29.6</v>
      </c>
    </row>
    <row r="3314" spans="2:4">
      <c r="B3314" s="3">
        <v>42859</v>
      </c>
      <c r="C3314" t="s">
        <v>5</v>
      </c>
      <c r="D3314">
        <v>243.16</v>
      </c>
    </row>
  </sheetData>
  <pageMargins left="0.75" right="0.75" top="1" bottom="1" header="0.5" footer="0.5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314"/>
  <sheetViews>
    <sheetView topLeftCell="B3" workbookViewId="0">
      <selection activeCell="L10" sqref="L10"/>
    </sheetView>
  </sheetViews>
  <sheetFormatPr defaultRowHeight="14.4"/>
  <cols>
    <col min="2" max="2" width="16.33203125" bestFit="1" customWidth="1"/>
    <col min="3" max="3" width="55.44140625" customWidth="1"/>
    <col min="4" max="4" width="10" bestFit="1" customWidth="1"/>
    <col min="8" max="9" width="14.33203125" bestFit="1" customWidth="1"/>
  </cols>
  <sheetData>
    <row r="1" spans="1:10">
      <c r="A1" s="1"/>
      <c r="B1" s="1"/>
      <c r="C1" s="1"/>
      <c r="D1" s="1"/>
      <c r="E1" s="1"/>
    </row>
    <row r="2" spans="1:10" ht="15.6">
      <c r="B2" s="12" t="s">
        <v>39</v>
      </c>
      <c r="C2" s="12" t="s">
        <v>40</v>
      </c>
      <c r="D2" s="12" t="s">
        <v>0</v>
      </c>
      <c r="E2" s="12" t="s">
        <v>3077</v>
      </c>
      <c r="F2" s="12" t="s">
        <v>3078</v>
      </c>
    </row>
    <row r="3" spans="1:10">
      <c r="B3" s="13" t="s">
        <v>41</v>
      </c>
      <c r="C3" s="13" t="s">
        <v>42</v>
      </c>
      <c r="D3" s="13">
        <v>15.552000000000003</v>
      </c>
      <c r="E3" s="13">
        <v>3</v>
      </c>
      <c r="F3" s="13">
        <f>D3/E3</f>
        <v>5.1840000000000011</v>
      </c>
    </row>
    <row r="4" spans="1:10">
      <c r="B4" s="13" t="s">
        <v>43</v>
      </c>
      <c r="C4" s="13" t="s">
        <v>44</v>
      </c>
      <c r="D4" s="13">
        <v>71.371999999999986</v>
      </c>
      <c r="E4" s="13">
        <v>2</v>
      </c>
      <c r="F4" s="13">
        <f t="shared" ref="F4:F67" si="0">D4/E4</f>
        <v>35.685999999999993</v>
      </c>
      <c r="H4" s="13"/>
      <c r="I4" s="13" t="b">
        <v>0</v>
      </c>
      <c r="J4" s="13" t="b">
        <v>1</v>
      </c>
    </row>
    <row r="5" spans="1:10">
      <c r="B5" s="13" t="s">
        <v>45</v>
      </c>
      <c r="C5" s="13" t="s">
        <v>46</v>
      </c>
      <c r="D5" s="13">
        <v>29.472000000000001</v>
      </c>
      <c r="E5" s="13">
        <v>3</v>
      </c>
      <c r="F5" s="13">
        <f t="shared" si="0"/>
        <v>9.8239999999999998</v>
      </c>
      <c r="H5" s="13" t="s">
        <v>3079</v>
      </c>
      <c r="I5" s="13">
        <f>VLOOKUP(B3,B2:F3314,5,FALSE)</f>
        <v>5.1840000000000011</v>
      </c>
      <c r="J5" s="13">
        <f>VLOOKUP(B3,B2:F3314,5,TRUE)</f>
        <v>45.98</v>
      </c>
    </row>
    <row r="6" spans="1:10">
      <c r="B6" s="13" t="s">
        <v>47</v>
      </c>
      <c r="C6" s="13" t="s">
        <v>48</v>
      </c>
      <c r="D6" s="13">
        <v>147.16800000000001</v>
      </c>
      <c r="E6" s="13">
        <v>4</v>
      </c>
      <c r="F6" s="13">
        <f t="shared" si="0"/>
        <v>36.792000000000002</v>
      </c>
    </row>
    <row r="7" spans="1:10" ht="15.6">
      <c r="B7" s="13" t="s">
        <v>49</v>
      </c>
      <c r="C7" s="13" t="s">
        <v>50</v>
      </c>
      <c r="D7" s="13">
        <v>95.616</v>
      </c>
      <c r="E7" s="13">
        <v>2</v>
      </c>
      <c r="F7" s="13">
        <f t="shared" si="0"/>
        <v>47.808</v>
      </c>
      <c r="H7" s="12" t="s">
        <v>39</v>
      </c>
      <c r="I7" s="12">
        <v>111</v>
      </c>
      <c r="J7" s="12">
        <v>112</v>
      </c>
    </row>
    <row r="8" spans="1:10" ht="15.6">
      <c r="B8" s="13" t="s">
        <v>51</v>
      </c>
      <c r="C8" s="13" t="s">
        <v>52</v>
      </c>
      <c r="D8" s="13">
        <v>19.049999999999997</v>
      </c>
      <c r="E8" s="13">
        <v>3</v>
      </c>
      <c r="F8" s="13">
        <f t="shared" si="0"/>
        <v>6.3499999999999988</v>
      </c>
      <c r="H8" s="12" t="s">
        <v>40</v>
      </c>
      <c r="I8" s="13" t="s">
        <v>3081</v>
      </c>
      <c r="J8" s="13" t="s">
        <v>3082</v>
      </c>
    </row>
    <row r="9" spans="1:10" ht="15.6">
      <c r="B9" s="13" t="s">
        <v>53</v>
      </c>
      <c r="C9" s="13" t="s">
        <v>56</v>
      </c>
      <c r="D9" s="13">
        <v>1.2479999999999998</v>
      </c>
      <c r="E9" s="13">
        <v>3</v>
      </c>
      <c r="F9" s="13">
        <f t="shared" si="0"/>
        <v>0.41599999999999993</v>
      </c>
      <c r="H9" s="12" t="s">
        <v>3078</v>
      </c>
      <c r="I9" s="13">
        <v>1111</v>
      </c>
      <c r="J9" s="13">
        <v>1113</v>
      </c>
    </row>
    <row r="10" spans="1:10">
      <c r="B10" s="13" t="s">
        <v>54</v>
      </c>
      <c r="C10" s="13" t="s">
        <v>57</v>
      </c>
      <c r="D10" s="13">
        <v>9.7080000000000002</v>
      </c>
      <c r="E10" s="13">
        <v>3</v>
      </c>
      <c r="F10" s="13">
        <f t="shared" si="0"/>
        <v>3.2360000000000002</v>
      </c>
    </row>
    <row r="11" spans="1:10">
      <c r="B11" s="13" t="s">
        <v>55</v>
      </c>
      <c r="C11" s="13" t="s">
        <v>58</v>
      </c>
      <c r="D11" s="13">
        <v>27.240000000000002</v>
      </c>
      <c r="E11" s="13">
        <v>3</v>
      </c>
      <c r="F11" s="13">
        <f t="shared" si="0"/>
        <v>9.08</v>
      </c>
      <c r="H11" s="13"/>
      <c r="I11" s="13" t="b">
        <v>0</v>
      </c>
      <c r="J11" s="13" t="b">
        <v>1</v>
      </c>
    </row>
    <row r="12" spans="1:10" ht="15.6">
      <c r="B12" s="13" t="s">
        <v>59</v>
      </c>
      <c r="C12" s="13" t="s">
        <v>63</v>
      </c>
      <c r="D12" s="13">
        <v>230.376</v>
      </c>
      <c r="E12" s="13">
        <v>3</v>
      </c>
      <c r="F12" s="13">
        <f t="shared" si="0"/>
        <v>76.792000000000002</v>
      </c>
      <c r="H12" s="12" t="s">
        <v>3080</v>
      </c>
      <c r="I12" s="13" t="str">
        <f>HLOOKUP(I7,H7:J9,2,FALSE)</f>
        <v>Mango</v>
      </c>
      <c r="J12" s="13" t="str">
        <f>HLOOKUP(I7,H7:J9,2,TRUE)</f>
        <v>Mango</v>
      </c>
    </row>
    <row r="13" spans="1:10">
      <c r="B13" s="13" t="s">
        <v>60</v>
      </c>
      <c r="C13" s="13" t="s">
        <v>64</v>
      </c>
      <c r="D13" s="13">
        <v>301.95999999999998</v>
      </c>
      <c r="E13" s="13">
        <v>2</v>
      </c>
      <c r="F13" s="13">
        <f t="shared" si="0"/>
        <v>150.97999999999999</v>
      </c>
    </row>
    <row r="14" spans="1:10">
      <c r="B14" s="13" t="s">
        <v>61</v>
      </c>
      <c r="C14" s="13" t="s">
        <v>65</v>
      </c>
      <c r="D14" s="13">
        <v>19.989999999999998</v>
      </c>
      <c r="E14" s="13">
        <v>1</v>
      </c>
      <c r="F14" s="13">
        <f t="shared" si="0"/>
        <v>19.989999999999998</v>
      </c>
      <c r="H14" s="6" t="s">
        <v>3083</v>
      </c>
    </row>
    <row r="15" spans="1:10">
      <c r="B15" s="13" t="s">
        <v>62</v>
      </c>
      <c r="C15" s="13" t="s">
        <v>66</v>
      </c>
      <c r="D15" s="13">
        <v>6.16</v>
      </c>
      <c r="E15" s="13">
        <v>2</v>
      </c>
      <c r="F15" s="13">
        <f t="shared" si="0"/>
        <v>3.08</v>
      </c>
    </row>
    <row r="16" spans="1:10" ht="18">
      <c r="B16" s="13" t="s">
        <v>67</v>
      </c>
      <c r="C16" s="13" t="s">
        <v>70</v>
      </c>
      <c r="D16" s="13">
        <v>5.6820000000000013</v>
      </c>
      <c r="E16" s="13">
        <v>1</v>
      </c>
      <c r="F16" s="13">
        <f t="shared" si="0"/>
        <v>5.6820000000000013</v>
      </c>
      <c r="H16" s="7" t="s">
        <v>3084</v>
      </c>
    </row>
    <row r="17" spans="2:8">
      <c r="B17" s="13" t="s">
        <v>68</v>
      </c>
      <c r="C17" s="13" t="s">
        <v>71</v>
      </c>
      <c r="D17" s="13">
        <v>96.53</v>
      </c>
      <c r="E17" s="13">
        <v>7</v>
      </c>
      <c r="F17" s="13">
        <f t="shared" si="0"/>
        <v>13.790000000000001</v>
      </c>
    </row>
    <row r="18" spans="2:8">
      <c r="B18" s="13" t="s">
        <v>69</v>
      </c>
      <c r="C18" s="13" t="s">
        <v>72</v>
      </c>
      <c r="D18" s="13">
        <v>51.311999999999998</v>
      </c>
      <c r="E18" s="13">
        <v>3</v>
      </c>
      <c r="F18" s="13">
        <f t="shared" si="0"/>
        <v>17.103999999999999</v>
      </c>
      <c r="H18" s="10" t="s">
        <v>3085</v>
      </c>
    </row>
    <row r="19" spans="2:8">
      <c r="B19" s="13" t="s">
        <v>73</v>
      </c>
      <c r="C19" s="13" t="s">
        <v>76</v>
      </c>
      <c r="D19" s="13">
        <v>74.112000000000009</v>
      </c>
      <c r="E19" s="13">
        <v>8</v>
      </c>
      <c r="F19" s="13">
        <f t="shared" si="0"/>
        <v>9.2640000000000011</v>
      </c>
    </row>
    <row r="20" spans="2:8">
      <c r="B20" s="13" t="s">
        <v>74</v>
      </c>
      <c r="C20" s="13" t="s">
        <v>77</v>
      </c>
      <c r="D20" s="13">
        <v>27.992000000000004</v>
      </c>
      <c r="E20" s="13">
        <v>1</v>
      </c>
      <c r="F20" s="13">
        <f t="shared" si="0"/>
        <v>27.992000000000004</v>
      </c>
      <c r="H20" s="6" t="s">
        <v>3086</v>
      </c>
    </row>
    <row r="21" spans="2:8">
      <c r="B21" s="13" t="s">
        <v>75</v>
      </c>
      <c r="C21" s="13" t="s">
        <v>78</v>
      </c>
      <c r="D21" s="13">
        <v>3.3040000000000003</v>
      </c>
      <c r="E21" s="13">
        <v>1</v>
      </c>
      <c r="F21" s="13">
        <f t="shared" si="0"/>
        <v>3.3040000000000003</v>
      </c>
      <c r="H21" s="8"/>
    </row>
    <row r="22" spans="2:8">
      <c r="B22" s="13" t="s">
        <v>79</v>
      </c>
      <c r="C22" s="13" t="s">
        <v>80</v>
      </c>
      <c r="D22" s="13">
        <v>41.96</v>
      </c>
      <c r="E22" s="13">
        <v>2</v>
      </c>
      <c r="F22" s="13">
        <f t="shared" si="0"/>
        <v>20.98</v>
      </c>
      <c r="H22" s="9" t="s">
        <v>3087</v>
      </c>
    </row>
    <row r="23" spans="2:8">
      <c r="B23" s="13" t="s">
        <v>81</v>
      </c>
      <c r="C23" s="13" t="s">
        <v>83</v>
      </c>
      <c r="D23" s="13">
        <v>2.3880000000000003</v>
      </c>
      <c r="E23" s="13">
        <v>2</v>
      </c>
      <c r="F23" s="13">
        <f t="shared" si="0"/>
        <v>1.1940000000000002</v>
      </c>
      <c r="H23" s="9" t="s">
        <v>3088</v>
      </c>
    </row>
    <row r="24" spans="2:8">
      <c r="B24" s="13" t="s">
        <v>82</v>
      </c>
      <c r="C24" s="13" t="s">
        <v>84</v>
      </c>
      <c r="D24" s="13">
        <v>243.99200000000002</v>
      </c>
      <c r="E24" s="13">
        <v>7</v>
      </c>
      <c r="F24" s="13">
        <f t="shared" si="0"/>
        <v>34.856000000000002</v>
      </c>
      <c r="H24" s="9" t="s">
        <v>3089</v>
      </c>
    </row>
    <row r="25" spans="2:8">
      <c r="B25" s="13" t="s">
        <v>85</v>
      </c>
      <c r="C25" s="13" t="s">
        <v>88</v>
      </c>
      <c r="D25" s="13">
        <v>59.969999999999992</v>
      </c>
      <c r="E25" s="13">
        <v>5</v>
      </c>
      <c r="F25" s="13">
        <f t="shared" si="0"/>
        <v>11.993999999999998</v>
      </c>
      <c r="H25" s="9" t="s">
        <v>3090</v>
      </c>
    </row>
    <row r="26" spans="2:8">
      <c r="B26" s="13" t="s">
        <v>86</v>
      </c>
      <c r="C26" s="13" t="s">
        <v>89</v>
      </c>
      <c r="D26" s="13">
        <v>78.304000000000002</v>
      </c>
      <c r="E26" s="13">
        <v>2</v>
      </c>
      <c r="F26" s="13">
        <f t="shared" si="0"/>
        <v>39.152000000000001</v>
      </c>
      <c r="H26" s="11" t="s">
        <v>3091</v>
      </c>
    </row>
    <row r="27" spans="2:8">
      <c r="B27" s="13" t="s">
        <v>87</v>
      </c>
      <c r="C27" s="13" t="s">
        <v>90</v>
      </c>
      <c r="D27" s="13">
        <v>21.456</v>
      </c>
      <c r="E27" s="13">
        <v>9</v>
      </c>
      <c r="F27" s="13">
        <f t="shared" si="0"/>
        <v>2.3839999999999999</v>
      </c>
      <c r="H27" s="11" t="s">
        <v>3092</v>
      </c>
    </row>
    <row r="28" spans="2:8">
      <c r="B28" s="13" t="s">
        <v>91</v>
      </c>
      <c r="C28" s="13" t="s">
        <v>95</v>
      </c>
      <c r="D28" s="13">
        <v>8.82</v>
      </c>
      <c r="E28" s="13">
        <v>3</v>
      </c>
      <c r="F28" s="13">
        <f t="shared" si="0"/>
        <v>2.94</v>
      </c>
    </row>
    <row r="29" spans="2:8" ht="18">
      <c r="B29" s="13" t="s">
        <v>92</v>
      </c>
      <c r="C29" s="13" t="s">
        <v>96</v>
      </c>
      <c r="D29" s="13">
        <v>10.86</v>
      </c>
      <c r="E29" s="13">
        <v>3</v>
      </c>
      <c r="F29" s="13">
        <f t="shared" si="0"/>
        <v>3.6199999999999997</v>
      </c>
      <c r="H29" s="7" t="s">
        <v>3093</v>
      </c>
    </row>
    <row r="30" spans="2:8">
      <c r="B30" s="13" t="s">
        <v>93</v>
      </c>
      <c r="C30" s="13" t="s">
        <v>97</v>
      </c>
      <c r="D30" s="13">
        <v>143.69999999999999</v>
      </c>
      <c r="E30" s="13">
        <v>3</v>
      </c>
      <c r="F30" s="13">
        <f t="shared" si="0"/>
        <v>47.9</v>
      </c>
      <c r="H30" s="8"/>
    </row>
    <row r="31" spans="2:8">
      <c r="B31" s="13" t="s">
        <v>94</v>
      </c>
      <c r="C31" s="13" t="s">
        <v>98</v>
      </c>
      <c r="D31" s="13">
        <v>839.43000000000006</v>
      </c>
      <c r="E31" s="13">
        <v>3</v>
      </c>
      <c r="F31" s="13">
        <f t="shared" si="0"/>
        <v>279.81</v>
      </c>
      <c r="H31" s="9" t="s">
        <v>3094</v>
      </c>
    </row>
    <row r="32" spans="2:8">
      <c r="B32" s="13" t="s">
        <v>99</v>
      </c>
      <c r="C32" s="13" t="s">
        <v>100</v>
      </c>
      <c r="D32" s="13">
        <v>97.263999999999982</v>
      </c>
      <c r="E32" s="13">
        <v>4</v>
      </c>
      <c r="F32" s="13">
        <f t="shared" si="0"/>
        <v>24.315999999999995</v>
      </c>
      <c r="H32" s="9" t="s">
        <v>3095</v>
      </c>
    </row>
    <row r="33" spans="2:12">
      <c r="B33" s="13" t="s">
        <v>101</v>
      </c>
      <c r="C33" s="13" t="s">
        <v>105</v>
      </c>
      <c r="D33" s="13">
        <v>46.26</v>
      </c>
      <c r="E33" s="13">
        <v>3</v>
      </c>
      <c r="F33" s="13">
        <f t="shared" si="0"/>
        <v>15.42</v>
      </c>
      <c r="H33" s="9" t="s">
        <v>3096</v>
      </c>
    </row>
    <row r="34" spans="2:12">
      <c r="B34" s="13" t="s">
        <v>102</v>
      </c>
      <c r="C34" s="13" t="s">
        <v>106</v>
      </c>
      <c r="D34" s="13">
        <v>2.9460000000000006</v>
      </c>
      <c r="E34" s="13">
        <v>2</v>
      </c>
      <c r="F34" s="13">
        <f t="shared" si="0"/>
        <v>1.4730000000000003</v>
      </c>
      <c r="H34" s="9" t="s">
        <v>3097</v>
      </c>
    </row>
    <row r="35" spans="2:12">
      <c r="B35" s="13" t="s">
        <v>103</v>
      </c>
      <c r="C35" s="13" t="s">
        <v>107</v>
      </c>
      <c r="D35" s="13">
        <v>16.056000000000001</v>
      </c>
      <c r="E35" s="13">
        <v>3</v>
      </c>
      <c r="F35" s="13">
        <f t="shared" si="0"/>
        <v>5.3520000000000003</v>
      </c>
      <c r="H35" s="9" t="s">
        <v>3098</v>
      </c>
    </row>
    <row r="36" spans="2:12">
      <c r="B36" s="13" t="s">
        <v>104</v>
      </c>
      <c r="C36" s="13" t="s">
        <v>108</v>
      </c>
      <c r="D36" s="13">
        <v>21.744000000000003</v>
      </c>
      <c r="E36" s="13">
        <v>3</v>
      </c>
      <c r="F36" s="13">
        <f t="shared" si="0"/>
        <v>7.2480000000000011</v>
      </c>
      <c r="H36" s="9" t="s">
        <v>3099</v>
      </c>
    </row>
    <row r="37" spans="2:12">
      <c r="B37" s="13" t="s">
        <v>109</v>
      </c>
      <c r="C37" s="13" t="s">
        <v>116</v>
      </c>
      <c r="D37" s="13">
        <v>66.283999999999992</v>
      </c>
      <c r="E37" s="13">
        <v>2</v>
      </c>
      <c r="F37" s="13">
        <f t="shared" si="0"/>
        <v>33.141999999999996</v>
      </c>
    </row>
    <row r="38" spans="2:12">
      <c r="B38" s="13" t="s">
        <v>110</v>
      </c>
      <c r="C38" s="13" t="s">
        <v>117</v>
      </c>
      <c r="D38" s="13">
        <v>35.168000000000006</v>
      </c>
      <c r="E38" s="13">
        <v>7</v>
      </c>
      <c r="F38" s="13">
        <f t="shared" si="0"/>
        <v>5.0240000000000009</v>
      </c>
    </row>
    <row r="39" spans="2:12">
      <c r="B39" s="13" t="s">
        <v>111</v>
      </c>
      <c r="C39" s="13" t="s">
        <v>118</v>
      </c>
      <c r="D39" s="13">
        <v>444.76800000000003</v>
      </c>
      <c r="E39" s="13">
        <v>4</v>
      </c>
      <c r="F39" s="13">
        <f t="shared" si="0"/>
        <v>111.19200000000001</v>
      </c>
      <c r="H39" s="6" t="s">
        <v>3102</v>
      </c>
      <c r="I39" s="6"/>
      <c r="J39" s="6"/>
      <c r="K39" s="6"/>
      <c r="L39" s="6"/>
    </row>
    <row r="40" spans="2:12">
      <c r="B40" s="13" t="s">
        <v>112</v>
      </c>
      <c r="C40" s="13" t="s">
        <v>119</v>
      </c>
      <c r="D40" s="13">
        <v>83.92</v>
      </c>
      <c r="E40" s="13">
        <v>4</v>
      </c>
      <c r="F40" s="13">
        <f t="shared" si="0"/>
        <v>20.98</v>
      </c>
      <c r="H40" t="s">
        <v>3100</v>
      </c>
    </row>
    <row r="41" spans="2:12">
      <c r="B41" s="13" t="s">
        <v>113</v>
      </c>
      <c r="C41" s="13" t="s">
        <v>120</v>
      </c>
      <c r="D41" s="13">
        <v>131.97999999999999</v>
      </c>
      <c r="E41" s="13">
        <v>2</v>
      </c>
      <c r="F41" s="13">
        <f t="shared" si="0"/>
        <v>65.989999999999995</v>
      </c>
      <c r="H41" t="s">
        <v>3101</v>
      </c>
    </row>
    <row r="42" spans="2:12">
      <c r="B42" s="13" t="s">
        <v>81</v>
      </c>
      <c r="C42" s="13" t="s">
        <v>83</v>
      </c>
      <c r="D42" s="13">
        <v>15.92</v>
      </c>
      <c r="E42" s="13">
        <v>4</v>
      </c>
      <c r="F42" s="13">
        <f t="shared" si="0"/>
        <v>3.98</v>
      </c>
    </row>
    <row r="43" spans="2:12" ht="18">
      <c r="B43" s="13" t="s">
        <v>114</v>
      </c>
      <c r="C43" s="13" t="s">
        <v>121</v>
      </c>
      <c r="D43" s="13">
        <v>52.29</v>
      </c>
      <c r="E43" s="13">
        <v>9</v>
      </c>
      <c r="F43" s="13">
        <f t="shared" si="0"/>
        <v>5.81</v>
      </c>
      <c r="H43" s="7" t="s">
        <v>3103</v>
      </c>
    </row>
    <row r="44" spans="2:12">
      <c r="B44" s="13" t="s">
        <v>115</v>
      </c>
      <c r="C44" s="13" t="s">
        <v>122</v>
      </c>
      <c r="D44" s="13">
        <v>91.99</v>
      </c>
      <c r="E44" s="13">
        <v>1</v>
      </c>
      <c r="F44" s="13">
        <f t="shared" si="0"/>
        <v>91.99</v>
      </c>
      <c r="H44" s="8"/>
    </row>
    <row r="45" spans="2:12">
      <c r="B45" s="13" t="s">
        <v>123</v>
      </c>
      <c r="C45" s="13" t="s">
        <v>129</v>
      </c>
      <c r="D45" s="13">
        <v>233.86</v>
      </c>
      <c r="E45" s="13">
        <v>2</v>
      </c>
      <c r="F45" s="13">
        <f t="shared" si="0"/>
        <v>116.93</v>
      </c>
      <c r="H45" s="9" t="s">
        <v>3104</v>
      </c>
    </row>
    <row r="46" spans="2:12">
      <c r="B46" s="13" t="s">
        <v>124</v>
      </c>
      <c r="C46" s="13" t="s">
        <v>130</v>
      </c>
      <c r="D46" s="13">
        <v>620.61450000000013</v>
      </c>
      <c r="E46" s="13">
        <v>3</v>
      </c>
      <c r="F46" s="13">
        <f t="shared" si="0"/>
        <v>206.87150000000005</v>
      </c>
      <c r="H46" s="9" t="s">
        <v>3105</v>
      </c>
    </row>
    <row r="47" spans="2:12">
      <c r="B47" s="13" t="s">
        <v>125</v>
      </c>
      <c r="C47" s="13" t="s">
        <v>131</v>
      </c>
      <c r="D47" s="13">
        <v>5.3280000000000012</v>
      </c>
      <c r="E47" s="13">
        <v>2</v>
      </c>
      <c r="F47" s="13">
        <f t="shared" si="0"/>
        <v>2.6640000000000006</v>
      </c>
      <c r="H47" s="9" t="s">
        <v>3106</v>
      </c>
    </row>
    <row r="48" spans="2:12">
      <c r="B48" s="13" t="s">
        <v>126</v>
      </c>
      <c r="C48" s="13" t="s">
        <v>132</v>
      </c>
      <c r="D48" s="13">
        <v>258.072</v>
      </c>
      <c r="E48" s="13">
        <v>3</v>
      </c>
      <c r="F48" s="13">
        <f t="shared" si="0"/>
        <v>86.024000000000001</v>
      </c>
      <c r="H48" s="9" t="s">
        <v>3107</v>
      </c>
    </row>
    <row r="49" spans="2:8">
      <c r="B49" s="13" t="s">
        <v>127</v>
      </c>
      <c r="C49" s="13" t="s">
        <v>133</v>
      </c>
      <c r="D49" s="13">
        <v>617.97600000000011</v>
      </c>
      <c r="E49" s="13">
        <v>3</v>
      </c>
      <c r="F49" s="13">
        <f t="shared" si="0"/>
        <v>205.99200000000005</v>
      </c>
    </row>
    <row r="50" spans="2:8" ht="18">
      <c r="B50" s="13" t="s">
        <v>128</v>
      </c>
      <c r="C50" s="13" t="s">
        <v>134</v>
      </c>
      <c r="D50" s="13">
        <v>10.56</v>
      </c>
      <c r="E50" s="13">
        <v>2</v>
      </c>
      <c r="F50" s="13">
        <f t="shared" si="0"/>
        <v>5.28</v>
      </c>
      <c r="H50" s="7" t="s">
        <v>3108</v>
      </c>
    </row>
    <row r="51" spans="2:8">
      <c r="B51" s="13" t="s">
        <v>135</v>
      </c>
      <c r="C51" s="13" t="s">
        <v>139</v>
      </c>
      <c r="D51" s="13">
        <v>20.37</v>
      </c>
      <c r="E51" s="13">
        <v>3</v>
      </c>
      <c r="F51" s="13">
        <f t="shared" si="0"/>
        <v>6.79</v>
      </c>
      <c r="H51" s="8"/>
    </row>
    <row r="52" spans="2:8">
      <c r="B52" s="13" t="s">
        <v>136</v>
      </c>
      <c r="C52" s="13" t="s">
        <v>140</v>
      </c>
      <c r="D52" s="13">
        <v>221.54999999999998</v>
      </c>
      <c r="E52" s="13">
        <v>3</v>
      </c>
      <c r="F52" s="13">
        <f t="shared" si="0"/>
        <v>73.849999999999994</v>
      </c>
      <c r="H52" s="9" t="s">
        <v>3109</v>
      </c>
    </row>
    <row r="53" spans="2:8">
      <c r="B53" s="13" t="s">
        <v>137</v>
      </c>
      <c r="C53" s="13" t="s">
        <v>141</v>
      </c>
      <c r="D53" s="13">
        <v>17.52</v>
      </c>
      <c r="E53" s="13">
        <v>5</v>
      </c>
      <c r="F53" s="13">
        <f t="shared" si="0"/>
        <v>3.504</v>
      </c>
      <c r="H53" s="9" t="s">
        <v>3110</v>
      </c>
    </row>
    <row r="54" spans="2:8">
      <c r="B54" s="13" t="s">
        <v>138</v>
      </c>
      <c r="C54" s="13" t="s">
        <v>142</v>
      </c>
      <c r="D54" s="13">
        <v>1.6239999999999994</v>
      </c>
      <c r="E54" s="13">
        <v>2</v>
      </c>
      <c r="F54" s="13">
        <f t="shared" si="0"/>
        <v>0.81199999999999972</v>
      </c>
      <c r="H54" s="9" t="s">
        <v>3111</v>
      </c>
    </row>
    <row r="55" spans="2:8">
      <c r="B55" s="13" t="s">
        <v>143</v>
      </c>
      <c r="C55" s="13" t="s">
        <v>144</v>
      </c>
      <c r="D55" s="13">
        <v>14.015999999999998</v>
      </c>
      <c r="E55" s="13">
        <v>3</v>
      </c>
      <c r="F55" s="13">
        <f t="shared" si="0"/>
        <v>4.6719999999999997</v>
      </c>
      <c r="H55" s="9" t="s">
        <v>3112</v>
      </c>
    </row>
    <row r="56" spans="2:8">
      <c r="B56" s="13" t="s">
        <v>145</v>
      </c>
      <c r="C56" s="13" t="s">
        <v>148</v>
      </c>
      <c r="D56" s="13">
        <v>37.207999999999998</v>
      </c>
      <c r="E56" s="13">
        <v>1</v>
      </c>
      <c r="F56" s="13">
        <f t="shared" si="0"/>
        <v>37.207999999999998</v>
      </c>
    </row>
    <row r="57" spans="2:8">
      <c r="B57" s="13" t="s">
        <v>146</v>
      </c>
      <c r="C57" s="13" t="s">
        <v>149</v>
      </c>
      <c r="D57" s="13">
        <v>57.576000000000001</v>
      </c>
      <c r="E57" s="13">
        <v>3</v>
      </c>
      <c r="F57" s="13">
        <f t="shared" si="0"/>
        <v>19.192</v>
      </c>
    </row>
    <row r="58" spans="2:8">
      <c r="B58" s="13" t="s">
        <v>147</v>
      </c>
      <c r="C58" s="13" t="s">
        <v>150</v>
      </c>
      <c r="D58" s="13">
        <v>725.84</v>
      </c>
      <c r="E58" s="13">
        <v>4</v>
      </c>
      <c r="F58" s="13">
        <f t="shared" si="0"/>
        <v>181.46</v>
      </c>
    </row>
    <row r="59" spans="2:8">
      <c r="B59" s="13" t="s">
        <v>151</v>
      </c>
      <c r="C59" s="13" t="s">
        <v>157</v>
      </c>
      <c r="D59" s="13">
        <v>8.82</v>
      </c>
      <c r="E59" s="13">
        <v>2</v>
      </c>
      <c r="F59" s="13">
        <f t="shared" si="0"/>
        <v>4.41</v>
      </c>
    </row>
    <row r="60" spans="2:8">
      <c r="B60" s="13" t="s">
        <v>152</v>
      </c>
      <c r="C60" s="13" t="s">
        <v>158</v>
      </c>
      <c r="D60" s="13">
        <v>5.98</v>
      </c>
      <c r="E60" s="13">
        <v>1</v>
      </c>
      <c r="F60" s="13">
        <f t="shared" si="0"/>
        <v>5.98</v>
      </c>
    </row>
    <row r="61" spans="2:8">
      <c r="B61" s="13" t="s">
        <v>153</v>
      </c>
      <c r="C61" s="13" t="s">
        <v>159</v>
      </c>
      <c r="D61" s="13">
        <v>11.648000000000001</v>
      </c>
      <c r="E61" s="13">
        <v>2</v>
      </c>
      <c r="F61" s="13">
        <f t="shared" si="0"/>
        <v>5.8240000000000007</v>
      </c>
    </row>
    <row r="62" spans="2:8">
      <c r="B62" s="13" t="s">
        <v>154</v>
      </c>
      <c r="C62" s="13" t="s">
        <v>160</v>
      </c>
      <c r="D62" s="13">
        <v>18.175999999999998</v>
      </c>
      <c r="E62" s="13">
        <v>4</v>
      </c>
      <c r="F62" s="13">
        <f t="shared" si="0"/>
        <v>4.5439999999999996</v>
      </c>
    </row>
    <row r="63" spans="2:8">
      <c r="B63" s="13" t="s">
        <v>155</v>
      </c>
      <c r="C63" s="13" t="s">
        <v>161</v>
      </c>
      <c r="D63" s="13">
        <v>59.712000000000003</v>
      </c>
      <c r="E63" s="13">
        <v>6</v>
      </c>
      <c r="F63" s="13">
        <f t="shared" si="0"/>
        <v>9.952</v>
      </c>
    </row>
    <row r="64" spans="2:8">
      <c r="B64" s="13" t="s">
        <v>156</v>
      </c>
      <c r="C64" s="13" t="s">
        <v>162</v>
      </c>
      <c r="D64" s="13">
        <v>24.839999999999996</v>
      </c>
      <c r="E64" s="13">
        <v>3</v>
      </c>
      <c r="F64" s="13">
        <f t="shared" si="0"/>
        <v>8.2799999999999994</v>
      </c>
    </row>
    <row r="65" spans="2:6">
      <c r="B65" s="13" t="s">
        <v>163</v>
      </c>
      <c r="C65" s="13" t="s">
        <v>164</v>
      </c>
      <c r="D65" s="13">
        <v>219.07500000000002</v>
      </c>
      <c r="E65" s="13">
        <v>3</v>
      </c>
      <c r="F65" s="13">
        <f t="shared" si="0"/>
        <v>73.025000000000006</v>
      </c>
    </row>
    <row r="66" spans="2:6">
      <c r="B66" s="13" t="s">
        <v>165</v>
      </c>
      <c r="C66" s="13" t="s">
        <v>166</v>
      </c>
      <c r="D66" s="13">
        <v>4.8899999999999997</v>
      </c>
      <c r="E66" s="13">
        <v>1</v>
      </c>
      <c r="F66" s="13">
        <f t="shared" si="0"/>
        <v>4.8899999999999997</v>
      </c>
    </row>
    <row r="67" spans="2:6">
      <c r="B67" s="13" t="s">
        <v>167</v>
      </c>
      <c r="C67" s="13" t="s">
        <v>168</v>
      </c>
      <c r="D67" s="13">
        <v>15.991999999999999</v>
      </c>
      <c r="E67" s="13">
        <v>1</v>
      </c>
      <c r="F67" s="13">
        <f t="shared" si="0"/>
        <v>15.991999999999999</v>
      </c>
    </row>
    <row r="68" spans="2:6">
      <c r="B68" s="13" t="s">
        <v>85</v>
      </c>
      <c r="C68" s="13" t="s">
        <v>88</v>
      </c>
      <c r="D68" s="13">
        <v>47.975999999999999</v>
      </c>
      <c r="E68" s="13">
        <v>3</v>
      </c>
      <c r="F68" s="13">
        <f t="shared" ref="F68:F131" si="1">D68/E68</f>
        <v>15.991999999999999</v>
      </c>
    </row>
    <row r="69" spans="2:6">
      <c r="B69" s="13" t="s">
        <v>169</v>
      </c>
      <c r="C69" s="13" t="s">
        <v>171</v>
      </c>
      <c r="D69" s="13">
        <v>7.5600000000000005</v>
      </c>
      <c r="E69" s="13">
        <v>3</v>
      </c>
      <c r="F69" s="13">
        <f t="shared" si="1"/>
        <v>2.52</v>
      </c>
    </row>
    <row r="70" spans="2:6">
      <c r="B70" s="13" t="s">
        <v>45</v>
      </c>
      <c r="C70" s="13" t="s">
        <v>46</v>
      </c>
      <c r="D70" s="13">
        <v>24.56</v>
      </c>
      <c r="E70" s="13">
        <v>2</v>
      </c>
      <c r="F70" s="13">
        <f t="shared" si="1"/>
        <v>12.28</v>
      </c>
    </row>
    <row r="71" spans="2:6">
      <c r="B71" s="13" t="s">
        <v>170</v>
      </c>
      <c r="C71" s="13" t="s">
        <v>172</v>
      </c>
      <c r="D71" s="13">
        <v>12.96</v>
      </c>
      <c r="E71" s="13">
        <v>2</v>
      </c>
      <c r="F71" s="13">
        <f t="shared" si="1"/>
        <v>6.48</v>
      </c>
    </row>
    <row r="72" spans="2:6">
      <c r="B72" s="13" t="s">
        <v>173</v>
      </c>
      <c r="C72" s="13" t="s">
        <v>178</v>
      </c>
      <c r="D72" s="13">
        <v>647.84</v>
      </c>
      <c r="E72" s="13">
        <v>8</v>
      </c>
      <c r="F72" s="13">
        <f t="shared" si="1"/>
        <v>80.98</v>
      </c>
    </row>
    <row r="73" spans="2:6">
      <c r="B73" s="13" t="s">
        <v>174</v>
      </c>
      <c r="C73" s="13" t="s">
        <v>179</v>
      </c>
      <c r="D73" s="13">
        <v>20.7</v>
      </c>
      <c r="E73" s="13">
        <v>2</v>
      </c>
      <c r="F73" s="13">
        <f t="shared" si="1"/>
        <v>10.35</v>
      </c>
    </row>
    <row r="74" spans="2:6">
      <c r="B74" s="13" t="s">
        <v>174</v>
      </c>
      <c r="C74" s="13" t="s">
        <v>179</v>
      </c>
      <c r="D74" s="13">
        <v>20.7</v>
      </c>
      <c r="E74" s="13">
        <v>2</v>
      </c>
      <c r="F74" s="13">
        <f t="shared" si="1"/>
        <v>10.35</v>
      </c>
    </row>
    <row r="75" spans="2:6">
      <c r="B75" s="13" t="s">
        <v>175</v>
      </c>
      <c r="C75" s="13" t="s">
        <v>180</v>
      </c>
      <c r="D75" s="13">
        <v>488.64600000000002</v>
      </c>
      <c r="E75" s="13">
        <v>3</v>
      </c>
      <c r="F75" s="13">
        <f t="shared" si="1"/>
        <v>162.88200000000001</v>
      </c>
    </row>
    <row r="76" spans="2:6">
      <c r="B76" s="13" t="s">
        <v>176</v>
      </c>
      <c r="C76" s="13" t="s">
        <v>181</v>
      </c>
      <c r="D76" s="13">
        <v>5.56</v>
      </c>
      <c r="E76" s="13">
        <v>2</v>
      </c>
      <c r="F76" s="13">
        <f t="shared" si="1"/>
        <v>2.78</v>
      </c>
    </row>
    <row r="77" spans="2:6">
      <c r="B77" s="13" t="s">
        <v>177</v>
      </c>
      <c r="C77" s="13" t="s">
        <v>182</v>
      </c>
      <c r="D77" s="13">
        <v>47.12</v>
      </c>
      <c r="E77" s="13">
        <v>8</v>
      </c>
      <c r="F77" s="13">
        <f t="shared" si="1"/>
        <v>5.89</v>
      </c>
    </row>
    <row r="78" spans="2:6">
      <c r="B78" s="13" t="s">
        <v>183</v>
      </c>
      <c r="C78" s="13" t="s">
        <v>185</v>
      </c>
      <c r="D78" s="13">
        <v>25.920000000000005</v>
      </c>
      <c r="E78" s="13">
        <v>5</v>
      </c>
      <c r="F78" s="13">
        <f t="shared" si="1"/>
        <v>5.1840000000000011</v>
      </c>
    </row>
    <row r="79" spans="2:6">
      <c r="B79" s="13" t="s">
        <v>184</v>
      </c>
      <c r="C79" s="13" t="s">
        <v>186</v>
      </c>
      <c r="D79" s="13">
        <v>53.424000000000007</v>
      </c>
      <c r="E79" s="13">
        <v>3</v>
      </c>
      <c r="F79" s="13">
        <f t="shared" si="1"/>
        <v>17.808000000000003</v>
      </c>
    </row>
    <row r="80" spans="2:6">
      <c r="B80" s="13" t="s">
        <v>187</v>
      </c>
      <c r="C80" s="13" t="s">
        <v>188</v>
      </c>
      <c r="D80" s="13">
        <v>1488.4239999999998</v>
      </c>
      <c r="E80" s="13">
        <v>7</v>
      </c>
      <c r="F80" s="13">
        <f t="shared" si="1"/>
        <v>212.63199999999998</v>
      </c>
    </row>
    <row r="81" spans="2:6">
      <c r="B81" s="13" t="s">
        <v>189</v>
      </c>
      <c r="C81" s="13" t="s">
        <v>190</v>
      </c>
      <c r="D81" s="13">
        <v>23.36</v>
      </c>
      <c r="E81" s="13">
        <v>4</v>
      </c>
      <c r="F81" s="13">
        <f t="shared" si="1"/>
        <v>5.84</v>
      </c>
    </row>
    <row r="82" spans="2:6">
      <c r="B82" s="13" t="s">
        <v>61</v>
      </c>
      <c r="C82" s="13" t="s">
        <v>65</v>
      </c>
      <c r="D82" s="13">
        <v>39.979999999999997</v>
      </c>
      <c r="E82" s="13">
        <v>2</v>
      </c>
      <c r="F82" s="13">
        <f t="shared" si="1"/>
        <v>19.989999999999998</v>
      </c>
    </row>
    <row r="83" spans="2:6">
      <c r="B83" s="13" t="s">
        <v>191</v>
      </c>
      <c r="C83" s="13" t="s">
        <v>194</v>
      </c>
      <c r="D83" s="13">
        <v>75.792000000000002</v>
      </c>
      <c r="E83" s="13">
        <v>3</v>
      </c>
      <c r="F83" s="13">
        <f t="shared" si="1"/>
        <v>25.263999999999999</v>
      </c>
    </row>
    <row r="84" spans="2:6">
      <c r="B84" s="13" t="s">
        <v>192</v>
      </c>
      <c r="C84" s="13" t="s">
        <v>195</v>
      </c>
      <c r="D84" s="13">
        <v>49.96</v>
      </c>
      <c r="E84" s="13">
        <v>2</v>
      </c>
      <c r="F84" s="13">
        <f t="shared" si="1"/>
        <v>24.98</v>
      </c>
    </row>
    <row r="85" spans="2:6">
      <c r="B85" s="13" t="s">
        <v>193</v>
      </c>
      <c r="C85" s="13" t="s">
        <v>196</v>
      </c>
      <c r="D85" s="13">
        <v>12.96</v>
      </c>
      <c r="E85" s="13">
        <v>2</v>
      </c>
      <c r="F85" s="13">
        <f t="shared" si="1"/>
        <v>6.48</v>
      </c>
    </row>
    <row r="86" spans="2:6">
      <c r="B86" s="13" t="s">
        <v>197</v>
      </c>
      <c r="C86" s="13" t="s">
        <v>210</v>
      </c>
      <c r="D86" s="13">
        <v>35.910000000000004</v>
      </c>
      <c r="E86" s="13">
        <v>3</v>
      </c>
      <c r="F86" s="13">
        <f t="shared" si="1"/>
        <v>11.97</v>
      </c>
    </row>
    <row r="87" spans="2:6">
      <c r="B87" s="13" t="s">
        <v>198</v>
      </c>
      <c r="C87" s="13" t="s">
        <v>211</v>
      </c>
      <c r="D87" s="13">
        <v>179.95000000000002</v>
      </c>
      <c r="E87" s="13">
        <v>5</v>
      </c>
      <c r="F87" s="13">
        <f t="shared" si="1"/>
        <v>35.99</v>
      </c>
    </row>
    <row r="88" spans="2:6">
      <c r="B88" s="13" t="s">
        <v>199</v>
      </c>
      <c r="C88" s="13" t="s">
        <v>212</v>
      </c>
      <c r="D88" s="13">
        <v>1199.9760000000001</v>
      </c>
      <c r="E88" s="13">
        <v>3</v>
      </c>
      <c r="F88" s="13">
        <f t="shared" si="1"/>
        <v>399.99200000000002</v>
      </c>
    </row>
    <row r="89" spans="2:6">
      <c r="B89" s="13" t="s">
        <v>200</v>
      </c>
      <c r="C89" s="13" t="s">
        <v>213</v>
      </c>
      <c r="D89" s="13">
        <v>27.15</v>
      </c>
      <c r="E89" s="13">
        <v>5</v>
      </c>
      <c r="F89" s="13">
        <f t="shared" si="1"/>
        <v>5.43</v>
      </c>
    </row>
    <row r="90" spans="2:6">
      <c r="B90" s="13" t="s">
        <v>201</v>
      </c>
      <c r="C90" s="13" t="s">
        <v>214</v>
      </c>
      <c r="D90" s="13">
        <v>1004.0239999999999</v>
      </c>
      <c r="E90" s="13">
        <v>7</v>
      </c>
      <c r="F90" s="13">
        <f t="shared" si="1"/>
        <v>143.43199999999999</v>
      </c>
    </row>
    <row r="91" spans="2:6">
      <c r="B91" s="13" t="s">
        <v>202</v>
      </c>
      <c r="C91" s="13" t="s">
        <v>215</v>
      </c>
      <c r="D91" s="13">
        <v>9.68</v>
      </c>
      <c r="E91" s="13">
        <v>1</v>
      </c>
      <c r="F91" s="13">
        <f t="shared" si="1"/>
        <v>9.68</v>
      </c>
    </row>
    <row r="92" spans="2:6">
      <c r="B92" s="13" t="s">
        <v>203</v>
      </c>
      <c r="C92" s="13" t="s">
        <v>216</v>
      </c>
      <c r="D92" s="13">
        <v>28.349999999999998</v>
      </c>
      <c r="E92" s="13">
        <v>9</v>
      </c>
      <c r="F92" s="13">
        <f t="shared" si="1"/>
        <v>3.15</v>
      </c>
    </row>
    <row r="93" spans="2:6">
      <c r="B93" s="13" t="s">
        <v>204</v>
      </c>
      <c r="C93" s="13" t="s">
        <v>217</v>
      </c>
      <c r="D93" s="13">
        <v>55.98</v>
      </c>
      <c r="E93" s="13">
        <v>1</v>
      </c>
      <c r="F93" s="13">
        <f t="shared" si="1"/>
        <v>55.98</v>
      </c>
    </row>
    <row r="94" spans="2:6">
      <c r="B94" s="13" t="s">
        <v>205</v>
      </c>
      <c r="C94" s="13" t="s">
        <v>218</v>
      </c>
      <c r="D94" s="13">
        <v>1336.829</v>
      </c>
      <c r="E94" s="13">
        <v>13</v>
      </c>
      <c r="F94" s="13">
        <f t="shared" si="1"/>
        <v>102.833</v>
      </c>
    </row>
    <row r="95" spans="2:6">
      <c r="B95" s="13" t="s">
        <v>206</v>
      </c>
      <c r="C95" s="13" t="s">
        <v>219</v>
      </c>
      <c r="D95" s="13">
        <v>113.56800000000001</v>
      </c>
      <c r="E95" s="13">
        <v>2</v>
      </c>
      <c r="F95" s="13">
        <f t="shared" si="1"/>
        <v>56.784000000000006</v>
      </c>
    </row>
    <row r="96" spans="2:6">
      <c r="B96" s="13" t="s">
        <v>207</v>
      </c>
      <c r="C96" s="13" t="s">
        <v>220</v>
      </c>
      <c r="D96" s="13">
        <v>139.86000000000001</v>
      </c>
      <c r="E96" s="13">
        <v>7</v>
      </c>
      <c r="F96" s="13">
        <f t="shared" si="1"/>
        <v>19.98</v>
      </c>
    </row>
    <row r="97" spans="2:6">
      <c r="B97" s="13" t="s">
        <v>208</v>
      </c>
      <c r="C97" s="13" t="s">
        <v>221</v>
      </c>
      <c r="D97" s="13">
        <v>307.13600000000002</v>
      </c>
      <c r="E97" s="13">
        <v>4</v>
      </c>
      <c r="F97" s="13">
        <f t="shared" si="1"/>
        <v>76.784000000000006</v>
      </c>
    </row>
    <row r="98" spans="2:6">
      <c r="B98" s="13" t="s">
        <v>209</v>
      </c>
      <c r="C98" s="13" t="s">
        <v>222</v>
      </c>
      <c r="D98" s="13">
        <v>95.92</v>
      </c>
      <c r="E98" s="13">
        <v>8</v>
      </c>
      <c r="F98" s="13">
        <f t="shared" si="1"/>
        <v>11.99</v>
      </c>
    </row>
    <row r="99" spans="2:6">
      <c r="B99" s="13" t="s">
        <v>223</v>
      </c>
      <c r="C99" s="13" t="s">
        <v>226</v>
      </c>
      <c r="D99" s="13">
        <v>5.78</v>
      </c>
      <c r="E99" s="13">
        <v>1</v>
      </c>
      <c r="F99" s="13">
        <f t="shared" si="1"/>
        <v>5.78</v>
      </c>
    </row>
    <row r="100" spans="2:6">
      <c r="B100" s="13" t="s">
        <v>224</v>
      </c>
      <c r="C100" s="13" t="s">
        <v>227</v>
      </c>
      <c r="D100" s="13">
        <v>9.32</v>
      </c>
      <c r="E100" s="13">
        <v>4</v>
      </c>
      <c r="F100" s="13">
        <f t="shared" si="1"/>
        <v>2.33</v>
      </c>
    </row>
    <row r="101" spans="2:6">
      <c r="B101" s="13" t="s">
        <v>225</v>
      </c>
      <c r="C101" s="13" t="s">
        <v>228</v>
      </c>
      <c r="D101" s="13">
        <v>15.25</v>
      </c>
      <c r="E101" s="13">
        <v>1</v>
      </c>
      <c r="F101" s="13">
        <f t="shared" si="1"/>
        <v>15.25</v>
      </c>
    </row>
    <row r="102" spans="2:6">
      <c r="B102" s="13" t="s">
        <v>229</v>
      </c>
      <c r="C102" s="13" t="s">
        <v>234</v>
      </c>
      <c r="D102" s="13">
        <v>56.56</v>
      </c>
      <c r="E102" s="13">
        <v>4</v>
      </c>
      <c r="F102" s="13">
        <f t="shared" si="1"/>
        <v>14.14</v>
      </c>
    </row>
    <row r="103" spans="2:6">
      <c r="B103" s="13" t="s">
        <v>230</v>
      </c>
      <c r="C103" s="13" t="s">
        <v>235</v>
      </c>
      <c r="D103" s="13">
        <v>32.700000000000003</v>
      </c>
      <c r="E103" s="13">
        <v>3</v>
      </c>
      <c r="F103" s="13">
        <f t="shared" si="1"/>
        <v>10.9</v>
      </c>
    </row>
    <row r="104" spans="2:6">
      <c r="B104" s="13" t="s">
        <v>231</v>
      </c>
      <c r="C104" s="13" t="s">
        <v>236</v>
      </c>
      <c r="D104" s="13">
        <v>866.4</v>
      </c>
      <c r="E104" s="13">
        <v>4</v>
      </c>
      <c r="F104" s="13">
        <f t="shared" si="1"/>
        <v>216.6</v>
      </c>
    </row>
    <row r="105" spans="2:6">
      <c r="B105" s="13" t="s">
        <v>232</v>
      </c>
      <c r="C105" s="13" t="s">
        <v>237</v>
      </c>
      <c r="D105" s="13">
        <v>28.4</v>
      </c>
      <c r="E105" s="13">
        <v>2</v>
      </c>
      <c r="F105" s="13">
        <f t="shared" si="1"/>
        <v>14.2</v>
      </c>
    </row>
    <row r="106" spans="2:6">
      <c r="B106" s="13" t="s">
        <v>233</v>
      </c>
      <c r="C106" s="13" t="s">
        <v>238</v>
      </c>
      <c r="D106" s="13">
        <v>287.92</v>
      </c>
      <c r="E106" s="13">
        <v>8</v>
      </c>
      <c r="F106" s="13">
        <f t="shared" si="1"/>
        <v>35.99</v>
      </c>
    </row>
    <row r="107" spans="2:6">
      <c r="B107" s="13" t="s">
        <v>239</v>
      </c>
      <c r="C107" s="13" t="s">
        <v>240</v>
      </c>
      <c r="D107" s="13">
        <v>6.6719999999999988</v>
      </c>
      <c r="E107" s="13">
        <v>6</v>
      </c>
      <c r="F107" s="13">
        <f t="shared" si="1"/>
        <v>1.1119999999999999</v>
      </c>
    </row>
    <row r="108" spans="2:6">
      <c r="B108" s="13" t="s">
        <v>241</v>
      </c>
      <c r="C108" s="13" t="s">
        <v>243</v>
      </c>
      <c r="D108" s="13">
        <v>31.872000000000003</v>
      </c>
      <c r="E108" s="13">
        <v>8</v>
      </c>
      <c r="F108" s="13">
        <f t="shared" si="1"/>
        <v>3.9840000000000004</v>
      </c>
    </row>
    <row r="109" spans="2:6">
      <c r="B109" s="13" t="s">
        <v>242</v>
      </c>
      <c r="C109" s="13" t="s">
        <v>244</v>
      </c>
      <c r="D109" s="13">
        <v>207.84600000000003</v>
      </c>
      <c r="E109" s="13">
        <v>3</v>
      </c>
      <c r="F109" s="13">
        <f t="shared" si="1"/>
        <v>69.282000000000011</v>
      </c>
    </row>
    <row r="110" spans="2:6">
      <c r="B110" s="13" t="s">
        <v>245</v>
      </c>
      <c r="C110" s="13" t="s">
        <v>246</v>
      </c>
      <c r="D110" s="13">
        <v>2.91</v>
      </c>
      <c r="E110" s="13">
        <v>1</v>
      </c>
      <c r="F110" s="13">
        <f t="shared" si="1"/>
        <v>2.91</v>
      </c>
    </row>
    <row r="111" spans="2:6">
      <c r="B111" s="13" t="s">
        <v>247</v>
      </c>
      <c r="C111" s="13" t="s">
        <v>249</v>
      </c>
      <c r="D111" s="13">
        <v>284.36399999999998</v>
      </c>
      <c r="E111" s="13">
        <v>2</v>
      </c>
      <c r="F111" s="13">
        <f t="shared" si="1"/>
        <v>142.18199999999999</v>
      </c>
    </row>
    <row r="112" spans="2:6">
      <c r="B112" s="13" t="s">
        <v>248</v>
      </c>
      <c r="C112" s="13" t="s">
        <v>250</v>
      </c>
      <c r="D112" s="13">
        <v>665.40800000000002</v>
      </c>
      <c r="E112" s="13">
        <v>2</v>
      </c>
      <c r="F112" s="13">
        <f t="shared" si="1"/>
        <v>332.70400000000001</v>
      </c>
    </row>
    <row r="113" spans="2:6">
      <c r="B113" s="13" t="s">
        <v>251</v>
      </c>
      <c r="C113" s="13" t="s">
        <v>252</v>
      </c>
      <c r="D113" s="13">
        <v>205.33279999999996</v>
      </c>
      <c r="E113" s="13">
        <v>2</v>
      </c>
      <c r="F113" s="13">
        <f t="shared" si="1"/>
        <v>102.66639999999998</v>
      </c>
    </row>
    <row r="114" spans="2:6">
      <c r="B114" s="13" t="s">
        <v>253</v>
      </c>
      <c r="C114" s="13" t="s">
        <v>256</v>
      </c>
      <c r="D114" s="13">
        <v>29.6</v>
      </c>
      <c r="E114" s="13">
        <v>2</v>
      </c>
      <c r="F114" s="13">
        <f t="shared" si="1"/>
        <v>14.8</v>
      </c>
    </row>
    <row r="115" spans="2:6">
      <c r="B115" s="13" t="s">
        <v>254</v>
      </c>
      <c r="C115" s="13" t="s">
        <v>257</v>
      </c>
      <c r="D115" s="13">
        <v>514.16499999999996</v>
      </c>
      <c r="E115" s="13">
        <v>5</v>
      </c>
      <c r="F115" s="13">
        <f t="shared" si="1"/>
        <v>102.833</v>
      </c>
    </row>
    <row r="116" spans="2:6">
      <c r="B116" s="13" t="s">
        <v>255</v>
      </c>
      <c r="C116" s="13" t="s">
        <v>258</v>
      </c>
      <c r="D116" s="13">
        <v>279.95999999999998</v>
      </c>
      <c r="E116" s="13">
        <v>5</v>
      </c>
      <c r="F116" s="13">
        <f t="shared" si="1"/>
        <v>55.991999999999997</v>
      </c>
    </row>
    <row r="117" spans="2:6">
      <c r="B117" s="13" t="s">
        <v>81</v>
      </c>
      <c r="C117" s="13" t="s">
        <v>83</v>
      </c>
      <c r="D117" s="13">
        <v>15.920000000000002</v>
      </c>
      <c r="E117" s="13">
        <v>5</v>
      </c>
      <c r="F117" s="13">
        <f t="shared" si="1"/>
        <v>3.1840000000000002</v>
      </c>
    </row>
    <row r="118" spans="2:6">
      <c r="B118" s="13" t="s">
        <v>259</v>
      </c>
      <c r="C118" s="13" t="s">
        <v>261</v>
      </c>
      <c r="D118" s="13">
        <v>126.30000000000001</v>
      </c>
      <c r="E118" s="13">
        <v>3</v>
      </c>
      <c r="F118" s="13">
        <f t="shared" si="1"/>
        <v>42.1</v>
      </c>
    </row>
    <row r="119" spans="2:6">
      <c r="B119" s="13" t="s">
        <v>260</v>
      </c>
      <c r="C119" s="13" t="s">
        <v>262</v>
      </c>
      <c r="D119" s="13">
        <v>38.04</v>
      </c>
      <c r="E119" s="13">
        <v>2</v>
      </c>
      <c r="F119" s="13">
        <f t="shared" si="1"/>
        <v>19.02</v>
      </c>
    </row>
    <row r="120" spans="2:6">
      <c r="B120" s="13" t="s">
        <v>263</v>
      </c>
      <c r="C120" s="13" t="s">
        <v>269</v>
      </c>
      <c r="D120" s="13">
        <v>6.63</v>
      </c>
      <c r="E120" s="13">
        <v>3</v>
      </c>
      <c r="F120" s="13">
        <f t="shared" si="1"/>
        <v>2.21</v>
      </c>
    </row>
    <row r="121" spans="2:6">
      <c r="B121" s="13" t="s">
        <v>264</v>
      </c>
      <c r="C121" s="13" t="s">
        <v>270</v>
      </c>
      <c r="D121" s="13">
        <v>5.88</v>
      </c>
      <c r="E121" s="13">
        <v>2</v>
      </c>
      <c r="F121" s="13">
        <f t="shared" si="1"/>
        <v>2.94</v>
      </c>
    </row>
    <row r="122" spans="2:6">
      <c r="B122" s="13" t="s">
        <v>265</v>
      </c>
      <c r="C122" s="13" t="s">
        <v>271</v>
      </c>
      <c r="D122" s="13">
        <v>2999.95</v>
      </c>
      <c r="E122" s="13">
        <v>5</v>
      </c>
      <c r="F122" s="13">
        <f t="shared" si="1"/>
        <v>599.99</v>
      </c>
    </row>
    <row r="123" spans="2:6">
      <c r="B123" s="13" t="s">
        <v>266</v>
      </c>
      <c r="C123" s="13" t="s">
        <v>272</v>
      </c>
      <c r="D123" s="13">
        <v>51.449999999999996</v>
      </c>
      <c r="E123" s="13">
        <v>3</v>
      </c>
      <c r="F123" s="13">
        <f t="shared" si="1"/>
        <v>17.149999999999999</v>
      </c>
    </row>
    <row r="124" spans="2:6">
      <c r="B124" s="13" t="s">
        <v>267</v>
      </c>
      <c r="C124" s="13" t="s">
        <v>273</v>
      </c>
      <c r="D124" s="13">
        <v>11.96</v>
      </c>
      <c r="E124" s="13">
        <v>2</v>
      </c>
      <c r="F124" s="13">
        <f t="shared" si="1"/>
        <v>5.98</v>
      </c>
    </row>
    <row r="125" spans="2:6">
      <c r="B125" s="13" t="s">
        <v>268</v>
      </c>
      <c r="C125" s="13" t="s">
        <v>274</v>
      </c>
      <c r="D125" s="13">
        <v>1126.02</v>
      </c>
      <c r="E125" s="13">
        <v>3</v>
      </c>
      <c r="F125" s="13">
        <f t="shared" si="1"/>
        <v>375.34</v>
      </c>
    </row>
    <row r="126" spans="2:6">
      <c r="B126" s="13" t="s">
        <v>275</v>
      </c>
      <c r="C126" s="13" t="s">
        <v>276</v>
      </c>
      <c r="D126" s="13">
        <v>210.98</v>
      </c>
      <c r="E126" s="13">
        <v>2</v>
      </c>
      <c r="F126" s="13">
        <f t="shared" si="1"/>
        <v>105.49</v>
      </c>
    </row>
    <row r="127" spans="2:6">
      <c r="B127" s="13" t="s">
        <v>277</v>
      </c>
      <c r="C127" s="13" t="s">
        <v>279</v>
      </c>
      <c r="D127" s="13">
        <v>683.95200000000011</v>
      </c>
      <c r="E127" s="13">
        <v>3</v>
      </c>
      <c r="F127" s="13">
        <f t="shared" si="1"/>
        <v>227.98400000000004</v>
      </c>
    </row>
    <row r="128" spans="2:6">
      <c r="B128" s="13" t="s">
        <v>278</v>
      </c>
      <c r="C128" s="13" t="s">
        <v>280</v>
      </c>
      <c r="D128" s="13">
        <v>45.695999999999998</v>
      </c>
      <c r="E128" s="13">
        <v>3</v>
      </c>
      <c r="F128" s="13">
        <f t="shared" si="1"/>
        <v>15.231999999999999</v>
      </c>
    </row>
    <row r="129" spans="2:6">
      <c r="B129" s="13" t="s">
        <v>281</v>
      </c>
      <c r="C129" s="13" t="s">
        <v>282</v>
      </c>
      <c r="D129" s="13">
        <v>47.94</v>
      </c>
      <c r="E129" s="13">
        <v>3</v>
      </c>
      <c r="F129" s="13">
        <f t="shared" si="1"/>
        <v>15.979999999999999</v>
      </c>
    </row>
    <row r="130" spans="2:6">
      <c r="B130" s="13" t="s">
        <v>283</v>
      </c>
      <c r="C130" s="13" t="s">
        <v>284</v>
      </c>
      <c r="D130" s="13">
        <v>42.615999999999993</v>
      </c>
      <c r="E130" s="13">
        <v>7</v>
      </c>
      <c r="F130" s="13">
        <f t="shared" si="1"/>
        <v>6.0879999999999992</v>
      </c>
    </row>
    <row r="131" spans="2:6">
      <c r="B131" s="13" t="s">
        <v>285</v>
      </c>
      <c r="C131" s="13" t="s">
        <v>287</v>
      </c>
      <c r="D131" s="13">
        <v>41.28</v>
      </c>
      <c r="E131" s="13">
        <v>6</v>
      </c>
      <c r="F131" s="13">
        <f t="shared" si="1"/>
        <v>6.88</v>
      </c>
    </row>
    <row r="132" spans="2:6">
      <c r="B132" s="13" t="s">
        <v>286</v>
      </c>
      <c r="C132" s="13" t="s">
        <v>288</v>
      </c>
      <c r="D132" s="13">
        <v>13.36</v>
      </c>
      <c r="E132" s="13">
        <v>2</v>
      </c>
      <c r="F132" s="13">
        <f t="shared" ref="F132:F195" si="2">D132/E132</f>
        <v>6.68</v>
      </c>
    </row>
    <row r="133" spans="2:6">
      <c r="B133" s="13" t="s">
        <v>289</v>
      </c>
      <c r="C133" s="13" t="s">
        <v>292</v>
      </c>
      <c r="D133" s="13">
        <v>34.504000000000005</v>
      </c>
      <c r="E133" s="13">
        <v>1</v>
      </c>
      <c r="F133" s="13">
        <f t="shared" si="2"/>
        <v>34.504000000000005</v>
      </c>
    </row>
    <row r="134" spans="2:6">
      <c r="B134" s="13" t="s">
        <v>290</v>
      </c>
      <c r="C134" s="13" t="s">
        <v>293</v>
      </c>
      <c r="D134" s="13">
        <v>10.824</v>
      </c>
      <c r="E134" s="13">
        <v>3</v>
      </c>
      <c r="F134" s="13">
        <f t="shared" si="2"/>
        <v>3.6080000000000001</v>
      </c>
    </row>
    <row r="135" spans="2:6">
      <c r="B135" s="13" t="s">
        <v>291</v>
      </c>
      <c r="C135" s="13" t="s">
        <v>294</v>
      </c>
      <c r="D135" s="13">
        <v>1295.78</v>
      </c>
      <c r="E135" s="13">
        <v>2</v>
      </c>
      <c r="F135" s="13">
        <f t="shared" si="2"/>
        <v>647.89</v>
      </c>
    </row>
    <row r="136" spans="2:6">
      <c r="B136" s="13" t="s">
        <v>232</v>
      </c>
      <c r="C136" s="13" t="s">
        <v>237</v>
      </c>
      <c r="D136" s="13">
        <v>42.599999999999994</v>
      </c>
      <c r="E136" s="13">
        <v>3</v>
      </c>
      <c r="F136" s="13">
        <f t="shared" si="2"/>
        <v>14.199999999999998</v>
      </c>
    </row>
    <row r="137" spans="2:6">
      <c r="B137" s="13" t="s">
        <v>295</v>
      </c>
      <c r="C137" s="13" t="s">
        <v>296</v>
      </c>
      <c r="D137" s="13">
        <v>84.056000000000012</v>
      </c>
      <c r="E137" s="13">
        <v>7</v>
      </c>
      <c r="F137" s="13">
        <f t="shared" si="2"/>
        <v>12.008000000000001</v>
      </c>
    </row>
    <row r="138" spans="2:6">
      <c r="B138" s="13" t="s">
        <v>297</v>
      </c>
      <c r="C138" s="13" t="s">
        <v>306</v>
      </c>
      <c r="D138" s="13">
        <v>374.37600000000003</v>
      </c>
      <c r="E138" s="13">
        <v>3</v>
      </c>
      <c r="F138" s="13">
        <f t="shared" si="2"/>
        <v>124.79200000000002</v>
      </c>
    </row>
    <row r="139" spans="2:6">
      <c r="B139" s="13" t="s">
        <v>298</v>
      </c>
      <c r="C139" s="13" t="s">
        <v>307</v>
      </c>
      <c r="D139" s="13">
        <v>91.84</v>
      </c>
      <c r="E139" s="13">
        <v>8</v>
      </c>
      <c r="F139" s="13">
        <f t="shared" si="2"/>
        <v>11.48</v>
      </c>
    </row>
    <row r="140" spans="2:6">
      <c r="B140" s="13" t="s">
        <v>299</v>
      </c>
      <c r="C140" s="13" t="s">
        <v>308</v>
      </c>
      <c r="D140" s="13">
        <v>81.088000000000008</v>
      </c>
      <c r="E140" s="13">
        <v>7</v>
      </c>
      <c r="F140" s="13">
        <f t="shared" si="2"/>
        <v>11.584000000000001</v>
      </c>
    </row>
    <row r="141" spans="2:6">
      <c r="B141" s="13" t="s">
        <v>300</v>
      </c>
      <c r="C141" s="13" t="s">
        <v>309</v>
      </c>
      <c r="D141" s="13">
        <v>19.440000000000001</v>
      </c>
      <c r="E141" s="13">
        <v>3</v>
      </c>
      <c r="F141" s="13">
        <f t="shared" si="2"/>
        <v>6.48</v>
      </c>
    </row>
    <row r="142" spans="2:6">
      <c r="B142" s="13" t="s">
        <v>301</v>
      </c>
      <c r="C142" s="13" t="s">
        <v>310</v>
      </c>
      <c r="D142" s="13">
        <v>451.15199999999993</v>
      </c>
      <c r="E142" s="13">
        <v>3</v>
      </c>
      <c r="F142" s="13">
        <f t="shared" si="2"/>
        <v>150.38399999999999</v>
      </c>
    </row>
    <row r="143" spans="2:6">
      <c r="B143" s="13" t="s">
        <v>302</v>
      </c>
      <c r="C143" s="13" t="s">
        <v>311</v>
      </c>
      <c r="D143" s="13">
        <v>72.45</v>
      </c>
      <c r="E143" s="13">
        <v>7</v>
      </c>
      <c r="F143" s="13">
        <f t="shared" si="2"/>
        <v>10.35</v>
      </c>
    </row>
    <row r="144" spans="2:6">
      <c r="B144" s="13" t="s">
        <v>303</v>
      </c>
      <c r="C144" s="13" t="s">
        <v>312</v>
      </c>
      <c r="D144" s="13">
        <v>13.96</v>
      </c>
      <c r="E144" s="13">
        <v>4</v>
      </c>
      <c r="F144" s="13">
        <f t="shared" si="2"/>
        <v>3.49</v>
      </c>
    </row>
    <row r="145" spans="2:6">
      <c r="B145" s="13" t="s">
        <v>304</v>
      </c>
      <c r="C145" s="13" t="s">
        <v>313</v>
      </c>
      <c r="D145" s="13">
        <v>33.264000000000003</v>
      </c>
      <c r="E145" s="13">
        <v>7</v>
      </c>
      <c r="F145" s="13">
        <f t="shared" si="2"/>
        <v>4.7520000000000007</v>
      </c>
    </row>
    <row r="146" spans="2:6">
      <c r="B146" s="13" t="s">
        <v>305</v>
      </c>
      <c r="C146" s="13" t="s">
        <v>314</v>
      </c>
      <c r="D146" s="13">
        <v>14.850000000000001</v>
      </c>
      <c r="E146" s="13">
        <v>3</v>
      </c>
      <c r="F146" s="13">
        <f t="shared" si="2"/>
        <v>4.95</v>
      </c>
    </row>
    <row r="147" spans="2:6">
      <c r="B147" s="13" t="s">
        <v>82</v>
      </c>
      <c r="C147" s="13" t="s">
        <v>84</v>
      </c>
      <c r="D147" s="13">
        <v>69.712000000000003</v>
      </c>
      <c r="E147" s="13">
        <v>2</v>
      </c>
      <c r="F147" s="13">
        <f t="shared" si="2"/>
        <v>34.856000000000002</v>
      </c>
    </row>
    <row r="148" spans="2:6">
      <c r="B148" s="13" t="s">
        <v>315</v>
      </c>
      <c r="C148" s="13" t="s">
        <v>316</v>
      </c>
      <c r="D148" s="13">
        <v>8.7919999999999998</v>
      </c>
      <c r="E148" s="13">
        <v>1</v>
      </c>
      <c r="F148" s="13">
        <f t="shared" si="2"/>
        <v>8.7919999999999998</v>
      </c>
    </row>
    <row r="149" spans="2:6">
      <c r="B149" s="13" t="s">
        <v>317</v>
      </c>
      <c r="C149" s="13" t="s">
        <v>322</v>
      </c>
      <c r="D149" s="13">
        <v>470.37600000000009</v>
      </c>
      <c r="E149" s="13">
        <v>3</v>
      </c>
      <c r="F149" s="13">
        <f t="shared" si="2"/>
        <v>156.79200000000003</v>
      </c>
    </row>
    <row r="150" spans="2:6">
      <c r="B150" s="13" t="s">
        <v>318</v>
      </c>
      <c r="C150" s="13" t="s">
        <v>323</v>
      </c>
      <c r="D150" s="13">
        <v>105.584</v>
      </c>
      <c r="E150" s="13">
        <v>2</v>
      </c>
      <c r="F150" s="13">
        <f t="shared" si="2"/>
        <v>52.792000000000002</v>
      </c>
    </row>
    <row r="151" spans="2:6">
      <c r="B151" s="13" t="s">
        <v>319</v>
      </c>
      <c r="C151" s="13" t="s">
        <v>324</v>
      </c>
      <c r="D151" s="13">
        <v>31.152000000000001</v>
      </c>
      <c r="E151" s="13">
        <v>3</v>
      </c>
      <c r="F151" s="13">
        <f t="shared" si="2"/>
        <v>10.384</v>
      </c>
    </row>
    <row r="152" spans="2:6">
      <c r="B152" s="13" t="s">
        <v>320</v>
      </c>
      <c r="C152" s="13" t="s">
        <v>325</v>
      </c>
      <c r="D152" s="13">
        <v>6.7830000000000004</v>
      </c>
      <c r="E152" s="13">
        <v>7</v>
      </c>
      <c r="F152" s="13">
        <f t="shared" si="2"/>
        <v>0.96900000000000008</v>
      </c>
    </row>
    <row r="153" spans="2:6">
      <c r="B153" s="13" t="s">
        <v>321</v>
      </c>
      <c r="C153" s="13" t="s">
        <v>326</v>
      </c>
      <c r="D153" s="13">
        <v>406.36799999999999</v>
      </c>
      <c r="E153" s="13">
        <v>4</v>
      </c>
      <c r="F153" s="13">
        <f t="shared" si="2"/>
        <v>101.592</v>
      </c>
    </row>
    <row r="154" spans="2:6">
      <c r="B154" s="13" t="s">
        <v>327</v>
      </c>
      <c r="C154" s="13" t="s">
        <v>334</v>
      </c>
      <c r="D154" s="13">
        <v>119.93999999999998</v>
      </c>
      <c r="E154" s="13">
        <v>10</v>
      </c>
      <c r="F154" s="13">
        <f t="shared" si="2"/>
        <v>11.993999999999998</v>
      </c>
    </row>
    <row r="155" spans="2:6">
      <c r="B155" s="13" t="s">
        <v>328</v>
      </c>
      <c r="C155" s="13" t="s">
        <v>335</v>
      </c>
      <c r="D155" s="13">
        <v>3.6480000000000006</v>
      </c>
      <c r="E155" s="13">
        <v>2</v>
      </c>
      <c r="F155" s="13">
        <f t="shared" si="2"/>
        <v>1.8240000000000003</v>
      </c>
    </row>
    <row r="156" spans="2:6">
      <c r="B156" s="13" t="s">
        <v>329</v>
      </c>
      <c r="C156" s="13" t="s">
        <v>336</v>
      </c>
      <c r="D156" s="13">
        <v>40.479999999999997</v>
      </c>
      <c r="E156" s="13">
        <v>2</v>
      </c>
      <c r="F156" s="13">
        <f t="shared" si="2"/>
        <v>20.239999999999998</v>
      </c>
    </row>
    <row r="157" spans="2:6">
      <c r="B157" s="13" t="s">
        <v>330</v>
      </c>
      <c r="C157" s="13" t="s">
        <v>337</v>
      </c>
      <c r="D157" s="13">
        <v>9.94</v>
      </c>
      <c r="E157" s="13">
        <v>2</v>
      </c>
      <c r="F157" s="13">
        <f t="shared" si="2"/>
        <v>4.97</v>
      </c>
    </row>
    <row r="158" spans="2:6">
      <c r="B158" s="13" t="s">
        <v>331</v>
      </c>
      <c r="C158" s="13" t="s">
        <v>338</v>
      </c>
      <c r="D158" s="13">
        <v>107.42400000000001</v>
      </c>
      <c r="E158" s="13">
        <v>9</v>
      </c>
      <c r="F158" s="13">
        <f t="shared" si="2"/>
        <v>11.936</v>
      </c>
    </row>
    <row r="159" spans="2:6">
      <c r="B159" s="13" t="s">
        <v>332</v>
      </c>
      <c r="C159" s="13" t="s">
        <v>339</v>
      </c>
      <c r="D159" s="13">
        <v>37.909999999999997</v>
      </c>
      <c r="E159" s="13">
        <v>1</v>
      </c>
      <c r="F159" s="13">
        <f t="shared" si="2"/>
        <v>37.909999999999997</v>
      </c>
    </row>
    <row r="160" spans="2:6">
      <c r="B160" s="13" t="s">
        <v>333</v>
      </c>
      <c r="C160" s="13" t="s">
        <v>340</v>
      </c>
      <c r="D160" s="13">
        <v>88.02</v>
      </c>
      <c r="E160" s="13">
        <v>3</v>
      </c>
      <c r="F160" s="13">
        <f t="shared" si="2"/>
        <v>29.34</v>
      </c>
    </row>
    <row r="161" spans="2:6">
      <c r="B161" s="13" t="s">
        <v>341</v>
      </c>
      <c r="C161" s="13" t="s">
        <v>344</v>
      </c>
      <c r="D161" s="13">
        <v>35.56</v>
      </c>
      <c r="E161" s="13">
        <v>7</v>
      </c>
      <c r="F161" s="13">
        <f t="shared" si="2"/>
        <v>5.08</v>
      </c>
    </row>
    <row r="162" spans="2:6">
      <c r="B162" s="13" t="s">
        <v>342</v>
      </c>
      <c r="C162" s="13" t="s">
        <v>345</v>
      </c>
      <c r="D162" s="13">
        <v>97.16</v>
      </c>
      <c r="E162" s="13">
        <v>2</v>
      </c>
      <c r="F162" s="13">
        <f t="shared" si="2"/>
        <v>48.58</v>
      </c>
    </row>
    <row r="163" spans="2:6">
      <c r="B163" s="13" t="s">
        <v>343</v>
      </c>
      <c r="C163" s="13" t="s">
        <v>346</v>
      </c>
      <c r="D163" s="13">
        <v>15.24</v>
      </c>
      <c r="E163" s="13">
        <v>5</v>
      </c>
      <c r="F163" s="13">
        <f t="shared" si="2"/>
        <v>3.048</v>
      </c>
    </row>
    <row r="164" spans="2:6">
      <c r="B164" s="13" t="s">
        <v>151</v>
      </c>
      <c r="C164" s="13" t="s">
        <v>157</v>
      </c>
      <c r="D164" s="13">
        <v>13.23</v>
      </c>
      <c r="E164" s="13">
        <v>3</v>
      </c>
      <c r="F164" s="13">
        <f t="shared" si="2"/>
        <v>4.41</v>
      </c>
    </row>
    <row r="165" spans="2:6">
      <c r="B165" s="13" t="s">
        <v>347</v>
      </c>
      <c r="C165" s="13" t="s">
        <v>349</v>
      </c>
      <c r="D165" s="13">
        <v>17.880000000000003</v>
      </c>
      <c r="E165" s="13">
        <v>3</v>
      </c>
      <c r="F165" s="13">
        <f t="shared" si="2"/>
        <v>5.9600000000000009</v>
      </c>
    </row>
    <row r="166" spans="2:6">
      <c r="B166" s="13" t="s">
        <v>348</v>
      </c>
      <c r="C166" s="13" t="s">
        <v>350</v>
      </c>
      <c r="D166" s="13">
        <v>235.94400000000002</v>
      </c>
      <c r="E166" s="13">
        <v>3</v>
      </c>
      <c r="F166" s="13">
        <f t="shared" si="2"/>
        <v>78.64800000000001</v>
      </c>
    </row>
    <row r="167" spans="2:6">
      <c r="B167" s="13" t="s">
        <v>351</v>
      </c>
      <c r="C167" s="13" t="s">
        <v>355</v>
      </c>
      <c r="D167" s="13">
        <v>330.4</v>
      </c>
      <c r="E167" s="13">
        <v>2</v>
      </c>
      <c r="F167" s="13">
        <f t="shared" si="2"/>
        <v>165.2</v>
      </c>
    </row>
    <row r="168" spans="2:6">
      <c r="B168" s="13" t="s">
        <v>352</v>
      </c>
      <c r="C168" s="13" t="s">
        <v>356</v>
      </c>
      <c r="D168" s="13">
        <v>26.25</v>
      </c>
      <c r="E168" s="13">
        <v>7</v>
      </c>
      <c r="F168" s="13">
        <f t="shared" si="2"/>
        <v>3.75</v>
      </c>
    </row>
    <row r="169" spans="2:6">
      <c r="B169" s="13" t="s">
        <v>127</v>
      </c>
      <c r="C169" s="13" t="s">
        <v>357</v>
      </c>
      <c r="D169" s="13">
        <v>132.52000000000001</v>
      </c>
      <c r="E169" s="13">
        <v>4</v>
      </c>
      <c r="F169" s="13">
        <f t="shared" si="2"/>
        <v>33.130000000000003</v>
      </c>
    </row>
    <row r="170" spans="2:6">
      <c r="B170" s="13" t="s">
        <v>353</v>
      </c>
      <c r="C170" s="13" t="s">
        <v>358</v>
      </c>
      <c r="D170" s="13">
        <v>6.48</v>
      </c>
      <c r="E170" s="13">
        <v>1</v>
      </c>
      <c r="F170" s="13">
        <f t="shared" si="2"/>
        <v>6.48</v>
      </c>
    </row>
    <row r="171" spans="2:6">
      <c r="B171" s="13" t="s">
        <v>354</v>
      </c>
      <c r="C171" s="13" t="s">
        <v>359</v>
      </c>
      <c r="D171" s="13">
        <v>209.3</v>
      </c>
      <c r="E171" s="13">
        <v>2</v>
      </c>
      <c r="F171" s="13">
        <f t="shared" si="2"/>
        <v>104.65</v>
      </c>
    </row>
    <row r="172" spans="2:6">
      <c r="B172" s="13" t="s">
        <v>360</v>
      </c>
      <c r="C172" s="13" t="s">
        <v>362</v>
      </c>
      <c r="D172" s="13">
        <v>97.82</v>
      </c>
      <c r="E172" s="13">
        <v>2</v>
      </c>
      <c r="F172" s="13">
        <f t="shared" si="2"/>
        <v>48.91</v>
      </c>
    </row>
    <row r="173" spans="2:6">
      <c r="B173" s="13" t="s">
        <v>361</v>
      </c>
      <c r="C173" s="13" t="s">
        <v>363</v>
      </c>
      <c r="D173" s="13">
        <v>103.12</v>
      </c>
      <c r="E173" s="13">
        <v>8</v>
      </c>
      <c r="F173" s="13">
        <f t="shared" si="2"/>
        <v>12.89</v>
      </c>
    </row>
    <row r="174" spans="2:6">
      <c r="B174" s="13" t="s">
        <v>364</v>
      </c>
      <c r="C174" s="13" t="s">
        <v>367</v>
      </c>
      <c r="D174" s="13">
        <v>23.76</v>
      </c>
      <c r="E174" s="13">
        <v>3</v>
      </c>
      <c r="F174" s="13">
        <f t="shared" si="2"/>
        <v>7.9200000000000008</v>
      </c>
    </row>
    <row r="175" spans="2:6">
      <c r="B175" s="13" t="s">
        <v>365</v>
      </c>
      <c r="C175" s="13" t="s">
        <v>46</v>
      </c>
      <c r="D175" s="13">
        <v>85.055999999999997</v>
      </c>
      <c r="E175" s="13">
        <v>3</v>
      </c>
      <c r="F175" s="13">
        <f t="shared" si="2"/>
        <v>28.352</v>
      </c>
    </row>
    <row r="176" spans="2:6">
      <c r="B176" s="13" t="s">
        <v>366</v>
      </c>
      <c r="C176" s="13" t="s">
        <v>368</v>
      </c>
      <c r="D176" s="13">
        <v>381.57600000000002</v>
      </c>
      <c r="E176" s="13">
        <v>3</v>
      </c>
      <c r="F176" s="13">
        <f t="shared" si="2"/>
        <v>127.19200000000001</v>
      </c>
    </row>
    <row r="177" spans="2:6">
      <c r="B177" s="13" t="s">
        <v>369</v>
      </c>
      <c r="C177" s="13" t="s">
        <v>378</v>
      </c>
      <c r="D177" s="13">
        <v>23.976000000000003</v>
      </c>
      <c r="E177" s="13">
        <v>3</v>
      </c>
      <c r="F177" s="13">
        <f t="shared" si="2"/>
        <v>7.9920000000000009</v>
      </c>
    </row>
    <row r="178" spans="2:6">
      <c r="B178" s="13" t="s">
        <v>370</v>
      </c>
      <c r="C178" s="13" t="s">
        <v>379</v>
      </c>
      <c r="D178" s="13">
        <v>108.925</v>
      </c>
      <c r="E178" s="13">
        <v>1</v>
      </c>
      <c r="F178" s="13">
        <f t="shared" si="2"/>
        <v>108.925</v>
      </c>
    </row>
    <row r="179" spans="2:6">
      <c r="B179" s="13" t="s">
        <v>86</v>
      </c>
      <c r="C179" s="13" t="s">
        <v>380</v>
      </c>
      <c r="D179" s="13">
        <v>36.351999999999997</v>
      </c>
      <c r="E179" s="13">
        <v>8</v>
      </c>
      <c r="F179" s="13">
        <f t="shared" si="2"/>
        <v>4.5439999999999996</v>
      </c>
    </row>
    <row r="180" spans="2:6">
      <c r="B180" s="13" t="s">
        <v>371</v>
      </c>
      <c r="C180" s="13" t="s">
        <v>381</v>
      </c>
      <c r="D180" s="13">
        <v>19.559999999999999</v>
      </c>
      <c r="E180" s="13">
        <v>5</v>
      </c>
      <c r="F180" s="13">
        <f t="shared" si="2"/>
        <v>3.9119999999999999</v>
      </c>
    </row>
    <row r="181" spans="2:6">
      <c r="B181" s="13" t="s">
        <v>372</v>
      </c>
      <c r="C181" s="13" t="s">
        <v>382</v>
      </c>
      <c r="D181" s="13">
        <v>61.44</v>
      </c>
      <c r="E181" s="13">
        <v>3</v>
      </c>
      <c r="F181" s="13">
        <f t="shared" si="2"/>
        <v>20.48</v>
      </c>
    </row>
    <row r="182" spans="2:6">
      <c r="B182" s="13" t="s">
        <v>373</v>
      </c>
      <c r="C182" s="13" t="s">
        <v>383</v>
      </c>
      <c r="D182" s="13">
        <v>38.9</v>
      </c>
      <c r="E182" s="13">
        <v>5</v>
      </c>
      <c r="F182" s="13">
        <f t="shared" si="2"/>
        <v>7.7799999999999994</v>
      </c>
    </row>
    <row r="183" spans="2:6">
      <c r="B183" s="13" t="s">
        <v>127</v>
      </c>
      <c r="C183" s="13" t="s">
        <v>357</v>
      </c>
      <c r="D183" s="13">
        <v>99.390000000000015</v>
      </c>
      <c r="E183" s="13">
        <v>3</v>
      </c>
      <c r="F183" s="13">
        <f t="shared" si="2"/>
        <v>33.130000000000003</v>
      </c>
    </row>
    <row r="184" spans="2:6">
      <c r="B184" s="13" t="s">
        <v>374</v>
      </c>
      <c r="C184" s="13" t="s">
        <v>384</v>
      </c>
      <c r="D184" s="13">
        <v>2.6879999999999997</v>
      </c>
      <c r="E184" s="13">
        <v>3</v>
      </c>
      <c r="F184" s="13">
        <f t="shared" si="2"/>
        <v>0.89599999999999991</v>
      </c>
    </row>
    <row r="185" spans="2:6">
      <c r="B185" s="13" t="s">
        <v>375</v>
      </c>
      <c r="C185" s="13" t="s">
        <v>385</v>
      </c>
      <c r="D185" s="13">
        <v>27.816000000000003</v>
      </c>
      <c r="E185" s="13">
        <v>3</v>
      </c>
      <c r="F185" s="13">
        <f t="shared" si="2"/>
        <v>9.2720000000000002</v>
      </c>
    </row>
    <row r="186" spans="2:6">
      <c r="B186" s="13" t="s">
        <v>376</v>
      </c>
      <c r="C186" s="13" t="s">
        <v>386</v>
      </c>
      <c r="D186" s="13">
        <v>82.524000000000001</v>
      </c>
      <c r="E186" s="13">
        <v>3</v>
      </c>
      <c r="F186" s="13">
        <f t="shared" si="2"/>
        <v>27.507999999999999</v>
      </c>
    </row>
    <row r="187" spans="2:6">
      <c r="B187" s="13" t="s">
        <v>377</v>
      </c>
      <c r="C187" s="13" t="s">
        <v>387</v>
      </c>
      <c r="D187" s="13">
        <v>182.99399999999997</v>
      </c>
      <c r="E187" s="13">
        <v>3</v>
      </c>
      <c r="F187" s="13">
        <f t="shared" si="2"/>
        <v>60.99799999999999</v>
      </c>
    </row>
    <row r="188" spans="2:6">
      <c r="B188" s="13" t="s">
        <v>388</v>
      </c>
      <c r="C188" s="13" t="s">
        <v>389</v>
      </c>
      <c r="D188" s="13">
        <v>7999.98</v>
      </c>
      <c r="E188" s="13">
        <v>4</v>
      </c>
      <c r="F188" s="13">
        <f t="shared" si="2"/>
        <v>1999.9949999999999</v>
      </c>
    </row>
    <row r="189" spans="2:6">
      <c r="B189" s="13" t="s">
        <v>354</v>
      </c>
      <c r="C189" s="13" t="s">
        <v>359</v>
      </c>
      <c r="D189" s="13">
        <v>167.44000000000003</v>
      </c>
      <c r="E189" s="13">
        <v>2</v>
      </c>
      <c r="F189" s="13">
        <f t="shared" si="2"/>
        <v>83.720000000000013</v>
      </c>
    </row>
    <row r="190" spans="2:6">
      <c r="B190" s="13" t="s">
        <v>390</v>
      </c>
      <c r="C190" s="13" t="s">
        <v>391</v>
      </c>
      <c r="D190" s="13">
        <v>191.98400000000001</v>
      </c>
      <c r="E190" s="13">
        <v>2</v>
      </c>
      <c r="F190" s="13">
        <f t="shared" si="2"/>
        <v>95.992000000000004</v>
      </c>
    </row>
    <row r="191" spans="2:6">
      <c r="B191" s="13" t="s">
        <v>110</v>
      </c>
      <c r="C191" s="13" t="s">
        <v>117</v>
      </c>
      <c r="D191" s="13">
        <v>15.072000000000003</v>
      </c>
      <c r="E191" s="13">
        <v>3</v>
      </c>
      <c r="F191" s="13">
        <f t="shared" si="2"/>
        <v>5.0240000000000009</v>
      </c>
    </row>
    <row r="192" spans="2:6">
      <c r="B192" s="13" t="s">
        <v>392</v>
      </c>
      <c r="C192" s="13" t="s">
        <v>396</v>
      </c>
      <c r="D192" s="13">
        <v>24.448</v>
      </c>
      <c r="E192" s="13">
        <v>4</v>
      </c>
      <c r="F192" s="13">
        <f t="shared" si="2"/>
        <v>6.1120000000000001</v>
      </c>
    </row>
    <row r="193" spans="2:6">
      <c r="B193" s="13" t="s">
        <v>393</v>
      </c>
      <c r="C193" s="13" t="s">
        <v>397</v>
      </c>
      <c r="D193" s="13">
        <v>281.34000000000003</v>
      </c>
      <c r="E193" s="13">
        <v>6</v>
      </c>
      <c r="F193" s="13">
        <f t="shared" si="2"/>
        <v>46.890000000000008</v>
      </c>
    </row>
    <row r="194" spans="2:6">
      <c r="B194" s="13" t="s">
        <v>394</v>
      </c>
      <c r="C194" s="13" t="s">
        <v>398</v>
      </c>
      <c r="D194" s="13">
        <v>307.98</v>
      </c>
      <c r="E194" s="13">
        <v>2</v>
      </c>
      <c r="F194" s="13">
        <f t="shared" si="2"/>
        <v>153.99</v>
      </c>
    </row>
    <row r="195" spans="2:6">
      <c r="B195" s="13" t="s">
        <v>395</v>
      </c>
      <c r="C195" s="13" t="s">
        <v>399</v>
      </c>
      <c r="D195" s="13">
        <v>299.96999999999997</v>
      </c>
      <c r="E195" s="13">
        <v>3</v>
      </c>
      <c r="F195" s="13">
        <f t="shared" si="2"/>
        <v>99.99</v>
      </c>
    </row>
    <row r="196" spans="2:6">
      <c r="B196" s="13" t="s">
        <v>400</v>
      </c>
      <c r="C196" s="13" t="s">
        <v>401</v>
      </c>
      <c r="D196" s="13">
        <v>103.05599999999998</v>
      </c>
      <c r="E196" s="13">
        <v>3</v>
      </c>
      <c r="F196" s="13">
        <f t="shared" ref="F196:F259" si="3">D196/E196</f>
        <v>34.351999999999997</v>
      </c>
    </row>
    <row r="197" spans="2:6">
      <c r="B197" s="13" t="s">
        <v>402</v>
      </c>
      <c r="C197" s="13" t="s">
        <v>404</v>
      </c>
      <c r="D197" s="13">
        <v>17.568000000000001</v>
      </c>
      <c r="E197" s="13">
        <v>2</v>
      </c>
      <c r="F197" s="13">
        <f t="shared" si="3"/>
        <v>8.7840000000000007</v>
      </c>
    </row>
    <row r="198" spans="2:6">
      <c r="B198" s="13" t="s">
        <v>403</v>
      </c>
      <c r="C198" s="13" t="s">
        <v>405</v>
      </c>
      <c r="D198" s="13">
        <v>55.991999999999997</v>
      </c>
      <c r="E198" s="13">
        <v>1</v>
      </c>
      <c r="F198" s="13">
        <f t="shared" si="3"/>
        <v>55.991999999999997</v>
      </c>
    </row>
    <row r="199" spans="2:6">
      <c r="B199" s="13" t="s">
        <v>406</v>
      </c>
      <c r="C199" s="13" t="s">
        <v>412</v>
      </c>
      <c r="D199" s="13">
        <v>242.94</v>
      </c>
      <c r="E199" s="13">
        <v>3</v>
      </c>
      <c r="F199" s="13">
        <f t="shared" si="3"/>
        <v>80.98</v>
      </c>
    </row>
    <row r="200" spans="2:6">
      <c r="B200" s="13" t="s">
        <v>407</v>
      </c>
      <c r="C200" s="13" t="s">
        <v>413</v>
      </c>
      <c r="D200" s="13">
        <v>179.97</v>
      </c>
      <c r="E200" s="13">
        <v>3</v>
      </c>
      <c r="F200" s="13">
        <f t="shared" si="3"/>
        <v>59.99</v>
      </c>
    </row>
    <row r="201" spans="2:6">
      <c r="B201" s="13" t="s">
        <v>408</v>
      </c>
      <c r="C201" s="13" t="s">
        <v>414</v>
      </c>
      <c r="D201" s="13">
        <v>99.695999999999998</v>
      </c>
      <c r="E201" s="13">
        <v>6</v>
      </c>
      <c r="F201" s="13">
        <f t="shared" si="3"/>
        <v>16.616</v>
      </c>
    </row>
    <row r="202" spans="2:6">
      <c r="B202" s="13" t="s">
        <v>409</v>
      </c>
      <c r="C202" s="13" t="s">
        <v>415</v>
      </c>
      <c r="D202" s="13">
        <v>27.936000000000003</v>
      </c>
      <c r="E202" s="13">
        <v>4</v>
      </c>
      <c r="F202" s="13">
        <f t="shared" si="3"/>
        <v>6.9840000000000009</v>
      </c>
    </row>
    <row r="203" spans="2:6">
      <c r="B203" s="13" t="s">
        <v>410</v>
      </c>
      <c r="C203" s="13" t="s">
        <v>416</v>
      </c>
      <c r="D203" s="13">
        <v>84.98</v>
      </c>
      <c r="E203" s="13">
        <v>1</v>
      </c>
      <c r="F203" s="13">
        <f t="shared" si="3"/>
        <v>84.98</v>
      </c>
    </row>
    <row r="204" spans="2:6">
      <c r="B204" s="13" t="s">
        <v>411</v>
      </c>
      <c r="C204" s="13" t="s">
        <v>417</v>
      </c>
      <c r="D204" s="13">
        <v>18.72</v>
      </c>
      <c r="E204" s="13">
        <v>5</v>
      </c>
      <c r="F204" s="13">
        <f t="shared" si="3"/>
        <v>3.7439999999999998</v>
      </c>
    </row>
    <row r="205" spans="2:6">
      <c r="B205" s="13" t="s">
        <v>418</v>
      </c>
      <c r="C205" s="13" t="s">
        <v>422</v>
      </c>
      <c r="D205" s="13">
        <v>58.050000000000004</v>
      </c>
      <c r="E205" s="13">
        <v>3</v>
      </c>
      <c r="F205" s="13">
        <f t="shared" si="3"/>
        <v>19.350000000000001</v>
      </c>
    </row>
    <row r="206" spans="2:6">
      <c r="B206" s="13" t="s">
        <v>419</v>
      </c>
      <c r="C206" s="13" t="s">
        <v>423</v>
      </c>
      <c r="D206" s="13">
        <v>157.74</v>
      </c>
      <c r="E206" s="13">
        <v>11</v>
      </c>
      <c r="F206" s="13">
        <f t="shared" si="3"/>
        <v>14.340000000000002</v>
      </c>
    </row>
    <row r="207" spans="2:6">
      <c r="B207" s="13" t="s">
        <v>420</v>
      </c>
      <c r="C207" s="13" t="s">
        <v>424</v>
      </c>
      <c r="D207" s="13">
        <v>56.980000000000004</v>
      </c>
      <c r="E207" s="13">
        <v>7</v>
      </c>
      <c r="F207" s="13">
        <f t="shared" si="3"/>
        <v>8.14</v>
      </c>
    </row>
    <row r="208" spans="2:6">
      <c r="B208" s="13" t="s">
        <v>421</v>
      </c>
      <c r="C208" s="13" t="s">
        <v>425</v>
      </c>
      <c r="D208" s="13">
        <v>2.88</v>
      </c>
      <c r="E208" s="13">
        <v>1</v>
      </c>
      <c r="F208" s="13">
        <f t="shared" si="3"/>
        <v>2.88</v>
      </c>
    </row>
    <row r="209" spans="2:6">
      <c r="B209" s="13" t="s">
        <v>426</v>
      </c>
      <c r="C209" s="13" t="s">
        <v>427</v>
      </c>
      <c r="D209" s="13">
        <v>13.128</v>
      </c>
      <c r="E209" s="13">
        <v>3</v>
      </c>
      <c r="F209" s="13">
        <f t="shared" si="3"/>
        <v>4.3760000000000003</v>
      </c>
    </row>
    <row r="210" spans="2:6">
      <c r="B210" s="13" t="s">
        <v>86</v>
      </c>
      <c r="C210" s="13" t="s">
        <v>380</v>
      </c>
      <c r="D210" s="13">
        <v>22.72</v>
      </c>
      <c r="E210" s="13">
        <v>4</v>
      </c>
      <c r="F210" s="13">
        <f t="shared" si="3"/>
        <v>5.68</v>
      </c>
    </row>
    <row r="211" spans="2:6">
      <c r="B211" s="13" t="s">
        <v>428</v>
      </c>
      <c r="C211" s="13" t="s">
        <v>429</v>
      </c>
      <c r="D211" s="13">
        <v>12.39</v>
      </c>
      <c r="E211" s="13">
        <v>3</v>
      </c>
      <c r="F211" s="13">
        <f t="shared" si="3"/>
        <v>4.13</v>
      </c>
    </row>
    <row r="212" spans="2:6">
      <c r="B212" s="13" t="s">
        <v>430</v>
      </c>
      <c r="C212" s="13" t="s">
        <v>436</v>
      </c>
      <c r="D212" s="13">
        <v>18.28</v>
      </c>
      <c r="E212" s="13">
        <v>2</v>
      </c>
      <c r="F212" s="13">
        <f t="shared" si="3"/>
        <v>9.14</v>
      </c>
    </row>
    <row r="213" spans="2:6">
      <c r="B213" s="13" t="s">
        <v>431</v>
      </c>
      <c r="C213" s="13" t="s">
        <v>437</v>
      </c>
      <c r="D213" s="13">
        <v>207</v>
      </c>
      <c r="E213" s="13">
        <v>3</v>
      </c>
      <c r="F213" s="13">
        <f t="shared" si="3"/>
        <v>69</v>
      </c>
    </row>
    <row r="214" spans="2:6">
      <c r="B214" s="13" t="s">
        <v>432</v>
      </c>
      <c r="C214" s="13" t="s">
        <v>438</v>
      </c>
      <c r="D214" s="13">
        <v>32.35</v>
      </c>
      <c r="E214" s="13">
        <v>5</v>
      </c>
      <c r="F214" s="13">
        <f t="shared" si="3"/>
        <v>6.4700000000000006</v>
      </c>
    </row>
    <row r="215" spans="2:6">
      <c r="B215" s="13" t="s">
        <v>433</v>
      </c>
      <c r="C215" s="13" t="s">
        <v>439</v>
      </c>
      <c r="D215" s="13">
        <v>7.71</v>
      </c>
      <c r="E215" s="13">
        <v>1</v>
      </c>
      <c r="F215" s="13">
        <f t="shared" si="3"/>
        <v>7.71</v>
      </c>
    </row>
    <row r="216" spans="2:6">
      <c r="B216" s="13" t="s">
        <v>434</v>
      </c>
      <c r="C216" s="13" t="s">
        <v>440</v>
      </c>
      <c r="D216" s="13">
        <v>40.299999999999997</v>
      </c>
      <c r="E216" s="13">
        <v>2</v>
      </c>
      <c r="F216" s="13">
        <f t="shared" si="3"/>
        <v>20.149999999999999</v>
      </c>
    </row>
    <row r="217" spans="2:6">
      <c r="B217" s="13" t="s">
        <v>435</v>
      </c>
      <c r="C217" s="13" t="s">
        <v>441</v>
      </c>
      <c r="D217" s="13">
        <v>34.580000000000005</v>
      </c>
      <c r="E217" s="13">
        <v>7</v>
      </c>
      <c r="F217" s="13">
        <f t="shared" si="3"/>
        <v>4.9400000000000004</v>
      </c>
    </row>
    <row r="218" spans="2:6">
      <c r="B218" s="13" t="s">
        <v>442</v>
      </c>
      <c r="C218" s="13" t="s">
        <v>443</v>
      </c>
      <c r="D218" s="13">
        <v>17.456</v>
      </c>
      <c r="E218" s="13">
        <v>2</v>
      </c>
      <c r="F218" s="13">
        <f t="shared" si="3"/>
        <v>8.7279999999999998</v>
      </c>
    </row>
    <row r="219" spans="2:6">
      <c r="B219" s="13" t="s">
        <v>421</v>
      </c>
      <c r="C219" s="13" t="s">
        <v>425</v>
      </c>
      <c r="D219" s="13">
        <v>20.16</v>
      </c>
      <c r="E219" s="13">
        <v>7</v>
      </c>
      <c r="F219" s="13">
        <f t="shared" si="3"/>
        <v>2.88</v>
      </c>
    </row>
    <row r="220" spans="2:6">
      <c r="B220" s="13" t="s">
        <v>444</v>
      </c>
      <c r="C220" s="13" t="s">
        <v>446</v>
      </c>
      <c r="D220" s="13">
        <v>22.23</v>
      </c>
      <c r="E220" s="13">
        <v>1</v>
      </c>
      <c r="F220" s="13">
        <f t="shared" si="3"/>
        <v>22.23</v>
      </c>
    </row>
    <row r="221" spans="2:6">
      <c r="B221" s="13" t="s">
        <v>445</v>
      </c>
      <c r="C221" s="13" t="s">
        <v>447</v>
      </c>
      <c r="D221" s="13">
        <v>215.96799999999999</v>
      </c>
      <c r="E221" s="13">
        <v>2</v>
      </c>
      <c r="F221" s="13">
        <f t="shared" si="3"/>
        <v>107.98399999999999</v>
      </c>
    </row>
    <row r="222" spans="2:6">
      <c r="B222" s="13" t="s">
        <v>448</v>
      </c>
      <c r="C222" s="13" t="s">
        <v>449</v>
      </c>
      <c r="D222" s="13">
        <v>18.28</v>
      </c>
      <c r="E222" s="13">
        <v>2</v>
      </c>
      <c r="F222" s="13">
        <f t="shared" si="3"/>
        <v>9.14</v>
      </c>
    </row>
    <row r="223" spans="2:6">
      <c r="B223" s="13" t="s">
        <v>448</v>
      </c>
      <c r="C223" s="13" t="s">
        <v>449</v>
      </c>
      <c r="D223" s="13">
        <v>18.28</v>
      </c>
      <c r="E223" s="13">
        <v>2</v>
      </c>
      <c r="F223" s="13">
        <f t="shared" si="3"/>
        <v>9.14</v>
      </c>
    </row>
    <row r="224" spans="2:6">
      <c r="B224" s="13" t="s">
        <v>450</v>
      </c>
      <c r="C224" s="13" t="s">
        <v>451</v>
      </c>
      <c r="D224" s="13">
        <v>1399.93</v>
      </c>
      <c r="E224" s="13">
        <v>7</v>
      </c>
      <c r="F224" s="13">
        <f t="shared" si="3"/>
        <v>199.99</v>
      </c>
    </row>
    <row r="225" spans="2:6">
      <c r="B225" s="13" t="s">
        <v>452</v>
      </c>
      <c r="C225" s="13" t="s">
        <v>454</v>
      </c>
      <c r="D225" s="13">
        <v>239.96999999999997</v>
      </c>
      <c r="E225" s="13">
        <v>3</v>
      </c>
      <c r="F225" s="13">
        <f t="shared" si="3"/>
        <v>79.989999999999995</v>
      </c>
    </row>
    <row r="226" spans="2:6">
      <c r="B226" s="13" t="s">
        <v>453</v>
      </c>
      <c r="C226" s="13" t="s">
        <v>455</v>
      </c>
      <c r="D226" s="13">
        <v>9.82</v>
      </c>
      <c r="E226" s="13">
        <v>2</v>
      </c>
      <c r="F226" s="13">
        <f t="shared" si="3"/>
        <v>4.91</v>
      </c>
    </row>
    <row r="227" spans="2:6">
      <c r="B227" s="13" t="s">
        <v>456</v>
      </c>
      <c r="C227" s="13" t="s">
        <v>463</v>
      </c>
      <c r="D227" s="13">
        <v>35</v>
      </c>
      <c r="E227" s="13">
        <v>7</v>
      </c>
      <c r="F227" s="13">
        <f t="shared" si="3"/>
        <v>5</v>
      </c>
    </row>
    <row r="228" spans="2:6">
      <c r="B228" s="13" t="s">
        <v>457</v>
      </c>
      <c r="C228" s="13" t="s">
        <v>464</v>
      </c>
      <c r="D228" s="13">
        <v>37.24</v>
      </c>
      <c r="E228" s="13">
        <v>4</v>
      </c>
      <c r="F228" s="13">
        <f t="shared" si="3"/>
        <v>9.31</v>
      </c>
    </row>
    <row r="229" spans="2:6">
      <c r="B229" s="13" t="s">
        <v>458</v>
      </c>
      <c r="C229" s="13" t="s">
        <v>465</v>
      </c>
      <c r="D229" s="13">
        <v>15.28</v>
      </c>
      <c r="E229" s="13">
        <v>2</v>
      </c>
      <c r="F229" s="13">
        <f t="shared" si="3"/>
        <v>7.64</v>
      </c>
    </row>
    <row r="230" spans="2:6">
      <c r="B230" s="13" t="s">
        <v>459</v>
      </c>
      <c r="C230" s="13" t="s">
        <v>466</v>
      </c>
      <c r="D230" s="13">
        <v>301.95999999999998</v>
      </c>
      <c r="E230" s="13">
        <v>2</v>
      </c>
      <c r="F230" s="13">
        <f t="shared" si="3"/>
        <v>150.97999999999999</v>
      </c>
    </row>
    <row r="231" spans="2:6">
      <c r="B231" s="13" t="s">
        <v>460</v>
      </c>
      <c r="C231" s="13" t="s">
        <v>467</v>
      </c>
      <c r="D231" s="13">
        <v>180.66</v>
      </c>
      <c r="E231" s="13">
        <v>3</v>
      </c>
      <c r="F231" s="13">
        <f t="shared" si="3"/>
        <v>60.22</v>
      </c>
    </row>
    <row r="232" spans="2:6">
      <c r="B232" s="13" t="s">
        <v>461</v>
      </c>
      <c r="C232" s="13" t="s">
        <v>468</v>
      </c>
      <c r="D232" s="13">
        <v>191.98</v>
      </c>
      <c r="E232" s="13">
        <v>2</v>
      </c>
      <c r="F232" s="13">
        <f t="shared" si="3"/>
        <v>95.99</v>
      </c>
    </row>
    <row r="233" spans="2:6">
      <c r="B233" s="13" t="s">
        <v>462</v>
      </c>
      <c r="C233" s="13" t="s">
        <v>469</v>
      </c>
      <c r="D233" s="13">
        <v>65.989999999999995</v>
      </c>
      <c r="E233" s="13">
        <v>1</v>
      </c>
      <c r="F233" s="13">
        <f t="shared" si="3"/>
        <v>65.989999999999995</v>
      </c>
    </row>
    <row r="234" spans="2:6">
      <c r="B234" s="13" t="s">
        <v>470</v>
      </c>
      <c r="C234" s="13" t="s">
        <v>471</v>
      </c>
      <c r="D234" s="13">
        <v>9.6640000000000015</v>
      </c>
      <c r="E234" s="13">
        <v>2</v>
      </c>
      <c r="F234" s="13">
        <f t="shared" si="3"/>
        <v>4.8320000000000007</v>
      </c>
    </row>
    <row r="235" spans="2:6">
      <c r="B235" s="13" t="s">
        <v>472</v>
      </c>
      <c r="C235" s="13" t="s">
        <v>473</v>
      </c>
      <c r="D235" s="13">
        <v>48.896000000000001</v>
      </c>
      <c r="E235" s="13">
        <v>4</v>
      </c>
      <c r="F235" s="13">
        <f t="shared" si="3"/>
        <v>12.224</v>
      </c>
    </row>
    <row r="236" spans="2:6">
      <c r="B236" s="13" t="s">
        <v>474</v>
      </c>
      <c r="C236" s="13" t="s">
        <v>476</v>
      </c>
      <c r="D236" s="13">
        <v>7.61</v>
      </c>
      <c r="E236" s="13">
        <v>1</v>
      </c>
      <c r="F236" s="13">
        <f t="shared" si="3"/>
        <v>7.61</v>
      </c>
    </row>
    <row r="237" spans="2:6">
      <c r="B237" s="13" t="s">
        <v>475</v>
      </c>
      <c r="C237" s="13" t="s">
        <v>477</v>
      </c>
      <c r="D237" s="13">
        <v>7.16</v>
      </c>
      <c r="E237" s="13">
        <v>2</v>
      </c>
      <c r="F237" s="13">
        <f t="shared" si="3"/>
        <v>3.58</v>
      </c>
    </row>
    <row r="238" spans="2:6">
      <c r="B238" s="13" t="s">
        <v>478</v>
      </c>
      <c r="C238" s="13" t="s">
        <v>479</v>
      </c>
      <c r="D238" s="13">
        <v>192.16000000000003</v>
      </c>
      <c r="E238" s="13">
        <v>5</v>
      </c>
      <c r="F238" s="13">
        <f t="shared" si="3"/>
        <v>38.432000000000002</v>
      </c>
    </row>
    <row r="239" spans="2:6">
      <c r="B239" s="13" t="s">
        <v>480</v>
      </c>
      <c r="C239" s="13" t="s">
        <v>482</v>
      </c>
      <c r="D239" s="13">
        <v>68.472000000000008</v>
      </c>
      <c r="E239" s="13">
        <v>3</v>
      </c>
      <c r="F239" s="13">
        <f t="shared" si="3"/>
        <v>22.824000000000002</v>
      </c>
    </row>
    <row r="240" spans="2:6">
      <c r="B240" s="13" t="s">
        <v>481</v>
      </c>
      <c r="C240" s="13" t="s">
        <v>483</v>
      </c>
      <c r="D240" s="13">
        <v>1242.8999999999999</v>
      </c>
      <c r="E240" s="13">
        <v>5</v>
      </c>
      <c r="F240" s="13">
        <f t="shared" si="3"/>
        <v>248.57999999999998</v>
      </c>
    </row>
    <row r="241" spans="2:6">
      <c r="B241" s="13" t="s">
        <v>484</v>
      </c>
      <c r="C241" s="13" t="s">
        <v>485</v>
      </c>
      <c r="D241" s="13">
        <v>13.48</v>
      </c>
      <c r="E241" s="13">
        <v>4</v>
      </c>
      <c r="F241" s="13">
        <f t="shared" si="3"/>
        <v>3.37</v>
      </c>
    </row>
    <row r="242" spans="2:6">
      <c r="B242" s="13" t="s">
        <v>486</v>
      </c>
      <c r="C242" s="13" t="s">
        <v>488</v>
      </c>
      <c r="D242" s="13">
        <v>83.76</v>
      </c>
      <c r="E242" s="13">
        <v>12</v>
      </c>
      <c r="F242" s="13">
        <f t="shared" si="3"/>
        <v>6.98</v>
      </c>
    </row>
    <row r="243" spans="2:6">
      <c r="B243" s="13" t="s">
        <v>487</v>
      </c>
      <c r="C243" s="13" t="s">
        <v>489</v>
      </c>
      <c r="D243" s="13">
        <v>37.659999999999997</v>
      </c>
      <c r="E243" s="13">
        <v>7</v>
      </c>
      <c r="F243" s="13">
        <f t="shared" si="3"/>
        <v>5.38</v>
      </c>
    </row>
    <row r="244" spans="2:6">
      <c r="B244" s="13" t="s">
        <v>490</v>
      </c>
      <c r="C244" s="13" t="s">
        <v>495</v>
      </c>
      <c r="D244" s="13">
        <v>149.94999999999999</v>
      </c>
      <c r="E244" s="13">
        <v>5</v>
      </c>
      <c r="F244" s="13">
        <f t="shared" si="3"/>
        <v>29.99</v>
      </c>
    </row>
    <row r="245" spans="2:6">
      <c r="B245" s="13" t="s">
        <v>491</v>
      </c>
      <c r="C245" s="13" t="s">
        <v>496</v>
      </c>
      <c r="D245" s="13">
        <v>51.311999999999998</v>
      </c>
      <c r="E245" s="13">
        <v>3</v>
      </c>
      <c r="F245" s="13">
        <f t="shared" si="3"/>
        <v>17.103999999999999</v>
      </c>
    </row>
    <row r="246" spans="2:6">
      <c r="B246" s="13" t="s">
        <v>492</v>
      </c>
      <c r="C246" s="13" t="s">
        <v>497</v>
      </c>
      <c r="D246" s="13">
        <v>4.54</v>
      </c>
      <c r="E246" s="13">
        <v>1</v>
      </c>
      <c r="F246" s="13">
        <f t="shared" si="3"/>
        <v>4.54</v>
      </c>
    </row>
    <row r="247" spans="2:6">
      <c r="B247" s="13" t="s">
        <v>493</v>
      </c>
      <c r="C247" s="13" t="s">
        <v>498</v>
      </c>
      <c r="D247" s="13">
        <v>15.92</v>
      </c>
      <c r="E247" s="13">
        <v>4</v>
      </c>
      <c r="F247" s="13">
        <f t="shared" si="3"/>
        <v>3.98</v>
      </c>
    </row>
    <row r="248" spans="2:6">
      <c r="B248" s="13" t="s">
        <v>494</v>
      </c>
      <c r="C248" s="13" t="s">
        <v>499</v>
      </c>
      <c r="D248" s="13">
        <v>543.91999999999996</v>
      </c>
      <c r="E248" s="13">
        <v>8</v>
      </c>
      <c r="F248" s="13">
        <f t="shared" si="3"/>
        <v>67.989999999999995</v>
      </c>
    </row>
    <row r="249" spans="2:6">
      <c r="B249" s="13" t="s">
        <v>500</v>
      </c>
      <c r="C249" s="13" t="s">
        <v>501</v>
      </c>
      <c r="D249" s="13">
        <v>46.96</v>
      </c>
      <c r="E249" s="13">
        <v>8</v>
      </c>
      <c r="F249" s="13">
        <f t="shared" si="3"/>
        <v>5.87</v>
      </c>
    </row>
    <row r="250" spans="2:6">
      <c r="B250" s="13" t="s">
        <v>502</v>
      </c>
      <c r="C250" s="13" t="s">
        <v>505</v>
      </c>
      <c r="D250" s="13">
        <v>10.440000000000001</v>
      </c>
      <c r="E250" s="13">
        <v>5</v>
      </c>
      <c r="F250" s="13">
        <f t="shared" si="3"/>
        <v>2.0880000000000001</v>
      </c>
    </row>
    <row r="251" spans="2:6">
      <c r="B251" s="13" t="s">
        <v>503</v>
      </c>
      <c r="C251" s="13" t="s">
        <v>506</v>
      </c>
      <c r="D251" s="13">
        <v>18.335999999999999</v>
      </c>
      <c r="E251" s="13">
        <v>4</v>
      </c>
      <c r="F251" s="13">
        <f t="shared" si="3"/>
        <v>4.5839999999999996</v>
      </c>
    </row>
    <row r="252" spans="2:6">
      <c r="B252" s="13" t="s">
        <v>504</v>
      </c>
      <c r="C252" s="13" t="s">
        <v>507</v>
      </c>
      <c r="D252" s="13">
        <v>323.97600000000006</v>
      </c>
      <c r="E252" s="13">
        <v>3</v>
      </c>
      <c r="F252" s="13">
        <f t="shared" si="3"/>
        <v>107.99200000000002</v>
      </c>
    </row>
    <row r="253" spans="2:6">
      <c r="B253" s="13" t="s">
        <v>508</v>
      </c>
      <c r="C253" s="13" t="s">
        <v>514</v>
      </c>
      <c r="D253" s="13">
        <v>323.13600000000002</v>
      </c>
      <c r="E253" s="13">
        <v>4</v>
      </c>
      <c r="F253" s="13">
        <f t="shared" si="3"/>
        <v>80.784000000000006</v>
      </c>
    </row>
    <row r="254" spans="2:6">
      <c r="B254" s="13" t="s">
        <v>509</v>
      </c>
      <c r="C254" s="13" t="s">
        <v>515</v>
      </c>
      <c r="D254" s="13">
        <v>90.93</v>
      </c>
      <c r="E254" s="13">
        <v>7</v>
      </c>
      <c r="F254" s="13">
        <f t="shared" si="3"/>
        <v>12.99</v>
      </c>
    </row>
    <row r="255" spans="2:6">
      <c r="B255" s="13" t="s">
        <v>510</v>
      </c>
      <c r="C255" s="13" t="s">
        <v>516</v>
      </c>
      <c r="D255" s="13">
        <v>52.775999999999996</v>
      </c>
      <c r="E255" s="13">
        <v>3</v>
      </c>
      <c r="F255" s="13">
        <f t="shared" si="3"/>
        <v>17.591999999999999</v>
      </c>
    </row>
    <row r="256" spans="2:6">
      <c r="B256" s="13" t="s">
        <v>511</v>
      </c>
      <c r="C256" s="13" t="s">
        <v>517</v>
      </c>
      <c r="D256" s="13">
        <v>1199.8</v>
      </c>
      <c r="E256" s="13">
        <v>4</v>
      </c>
      <c r="F256" s="13">
        <f t="shared" si="3"/>
        <v>299.95</v>
      </c>
    </row>
    <row r="257" spans="2:6">
      <c r="B257" s="13" t="s">
        <v>512</v>
      </c>
      <c r="C257" s="13" t="s">
        <v>518</v>
      </c>
      <c r="D257" s="13">
        <v>1928.7800000000002</v>
      </c>
      <c r="E257" s="13">
        <v>7</v>
      </c>
      <c r="F257" s="13">
        <f t="shared" si="3"/>
        <v>275.54000000000002</v>
      </c>
    </row>
    <row r="258" spans="2:6">
      <c r="B258" s="13" t="s">
        <v>513</v>
      </c>
      <c r="C258" s="13" t="s">
        <v>519</v>
      </c>
      <c r="D258" s="13">
        <v>352.38</v>
      </c>
      <c r="E258" s="13">
        <v>2</v>
      </c>
      <c r="F258" s="13">
        <f t="shared" si="3"/>
        <v>176.19</v>
      </c>
    </row>
    <row r="259" spans="2:6">
      <c r="B259" s="13" t="s">
        <v>520</v>
      </c>
      <c r="C259" s="13" t="s">
        <v>522</v>
      </c>
      <c r="D259" s="13">
        <v>46.94</v>
      </c>
      <c r="E259" s="13">
        <v>1</v>
      </c>
      <c r="F259" s="13">
        <f t="shared" si="3"/>
        <v>46.94</v>
      </c>
    </row>
    <row r="260" spans="2:6">
      <c r="B260" s="13" t="s">
        <v>521</v>
      </c>
      <c r="C260" s="13" t="s">
        <v>523</v>
      </c>
      <c r="D260" s="13">
        <v>143.73000000000002</v>
      </c>
      <c r="E260" s="13">
        <v>9</v>
      </c>
      <c r="F260" s="13">
        <f t="shared" ref="F260:F323" si="4">D260/E260</f>
        <v>15.970000000000002</v>
      </c>
    </row>
    <row r="261" spans="2:6">
      <c r="B261" s="13" t="s">
        <v>524</v>
      </c>
      <c r="C261" s="13" t="s">
        <v>528</v>
      </c>
      <c r="D261" s="13">
        <v>14.592000000000002</v>
      </c>
      <c r="E261" s="13">
        <v>3</v>
      </c>
      <c r="F261" s="13">
        <f t="shared" si="4"/>
        <v>4.8640000000000008</v>
      </c>
    </row>
    <row r="262" spans="2:6">
      <c r="B262" s="13" t="s">
        <v>525</v>
      </c>
      <c r="C262" s="13" t="s">
        <v>529</v>
      </c>
      <c r="D262" s="13">
        <v>89.855999999999995</v>
      </c>
      <c r="E262" s="13">
        <v>3</v>
      </c>
      <c r="F262" s="13">
        <f t="shared" si="4"/>
        <v>29.951999999999998</v>
      </c>
    </row>
    <row r="263" spans="2:6">
      <c r="B263" s="13" t="s">
        <v>526</v>
      </c>
      <c r="C263" s="13" t="s">
        <v>530</v>
      </c>
      <c r="D263" s="13">
        <v>13.872000000000002</v>
      </c>
      <c r="E263" s="13">
        <v>3</v>
      </c>
      <c r="F263" s="13">
        <f t="shared" si="4"/>
        <v>4.6240000000000006</v>
      </c>
    </row>
    <row r="264" spans="2:6">
      <c r="B264" s="13" t="s">
        <v>527</v>
      </c>
      <c r="C264" s="13" t="s">
        <v>531</v>
      </c>
      <c r="D264" s="13">
        <v>12.192</v>
      </c>
      <c r="E264" s="13">
        <v>3</v>
      </c>
      <c r="F264" s="13">
        <f t="shared" si="4"/>
        <v>4.0640000000000001</v>
      </c>
    </row>
    <row r="265" spans="2:6">
      <c r="B265" s="13" t="s">
        <v>532</v>
      </c>
      <c r="C265" s="13" t="s">
        <v>533</v>
      </c>
      <c r="D265" s="13">
        <v>159.99</v>
      </c>
      <c r="E265" s="13">
        <v>1</v>
      </c>
      <c r="F265" s="13">
        <f t="shared" si="4"/>
        <v>159.99</v>
      </c>
    </row>
    <row r="266" spans="2:6">
      <c r="B266" s="13" t="s">
        <v>534</v>
      </c>
      <c r="C266" s="13" t="s">
        <v>545</v>
      </c>
      <c r="D266" s="13">
        <v>516.48800000000006</v>
      </c>
      <c r="E266" s="13">
        <v>7</v>
      </c>
      <c r="F266" s="13">
        <f t="shared" si="4"/>
        <v>73.784000000000006</v>
      </c>
    </row>
    <row r="267" spans="2:6">
      <c r="B267" s="13" t="s">
        <v>535</v>
      </c>
      <c r="C267" s="13" t="s">
        <v>546</v>
      </c>
      <c r="D267" s="13">
        <v>1007.2320000000001</v>
      </c>
      <c r="E267" s="13">
        <v>6</v>
      </c>
      <c r="F267" s="13">
        <f t="shared" si="4"/>
        <v>167.87200000000001</v>
      </c>
    </row>
    <row r="268" spans="2:6">
      <c r="B268" s="13" t="s">
        <v>536</v>
      </c>
      <c r="C268" s="13" t="s">
        <v>547</v>
      </c>
      <c r="D268" s="13">
        <v>2065.3200000000002</v>
      </c>
      <c r="E268" s="13">
        <v>12</v>
      </c>
      <c r="F268" s="13">
        <f t="shared" si="4"/>
        <v>172.11</v>
      </c>
    </row>
    <row r="269" spans="2:6">
      <c r="B269" s="13" t="s">
        <v>537</v>
      </c>
      <c r="C269" s="13" t="s">
        <v>548</v>
      </c>
      <c r="D269" s="13">
        <v>15.552000000000003</v>
      </c>
      <c r="E269" s="13">
        <v>3</v>
      </c>
      <c r="F269" s="13">
        <f t="shared" si="4"/>
        <v>5.1840000000000011</v>
      </c>
    </row>
    <row r="270" spans="2:6">
      <c r="B270" s="13" t="s">
        <v>128</v>
      </c>
      <c r="C270" s="13" t="s">
        <v>134</v>
      </c>
      <c r="D270" s="13">
        <v>25.344000000000001</v>
      </c>
      <c r="E270" s="13">
        <v>6</v>
      </c>
      <c r="F270" s="13">
        <f t="shared" si="4"/>
        <v>4.2240000000000002</v>
      </c>
    </row>
    <row r="271" spans="2:6">
      <c r="B271" s="13" t="s">
        <v>538</v>
      </c>
      <c r="C271" s="13" t="s">
        <v>549</v>
      </c>
      <c r="D271" s="13">
        <v>25.472000000000001</v>
      </c>
      <c r="E271" s="13">
        <v>4</v>
      </c>
      <c r="F271" s="13">
        <f t="shared" si="4"/>
        <v>6.3680000000000003</v>
      </c>
    </row>
    <row r="272" spans="2:6">
      <c r="B272" s="13" t="s">
        <v>539</v>
      </c>
      <c r="C272" s="13" t="s">
        <v>550</v>
      </c>
      <c r="D272" s="13">
        <v>27.168000000000003</v>
      </c>
      <c r="E272" s="13">
        <v>2</v>
      </c>
      <c r="F272" s="13">
        <f t="shared" si="4"/>
        <v>13.584000000000001</v>
      </c>
    </row>
    <row r="273" spans="2:6">
      <c r="B273" s="13" t="s">
        <v>540</v>
      </c>
      <c r="C273" s="13" t="s">
        <v>551</v>
      </c>
      <c r="D273" s="13">
        <v>78.852799999999988</v>
      </c>
      <c r="E273" s="13">
        <v>2</v>
      </c>
      <c r="F273" s="13">
        <f t="shared" si="4"/>
        <v>39.426399999999994</v>
      </c>
    </row>
    <row r="274" spans="2:6">
      <c r="B274" s="13" t="s">
        <v>541</v>
      </c>
      <c r="C274" s="13" t="s">
        <v>552</v>
      </c>
      <c r="D274" s="13">
        <v>173.79999999999998</v>
      </c>
      <c r="E274" s="13">
        <v>5</v>
      </c>
      <c r="F274" s="13">
        <f t="shared" si="4"/>
        <v>34.76</v>
      </c>
    </row>
    <row r="275" spans="2:6">
      <c r="B275" s="13" t="s">
        <v>542</v>
      </c>
      <c r="C275" s="13" t="s">
        <v>553</v>
      </c>
      <c r="D275" s="13">
        <v>29.592000000000002</v>
      </c>
      <c r="E275" s="13">
        <v>1</v>
      </c>
      <c r="F275" s="13">
        <f t="shared" si="4"/>
        <v>29.592000000000002</v>
      </c>
    </row>
    <row r="276" spans="2:6">
      <c r="B276" s="13" t="s">
        <v>543</v>
      </c>
      <c r="C276" s="13" t="s">
        <v>554</v>
      </c>
      <c r="D276" s="13">
        <v>4.7520000000000007</v>
      </c>
      <c r="E276" s="13">
        <v>2</v>
      </c>
      <c r="F276" s="13">
        <f t="shared" si="4"/>
        <v>2.3760000000000003</v>
      </c>
    </row>
    <row r="277" spans="2:6">
      <c r="B277" s="13" t="s">
        <v>544</v>
      </c>
      <c r="C277" s="13" t="s">
        <v>555</v>
      </c>
      <c r="D277" s="13">
        <v>15.552000000000003</v>
      </c>
      <c r="E277" s="13">
        <v>3</v>
      </c>
      <c r="F277" s="13">
        <f t="shared" si="4"/>
        <v>5.1840000000000011</v>
      </c>
    </row>
    <row r="278" spans="2:6">
      <c r="B278" s="13" t="s">
        <v>556</v>
      </c>
      <c r="C278" s="13" t="s">
        <v>557</v>
      </c>
      <c r="D278" s="13">
        <v>321.56799999999998</v>
      </c>
      <c r="E278" s="13">
        <v>2</v>
      </c>
      <c r="F278" s="13">
        <f t="shared" si="4"/>
        <v>160.78399999999999</v>
      </c>
    </row>
    <row r="279" spans="2:6">
      <c r="B279" s="13" t="s">
        <v>558</v>
      </c>
      <c r="C279" s="13" t="s">
        <v>563</v>
      </c>
      <c r="D279" s="13">
        <v>9.82</v>
      </c>
      <c r="E279" s="13">
        <v>2</v>
      </c>
      <c r="F279" s="13">
        <f t="shared" si="4"/>
        <v>4.91</v>
      </c>
    </row>
    <row r="280" spans="2:6">
      <c r="B280" s="13" t="s">
        <v>209</v>
      </c>
      <c r="C280" s="13" t="s">
        <v>222</v>
      </c>
      <c r="D280" s="13">
        <v>35.97</v>
      </c>
      <c r="E280" s="13">
        <v>3</v>
      </c>
      <c r="F280" s="13">
        <f t="shared" si="4"/>
        <v>11.99</v>
      </c>
    </row>
    <row r="281" spans="2:6">
      <c r="B281" s="13" t="s">
        <v>559</v>
      </c>
      <c r="C281" s="13" t="s">
        <v>564</v>
      </c>
      <c r="D281" s="13">
        <v>12.96</v>
      </c>
      <c r="E281" s="13">
        <v>2</v>
      </c>
      <c r="F281" s="13">
        <f t="shared" si="4"/>
        <v>6.48</v>
      </c>
    </row>
    <row r="282" spans="2:6">
      <c r="B282" s="13" t="s">
        <v>560</v>
      </c>
      <c r="C282" s="13" t="s">
        <v>565</v>
      </c>
      <c r="D282" s="13">
        <v>191.6</v>
      </c>
      <c r="E282" s="13">
        <v>4</v>
      </c>
      <c r="F282" s="13">
        <f t="shared" si="4"/>
        <v>47.9</v>
      </c>
    </row>
    <row r="283" spans="2:6">
      <c r="B283" s="13" t="s">
        <v>561</v>
      </c>
      <c r="C283" s="13" t="s">
        <v>566</v>
      </c>
      <c r="D283" s="13">
        <v>8.64</v>
      </c>
      <c r="E283" s="13">
        <v>3</v>
      </c>
      <c r="F283" s="13">
        <f t="shared" si="4"/>
        <v>2.8800000000000003</v>
      </c>
    </row>
    <row r="284" spans="2:6">
      <c r="B284" s="13" t="s">
        <v>562</v>
      </c>
      <c r="C284" s="13" t="s">
        <v>567</v>
      </c>
      <c r="D284" s="13">
        <v>501.81000000000006</v>
      </c>
      <c r="E284" s="13">
        <v>3</v>
      </c>
      <c r="F284" s="13">
        <f t="shared" si="4"/>
        <v>167.27</v>
      </c>
    </row>
    <row r="285" spans="2:6">
      <c r="B285" s="13" t="s">
        <v>568</v>
      </c>
      <c r="C285" s="13" t="s">
        <v>571</v>
      </c>
      <c r="D285" s="13">
        <v>160.92999999999998</v>
      </c>
      <c r="E285" s="13">
        <v>7</v>
      </c>
      <c r="F285" s="13">
        <f t="shared" si="4"/>
        <v>22.99</v>
      </c>
    </row>
    <row r="286" spans="2:6">
      <c r="B286" s="13" t="s">
        <v>191</v>
      </c>
      <c r="C286" s="13" t="s">
        <v>194</v>
      </c>
      <c r="D286" s="13">
        <v>75.792000000000002</v>
      </c>
      <c r="E286" s="13">
        <v>3</v>
      </c>
      <c r="F286" s="13">
        <f t="shared" si="4"/>
        <v>25.263999999999999</v>
      </c>
    </row>
    <row r="287" spans="2:6">
      <c r="B287" s="13" t="s">
        <v>569</v>
      </c>
      <c r="C287" s="13" t="s">
        <v>572</v>
      </c>
      <c r="D287" s="13">
        <v>1.0800000000000003</v>
      </c>
      <c r="E287" s="13">
        <v>2</v>
      </c>
      <c r="F287" s="13">
        <f t="shared" si="4"/>
        <v>0.54000000000000015</v>
      </c>
    </row>
    <row r="288" spans="2:6">
      <c r="B288" s="13" t="s">
        <v>570</v>
      </c>
      <c r="C288" s="13" t="s">
        <v>573</v>
      </c>
      <c r="D288" s="13">
        <v>3059.982</v>
      </c>
      <c r="E288" s="13">
        <v>2</v>
      </c>
      <c r="F288" s="13">
        <f t="shared" si="4"/>
        <v>1529.991</v>
      </c>
    </row>
    <row r="289" spans="2:6">
      <c r="B289" s="13" t="s">
        <v>574</v>
      </c>
      <c r="C289" s="13" t="s">
        <v>577</v>
      </c>
      <c r="D289" s="13">
        <v>7.9680000000000009</v>
      </c>
      <c r="E289" s="13">
        <v>2</v>
      </c>
      <c r="F289" s="13">
        <f t="shared" si="4"/>
        <v>3.9840000000000004</v>
      </c>
    </row>
    <row r="290" spans="2:6">
      <c r="B290" s="13" t="s">
        <v>575</v>
      </c>
      <c r="C290" s="13" t="s">
        <v>578</v>
      </c>
      <c r="D290" s="13">
        <v>27.968000000000004</v>
      </c>
      <c r="E290" s="13">
        <v>4</v>
      </c>
      <c r="F290" s="13">
        <f t="shared" si="4"/>
        <v>6.9920000000000009</v>
      </c>
    </row>
    <row r="291" spans="2:6">
      <c r="B291" s="13" t="s">
        <v>576</v>
      </c>
      <c r="C291" s="13" t="s">
        <v>579</v>
      </c>
      <c r="D291" s="13">
        <v>336.51</v>
      </c>
      <c r="E291" s="13">
        <v>3</v>
      </c>
      <c r="F291" s="13">
        <f t="shared" si="4"/>
        <v>112.17</v>
      </c>
    </row>
    <row r="292" spans="2:6">
      <c r="B292" s="13" t="s">
        <v>580</v>
      </c>
      <c r="C292" s="13" t="s">
        <v>582</v>
      </c>
      <c r="D292" s="13">
        <v>520.05000000000007</v>
      </c>
      <c r="E292" s="13">
        <v>5</v>
      </c>
      <c r="F292" s="13">
        <f t="shared" si="4"/>
        <v>104.01000000000002</v>
      </c>
    </row>
    <row r="293" spans="2:6">
      <c r="B293" s="13" t="s">
        <v>581</v>
      </c>
      <c r="C293" s="13" t="s">
        <v>583</v>
      </c>
      <c r="D293" s="13">
        <v>17.97</v>
      </c>
      <c r="E293" s="13">
        <v>3</v>
      </c>
      <c r="F293" s="13">
        <f t="shared" si="4"/>
        <v>5.9899999999999993</v>
      </c>
    </row>
    <row r="294" spans="2:6">
      <c r="B294" s="13" t="s">
        <v>584</v>
      </c>
      <c r="C294" s="13" t="s">
        <v>586</v>
      </c>
      <c r="D294" s="13">
        <v>44.75</v>
      </c>
      <c r="E294" s="13">
        <v>5</v>
      </c>
      <c r="F294" s="13">
        <f t="shared" si="4"/>
        <v>8.9499999999999993</v>
      </c>
    </row>
    <row r="295" spans="2:6">
      <c r="B295" s="13" t="s">
        <v>585</v>
      </c>
      <c r="C295" s="13" t="s">
        <v>587</v>
      </c>
      <c r="D295" s="13">
        <v>95.984000000000009</v>
      </c>
      <c r="E295" s="13">
        <v>2</v>
      </c>
      <c r="F295" s="13">
        <f t="shared" si="4"/>
        <v>47.992000000000004</v>
      </c>
    </row>
    <row r="296" spans="2:6">
      <c r="B296" s="13" t="s">
        <v>588</v>
      </c>
      <c r="C296" s="13" t="s">
        <v>590</v>
      </c>
      <c r="D296" s="13">
        <v>155.25</v>
      </c>
      <c r="E296" s="13">
        <v>3</v>
      </c>
      <c r="F296" s="13">
        <f t="shared" si="4"/>
        <v>51.75</v>
      </c>
    </row>
    <row r="297" spans="2:6">
      <c r="B297" s="13" t="s">
        <v>589</v>
      </c>
      <c r="C297" s="13" t="s">
        <v>591</v>
      </c>
      <c r="D297" s="13">
        <v>14.03</v>
      </c>
      <c r="E297" s="13">
        <v>1</v>
      </c>
      <c r="F297" s="13">
        <f t="shared" si="4"/>
        <v>14.03</v>
      </c>
    </row>
    <row r="298" spans="2:6">
      <c r="B298" s="13" t="s">
        <v>592</v>
      </c>
      <c r="C298" s="13" t="s">
        <v>593</v>
      </c>
      <c r="D298" s="13">
        <v>11.808</v>
      </c>
      <c r="E298" s="13">
        <v>2</v>
      </c>
      <c r="F298" s="13">
        <f t="shared" si="4"/>
        <v>5.9039999999999999</v>
      </c>
    </row>
    <row r="299" spans="2:6">
      <c r="B299" s="13" t="s">
        <v>594</v>
      </c>
      <c r="C299" s="13" t="s">
        <v>596</v>
      </c>
      <c r="D299" s="13">
        <v>23.968000000000004</v>
      </c>
      <c r="E299" s="13">
        <v>7</v>
      </c>
      <c r="F299" s="13">
        <f t="shared" si="4"/>
        <v>3.4240000000000004</v>
      </c>
    </row>
    <row r="300" spans="2:6">
      <c r="B300" s="13" t="s">
        <v>595</v>
      </c>
      <c r="C300" s="13" t="s">
        <v>597</v>
      </c>
      <c r="D300" s="13">
        <v>28.728000000000002</v>
      </c>
      <c r="E300" s="13">
        <v>3</v>
      </c>
      <c r="F300" s="13">
        <f t="shared" si="4"/>
        <v>9.5760000000000005</v>
      </c>
    </row>
    <row r="301" spans="2:6">
      <c r="B301" s="13" t="s">
        <v>598</v>
      </c>
      <c r="C301" s="13" t="s">
        <v>601</v>
      </c>
      <c r="D301" s="13">
        <v>8.84</v>
      </c>
      <c r="E301" s="13">
        <v>5</v>
      </c>
      <c r="F301" s="13">
        <f t="shared" si="4"/>
        <v>1.768</v>
      </c>
    </row>
    <row r="302" spans="2:6">
      <c r="B302" s="13" t="s">
        <v>599</v>
      </c>
      <c r="C302" s="13" t="s">
        <v>602</v>
      </c>
      <c r="D302" s="13">
        <v>58.463999999999977</v>
      </c>
      <c r="E302" s="13">
        <v>9</v>
      </c>
      <c r="F302" s="13">
        <f t="shared" si="4"/>
        <v>6.4959999999999978</v>
      </c>
    </row>
    <row r="303" spans="2:6">
      <c r="B303" s="13" t="s">
        <v>600</v>
      </c>
      <c r="C303" s="13" t="s">
        <v>603</v>
      </c>
      <c r="D303" s="13">
        <v>254.60399999999998</v>
      </c>
      <c r="E303" s="13">
        <v>14</v>
      </c>
      <c r="F303" s="13">
        <f t="shared" si="4"/>
        <v>18.186</v>
      </c>
    </row>
    <row r="304" spans="2:6">
      <c r="B304" s="13" t="s">
        <v>604</v>
      </c>
      <c r="C304" s="13" t="s">
        <v>606</v>
      </c>
      <c r="D304" s="13">
        <v>19.936000000000003</v>
      </c>
      <c r="E304" s="13">
        <v>4</v>
      </c>
      <c r="F304" s="13">
        <f t="shared" si="4"/>
        <v>4.9840000000000009</v>
      </c>
    </row>
    <row r="305" spans="2:6">
      <c r="B305" s="13" t="s">
        <v>605</v>
      </c>
      <c r="C305" s="13" t="s">
        <v>607</v>
      </c>
      <c r="D305" s="13">
        <v>65.567999999999998</v>
      </c>
      <c r="E305" s="13">
        <v>2</v>
      </c>
      <c r="F305" s="13">
        <f t="shared" si="4"/>
        <v>32.783999999999999</v>
      </c>
    </row>
    <row r="306" spans="2:6">
      <c r="B306" s="13" t="s">
        <v>608</v>
      </c>
      <c r="C306" s="13" t="s">
        <v>609</v>
      </c>
      <c r="D306" s="13">
        <v>1.7440000000000002</v>
      </c>
      <c r="E306" s="13">
        <v>1</v>
      </c>
      <c r="F306" s="13">
        <f t="shared" si="4"/>
        <v>1.7440000000000002</v>
      </c>
    </row>
    <row r="307" spans="2:6">
      <c r="B307" s="13" t="s">
        <v>610</v>
      </c>
      <c r="C307" s="13" t="s">
        <v>611</v>
      </c>
      <c r="D307" s="13">
        <v>8.64</v>
      </c>
      <c r="E307" s="13">
        <v>2</v>
      </c>
      <c r="F307" s="13">
        <f t="shared" si="4"/>
        <v>4.32</v>
      </c>
    </row>
    <row r="308" spans="2:6">
      <c r="B308" s="13" t="s">
        <v>612</v>
      </c>
      <c r="C308" s="13" t="s">
        <v>614</v>
      </c>
      <c r="D308" s="13">
        <v>119.96</v>
      </c>
      <c r="E308" s="13">
        <v>2</v>
      </c>
      <c r="F308" s="13">
        <f t="shared" si="4"/>
        <v>59.98</v>
      </c>
    </row>
    <row r="309" spans="2:6">
      <c r="B309" s="13" t="s">
        <v>613</v>
      </c>
      <c r="C309" s="13" t="s">
        <v>615</v>
      </c>
      <c r="D309" s="13">
        <v>31.44</v>
      </c>
      <c r="E309" s="13">
        <v>3</v>
      </c>
      <c r="F309" s="13">
        <f t="shared" si="4"/>
        <v>10.48</v>
      </c>
    </row>
    <row r="310" spans="2:6">
      <c r="B310" s="13" t="s">
        <v>285</v>
      </c>
      <c r="C310" s="13" t="s">
        <v>287</v>
      </c>
      <c r="D310" s="13">
        <v>6.88</v>
      </c>
      <c r="E310" s="13">
        <v>1</v>
      </c>
      <c r="F310" s="13">
        <f t="shared" si="4"/>
        <v>6.88</v>
      </c>
    </row>
    <row r="311" spans="2:6">
      <c r="B311" s="13" t="s">
        <v>167</v>
      </c>
      <c r="C311" s="13" t="s">
        <v>168</v>
      </c>
      <c r="D311" s="13">
        <v>31.983999999999998</v>
      </c>
      <c r="E311" s="13">
        <v>2</v>
      </c>
      <c r="F311" s="13">
        <f t="shared" si="4"/>
        <v>15.991999999999999</v>
      </c>
    </row>
    <row r="312" spans="2:6">
      <c r="B312" s="13" t="s">
        <v>616</v>
      </c>
      <c r="C312" s="13" t="s">
        <v>617</v>
      </c>
      <c r="D312" s="13">
        <v>71.984000000000009</v>
      </c>
      <c r="E312" s="13">
        <v>2</v>
      </c>
      <c r="F312" s="13">
        <f t="shared" si="4"/>
        <v>35.992000000000004</v>
      </c>
    </row>
    <row r="313" spans="2:6">
      <c r="B313" s="13" t="s">
        <v>618</v>
      </c>
      <c r="C313" s="13" t="s">
        <v>620</v>
      </c>
      <c r="D313" s="13">
        <v>348.20799999999997</v>
      </c>
      <c r="E313" s="13">
        <v>7</v>
      </c>
      <c r="F313" s="13">
        <f t="shared" si="4"/>
        <v>49.743999999999993</v>
      </c>
    </row>
    <row r="314" spans="2:6">
      <c r="B314" s="13" t="s">
        <v>619</v>
      </c>
      <c r="C314" s="13" t="s">
        <v>621</v>
      </c>
      <c r="D314" s="13">
        <v>35.783999999999999</v>
      </c>
      <c r="E314" s="13">
        <v>7</v>
      </c>
      <c r="F314" s="13">
        <f t="shared" si="4"/>
        <v>5.1120000000000001</v>
      </c>
    </row>
    <row r="315" spans="2:6">
      <c r="B315" s="13" t="s">
        <v>622</v>
      </c>
      <c r="C315" s="13" t="s">
        <v>624</v>
      </c>
      <c r="D315" s="13">
        <v>2.6939999999999995</v>
      </c>
      <c r="E315" s="13">
        <v>3</v>
      </c>
      <c r="F315" s="13">
        <f t="shared" si="4"/>
        <v>0.8979999999999998</v>
      </c>
    </row>
    <row r="316" spans="2:6">
      <c r="B316" s="13" t="s">
        <v>623</v>
      </c>
      <c r="C316" s="13" t="s">
        <v>625</v>
      </c>
      <c r="D316" s="13">
        <v>2.9339999999999993</v>
      </c>
      <c r="E316" s="13">
        <v>3</v>
      </c>
      <c r="F316" s="13">
        <f t="shared" si="4"/>
        <v>0.97799999999999976</v>
      </c>
    </row>
    <row r="317" spans="2:6">
      <c r="B317" s="13" t="s">
        <v>626</v>
      </c>
      <c r="C317" s="13" t="s">
        <v>628</v>
      </c>
      <c r="D317" s="13">
        <v>46.672000000000004</v>
      </c>
      <c r="E317" s="13">
        <v>2</v>
      </c>
      <c r="F317" s="13">
        <f t="shared" si="4"/>
        <v>23.336000000000002</v>
      </c>
    </row>
    <row r="318" spans="2:6">
      <c r="B318" s="13" t="s">
        <v>627</v>
      </c>
      <c r="C318" s="13" t="s">
        <v>629</v>
      </c>
      <c r="D318" s="13">
        <v>119.83299999999998</v>
      </c>
      <c r="E318" s="13">
        <v>1</v>
      </c>
      <c r="F318" s="13">
        <f t="shared" si="4"/>
        <v>119.83299999999998</v>
      </c>
    </row>
    <row r="319" spans="2:6">
      <c r="B319" s="13" t="s">
        <v>407</v>
      </c>
      <c r="C319" s="13" t="s">
        <v>413</v>
      </c>
      <c r="D319" s="13">
        <v>119.98</v>
      </c>
      <c r="E319" s="13">
        <v>2</v>
      </c>
      <c r="F319" s="13">
        <f t="shared" si="4"/>
        <v>59.99</v>
      </c>
    </row>
    <row r="320" spans="2:6">
      <c r="B320" s="13" t="s">
        <v>630</v>
      </c>
      <c r="C320" s="13" t="s">
        <v>632</v>
      </c>
      <c r="D320" s="13">
        <v>362.94</v>
      </c>
      <c r="E320" s="13">
        <v>3</v>
      </c>
      <c r="F320" s="13">
        <f t="shared" si="4"/>
        <v>120.98</v>
      </c>
    </row>
    <row r="321" spans="2:6">
      <c r="B321" s="13" t="s">
        <v>631</v>
      </c>
      <c r="C321" s="13" t="s">
        <v>633</v>
      </c>
      <c r="D321" s="13">
        <v>11.54</v>
      </c>
      <c r="E321" s="13">
        <v>2</v>
      </c>
      <c r="F321" s="13">
        <f t="shared" si="4"/>
        <v>5.77</v>
      </c>
    </row>
    <row r="322" spans="2:6">
      <c r="B322" s="13" t="s">
        <v>634</v>
      </c>
      <c r="C322" s="13" t="s">
        <v>638</v>
      </c>
      <c r="D322" s="13">
        <v>109.48</v>
      </c>
      <c r="E322" s="13">
        <v>2</v>
      </c>
      <c r="F322" s="13">
        <f t="shared" si="4"/>
        <v>54.74</v>
      </c>
    </row>
    <row r="323" spans="2:6">
      <c r="B323" s="13" t="s">
        <v>635</v>
      </c>
      <c r="C323" s="13" t="s">
        <v>639</v>
      </c>
      <c r="D323" s="13">
        <v>272.94</v>
      </c>
      <c r="E323" s="13">
        <v>3</v>
      </c>
      <c r="F323" s="13">
        <f t="shared" si="4"/>
        <v>90.98</v>
      </c>
    </row>
    <row r="324" spans="2:6">
      <c r="B324" s="13" t="s">
        <v>636</v>
      </c>
      <c r="C324" s="13" t="s">
        <v>640</v>
      </c>
      <c r="D324" s="13">
        <v>19.440000000000001</v>
      </c>
      <c r="E324" s="13">
        <v>3</v>
      </c>
      <c r="F324" s="13">
        <f t="shared" ref="F324:F387" si="5">D324/E324</f>
        <v>6.48</v>
      </c>
    </row>
    <row r="325" spans="2:6">
      <c r="B325" s="13" t="s">
        <v>637</v>
      </c>
      <c r="C325" s="13" t="s">
        <v>641</v>
      </c>
      <c r="D325" s="13">
        <v>31.92</v>
      </c>
      <c r="E325" s="13">
        <v>4</v>
      </c>
      <c r="F325" s="13">
        <f t="shared" si="5"/>
        <v>7.98</v>
      </c>
    </row>
    <row r="326" spans="2:6">
      <c r="B326" s="13" t="s">
        <v>642</v>
      </c>
      <c r="C326" s="13" t="s">
        <v>644</v>
      </c>
      <c r="D326" s="13">
        <v>21.744</v>
      </c>
      <c r="E326" s="13">
        <v>1</v>
      </c>
      <c r="F326" s="13">
        <f t="shared" si="5"/>
        <v>21.744</v>
      </c>
    </row>
    <row r="327" spans="2:6">
      <c r="B327" s="13" t="s">
        <v>643</v>
      </c>
      <c r="C327" s="13" t="s">
        <v>645</v>
      </c>
      <c r="D327" s="13">
        <v>7.92</v>
      </c>
      <c r="E327" s="13">
        <v>5</v>
      </c>
      <c r="F327" s="13">
        <f t="shared" si="5"/>
        <v>1.5840000000000001</v>
      </c>
    </row>
    <row r="328" spans="2:6">
      <c r="B328" s="13" t="s">
        <v>372</v>
      </c>
      <c r="C328" s="13" t="s">
        <v>382</v>
      </c>
      <c r="D328" s="13">
        <v>81.92</v>
      </c>
      <c r="E328" s="13">
        <v>4</v>
      </c>
      <c r="F328" s="13">
        <f t="shared" si="5"/>
        <v>20.48</v>
      </c>
    </row>
    <row r="329" spans="2:6">
      <c r="B329" s="13" t="s">
        <v>646</v>
      </c>
      <c r="C329" s="13" t="s">
        <v>649</v>
      </c>
      <c r="D329" s="13">
        <v>889.53600000000006</v>
      </c>
      <c r="E329" s="13">
        <v>8</v>
      </c>
      <c r="F329" s="13">
        <f t="shared" si="5"/>
        <v>111.19200000000001</v>
      </c>
    </row>
    <row r="330" spans="2:6">
      <c r="B330" s="13" t="s">
        <v>647</v>
      </c>
      <c r="C330" s="13" t="s">
        <v>650</v>
      </c>
      <c r="D330" s="13">
        <v>892.22400000000005</v>
      </c>
      <c r="E330" s="13">
        <v>3</v>
      </c>
      <c r="F330" s="13">
        <f t="shared" si="5"/>
        <v>297.40800000000002</v>
      </c>
    </row>
    <row r="331" spans="2:6">
      <c r="B331" s="13" t="s">
        <v>204</v>
      </c>
      <c r="C331" s="13" t="s">
        <v>217</v>
      </c>
      <c r="D331" s="13">
        <v>223.92</v>
      </c>
      <c r="E331" s="13">
        <v>4</v>
      </c>
      <c r="F331" s="13">
        <f t="shared" si="5"/>
        <v>55.98</v>
      </c>
    </row>
    <row r="332" spans="2:6">
      <c r="B332" s="13" t="s">
        <v>648</v>
      </c>
      <c r="C332" s="13" t="s">
        <v>651</v>
      </c>
      <c r="D332" s="13">
        <v>23.12</v>
      </c>
      <c r="E332" s="13">
        <v>4</v>
      </c>
      <c r="F332" s="13">
        <f t="shared" si="5"/>
        <v>5.78</v>
      </c>
    </row>
    <row r="333" spans="2:6">
      <c r="B333" s="13" t="s">
        <v>494</v>
      </c>
      <c r="C333" s="13" t="s">
        <v>499</v>
      </c>
      <c r="D333" s="13">
        <v>271.95999999999998</v>
      </c>
      <c r="E333" s="13">
        <v>5</v>
      </c>
      <c r="F333" s="13">
        <f t="shared" si="5"/>
        <v>54.391999999999996</v>
      </c>
    </row>
    <row r="334" spans="2:6">
      <c r="B334" s="13" t="s">
        <v>652</v>
      </c>
      <c r="C334" s="13" t="s">
        <v>658</v>
      </c>
      <c r="D334" s="13">
        <v>141.37199999999999</v>
      </c>
      <c r="E334" s="13">
        <v>2</v>
      </c>
      <c r="F334" s="13">
        <f t="shared" si="5"/>
        <v>70.685999999999993</v>
      </c>
    </row>
    <row r="335" spans="2:6">
      <c r="B335" s="13" t="s">
        <v>653</v>
      </c>
      <c r="C335" s="13" t="s">
        <v>659</v>
      </c>
      <c r="D335" s="13">
        <v>3.036</v>
      </c>
      <c r="E335" s="13">
        <v>2</v>
      </c>
      <c r="F335" s="13">
        <f t="shared" si="5"/>
        <v>1.518</v>
      </c>
    </row>
    <row r="336" spans="2:6">
      <c r="B336" s="13" t="s">
        <v>295</v>
      </c>
      <c r="C336" s="13" t="s">
        <v>296</v>
      </c>
      <c r="D336" s="13">
        <v>4.503000000000001</v>
      </c>
      <c r="E336" s="13">
        <v>1</v>
      </c>
      <c r="F336" s="13">
        <f t="shared" si="5"/>
        <v>4.503000000000001</v>
      </c>
    </row>
    <row r="337" spans="2:6">
      <c r="B337" s="13" t="s">
        <v>143</v>
      </c>
      <c r="C337" s="13" t="s">
        <v>144</v>
      </c>
      <c r="D337" s="13">
        <v>4.6719999999999997</v>
      </c>
      <c r="E337" s="13">
        <v>1</v>
      </c>
      <c r="F337" s="13">
        <f t="shared" si="5"/>
        <v>4.6719999999999997</v>
      </c>
    </row>
    <row r="338" spans="2:6">
      <c r="B338" s="13" t="s">
        <v>654</v>
      </c>
      <c r="C338" s="13" t="s">
        <v>660</v>
      </c>
      <c r="D338" s="13">
        <v>95.88000000000001</v>
      </c>
      <c r="E338" s="13">
        <v>3</v>
      </c>
      <c r="F338" s="13">
        <f t="shared" si="5"/>
        <v>31.960000000000004</v>
      </c>
    </row>
    <row r="339" spans="2:6">
      <c r="B339" s="13" t="s">
        <v>655</v>
      </c>
      <c r="C339" s="13" t="s">
        <v>661</v>
      </c>
      <c r="D339" s="13">
        <v>17.024000000000001</v>
      </c>
      <c r="E339" s="13">
        <v>2</v>
      </c>
      <c r="F339" s="13">
        <f t="shared" si="5"/>
        <v>8.5120000000000005</v>
      </c>
    </row>
    <row r="340" spans="2:6">
      <c r="B340" s="13" t="s">
        <v>656</v>
      </c>
      <c r="C340" s="13" t="s">
        <v>662</v>
      </c>
      <c r="D340" s="13">
        <v>258.69600000000003</v>
      </c>
      <c r="E340" s="13">
        <v>3</v>
      </c>
      <c r="F340" s="13">
        <f t="shared" si="5"/>
        <v>86.232000000000014</v>
      </c>
    </row>
    <row r="341" spans="2:6">
      <c r="B341" s="13" t="s">
        <v>657</v>
      </c>
      <c r="C341" s="13" t="s">
        <v>663</v>
      </c>
      <c r="D341" s="13">
        <v>1931.9579999999999</v>
      </c>
      <c r="E341" s="13">
        <v>7</v>
      </c>
      <c r="F341" s="13">
        <f t="shared" si="5"/>
        <v>275.99399999999997</v>
      </c>
    </row>
    <row r="342" spans="2:6">
      <c r="B342" s="13" t="s">
        <v>392</v>
      </c>
      <c r="C342" s="13" t="s">
        <v>396</v>
      </c>
      <c r="D342" s="13">
        <v>15.28</v>
      </c>
      <c r="E342" s="13">
        <v>2</v>
      </c>
      <c r="F342" s="13">
        <f t="shared" si="5"/>
        <v>7.64</v>
      </c>
    </row>
    <row r="343" spans="2:6">
      <c r="B343" s="13" t="s">
        <v>664</v>
      </c>
      <c r="C343" s="13" t="s">
        <v>666</v>
      </c>
      <c r="D343" s="13">
        <v>8.73</v>
      </c>
      <c r="E343" s="13">
        <v>1</v>
      </c>
      <c r="F343" s="13">
        <f t="shared" si="5"/>
        <v>8.73</v>
      </c>
    </row>
    <row r="344" spans="2:6">
      <c r="B344" s="13" t="s">
        <v>665</v>
      </c>
      <c r="C344" s="13" t="s">
        <v>667</v>
      </c>
      <c r="D344" s="13">
        <v>5.68</v>
      </c>
      <c r="E344" s="13">
        <v>2</v>
      </c>
      <c r="F344" s="13">
        <f t="shared" si="5"/>
        <v>2.84</v>
      </c>
    </row>
    <row r="345" spans="2:6">
      <c r="B345" s="13" t="s">
        <v>668</v>
      </c>
      <c r="C345" s="13" t="s">
        <v>669</v>
      </c>
      <c r="D345" s="13">
        <v>48.69</v>
      </c>
      <c r="E345" s="13">
        <v>9</v>
      </c>
      <c r="F345" s="13">
        <f t="shared" si="5"/>
        <v>5.41</v>
      </c>
    </row>
    <row r="346" spans="2:6">
      <c r="B346" s="13" t="s">
        <v>670</v>
      </c>
      <c r="C346" s="13" t="s">
        <v>597</v>
      </c>
      <c r="D346" s="13">
        <v>38.82</v>
      </c>
      <c r="E346" s="13">
        <v>6</v>
      </c>
      <c r="F346" s="13">
        <f t="shared" si="5"/>
        <v>6.47</v>
      </c>
    </row>
    <row r="347" spans="2:6">
      <c r="B347" s="13" t="s">
        <v>671</v>
      </c>
      <c r="C347" s="13" t="s">
        <v>674</v>
      </c>
      <c r="D347" s="13">
        <v>1141.9379999999999</v>
      </c>
      <c r="E347" s="13">
        <v>9</v>
      </c>
      <c r="F347" s="13">
        <f t="shared" si="5"/>
        <v>126.88199999999999</v>
      </c>
    </row>
    <row r="348" spans="2:6">
      <c r="B348" s="13" t="s">
        <v>672</v>
      </c>
      <c r="C348" s="13" t="s">
        <v>675</v>
      </c>
      <c r="D348" s="13">
        <v>1704.56</v>
      </c>
      <c r="E348" s="13">
        <v>13</v>
      </c>
      <c r="F348" s="13">
        <f t="shared" si="5"/>
        <v>131.12</v>
      </c>
    </row>
    <row r="349" spans="2:6">
      <c r="B349" s="13" t="s">
        <v>673</v>
      </c>
      <c r="C349" s="13" t="s">
        <v>676</v>
      </c>
      <c r="D349" s="13">
        <v>3.2</v>
      </c>
      <c r="E349" s="13">
        <v>2</v>
      </c>
      <c r="F349" s="13">
        <f t="shared" si="5"/>
        <v>1.6</v>
      </c>
    </row>
    <row r="350" spans="2:6">
      <c r="B350" s="13" t="s">
        <v>677</v>
      </c>
      <c r="C350" s="13" t="s">
        <v>681</v>
      </c>
      <c r="D350" s="13">
        <v>5.2480000000000002</v>
      </c>
      <c r="E350" s="13">
        <v>2</v>
      </c>
      <c r="F350" s="13">
        <f t="shared" si="5"/>
        <v>2.6240000000000001</v>
      </c>
    </row>
    <row r="351" spans="2:6">
      <c r="B351" s="13" t="s">
        <v>678</v>
      </c>
      <c r="C351" s="13" t="s">
        <v>682</v>
      </c>
      <c r="D351" s="13">
        <v>35.909999999999997</v>
      </c>
      <c r="E351" s="13">
        <v>3</v>
      </c>
      <c r="F351" s="13">
        <f t="shared" si="5"/>
        <v>11.969999999999999</v>
      </c>
    </row>
    <row r="352" spans="2:6">
      <c r="B352" s="13" t="s">
        <v>679</v>
      </c>
      <c r="C352" s="13" t="s">
        <v>683</v>
      </c>
      <c r="D352" s="13">
        <v>6.6959999999999997</v>
      </c>
      <c r="E352" s="13">
        <v>1</v>
      </c>
      <c r="F352" s="13">
        <f t="shared" si="5"/>
        <v>6.6959999999999997</v>
      </c>
    </row>
    <row r="353" spans="2:6">
      <c r="B353" s="13" t="s">
        <v>680</v>
      </c>
      <c r="C353" s="13" t="s">
        <v>684</v>
      </c>
      <c r="D353" s="13">
        <v>43.872000000000007</v>
      </c>
      <c r="E353" s="13">
        <v>2</v>
      </c>
      <c r="F353" s="13">
        <f t="shared" si="5"/>
        <v>21.936000000000003</v>
      </c>
    </row>
    <row r="354" spans="2:6">
      <c r="B354" s="13" t="s">
        <v>685</v>
      </c>
      <c r="C354" s="13" t="s">
        <v>686</v>
      </c>
      <c r="D354" s="13">
        <v>863.87999999999988</v>
      </c>
      <c r="E354" s="13">
        <v>3</v>
      </c>
      <c r="F354" s="13">
        <f t="shared" si="5"/>
        <v>287.95999999999998</v>
      </c>
    </row>
    <row r="355" spans="2:6">
      <c r="B355" s="13" t="s">
        <v>687</v>
      </c>
      <c r="C355" s="13" t="s">
        <v>688</v>
      </c>
      <c r="D355" s="13">
        <v>17.472000000000001</v>
      </c>
      <c r="E355" s="13">
        <v>3</v>
      </c>
      <c r="F355" s="13">
        <f t="shared" si="5"/>
        <v>5.8240000000000007</v>
      </c>
    </row>
    <row r="356" spans="2:6">
      <c r="B356" s="13" t="s">
        <v>689</v>
      </c>
      <c r="C356" s="13" t="s">
        <v>690</v>
      </c>
      <c r="D356" s="13">
        <v>6.57</v>
      </c>
      <c r="E356" s="13">
        <v>3</v>
      </c>
      <c r="F356" s="13">
        <f t="shared" si="5"/>
        <v>2.19</v>
      </c>
    </row>
    <row r="357" spans="2:6">
      <c r="B357" s="13" t="s">
        <v>691</v>
      </c>
      <c r="C357" s="13" t="s">
        <v>693</v>
      </c>
      <c r="D357" s="13">
        <v>29.328000000000003</v>
      </c>
      <c r="E357" s="13">
        <v>3</v>
      </c>
      <c r="F357" s="13">
        <f t="shared" si="5"/>
        <v>9.7760000000000016</v>
      </c>
    </row>
    <row r="358" spans="2:6">
      <c r="B358" s="13" t="s">
        <v>692</v>
      </c>
      <c r="C358" s="13" t="s">
        <v>694</v>
      </c>
      <c r="D358" s="13">
        <v>12.48</v>
      </c>
      <c r="E358" s="13">
        <v>2</v>
      </c>
      <c r="F358" s="13">
        <f t="shared" si="5"/>
        <v>6.24</v>
      </c>
    </row>
    <row r="359" spans="2:6">
      <c r="B359" s="13" t="s">
        <v>695</v>
      </c>
      <c r="C359" s="13" t="s">
        <v>698</v>
      </c>
      <c r="D359" s="13">
        <v>15.120000000000001</v>
      </c>
      <c r="E359" s="13">
        <v>3</v>
      </c>
      <c r="F359" s="13">
        <f t="shared" si="5"/>
        <v>5.04</v>
      </c>
    </row>
    <row r="360" spans="2:6">
      <c r="B360" s="13" t="s">
        <v>696</v>
      </c>
      <c r="C360" s="13" t="s">
        <v>699</v>
      </c>
      <c r="D360" s="13">
        <v>17.430000000000003</v>
      </c>
      <c r="E360" s="13">
        <v>1</v>
      </c>
      <c r="F360" s="13">
        <f t="shared" si="5"/>
        <v>17.430000000000003</v>
      </c>
    </row>
    <row r="361" spans="2:6">
      <c r="B361" s="13" t="s">
        <v>697</v>
      </c>
      <c r="C361" s="13" t="s">
        <v>700</v>
      </c>
      <c r="D361" s="13">
        <v>251.64</v>
      </c>
      <c r="E361" s="13">
        <v>3</v>
      </c>
      <c r="F361" s="13">
        <f t="shared" si="5"/>
        <v>83.88</v>
      </c>
    </row>
    <row r="362" spans="2:6">
      <c r="B362" s="13" t="s">
        <v>701</v>
      </c>
      <c r="C362" s="13" t="s">
        <v>702</v>
      </c>
      <c r="D362" s="13">
        <v>13.904</v>
      </c>
      <c r="E362" s="13">
        <v>2</v>
      </c>
      <c r="F362" s="13">
        <f t="shared" si="5"/>
        <v>6.952</v>
      </c>
    </row>
    <row r="363" spans="2:6">
      <c r="B363" s="13" t="s">
        <v>377</v>
      </c>
      <c r="C363" s="13" t="s">
        <v>703</v>
      </c>
      <c r="D363" s="13">
        <v>20.72</v>
      </c>
      <c r="E363" s="13">
        <v>2</v>
      </c>
      <c r="F363" s="13">
        <f t="shared" si="5"/>
        <v>10.36</v>
      </c>
    </row>
    <row r="364" spans="2:6">
      <c r="B364" s="13" t="s">
        <v>704</v>
      </c>
      <c r="C364" s="13" t="s">
        <v>705</v>
      </c>
      <c r="D364" s="13">
        <v>23.99</v>
      </c>
      <c r="E364" s="13">
        <v>1</v>
      </c>
      <c r="F364" s="13">
        <f t="shared" si="5"/>
        <v>23.99</v>
      </c>
    </row>
    <row r="365" spans="2:6">
      <c r="B365" s="13" t="s">
        <v>461</v>
      </c>
      <c r="C365" s="13" t="s">
        <v>468</v>
      </c>
      <c r="D365" s="13">
        <v>287.96999999999997</v>
      </c>
      <c r="E365" s="13">
        <v>3</v>
      </c>
      <c r="F365" s="13">
        <f t="shared" si="5"/>
        <v>95.99</v>
      </c>
    </row>
    <row r="366" spans="2:6">
      <c r="B366" s="13" t="s">
        <v>706</v>
      </c>
      <c r="C366" s="13" t="s">
        <v>707</v>
      </c>
      <c r="D366" s="13">
        <v>14.200000000000001</v>
      </c>
      <c r="E366" s="13">
        <v>1</v>
      </c>
      <c r="F366" s="13">
        <f t="shared" si="5"/>
        <v>14.200000000000001</v>
      </c>
    </row>
    <row r="367" spans="2:6">
      <c r="B367" s="13" t="s">
        <v>708</v>
      </c>
      <c r="C367" s="13" t="s">
        <v>712</v>
      </c>
      <c r="D367" s="13">
        <v>5.2290000000000001</v>
      </c>
      <c r="E367" s="13">
        <v>3</v>
      </c>
      <c r="F367" s="13">
        <f t="shared" si="5"/>
        <v>1.7430000000000001</v>
      </c>
    </row>
    <row r="368" spans="2:6">
      <c r="B368" s="13" t="s">
        <v>709</v>
      </c>
      <c r="C368" s="13" t="s">
        <v>713</v>
      </c>
      <c r="D368" s="13">
        <v>285.55200000000002</v>
      </c>
      <c r="E368" s="13">
        <v>2</v>
      </c>
      <c r="F368" s="13">
        <f t="shared" si="5"/>
        <v>142.77600000000001</v>
      </c>
    </row>
    <row r="369" spans="2:6">
      <c r="B369" s="13" t="s">
        <v>710</v>
      </c>
      <c r="C369" s="13" t="s">
        <v>714</v>
      </c>
      <c r="D369" s="13">
        <v>72.8</v>
      </c>
      <c r="E369" s="13">
        <v>5</v>
      </c>
      <c r="F369" s="13">
        <f t="shared" si="5"/>
        <v>14.559999999999999</v>
      </c>
    </row>
    <row r="370" spans="2:6">
      <c r="B370" s="13" t="s">
        <v>711</v>
      </c>
      <c r="C370" s="13" t="s">
        <v>715</v>
      </c>
      <c r="D370" s="13">
        <v>10.816000000000001</v>
      </c>
      <c r="E370" s="13">
        <v>4</v>
      </c>
      <c r="F370" s="13">
        <f t="shared" si="5"/>
        <v>2.7040000000000002</v>
      </c>
    </row>
    <row r="371" spans="2:6">
      <c r="B371" s="13" t="s">
        <v>716</v>
      </c>
      <c r="C371" s="13" t="s">
        <v>717</v>
      </c>
      <c r="D371" s="13">
        <v>87.92</v>
      </c>
      <c r="E371" s="13">
        <v>4</v>
      </c>
      <c r="F371" s="13">
        <f t="shared" si="5"/>
        <v>21.98</v>
      </c>
    </row>
    <row r="372" spans="2:6">
      <c r="B372" s="13" t="s">
        <v>305</v>
      </c>
      <c r="C372" s="13" t="s">
        <v>314</v>
      </c>
      <c r="D372" s="13">
        <v>2.97</v>
      </c>
      <c r="E372" s="13">
        <v>1</v>
      </c>
      <c r="F372" s="13">
        <f t="shared" si="5"/>
        <v>2.97</v>
      </c>
    </row>
    <row r="373" spans="2:6">
      <c r="B373" s="13" t="s">
        <v>266</v>
      </c>
      <c r="C373" s="13" t="s">
        <v>272</v>
      </c>
      <c r="D373" s="13">
        <v>27.439999999999998</v>
      </c>
      <c r="E373" s="13">
        <v>2</v>
      </c>
      <c r="F373" s="13">
        <f t="shared" si="5"/>
        <v>13.719999999999999</v>
      </c>
    </row>
    <row r="374" spans="2:6">
      <c r="B374" s="13" t="s">
        <v>679</v>
      </c>
      <c r="C374" s="13" t="s">
        <v>683</v>
      </c>
      <c r="D374" s="13">
        <v>25.11</v>
      </c>
      <c r="E374" s="13">
        <v>3</v>
      </c>
      <c r="F374" s="13">
        <f t="shared" si="5"/>
        <v>8.3699999999999992</v>
      </c>
    </row>
    <row r="375" spans="2:6">
      <c r="B375" s="13" t="s">
        <v>718</v>
      </c>
      <c r="C375" s="13" t="s">
        <v>724</v>
      </c>
      <c r="D375" s="13">
        <v>29.78</v>
      </c>
      <c r="E375" s="13">
        <v>2</v>
      </c>
      <c r="F375" s="13">
        <f t="shared" si="5"/>
        <v>14.89</v>
      </c>
    </row>
    <row r="376" spans="2:6">
      <c r="B376" s="13" t="s">
        <v>719</v>
      </c>
      <c r="C376" s="13" t="s">
        <v>725</v>
      </c>
      <c r="D376" s="13">
        <v>677.58</v>
      </c>
      <c r="E376" s="13">
        <v>3</v>
      </c>
      <c r="F376" s="13">
        <f t="shared" si="5"/>
        <v>225.86</v>
      </c>
    </row>
    <row r="377" spans="2:6">
      <c r="B377" s="13" t="s">
        <v>720</v>
      </c>
      <c r="C377" s="13" t="s">
        <v>726</v>
      </c>
      <c r="D377" s="13">
        <v>75.040000000000006</v>
      </c>
      <c r="E377" s="13">
        <v>8</v>
      </c>
      <c r="F377" s="13">
        <f t="shared" si="5"/>
        <v>9.3800000000000008</v>
      </c>
    </row>
    <row r="378" spans="2:6">
      <c r="B378" s="13" t="s">
        <v>721</v>
      </c>
      <c r="C378" s="13" t="s">
        <v>727</v>
      </c>
      <c r="D378" s="13">
        <v>695.7</v>
      </c>
      <c r="E378" s="13">
        <v>2</v>
      </c>
      <c r="F378" s="13">
        <f t="shared" si="5"/>
        <v>347.85</v>
      </c>
    </row>
    <row r="379" spans="2:6">
      <c r="B379" s="13" t="s">
        <v>722</v>
      </c>
      <c r="C379" s="13" t="s">
        <v>728</v>
      </c>
      <c r="D379" s="13">
        <v>15.66</v>
      </c>
      <c r="E379" s="13">
        <v>5</v>
      </c>
      <c r="F379" s="13">
        <f t="shared" si="5"/>
        <v>3.1320000000000001</v>
      </c>
    </row>
    <row r="380" spans="2:6">
      <c r="B380" s="13" t="s">
        <v>723</v>
      </c>
      <c r="C380" s="13" t="s">
        <v>729</v>
      </c>
      <c r="D380" s="13">
        <v>28.854000000000006</v>
      </c>
      <c r="E380" s="13">
        <v>6</v>
      </c>
      <c r="F380" s="13">
        <f t="shared" si="5"/>
        <v>4.8090000000000011</v>
      </c>
    </row>
    <row r="381" spans="2:6">
      <c r="B381" s="13" t="s">
        <v>730</v>
      </c>
      <c r="C381" s="13" t="s">
        <v>731</v>
      </c>
      <c r="D381" s="13">
        <v>183.96</v>
      </c>
      <c r="E381" s="13">
        <v>5</v>
      </c>
      <c r="F381" s="13">
        <f t="shared" si="5"/>
        <v>36.792000000000002</v>
      </c>
    </row>
    <row r="382" spans="2:6">
      <c r="B382" s="13" t="s">
        <v>500</v>
      </c>
      <c r="C382" s="13" t="s">
        <v>501</v>
      </c>
      <c r="D382" s="13">
        <v>17.61</v>
      </c>
      <c r="E382" s="13">
        <v>3</v>
      </c>
      <c r="F382" s="13">
        <f t="shared" si="5"/>
        <v>5.87</v>
      </c>
    </row>
    <row r="383" spans="2:6">
      <c r="B383" s="13" t="s">
        <v>124</v>
      </c>
      <c r="C383" s="13" t="s">
        <v>130</v>
      </c>
      <c r="D383" s="13">
        <v>300.904</v>
      </c>
      <c r="E383" s="13">
        <v>1</v>
      </c>
      <c r="F383" s="13">
        <f t="shared" si="5"/>
        <v>300.904</v>
      </c>
    </row>
    <row r="384" spans="2:6">
      <c r="B384" s="13" t="s">
        <v>330</v>
      </c>
      <c r="C384" s="13" t="s">
        <v>337</v>
      </c>
      <c r="D384" s="13">
        <v>1.988</v>
      </c>
      <c r="E384" s="13">
        <v>1</v>
      </c>
      <c r="F384" s="13">
        <f t="shared" si="5"/>
        <v>1.988</v>
      </c>
    </row>
    <row r="385" spans="2:6">
      <c r="B385" s="13" t="s">
        <v>732</v>
      </c>
      <c r="C385" s="13" t="s">
        <v>740</v>
      </c>
      <c r="D385" s="13">
        <v>123.256</v>
      </c>
      <c r="E385" s="13">
        <v>7</v>
      </c>
      <c r="F385" s="13">
        <f t="shared" si="5"/>
        <v>17.608000000000001</v>
      </c>
    </row>
    <row r="386" spans="2:6">
      <c r="B386" s="13" t="s">
        <v>733</v>
      </c>
      <c r="C386" s="13" t="s">
        <v>741</v>
      </c>
      <c r="D386" s="13">
        <v>23.680000000000003</v>
      </c>
      <c r="E386" s="13">
        <v>4</v>
      </c>
      <c r="F386" s="13">
        <f t="shared" si="5"/>
        <v>5.9200000000000008</v>
      </c>
    </row>
    <row r="387" spans="2:6">
      <c r="B387" s="13" t="s">
        <v>734</v>
      </c>
      <c r="C387" s="13" t="s">
        <v>742</v>
      </c>
      <c r="D387" s="13">
        <v>309.57600000000002</v>
      </c>
      <c r="E387" s="13">
        <v>4</v>
      </c>
      <c r="F387" s="13">
        <f t="shared" si="5"/>
        <v>77.394000000000005</v>
      </c>
    </row>
    <row r="388" spans="2:6">
      <c r="B388" s="13" t="s">
        <v>430</v>
      </c>
      <c r="C388" s="13" t="s">
        <v>436</v>
      </c>
      <c r="D388" s="13">
        <v>38.388000000000005</v>
      </c>
      <c r="E388" s="13">
        <v>14</v>
      </c>
      <c r="F388" s="13">
        <f t="shared" ref="F388:F451" si="6">D388/E388</f>
        <v>2.7420000000000004</v>
      </c>
    </row>
    <row r="389" spans="2:6">
      <c r="B389" s="13" t="s">
        <v>735</v>
      </c>
      <c r="C389" s="13" t="s">
        <v>743</v>
      </c>
      <c r="D389" s="13">
        <v>95.994000000000014</v>
      </c>
      <c r="E389" s="13">
        <v>2</v>
      </c>
      <c r="F389" s="13">
        <f t="shared" si="6"/>
        <v>47.997000000000007</v>
      </c>
    </row>
    <row r="390" spans="2:6">
      <c r="B390" s="13" t="s">
        <v>736</v>
      </c>
      <c r="C390" s="13" t="s">
        <v>744</v>
      </c>
      <c r="D390" s="13">
        <v>239.95200000000003</v>
      </c>
      <c r="E390" s="13">
        <v>6</v>
      </c>
      <c r="F390" s="13">
        <f t="shared" si="6"/>
        <v>39.992000000000004</v>
      </c>
    </row>
    <row r="391" spans="2:6">
      <c r="B391" s="13" t="s">
        <v>737</v>
      </c>
      <c r="C391" s="13" t="s">
        <v>745</v>
      </c>
      <c r="D391" s="13">
        <v>201.584</v>
      </c>
      <c r="E391" s="13">
        <v>2</v>
      </c>
      <c r="F391" s="13">
        <f t="shared" si="6"/>
        <v>100.792</v>
      </c>
    </row>
    <row r="392" spans="2:6">
      <c r="B392" s="13" t="s">
        <v>738</v>
      </c>
      <c r="C392" s="13" t="s">
        <v>746</v>
      </c>
      <c r="D392" s="13">
        <v>899.13600000000008</v>
      </c>
      <c r="E392" s="13">
        <v>4</v>
      </c>
      <c r="F392" s="13">
        <f t="shared" si="6"/>
        <v>224.78400000000002</v>
      </c>
    </row>
    <row r="393" spans="2:6">
      <c r="B393" s="13" t="s">
        <v>739</v>
      </c>
      <c r="C393" s="13" t="s">
        <v>747</v>
      </c>
      <c r="D393" s="13">
        <v>145.9</v>
      </c>
      <c r="E393" s="13">
        <v>5</v>
      </c>
      <c r="F393" s="13">
        <f t="shared" si="6"/>
        <v>29.18</v>
      </c>
    </row>
    <row r="394" spans="2:6">
      <c r="B394" s="13" t="s">
        <v>748</v>
      </c>
      <c r="C394" s="13" t="s">
        <v>749</v>
      </c>
      <c r="D394" s="13">
        <v>49.08</v>
      </c>
      <c r="E394" s="13">
        <v>3</v>
      </c>
      <c r="F394" s="13">
        <f t="shared" si="6"/>
        <v>16.36</v>
      </c>
    </row>
    <row r="395" spans="2:6">
      <c r="B395" s="13" t="s">
        <v>750</v>
      </c>
      <c r="C395" s="13" t="s">
        <v>753</v>
      </c>
      <c r="D395" s="13">
        <v>9.5519999999999996</v>
      </c>
      <c r="E395" s="13">
        <v>3</v>
      </c>
      <c r="F395" s="13">
        <f t="shared" si="6"/>
        <v>3.1839999999999997</v>
      </c>
    </row>
    <row r="396" spans="2:6">
      <c r="B396" s="13" t="s">
        <v>751</v>
      </c>
      <c r="C396" s="13" t="s">
        <v>754</v>
      </c>
      <c r="D396" s="13">
        <v>652.45000000000005</v>
      </c>
      <c r="E396" s="13">
        <v>5</v>
      </c>
      <c r="F396" s="13">
        <f t="shared" si="6"/>
        <v>130.49</v>
      </c>
    </row>
    <row r="397" spans="2:6">
      <c r="B397" s="13" t="s">
        <v>752</v>
      </c>
      <c r="C397" s="13" t="s">
        <v>755</v>
      </c>
      <c r="D397" s="13">
        <v>66.644999999999996</v>
      </c>
      <c r="E397" s="13">
        <v>3</v>
      </c>
      <c r="F397" s="13">
        <f t="shared" si="6"/>
        <v>22.215</v>
      </c>
    </row>
    <row r="398" spans="2:6">
      <c r="B398" s="13" t="s">
        <v>253</v>
      </c>
      <c r="C398" s="13" t="s">
        <v>256</v>
      </c>
      <c r="D398" s="13">
        <v>23.680000000000003</v>
      </c>
      <c r="E398" s="13">
        <v>2</v>
      </c>
      <c r="F398" s="13">
        <f t="shared" si="6"/>
        <v>11.840000000000002</v>
      </c>
    </row>
    <row r="399" spans="2:6">
      <c r="B399" s="13" t="s">
        <v>756</v>
      </c>
      <c r="C399" s="13" t="s">
        <v>758</v>
      </c>
      <c r="D399" s="13">
        <v>239.96999999999997</v>
      </c>
      <c r="E399" s="13">
        <v>3</v>
      </c>
      <c r="F399" s="13">
        <f t="shared" si="6"/>
        <v>79.989999999999995</v>
      </c>
    </row>
    <row r="400" spans="2:6">
      <c r="B400" s="13" t="s">
        <v>757</v>
      </c>
      <c r="C400" s="13" t="s">
        <v>759</v>
      </c>
      <c r="D400" s="13">
        <v>37.74</v>
      </c>
      <c r="E400" s="13">
        <v>3</v>
      </c>
      <c r="F400" s="13">
        <f t="shared" si="6"/>
        <v>12.58</v>
      </c>
    </row>
    <row r="401" spans="2:6">
      <c r="B401" s="13" t="s">
        <v>730</v>
      </c>
      <c r="C401" s="13" t="s">
        <v>731</v>
      </c>
      <c r="D401" s="13">
        <v>220.75200000000001</v>
      </c>
      <c r="E401" s="13">
        <v>8</v>
      </c>
      <c r="F401" s="13">
        <f t="shared" si="6"/>
        <v>27.594000000000001</v>
      </c>
    </row>
    <row r="402" spans="2:6">
      <c r="B402" s="13" t="s">
        <v>760</v>
      </c>
      <c r="C402" s="13" t="s">
        <v>762</v>
      </c>
      <c r="D402" s="13">
        <v>31.104000000000006</v>
      </c>
      <c r="E402" s="13">
        <v>6</v>
      </c>
      <c r="F402" s="13">
        <f t="shared" si="6"/>
        <v>5.1840000000000011</v>
      </c>
    </row>
    <row r="403" spans="2:6">
      <c r="B403" s="13" t="s">
        <v>761</v>
      </c>
      <c r="C403" s="13" t="s">
        <v>763</v>
      </c>
      <c r="D403" s="13">
        <v>5.2480000000000002</v>
      </c>
      <c r="E403" s="13">
        <v>2</v>
      </c>
      <c r="F403" s="13">
        <f t="shared" si="6"/>
        <v>2.6240000000000001</v>
      </c>
    </row>
    <row r="404" spans="2:6">
      <c r="B404" s="13" t="s">
        <v>764</v>
      </c>
      <c r="C404" s="13" t="s">
        <v>313</v>
      </c>
      <c r="D404" s="13">
        <v>29.700000000000003</v>
      </c>
      <c r="E404" s="13">
        <v>5</v>
      </c>
      <c r="F404" s="13">
        <f t="shared" si="6"/>
        <v>5.94</v>
      </c>
    </row>
    <row r="405" spans="2:6">
      <c r="B405" s="13" t="s">
        <v>765</v>
      </c>
      <c r="C405" s="13" t="s">
        <v>767</v>
      </c>
      <c r="D405" s="13">
        <v>39.96</v>
      </c>
      <c r="E405" s="13">
        <v>4</v>
      </c>
      <c r="F405" s="13">
        <f t="shared" si="6"/>
        <v>9.99</v>
      </c>
    </row>
    <row r="406" spans="2:6">
      <c r="B406" s="13" t="s">
        <v>503</v>
      </c>
      <c r="C406" s="13" t="s">
        <v>506</v>
      </c>
      <c r="D406" s="13">
        <v>36.672000000000004</v>
      </c>
      <c r="E406" s="13">
        <v>2</v>
      </c>
      <c r="F406" s="13">
        <f t="shared" si="6"/>
        <v>18.336000000000002</v>
      </c>
    </row>
    <row r="407" spans="2:6">
      <c r="B407" s="13" t="s">
        <v>766</v>
      </c>
      <c r="C407" s="13" t="s">
        <v>768</v>
      </c>
      <c r="D407" s="13">
        <v>13.76</v>
      </c>
      <c r="E407" s="13">
        <v>2</v>
      </c>
      <c r="F407" s="13">
        <f t="shared" si="6"/>
        <v>6.88</v>
      </c>
    </row>
    <row r="408" spans="2:6">
      <c r="B408" s="13" t="s">
        <v>769</v>
      </c>
      <c r="C408" s="13" t="s">
        <v>772</v>
      </c>
      <c r="D408" s="13">
        <v>164.73599999999999</v>
      </c>
      <c r="E408" s="13">
        <v>4</v>
      </c>
      <c r="F408" s="13">
        <f t="shared" si="6"/>
        <v>41.183999999999997</v>
      </c>
    </row>
    <row r="409" spans="2:6">
      <c r="B409" s="13" t="s">
        <v>770</v>
      </c>
      <c r="C409" s="13" t="s">
        <v>773</v>
      </c>
      <c r="D409" s="13">
        <v>470.30199999999996</v>
      </c>
      <c r="E409" s="13">
        <v>7</v>
      </c>
      <c r="F409" s="13">
        <f t="shared" si="6"/>
        <v>67.185999999999993</v>
      </c>
    </row>
    <row r="410" spans="2:6">
      <c r="B410" s="13" t="s">
        <v>771</v>
      </c>
      <c r="C410" s="13" t="s">
        <v>774</v>
      </c>
      <c r="D410" s="13">
        <v>47.984000000000002</v>
      </c>
      <c r="E410" s="13">
        <v>2</v>
      </c>
      <c r="F410" s="13">
        <f t="shared" si="6"/>
        <v>23.992000000000001</v>
      </c>
    </row>
    <row r="411" spans="2:6">
      <c r="B411" s="13" t="s">
        <v>775</v>
      </c>
      <c r="C411" s="13" t="s">
        <v>777</v>
      </c>
      <c r="D411" s="13">
        <v>91.199999999999989</v>
      </c>
      <c r="E411" s="13">
        <v>3</v>
      </c>
      <c r="F411" s="13">
        <f t="shared" si="6"/>
        <v>30.399999999999995</v>
      </c>
    </row>
    <row r="412" spans="2:6">
      <c r="B412" s="13" t="s">
        <v>776</v>
      </c>
      <c r="C412" s="13" t="s">
        <v>778</v>
      </c>
      <c r="D412" s="13">
        <v>452.93999999999994</v>
      </c>
      <c r="E412" s="13">
        <v>3</v>
      </c>
      <c r="F412" s="13">
        <f t="shared" si="6"/>
        <v>150.97999999999999</v>
      </c>
    </row>
    <row r="413" spans="2:6">
      <c r="B413" s="13" t="s">
        <v>779</v>
      </c>
      <c r="C413" s="13" t="s">
        <v>781</v>
      </c>
      <c r="D413" s="13">
        <v>872.94</v>
      </c>
      <c r="E413" s="13">
        <v>3</v>
      </c>
      <c r="F413" s="13">
        <f t="shared" si="6"/>
        <v>290.98</v>
      </c>
    </row>
    <row r="414" spans="2:6">
      <c r="B414" s="13" t="s">
        <v>408</v>
      </c>
      <c r="C414" s="13" t="s">
        <v>414</v>
      </c>
      <c r="D414" s="13">
        <v>41.54</v>
      </c>
      <c r="E414" s="13">
        <v>2</v>
      </c>
      <c r="F414" s="13">
        <f t="shared" si="6"/>
        <v>20.77</v>
      </c>
    </row>
    <row r="415" spans="2:6">
      <c r="B415" s="13" t="s">
        <v>780</v>
      </c>
      <c r="C415" s="13" t="s">
        <v>782</v>
      </c>
      <c r="D415" s="13">
        <v>12.96</v>
      </c>
      <c r="E415" s="13">
        <v>2</v>
      </c>
      <c r="F415" s="13">
        <f t="shared" si="6"/>
        <v>6.48</v>
      </c>
    </row>
    <row r="416" spans="2:6">
      <c r="B416" s="13" t="s">
        <v>783</v>
      </c>
      <c r="C416" s="13" t="s">
        <v>784</v>
      </c>
      <c r="D416" s="13">
        <v>8.67</v>
      </c>
      <c r="E416" s="13">
        <v>3</v>
      </c>
      <c r="F416" s="13">
        <f t="shared" si="6"/>
        <v>2.89</v>
      </c>
    </row>
    <row r="417" spans="2:6">
      <c r="B417" s="13" t="s">
        <v>785</v>
      </c>
      <c r="C417" s="13" t="s">
        <v>786</v>
      </c>
      <c r="D417" s="13">
        <v>28.91</v>
      </c>
      <c r="E417" s="13">
        <v>7</v>
      </c>
      <c r="F417" s="13">
        <f t="shared" si="6"/>
        <v>4.13</v>
      </c>
    </row>
    <row r="418" spans="2:6">
      <c r="B418" s="13" t="s">
        <v>787</v>
      </c>
      <c r="C418" s="13" t="s">
        <v>788</v>
      </c>
      <c r="D418" s="13">
        <v>31.968000000000004</v>
      </c>
      <c r="E418" s="13">
        <v>4</v>
      </c>
      <c r="F418" s="13">
        <f t="shared" si="6"/>
        <v>7.9920000000000009</v>
      </c>
    </row>
    <row r="419" spans="2:6">
      <c r="B419" s="13" t="s">
        <v>524</v>
      </c>
      <c r="C419" s="13" t="s">
        <v>528</v>
      </c>
      <c r="D419" s="13">
        <v>9.7280000000000015</v>
      </c>
      <c r="E419" s="13">
        <v>2</v>
      </c>
      <c r="F419" s="13">
        <f t="shared" si="6"/>
        <v>4.8640000000000008</v>
      </c>
    </row>
    <row r="420" spans="2:6">
      <c r="B420" s="13" t="s">
        <v>789</v>
      </c>
      <c r="C420" s="13" t="s">
        <v>790</v>
      </c>
      <c r="D420" s="13">
        <v>3.4240000000000004</v>
      </c>
      <c r="E420" s="13">
        <v>1</v>
      </c>
      <c r="F420" s="13">
        <f t="shared" si="6"/>
        <v>3.4240000000000004</v>
      </c>
    </row>
    <row r="421" spans="2:6">
      <c r="B421" s="13" t="s">
        <v>791</v>
      </c>
      <c r="C421" s="13" t="s">
        <v>794</v>
      </c>
      <c r="D421" s="13">
        <v>62.96</v>
      </c>
      <c r="E421" s="13">
        <v>4</v>
      </c>
      <c r="F421" s="13">
        <f t="shared" si="6"/>
        <v>15.74</v>
      </c>
    </row>
    <row r="422" spans="2:6">
      <c r="B422" s="13" t="s">
        <v>792</v>
      </c>
      <c r="C422" s="13" t="s">
        <v>795</v>
      </c>
      <c r="D422" s="13">
        <v>5.88</v>
      </c>
      <c r="E422" s="13">
        <v>1</v>
      </c>
      <c r="F422" s="13">
        <f t="shared" si="6"/>
        <v>5.88</v>
      </c>
    </row>
    <row r="423" spans="2:6">
      <c r="B423" s="13" t="s">
        <v>175</v>
      </c>
      <c r="C423" s="13" t="s">
        <v>180</v>
      </c>
      <c r="D423" s="13">
        <v>977.29200000000003</v>
      </c>
      <c r="E423" s="13">
        <v>6</v>
      </c>
      <c r="F423" s="13">
        <f t="shared" si="6"/>
        <v>162.88200000000001</v>
      </c>
    </row>
    <row r="424" spans="2:6">
      <c r="B424" s="13" t="s">
        <v>793</v>
      </c>
      <c r="C424" s="13" t="s">
        <v>796</v>
      </c>
      <c r="D424" s="13">
        <v>9.64</v>
      </c>
      <c r="E424" s="13">
        <v>2</v>
      </c>
      <c r="F424" s="13">
        <f t="shared" si="6"/>
        <v>4.82</v>
      </c>
    </row>
    <row r="425" spans="2:6">
      <c r="B425" s="13" t="s">
        <v>797</v>
      </c>
      <c r="C425" s="13" t="s">
        <v>800</v>
      </c>
      <c r="D425" s="13">
        <v>10.192000000000002</v>
      </c>
      <c r="E425" s="13">
        <v>7</v>
      </c>
      <c r="F425" s="13">
        <f t="shared" si="6"/>
        <v>1.4560000000000002</v>
      </c>
    </row>
    <row r="426" spans="2:6">
      <c r="B426" s="13" t="s">
        <v>798</v>
      </c>
      <c r="C426" s="13" t="s">
        <v>801</v>
      </c>
      <c r="D426" s="13">
        <v>16.784000000000002</v>
      </c>
      <c r="E426" s="13">
        <v>1</v>
      </c>
      <c r="F426" s="13">
        <f t="shared" si="6"/>
        <v>16.784000000000002</v>
      </c>
    </row>
    <row r="427" spans="2:6">
      <c r="B427" s="13" t="s">
        <v>799</v>
      </c>
      <c r="C427" s="13" t="s">
        <v>802</v>
      </c>
      <c r="D427" s="13">
        <v>13.120000000000001</v>
      </c>
      <c r="E427" s="13">
        <v>5</v>
      </c>
      <c r="F427" s="13">
        <f t="shared" si="6"/>
        <v>2.6240000000000001</v>
      </c>
    </row>
    <row r="428" spans="2:6">
      <c r="B428" s="13" t="s">
        <v>103</v>
      </c>
      <c r="C428" s="13" t="s">
        <v>107</v>
      </c>
      <c r="D428" s="13">
        <v>16.056000000000001</v>
      </c>
      <c r="E428" s="13">
        <v>3</v>
      </c>
      <c r="F428" s="13">
        <f t="shared" si="6"/>
        <v>5.3520000000000003</v>
      </c>
    </row>
    <row r="429" spans="2:6">
      <c r="B429" s="13" t="s">
        <v>803</v>
      </c>
      <c r="C429" s="13" t="s">
        <v>805</v>
      </c>
      <c r="D429" s="13">
        <v>223.05600000000001</v>
      </c>
      <c r="E429" s="13">
        <v>9</v>
      </c>
      <c r="F429" s="13">
        <f t="shared" si="6"/>
        <v>24.784000000000002</v>
      </c>
    </row>
    <row r="430" spans="2:6">
      <c r="B430" s="13" t="s">
        <v>804</v>
      </c>
      <c r="C430" s="13" t="s">
        <v>806</v>
      </c>
      <c r="D430" s="13">
        <v>540.048</v>
      </c>
      <c r="E430" s="13">
        <v>3</v>
      </c>
      <c r="F430" s="13">
        <f t="shared" si="6"/>
        <v>180.01599999999999</v>
      </c>
    </row>
    <row r="431" spans="2:6">
      <c r="B431" s="13" t="s">
        <v>807</v>
      </c>
      <c r="C431" s="13" t="s">
        <v>808</v>
      </c>
      <c r="D431" s="13">
        <v>17.880000000000003</v>
      </c>
      <c r="E431" s="13">
        <v>3</v>
      </c>
      <c r="F431" s="13">
        <f t="shared" si="6"/>
        <v>5.9600000000000009</v>
      </c>
    </row>
    <row r="432" spans="2:6">
      <c r="B432" s="13" t="s">
        <v>809</v>
      </c>
      <c r="C432" s="13" t="s">
        <v>816</v>
      </c>
      <c r="D432" s="13">
        <v>34.5</v>
      </c>
      <c r="E432" s="13">
        <v>3</v>
      </c>
      <c r="F432" s="13">
        <f t="shared" si="6"/>
        <v>11.5</v>
      </c>
    </row>
    <row r="433" spans="2:6">
      <c r="B433" s="13" t="s">
        <v>810</v>
      </c>
      <c r="C433" s="13" t="s">
        <v>817</v>
      </c>
      <c r="D433" s="13">
        <v>8.36</v>
      </c>
      <c r="E433" s="13">
        <v>2</v>
      </c>
      <c r="F433" s="13">
        <f t="shared" si="6"/>
        <v>4.18</v>
      </c>
    </row>
    <row r="434" spans="2:6">
      <c r="B434" s="13" t="s">
        <v>811</v>
      </c>
      <c r="C434" s="13" t="s">
        <v>818</v>
      </c>
      <c r="D434" s="13">
        <v>385.6</v>
      </c>
      <c r="E434" s="13">
        <v>8</v>
      </c>
      <c r="F434" s="13">
        <f t="shared" si="6"/>
        <v>48.2</v>
      </c>
    </row>
    <row r="435" spans="2:6">
      <c r="B435" s="13" t="s">
        <v>750</v>
      </c>
      <c r="C435" s="13" t="s">
        <v>753</v>
      </c>
      <c r="D435" s="13">
        <v>35.82</v>
      </c>
      <c r="E435" s="13">
        <v>9</v>
      </c>
      <c r="F435" s="13">
        <f t="shared" si="6"/>
        <v>3.98</v>
      </c>
    </row>
    <row r="436" spans="2:6">
      <c r="B436" s="13" t="s">
        <v>812</v>
      </c>
      <c r="C436" s="13" t="s">
        <v>819</v>
      </c>
      <c r="D436" s="13">
        <v>200.06400000000002</v>
      </c>
      <c r="E436" s="13">
        <v>3</v>
      </c>
      <c r="F436" s="13">
        <f t="shared" si="6"/>
        <v>66.688000000000002</v>
      </c>
    </row>
    <row r="437" spans="2:6">
      <c r="B437" s="13" t="s">
        <v>491</v>
      </c>
      <c r="C437" s="13" t="s">
        <v>496</v>
      </c>
      <c r="D437" s="13">
        <v>21.379999999999995</v>
      </c>
      <c r="E437" s="13">
        <v>5</v>
      </c>
      <c r="F437" s="13">
        <f t="shared" si="6"/>
        <v>4.2759999999999989</v>
      </c>
    </row>
    <row r="438" spans="2:6">
      <c r="B438" s="13" t="s">
        <v>813</v>
      </c>
      <c r="C438" s="13" t="s">
        <v>820</v>
      </c>
      <c r="D438" s="13">
        <v>6.743999999999998</v>
      </c>
      <c r="E438" s="13">
        <v>4</v>
      </c>
      <c r="F438" s="13">
        <f t="shared" si="6"/>
        <v>1.6859999999999995</v>
      </c>
    </row>
    <row r="439" spans="2:6">
      <c r="B439" s="13" t="s">
        <v>814</v>
      </c>
      <c r="C439" s="13" t="s">
        <v>821</v>
      </c>
      <c r="D439" s="13">
        <v>63.686</v>
      </c>
      <c r="E439" s="13">
        <v>1</v>
      </c>
      <c r="F439" s="13">
        <f t="shared" si="6"/>
        <v>63.686</v>
      </c>
    </row>
    <row r="440" spans="2:6">
      <c r="B440" s="13" t="s">
        <v>815</v>
      </c>
      <c r="C440" s="13" t="s">
        <v>822</v>
      </c>
      <c r="D440" s="13">
        <v>1669.6</v>
      </c>
      <c r="E440" s="13">
        <v>4</v>
      </c>
      <c r="F440" s="13">
        <f t="shared" si="6"/>
        <v>417.4</v>
      </c>
    </row>
    <row r="441" spans="2:6">
      <c r="B441" s="13" t="s">
        <v>823</v>
      </c>
      <c r="C441" s="13" t="s">
        <v>825</v>
      </c>
      <c r="D441" s="13">
        <v>21.335999999999999</v>
      </c>
      <c r="E441" s="13">
        <v>7</v>
      </c>
      <c r="F441" s="13">
        <f t="shared" si="6"/>
        <v>3.0479999999999996</v>
      </c>
    </row>
    <row r="442" spans="2:6">
      <c r="B442" s="13" t="s">
        <v>824</v>
      </c>
      <c r="C442" s="13" t="s">
        <v>826</v>
      </c>
      <c r="D442" s="13">
        <v>16.520000000000003</v>
      </c>
      <c r="E442" s="13">
        <v>5</v>
      </c>
      <c r="F442" s="13">
        <f t="shared" si="6"/>
        <v>3.3040000000000007</v>
      </c>
    </row>
    <row r="443" spans="2:6">
      <c r="B443" s="13" t="s">
        <v>827</v>
      </c>
      <c r="C443" s="13" t="s">
        <v>828</v>
      </c>
      <c r="D443" s="13">
        <v>10.744</v>
      </c>
      <c r="E443" s="13">
        <v>1</v>
      </c>
      <c r="F443" s="13">
        <f t="shared" si="6"/>
        <v>10.744</v>
      </c>
    </row>
    <row r="444" spans="2:6">
      <c r="B444" s="13" t="s">
        <v>303</v>
      </c>
      <c r="C444" s="13" t="s">
        <v>312</v>
      </c>
      <c r="D444" s="13">
        <v>8.3760000000000012</v>
      </c>
      <c r="E444" s="13">
        <v>3</v>
      </c>
      <c r="F444" s="13">
        <f t="shared" si="6"/>
        <v>2.7920000000000003</v>
      </c>
    </row>
    <row r="445" spans="2:6">
      <c r="B445" s="13" t="s">
        <v>390</v>
      </c>
      <c r="C445" s="13" t="s">
        <v>391</v>
      </c>
      <c r="D445" s="13">
        <v>203.98299999999998</v>
      </c>
      <c r="E445" s="13">
        <v>2</v>
      </c>
      <c r="F445" s="13">
        <f t="shared" si="6"/>
        <v>101.99149999999999</v>
      </c>
    </row>
    <row r="446" spans="2:6">
      <c r="B446" s="13" t="s">
        <v>829</v>
      </c>
      <c r="C446" s="13" t="s">
        <v>832</v>
      </c>
      <c r="D446" s="13">
        <v>39.99</v>
      </c>
      <c r="E446" s="13">
        <v>1</v>
      </c>
      <c r="F446" s="13">
        <f t="shared" si="6"/>
        <v>39.99</v>
      </c>
    </row>
    <row r="447" spans="2:6">
      <c r="B447" s="13" t="s">
        <v>420</v>
      </c>
      <c r="C447" s="13" t="s">
        <v>424</v>
      </c>
      <c r="D447" s="13">
        <v>16.28</v>
      </c>
      <c r="E447" s="13">
        <v>2</v>
      </c>
      <c r="F447" s="13">
        <f t="shared" si="6"/>
        <v>8.14</v>
      </c>
    </row>
    <row r="448" spans="2:6">
      <c r="B448" s="13" t="s">
        <v>830</v>
      </c>
      <c r="C448" s="13" t="s">
        <v>833</v>
      </c>
      <c r="D448" s="13">
        <v>782.94</v>
      </c>
      <c r="E448" s="13">
        <v>3</v>
      </c>
      <c r="F448" s="13">
        <f t="shared" si="6"/>
        <v>260.98</v>
      </c>
    </row>
    <row r="449" spans="2:6">
      <c r="B449" s="13" t="s">
        <v>831</v>
      </c>
      <c r="C449" s="13" t="s">
        <v>834</v>
      </c>
      <c r="D449" s="13">
        <v>242.48000000000002</v>
      </c>
      <c r="E449" s="13">
        <v>7</v>
      </c>
      <c r="F449" s="13">
        <f t="shared" si="6"/>
        <v>34.64</v>
      </c>
    </row>
    <row r="450" spans="2:6">
      <c r="B450" s="13" t="s">
        <v>835</v>
      </c>
      <c r="C450" s="13" t="s">
        <v>836</v>
      </c>
      <c r="D450" s="13">
        <v>9.3239999999999981</v>
      </c>
      <c r="E450" s="13">
        <v>6</v>
      </c>
      <c r="F450" s="13">
        <f t="shared" si="6"/>
        <v>1.5539999999999996</v>
      </c>
    </row>
    <row r="451" spans="2:6">
      <c r="B451" s="13" t="s">
        <v>837</v>
      </c>
      <c r="C451" s="13" t="s">
        <v>838</v>
      </c>
      <c r="D451" s="13">
        <v>124.75</v>
      </c>
      <c r="E451" s="13">
        <v>5</v>
      </c>
      <c r="F451" s="13">
        <f t="shared" si="6"/>
        <v>24.95</v>
      </c>
    </row>
    <row r="452" spans="2:6">
      <c r="B452" s="13" t="s">
        <v>839</v>
      </c>
      <c r="C452" s="13" t="s">
        <v>840</v>
      </c>
      <c r="D452" s="13">
        <v>91.96</v>
      </c>
      <c r="E452" s="13">
        <v>4</v>
      </c>
      <c r="F452" s="13">
        <f t="shared" ref="F452:F515" si="7">D452/E452</f>
        <v>22.99</v>
      </c>
    </row>
    <row r="453" spans="2:6">
      <c r="B453" s="13" t="s">
        <v>176</v>
      </c>
      <c r="C453" s="13" t="s">
        <v>181</v>
      </c>
      <c r="D453" s="13">
        <v>2.78</v>
      </c>
      <c r="E453" s="13">
        <v>1</v>
      </c>
      <c r="F453" s="13">
        <f t="shared" si="7"/>
        <v>2.78</v>
      </c>
    </row>
    <row r="454" spans="2:6">
      <c r="B454" s="13" t="s">
        <v>841</v>
      </c>
      <c r="C454" s="13" t="s">
        <v>842</v>
      </c>
      <c r="D454" s="13">
        <v>1044.6299999999999</v>
      </c>
      <c r="E454" s="13">
        <v>5</v>
      </c>
      <c r="F454" s="13">
        <f t="shared" si="7"/>
        <v>208.92599999999999</v>
      </c>
    </row>
    <row r="455" spans="2:6">
      <c r="B455" s="13" t="s">
        <v>843</v>
      </c>
      <c r="C455" s="13" t="s">
        <v>845</v>
      </c>
      <c r="D455" s="13">
        <v>122.97</v>
      </c>
      <c r="E455" s="13">
        <v>3</v>
      </c>
      <c r="F455" s="13">
        <f t="shared" si="7"/>
        <v>40.99</v>
      </c>
    </row>
    <row r="456" spans="2:6">
      <c r="B456" s="13" t="s">
        <v>844</v>
      </c>
      <c r="C456" s="13" t="s">
        <v>846</v>
      </c>
      <c r="D456" s="13">
        <v>12.84</v>
      </c>
      <c r="E456" s="13">
        <v>3</v>
      </c>
      <c r="F456" s="13">
        <f t="shared" si="7"/>
        <v>4.28</v>
      </c>
    </row>
    <row r="457" spans="2:6">
      <c r="B457" s="13" t="s">
        <v>847</v>
      </c>
      <c r="C457" s="13" t="s">
        <v>851</v>
      </c>
      <c r="D457" s="13">
        <v>47.991999999999997</v>
      </c>
      <c r="E457" s="13">
        <v>2</v>
      </c>
      <c r="F457" s="13">
        <f t="shared" si="7"/>
        <v>23.995999999999999</v>
      </c>
    </row>
    <row r="458" spans="2:6">
      <c r="B458" s="13" t="s">
        <v>259</v>
      </c>
      <c r="C458" s="13" t="s">
        <v>261</v>
      </c>
      <c r="D458" s="13">
        <v>547.30000000000007</v>
      </c>
      <c r="E458" s="13">
        <v>13</v>
      </c>
      <c r="F458" s="13">
        <f t="shared" si="7"/>
        <v>42.100000000000009</v>
      </c>
    </row>
    <row r="459" spans="2:6">
      <c r="B459" s="13" t="s">
        <v>848</v>
      </c>
      <c r="C459" s="13" t="s">
        <v>852</v>
      </c>
      <c r="D459" s="13">
        <v>16.896000000000001</v>
      </c>
      <c r="E459" s="13">
        <v>4</v>
      </c>
      <c r="F459" s="13">
        <f t="shared" si="7"/>
        <v>4.2240000000000002</v>
      </c>
    </row>
    <row r="460" spans="2:6">
      <c r="B460" s="13" t="s">
        <v>849</v>
      </c>
      <c r="C460" s="13" t="s">
        <v>853</v>
      </c>
      <c r="D460" s="13">
        <v>6.6720000000000006</v>
      </c>
      <c r="E460" s="13">
        <v>1</v>
      </c>
      <c r="F460" s="13">
        <f t="shared" si="7"/>
        <v>6.6720000000000006</v>
      </c>
    </row>
    <row r="461" spans="2:6">
      <c r="B461" s="13" t="s">
        <v>850</v>
      </c>
      <c r="C461" s="13" t="s">
        <v>854</v>
      </c>
      <c r="D461" s="13">
        <v>99.13600000000001</v>
      </c>
      <c r="E461" s="13">
        <v>4</v>
      </c>
      <c r="F461" s="13">
        <f t="shared" si="7"/>
        <v>24.784000000000002</v>
      </c>
    </row>
    <row r="462" spans="2:6">
      <c r="B462" s="13" t="s">
        <v>167</v>
      </c>
      <c r="C462" s="13" t="s">
        <v>168</v>
      </c>
      <c r="D462" s="13">
        <v>15.991999999999999</v>
      </c>
      <c r="E462" s="13">
        <v>2</v>
      </c>
      <c r="F462" s="13">
        <f t="shared" si="7"/>
        <v>7.9959999999999996</v>
      </c>
    </row>
    <row r="463" spans="2:6">
      <c r="B463" s="13" t="s">
        <v>855</v>
      </c>
      <c r="C463" s="13" t="s">
        <v>856</v>
      </c>
      <c r="D463" s="13">
        <v>155.94</v>
      </c>
      <c r="E463" s="13">
        <v>6</v>
      </c>
      <c r="F463" s="13">
        <f t="shared" si="7"/>
        <v>25.99</v>
      </c>
    </row>
    <row r="464" spans="2:6">
      <c r="B464" s="13" t="s">
        <v>857</v>
      </c>
      <c r="C464" s="13" t="s">
        <v>858</v>
      </c>
      <c r="D464" s="13">
        <v>1000.0200000000001</v>
      </c>
      <c r="E464" s="13">
        <v>7</v>
      </c>
      <c r="F464" s="13">
        <f t="shared" si="7"/>
        <v>142.86000000000001</v>
      </c>
    </row>
    <row r="465" spans="2:6">
      <c r="B465" s="13" t="s">
        <v>859</v>
      </c>
      <c r="C465" s="13" t="s">
        <v>861</v>
      </c>
      <c r="D465" s="13">
        <v>198.46</v>
      </c>
      <c r="E465" s="13">
        <v>2</v>
      </c>
      <c r="F465" s="13">
        <f t="shared" si="7"/>
        <v>99.23</v>
      </c>
    </row>
    <row r="466" spans="2:6">
      <c r="B466" s="13" t="s">
        <v>348</v>
      </c>
      <c r="C466" s="13" t="s">
        <v>350</v>
      </c>
      <c r="D466" s="13">
        <v>786.48</v>
      </c>
      <c r="E466" s="13">
        <v>8</v>
      </c>
      <c r="F466" s="13">
        <f t="shared" si="7"/>
        <v>98.31</v>
      </c>
    </row>
    <row r="467" spans="2:6">
      <c r="B467" s="13" t="s">
        <v>299</v>
      </c>
      <c r="C467" s="13" t="s">
        <v>308</v>
      </c>
      <c r="D467" s="13">
        <v>23.168000000000003</v>
      </c>
      <c r="E467" s="13">
        <v>2</v>
      </c>
      <c r="F467" s="13">
        <f t="shared" si="7"/>
        <v>11.584000000000001</v>
      </c>
    </row>
    <row r="468" spans="2:6">
      <c r="B468" s="13" t="s">
        <v>860</v>
      </c>
      <c r="C468" s="13" t="s">
        <v>862</v>
      </c>
      <c r="D468" s="13">
        <v>50</v>
      </c>
      <c r="E468" s="13">
        <v>2</v>
      </c>
      <c r="F468" s="13">
        <f t="shared" si="7"/>
        <v>25</v>
      </c>
    </row>
    <row r="469" spans="2:6">
      <c r="B469" s="13" t="s">
        <v>863</v>
      </c>
      <c r="C469" s="13" t="s">
        <v>864</v>
      </c>
      <c r="D469" s="13">
        <v>17.920000000000002</v>
      </c>
      <c r="E469" s="13">
        <v>5</v>
      </c>
      <c r="F469" s="13">
        <f t="shared" si="7"/>
        <v>3.5840000000000005</v>
      </c>
    </row>
    <row r="470" spans="2:6">
      <c r="B470" s="13" t="s">
        <v>503</v>
      </c>
      <c r="C470" s="13" t="s">
        <v>506</v>
      </c>
      <c r="D470" s="13">
        <v>41.256000000000007</v>
      </c>
      <c r="E470" s="13">
        <v>6</v>
      </c>
      <c r="F470" s="13">
        <f t="shared" si="7"/>
        <v>6.8760000000000012</v>
      </c>
    </row>
    <row r="471" spans="2:6">
      <c r="B471" s="13" t="s">
        <v>865</v>
      </c>
      <c r="C471" s="13" t="s">
        <v>869</v>
      </c>
      <c r="D471" s="13">
        <v>169.68</v>
      </c>
      <c r="E471" s="13">
        <v>6</v>
      </c>
      <c r="F471" s="13">
        <f t="shared" si="7"/>
        <v>28.28</v>
      </c>
    </row>
    <row r="472" spans="2:6">
      <c r="B472" s="13" t="s">
        <v>127</v>
      </c>
      <c r="C472" s="13" t="s">
        <v>357</v>
      </c>
      <c r="D472" s="13">
        <v>132.52000000000001</v>
      </c>
      <c r="E472" s="13">
        <v>4</v>
      </c>
      <c r="F472" s="13">
        <f t="shared" si="7"/>
        <v>33.130000000000003</v>
      </c>
    </row>
    <row r="473" spans="2:6">
      <c r="B473" s="13" t="s">
        <v>866</v>
      </c>
      <c r="C473" s="13" t="s">
        <v>870</v>
      </c>
      <c r="D473" s="13">
        <v>2.96</v>
      </c>
      <c r="E473" s="13">
        <v>2</v>
      </c>
      <c r="F473" s="13">
        <f t="shared" si="7"/>
        <v>1.48</v>
      </c>
    </row>
    <row r="474" spans="2:6">
      <c r="B474" s="13" t="s">
        <v>867</v>
      </c>
      <c r="C474" s="13" t="s">
        <v>871</v>
      </c>
      <c r="D474" s="13">
        <v>8.4480000000000004</v>
      </c>
      <c r="E474" s="13">
        <v>2</v>
      </c>
      <c r="F474" s="13">
        <f t="shared" si="7"/>
        <v>4.2240000000000002</v>
      </c>
    </row>
    <row r="475" spans="2:6">
      <c r="B475" s="13" t="s">
        <v>868</v>
      </c>
      <c r="C475" s="13" t="s">
        <v>872</v>
      </c>
      <c r="D475" s="13">
        <v>95.94</v>
      </c>
      <c r="E475" s="13">
        <v>3</v>
      </c>
      <c r="F475" s="13">
        <f t="shared" si="7"/>
        <v>31.98</v>
      </c>
    </row>
    <row r="476" spans="2:6">
      <c r="B476" s="13" t="s">
        <v>873</v>
      </c>
      <c r="C476" s="13" t="s">
        <v>877</v>
      </c>
      <c r="D476" s="13">
        <v>160.77600000000001</v>
      </c>
      <c r="E476" s="13">
        <v>3</v>
      </c>
      <c r="F476" s="13">
        <f t="shared" si="7"/>
        <v>53.592000000000006</v>
      </c>
    </row>
    <row r="477" spans="2:6">
      <c r="B477" s="13" t="s">
        <v>874</v>
      </c>
      <c r="C477" s="13" t="s">
        <v>878</v>
      </c>
      <c r="D477" s="13">
        <v>88.751999999999995</v>
      </c>
      <c r="E477" s="13">
        <v>3</v>
      </c>
      <c r="F477" s="13">
        <f t="shared" si="7"/>
        <v>29.584</v>
      </c>
    </row>
    <row r="478" spans="2:6">
      <c r="B478" s="13" t="s">
        <v>875</v>
      </c>
      <c r="C478" s="13" t="s">
        <v>879</v>
      </c>
      <c r="D478" s="13">
        <v>13.904</v>
      </c>
      <c r="E478" s="13">
        <v>2</v>
      </c>
      <c r="F478" s="13">
        <f t="shared" si="7"/>
        <v>6.952</v>
      </c>
    </row>
    <row r="479" spans="2:6">
      <c r="B479" s="13" t="s">
        <v>719</v>
      </c>
      <c r="C479" s="13" t="s">
        <v>725</v>
      </c>
      <c r="D479" s="13">
        <v>677.57999999999993</v>
      </c>
      <c r="E479" s="13">
        <v>5</v>
      </c>
      <c r="F479" s="13">
        <f t="shared" si="7"/>
        <v>135.51599999999999</v>
      </c>
    </row>
    <row r="480" spans="2:6">
      <c r="B480" s="13" t="s">
        <v>876</v>
      </c>
      <c r="C480" s="13" t="s">
        <v>880</v>
      </c>
      <c r="D480" s="13">
        <v>13.896000000000001</v>
      </c>
      <c r="E480" s="13">
        <v>3</v>
      </c>
      <c r="F480" s="13">
        <f t="shared" si="7"/>
        <v>4.6320000000000006</v>
      </c>
    </row>
    <row r="481" spans="2:6">
      <c r="B481" s="13" t="s">
        <v>881</v>
      </c>
      <c r="C481" s="13" t="s">
        <v>882</v>
      </c>
      <c r="D481" s="13">
        <v>16.68</v>
      </c>
      <c r="E481" s="13">
        <v>3</v>
      </c>
      <c r="F481" s="13">
        <f t="shared" si="7"/>
        <v>5.56</v>
      </c>
    </row>
    <row r="482" spans="2:6">
      <c r="B482" s="13" t="s">
        <v>883</v>
      </c>
      <c r="C482" s="13" t="s">
        <v>884</v>
      </c>
      <c r="D482" s="13">
        <v>167.96800000000002</v>
      </c>
      <c r="E482" s="13">
        <v>4</v>
      </c>
      <c r="F482" s="13">
        <f t="shared" si="7"/>
        <v>41.992000000000004</v>
      </c>
    </row>
    <row r="483" spans="2:6">
      <c r="B483" s="13" t="s">
        <v>885</v>
      </c>
      <c r="C483" s="13" t="s">
        <v>889</v>
      </c>
      <c r="D483" s="13">
        <v>99.28</v>
      </c>
      <c r="E483" s="13">
        <v>2</v>
      </c>
      <c r="F483" s="13">
        <f t="shared" si="7"/>
        <v>49.64</v>
      </c>
    </row>
    <row r="484" spans="2:6">
      <c r="B484" s="13" t="s">
        <v>886</v>
      </c>
      <c r="C484" s="13" t="s">
        <v>890</v>
      </c>
      <c r="D484" s="13">
        <v>1.1880000000000002</v>
      </c>
      <c r="E484" s="13">
        <v>2</v>
      </c>
      <c r="F484" s="13">
        <f t="shared" si="7"/>
        <v>0.59400000000000008</v>
      </c>
    </row>
    <row r="485" spans="2:6">
      <c r="B485" s="13" t="s">
        <v>887</v>
      </c>
      <c r="C485" s="13" t="s">
        <v>891</v>
      </c>
      <c r="D485" s="13">
        <v>7.5180000000000007</v>
      </c>
      <c r="E485" s="13">
        <v>2</v>
      </c>
      <c r="F485" s="13">
        <f t="shared" si="7"/>
        <v>3.7590000000000003</v>
      </c>
    </row>
    <row r="486" spans="2:6">
      <c r="B486" s="13" t="s">
        <v>537</v>
      </c>
      <c r="C486" s="13" t="s">
        <v>548</v>
      </c>
      <c r="D486" s="13">
        <v>10.368000000000002</v>
      </c>
      <c r="E486" s="13">
        <v>2</v>
      </c>
      <c r="F486" s="13">
        <f t="shared" si="7"/>
        <v>5.1840000000000011</v>
      </c>
    </row>
    <row r="487" spans="2:6">
      <c r="B487" s="13" t="s">
        <v>888</v>
      </c>
      <c r="C487" s="13" t="s">
        <v>892</v>
      </c>
      <c r="D487" s="13">
        <v>310.88000000000005</v>
      </c>
      <c r="E487" s="13">
        <v>2</v>
      </c>
      <c r="F487" s="13">
        <f t="shared" si="7"/>
        <v>155.44000000000003</v>
      </c>
    </row>
    <row r="488" spans="2:6">
      <c r="B488" s="13" t="s">
        <v>893</v>
      </c>
      <c r="C488" s="13" t="s">
        <v>894</v>
      </c>
      <c r="D488" s="13">
        <v>33.450000000000003</v>
      </c>
      <c r="E488" s="13">
        <v>5</v>
      </c>
      <c r="F488" s="13">
        <f t="shared" si="7"/>
        <v>6.69</v>
      </c>
    </row>
    <row r="489" spans="2:6">
      <c r="B489" s="13" t="s">
        <v>53</v>
      </c>
      <c r="C489" s="13" t="s">
        <v>56</v>
      </c>
      <c r="D489" s="13">
        <v>10.4</v>
      </c>
      <c r="E489" s="13">
        <v>5</v>
      </c>
      <c r="F489" s="13">
        <f t="shared" si="7"/>
        <v>2.08</v>
      </c>
    </row>
    <row r="490" spans="2:6">
      <c r="B490" s="13" t="s">
        <v>895</v>
      </c>
      <c r="C490" s="13" t="s">
        <v>899</v>
      </c>
      <c r="D490" s="13">
        <v>43.86</v>
      </c>
      <c r="E490" s="13">
        <v>6</v>
      </c>
      <c r="F490" s="13">
        <f t="shared" si="7"/>
        <v>7.31</v>
      </c>
    </row>
    <row r="491" spans="2:6">
      <c r="B491" s="13" t="s">
        <v>896</v>
      </c>
      <c r="C491" s="13" t="s">
        <v>900</v>
      </c>
      <c r="D491" s="13">
        <v>148.47999999999999</v>
      </c>
      <c r="E491" s="13">
        <v>2</v>
      </c>
      <c r="F491" s="13">
        <f t="shared" si="7"/>
        <v>74.239999999999995</v>
      </c>
    </row>
    <row r="492" spans="2:6">
      <c r="B492" s="13" t="s">
        <v>897</v>
      </c>
      <c r="C492" s="13" t="s">
        <v>901</v>
      </c>
      <c r="D492" s="13">
        <v>7.42</v>
      </c>
      <c r="E492" s="13">
        <v>2</v>
      </c>
      <c r="F492" s="13">
        <f t="shared" si="7"/>
        <v>3.71</v>
      </c>
    </row>
    <row r="493" spans="2:6">
      <c r="B493" s="13" t="s">
        <v>898</v>
      </c>
      <c r="C493" s="13" t="s">
        <v>902</v>
      </c>
      <c r="D493" s="13">
        <v>71.992000000000004</v>
      </c>
      <c r="E493" s="13">
        <v>1</v>
      </c>
      <c r="F493" s="13">
        <f t="shared" si="7"/>
        <v>71.992000000000004</v>
      </c>
    </row>
    <row r="494" spans="2:6">
      <c r="B494" s="13" t="s">
        <v>750</v>
      </c>
      <c r="C494" s="13" t="s">
        <v>753</v>
      </c>
      <c r="D494" s="13">
        <v>19.899999999999999</v>
      </c>
      <c r="E494" s="13">
        <v>5</v>
      </c>
      <c r="F494" s="13">
        <f t="shared" si="7"/>
        <v>3.9799999999999995</v>
      </c>
    </row>
    <row r="495" spans="2:6">
      <c r="B495" s="13" t="s">
        <v>99</v>
      </c>
      <c r="C495" s="13" t="s">
        <v>100</v>
      </c>
      <c r="D495" s="13">
        <v>1702.12</v>
      </c>
      <c r="E495" s="13">
        <v>14</v>
      </c>
      <c r="F495" s="13">
        <f t="shared" si="7"/>
        <v>121.58</v>
      </c>
    </row>
    <row r="496" spans="2:6">
      <c r="B496" s="13" t="s">
        <v>903</v>
      </c>
      <c r="C496" s="13" t="s">
        <v>905</v>
      </c>
      <c r="D496" s="13">
        <v>765.625</v>
      </c>
      <c r="E496" s="13">
        <v>7</v>
      </c>
      <c r="F496" s="13">
        <f t="shared" si="7"/>
        <v>109.375</v>
      </c>
    </row>
    <row r="497" spans="2:6">
      <c r="B497" s="13" t="s">
        <v>904</v>
      </c>
      <c r="C497" s="13" t="s">
        <v>906</v>
      </c>
      <c r="D497" s="13">
        <v>307.666</v>
      </c>
      <c r="E497" s="13">
        <v>2</v>
      </c>
      <c r="F497" s="13">
        <f t="shared" si="7"/>
        <v>153.833</v>
      </c>
    </row>
    <row r="498" spans="2:6">
      <c r="B498" s="13" t="s">
        <v>907</v>
      </c>
      <c r="C498" s="13" t="s">
        <v>908</v>
      </c>
      <c r="D498" s="13">
        <v>1048.3499999999999</v>
      </c>
      <c r="E498" s="13">
        <v>5</v>
      </c>
      <c r="F498" s="13">
        <f t="shared" si="7"/>
        <v>209.67</v>
      </c>
    </row>
    <row r="499" spans="2:6">
      <c r="B499" s="13" t="s">
        <v>909</v>
      </c>
      <c r="C499" s="13" t="s">
        <v>912</v>
      </c>
      <c r="D499" s="13">
        <v>34.848000000000006</v>
      </c>
      <c r="E499" s="13">
        <v>2</v>
      </c>
      <c r="F499" s="13">
        <f t="shared" si="7"/>
        <v>17.424000000000003</v>
      </c>
    </row>
    <row r="500" spans="2:6">
      <c r="B500" s="13" t="s">
        <v>910</v>
      </c>
      <c r="C500" s="13" t="s">
        <v>913</v>
      </c>
      <c r="D500" s="13">
        <v>22</v>
      </c>
      <c r="E500" s="13">
        <v>5</v>
      </c>
      <c r="F500" s="13">
        <f t="shared" si="7"/>
        <v>4.4000000000000004</v>
      </c>
    </row>
    <row r="501" spans="2:6">
      <c r="B501" s="13" t="s">
        <v>911</v>
      </c>
      <c r="C501" s="13" t="s">
        <v>914</v>
      </c>
      <c r="D501" s="13">
        <v>4.3680000000000003</v>
      </c>
      <c r="E501" s="13">
        <v>3</v>
      </c>
      <c r="F501" s="13">
        <f t="shared" si="7"/>
        <v>1.4560000000000002</v>
      </c>
    </row>
    <row r="502" spans="2:6">
      <c r="B502" s="13" t="s">
        <v>915</v>
      </c>
      <c r="C502" s="13" t="s">
        <v>917</v>
      </c>
      <c r="D502" s="13">
        <v>20.736000000000004</v>
      </c>
      <c r="E502" s="13">
        <v>4</v>
      </c>
      <c r="F502" s="13">
        <f t="shared" si="7"/>
        <v>5.1840000000000011</v>
      </c>
    </row>
    <row r="503" spans="2:6">
      <c r="B503" s="13" t="s">
        <v>863</v>
      </c>
      <c r="C503" s="13" t="s">
        <v>864</v>
      </c>
      <c r="D503" s="13">
        <v>7.168000000000001</v>
      </c>
      <c r="E503" s="13">
        <v>2</v>
      </c>
      <c r="F503" s="13">
        <f t="shared" si="7"/>
        <v>3.5840000000000005</v>
      </c>
    </row>
    <row r="504" spans="2:6">
      <c r="B504" s="13" t="s">
        <v>486</v>
      </c>
      <c r="C504" s="13" t="s">
        <v>488</v>
      </c>
      <c r="D504" s="13">
        <v>11.168000000000001</v>
      </c>
      <c r="E504" s="13">
        <v>2</v>
      </c>
      <c r="F504" s="13">
        <f t="shared" si="7"/>
        <v>5.5840000000000005</v>
      </c>
    </row>
    <row r="505" spans="2:6">
      <c r="B505" s="13" t="s">
        <v>916</v>
      </c>
      <c r="C505" s="13" t="s">
        <v>918</v>
      </c>
      <c r="D505" s="13">
        <v>442.40000000000003</v>
      </c>
      <c r="E505" s="13">
        <v>7</v>
      </c>
      <c r="F505" s="13">
        <f t="shared" si="7"/>
        <v>63.2</v>
      </c>
    </row>
    <row r="506" spans="2:6">
      <c r="B506" s="13" t="s">
        <v>919</v>
      </c>
      <c r="C506" s="13" t="s">
        <v>922</v>
      </c>
      <c r="D506" s="13">
        <v>9.4600000000000009</v>
      </c>
      <c r="E506" s="13">
        <v>2</v>
      </c>
      <c r="F506" s="13">
        <f t="shared" si="7"/>
        <v>4.7300000000000004</v>
      </c>
    </row>
    <row r="507" spans="2:6">
      <c r="B507" s="13" t="s">
        <v>618</v>
      </c>
      <c r="C507" s="13" t="s">
        <v>620</v>
      </c>
      <c r="D507" s="13">
        <v>559.62</v>
      </c>
      <c r="E507" s="13">
        <v>9</v>
      </c>
      <c r="F507" s="13">
        <f t="shared" si="7"/>
        <v>62.18</v>
      </c>
    </row>
    <row r="508" spans="2:6">
      <c r="B508" s="13" t="s">
        <v>920</v>
      </c>
      <c r="C508" s="13" t="s">
        <v>923</v>
      </c>
      <c r="D508" s="13">
        <v>109.92</v>
      </c>
      <c r="E508" s="13">
        <v>2</v>
      </c>
      <c r="F508" s="13">
        <f t="shared" si="7"/>
        <v>54.96</v>
      </c>
    </row>
    <row r="509" spans="2:6">
      <c r="B509" s="13" t="s">
        <v>921</v>
      </c>
      <c r="C509" s="13" t="s">
        <v>924</v>
      </c>
      <c r="D509" s="13">
        <v>8.56</v>
      </c>
      <c r="E509" s="13">
        <v>2</v>
      </c>
      <c r="F509" s="13">
        <f t="shared" si="7"/>
        <v>4.28</v>
      </c>
    </row>
    <row r="510" spans="2:6">
      <c r="B510" s="13" t="s">
        <v>608</v>
      </c>
      <c r="C510" s="13" t="s">
        <v>609</v>
      </c>
      <c r="D510" s="13">
        <v>6.9760000000000009</v>
      </c>
      <c r="E510" s="13">
        <v>4</v>
      </c>
      <c r="F510" s="13">
        <f t="shared" si="7"/>
        <v>1.7440000000000002</v>
      </c>
    </row>
    <row r="511" spans="2:6">
      <c r="B511" s="13" t="s">
        <v>409</v>
      </c>
      <c r="C511" s="13" t="s">
        <v>415</v>
      </c>
      <c r="D511" s="13">
        <v>12.221999999999998</v>
      </c>
      <c r="E511" s="13">
        <v>7</v>
      </c>
      <c r="F511" s="13">
        <f t="shared" si="7"/>
        <v>1.7459999999999998</v>
      </c>
    </row>
    <row r="512" spans="2:6">
      <c r="B512" s="13" t="s">
        <v>920</v>
      </c>
      <c r="C512" s="13" t="s">
        <v>923</v>
      </c>
      <c r="D512" s="13">
        <v>219.84</v>
      </c>
      <c r="E512" s="13">
        <v>4</v>
      </c>
      <c r="F512" s="13">
        <f t="shared" si="7"/>
        <v>54.96</v>
      </c>
    </row>
    <row r="513" spans="2:6">
      <c r="B513" s="13" t="s">
        <v>748</v>
      </c>
      <c r="C513" s="13" t="s">
        <v>749</v>
      </c>
      <c r="D513" s="13">
        <v>98.16</v>
      </c>
      <c r="E513" s="13">
        <v>6</v>
      </c>
      <c r="F513" s="13">
        <f t="shared" si="7"/>
        <v>16.36</v>
      </c>
    </row>
    <row r="514" spans="2:6">
      <c r="B514" s="13" t="s">
        <v>925</v>
      </c>
      <c r="C514" s="13" t="s">
        <v>927</v>
      </c>
      <c r="D514" s="13">
        <v>33.04</v>
      </c>
      <c r="E514" s="13">
        <v>8</v>
      </c>
      <c r="F514" s="13">
        <f t="shared" si="7"/>
        <v>4.13</v>
      </c>
    </row>
    <row r="515" spans="2:6">
      <c r="B515" s="13" t="s">
        <v>926</v>
      </c>
      <c r="C515" s="13" t="s">
        <v>928</v>
      </c>
      <c r="D515" s="13">
        <v>86.97</v>
      </c>
      <c r="E515" s="13">
        <v>3</v>
      </c>
      <c r="F515" s="13">
        <f t="shared" si="7"/>
        <v>28.99</v>
      </c>
    </row>
    <row r="516" spans="2:6">
      <c r="B516" s="13" t="s">
        <v>637</v>
      </c>
      <c r="C516" s="13" t="s">
        <v>641</v>
      </c>
      <c r="D516" s="13">
        <v>63.84</v>
      </c>
      <c r="E516" s="13">
        <v>8</v>
      </c>
      <c r="F516" s="13">
        <f t="shared" ref="F516:F579" si="8">D516/E516</f>
        <v>7.98</v>
      </c>
    </row>
    <row r="517" spans="2:6">
      <c r="B517" s="13" t="s">
        <v>929</v>
      </c>
      <c r="C517" s="13" t="s">
        <v>930</v>
      </c>
      <c r="D517" s="13">
        <v>347.96999999999997</v>
      </c>
      <c r="E517" s="13">
        <v>3</v>
      </c>
      <c r="F517" s="13">
        <f t="shared" si="8"/>
        <v>115.99</v>
      </c>
    </row>
    <row r="518" spans="2:6">
      <c r="B518" s="13" t="s">
        <v>433</v>
      </c>
      <c r="C518" s="13" t="s">
        <v>439</v>
      </c>
      <c r="D518" s="13">
        <v>37.008000000000003</v>
      </c>
      <c r="E518" s="13">
        <v>6</v>
      </c>
      <c r="F518" s="13">
        <f t="shared" si="8"/>
        <v>6.1680000000000001</v>
      </c>
    </row>
    <row r="519" spans="2:6">
      <c r="B519" s="13" t="s">
        <v>931</v>
      </c>
      <c r="C519" s="13" t="s">
        <v>934</v>
      </c>
      <c r="D519" s="13">
        <v>5.6070000000000011</v>
      </c>
      <c r="E519" s="13">
        <v>1</v>
      </c>
      <c r="F519" s="13">
        <f t="shared" si="8"/>
        <v>5.6070000000000011</v>
      </c>
    </row>
    <row r="520" spans="2:6">
      <c r="B520" s="13" t="s">
        <v>932</v>
      </c>
      <c r="C520" s="13" t="s">
        <v>935</v>
      </c>
      <c r="D520" s="13">
        <v>4663.7360000000008</v>
      </c>
      <c r="E520" s="13">
        <v>7</v>
      </c>
      <c r="F520" s="13">
        <f t="shared" si="8"/>
        <v>666.24800000000016</v>
      </c>
    </row>
    <row r="521" spans="2:6">
      <c r="B521" s="13" t="s">
        <v>933</v>
      </c>
      <c r="C521" s="13" t="s">
        <v>936</v>
      </c>
      <c r="D521" s="13">
        <v>79.984000000000009</v>
      </c>
      <c r="E521" s="13">
        <v>2</v>
      </c>
      <c r="F521" s="13">
        <f t="shared" si="8"/>
        <v>39.992000000000004</v>
      </c>
    </row>
    <row r="522" spans="2:6">
      <c r="B522" s="13" t="s">
        <v>937</v>
      </c>
      <c r="C522" s="13" t="s">
        <v>938</v>
      </c>
      <c r="D522" s="13">
        <v>77.599999999999994</v>
      </c>
      <c r="E522" s="13">
        <v>5</v>
      </c>
      <c r="F522" s="13">
        <f t="shared" si="8"/>
        <v>15.52</v>
      </c>
    </row>
    <row r="523" spans="2:6">
      <c r="B523" s="13" t="s">
        <v>245</v>
      </c>
      <c r="C523" s="13" t="s">
        <v>246</v>
      </c>
      <c r="D523" s="13">
        <v>4.6560000000000006</v>
      </c>
      <c r="E523" s="13">
        <v>2</v>
      </c>
      <c r="F523" s="13">
        <f t="shared" si="8"/>
        <v>2.3280000000000003</v>
      </c>
    </row>
    <row r="524" spans="2:6">
      <c r="B524" s="13" t="s">
        <v>939</v>
      </c>
      <c r="C524" s="13" t="s">
        <v>941</v>
      </c>
      <c r="D524" s="13">
        <v>1439.92</v>
      </c>
      <c r="E524" s="13">
        <v>8</v>
      </c>
      <c r="F524" s="13">
        <f t="shared" si="8"/>
        <v>179.99</v>
      </c>
    </row>
    <row r="525" spans="2:6">
      <c r="B525" s="13" t="s">
        <v>940</v>
      </c>
      <c r="C525" s="13" t="s">
        <v>942</v>
      </c>
      <c r="D525" s="13">
        <v>262.11</v>
      </c>
      <c r="E525" s="13">
        <v>1</v>
      </c>
      <c r="F525" s="13">
        <f t="shared" si="8"/>
        <v>262.11</v>
      </c>
    </row>
    <row r="526" spans="2:6">
      <c r="B526" s="13" t="s">
        <v>943</v>
      </c>
      <c r="C526" s="13" t="s">
        <v>945</v>
      </c>
      <c r="D526" s="13">
        <v>1439.982</v>
      </c>
      <c r="E526" s="13">
        <v>3</v>
      </c>
      <c r="F526" s="13">
        <f t="shared" si="8"/>
        <v>479.99399999999997</v>
      </c>
    </row>
    <row r="527" spans="2:6">
      <c r="B527" s="13" t="s">
        <v>944</v>
      </c>
      <c r="C527" s="13" t="s">
        <v>946</v>
      </c>
      <c r="D527" s="13">
        <v>36.288000000000011</v>
      </c>
      <c r="E527" s="13">
        <v>7</v>
      </c>
      <c r="F527" s="13">
        <f t="shared" si="8"/>
        <v>5.1840000000000019</v>
      </c>
    </row>
    <row r="528" spans="2:6">
      <c r="B528" s="13" t="s">
        <v>947</v>
      </c>
      <c r="C528" s="13" t="s">
        <v>948</v>
      </c>
      <c r="D528" s="13">
        <v>1245.8599999999999</v>
      </c>
      <c r="E528" s="13">
        <v>7</v>
      </c>
      <c r="F528" s="13">
        <f t="shared" si="8"/>
        <v>177.98</v>
      </c>
    </row>
    <row r="529" spans="2:6">
      <c r="B529" s="13" t="s">
        <v>949</v>
      </c>
      <c r="C529" s="13" t="s">
        <v>953</v>
      </c>
      <c r="D529" s="13">
        <v>90.570000000000007</v>
      </c>
      <c r="E529" s="13">
        <v>3</v>
      </c>
      <c r="F529" s="13">
        <f t="shared" si="8"/>
        <v>30.19</v>
      </c>
    </row>
    <row r="530" spans="2:6">
      <c r="B530" s="13" t="s">
        <v>950</v>
      </c>
      <c r="C530" s="13" t="s">
        <v>954</v>
      </c>
      <c r="D530" s="13">
        <v>40.08</v>
      </c>
      <c r="E530" s="13">
        <v>6</v>
      </c>
      <c r="F530" s="13">
        <f t="shared" si="8"/>
        <v>6.68</v>
      </c>
    </row>
    <row r="531" spans="2:6">
      <c r="B531" s="13" t="s">
        <v>951</v>
      </c>
      <c r="C531" s="13" t="s">
        <v>955</v>
      </c>
      <c r="D531" s="13">
        <v>37.68</v>
      </c>
      <c r="E531" s="13">
        <v>2</v>
      </c>
      <c r="F531" s="13">
        <f t="shared" si="8"/>
        <v>18.84</v>
      </c>
    </row>
    <row r="532" spans="2:6">
      <c r="B532" s="13" t="s">
        <v>952</v>
      </c>
      <c r="C532" s="13" t="s">
        <v>956</v>
      </c>
      <c r="D532" s="13">
        <v>362.35199999999998</v>
      </c>
      <c r="E532" s="13">
        <v>3</v>
      </c>
      <c r="F532" s="13">
        <f t="shared" si="8"/>
        <v>120.78399999999999</v>
      </c>
    </row>
    <row r="533" spans="2:6">
      <c r="B533" s="13" t="s">
        <v>622</v>
      </c>
      <c r="C533" s="13" t="s">
        <v>624</v>
      </c>
      <c r="D533" s="13">
        <v>7.1840000000000011</v>
      </c>
      <c r="E533" s="13">
        <v>2</v>
      </c>
      <c r="F533" s="13">
        <f t="shared" si="8"/>
        <v>3.5920000000000005</v>
      </c>
    </row>
    <row r="534" spans="2:6">
      <c r="B534" s="13" t="s">
        <v>868</v>
      </c>
      <c r="C534" s="13" t="s">
        <v>872</v>
      </c>
      <c r="D534" s="13">
        <v>127.92000000000002</v>
      </c>
      <c r="E534" s="13">
        <v>5</v>
      </c>
      <c r="F534" s="13">
        <f t="shared" si="8"/>
        <v>25.584000000000003</v>
      </c>
    </row>
    <row r="535" spans="2:6">
      <c r="B535" s="13" t="s">
        <v>957</v>
      </c>
      <c r="C535" s="13" t="s">
        <v>958</v>
      </c>
      <c r="D535" s="13">
        <v>34.239999999999988</v>
      </c>
      <c r="E535" s="13">
        <v>4</v>
      </c>
      <c r="F535" s="13">
        <f t="shared" si="8"/>
        <v>8.5599999999999969</v>
      </c>
    </row>
    <row r="536" spans="2:6">
      <c r="B536" s="13" t="s">
        <v>959</v>
      </c>
      <c r="C536" s="13" t="s">
        <v>961</v>
      </c>
      <c r="D536" s="13">
        <v>257.56799999999998</v>
      </c>
      <c r="E536" s="13">
        <v>2</v>
      </c>
      <c r="F536" s="13">
        <f t="shared" si="8"/>
        <v>128.78399999999999</v>
      </c>
    </row>
    <row r="537" spans="2:6">
      <c r="B537" s="13" t="s">
        <v>960</v>
      </c>
      <c r="C537" s="13" t="s">
        <v>962</v>
      </c>
      <c r="D537" s="13">
        <v>119.96</v>
      </c>
      <c r="E537" s="13">
        <v>4</v>
      </c>
      <c r="F537" s="13">
        <f t="shared" si="8"/>
        <v>29.99</v>
      </c>
    </row>
    <row r="538" spans="2:6">
      <c r="B538" s="13" t="s">
        <v>963</v>
      </c>
      <c r="C538" s="13" t="s">
        <v>965</v>
      </c>
      <c r="D538" s="13">
        <v>370.78199999999998</v>
      </c>
      <c r="E538" s="13">
        <v>3</v>
      </c>
      <c r="F538" s="13">
        <f t="shared" si="8"/>
        <v>123.59399999999999</v>
      </c>
    </row>
    <row r="539" spans="2:6">
      <c r="B539" s="13" t="s">
        <v>964</v>
      </c>
      <c r="C539" s="13" t="s">
        <v>966</v>
      </c>
      <c r="D539" s="13">
        <v>196.45</v>
      </c>
      <c r="E539" s="13">
        <v>5</v>
      </c>
      <c r="F539" s="13">
        <f t="shared" si="8"/>
        <v>39.29</v>
      </c>
    </row>
    <row r="540" spans="2:6">
      <c r="B540" s="13" t="s">
        <v>967</v>
      </c>
      <c r="C540" s="13" t="s">
        <v>968</v>
      </c>
      <c r="D540" s="13">
        <v>70.98</v>
      </c>
      <c r="E540" s="13">
        <v>1</v>
      </c>
      <c r="F540" s="13">
        <f t="shared" si="8"/>
        <v>70.98</v>
      </c>
    </row>
    <row r="541" spans="2:6">
      <c r="B541" s="13" t="s">
        <v>969</v>
      </c>
      <c r="C541" s="13" t="s">
        <v>972</v>
      </c>
      <c r="D541" s="13">
        <v>470.37600000000009</v>
      </c>
      <c r="E541" s="13">
        <v>3</v>
      </c>
      <c r="F541" s="13">
        <f t="shared" si="8"/>
        <v>156.79200000000003</v>
      </c>
    </row>
    <row r="542" spans="2:6">
      <c r="B542" s="13" t="s">
        <v>970</v>
      </c>
      <c r="C542" s="13" t="s">
        <v>973</v>
      </c>
      <c r="D542" s="13">
        <v>393.56799999999998</v>
      </c>
      <c r="E542" s="13">
        <v>4</v>
      </c>
      <c r="F542" s="13">
        <f t="shared" si="8"/>
        <v>98.391999999999996</v>
      </c>
    </row>
    <row r="543" spans="2:6">
      <c r="B543" s="13" t="s">
        <v>737</v>
      </c>
      <c r="C543" s="13" t="s">
        <v>745</v>
      </c>
      <c r="D543" s="13">
        <v>302.37599999999998</v>
      </c>
      <c r="E543" s="13">
        <v>3</v>
      </c>
      <c r="F543" s="13">
        <f t="shared" si="8"/>
        <v>100.79199999999999</v>
      </c>
    </row>
    <row r="544" spans="2:6">
      <c r="B544" s="13" t="s">
        <v>971</v>
      </c>
      <c r="C544" s="13" t="s">
        <v>974</v>
      </c>
      <c r="D544" s="13">
        <v>68.742000000000019</v>
      </c>
      <c r="E544" s="13">
        <v>9</v>
      </c>
      <c r="F544" s="13">
        <f t="shared" si="8"/>
        <v>7.6380000000000017</v>
      </c>
    </row>
    <row r="545" spans="2:6">
      <c r="B545" s="13" t="s">
        <v>975</v>
      </c>
      <c r="C545" s="13" t="s">
        <v>976</v>
      </c>
      <c r="D545" s="13">
        <v>6</v>
      </c>
      <c r="E545" s="13">
        <v>2</v>
      </c>
      <c r="F545" s="13">
        <f t="shared" si="8"/>
        <v>3</v>
      </c>
    </row>
    <row r="546" spans="2:6">
      <c r="B546" s="13" t="s">
        <v>977</v>
      </c>
      <c r="C546" s="13" t="s">
        <v>978</v>
      </c>
      <c r="D546" s="13">
        <v>7.8239999999999998</v>
      </c>
      <c r="E546" s="13">
        <v>1</v>
      </c>
      <c r="F546" s="13">
        <f t="shared" si="8"/>
        <v>7.8239999999999998</v>
      </c>
    </row>
    <row r="547" spans="2:6">
      <c r="B547" s="13" t="s">
        <v>979</v>
      </c>
      <c r="C547" s="13" t="s">
        <v>980</v>
      </c>
      <c r="D547" s="13">
        <v>34.650000000000006</v>
      </c>
      <c r="E547" s="13">
        <v>3</v>
      </c>
      <c r="F547" s="13">
        <f t="shared" si="8"/>
        <v>11.550000000000002</v>
      </c>
    </row>
    <row r="548" spans="2:6">
      <c r="B548" s="13" t="s">
        <v>981</v>
      </c>
      <c r="C548" s="13" t="s">
        <v>982</v>
      </c>
      <c r="D548" s="13">
        <v>1793.98</v>
      </c>
      <c r="E548" s="13">
        <v>2</v>
      </c>
      <c r="F548" s="13">
        <f t="shared" si="8"/>
        <v>896.99</v>
      </c>
    </row>
    <row r="549" spans="2:6">
      <c r="B549" s="13" t="s">
        <v>983</v>
      </c>
      <c r="C549" s="13" t="s">
        <v>986</v>
      </c>
      <c r="D549" s="13">
        <v>5.1840000000000011</v>
      </c>
      <c r="E549" s="13">
        <v>1</v>
      </c>
      <c r="F549" s="13">
        <f t="shared" si="8"/>
        <v>5.1840000000000011</v>
      </c>
    </row>
    <row r="550" spans="2:6">
      <c r="B550" s="13" t="s">
        <v>984</v>
      </c>
      <c r="C550" s="13" t="s">
        <v>987</v>
      </c>
      <c r="D550" s="13">
        <v>478.48</v>
      </c>
      <c r="E550" s="13">
        <v>2</v>
      </c>
      <c r="F550" s="13">
        <f t="shared" si="8"/>
        <v>239.24</v>
      </c>
    </row>
    <row r="551" spans="2:6">
      <c r="B551" s="13" t="s">
        <v>706</v>
      </c>
      <c r="C551" s="13" t="s">
        <v>707</v>
      </c>
      <c r="D551" s="13">
        <v>28.400000000000002</v>
      </c>
      <c r="E551" s="13">
        <v>2</v>
      </c>
      <c r="F551" s="13">
        <f t="shared" si="8"/>
        <v>14.200000000000001</v>
      </c>
    </row>
    <row r="552" spans="2:6">
      <c r="B552" s="13" t="s">
        <v>985</v>
      </c>
      <c r="C552" s="13" t="s">
        <v>988</v>
      </c>
      <c r="D552" s="13">
        <v>909.12</v>
      </c>
      <c r="E552" s="13">
        <v>8</v>
      </c>
      <c r="F552" s="13">
        <f t="shared" si="8"/>
        <v>113.64</v>
      </c>
    </row>
    <row r="553" spans="2:6">
      <c r="B553" s="13" t="s">
        <v>989</v>
      </c>
      <c r="C553" s="13" t="s">
        <v>990</v>
      </c>
      <c r="D553" s="13">
        <v>18.96</v>
      </c>
      <c r="E553" s="13">
        <v>2</v>
      </c>
      <c r="F553" s="13">
        <f t="shared" si="8"/>
        <v>9.48</v>
      </c>
    </row>
    <row r="554" spans="2:6">
      <c r="B554" s="13" t="s">
        <v>991</v>
      </c>
      <c r="C554" s="13" t="s">
        <v>993</v>
      </c>
      <c r="D554" s="13">
        <v>273.89600000000002</v>
      </c>
      <c r="E554" s="13">
        <v>7</v>
      </c>
      <c r="F554" s="13">
        <f t="shared" si="8"/>
        <v>39.128</v>
      </c>
    </row>
    <row r="555" spans="2:6">
      <c r="B555" s="13" t="s">
        <v>992</v>
      </c>
      <c r="C555" s="13" t="s">
        <v>994</v>
      </c>
      <c r="D555" s="13">
        <v>597.13200000000006</v>
      </c>
      <c r="E555" s="13">
        <v>3</v>
      </c>
      <c r="F555" s="13">
        <f t="shared" si="8"/>
        <v>199.04400000000001</v>
      </c>
    </row>
    <row r="556" spans="2:6">
      <c r="B556" s="13" t="s">
        <v>995</v>
      </c>
      <c r="C556" s="13" t="s">
        <v>996</v>
      </c>
      <c r="D556" s="13">
        <v>4.6079999999999997</v>
      </c>
      <c r="E556" s="13">
        <v>2</v>
      </c>
      <c r="F556" s="13">
        <f t="shared" si="8"/>
        <v>2.3039999999999998</v>
      </c>
    </row>
    <row r="557" spans="2:6">
      <c r="B557" s="13" t="s">
        <v>670</v>
      </c>
      <c r="C557" s="13" t="s">
        <v>597</v>
      </c>
      <c r="D557" s="13">
        <v>15.528</v>
      </c>
      <c r="E557" s="13">
        <v>3</v>
      </c>
      <c r="F557" s="13">
        <f t="shared" si="8"/>
        <v>5.1760000000000002</v>
      </c>
    </row>
    <row r="558" spans="2:6">
      <c r="B558" s="13" t="s">
        <v>574</v>
      </c>
      <c r="C558" s="13" t="s">
        <v>577</v>
      </c>
      <c r="D558" s="13">
        <v>11.952000000000002</v>
      </c>
      <c r="E558" s="13">
        <v>3</v>
      </c>
      <c r="F558" s="13">
        <f t="shared" si="8"/>
        <v>3.9840000000000004</v>
      </c>
    </row>
    <row r="559" spans="2:6">
      <c r="B559" s="13" t="s">
        <v>997</v>
      </c>
      <c r="C559" s="13" t="s">
        <v>999</v>
      </c>
      <c r="D559" s="13">
        <v>895.92</v>
      </c>
      <c r="E559" s="13">
        <v>5</v>
      </c>
      <c r="F559" s="13">
        <f t="shared" si="8"/>
        <v>179.184</v>
      </c>
    </row>
    <row r="560" spans="2:6">
      <c r="B560" s="13" t="s">
        <v>998</v>
      </c>
      <c r="C560" s="13" t="s">
        <v>1000</v>
      </c>
      <c r="D560" s="13">
        <v>462.56400000000002</v>
      </c>
      <c r="E560" s="13">
        <v>2</v>
      </c>
      <c r="F560" s="13">
        <f t="shared" si="8"/>
        <v>231.28200000000001</v>
      </c>
    </row>
    <row r="561" spans="2:6">
      <c r="B561" s="13" t="s">
        <v>1001</v>
      </c>
      <c r="C561" s="13" t="s">
        <v>1003</v>
      </c>
      <c r="D561" s="13">
        <v>92.94</v>
      </c>
      <c r="E561" s="13">
        <v>3</v>
      </c>
      <c r="F561" s="13">
        <f t="shared" si="8"/>
        <v>30.98</v>
      </c>
    </row>
    <row r="562" spans="2:6">
      <c r="B562" s="13" t="s">
        <v>1002</v>
      </c>
      <c r="C562" s="13" t="s">
        <v>1004</v>
      </c>
      <c r="D562" s="13">
        <v>199.98</v>
      </c>
      <c r="E562" s="13">
        <v>2</v>
      </c>
      <c r="F562" s="13">
        <f t="shared" si="8"/>
        <v>99.99</v>
      </c>
    </row>
    <row r="563" spans="2:6">
      <c r="B563" s="13" t="s">
        <v>1005</v>
      </c>
      <c r="C563" s="13" t="s">
        <v>1008</v>
      </c>
      <c r="D563" s="13">
        <v>88.768000000000001</v>
      </c>
      <c r="E563" s="13">
        <v>2</v>
      </c>
      <c r="F563" s="13">
        <f t="shared" si="8"/>
        <v>44.384</v>
      </c>
    </row>
    <row r="564" spans="2:6">
      <c r="B564" s="13" t="s">
        <v>1006</v>
      </c>
      <c r="C564" s="13" t="s">
        <v>1009</v>
      </c>
      <c r="D564" s="13">
        <v>6.48</v>
      </c>
      <c r="E564" s="13">
        <v>1</v>
      </c>
      <c r="F564" s="13">
        <f t="shared" si="8"/>
        <v>6.48</v>
      </c>
    </row>
    <row r="565" spans="2:6">
      <c r="B565" s="13" t="s">
        <v>145</v>
      </c>
      <c r="C565" s="13" t="s">
        <v>148</v>
      </c>
      <c r="D565" s="13">
        <v>46.51</v>
      </c>
      <c r="E565" s="13">
        <v>1</v>
      </c>
      <c r="F565" s="13">
        <f t="shared" si="8"/>
        <v>46.51</v>
      </c>
    </row>
    <row r="566" spans="2:6">
      <c r="B566" s="13" t="s">
        <v>1007</v>
      </c>
      <c r="C566" s="13" t="s">
        <v>1010</v>
      </c>
      <c r="D566" s="13">
        <v>659.97600000000011</v>
      </c>
      <c r="E566" s="13">
        <v>3</v>
      </c>
      <c r="F566" s="13">
        <f t="shared" si="8"/>
        <v>219.99200000000005</v>
      </c>
    </row>
    <row r="567" spans="2:6">
      <c r="B567" s="13" t="s">
        <v>1011</v>
      </c>
      <c r="C567" s="13" t="s">
        <v>1015</v>
      </c>
      <c r="D567" s="13">
        <v>145.74</v>
      </c>
      <c r="E567" s="13">
        <v>3</v>
      </c>
      <c r="F567" s="13">
        <f t="shared" si="8"/>
        <v>48.580000000000005</v>
      </c>
    </row>
    <row r="568" spans="2:6">
      <c r="B568" s="13" t="s">
        <v>1012</v>
      </c>
      <c r="C568" s="13" t="s">
        <v>1016</v>
      </c>
      <c r="D568" s="13">
        <v>15.4</v>
      </c>
      <c r="E568" s="13">
        <v>5</v>
      </c>
      <c r="F568" s="13">
        <f t="shared" si="8"/>
        <v>3.08</v>
      </c>
    </row>
    <row r="569" spans="2:6">
      <c r="B569" s="13" t="s">
        <v>1013</v>
      </c>
      <c r="C569" s="13" t="s">
        <v>1017</v>
      </c>
      <c r="D569" s="13">
        <v>244.54999999999998</v>
      </c>
      <c r="E569" s="13">
        <v>5</v>
      </c>
      <c r="F569" s="13">
        <f t="shared" si="8"/>
        <v>48.91</v>
      </c>
    </row>
    <row r="570" spans="2:6">
      <c r="B570" s="13" t="s">
        <v>1014</v>
      </c>
      <c r="C570" s="13" t="s">
        <v>1018</v>
      </c>
      <c r="D570" s="13">
        <v>166.16</v>
      </c>
      <c r="E570" s="13">
        <v>8</v>
      </c>
      <c r="F570" s="13">
        <f t="shared" si="8"/>
        <v>20.77</v>
      </c>
    </row>
    <row r="571" spans="2:6">
      <c r="B571" s="13" t="s">
        <v>1019</v>
      </c>
      <c r="C571" s="13" t="s">
        <v>1020</v>
      </c>
      <c r="D571" s="13">
        <v>47.360000000000007</v>
      </c>
      <c r="E571" s="13">
        <v>4</v>
      </c>
      <c r="F571" s="13">
        <f t="shared" si="8"/>
        <v>11.840000000000002</v>
      </c>
    </row>
    <row r="572" spans="2:6">
      <c r="B572" s="13" t="s">
        <v>266</v>
      </c>
      <c r="C572" s="13" t="s">
        <v>272</v>
      </c>
      <c r="D572" s="13">
        <v>27.439999999999998</v>
      </c>
      <c r="E572" s="13">
        <v>2</v>
      </c>
      <c r="F572" s="13">
        <f t="shared" si="8"/>
        <v>13.719999999999999</v>
      </c>
    </row>
    <row r="573" spans="2:6">
      <c r="B573" s="13" t="s">
        <v>569</v>
      </c>
      <c r="C573" s="13" t="s">
        <v>572</v>
      </c>
      <c r="D573" s="13">
        <v>3.2399999999999993</v>
      </c>
      <c r="E573" s="13">
        <v>9</v>
      </c>
      <c r="F573" s="13">
        <f t="shared" si="8"/>
        <v>0.35999999999999993</v>
      </c>
    </row>
    <row r="574" spans="2:6">
      <c r="B574" s="13" t="s">
        <v>1021</v>
      </c>
      <c r="C574" s="13" t="s">
        <v>1042</v>
      </c>
      <c r="D574" s="13">
        <v>23.1</v>
      </c>
      <c r="E574" s="13">
        <v>2</v>
      </c>
      <c r="F574" s="13">
        <f t="shared" si="8"/>
        <v>11.55</v>
      </c>
    </row>
    <row r="575" spans="2:6">
      <c r="B575" s="13" t="s">
        <v>1022</v>
      </c>
      <c r="C575" s="13" t="s">
        <v>1043</v>
      </c>
      <c r="D575" s="13">
        <v>11.54</v>
      </c>
      <c r="E575" s="13">
        <v>2</v>
      </c>
      <c r="F575" s="13">
        <f t="shared" si="8"/>
        <v>5.77</v>
      </c>
    </row>
    <row r="576" spans="2:6">
      <c r="B576" s="13" t="s">
        <v>1023</v>
      </c>
      <c r="C576" s="13" t="s">
        <v>1044</v>
      </c>
      <c r="D576" s="13">
        <v>254.52599999999998</v>
      </c>
      <c r="E576" s="13">
        <v>1</v>
      </c>
      <c r="F576" s="13">
        <f t="shared" si="8"/>
        <v>254.52599999999998</v>
      </c>
    </row>
    <row r="577" spans="2:6">
      <c r="B577" s="13" t="s">
        <v>319</v>
      </c>
      <c r="C577" s="13" t="s">
        <v>324</v>
      </c>
      <c r="D577" s="13">
        <v>12.98</v>
      </c>
      <c r="E577" s="13">
        <v>1</v>
      </c>
      <c r="F577" s="13">
        <f t="shared" si="8"/>
        <v>12.98</v>
      </c>
    </row>
    <row r="578" spans="2:6">
      <c r="B578" s="13" t="s">
        <v>1024</v>
      </c>
      <c r="C578" s="13" t="s">
        <v>1045</v>
      </c>
      <c r="D578" s="13">
        <v>26.432000000000002</v>
      </c>
      <c r="E578" s="13">
        <v>8</v>
      </c>
      <c r="F578" s="13">
        <f t="shared" si="8"/>
        <v>3.3040000000000003</v>
      </c>
    </row>
    <row r="579" spans="2:6">
      <c r="B579" s="13" t="s">
        <v>1025</v>
      </c>
      <c r="C579" s="13" t="s">
        <v>1046</v>
      </c>
      <c r="D579" s="13">
        <v>197.96999999999997</v>
      </c>
      <c r="E579" s="13">
        <v>3</v>
      </c>
      <c r="F579" s="13">
        <f t="shared" si="8"/>
        <v>65.989999999999995</v>
      </c>
    </row>
    <row r="580" spans="2:6">
      <c r="B580" s="13" t="s">
        <v>1026</v>
      </c>
      <c r="C580" s="13" t="s">
        <v>1047</v>
      </c>
      <c r="D580" s="13">
        <v>18.899999999999999</v>
      </c>
      <c r="E580" s="13">
        <v>6</v>
      </c>
      <c r="F580" s="13">
        <f t="shared" ref="F580:F643" si="9">D580/E580</f>
        <v>3.15</v>
      </c>
    </row>
    <row r="581" spans="2:6">
      <c r="B581" s="13" t="s">
        <v>277</v>
      </c>
      <c r="C581" s="13" t="s">
        <v>279</v>
      </c>
      <c r="D581" s="13">
        <v>1282.4100000000001</v>
      </c>
      <c r="E581" s="13">
        <v>5</v>
      </c>
      <c r="F581" s="13">
        <f t="shared" si="9"/>
        <v>256.48200000000003</v>
      </c>
    </row>
    <row r="582" spans="2:6">
      <c r="B582" s="13" t="s">
        <v>1027</v>
      </c>
      <c r="C582" s="13" t="s">
        <v>1048</v>
      </c>
      <c r="D582" s="13">
        <v>4.92</v>
      </c>
      <c r="E582" s="13">
        <v>3</v>
      </c>
      <c r="F582" s="13">
        <f t="shared" si="9"/>
        <v>1.64</v>
      </c>
    </row>
    <row r="583" spans="2:6">
      <c r="B583" s="13" t="s">
        <v>1028</v>
      </c>
      <c r="C583" s="13" t="s">
        <v>1049</v>
      </c>
      <c r="D583" s="13">
        <v>238</v>
      </c>
      <c r="E583" s="13">
        <v>2</v>
      </c>
      <c r="F583" s="13">
        <f t="shared" si="9"/>
        <v>119</v>
      </c>
    </row>
    <row r="584" spans="2:6">
      <c r="B584" s="13" t="s">
        <v>1029</v>
      </c>
      <c r="C584" s="13" t="s">
        <v>1050</v>
      </c>
      <c r="D584" s="13">
        <v>167.97</v>
      </c>
      <c r="E584" s="13">
        <v>3</v>
      </c>
      <c r="F584" s="13">
        <f t="shared" si="9"/>
        <v>55.99</v>
      </c>
    </row>
    <row r="585" spans="2:6">
      <c r="B585" s="13" t="s">
        <v>921</v>
      </c>
      <c r="C585" s="13" t="s">
        <v>924</v>
      </c>
      <c r="D585" s="13">
        <v>17.12</v>
      </c>
      <c r="E585" s="13">
        <v>4</v>
      </c>
      <c r="F585" s="13">
        <f t="shared" si="9"/>
        <v>4.28</v>
      </c>
    </row>
    <row r="586" spans="2:6">
      <c r="B586" s="13" t="s">
        <v>610</v>
      </c>
      <c r="C586" s="13" t="s">
        <v>611</v>
      </c>
      <c r="D586" s="13">
        <v>16.200000000000003</v>
      </c>
      <c r="E586" s="13">
        <v>3</v>
      </c>
      <c r="F586" s="13">
        <f t="shared" si="9"/>
        <v>5.4000000000000012</v>
      </c>
    </row>
    <row r="587" spans="2:6">
      <c r="B587" s="13" t="s">
        <v>1030</v>
      </c>
      <c r="C587" s="13" t="s">
        <v>1051</v>
      </c>
      <c r="D587" s="13">
        <v>33.99</v>
      </c>
      <c r="E587" s="13">
        <v>3</v>
      </c>
      <c r="F587" s="13">
        <f t="shared" si="9"/>
        <v>11.33</v>
      </c>
    </row>
    <row r="588" spans="2:6">
      <c r="B588" s="13" t="s">
        <v>1031</v>
      </c>
      <c r="C588" s="13" t="s">
        <v>1052</v>
      </c>
      <c r="D588" s="13">
        <v>296.84999999999997</v>
      </c>
      <c r="E588" s="13">
        <v>5</v>
      </c>
      <c r="F588" s="13">
        <f t="shared" si="9"/>
        <v>59.36999999999999</v>
      </c>
    </row>
    <row r="589" spans="2:6">
      <c r="B589" s="13" t="s">
        <v>1032</v>
      </c>
      <c r="C589" s="13" t="s">
        <v>1053</v>
      </c>
      <c r="D589" s="13">
        <v>112.80000000000001</v>
      </c>
      <c r="E589" s="13">
        <v>6</v>
      </c>
      <c r="F589" s="13">
        <f t="shared" si="9"/>
        <v>18.8</v>
      </c>
    </row>
    <row r="590" spans="2:6">
      <c r="B590" s="13" t="s">
        <v>1033</v>
      </c>
      <c r="C590" s="13" t="s">
        <v>1054</v>
      </c>
      <c r="D590" s="13">
        <v>13.71</v>
      </c>
      <c r="E590" s="13">
        <v>3</v>
      </c>
      <c r="F590" s="13">
        <f t="shared" si="9"/>
        <v>4.57</v>
      </c>
    </row>
    <row r="591" spans="2:6">
      <c r="B591" s="13" t="s">
        <v>1034</v>
      </c>
      <c r="C591" s="13" t="s">
        <v>1055</v>
      </c>
      <c r="D591" s="13">
        <v>24.900000000000002</v>
      </c>
      <c r="E591" s="13">
        <v>5</v>
      </c>
      <c r="F591" s="13">
        <f t="shared" si="9"/>
        <v>4.9800000000000004</v>
      </c>
    </row>
    <row r="592" spans="2:6">
      <c r="B592" s="13" t="s">
        <v>1035</v>
      </c>
      <c r="C592" s="13" t="s">
        <v>1056</v>
      </c>
      <c r="D592" s="13">
        <v>286.29000000000002</v>
      </c>
      <c r="E592" s="13">
        <v>3</v>
      </c>
      <c r="F592" s="13">
        <f t="shared" si="9"/>
        <v>95.43</v>
      </c>
    </row>
    <row r="593" spans="2:6">
      <c r="B593" s="13" t="s">
        <v>1036</v>
      </c>
      <c r="C593" s="13" t="s">
        <v>1057</v>
      </c>
      <c r="D593" s="13">
        <v>24.18</v>
      </c>
      <c r="E593" s="13">
        <v>2</v>
      </c>
      <c r="F593" s="13">
        <f t="shared" si="9"/>
        <v>12.09</v>
      </c>
    </row>
    <row r="594" spans="2:6">
      <c r="B594" s="13" t="s">
        <v>1037</v>
      </c>
      <c r="C594" s="13" t="s">
        <v>1058</v>
      </c>
      <c r="D594" s="13">
        <v>281.96999999999997</v>
      </c>
      <c r="E594" s="13">
        <v>3</v>
      </c>
      <c r="F594" s="13">
        <f t="shared" si="9"/>
        <v>93.99</v>
      </c>
    </row>
    <row r="595" spans="2:6">
      <c r="B595" s="13" t="s">
        <v>1038</v>
      </c>
      <c r="C595" s="13" t="s">
        <v>1059</v>
      </c>
      <c r="D595" s="13">
        <v>69.5</v>
      </c>
      <c r="E595" s="13">
        <v>5</v>
      </c>
      <c r="F595" s="13">
        <f t="shared" si="9"/>
        <v>13.9</v>
      </c>
    </row>
    <row r="596" spans="2:6">
      <c r="B596" s="13" t="s">
        <v>1039</v>
      </c>
      <c r="C596" s="13" t="s">
        <v>1060</v>
      </c>
      <c r="D596" s="13">
        <v>166.44</v>
      </c>
      <c r="E596" s="13">
        <v>3</v>
      </c>
      <c r="F596" s="13">
        <f t="shared" si="9"/>
        <v>55.48</v>
      </c>
    </row>
    <row r="597" spans="2:6">
      <c r="B597" s="13" t="s">
        <v>1040</v>
      </c>
      <c r="C597" s="13" t="s">
        <v>1061</v>
      </c>
      <c r="D597" s="13">
        <v>291.95999999999998</v>
      </c>
      <c r="E597" s="13">
        <v>4</v>
      </c>
      <c r="F597" s="13">
        <f t="shared" si="9"/>
        <v>72.989999999999995</v>
      </c>
    </row>
    <row r="598" spans="2:6">
      <c r="B598" s="13" t="s">
        <v>1041</v>
      </c>
      <c r="C598" s="13" t="s">
        <v>1062</v>
      </c>
      <c r="D598" s="13">
        <v>6.4080000000000004</v>
      </c>
      <c r="E598" s="13">
        <v>3</v>
      </c>
      <c r="F598" s="13">
        <f t="shared" si="9"/>
        <v>2.1360000000000001</v>
      </c>
    </row>
    <row r="599" spans="2:6">
      <c r="B599" s="13" t="s">
        <v>1040</v>
      </c>
      <c r="C599" s="13" t="s">
        <v>1061</v>
      </c>
      <c r="D599" s="13">
        <v>408.74399999999997</v>
      </c>
      <c r="E599" s="13">
        <v>7</v>
      </c>
      <c r="F599" s="13">
        <f t="shared" si="9"/>
        <v>58.391999999999996</v>
      </c>
    </row>
    <row r="600" spans="2:6">
      <c r="B600" s="13" t="s">
        <v>1024</v>
      </c>
      <c r="C600" s="13" t="s">
        <v>1045</v>
      </c>
      <c r="D600" s="13">
        <v>4.9560000000000004</v>
      </c>
      <c r="E600" s="13">
        <v>4</v>
      </c>
      <c r="F600" s="13">
        <f t="shared" si="9"/>
        <v>1.2390000000000001</v>
      </c>
    </row>
    <row r="601" spans="2:6">
      <c r="B601" s="13" t="s">
        <v>253</v>
      </c>
      <c r="C601" s="13" t="s">
        <v>256</v>
      </c>
      <c r="D601" s="13">
        <v>71.040000000000006</v>
      </c>
      <c r="E601" s="13">
        <v>6</v>
      </c>
      <c r="F601" s="13">
        <f t="shared" si="9"/>
        <v>11.840000000000002</v>
      </c>
    </row>
    <row r="602" spans="2:6">
      <c r="B602" s="13" t="s">
        <v>1063</v>
      </c>
      <c r="C602" s="13" t="s">
        <v>1067</v>
      </c>
      <c r="D602" s="13">
        <v>5.3440000000000003</v>
      </c>
      <c r="E602" s="13">
        <v>2</v>
      </c>
      <c r="F602" s="13">
        <f t="shared" si="9"/>
        <v>2.6720000000000002</v>
      </c>
    </row>
    <row r="603" spans="2:6">
      <c r="B603" s="13" t="s">
        <v>1064</v>
      </c>
      <c r="C603" s="13" t="s">
        <v>1068</v>
      </c>
      <c r="D603" s="13">
        <v>11.304</v>
      </c>
      <c r="E603" s="13">
        <v>3</v>
      </c>
      <c r="F603" s="13">
        <f t="shared" si="9"/>
        <v>3.7680000000000002</v>
      </c>
    </row>
    <row r="604" spans="2:6">
      <c r="B604" s="13" t="s">
        <v>1065</v>
      </c>
      <c r="C604" s="13" t="s">
        <v>1069</v>
      </c>
      <c r="D604" s="13">
        <v>294.61999999999995</v>
      </c>
      <c r="E604" s="13">
        <v>5</v>
      </c>
      <c r="F604" s="13">
        <f t="shared" si="9"/>
        <v>58.923999999999992</v>
      </c>
    </row>
    <row r="605" spans="2:6">
      <c r="B605" s="13" t="s">
        <v>1066</v>
      </c>
      <c r="C605" s="13" t="s">
        <v>1070</v>
      </c>
      <c r="D605" s="13">
        <v>8.7520000000000007</v>
      </c>
      <c r="E605" s="13">
        <v>4</v>
      </c>
      <c r="F605" s="13">
        <f t="shared" si="9"/>
        <v>2.1880000000000002</v>
      </c>
    </row>
    <row r="606" spans="2:6">
      <c r="B606" s="13" t="s">
        <v>1071</v>
      </c>
      <c r="C606" s="13" t="s">
        <v>1074</v>
      </c>
      <c r="D606" s="13">
        <v>199.95000000000002</v>
      </c>
      <c r="E606" s="13">
        <v>5</v>
      </c>
      <c r="F606" s="13">
        <f t="shared" si="9"/>
        <v>39.99</v>
      </c>
    </row>
    <row r="607" spans="2:6">
      <c r="B607" s="13" t="s">
        <v>1072</v>
      </c>
      <c r="C607" s="13" t="s">
        <v>1075</v>
      </c>
      <c r="D607" s="13">
        <v>41.86</v>
      </c>
      <c r="E607" s="13">
        <v>7</v>
      </c>
      <c r="F607" s="13">
        <f t="shared" si="9"/>
        <v>5.9799999999999995</v>
      </c>
    </row>
    <row r="608" spans="2:6">
      <c r="B608" s="13" t="s">
        <v>868</v>
      </c>
      <c r="C608" s="13" t="s">
        <v>872</v>
      </c>
      <c r="D608" s="13">
        <v>95.94</v>
      </c>
      <c r="E608" s="13">
        <v>3</v>
      </c>
      <c r="F608" s="13">
        <f t="shared" si="9"/>
        <v>31.98</v>
      </c>
    </row>
    <row r="609" spans="2:6">
      <c r="B609" s="13" t="s">
        <v>1073</v>
      </c>
      <c r="C609" s="13" t="s">
        <v>1076</v>
      </c>
      <c r="D609" s="13">
        <v>304.45</v>
      </c>
      <c r="E609" s="13">
        <v>5</v>
      </c>
      <c r="F609" s="13">
        <f t="shared" si="9"/>
        <v>60.89</v>
      </c>
    </row>
    <row r="610" spans="2:6">
      <c r="B610" s="13" t="s">
        <v>67</v>
      </c>
      <c r="C610" s="13" t="s">
        <v>70</v>
      </c>
      <c r="D610" s="13">
        <v>11.363999999999997</v>
      </c>
      <c r="E610" s="13">
        <v>3</v>
      </c>
      <c r="F610" s="13">
        <f t="shared" si="9"/>
        <v>3.7879999999999989</v>
      </c>
    </row>
    <row r="611" spans="2:6">
      <c r="B611" s="13" t="s">
        <v>1077</v>
      </c>
      <c r="C611" s="13" t="s">
        <v>1078</v>
      </c>
      <c r="D611" s="13">
        <v>183.37199999999999</v>
      </c>
      <c r="E611" s="13">
        <v>2</v>
      </c>
      <c r="F611" s="13">
        <f t="shared" si="9"/>
        <v>91.685999999999993</v>
      </c>
    </row>
    <row r="612" spans="2:6">
      <c r="B612" s="13" t="s">
        <v>1079</v>
      </c>
      <c r="C612" s="13" t="s">
        <v>1080</v>
      </c>
      <c r="D612" s="13">
        <v>239.12000000000003</v>
      </c>
      <c r="E612" s="13">
        <v>5</v>
      </c>
      <c r="F612" s="13">
        <f t="shared" si="9"/>
        <v>47.824000000000005</v>
      </c>
    </row>
    <row r="613" spans="2:6">
      <c r="B613" s="13" t="s">
        <v>925</v>
      </c>
      <c r="C613" s="13" t="s">
        <v>927</v>
      </c>
      <c r="D613" s="13">
        <v>8.26</v>
      </c>
      <c r="E613" s="13">
        <v>2</v>
      </c>
      <c r="F613" s="13">
        <f t="shared" si="9"/>
        <v>4.13</v>
      </c>
    </row>
    <row r="614" spans="2:6">
      <c r="B614" s="13" t="s">
        <v>898</v>
      </c>
      <c r="C614" s="13" t="s">
        <v>902</v>
      </c>
      <c r="D614" s="13">
        <v>269.96999999999997</v>
      </c>
      <c r="E614" s="13">
        <v>3</v>
      </c>
      <c r="F614" s="13">
        <f t="shared" si="9"/>
        <v>89.99</v>
      </c>
    </row>
    <row r="615" spans="2:6">
      <c r="B615" s="13" t="s">
        <v>1081</v>
      </c>
      <c r="C615" s="13" t="s">
        <v>1082</v>
      </c>
      <c r="D615" s="13">
        <v>38.864000000000004</v>
      </c>
      <c r="E615" s="13">
        <v>7</v>
      </c>
      <c r="F615" s="13">
        <f t="shared" si="9"/>
        <v>5.5520000000000005</v>
      </c>
    </row>
    <row r="616" spans="2:6">
      <c r="B616" s="13" t="s">
        <v>1083</v>
      </c>
      <c r="C616" s="13" t="s">
        <v>1087</v>
      </c>
      <c r="D616" s="13">
        <v>199.95000000000002</v>
      </c>
      <c r="E616" s="13">
        <v>5</v>
      </c>
      <c r="F616" s="13">
        <f t="shared" si="9"/>
        <v>39.99</v>
      </c>
    </row>
    <row r="617" spans="2:6">
      <c r="B617" s="13" t="s">
        <v>1084</v>
      </c>
      <c r="C617" s="13" t="s">
        <v>1088</v>
      </c>
      <c r="D617" s="13">
        <v>1586.6899999999998</v>
      </c>
      <c r="E617" s="13">
        <v>7</v>
      </c>
      <c r="F617" s="13">
        <f t="shared" si="9"/>
        <v>226.67</v>
      </c>
    </row>
    <row r="618" spans="2:6">
      <c r="B618" s="13" t="s">
        <v>1085</v>
      </c>
      <c r="C618" s="13" t="s">
        <v>1089</v>
      </c>
      <c r="D618" s="13">
        <v>84.99</v>
      </c>
      <c r="E618" s="13">
        <v>1</v>
      </c>
      <c r="F618" s="13">
        <f t="shared" si="9"/>
        <v>84.99</v>
      </c>
    </row>
    <row r="619" spans="2:6">
      <c r="B619" s="13" t="s">
        <v>1086</v>
      </c>
      <c r="C619" s="13" t="s">
        <v>1090</v>
      </c>
      <c r="D619" s="13">
        <v>411.8</v>
      </c>
      <c r="E619" s="13">
        <v>2</v>
      </c>
      <c r="F619" s="13">
        <f t="shared" si="9"/>
        <v>205.9</v>
      </c>
    </row>
    <row r="620" spans="2:6">
      <c r="B620" s="13" t="s">
        <v>206</v>
      </c>
      <c r="C620" s="13" t="s">
        <v>219</v>
      </c>
      <c r="D620" s="13">
        <v>283.92</v>
      </c>
      <c r="E620" s="13">
        <v>5</v>
      </c>
      <c r="F620" s="13">
        <f t="shared" si="9"/>
        <v>56.784000000000006</v>
      </c>
    </row>
    <row r="621" spans="2:6">
      <c r="B621" s="13" t="s">
        <v>1091</v>
      </c>
      <c r="C621" s="13" t="s">
        <v>1093</v>
      </c>
      <c r="D621" s="13">
        <v>59.97</v>
      </c>
      <c r="E621" s="13">
        <v>3</v>
      </c>
      <c r="F621" s="13">
        <f t="shared" si="9"/>
        <v>19.989999999999998</v>
      </c>
    </row>
    <row r="622" spans="2:6">
      <c r="B622" s="13" t="s">
        <v>1092</v>
      </c>
      <c r="C622" s="13" t="s">
        <v>1094</v>
      </c>
      <c r="D622" s="13">
        <v>761.5440000000001</v>
      </c>
      <c r="E622" s="13">
        <v>7</v>
      </c>
      <c r="F622" s="13">
        <f t="shared" si="9"/>
        <v>108.79200000000002</v>
      </c>
    </row>
    <row r="623" spans="2:6">
      <c r="B623" s="13" t="s">
        <v>1095</v>
      </c>
      <c r="C623" s="13" t="s">
        <v>1097</v>
      </c>
      <c r="D623" s="13">
        <v>39.900000000000006</v>
      </c>
      <c r="E623" s="13">
        <v>5</v>
      </c>
      <c r="F623" s="13">
        <f t="shared" si="9"/>
        <v>7.9800000000000013</v>
      </c>
    </row>
    <row r="624" spans="2:6">
      <c r="B624" s="13" t="s">
        <v>319</v>
      </c>
      <c r="C624" s="13" t="s">
        <v>324</v>
      </c>
      <c r="D624" s="13">
        <v>90.86</v>
      </c>
      <c r="E624" s="13">
        <v>7</v>
      </c>
      <c r="F624" s="13">
        <f t="shared" si="9"/>
        <v>12.98</v>
      </c>
    </row>
    <row r="625" spans="2:6">
      <c r="B625" s="13" t="s">
        <v>1096</v>
      </c>
      <c r="C625" s="13" t="s">
        <v>1098</v>
      </c>
      <c r="D625" s="13">
        <v>94.85</v>
      </c>
      <c r="E625" s="13">
        <v>5</v>
      </c>
      <c r="F625" s="13">
        <f t="shared" si="9"/>
        <v>18.97</v>
      </c>
    </row>
    <row r="626" spans="2:6">
      <c r="B626" s="13" t="s">
        <v>692</v>
      </c>
      <c r="C626" s="13" t="s">
        <v>694</v>
      </c>
      <c r="D626" s="13">
        <v>37.44</v>
      </c>
      <c r="E626" s="13">
        <v>6</v>
      </c>
      <c r="F626" s="13">
        <f t="shared" si="9"/>
        <v>6.2399999999999993</v>
      </c>
    </row>
    <row r="627" spans="2:6">
      <c r="B627" s="13" t="s">
        <v>1099</v>
      </c>
      <c r="C627" s="13" t="s">
        <v>1101</v>
      </c>
      <c r="D627" s="13">
        <v>26.549999999999997</v>
      </c>
      <c r="E627" s="13">
        <v>3</v>
      </c>
      <c r="F627" s="13">
        <f t="shared" si="9"/>
        <v>8.85</v>
      </c>
    </row>
    <row r="628" spans="2:6">
      <c r="B628" s="13" t="s">
        <v>1100</v>
      </c>
      <c r="C628" s="13" t="s">
        <v>1102</v>
      </c>
      <c r="D628" s="13">
        <v>310.44300000000004</v>
      </c>
      <c r="E628" s="13">
        <v>3</v>
      </c>
      <c r="F628" s="13">
        <f t="shared" si="9"/>
        <v>103.48100000000001</v>
      </c>
    </row>
    <row r="629" spans="2:6">
      <c r="B629" s="13" t="s">
        <v>1103</v>
      </c>
      <c r="C629" s="13" t="s">
        <v>1104</v>
      </c>
      <c r="D629" s="13">
        <v>37.68</v>
      </c>
      <c r="E629" s="13">
        <v>3</v>
      </c>
      <c r="F629" s="13">
        <f t="shared" si="9"/>
        <v>12.56</v>
      </c>
    </row>
    <row r="630" spans="2:6">
      <c r="B630" s="13" t="s">
        <v>933</v>
      </c>
      <c r="C630" s="13" t="s">
        <v>936</v>
      </c>
      <c r="D630" s="13">
        <v>279.94400000000002</v>
      </c>
      <c r="E630" s="13">
        <v>7</v>
      </c>
      <c r="F630" s="13">
        <f t="shared" si="9"/>
        <v>39.992000000000004</v>
      </c>
    </row>
    <row r="631" spans="2:6">
      <c r="B631" s="13" t="s">
        <v>843</v>
      </c>
      <c r="C631" s="13" t="s">
        <v>1106</v>
      </c>
      <c r="D631" s="13">
        <v>221.92</v>
      </c>
      <c r="E631" s="13">
        <v>4</v>
      </c>
      <c r="F631" s="13">
        <f t="shared" si="9"/>
        <v>55.48</v>
      </c>
    </row>
    <row r="632" spans="2:6">
      <c r="B632" s="13" t="s">
        <v>1105</v>
      </c>
      <c r="C632" s="13" t="s">
        <v>1107</v>
      </c>
      <c r="D632" s="13">
        <v>26</v>
      </c>
      <c r="E632" s="13">
        <v>2</v>
      </c>
      <c r="F632" s="13">
        <f t="shared" si="9"/>
        <v>13</v>
      </c>
    </row>
    <row r="633" spans="2:6">
      <c r="B633" s="13" t="s">
        <v>128</v>
      </c>
      <c r="C633" s="13" t="s">
        <v>134</v>
      </c>
      <c r="D633" s="13">
        <v>5.28</v>
      </c>
      <c r="E633" s="13">
        <v>1</v>
      </c>
      <c r="F633" s="13">
        <f t="shared" si="9"/>
        <v>5.28</v>
      </c>
    </row>
    <row r="634" spans="2:6">
      <c r="B634" s="13" t="s">
        <v>997</v>
      </c>
      <c r="C634" s="13" t="s">
        <v>999</v>
      </c>
      <c r="D634" s="13">
        <v>895.92</v>
      </c>
      <c r="E634" s="13">
        <v>5</v>
      </c>
      <c r="F634" s="13">
        <f t="shared" si="9"/>
        <v>179.184</v>
      </c>
    </row>
    <row r="635" spans="2:6">
      <c r="B635" s="13" t="s">
        <v>1108</v>
      </c>
      <c r="C635" s="13" t="s">
        <v>1111</v>
      </c>
      <c r="D635" s="13">
        <v>2.8080000000000007</v>
      </c>
      <c r="E635" s="13">
        <v>3</v>
      </c>
      <c r="F635" s="13">
        <f t="shared" si="9"/>
        <v>0.93600000000000028</v>
      </c>
    </row>
    <row r="636" spans="2:6">
      <c r="B636" s="13" t="s">
        <v>898</v>
      </c>
      <c r="C636" s="13" t="s">
        <v>902</v>
      </c>
      <c r="D636" s="13">
        <v>215.976</v>
      </c>
      <c r="E636" s="13">
        <v>3</v>
      </c>
      <c r="F636" s="13">
        <f t="shared" si="9"/>
        <v>71.992000000000004</v>
      </c>
    </row>
    <row r="637" spans="2:6">
      <c r="B637" s="13" t="s">
        <v>205</v>
      </c>
      <c r="C637" s="13" t="s">
        <v>218</v>
      </c>
      <c r="D637" s="13">
        <v>241.96</v>
      </c>
      <c r="E637" s="13">
        <v>2</v>
      </c>
      <c r="F637" s="13">
        <f t="shared" si="9"/>
        <v>120.98</v>
      </c>
    </row>
    <row r="638" spans="2:6">
      <c r="B638" s="13" t="s">
        <v>62</v>
      </c>
      <c r="C638" s="13" t="s">
        <v>66</v>
      </c>
      <c r="D638" s="13">
        <v>27.72</v>
      </c>
      <c r="E638" s="13">
        <v>9</v>
      </c>
      <c r="F638" s="13">
        <f t="shared" si="9"/>
        <v>3.08</v>
      </c>
    </row>
    <row r="639" spans="2:6">
      <c r="B639" s="13" t="s">
        <v>1109</v>
      </c>
      <c r="C639" s="13" t="s">
        <v>1112</v>
      </c>
      <c r="D639" s="13">
        <v>104.68000000000002</v>
      </c>
      <c r="E639" s="13">
        <v>5</v>
      </c>
      <c r="F639" s="13">
        <f t="shared" si="9"/>
        <v>20.936000000000003</v>
      </c>
    </row>
    <row r="640" spans="2:6">
      <c r="B640" s="13" t="s">
        <v>1110</v>
      </c>
      <c r="C640" s="13" t="s">
        <v>1113</v>
      </c>
      <c r="D640" s="13">
        <v>62.957999999999998</v>
      </c>
      <c r="E640" s="13">
        <v>7</v>
      </c>
      <c r="F640" s="13">
        <f t="shared" si="9"/>
        <v>8.9939999999999998</v>
      </c>
    </row>
    <row r="641" spans="2:6">
      <c r="B641" s="13" t="s">
        <v>1114</v>
      </c>
      <c r="C641" s="13" t="s">
        <v>1115</v>
      </c>
      <c r="D641" s="13">
        <v>146.82</v>
      </c>
      <c r="E641" s="13">
        <v>3</v>
      </c>
      <c r="F641" s="13">
        <f t="shared" si="9"/>
        <v>48.94</v>
      </c>
    </row>
    <row r="642" spans="2:6">
      <c r="B642" s="13" t="s">
        <v>1116</v>
      </c>
      <c r="C642" s="13" t="s">
        <v>1118</v>
      </c>
      <c r="D642" s="13">
        <v>84.949999999999989</v>
      </c>
      <c r="E642" s="13">
        <v>5</v>
      </c>
      <c r="F642" s="13">
        <f t="shared" si="9"/>
        <v>16.989999999999998</v>
      </c>
    </row>
    <row r="643" spans="2:6">
      <c r="B643" s="13" t="s">
        <v>1117</v>
      </c>
      <c r="C643" s="13" t="s">
        <v>1119</v>
      </c>
      <c r="D643" s="13">
        <v>233.05799999999999</v>
      </c>
      <c r="E643" s="13">
        <v>3</v>
      </c>
      <c r="F643" s="13">
        <f t="shared" si="9"/>
        <v>77.685999999999993</v>
      </c>
    </row>
    <row r="644" spans="2:6">
      <c r="B644" s="13" t="s">
        <v>1120</v>
      </c>
      <c r="C644" s="13" t="s">
        <v>1121</v>
      </c>
      <c r="D644" s="13">
        <v>17.856000000000002</v>
      </c>
      <c r="E644" s="13">
        <v>4</v>
      </c>
      <c r="F644" s="13">
        <f t="shared" ref="F644:F707" si="10">D644/E644</f>
        <v>4.4640000000000004</v>
      </c>
    </row>
    <row r="645" spans="2:6">
      <c r="B645" s="13" t="s">
        <v>1122</v>
      </c>
      <c r="C645" s="13" t="s">
        <v>1123</v>
      </c>
      <c r="D645" s="13">
        <v>314.54999999999995</v>
      </c>
      <c r="E645" s="13">
        <v>3</v>
      </c>
      <c r="F645" s="13">
        <f t="shared" si="10"/>
        <v>104.84999999999998</v>
      </c>
    </row>
    <row r="646" spans="2:6">
      <c r="B646" s="13" t="s">
        <v>1124</v>
      </c>
      <c r="C646" s="13" t="s">
        <v>1126</v>
      </c>
      <c r="D646" s="13">
        <v>14.015999999999998</v>
      </c>
      <c r="E646" s="13">
        <v>3</v>
      </c>
      <c r="F646" s="13">
        <f t="shared" si="10"/>
        <v>4.6719999999999997</v>
      </c>
    </row>
    <row r="647" spans="2:6">
      <c r="B647" s="13" t="s">
        <v>490</v>
      </c>
      <c r="C647" s="13" t="s">
        <v>495</v>
      </c>
      <c r="D647" s="13">
        <v>71.975999999999999</v>
      </c>
      <c r="E647" s="13">
        <v>3</v>
      </c>
      <c r="F647" s="13">
        <f t="shared" si="10"/>
        <v>23.992000000000001</v>
      </c>
    </row>
    <row r="648" spans="2:6">
      <c r="B648" s="13" t="s">
        <v>585</v>
      </c>
      <c r="C648" s="13" t="s">
        <v>587</v>
      </c>
      <c r="D648" s="13">
        <v>107.982</v>
      </c>
      <c r="E648" s="13">
        <v>3</v>
      </c>
      <c r="F648" s="13">
        <f t="shared" si="10"/>
        <v>35.994</v>
      </c>
    </row>
    <row r="649" spans="2:6">
      <c r="B649" s="13" t="s">
        <v>1125</v>
      </c>
      <c r="C649" s="13" t="s">
        <v>1127</v>
      </c>
      <c r="D649" s="13">
        <v>305.31200000000001</v>
      </c>
      <c r="E649" s="13">
        <v>2</v>
      </c>
      <c r="F649" s="13">
        <f t="shared" si="10"/>
        <v>152.65600000000001</v>
      </c>
    </row>
    <row r="650" spans="2:6">
      <c r="B650" s="13" t="s">
        <v>1128</v>
      </c>
      <c r="C650" s="13" t="s">
        <v>1129</v>
      </c>
      <c r="D650" s="13">
        <v>54.896000000000008</v>
      </c>
      <c r="E650" s="13">
        <v>2</v>
      </c>
      <c r="F650" s="13">
        <f t="shared" si="10"/>
        <v>27.448000000000004</v>
      </c>
    </row>
    <row r="651" spans="2:6">
      <c r="B651" s="13" t="s">
        <v>1130</v>
      </c>
      <c r="C651" s="13" t="s">
        <v>978</v>
      </c>
      <c r="D651" s="13">
        <v>70.08</v>
      </c>
      <c r="E651" s="13">
        <v>6</v>
      </c>
      <c r="F651" s="13">
        <f t="shared" si="10"/>
        <v>11.68</v>
      </c>
    </row>
    <row r="652" spans="2:6">
      <c r="B652" s="13" t="s">
        <v>1131</v>
      </c>
      <c r="C652" s="13" t="s">
        <v>1133</v>
      </c>
      <c r="D652" s="13">
        <v>121.3</v>
      </c>
      <c r="E652" s="13">
        <v>2</v>
      </c>
      <c r="F652" s="13">
        <f t="shared" si="10"/>
        <v>60.65</v>
      </c>
    </row>
    <row r="653" spans="2:6">
      <c r="B653" s="13" t="s">
        <v>1132</v>
      </c>
      <c r="C653" s="13" t="s">
        <v>1134</v>
      </c>
      <c r="D653" s="13">
        <v>1454.4900000000002</v>
      </c>
      <c r="E653" s="13">
        <v>9</v>
      </c>
      <c r="F653" s="13">
        <f t="shared" si="10"/>
        <v>161.61000000000001</v>
      </c>
    </row>
    <row r="654" spans="2:6">
      <c r="B654" s="13" t="s">
        <v>680</v>
      </c>
      <c r="C654" s="13" t="s">
        <v>684</v>
      </c>
      <c r="D654" s="13">
        <v>27.42</v>
      </c>
      <c r="E654" s="13">
        <v>1</v>
      </c>
      <c r="F654" s="13">
        <f t="shared" si="10"/>
        <v>27.42</v>
      </c>
    </row>
    <row r="655" spans="2:6">
      <c r="B655" s="13" t="s">
        <v>569</v>
      </c>
      <c r="C655" s="13" t="s">
        <v>572</v>
      </c>
      <c r="D655" s="13">
        <v>1.4400000000000002</v>
      </c>
      <c r="E655" s="13">
        <v>1</v>
      </c>
      <c r="F655" s="13">
        <f t="shared" si="10"/>
        <v>1.4400000000000002</v>
      </c>
    </row>
    <row r="656" spans="2:6">
      <c r="B656" s="13" t="s">
        <v>304</v>
      </c>
      <c r="C656" s="13" t="s">
        <v>313</v>
      </c>
      <c r="D656" s="13">
        <v>61.77600000000001</v>
      </c>
      <c r="E656" s="13">
        <v>13</v>
      </c>
      <c r="F656" s="13">
        <f t="shared" si="10"/>
        <v>4.7520000000000007</v>
      </c>
    </row>
    <row r="657" spans="2:6">
      <c r="B657" s="13" t="s">
        <v>630</v>
      </c>
      <c r="C657" s="13" t="s">
        <v>632</v>
      </c>
      <c r="D657" s="13">
        <v>241.96</v>
      </c>
      <c r="E657" s="13">
        <v>2</v>
      </c>
      <c r="F657" s="13">
        <f t="shared" si="10"/>
        <v>120.98</v>
      </c>
    </row>
    <row r="658" spans="2:6">
      <c r="B658" s="13" t="s">
        <v>1135</v>
      </c>
      <c r="C658" s="13" t="s">
        <v>1136</v>
      </c>
      <c r="D658" s="13">
        <v>108.608</v>
      </c>
      <c r="E658" s="13">
        <v>4</v>
      </c>
      <c r="F658" s="13">
        <f t="shared" si="10"/>
        <v>27.152000000000001</v>
      </c>
    </row>
    <row r="659" spans="2:6">
      <c r="B659" s="13" t="s">
        <v>1108</v>
      </c>
      <c r="C659" s="13" t="s">
        <v>1111</v>
      </c>
      <c r="D659" s="13">
        <v>9.9840000000000018</v>
      </c>
      <c r="E659" s="13">
        <v>4</v>
      </c>
      <c r="F659" s="13">
        <f t="shared" si="10"/>
        <v>2.4960000000000004</v>
      </c>
    </row>
    <row r="660" spans="2:6">
      <c r="B660" s="13" t="s">
        <v>1137</v>
      </c>
      <c r="C660" s="13" t="s">
        <v>1139</v>
      </c>
      <c r="D660" s="13">
        <v>14.98</v>
      </c>
      <c r="E660" s="13">
        <v>1</v>
      </c>
      <c r="F660" s="13">
        <f t="shared" si="10"/>
        <v>14.98</v>
      </c>
    </row>
    <row r="661" spans="2:6">
      <c r="B661" s="13" t="s">
        <v>1138</v>
      </c>
      <c r="C661" s="13" t="s">
        <v>1140</v>
      </c>
      <c r="D661" s="13">
        <v>1145.6000000000001</v>
      </c>
      <c r="E661" s="13">
        <v>4</v>
      </c>
      <c r="F661" s="13">
        <f t="shared" si="10"/>
        <v>286.40000000000003</v>
      </c>
    </row>
    <row r="662" spans="2:6">
      <c r="B662" s="13" t="s">
        <v>1141</v>
      </c>
      <c r="C662" s="13" t="s">
        <v>1142</v>
      </c>
      <c r="D662" s="13">
        <v>54.816000000000003</v>
      </c>
      <c r="E662" s="13">
        <v>3</v>
      </c>
      <c r="F662" s="13">
        <f t="shared" si="10"/>
        <v>18.272000000000002</v>
      </c>
    </row>
    <row r="663" spans="2:6">
      <c r="B663" s="13" t="s">
        <v>1143</v>
      </c>
      <c r="C663" s="13" t="s">
        <v>1144</v>
      </c>
      <c r="D663" s="13">
        <v>2.8960000000000004</v>
      </c>
      <c r="E663" s="13">
        <v>2</v>
      </c>
      <c r="F663" s="13">
        <f t="shared" si="10"/>
        <v>1.4480000000000002</v>
      </c>
    </row>
    <row r="664" spans="2:6">
      <c r="B664" s="13" t="s">
        <v>297</v>
      </c>
      <c r="C664" s="13" t="s">
        <v>306</v>
      </c>
      <c r="D664" s="13">
        <v>124.79200000000002</v>
      </c>
      <c r="E664" s="13">
        <v>1</v>
      </c>
      <c r="F664" s="13">
        <f t="shared" si="10"/>
        <v>124.79200000000002</v>
      </c>
    </row>
    <row r="665" spans="2:6">
      <c r="B665" s="13" t="s">
        <v>1145</v>
      </c>
      <c r="C665" s="13" t="s">
        <v>1147</v>
      </c>
      <c r="D665" s="13">
        <v>526.45000000000005</v>
      </c>
      <c r="E665" s="13">
        <v>5</v>
      </c>
      <c r="F665" s="13">
        <f t="shared" si="10"/>
        <v>105.29</v>
      </c>
    </row>
    <row r="666" spans="2:6">
      <c r="B666" s="13" t="s">
        <v>1146</v>
      </c>
      <c r="C666" s="13" t="s">
        <v>1148</v>
      </c>
      <c r="D666" s="13">
        <v>228.92</v>
      </c>
      <c r="E666" s="13">
        <v>5</v>
      </c>
      <c r="F666" s="13">
        <f t="shared" si="10"/>
        <v>45.783999999999999</v>
      </c>
    </row>
    <row r="667" spans="2:6">
      <c r="B667" s="13" t="s">
        <v>1149</v>
      </c>
      <c r="C667" s="13" t="s">
        <v>1150</v>
      </c>
      <c r="D667" s="13">
        <v>205.03</v>
      </c>
      <c r="E667" s="13">
        <v>7</v>
      </c>
      <c r="F667" s="13">
        <f t="shared" si="10"/>
        <v>29.29</v>
      </c>
    </row>
    <row r="668" spans="2:6">
      <c r="B668" s="13" t="s">
        <v>1151</v>
      </c>
      <c r="C668" s="13" t="s">
        <v>1152</v>
      </c>
      <c r="D668" s="13">
        <v>44.400000000000006</v>
      </c>
      <c r="E668" s="13">
        <v>2</v>
      </c>
      <c r="F668" s="13">
        <f t="shared" si="10"/>
        <v>22.200000000000003</v>
      </c>
    </row>
    <row r="669" spans="2:6">
      <c r="B669" s="13" t="s">
        <v>865</v>
      </c>
      <c r="C669" s="13" t="s">
        <v>869</v>
      </c>
      <c r="D669" s="13">
        <v>56.56</v>
      </c>
      <c r="E669" s="13">
        <v>2</v>
      </c>
      <c r="F669" s="13">
        <f t="shared" si="10"/>
        <v>28.28</v>
      </c>
    </row>
    <row r="670" spans="2:6">
      <c r="B670" s="13" t="s">
        <v>1153</v>
      </c>
      <c r="C670" s="13" t="s">
        <v>1155</v>
      </c>
      <c r="D670" s="13">
        <v>5.56</v>
      </c>
      <c r="E670" s="13">
        <v>2</v>
      </c>
      <c r="F670" s="13">
        <f t="shared" si="10"/>
        <v>2.78</v>
      </c>
    </row>
    <row r="671" spans="2:6">
      <c r="B671" s="13" t="s">
        <v>290</v>
      </c>
      <c r="C671" s="13" t="s">
        <v>293</v>
      </c>
      <c r="D671" s="13">
        <v>9.02</v>
      </c>
      <c r="E671" s="13">
        <v>2</v>
      </c>
      <c r="F671" s="13">
        <f t="shared" si="10"/>
        <v>4.51</v>
      </c>
    </row>
    <row r="672" spans="2:6">
      <c r="B672" s="13" t="s">
        <v>1154</v>
      </c>
      <c r="C672" s="13" t="s">
        <v>1156</v>
      </c>
      <c r="D672" s="13">
        <v>8.6199999999999992</v>
      </c>
      <c r="E672" s="13">
        <v>1</v>
      </c>
      <c r="F672" s="13">
        <f t="shared" si="10"/>
        <v>8.6199999999999992</v>
      </c>
    </row>
    <row r="673" spans="2:6">
      <c r="B673" s="13" t="s">
        <v>1007</v>
      </c>
      <c r="C673" s="13" t="s">
        <v>1010</v>
      </c>
      <c r="D673" s="13">
        <v>659.97600000000011</v>
      </c>
      <c r="E673" s="13">
        <v>3</v>
      </c>
      <c r="F673" s="13">
        <f t="shared" si="10"/>
        <v>219.99200000000005</v>
      </c>
    </row>
    <row r="674" spans="2:6">
      <c r="B674" s="13" t="s">
        <v>231</v>
      </c>
      <c r="C674" s="13" t="s">
        <v>236</v>
      </c>
      <c r="D674" s="13">
        <v>1212.96</v>
      </c>
      <c r="E674" s="13">
        <v>7</v>
      </c>
      <c r="F674" s="13">
        <f t="shared" si="10"/>
        <v>173.28</v>
      </c>
    </row>
    <row r="675" spans="2:6">
      <c r="B675" s="13" t="s">
        <v>1157</v>
      </c>
      <c r="C675" s="13" t="s">
        <v>1158</v>
      </c>
      <c r="D675" s="13">
        <v>18.54</v>
      </c>
      <c r="E675" s="13">
        <v>2</v>
      </c>
      <c r="F675" s="13">
        <f t="shared" si="10"/>
        <v>9.27</v>
      </c>
    </row>
    <row r="676" spans="2:6">
      <c r="B676" s="13" t="s">
        <v>390</v>
      </c>
      <c r="C676" s="13" t="s">
        <v>391</v>
      </c>
      <c r="D676" s="13">
        <v>359.96999999999997</v>
      </c>
      <c r="E676" s="13">
        <v>3</v>
      </c>
      <c r="F676" s="13">
        <f t="shared" si="10"/>
        <v>119.99</v>
      </c>
    </row>
    <row r="677" spans="2:6">
      <c r="B677" s="13" t="s">
        <v>1159</v>
      </c>
      <c r="C677" s="13" t="s">
        <v>1162</v>
      </c>
      <c r="D677" s="13">
        <v>7.9680000000000009</v>
      </c>
      <c r="E677" s="13">
        <v>2</v>
      </c>
      <c r="F677" s="13">
        <f t="shared" si="10"/>
        <v>3.9840000000000004</v>
      </c>
    </row>
    <row r="678" spans="2:6">
      <c r="B678" s="13" t="s">
        <v>1160</v>
      </c>
      <c r="C678" s="13" t="s">
        <v>1163</v>
      </c>
      <c r="D678" s="13">
        <v>12.96</v>
      </c>
      <c r="E678" s="13">
        <v>2</v>
      </c>
      <c r="F678" s="13">
        <f t="shared" si="10"/>
        <v>6.48</v>
      </c>
    </row>
    <row r="679" spans="2:6">
      <c r="B679" s="13" t="s">
        <v>1161</v>
      </c>
      <c r="C679" s="13" t="s">
        <v>1164</v>
      </c>
      <c r="D679" s="13">
        <v>6.48</v>
      </c>
      <c r="E679" s="13">
        <v>1</v>
      </c>
      <c r="F679" s="13">
        <f t="shared" si="10"/>
        <v>6.48</v>
      </c>
    </row>
    <row r="680" spans="2:6">
      <c r="B680" s="13" t="s">
        <v>409</v>
      </c>
      <c r="C680" s="13" t="s">
        <v>415</v>
      </c>
      <c r="D680" s="13">
        <v>6.9840000000000009</v>
      </c>
      <c r="E680" s="13">
        <v>1</v>
      </c>
      <c r="F680" s="13">
        <f t="shared" si="10"/>
        <v>6.9840000000000009</v>
      </c>
    </row>
    <row r="681" spans="2:6">
      <c r="B681" s="13" t="s">
        <v>209</v>
      </c>
      <c r="C681" s="13" t="s">
        <v>222</v>
      </c>
      <c r="D681" s="13">
        <v>47.96</v>
      </c>
      <c r="E681" s="13">
        <v>5</v>
      </c>
      <c r="F681" s="13">
        <f t="shared" si="10"/>
        <v>9.5920000000000005</v>
      </c>
    </row>
    <row r="682" spans="2:6">
      <c r="B682" s="13" t="s">
        <v>1165</v>
      </c>
      <c r="C682" s="13" t="s">
        <v>1167</v>
      </c>
      <c r="D682" s="13">
        <v>97.567999999999998</v>
      </c>
      <c r="E682" s="13">
        <v>2</v>
      </c>
      <c r="F682" s="13">
        <f t="shared" si="10"/>
        <v>48.783999999999999</v>
      </c>
    </row>
    <row r="683" spans="2:6">
      <c r="B683" s="13" t="s">
        <v>770</v>
      </c>
      <c r="C683" s="13" t="s">
        <v>773</v>
      </c>
      <c r="D683" s="13">
        <v>614.27200000000005</v>
      </c>
      <c r="E683" s="13">
        <v>8</v>
      </c>
      <c r="F683" s="13">
        <f t="shared" si="10"/>
        <v>76.784000000000006</v>
      </c>
    </row>
    <row r="684" spans="2:6">
      <c r="B684" s="13" t="s">
        <v>1166</v>
      </c>
      <c r="C684" s="13" t="s">
        <v>1168</v>
      </c>
      <c r="D684" s="13">
        <v>199.98</v>
      </c>
      <c r="E684" s="13">
        <v>2</v>
      </c>
      <c r="F684" s="13">
        <f t="shared" si="10"/>
        <v>99.99</v>
      </c>
    </row>
    <row r="685" spans="2:6">
      <c r="B685" s="13" t="s">
        <v>1169</v>
      </c>
      <c r="C685" s="13" t="s">
        <v>1173</v>
      </c>
      <c r="D685" s="13">
        <v>35.04</v>
      </c>
      <c r="E685" s="13">
        <v>2</v>
      </c>
      <c r="F685" s="13">
        <f t="shared" si="10"/>
        <v>17.52</v>
      </c>
    </row>
    <row r="686" spans="2:6">
      <c r="B686" s="13" t="s">
        <v>1170</v>
      </c>
      <c r="C686" s="13" t="s">
        <v>1174</v>
      </c>
      <c r="D686" s="13">
        <v>17.480000000000004</v>
      </c>
      <c r="E686" s="13">
        <v>5</v>
      </c>
      <c r="F686" s="13">
        <f t="shared" si="10"/>
        <v>3.4960000000000009</v>
      </c>
    </row>
    <row r="687" spans="2:6">
      <c r="B687" s="13" t="s">
        <v>1171</v>
      </c>
      <c r="C687" s="13" t="s">
        <v>1175</v>
      </c>
      <c r="D687" s="13">
        <v>16.399999999999999</v>
      </c>
      <c r="E687" s="13">
        <v>5</v>
      </c>
      <c r="F687" s="13">
        <f t="shared" si="10"/>
        <v>3.28</v>
      </c>
    </row>
    <row r="688" spans="2:6">
      <c r="B688" s="13" t="s">
        <v>1172</v>
      </c>
      <c r="C688" s="13" t="s">
        <v>1176</v>
      </c>
      <c r="D688" s="13">
        <v>892.98</v>
      </c>
      <c r="E688" s="13">
        <v>2</v>
      </c>
      <c r="F688" s="13">
        <f t="shared" si="10"/>
        <v>446.49</v>
      </c>
    </row>
    <row r="689" spans="2:6">
      <c r="B689" s="13" t="s">
        <v>1131</v>
      </c>
      <c r="C689" s="13" t="s">
        <v>1133</v>
      </c>
      <c r="D689" s="13">
        <v>181.95</v>
      </c>
      <c r="E689" s="13">
        <v>3</v>
      </c>
      <c r="F689" s="13">
        <f t="shared" si="10"/>
        <v>60.65</v>
      </c>
    </row>
    <row r="690" spans="2:6">
      <c r="B690" s="13" t="s">
        <v>175</v>
      </c>
      <c r="C690" s="13" t="s">
        <v>180</v>
      </c>
      <c r="D690" s="13">
        <v>723.92</v>
      </c>
      <c r="E690" s="13">
        <v>4</v>
      </c>
      <c r="F690" s="13">
        <f t="shared" si="10"/>
        <v>180.98</v>
      </c>
    </row>
    <row r="691" spans="2:6">
      <c r="B691" s="13" t="s">
        <v>365</v>
      </c>
      <c r="C691" s="13" t="s">
        <v>46</v>
      </c>
      <c r="D691" s="13">
        <v>106.32</v>
      </c>
      <c r="E691" s="13">
        <v>3</v>
      </c>
      <c r="F691" s="13">
        <f t="shared" si="10"/>
        <v>35.44</v>
      </c>
    </row>
    <row r="692" spans="2:6">
      <c r="B692" s="13" t="s">
        <v>1177</v>
      </c>
      <c r="C692" s="13" t="s">
        <v>1185</v>
      </c>
      <c r="D692" s="13">
        <v>390.75</v>
      </c>
      <c r="E692" s="13">
        <v>5</v>
      </c>
      <c r="F692" s="13">
        <f t="shared" si="10"/>
        <v>78.150000000000006</v>
      </c>
    </row>
    <row r="693" spans="2:6">
      <c r="B693" s="13" t="s">
        <v>1178</v>
      </c>
      <c r="C693" s="13" t="s">
        <v>1186</v>
      </c>
      <c r="D693" s="13">
        <v>280.79200000000003</v>
      </c>
      <c r="E693" s="13">
        <v>1</v>
      </c>
      <c r="F693" s="13">
        <f t="shared" si="10"/>
        <v>280.79200000000003</v>
      </c>
    </row>
    <row r="694" spans="2:6">
      <c r="B694" s="13" t="s">
        <v>1179</v>
      </c>
      <c r="C694" s="13" t="s">
        <v>1187</v>
      </c>
      <c r="D694" s="13">
        <v>68.448000000000008</v>
      </c>
      <c r="E694" s="13">
        <v>4</v>
      </c>
      <c r="F694" s="13">
        <f t="shared" si="10"/>
        <v>17.112000000000002</v>
      </c>
    </row>
    <row r="695" spans="2:6">
      <c r="B695" s="13" t="s">
        <v>732</v>
      </c>
      <c r="C695" s="13" t="s">
        <v>740</v>
      </c>
      <c r="D695" s="13">
        <v>88.04</v>
      </c>
      <c r="E695" s="13">
        <v>5</v>
      </c>
      <c r="F695" s="13">
        <f t="shared" si="10"/>
        <v>17.608000000000001</v>
      </c>
    </row>
    <row r="696" spans="2:6">
      <c r="B696" s="13" t="s">
        <v>1180</v>
      </c>
      <c r="C696" s="13" t="s">
        <v>1188</v>
      </c>
      <c r="D696" s="13">
        <v>15.872</v>
      </c>
      <c r="E696" s="13">
        <v>1</v>
      </c>
      <c r="F696" s="13">
        <f t="shared" si="10"/>
        <v>15.872</v>
      </c>
    </row>
    <row r="697" spans="2:6">
      <c r="B697" s="13" t="s">
        <v>1181</v>
      </c>
      <c r="C697" s="13" t="s">
        <v>1189</v>
      </c>
      <c r="D697" s="13">
        <v>215.59200000000001</v>
      </c>
      <c r="E697" s="13">
        <v>3</v>
      </c>
      <c r="F697" s="13">
        <f t="shared" si="10"/>
        <v>71.864000000000004</v>
      </c>
    </row>
    <row r="698" spans="2:6">
      <c r="B698" s="13" t="s">
        <v>1182</v>
      </c>
      <c r="C698" s="13" t="s">
        <v>1190</v>
      </c>
      <c r="D698" s="13">
        <v>14.62</v>
      </c>
      <c r="E698" s="13">
        <v>2</v>
      </c>
      <c r="F698" s="13">
        <f t="shared" si="10"/>
        <v>7.31</v>
      </c>
    </row>
    <row r="699" spans="2:6">
      <c r="B699" s="13" t="s">
        <v>1183</v>
      </c>
      <c r="C699" s="13" t="s">
        <v>1191</v>
      </c>
      <c r="D699" s="13">
        <v>416.32</v>
      </c>
      <c r="E699" s="13">
        <v>2</v>
      </c>
      <c r="F699" s="13">
        <f t="shared" si="10"/>
        <v>208.16</v>
      </c>
    </row>
    <row r="700" spans="2:6">
      <c r="B700" s="13" t="s">
        <v>285</v>
      </c>
      <c r="C700" s="13" t="s">
        <v>287</v>
      </c>
      <c r="D700" s="13">
        <v>43</v>
      </c>
      <c r="E700" s="13">
        <v>5</v>
      </c>
      <c r="F700" s="13">
        <f t="shared" si="10"/>
        <v>8.6</v>
      </c>
    </row>
    <row r="701" spans="2:6">
      <c r="B701" s="13" t="s">
        <v>1165</v>
      </c>
      <c r="C701" s="13" t="s">
        <v>1167</v>
      </c>
      <c r="D701" s="13">
        <v>182.94</v>
      </c>
      <c r="E701" s="13">
        <v>3</v>
      </c>
      <c r="F701" s="13">
        <f t="shared" si="10"/>
        <v>60.98</v>
      </c>
    </row>
    <row r="702" spans="2:6">
      <c r="B702" s="13" t="s">
        <v>875</v>
      </c>
      <c r="C702" s="13" t="s">
        <v>879</v>
      </c>
      <c r="D702" s="13">
        <v>60.83</v>
      </c>
      <c r="E702" s="13">
        <v>7</v>
      </c>
      <c r="F702" s="13">
        <f t="shared" si="10"/>
        <v>8.69</v>
      </c>
    </row>
    <row r="703" spans="2:6">
      <c r="B703" s="13" t="s">
        <v>1184</v>
      </c>
      <c r="C703" s="13" t="s">
        <v>1192</v>
      </c>
      <c r="D703" s="13">
        <v>389.97</v>
      </c>
      <c r="E703" s="13">
        <v>3</v>
      </c>
      <c r="F703" s="13">
        <f t="shared" si="10"/>
        <v>129.99</v>
      </c>
    </row>
    <row r="704" spans="2:6">
      <c r="B704" s="13" t="s">
        <v>1193</v>
      </c>
      <c r="C704" s="13" t="s">
        <v>1194</v>
      </c>
      <c r="D704" s="13">
        <v>265.93</v>
      </c>
      <c r="E704" s="13">
        <v>7</v>
      </c>
      <c r="F704" s="13">
        <f t="shared" si="10"/>
        <v>37.99</v>
      </c>
    </row>
    <row r="705" spans="2:6">
      <c r="B705" s="13" t="s">
        <v>1195</v>
      </c>
      <c r="C705" s="13" t="s">
        <v>1196</v>
      </c>
      <c r="D705" s="13">
        <v>14.352000000000002</v>
      </c>
      <c r="E705" s="13">
        <v>3</v>
      </c>
      <c r="F705" s="13">
        <f t="shared" si="10"/>
        <v>4.7840000000000007</v>
      </c>
    </row>
    <row r="706" spans="2:6">
      <c r="B706" s="13" t="s">
        <v>1005</v>
      </c>
      <c r="C706" s="13" t="s">
        <v>1008</v>
      </c>
      <c r="D706" s="13">
        <v>277.39999999999998</v>
      </c>
      <c r="E706" s="13">
        <v>5</v>
      </c>
      <c r="F706" s="13">
        <f t="shared" si="10"/>
        <v>55.48</v>
      </c>
    </row>
    <row r="707" spans="2:6">
      <c r="B707" s="13" t="s">
        <v>526</v>
      </c>
      <c r="C707" s="13" t="s">
        <v>530</v>
      </c>
      <c r="D707" s="13">
        <v>5.78</v>
      </c>
      <c r="E707" s="13">
        <v>1</v>
      </c>
      <c r="F707" s="13">
        <f t="shared" si="10"/>
        <v>5.78</v>
      </c>
    </row>
    <row r="708" spans="2:6">
      <c r="B708" s="13" t="s">
        <v>92</v>
      </c>
      <c r="C708" s="13" t="s">
        <v>96</v>
      </c>
      <c r="D708" s="13">
        <v>10.86</v>
      </c>
      <c r="E708" s="13">
        <v>3</v>
      </c>
      <c r="F708" s="13">
        <f t="shared" ref="F708:F771" si="11">D708/E708</f>
        <v>3.6199999999999997</v>
      </c>
    </row>
    <row r="709" spans="2:6">
      <c r="B709" s="13" t="s">
        <v>1197</v>
      </c>
      <c r="C709" s="13" t="s">
        <v>1198</v>
      </c>
      <c r="D709" s="13">
        <v>426.78999999999996</v>
      </c>
      <c r="E709" s="13">
        <v>7</v>
      </c>
      <c r="F709" s="13">
        <f t="shared" si="11"/>
        <v>60.969999999999992</v>
      </c>
    </row>
    <row r="710" spans="2:6">
      <c r="B710" s="13" t="s">
        <v>1199</v>
      </c>
      <c r="C710" s="13" t="s">
        <v>1203</v>
      </c>
      <c r="D710" s="13">
        <v>9.0240000000000009</v>
      </c>
      <c r="E710" s="13">
        <v>6</v>
      </c>
      <c r="F710" s="13">
        <f t="shared" si="11"/>
        <v>1.5040000000000002</v>
      </c>
    </row>
    <row r="711" spans="2:6">
      <c r="B711" s="13" t="s">
        <v>1200</v>
      </c>
      <c r="C711" s="13" t="s">
        <v>1204</v>
      </c>
      <c r="D711" s="13">
        <v>69.456000000000003</v>
      </c>
      <c r="E711" s="13">
        <v>2</v>
      </c>
      <c r="F711" s="13">
        <f t="shared" si="11"/>
        <v>34.728000000000002</v>
      </c>
    </row>
    <row r="712" spans="2:6">
      <c r="B712" s="13" t="s">
        <v>200</v>
      </c>
      <c r="C712" s="13" t="s">
        <v>213</v>
      </c>
      <c r="D712" s="13">
        <v>10.86</v>
      </c>
      <c r="E712" s="13">
        <v>2</v>
      </c>
      <c r="F712" s="13">
        <f t="shared" si="11"/>
        <v>5.43</v>
      </c>
    </row>
    <row r="713" spans="2:6">
      <c r="B713" s="13" t="s">
        <v>1201</v>
      </c>
      <c r="C713" s="13" t="s">
        <v>1205</v>
      </c>
      <c r="D713" s="13">
        <v>79.47</v>
      </c>
      <c r="E713" s="13">
        <v>3</v>
      </c>
      <c r="F713" s="13">
        <f t="shared" si="11"/>
        <v>26.49</v>
      </c>
    </row>
    <row r="714" spans="2:6">
      <c r="B714" s="13" t="s">
        <v>1202</v>
      </c>
      <c r="C714" s="13" t="s">
        <v>1206</v>
      </c>
      <c r="D714" s="13">
        <v>10.08</v>
      </c>
      <c r="E714" s="13">
        <v>6</v>
      </c>
      <c r="F714" s="13">
        <f t="shared" si="11"/>
        <v>1.68</v>
      </c>
    </row>
    <row r="715" spans="2:6">
      <c r="B715" s="13" t="s">
        <v>1207</v>
      </c>
      <c r="C715" s="13" t="s">
        <v>1208</v>
      </c>
      <c r="D715" s="13">
        <v>13.710000000000003</v>
      </c>
      <c r="E715" s="13">
        <v>5</v>
      </c>
      <c r="F715" s="13">
        <f t="shared" si="11"/>
        <v>2.7420000000000004</v>
      </c>
    </row>
    <row r="716" spans="2:6">
      <c r="B716" s="13" t="s">
        <v>1209</v>
      </c>
      <c r="C716" s="13" t="s">
        <v>1210</v>
      </c>
      <c r="D716" s="13">
        <v>23.12</v>
      </c>
      <c r="E716" s="13">
        <v>4</v>
      </c>
      <c r="F716" s="13">
        <f t="shared" si="11"/>
        <v>5.78</v>
      </c>
    </row>
    <row r="717" spans="2:6">
      <c r="B717" s="13" t="s">
        <v>1211</v>
      </c>
      <c r="C717" s="13" t="s">
        <v>1212</v>
      </c>
      <c r="D717" s="13">
        <v>252</v>
      </c>
      <c r="E717" s="13">
        <v>4</v>
      </c>
      <c r="F717" s="13">
        <f t="shared" si="11"/>
        <v>63</v>
      </c>
    </row>
    <row r="718" spans="2:6">
      <c r="B718" s="13" t="s">
        <v>1213</v>
      </c>
      <c r="C718" s="13" t="s">
        <v>1214</v>
      </c>
      <c r="D718" s="13">
        <v>5.67</v>
      </c>
      <c r="E718" s="13">
        <v>3</v>
      </c>
      <c r="F718" s="13">
        <f t="shared" si="11"/>
        <v>1.89</v>
      </c>
    </row>
    <row r="719" spans="2:6">
      <c r="B719" s="13" t="s">
        <v>1215</v>
      </c>
      <c r="C719" s="13" t="s">
        <v>1219</v>
      </c>
      <c r="D719" s="13">
        <v>176.04</v>
      </c>
      <c r="E719" s="13">
        <v>4</v>
      </c>
      <c r="F719" s="13">
        <f t="shared" si="11"/>
        <v>44.01</v>
      </c>
    </row>
    <row r="720" spans="2:6">
      <c r="B720" s="13" t="s">
        <v>1216</v>
      </c>
      <c r="C720" s="13" t="s">
        <v>597</v>
      </c>
      <c r="D720" s="13">
        <v>16.02</v>
      </c>
      <c r="E720" s="13">
        <v>9</v>
      </c>
      <c r="F720" s="13">
        <f t="shared" si="11"/>
        <v>1.78</v>
      </c>
    </row>
    <row r="721" spans="2:6">
      <c r="B721" s="13" t="s">
        <v>696</v>
      </c>
      <c r="C721" s="13" t="s">
        <v>699</v>
      </c>
      <c r="D721" s="13">
        <v>185.92000000000002</v>
      </c>
      <c r="E721" s="13">
        <v>4</v>
      </c>
      <c r="F721" s="13">
        <f t="shared" si="11"/>
        <v>46.480000000000004</v>
      </c>
    </row>
    <row r="722" spans="2:6">
      <c r="B722" s="13" t="s">
        <v>1217</v>
      </c>
      <c r="C722" s="13" t="s">
        <v>1220</v>
      </c>
      <c r="D722" s="13">
        <v>211.16800000000001</v>
      </c>
      <c r="E722" s="13">
        <v>4</v>
      </c>
      <c r="F722" s="13">
        <f t="shared" si="11"/>
        <v>52.792000000000002</v>
      </c>
    </row>
    <row r="723" spans="2:6">
      <c r="B723" s="13" t="s">
        <v>1218</v>
      </c>
      <c r="C723" s="13" t="s">
        <v>1221</v>
      </c>
      <c r="D723" s="13">
        <v>479.98400000000004</v>
      </c>
      <c r="E723" s="13">
        <v>2</v>
      </c>
      <c r="F723" s="13">
        <f t="shared" si="11"/>
        <v>239.99200000000002</v>
      </c>
    </row>
    <row r="724" spans="2:6">
      <c r="B724" s="13" t="s">
        <v>561</v>
      </c>
      <c r="C724" s="13" t="s">
        <v>566</v>
      </c>
      <c r="D724" s="13">
        <v>5.76</v>
      </c>
      <c r="E724" s="13">
        <v>2</v>
      </c>
      <c r="F724" s="13">
        <f t="shared" si="11"/>
        <v>2.88</v>
      </c>
    </row>
    <row r="725" spans="2:6">
      <c r="B725" s="13" t="s">
        <v>1222</v>
      </c>
      <c r="C725" s="13" t="s">
        <v>1225</v>
      </c>
      <c r="D725" s="13">
        <v>16.68</v>
      </c>
      <c r="E725" s="13">
        <v>6</v>
      </c>
      <c r="F725" s="13">
        <f t="shared" si="11"/>
        <v>2.78</v>
      </c>
    </row>
    <row r="726" spans="2:6">
      <c r="B726" s="13" t="s">
        <v>1181</v>
      </c>
      <c r="C726" s="13" t="s">
        <v>1189</v>
      </c>
      <c r="D726" s="13">
        <v>628.80999999999995</v>
      </c>
      <c r="E726" s="13">
        <v>7</v>
      </c>
      <c r="F726" s="13">
        <f t="shared" si="11"/>
        <v>89.83</v>
      </c>
    </row>
    <row r="727" spans="2:6">
      <c r="B727" s="13" t="s">
        <v>1223</v>
      </c>
      <c r="C727" s="13" t="s">
        <v>1226</v>
      </c>
      <c r="D727" s="13">
        <v>56.449999999999996</v>
      </c>
      <c r="E727" s="13">
        <v>5</v>
      </c>
      <c r="F727" s="13">
        <f t="shared" si="11"/>
        <v>11.29</v>
      </c>
    </row>
    <row r="728" spans="2:6">
      <c r="B728" s="13" t="s">
        <v>1103</v>
      </c>
      <c r="C728" s="13" t="s">
        <v>1104</v>
      </c>
      <c r="D728" s="13">
        <v>94.199999999999989</v>
      </c>
      <c r="E728" s="13">
        <v>6</v>
      </c>
      <c r="F728" s="13">
        <f t="shared" si="11"/>
        <v>15.699999999999998</v>
      </c>
    </row>
    <row r="729" spans="2:6">
      <c r="B729" s="13" t="s">
        <v>1224</v>
      </c>
      <c r="C729" s="13" t="s">
        <v>978</v>
      </c>
      <c r="D729" s="13">
        <v>28.4</v>
      </c>
      <c r="E729" s="13">
        <v>5</v>
      </c>
      <c r="F729" s="13">
        <f t="shared" si="11"/>
        <v>5.68</v>
      </c>
    </row>
    <row r="730" spans="2:6">
      <c r="B730" s="13" t="s">
        <v>1227</v>
      </c>
      <c r="C730" s="13" t="s">
        <v>1232</v>
      </c>
      <c r="D730" s="13">
        <v>1115.9099999999999</v>
      </c>
      <c r="E730" s="13">
        <v>9</v>
      </c>
      <c r="F730" s="13">
        <f t="shared" si="11"/>
        <v>123.98999999999998</v>
      </c>
    </row>
    <row r="731" spans="2:6">
      <c r="B731" s="13" t="s">
        <v>568</v>
      </c>
      <c r="C731" s="13" t="s">
        <v>571</v>
      </c>
      <c r="D731" s="13">
        <v>128.744</v>
      </c>
      <c r="E731" s="13">
        <v>7</v>
      </c>
      <c r="F731" s="13">
        <f t="shared" si="11"/>
        <v>18.391999999999999</v>
      </c>
    </row>
    <row r="732" spans="2:6">
      <c r="B732" s="13" t="s">
        <v>1228</v>
      </c>
      <c r="C732" s="13" t="s">
        <v>1233</v>
      </c>
      <c r="D732" s="13">
        <v>79.920000000000016</v>
      </c>
      <c r="E732" s="13">
        <v>10</v>
      </c>
      <c r="F732" s="13">
        <f t="shared" si="11"/>
        <v>7.9920000000000018</v>
      </c>
    </row>
    <row r="733" spans="2:6">
      <c r="B733" s="13" t="s">
        <v>1229</v>
      </c>
      <c r="C733" s="13" t="s">
        <v>597</v>
      </c>
      <c r="D733" s="13">
        <v>24.2</v>
      </c>
      <c r="E733" s="13">
        <v>5</v>
      </c>
      <c r="F733" s="13">
        <f t="shared" si="11"/>
        <v>4.84</v>
      </c>
    </row>
    <row r="734" spans="2:6">
      <c r="B734" s="13" t="s">
        <v>1230</v>
      </c>
      <c r="C734" s="13" t="s">
        <v>1234</v>
      </c>
      <c r="D734" s="13">
        <v>359.97600000000006</v>
      </c>
      <c r="E734" s="13">
        <v>3</v>
      </c>
      <c r="F734" s="13">
        <f t="shared" si="11"/>
        <v>119.99200000000002</v>
      </c>
    </row>
    <row r="735" spans="2:6">
      <c r="B735" s="13" t="s">
        <v>1231</v>
      </c>
      <c r="C735" s="13" t="s">
        <v>1235</v>
      </c>
      <c r="D735" s="13">
        <v>211.84</v>
      </c>
      <c r="E735" s="13">
        <v>8</v>
      </c>
      <c r="F735" s="13">
        <f t="shared" si="11"/>
        <v>26.48</v>
      </c>
    </row>
    <row r="736" spans="2:6">
      <c r="B736" s="13" t="s">
        <v>1028</v>
      </c>
      <c r="C736" s="13" t="s">
        <v>1049</v>
      </c>
      <c r="D736" s="13">
        <v>595</v>
      </c>
      <c r="E736" s="13">
        <v>5</v>
      </c>
      <c r="F736" s="13">
        <f t="shared" si="11"/>
        <v>119</v>
      </c>
    </row>
    <row r="737" spans="2:6">
      <c r="B737" s="13" t="s">
        <v>1236</v>
      </c>
      <c r="C737" s="13" t="s">
        <v>1237</v>
      </c>
      <c r="D737" s="13">
        <v>79.872000000000014</v>
      </c>
      <c r="E737" s="13">
        <v>3</v>
      </c>
      <c r="F737" s="13">
        <f t="shared" si="11"/>
        <v>26.624000000000006</v>
      </c>
    </row>
    <row r="738" spans="2:6">
      <c r="B738" s="13" t="s">
        <v>1238</v>
      </c>
      <c r="C738" s="13" t="s">
        <v>1240</v>
      </c>
      <c r="D738" s="13">
        <v>63.56</v>
      </c>
      <c r="E738" s="13">
        <v>2</v>
      </c>
      <c r="F738" s="13">
        <f t="shared" si="11"/>
        <v>31.78</v>
      </c>
    </row>
    <row r="739" spans="2:6">
      <c r="B739" s="13" t="s">
        <v>1239</v>
      </c>
      <c r="C739" s="13" t="s">
        <v>1241</v>
      </c>
      <c r="D739" s="13">
        <v>99.99</v>
      </c>
      <c r="E739" s="13">
        <v>1</v>
      </c>
      <c r="F739" s="13">
        <f t="shared" si="11"/>
        <v>99.99</v>
      </c>
    </row>
    <row r="740" spans="2:6">
      <c r="B740" s="13" t="s">
        <v>1242</v>
      </c>
      <c r="C740" s="13" t="s">
        <v>1245</v>
      </c>
      <c r="D740" s="13">
        <v>158.928</v>
      </c>
      <c r="E740" s="13">
        <v>7</v>
      </c>
      <c r="F740" s="13">
        <f t="shared" si="11"/>
        <v>22.704000000000001</v>
      </c>
    </row>
    <row r="741" spans="2:6">
      <c r="B741" s="13" t="s">
        <v>1200</v>
      </c>
      <c r="C741" s="13" t="s">
        <v>1204</v>
      </c>
      <c r="D741" s="13">
        <v>13.023000000000001</v>
      </c>
      <c r="E741" s="13">
        <v>1</v>
      </c>
      <c r="F741" s="13">
        <f t="shared" si="11"/>
        <v>13.023000000000001</v>
      </c>
    </row>
    <row r="742" spans="2:6">
      <c r="B742" s="13" t="s">
        <v>1243</v>
      </c>
      <c r="C742" s="13" t="s">
        <v>1246</v>
      </c>
      <c r="D742" s="13">
        <v>273.06</v>
      </c>
      <c r="E742" s="13">
        <v>2</v>
      </c>
      <c r="F742" s="13">
        <f t="shared" si="11"/>
        <v>136.53</v>
      </c>
    </row>
    <row r="743" spans="2:6">
      <c r="B743" s="13" t="s">
        <v>1244</v>
      </c>
      <c r="C743" s="13" t="s">
        <v>90</v>
      </c>
      <c r="D743" s="13">
        <v>39.311999999999998</v>
      </c>
      <c r="E743" s="13">
        <v>13</v>
      </c>
      <c r="F743" s="13">
        <f t="shared" si="11"/>
        <v>3.024</v>
      </c>
    </row>
    <row r="744" spans="2:6">
      <c r="B744" s="13" t="s">
        <v>1247</v>
      </c>
      <c r="C744" s="13" t="s">
        <v>1249</v>
      </c>
      <c r="D744" s="13">
        <v>58.48</v>
      </c>
      <c r="E744" s="13">
        <v>8</v>
      </c>
      <c r="F744" s="13">
        <f t="shared" si="11"/>
        <v>7.31</v>
      </c>
    </row>
    <row r="745" spans="2:6">
      <c r="B745" s="13" t="s">
        <v>1248</v>
      </c>
      <c r="C745" s="13" t="s">
        <v>1250</v>
      </c>
      <c r="D745" s="13">
        <v>7.4</v>
      </c>
      <c r="E745" s="13">
        <v>2</v>
      </c>
      <c r="F745" s="13">
        <f t="shared" si="11"/>
        <v>3.7</v>
      </c>
    </row>
    <row r="746" spans="2:6">
      <c r="B746" s="13" t="s">
        <v>1116</v>
      </c>
      <c r="C746" s="13" t="s">
        <v>1118</v>
      </c>
      <c r="D746" s="13">
        <v>54.367999999999995</v>
      </c>
      <c r="E746" s="13">
        <v>4</v>
      </c>
      <c r="F746" s="13">
        <f t="shared" si="11"/>
        <v>13.591999999999999</v>
      </c>
    </row>
    <row r="747" spans="2:6">
      <c r="B747" s="13" t="s">
        <v>1131</v>
      </c>
      <c r="C747" s="13" t="s">
        <v>1133</v>
      </c>
      <c r="D747" s="13">
        <v>545.85</v>
      </c>
      <c r="E747" s="13">
        <v>9</v>
      </c>
      <c r="F747" s="13">
        <f t="shared" si="11"/>
        <v>60.650000000000006</v>
      </c>
    </row>
    <row r="748" spans="2:6">
      <c r="B748" s="13" t="s">
        <v>435</v>
      </c>
      <c r="C748" s="13" t="s">
        <v>441</v>
      </c>
      <c r="D748" s="13">
        <v>7.9040000000000008</v>
      </c>
      <c r="E748" s="13">
        <v>2</v>
      </c>
      <c r="F748" s="13">
        <f t="shared" si="11"/>
        <v>3.9520000000000004</v>
      </c>
    </row>
    <row r="749" spans="2:6">
      <c r="B749" s="13" t="s">
        <v>1251</v>
      </c>
      <c r="C749" s="13" t="s">
        <v>1256</v>
      </c>
      <c r="D749" s="13">
        <v>18.75</v>
      </c>
      <c r="E749" s="13">
        <v>5</v>
      </c>
      <c r="F749" s="13">
        <f t="shared" si="11"/>
        <v>3.75</v>
      </c>
    </row>
    <row r="750" spans="2:6">
      <c r="B750" s="13" t="s">
        <v>678</v>
      </c>
      <c r="C750" s="13" t="s">
        <v>682</v>
      </c>
      <c r="D750" s="13">
        <v>119.69999999999999</v>
      </c>
      <c r="E750" s="13">
        <v>6</v>
      </c>
      <c r="F750" s="13">
        <f t="shared" si="11"/>
        <v>19.95</v>
      </c>
    </row>
    <row r="751" spans="2:6">
      <c r="B751" s="13" t="s">
        <v>343</v>
      </c>
      <c r="C751" s="13" t="s">
        <v>346</v>
      </c>
      <c r="D751" s="13">
        <v>9.1440000000000001</v>
      </c>
      <c r="E751" s="13">
        <v>3</v>
      </c>
      <c r="F751" s="13">
        <f t="shared" si="11"/>
        <v>3.048</v>
      </c>
    </row>
    <row r="752" spans="2:6">
      <c r="B752" s="13" t="s">
        <v>260</v>
      </c>
      <c r="C752" s="13" t="s">
        <v>262</v>
      </c>
      <c r="D752" s="13">
        <v>57.06</v>
      </c>
      <c r="E752" s="13">
        <v>3</v>
      </c>
      <c r="F752" s="13">
        <f t="shared" si="11"/>
        <v>19.02</v>
      </c>
    </row>
    <row r="753" spans="2:6">
      <c r="B753" s="13" t="s">
        <v>1252</v>
      </c>
      <c r="C753" s="13" t="s">
        <v>1257</v>
      </c>
      <c r="D753" s="13">
        <v>71.599999999999994</v>
      </c>
      <c r="E753" s="13">
        <v>8</v>
      </c>
      <c r="F753" s="13">
        <f t="shared" si="11"/>
        <v>8.9499999999999993</v>
      </c>
    </row>
    <row r="754" spans="2:6">
      <c r="B754" s="13" t="s">
        <v>827</v>
      </c>
      <c r="C754" s="13" t="s">
        <v>828</v>
      </c>
      <c r="D754" s="13">
        <v>107.44</v>
      </c>
      <c r="E754" s="13">
        <v>8</v>
      </c>
      <c r="F754" s="13">
        <f t="shared" si="11"/>
        <v>13.43</v>
      </c>
    </row>
    <row r="755" spans="2:6">
      <c r="B755" s="13" t="s">
        <v>1182</v>
      </c>
      <c r="C755" s="13" t="s">
        <v>1190</v>
      </c>
      <c r="D755" s="13">
        <v>7.31</v>
      </c>
      <c r="E755" s="13">
        <v>1</v>
      </c>
      <c r="F755" s="13">
        <f t="shared" si="11"/>
        <v>7.31</v>
      </c>
    </row>
    <row r="756" spans="2:6">
      <c r="B756" s="13" t="s">
        <v>1253</v>
      </c>
      <c r="C756" s="13" t="s">
        <v>1258</v>
      </c>
      <c r="D756" s="13">
        <v>59.099999999999994</v>
      </c>
      <c r="E756" s="13">
        <v>6</v>
      </c>
      <c r="F756" s="13">
        <f t="shared" si="11"/>
        <v>9.85</v>
      </c>
    </row>
    <row r="757" spans="2:6">
      <c r="B757" s="13" t="s">
        <v>1254</v>
      </c>
      <c r="C757" s="13" t="s">
        <v>1259</v>
      </c>
      <c r="D757" s="13">
        <v>46.53</v>
      </c>
      <c r="E757" s="13">
        <v>3</v>
      </c>
      <c r="F757" s="13">
        <f t="shared" si="11"/>
        <v>15.51</v>
      </c>
    </row>
    <row r="758" spans="2:6">
      <c r="B758" s="13" t="s">
        <v>1255</v>
      </c>
      <c r="C758" s="13" t="s">
        <v>1260</v>
      </c>
      <c r="D758" s="13">
        <v>97.84</v>
      </c>
      <c r="E758" s="13">
        <v>2</v>
      </c>
      <c r="F758" s="13">
        <f t="shared" si="11"/>
        <v>48.92</v>
      </c>
    </row>
    <row r="759" spans="2:6">
      <c r="B759" s="13" t="s">
        <v>1261</v>
      </c>
      <c r="C759" s="13" t="s">
        <v>1267</v>
      </c>
      <c r="D759" s="13">
        <v>83.920000000000016</v>
      </c>
      <c r="E759" s="13">
        <v>5</v>
      </c>
      <c r="F759" s="13">
        <f t="shared" si="11"/>
        <v>16.784000000000002</v>
      </c>
    </row>
    <row r="760" spans="2:6">
      <c r="B760" s="13" t="s">
        <v>1207</v>
      </c>
      <c r="C760" s="13" t="s">
        <v>1208</v>
      </c>
      <c r="D760" s="13">
        <v>14.624000000000002</v>
      </c>
      <c r="E760" s="13">
        <v>2</v>
      </c>
      <c r="F760" s="13">
        <f t="shared" si="11"/>
        <v>7.3120000000000012</v>
      </c>
    </row>
    <row r="761" spans="2:6">
      <c r="B761" s="13" t="s">
        <v>1262</v>
      </c>
      <c r="C761" s="13" t="s">
        <v>1268</v>
      </c>
      <c r="D761" s="13">
        <v>136.99</v>
      </c>
      <c r="E761" s="13">
        <v>1</v>
      </c>
      <c r="F761" s="13">
        <f t="shared" si="11"/>
        <v>136.99</v>
      </c>
    </row>
    <row r="762" spans="2:6">
      <c r="B762" s="13" t="s">
        <v>1263</v>
      </c>
      <c r="C762" s="13" t="s">
        <v>1269</v>
      </c>
      <c r="D762" s="13">
        <v>3.15</v>
      </c>
      <c r="E762" s="13">
        <v>1</v>
      </c>
      <c r="F762" s="13">
        <f t="shared" si="11"/>
        <v>3.15</v>
      </c>
    </row>
    <row r="763" spans="2:6">
      <c r="B763" s="13" t="s">
        <v>1264</v>
      </c>
      <c r="C763" s="13" t="s">
        <v>1270</v>
      </c>
      <c r="D763" s="13">
        <v>9.11</v>
      </c>
      <c r="E763" s="13">
        <v>1</v>
      </c>
      <c r="F763" s="13">
        <f t="shared" si="11"/>
        <v>9.11</v>
      </c>
    </row>
    <row r="764" spans="2:6">
      <c r="B764" s="13" t="s">
        <v>857</v>
      </c>
      <c r="C764" s="13" t="s">
        <v>858</v>
      </c>
      <c r="D764" s="13">
        <v>571.44000000000005</v>
      </c>
      <c r="E764" s="13">
        <v>4</v>
      </c>
      <c r="F764" s="13">
        <f t="shared" si="11"/>
        <v>142.86000000000001</v>
      </c>
    </row>
    <row r="765" spans="2:6">
      <c r="B765" s="13" t="s">
        <v>1265</v>
      </c>
      <c r="C765" s="13" t="s">
        <v>1271</v>
      </c>
      <c r="D765" s="13">
        <v>32.400000000000006</v>
      </c>
      <c r="E765" s="13">
        <v>5</v>
      </c>
      <c r="F765" s="13">
        <f t="shared" si="11"/>
        <v>6.4800000000000013</v>
      </c>
    </row>
    <row r="766" spans="2:6">
      <c r="B766" s="13" t="s">
        <v>1266</v>
      </c>
      <c r="C766" s="13" t="s">
        <v>1272</v>
      </c>
      <c r="D766" s="13">
        <v>16.91</v>
      </c>
      <c r="E766" s="13">
        <v>1</v>
      </c>
      <c r="F766" s="13">
        <f t="shared" si="11"/>
        <v>16.91</v>
      </c>
    </row>
    <row r="767" spans="2:6">
      <c r="B767" s="13" t="s">
        <v>1273</v>
      </c>
      <c r="C767" s="13" t="s">
        <v>1274</v>
      </c>
      <c r="D767" s="13">
        <v>1322.3520000000001</v>
      </c>
      <c r="E767" s="13">
        <v>3</v>
      </c>
      <c r="F767" s="13">
        <f t="shared" si="11"/>
        <v>440.78400000000005</v>
      </c>
    </row>
    <row r="768" spans="2:6">
      <c r="B768" s="13" t="s">
        <v>1275</v>
      </c>
      <c r="C768" s="13" t="s">
        <v>1279</v>
      </c>
      <c r="D768" s="13">
        <v>11.184000000000001</v>
      </c>
      <c r="E768" s="13">
        <v>1</v>
      </c>
      <c r="F768" s="13">
        <f t="shared" si="11"/>
        <v>11.184000000000001</v>
      </c>
    </row>
    <row r="769" spans="2:6">
      <c r="B769" s="13" t="s">
        <v>59</v>
      </c>
      <c r="C769" s="13" t="s">
        <v>63</v>
      </c>
      <c r="D769" s="13">
        <v>153.584</v>
      </c>
      <c r="E769" s="13">
        <v>2</v>
      </c>
      <c r="F769" s="13">
        <f t="shared" si="11"/>
        <v>76.792000000000002</v>
      </c>
    </row>
    <row r="770" spans="2:6">
      <c r="B770" s="13" t="s">
        <v>562</v>
      </c>
      <c r="C770" s="13" t="s">
        <v>567</v>
      </c>
      <c r="D770" s="13">
        <v>1003.6200000000001</v>
      </c>
      <c r="E770" s="13">
        <v>6</v>
      </c>
      <c r="F770" s="13">
        <f t="shared" si="11"/>
        <v>167.27</v>
      </c>
    </row>
    <row r="771" spans="2:6">
      <c r="B771" s="13" t="s">
        <v>1276</v>
      </c>
      <c r="C771" s="13" t="s">
        <v>1280</v>
      </c>
      <c r="D771" s="13">
        <v>35.167999999999999</v>
      </c>
      <c r="E771" s="13">
        <v>4</v>
      </c>
      <c r="F771" s="13">
        <f t="shared" si="11"/>
        <v>8.7919999999999998</v>
      </c>
    </row>
    <row r="772" spans="2:6">
      <c r="B772" s="13" t="s">
        <v>1277</v>
      </c>
      <c r="C772" s="13" t="s">
        <v>1281</v>
      </c>
      <c r="D772" s="13">
        <v>1137.75</v>
      </c>
      <c r="E772" s="13">
        <v>5</v>
      </c>
      <c r="F772" s="13">
        <f t="shared" ref="F772:F835" si="12">D772/E772</f>
        <v>227.55</v>
      </c>
    </row>
    <row r="773" spans="2:6">
      <c r="B773" s="13" t="s">
        <v>1278</v>
      </c>
      <c r="C773" s="13" t="s">
        <v>1282</v>
      </c>
      <c r="D773" s="13">
        <v>99.680000000000021</v>
      </c>
      <c r="E773" s="13">
        <v>5</v>
      </c>
      <c r="F773" s="13">
        <f t="shared" si="12"/>
        <v>19.936000000000003</v>
      </c>
    </row>
    <row r="774" spans="2:6">
      <c r="B774" s="13" t="s">
        <v>1153</v>
      </c>
      <c r="C774" s="13" t="s">
        <v>1155</v>
      </c>
      <c r="D774" s="13">
        <v>5.56</v>
      </c>
      <c r="E774" s="13">
        <v>2</v>
      </c>
      <c r="F774" s="13">
        <f t="shared" si="12"/>
        <v>2.78</v>
      </c>
    </row>
    <row r="775" spans="2:6">
      <c r="B775" s="13" t="s">
        <v>1283</v>
      </c>
      <c r="C775" s="13" t="s">
        <v>1286</v>
      </c>
      <c r="D775" s="13">
        <v>37.608000000000004</v>
      </c>
      <c r="E775" s="13">
        <v>3</v>
      </c>
      <c r="F775" s="13">
        <f t="shared" si="12"/>
        <v>12.536000000000001</v>
      </c>
    </row>
    <row r="776" spans="2:6">
      <c r="B776" s="13" t="s">
        <v>1284</v>
      </c>
      <c r="C776" s="13" t="s">
        <v>1287</v>
      </c>
      <c r="D776" s="13">
        <v>12.224</v>
      </c>
      <c r="E776" s="13">
        <v>2</v>
      </c>
      <c r="F776" s="13">
        <f t="shared" si="12"/>
        <v>6.1120000000000001</v>
      </c>
    </row>
    <row r="777" spans="2:6">
      <c r="B777" s="13" t="s">
        <v>421</v>
      </c>
      <c r="C777" s="13" t="s">
        <v>425</v>
      </c>
      <c r="D777" s="13">
        <v>2.3039999999999994</v>
      </c>
      <c r="E777" s="13">
        <v>4</v>
      </c>
      <c r="F777" s="13">
        <f t="shared" si="12"/>
        <v>0.57599999999999985</v>
      </c>
    </row>
    <row r="778" spans="2:6">
      <c r="B778" s="13" t="s">
        <v>1285</v>
      </c>
      <c r="C778" s="13" t="s">
        <v>1288</v>
      </c>
      <c r="D778" s="13">
        <v>9.3599999999999977</v>
      </c>
      <c r="E778" s="13">
        <v>4</v>
      </c>
      <c r="F778" s="13">
        <f t="shared" si="12"/>
        <v>2.3399999999999994</v>
      </c>
    </row>
    <row r="779" spans="2:6">
      <c r="B779" s="13" t="s">
        <v>1289</v>
      </c>
      <c r="C779" s="13" t="s">
        <v>1290</v>
      </c>
      <c r="D779" s="13">
        <v>196.77600000000001</v>
      </c>
      <c r="E779" s="13">
        <v>3</v>
      </c>
      <c r="F779" s="13">
        <f t="shared" si="12"/>
        <v>65.591999999999999</v>
      </c>
    </row>
    <row r="780" spans="2:6">
      <c r="B780" s="13" t="s">
        <v>756</v>
      </c>
      <c r="C780" s="13" t="s">
        <v>758</v>
      </c>
      <c r="D780" s="13">
        <v>479.93999999999994</v>
      </c>
      <c r="E780" s="13">
        <v>6</v>
      </c>
      <c r="F780" s="13">
        <f t="shared" si="12"/>
        <v>79.989999999999995</v>
      </c>
    </row>
    <row r="781" spans="2:6">
      <c r="B781" s="13" t="s">
        <v>283</v>
      </c>
      <c r="C781" s="13" t="s">
        <v>284</v>
      </c>
      <c r="D781" s="13">
        <v>45.660000000000011</v>
      </c>
      <c r="E781" s="13">
        <v>5</v>
      </c>
      <c r="F781" s="13">
        <f t="shared" si="12"/>
        <v>9.1320000000000014</v>
      </c>
    </row>
    <row r="782" spans="2:6">
      <c r="B782" s="13" t="s">
        <v>1291</v>
      </c>
      <c r="C782" s="13" t="s">
        <v>1292</v>
      </c>
      <c r="D782" s="13">
        <v>129.93</v>
      </c>
      <c r="E782" s="13">
        <v>3</v>
      </c>
      <c r="F782" s="13">
        <f t="shared" si="12"/>
        <v>43.31</v>
      </c>
    </row>
    <row r="783" spans="2:6">
      <c r="B783" s="13" t="s">
        <v>268</v>
      </c>
      <c r="C783" s="13" t="s">
        <v>274</v>
      </c>
      <c r="D783" s="13">
        <v>1801.6320000000001</v>
      </c>
      <c r="E783" s="13">
        <v>6</v>
      </c>
      <c r="F783" s="13">
        <f t="shared" si="12"/>
        <v>300.27199999999999</v>
      </c>
    </row>
    <row r="784" spans="2:6">
      <c r="B784" s="13" t="s">
        <v>769</v>
      </c>
      <c r="C784" s="13" t="s">
        <v>772</v>
      </c>
      <c r="D784" s="13">
        <v>205.92</v>
      </c>
      <c r="E784" s="13">
        <v>4</v>
      </c>
      <c r="F784" s="13">
        <f t="shared" si="12"/>
        <v>51.48</v>
      </c>
    </row>
    <row r="785" spans="2:6">
      <c r="B785" s="13" t="s">
        <v>254</v>
      </c>
      <c r="C785" s="13" t="s">
        <v>257</v>
      </c>
      <c r="D785" s="13">
        <v>102.833</v>
      </c>
      <c r="E785" s="13">
        <v>1</v>
      </c>
      <c r="F785" s="13">
        <f t="shared" si="12"/>
        <v>102.833</v>
      </c>
    </row>
    <row r="786" spans="2:6">
      <c r="B786" s="13" t="s">
        <v>1293</v>
      </c>
      <c r="C786" s="13" t="s">
        <v>1295</v>
      </c>
      <c r="D786" s="13">
        <v>821.87999999999988</v>
      </c>
      <c r="E786" s="13">
        <v>6</v>
      </c>
      <c r="F786" s="13">
        <f t="shared" si="12"/>
        <v>136.97999999999999</v>
      </c>
    </row>
    <row r="787" spans="2:6">
      <c r="B787" s="13" t="s">
        <v>1294</v>
      </c>
      <c r="C787" s="13" t="s">
        <v>1296</v>
      </c>
      <c r="D787" s="13">
        <v>21.96</v>
      </c>
      <c r="E787" s="13">
        <v>2</v>
      </c>
      <c r="F787" s="13">
        <f t="shared" si="12"/>
        <v>10.98</v>
      </c>
    </row>
    <row r="788" spans="2:6">
      <c r="B788" s="13" t="s">
        <v>706</v>
      </c>
      <c r="C788" s="13" t="s">
        <v>707</v>
      </c>
      <c r="D788" s="13">
        <v>71</v>
      </c>
      <c r="E788" s="13">
        <v>4</v>
      </c>
      <c r="F788" s="13">
        <f t="shared" si="12"/>
        <v>17.75</v>
      </c>
    </row>
    <row r="789" spans="2:6">
      <c r="B789" s="13" t="s">
        <v>1297</v>
      </c>
      <c r="C789" s="13" t="s">
        <v>1300</v>
      </c>
      <c r="D789" s="13">
        <v>25.120000000000005</v>
      </c>
      <c r="E789" s="13">
        <v>5</v>
      </c>
      <c r="F789" s="13">
        <f t="shared" si="12"/>
        <v>5.0240000000000009</v>
      </c>
    </row>
    <row r="790" spans="2:6">
      <c r="B790" s="13" t="s">
        <v>1298</v>
      </c>
      <c r="C790" s="13" t="s">
        <v>1301</v>
      </c>
      <c r="D790" s="13">
        <v>2665.62</v>
      </c>
      <c r="E790" s="13">
        <v>9</v>
      </c>
      <c r="F790" s="13">
        <f t="shared" si="12"/>
        <v>296.18</v>
      </c>
    </row>
    <row r="791" spans="2:6">
      <c r="B791" s="13" t="s">
        <v>49</v>
      </c>
      <c r="C791" s="13" t="s">
        <v>50</v>
      </c>
      <c r="D791" s="13">
        <v>478.08</v>
      </c>
      <c r="E791" s="13">
        <v>8</v>
      </c>
      <c r="F791" s="13">
        <f t="shared" si="12"/>
        <v>59.76</v>
      </c>
    </row>
    <row r="792" spans="2:6">
      <c r="B792" s="13" t="s">
        <v>1262</v>
      </c>
      <c r="C792" s="13" t="s">
        <v>1268</v>
      </c>
      <c r="D792" s="13">
        <v>164.38800000000001</v>
      </c>
      <c r="E792" s="13">
        <v>2</v>
      </c>
      <c r="F792" s="13">
        <f t="shared" si="12"/>
        <v>82.194000000000003</v>
      </c>
    </row>
    <row r="793" spans="2:6">
      <c r="B793" s="13" t="s">
        <v>1299</v>
      </c>
      <c r="C793" s="13" t="s">
        <v>1302</v>
      </c>
      <c r="D793" s="13">
        <v>13.247999999999999</v>
      </c>
      <c r="E793" s="13">
        <v>4</v>
      </c>
      <c r="F793" s="13">
        <f t="shared" si="12"/>
        <v>3.3119999999999998</v>
      </c>
    </row>
    <row r="794" spans="2:6">
      <c r="B794" s="13" t="s">
        <v>797</v>
      </c>
      <c r="C794" s="13" t="s">
        <v>800</v>
      </c>
      <c r="D794" s="13">
        <v>2.9120000000000004</v>
      </c>
      <c r="E794" s="13">
        <v>2</v>
      </c>
      <c r="F794" s="13">
        <f t="shared" si="12"/>
        <v>1.4560000000000002</v>
      </c>
    </row>
    <row r="795" spans="2:6">
      <c r="B795" s="13" t="s">
        <v>1145</v>
      </c>
      <c r="C795" s="13" t="s">
        <v>1147</v>
      </c>
      <c r="D795" s="13">
        <v>526.45000000000005</v>
      </c>
      <c r="E795" s="13">
        <v>5</v>
      </c>
      <c r="F795" s="13">
        <f t="shared" si="12"/>
        <v>105.29</v>
      </c>
    </row>
    <row r="796" spans="2:6">
      <c r="B796" s="13" t="s">
        <v>1303</v>
      </c>
      <c r="C796" s="13" t="s">
        <v>1305</v>
      </c>
      <c r="D796" s="13">
        <v>248.57</v>
      </c>
      <c r="E796" s="13">
        <v>7</v>
      </c>
      <c r="F796" s="13">
        <f t="shared" si="12"/>
        <v>35.51</v>
      </c>
    </row>
    <row r="797" spans="2:6">
      <c r="B797" s="13" t="s">
        <v>1304</v>
      </c>
      <c r="C797" s="13" t="s">
        <v>1306</v>
      </c>
      <c r="D797" s="13">
        <v>22.23</v>
      </c>
      <c r="E797" s="13">
        <v>1</v>
      </c>
      <c r="F797" s="13">
        <f t="shared" si="12"/>
        <v>22.23</v>
      </c>
    </row>
    <row r="798" spans="2:6">
      <c r="B798" s="13" t="s">
        <v>1307</v>
      </c>
      <c r="C798" s="13" t="s">
        <v>1313</v>
      </c>
      <c r="D798" s="13">
        <v>79.099999999999994</v>
      </c>
      <c r="E798" s="13">
        <v>2</v>
      </c>
      <c r="F798" s="13">
        <f t="shared" si="12"/>
        <v>39.549999999999997</v>
      </c>
    </row>
    <row r="799" spans="2:6">
      <c r="B799" s="13" t="s">
        <v>605</v>
      </c>
      <c r="C799" s="13" t="s">
        <v>607</v>
      </c>
      <c r="D799" s="13">
        <v>327.84</v>
      </c>
      <c r="E799" s="13">
        <v>8</v>
      </c>
      <c r="F799" s="13">
        <f t="shared" si="12"/>
        <v>40.98</v>
      </c>
    </row>
    <row r="800" spans="2:6">
      <c r="B800" s="13" t="s">
        <v>1308</v>
      </c>
      <c r="C800" s="13" t="s">
        <v>1314</v>
      </c>
      <c r="D800" s="13">
        <v>180.96</v>
      </c>
      <c r="E800" s="13">
        <v>2</v>
      </c>
      <c r="F800" s="13">
        <f t="shared" si="12"/>
        <v>90.48</v>
      </c>
    </row>
    <row r="801" spans="2:6">
      <c r="B801" s="13" t="s">
        <v>377</v>
      </c>
      <c r="C801" s="13" t="s">
        <v>387</v>
      </c>
      <c r="D801" s="13">
        <v>914.97</v>
      </c>
      <c r="E801" s="13">
        <v>3</v>
      </c>
      <c r="F801" s="13">
        <f t="shared" si="12"/>
        <v>304.99</v>
      </c>
    </row>
    <row r="802" spans="2:6">
      <c r="B802" s="13" t="s">
        <v>1309</v>
      </c>
      <c r="C802" s="13" t="s">
        <v>1315</v>
      </c>
      <c r="D802" s="13">
        <v>587.97</v>
      </c>
      <c r="E802" s="13">
        <v>3</v>
      </c>
      <c r="F802" s="13">
        <f t="shared" si="12"/>
        <v>195.99</v>
      </c>
    </row>
    <row r="803" spans="2:6">
      <c r="B803" s="13" t="s">
        <v>1310</v>
      </c>
      <c r="C803" s="13" t="s">
        <v>1316</v>
      </c>
      <c r="D803" s="13">
        <v>530.34</v>
      </c>
      <c r="E803" s="13">
        <v>2</v>
      </c>
      <c r="F803" s="13">
        <f t="shared" si="12"/>
        <v>265.17</v>
      </c>
    </row>
    <row r="804" spans="2:6">
      <c r="B804" s="13" t="s">
        <v>1311</v>
      </c>
      <c r="C804" s="13" t="s">
        <v>1317</v>
      </c>
      <c r="D804" s="13">
        <v>14.940000000000001</v>
      </c>
      <c r="E804" s="13">
        <v>3</v>
      </c>
      <c r="F804" s="13">
        <f t="shared" si="12"/>
        <v>4.9800000000000004</v>
      </c>
    </row>
    <row r="805" spans="2:6">
      <c r="B805" s="13" t="s">
        <v>1197</v>
      </c>
      <c r="C805" s="13" t="s">
        <v>1198</v>
      </c>
      <c r="D805" s="13">
        <v>121.94</v>
      </c>
      <c r="E805" s="13">
        <v>2</v>
      </c>
      <c r="F805" s="13">
        <f t="shared" si="12"/>
        <v>60.97</v>
      </c>
    </row>
    <row r="806" spans="2:6">
      <c r="B806" s="13" t="s">
        <v>1312</v>
      </c>
      <c r="C806" s="13" t="s">
        <v>1318</v>
      </c>
      <c r="D806" s="13">
        <v>122.71000000000001</v>
      </c>
      <c r="E806" s="13">
        <v>7</v>
      </c>
      <c r="F806" s="13">
        <f t="shared" si="12"/>
        <v>17.53</v>
      </c>
    </row>
    <row r="807" spans="2:6">
      <c r="B807" s="13" t="s">
        <v>1319</v>
      </c>
      <c r="C807" s="13" t="s">
        <v>1322</v>
      </c>
      <c r="D807" s="13">
        <v>5.78</v>
      </c>
      <c r="E807" s="13">
        <v>2</v>
      </c>
      <c r="F807" s="13">
        <f t="shared" si="12"/>
        <v>2.89</v>
      </c>
    </row>
    <row r="808" spans="2:6">
      <c r="B808" s="13" t="s">
        <v>1285</v>
      </c>
      <c r="C808" s="13" t="s">
        <v>1288</v>
      </c>
      <c r="D808" s="13">
        <v>121.67999999999999</v>
      </c>
      <c r="E808" s="13">
        <v>13</v>
      </c>
      <c r="F808" s="13">
        <f t="shared" si="12"/>
        <v>9.36</v>
      </c>
    </row>
    <row r="809" spans="2:6">
      <c r="B809" s="13" t="s">
        <v>239</v>
      </c>
      <c r="C809" s="13" t="s">
        <v>240</v>
      </c>
      <c r="D809" s="13">
        <v>4.17</v>
      </c>
      <c r="E809" s="13">
        <v>3</v>
      </c>
      <c r="F809" s="13">
        <f t="shared" si="12"/>
        <v>1.39</v>
      </c>
    </row>
    <row r="810" spans="2:6">
      <c r="B810" s="13" t="s">
        <v>1320</v>
      </c>
      <c r="C810" s="13" t="s">
        <v>1323</v>
      </c>
      <c r="D810" s="13">
        <v>67.040000000000006</v>
      </c>
      <c r="E810" s="13">
        <v>4</v>
      </c>
      <c r="F810" s="13">
        <f t="shared" si="12"/>
        <v>16.760000000000002</v>
      </c>
    </row>
    <row r="811" spans="2:6">
      <c r="B811" s="13" t="s">
        <v>155</v>
      </c>
      <c r="C811" s="13" t="s">
        <v>161</v>
      </c>
      <c r="D811" s="13">
        <v>37.32</v>
      </c>
      <c r="E811" s="13">
        <v>3</v>
      </c>
      <c r="F811" s="13">
        <f t="shared" si="12"/>
        <v>12.44</v>
      </c>
    </row>
    <row r="812" spans="2:6">
      <c r="B812" s="13" t="s">
        <v>1321</v>
      </c>
      <c r="C812" s="13" t="s">
        <v>1324</v>
      </c>
      <c r="D812" s="13">
        <v>18.45</v>
      </c>
      <c r="E812" s="13">
        <v>5</v>
      </c>
      <c r="F812" s="13">
        <f t="shared" si="12"/>
        <v>3.69</v>
      </c>
    </row>
    <row r="813" spans="2:6">
      <c r="B813" s="13" t="s">
        <v>1325</v>
      </c>
      <c r="C813" s="13" t="s">
        <v>1330</v>
      </c>
      <c r="D813" s="13">
        <v>11199.968000000001</v>
      </c>
      <c r="E813" s="13">
        <v>4</v>
      </c>
      <c r="F813" s="13">
        <f t="shared" si="12"/>
        <v>2799.9920000000002</v>
      </c>
    </row>
    <row r="814" spans="2:6">
      <c r="B814" s="13" t="s">
        <v>511</v>
      </c>
      <c r="C814" s="13" t="s">
        <v>517</v>
      </c>
      <c r="D814" s="13">
        <v>2399.6</v>
      </c>
      <c r="E814" s="13">
        <v>8</v>
      </c>
      <c r="F814" s="13">
        <f t="shared" si="12"/>
        <v>299.95</v>
      </c>
    </row>
    <row r="815" spans="2:6">
      <c r="B815" s="13" t="s">
        <v>1326</v>
      </c>
      <c r="C815" s="13" t="s">
        <v>1331</v>
      </c>
      <c r="D815" s="13">
        <v>63.9</v>
      </c>
      <c r="E815" s="13">
        <v>5</v>
      </c>
      <c r="F815" s="13">
        <f t="shared" si="12"/>
        <v>12.78</v>
      </c>
    </row>
    <row r="816" spans="2:6">
      <c r="B816" s="13" t="s">
        <v>1327</v>
      </c>
      <c r="C816" s="13" t="s">
        <v>1332</v>
      </c>
      <c r="D816" s="13">
        <v>52.99</v>
      </c>
      <c r="E816" s="13">
        <v>1</v>
      </c>
      <c r="F816" s="13">
        <f t="shared" si="12"/>
        <v>52.99</v>
      </c>
    </row>
    <row r="817" spans="2:6">
      <c r="B817" s="13" t="s">
        <v>260</v>
      </c>
      <c r="C817" s="13" t="s">
        <v>262</v>
      </c>
      <c r="D817" s="13">
        <v>60.864000000000004</v>
      </c>
      <c r="E817" s="13">
        <v>4</v>
      </c>
      <c r="F817" s="13">
        <f t="shared" si="12"/>
        <v>15.216000000000001</v>
      </c>
    </row>
    <row r="818" spans="2:6">
      <c r="B818" s="13" t="s">
        <v>1328</v>
      </c>
      <c r="C818" s="13" t="s">
        <v>1333</v>
      </c>
      <c r="D818" s="13">
        <v>652.99500000000012</v>
      </c>
      <c r="E818" s="13">
        <v>7</v>
      </c>
      <c r="F818" s="13">
        <f t="shared" si="12"/>
        <v>93.285000000000011</v>
      </c>
    </row>
    <row r="819" spans="2:6">
      <c r="B819" s="13" t="s">
        <v>1329</v>
      </c>
      <c r="C819" s="13" t="s">
        <v>1334</v>
      </c>
      <c r="D819" s="13">
        <v>11.220000000000002</v>
      </c>
      <c r="E819" s="13">
        <v>10</v>
      </c>
      <c r="F819" s="13">
        <f t="shared" si="12"/>
        <v>1.1220000000000003</v>
      </c>
    </row>
    <row r="820" spans="2:6">
      <c r="B820" s="13" t="s">
        <v>1335</v>
      </c>
      <c r="C820" s="13" t="s">
        <v>1337</v>
      </c>
      <c r="D820" s="13">
        <v>39.96</v>
      </c>
      <c r="E820" s="13">
        <v>2</v>
      </c>
      <c r="F820" s="13">
        <f t="shared" si="12"/>
        <v>19.98</v>
      </c>
    </row>
    <row r="821" spans="2:6">
      <c r="B821" s="13" t="s">
        <v>1336</v>
      </c>
      <c r="C821" s="13" t="s">
        <v>1338</v>
      </c>
      <c r="D821" s="13">
        <v>42.624000000000002</v>
      </c>
      <c r="E821" s="13">
        <v>2</v>
      </c>
      <c r="F821" s="13">
        <f t="shared" si="12"/>
        <v>21.312000000000001</v>
      </c>
    </row>
    <row r="822" spans="2:6">
      <c r="B822" s="13" t="s">
        <v>481</v>
      </c>
      <c r="C822" s="13" t="s">
        <v>483</v>
      </c>
      <c r="D822" s="13">
        <v>220.96</v>
      </c>
      <c r="E822" s="13">
        <v>1</v>
      </c>
      <c r="F822" s="13">
        <f t="shared" si="12"/>
        <v>220.96</v>
      </c>
    </row>
    <row r="823" spans="2:6">
      <c r="B823" s="13" t="s">
        <v>1339</v>
      </c>
      <c r="C823" s="13" t="s">
        <v>1342</v>
      </c>
      <c r="D823" s="13">
        <v>19.04</v>
      </c>
      <c r="E823" s="13">
        <v>4</v>
      </c>
      <c r="F823" s="13">
        <f t="shared" si="12"/>
        <v>4.76</v>
      </c>
    </row>
    <row r="824" spans="2:6">
      <c r="B824" s="13" t="s">
        <v>426</v>
      </c>
      <c r="C824" s="13" t="s">
        <v>427</v>
      </c>
      <c r="D824" s="13">
        <v>13.128</v>
      </c>
      <c r="E824" s="13">
        <v>3</v>
      </c>
      <c r="F824" s="13">
        <f t="shared" si="12"/>
        <v>4.3760000000000003</v>
      </c>
    </row>
    <row r="825" spans="2:6">
      <c r="B825" s="13" t="s">
        <v>1340</v>
      </c>
      <c r="C825" s="13" t="s">
        <v>1343</v>
      </c>
      <c r="D825" s="13">
        <v>64.14</v>
      </c>
      <c r="E825" s="13">
        <v>3</v>
      </c>
      <c r="F825" s="13">
        <f t="shared" si="12"/>
        <v>21.38</v>
      </c>
    </row>
    <row r="826" spans="2:6">
      <c r="B826" s="13" t="s">
        <v>1341</v>
      </c>
      <c r="C826" s="13" t="s">
        <v>1344</v>
      </c>
      <c r="D826" s="13">
        <v>858.24</v>
      </c>
      <c r="E826" s="13">
        <v>4</v>
      </c>
      <c r="F826" s="13">
        <f t="shared" si="12"/>
        <v>214.56</v>
      </c>
    </row>
    <row r="827" spans="2:6">
      <c r="B827" s="13" t="s">
        <v>1345</v>
      </c>
      <c r="C827" s="13" t="s">
        <v>624</v>
      </c>
      <c r="D827" s="13">
        <v>10.776000000000002</v>
      </c>
      <c r="E827" s="13">
        <v>3</v>
      </c>
      <c r="F827" s="13">
        <f t="shared" si="12"/>
        <v>3.5920000000000005</v>
      </c>
    </row>
    <row r="828" spans="2:6">
      <c r="B828" s="13" t="s">
        <v>1346</v>
      </c>
      <c r="C828" s="13" t="s">
        <v>1352</v>
      </c>
      <c r="D828" s="13">
        <v>11.784000000000001</v>
      </c>
      <c r="E828" s="13">
        <v>3</v>
      </c>
      <c r="F828" s="13">
        <f t="shared" si="12"/>
        <v>3.9280000000000004</v>
      </c>
    </row>
    <row r="829" spans="2:6">
      <c r="B829" s="13" t="s">
        <v>1347</v>
      </c>
      <c r="C829" s="13" t="s">
        <v>1353</v>
      </c>
      <c r="D829" s="13">
        <v>164.88</v>
      </c>
      <c r="E829" s="13">
        <v>3</v>
      </c>
      <c r="F829" s="13">
        <f t="shared" si="12"/>
        <v>54.96</v>
      </c>
    </row>
    <row r="830" spans="2:6">
      <c r="B830" s="13" t="s">
        <v>1348</v>
      </c>
      <c r="C830" s="13" t="s">
        <v>1354</v>
      </c>
      <c r="D830" s="13">
        <v>1292.94</v>
      </c>
      <c r="E830" s="13">
        <v>3</v>
      </c>
      <c r="F830" s="13">
        <f t="shared" si="12"/>
        <v>430.98</v>
      </c>
    </row>
    <row r="831" spans="2:6">
      <c r="B831" s="13" t="s">
        <v>1349</v>
      </c>
      <c r="C831" s="13" t="s">
        <v>1355</v>
      </c>
      <c r="D831" s="13">
        <v>25.584000000000003</v>
      </c>
      <c r="E831" s="13">
        <v>2</v>
      </c>
      <c r="F831" s="13">
        <f t="shared" si="12"/>
        <v>12.792000000000002</v>
      </c>
    </row>
    <row r="832" spans="2:6">
      <c r="B832" s="13" t="s">
        <v>1350</v>
      </c>
      <c r="C832" s="13" t="s">
        <v>1356</v>
      </c>
      <c r="D832" s="13">
        <v>261.74</v>
      </c>
      <c r="E832" s="13">
        <v>2</v>
      </c>
      <c r="F832" s="13">
        <f t="shared" si="12"/>
        <v>130.87</v>
      </c>
    </row>
    <row r="833" spans="2:6">
      <c r="B833" s="13" t="s">
        <v>1351</v>
      </c>
      <c r="C833" s="13" t="s">
        <v>1357</v>
      </c>
      <c r="D833" s="13">
        <v>14.399999999999999</v>
      </c>
      <c r="E833" s="13">
        <v>5</v>
      </c>
      <c r="F833" s="13">
        <f t="shared" si="12"/>
        <v>2.88</v>
      </c>
    </row>
    <row r="834" spans="2:6">
      <c r="B834" s="13" t="s">
        <v>1358</v>
      </c>
      <c r="C834" s="13" t="s">
        <v>1360</v>
      </c>
      <c r="D834" s="13">
        <v>1979.89</v>
      </c>
      <c r="E834" s="13">
        <v>11</v>
      </c>
      <c r="F834" s="13">
        <f t="shared" si="12"/>
        <v>179.99</v>
      </c>
    </row>
    <row r="835" spans="2:6">
      <c r="B835" s="13" t="s">
        <v>1359</v>
      </c>
      <c r="C835" s="13" t="s">
        <v>1361</v>
      </c>
      <c r="D835" s="13">
        <v>79.959999999999994</v>
      </c>
      <c r="E835" s="13">
        <v>2</v>
      </c>
      <c r="F835" s="13">
        <f t="shared" si="12"/>
        <v>39.979999999999997</v>
      </c>
    </row>
    <row r="836" spans="2:6">
      <c r="B836" s="13" t="s">
        <v>137</v>
      </c>
      <c r="C836" s="13" t="s">
        <v>141</v>
      </c>
      <c r="D836" s="13">
        <v>8.76</v>
      </c>
      <c r="E836" s="13">
        <v>2</v>
      </c>
      <c r="F836" s="13">
        <f t="shared" ref="F836:F899" si="13">D836/E836</f>
        <v>4.38</v>
      </c>
    </row>
    <row r="837" spans="2:6">
      <c r="B837" s="13" t="s">
        <v>843</v>
      </c>
      <c r="C837" s="13" t="s">
        <v>1106</v>
      </c>
      <c r="D837" s="13">
        <v>166.44</v>
      </c>
      <c r="E837" s="13">
        <v>3</v>
      </c>
      <c r="F837" s="13">
        <f t="shared" si="13"/>
        <v>55.48</v>
      </c>
    </row>
    <row r="838" spans="2:6">
      <c r="B838" s="13" t="s">
        <v>689</v>
      </c>
      <c r="C838" s="13" t="s">
        <v>690</v>
      </c>
      <c r="D838" s="13">
        <v>8.76</v>
      </c>
      <c r="E838" s="13">
        <v>5</v>
      </c>
      <c r="F838" s="13">
        <f t="shared" si="13"/>
        <v>1.752</v>
      </c>
    </row>
    <row r="839" spans="2:6">
      <c r="B839" s="13" t="s">
        <v>1362</v>
      </c>
      <c r="C839" s="13" t="s">
        <v>1363</v>
      </c>
      <c r="D839" s="13">
        <v>43.584000000000003</v>
      </c>
      <c r="E839" s="13">
        <v>1</v>
      </c>
      <c r="F839" s="13">
        <f t="shared" si="13"/>
        <v>43.584000000000003</v>
      </c>
    </row>
    <row r="840" spans="2:6">
      <c r="B840" s="13" t="s">
        <v>421</v>
      </c>
      <c r="C840" s="13" t="s">
        <v>425</v>
      </c>
      <c r="D840" s="13">
        <v>14.399999999999999</v>
      </c>
      <c r="E840" s="13">
        <v>5</v>
      </c>
      <c r="F840" s="13">
        <f t="shared" si="13"/>
        <v>2.88</v>
      </c>
    </row>
    <row r="841" spans="2:6">
      <c r="B841" s="13" t="s">
        <v>1227</v>
      </c>
      <c r="C841" s="13" t="s">
        <v>1232</v>
      </c>
      <c r="D841" s="13">
        <v>619.94999999999993</v>
      </c>
      <c r="E841" s="13">
        <v>5</v>
      </c>
      <c r="F841" s="13">
        <f t="shared" si="13"/>
        <v>123.98999999999998</v>
      </c>
    </row>
    <row r="842" spans="2:6">
      <c r="B842" s="13" t="s">
        <v>1364</v>
      </c>
      <c r="C842" s="13" t="s">
        <v>1367</v>
      </c>
      <c r="D842" s="13">
        <v>89.52</v>
      </c>
      <c r="E842" s="13">
        <v>4</v>
      </c>
      <c r="F842" s="13">
        <f t="shared" si="13"/>
        <v>22.38</v>
      </c>
    </row>
    <row r="843" spans="2:6">
      <c r="B843" s="13" t="s">
        <v>1365</v>
      </c>
      <c r="C843" s="13" t="s">
        <v>1368</v>
      </c>
      <c r="D843" s="13">
        <v>350.97300000000007</v>
      </c>
      <c r="E843" s="13">
        <v>3</v>
      </c>
      <c r="F843" s="13">
        <f t="shared" si="13"/>
        <v>116.99100000000003</v>
      </c>
    </row>
    <row r="844" spans="2:6">
      <c r="B844" s="13" t="s">
        <v>1366</v>
      </c>
      <c r="C844" s="13" t="s">
        <v>1369</v>
      </c>
      <c r="D844" s="13">
        <v>164.99</v>
      </c>
      <c r="E844" s="13">
        <v>1</v>
      </c>
      <c r="F844" s="13">
        <f t="shared" si="13"/>
        <v>164.99</v>
      </c>
    </row>
    <row r="845" spans="2:6">
      <c r="B845" s="13" t="s">
        <v>1200</v>
      </c>
      <c r="C845" s="13" t="s">
        <v>1204</v>
      </c>
      <c r="D845" s="13">
        <v>312.55200000000002</v>
      </c>
      <c r="E845" s="13">
        <v>9</v>
      </c>
      <c r="F845" s="13">
        <f t="shared" si="13"/>
        <v>34.728000000000002</v>
      </c>
    </row>
    <row r="846" spans="2:6">
      <c r="B846" s="13" t="s">
        <v>764</v>
      </c>
      <c r="C846" s="13" t="s">
        <v>313</v>
      </c>
      <c r="D846" s="13">
        <v>5.3460000000000019</v>
      </c>
      <c r="E846" s="13">
        <v>3</v>
      </c>
      <c r="F846" s="13">
        <f t="shared" si="13"/>
        <v>1.7820000000000007</v>
      </c>
    </row>
    <row r="847" spans="2:6">
      <c r="B847" s="13" t="s">
        <v>1370</v>
      </c>
      <c r="C847" s="13" t="s">
        <v>1373</v>
      </c>
      <c r="D847" s="13">
        <v>132.60000000000002</v>
      </c>
      <c r="E847" s="13">
        <v>6</v>
      </c>
      <c r="F847" s="13">
        <f t="shared" si="13"/>
        <v>22.100000000000005</v>
      </c>
    </row>
    <row r="848" spans="2:6">
      <c r="B848" s="13" t="s">
        <v>849</v>
      </c>
      <c r="C848" s="13" t="s">
        <v>853</v>
      </c>
      <c r="D848" s="13">
        <v>16.68</v>
      </c>
      <c r="E848" s="13">
        <v>2</v>
      </c>
      <c r="F848" s="13">
        <f t="shared" si="13"/>
        <v>8.34</v>
      </c>
    </row>
    <row r="849" spans="2:6">
      <c r="B849" s="13" t="s">
        <v>1371</v>
      </c>
      <c r="C849" s="13" t="s">
        <v>1374</v>
      </c>
      <c r="D849" s="13">
        <v>19.440000000000001</v>
      </c>
      <c r="E849" s="13">
        <v>3</v>
      </c>
      <c r="F849" s="13">
        <f t="shared" si="13"/>
        <v>6.48</v>
      </c>
    </row>
    <row r="850" spans="2:6">
      <c r="B850" s="13" t="s">
        <v>1372</v>
      </c>
      <c r="C850" s="13" t="s">
        <v>1375</v>
      </c>
      <c r="D850" s="13">
        <v>192.16</v>
      </c>
      <c r="E850" s="13">
        <v>4</v>
      </c>
      <c r="F850" s="13">
        <f t="shared" si="13"/>
        <v>48.04</v>
      </c>
    </row>
    <row r="851" spans="2:6">
      <c r="B851" s="13" t="s">
        <v>419</v>
      </c>
      <c r="C851" s="13" t="s">
        <v>423</v>
      </c>
      <c r="D851" s="13">
        <v>45.888000000000005</v>
      </c>
      <c r="E851" s="13">
        <v>4</v>
      </c>
      <c r="F851" s="13">
        <f t="shared" si="13"/>
        <v>11.472000000000001</v>
      </c>
    </row>
    <row r="852" spans="2:6">
      <c r="B852" s="13" t="s">
        <v>1376</v>
      </c>
      <c r="C852" s="13" t="s">
        <v>1377</v>
      </c>
      <c r="D852" s="13">
        <v>60.12</v>
      </c>
      <c r="E852" s="13">
        <v>9</v>
      </c>
      <c r="F852" s="13">
        <f t="shared" si="13"/>
        <v>6.68</v>
      </c>
    </row>
    <row r="853" spans="2:6">
      <c r="B853" s="13" t="s">
        <v>198</v>
      </c>
      <c r="C853" s="13" t="s">
        <v>211</v>
      </c>
      <c r="D853" s="13">
        <v>71.98</v>
      </c>
      <c r="E853" s="13">
        <v>2</v>
      </c>
      <c r="F853" s="13">
        <f t="shared" si="13"/>
        <v>35.99</v>
      </c>
    </row>
    <row r="854" spans="2:6">
      <c r="B854" s="13" t="s">
        <v>618</v>
      </c>
      <c r="C854" s="13" t="s">
        <v>620</v>
      </c>
      <c r="D854" s="13">
        <v>124.36</v>
      </c>
      <c r="E854" s="13">
        <v>2</v>
      </c>
      <c r="F854" s="13">
        <f t="shared" si="13"/>
        <v>62.18</v>
      </c>
    </row>
    <row r="855" spans="2:6">
      <c r="B855" s="13" t="s">
        <v>1378</v>
      </c>
      <c r="C855" s="13" t="s">
        <v>1381</v>
      </c>
      <c r="D855" s="13">
        <v>359.97</v>
      </c>
      <c r="E855" s="13">
        <v>5</v>
      </c>
      <c r="F855" s="13">
        <f t="shared" si="13"/>
        <v>71.994</v>
      </c>
    </row>
    <row r="856" spans="2:6">
      <c r="B856" s="13" t="s">
        <v>1379</v>
      </c>
      <c r="C856" s="13" t="s">
        <v>1382</v>
      </c>
      <c r="D856" s="13">
        <v>350.35199999999998</v>
      </c>
      <c r="E856" s="13">
        <v>4</v>
      </c>
      <c r="F856" s="13">
        <f t="shared" si="13"/>
        <v>87.587999999999994</v>
      </c>
    </row>
    <row r="857" spans="2:6">
      <c r="B857" s="13" t="s">
        <v>426</v>
      </c>
      <c r="C857" s="13" t="s">
        <v>427</v>
      </c>
      <c r="D857" s="13">
        <v>1.6410000000000002</v>
      </c>
      <c r="E857" s="13">
        <v>1</v>
      </c>
      <c r="F857" s="13">
        <f t="shared" si="13"/>
        <v>1.6410000000000002</v>
      </c>
    </row>
    <row r="858" spans="2:6">
      <c r="B858" s="13" t="s">
        <v>1230</v>
      </c>
      <c r="C858" s="13" t="s">
        <v>1234</v>
      </c>
      <c r="D858" s="13">
        <v>629.95799999999997</v>
      </c>
      <c r="E858" s="13">
        <v>7</v>
      </c>
      <c r="F858" s="13">
        <f t="shared" si="13"/>
        <v>89.994</v>
      </c>
    </row>
    <row r="859" spans="2:6">
      <c r="B859" s="13" t="s">
        <v>1380</v>
      </c>
      <c r="C859" s="13" t="s">
        <v>1383</v>
      </c>
      <c r="D859" s="13">
        <v>6.63</v>
      </c>
      <c r="E859" s="13">
        <v>3</v>
      </c>
      <c r="F859" s="13">
        <f t="shared" si="13"/>
        <v>2.21</v>
      </c>
    </row>
    <row r="860" spans="2:6">
      <c r="B860" s="13" t="s">
        <v>450</v>
      </c>
      <c r="C860" s="13" t="s">
        <v>451</v>
      </c>
      <c r="D860" s="13">
        <v>799.96</v>
      </c>
      <c r="E860" s="13">
        <v>4</v>
      </c>
      <c r="F860" s="13">
        <f t="shared" si="13"/>
        <v>199.99</v>
      </c>
    </row>
    <row r="861" spans="2:6">
      <c r="B861" s="13" t="s">
        <v>126</v>
      </c>
      <c r="C861" s="13" t="s">
        <v>132</v>
      </c>
      <c r="D861" s="13">
        <v>107.53</v>
      </c>
      <c r="E861" s="13">
        <v>1</v>
      </c>
      <c r="F861" s="13">
        <f t="shared" si="13"/>
        <v>107.53</v>
      </c>
    </row>
    <row r="862" spans="2:6">
      <c r="B862" s="13" t="s">
        <v>1384</v>
      </c>
      <c r="C862" s="13" t="s">
        <v>1386</v>
      </c>
      <c r="D862" s="13">
        <v>477.24</v>
      </c>
      <c r="E862" s="13">
        <v>4</v>
      </c>
      <c r="F862" s="13">
        <f t="shared" si="13"/>
        <v>119.31</v>
      </c>
    </row>
    <row r="863" spans="2:6">
      <c r="B863" s="13" t="s">
        <v>1385</v>
      </c>
      <c r="C863" s="13" t="s">
        <v>1387</v>
      </c>
      <c r="D863" s="13">
        <v>25.98</v>
      </c>
      <c r="E863" s="13">
        <v>2</v>
      </c>
      <c r="F863" s="13">
        <f t="shared" si="13"/>
        <v>12.99</v>
      </c>
    </row>
    <row r="864" spans="2:6">
      <c r="B864" s="13" t="s">
        <v>1388</v>
      </c>
      <c r="C864" s="13" t="s">
        <v>1389</v>
      </c>
      <c r="D864" s="13">
        <v>79.992000000000004</v>
      </c>
      <c r="E864" s="13">
        <v>1</v>
      </c>
      <c r="F864" s="13">
        <f t="shared" si="13"/>
        <v>79.992000000000004</v>
      </c>
    </row>
    <row r="865" spans="2:6">
      <c r="B865" s="13" t="s">
        <v>1390</v>
      </c>
      <c r="C865" s="13" t="s">
        <v>1395</v>
      </c>
      <c r="D865" s="13">
        <v>0.99</v>
      </c>
      <c r="E865" s="13">
        <v>1</v>
      </c>
      <c r="F865" s="13">
        <f t="shared" si="13"/>
        <v>0.99</v>
      </c>
    </row>
    <row r="866" spans="2:6">
      <c r="B866" s="13" t="s">
        <v>971</v>
      </c>
      <c r="C866" s="13" t="s">
        <v>974</v>
      </c>
      <c r="D866" s="13">
        <v>101.84</v>
      </c>
      <c r="E866" s="13">
        <v>5</v>
      </c>
      <c r="F866" s="13">
        <f t="shared" si="13"/>
        <v>20.368000000000002</v>
      </c>
    </row>
    <row r="867" spans="2:6">
      <c r="B867" s="13" t="s">
        <v>1391</v>
      </c>
      <c r="C867" s="13" t="s">
        <v>1396</v>
      </c>
      <c r="D867" s="13">
        <v>10.332000000000003</v>
      </c>
      <c r="E867" s="13">
        <v>3</v>
      </c>
      <c r="F867" s="13">
        <f t="shared" si="13"/>
        <v>3.4440000000000008</v>
      </c>
    </row>
    <row r="868" spans="2:6">
      <c r="B868" s="13" t="s">
        <v>408</v>
      </c>
      <c r="C868" s="13" t="s">
        <v>414</v>
      </c>
      <c r="D868" s="13">
        <v>31.155000000000005</v>
      </c>
      <c r="E868" s="13">
        <v>5</v>
      </c>
      <c r="F868" s="13">
        <f t="shared" si="13"/>
        <v>6.2310000000000008</v>
      </c>
    </row>
    <row r="869" spans="2:6">
      <c r="B869" s="13" t="s">
        <v>1392</v>
      </c>
      <c r="C869" s="13" t="s">
        <v>1397</v>
      </c>
      <c r="D869" s="13">
        <v>8.9280000000000008</v>
      </c>
      <c r="E869" s="13">
        <v>2</v>
      </c>
      <c r="F869" s="13">
        <f t="shared" si="13"/>
        <v>4.4640000000000004</v>
      </c>
    </row>
    <row r="870" spans="2:6">
      <c r="B870" s="13" t="s">
        <v>1393</v>
      </c>
      <c r="C870" s="13" t="s">
        <v>1398</v>
      </c>
      <c r="D870" s="13">
        <v>34.384</v>
      </c>
      <c r="E870" s="13">
        <v>1</v>
      </c>
      <c r="F870" s="13">
        <f t="shared" si="13"/>
        <v>34.384</v>
      </c>
    </row>
    <row r="871" spans="2:6">
      <c r="B871" s="13" t="s">
        <v>1394</v>
      </c>
      <c r="C871" s="13" t="s">
        <v>1399</v>
      </c>
      <c r="D871" s="13">
        <v>1924.1599999999999</v>
      </c>
      <c r="E871" s="13">
        <v>8</v>
      </c>
      <c r="F871" s="13">
        <f t="shared" si="13"/>
        <v>240.51999999999998</v>
      </c>
    </row>
    <row r="872" spans="2:6">
      <c r="B872" s="13" t="s">
        <v>538</v>
      </c>
      <c r="C872" s="13" t="s">
        <v>549</v>
      </c>
      <c r="D872" s="13">
        <v>19.103999999999999</v>
      </c>
      <c r="E872" s="13">
        <v>3</v>
      </c>
      <c r="F872" s="13">
        <f t="shared" si="13"/>
        <v>6.3679999999999994</v>
      </c>
    </row>
    <row r="873" spans="2:6">
      <c r="B873" s="13" t="s">
        <v>300</v>
      </c>
      <c r="C873" s="13" t="s">
        <v>309</v>
      </c>
      <c r="D873" s="13">
        <v>10.368000000000002</v>
      </c>
      <c r="E873" s="13">
        <v>2</v>
      </c>
      <c r="F873" s="13">
        <f t="shared" si="13"/>
        <v>5.1840000000000011</v>
      </c>
    </row>
    <row r="874" spans="2:6">
      <c r="B874" s="13" t="s">
        <v>1248</v>
      </c>
      <c r="C874" s="13" t="s">
        <v>1250</v>
      </c>
      <c r="D874" s="13">
        <v>23.680000000000003</v>
      </c>
      <c r="E874" s="13">
        <v>8</v>
      </c>
      <c r="F874" s="13">
        <f t="shared" si="13"/>
        <v>2.9600000000000004</v>
      </c>
    </row>
    <row r="875" spans="2:6">
      <c r="B875" s="13" t="s">
        <v>1400</v>
      </c>
      <c r="C875" s="13" t="s">
        <v>1402</v>
      </c>
      <c r="D875" s="13">
        <v>2.3760000000000003</v>
      </c>
      <c r="E875" s="13">
        <v>3</v>
      </c>
      <c r="F875" s="13">
        <f t="shared" si="13"/>
        <v>0.79200000000000015</v>
      </c>
    </row>
    <row r="876" spans="2:6">
      <c r="B876" s="13" t="s">
        <v>1019</v>
      </c>
      <c r="C876" s="13" t="s">
        <v>1020</v>
      </c>
      <c r="D876" s="13">
        <v>59.2</v>
      </c>
      <c r="E876" s="13">
        <v>4</v>
      </c>
      <c r="F876" s="13">
        <f t="shared" si="13"/>
        <v>14.8</v>
      </c>
    </row>
    <row r="877" spans="2:6">
      <c r="B877" s="13" t="s">
        <v>1401</v>
      </c>
      <c r="C877" s="13" t="s">
        <v>1403</v>
      </c>
      <c r="D877" s="13">
        <v>22</v>
      </c>
      <c r="E877" s="13">
        <v>10</v>
      </c>
      <c r="F877" s="13">
        <f t="shared" si="13"/>
        <v>2.2000000000000002</v>
      </c>
    </row>
    <row r="878" spans="2:6">
      <c r="B878" s="13" t="s">
        <v>1063</v>
      </c>
      <c r="C878" s="13" t="s">
        <v>1067</v>
      </c>
      <c r="D878" s="13">
        <v>13.36</v>
      </c>
      <c r="E878" s="13">
        <v>4</v>
      </c>
      <c r="F878" s="13">
        <f t="shared" si="13"/>
        <v>3.34</v>
      </c>
    </row>
    <row r="879" spans="2:6">
      <c r="B879" s="13" t="s">
        <v>1404</v>
      </c>
      <c r="C879" s="13" t="s">
        <v>1405</v>
      </c>
      <c r="D879" s="13">
        <v>39.96</v>
      </c>
      <c r="E879" s="13">
        <v>2</v>
      </c>
      <c r="F879" s="13">
        <f t="shared" si="13"/>
        <v>19.98</v>
      </c>
    </row>
    <row r="880" spans="2:6">
      <c r="B880" s="13" t="s">
        <v>626</v>
      </c>
      <c r="C880" s="13" t="s">
        <v>628</v>
      </c>
      <c r="D880" s="13">
        <v>145.85000000000002</v>
      </c>
      <c r="E880" s="13">
        <v>5</v>
      </c>
      <c r="F880" s="13">
        <f t="shared" si="13"/>
        <v>29.170000000000005</v>
      </c>
    </row>
    <row r="881" spans="2:6">
      <c r="B881" s="13" t="s">
        <v>68</v>
      </c>
      <c r="C881" s="13" t="s">
        <v>71</v>
      </c>
      <c r="D881" s="13">
        <v>41.37</v>
      </c>
      <c r="E881" s="13">
        <v>3</v>
      </c>
      <c r="F881" s="13">
        <f t="shared" si="13"/>
        <v>13.79</v>
      </c>
    </row>
    <row r="882" spans="2:6">
      <c r="B882" s="13" t="s">
        <v>1406</v>
      </c>
      <c r="C882" s="13" t="s">
        <v>1408</v>
      </c>
      <c r="D882" s="13">
        <v>8.9280000000000008</v>
      </c>
      <c r="E882" s="13">
        <v>2</v>
      </c>
      <c r="F882" s="13">
        <f t="shared" si="13"/>
        <v>4.4640000000000004</v>
      </c>
    </row>
    <row r="883" spans="2:6">
      <c r="B883" s="13" t="s">
        <v>1407</v>
      </c>
      <c r="C883" s="13" t="s">
        <v>1409</v>
      </c>
      <c r="D883" s="13">
        <v>47.584000000000003</v>
      </c>
      <c r="E883" s="13">
        <v>2</v>
      </c>
      <c r="F883" s="13">
        <f t="shared" si="13"/>
        <v>23.792000000000002</v>
      </c>
    </row>
    <row r="884" spans="2:6">
      <c r="B884" s="13" t="s">
        <v>1380</v>
      </c>
      <c r="C884" s="13" t="s">
        <v>1383</v>
      </c>
      <c r="D884" s="13">
        <v>15.469999999999999</v>
      </c>
      <c r="E884" s="13">
        <v>7</v>
      </c>
      <c r="F884" s="13">
        <f t="shared" si="13"/>
        <v>2.21</v>
      </c>
    </row>
    <row r="885" spans="2:6">
      <c r="B885" s="13" t="s">
        <v>1410</v>
      </c>
      <c r="C885" s="13" t="s">
        <v>1413</v>
      </c>
      <c r="D885" s="13">
        <v>7.16</v>
      </c>
      <c r="E885" s="13">
        <v>2</v>
      </c>
      <c r="F885" s="13">
        <f t="shared" si="13"/>
        <v>3.58</v>
      </c>
    </row>
    <row r="886" spans="2:6">
      <c r="B886" s="13" t="s">
        <v>1411</v>
      </c>
      <c r="C886" s="13" t="s">
        <v>1414</v>
      </c>
      <c r="D886" s="13">
        <v>10.89</v>
      </c>
      <c r="E886" s="13">
        <v>1</v>
      </c>
      <c r="F886" s="13">
        <f t="shared" si="13"/>
        <v>10.89</v>
      </c>
    </row>
    <row r="887" spans="2:6">
      <c r="B887" s="13" t="s">
        <v>1412</v>
      </c>
      <c r="C887" s="13" t="s">
        <v>1415</v>
      </c>
      <c r="D887" s="13">
        <v>19.440000000000001</v>
      </c>
      <c r="E887" s="13">
        <v>3</v>
      </c>
      <c r="F887" s="13">
        <f t="shared" si="13"/>
        <v>6.48</v>
      </c>
    </row>
    <row r="888" spans="2:6">
      <c r="B888" s="13" t="s">
        <v>775</v>
      </c>
      <c r="C888" s="13" t="s">
        <v>777</v>
      </c>
      <c r="D888" s="13">
        <v>121.6</v>
      </c>
      <c r="E888" s="13">
        <v>5</v>
      </c>
      <c r="F888" s="13">
        <f t="shared" si="13"/>
        <v>24.32</v>
      </c>
    </row>
    <row r="889" spans="2:6">
      <c r="B889" s="13" t="s">
        <v>1416</v>
      </c>
      <c r="C889" s="13" t="s">
        <v>1418</v>
      </c>
      <c r="D889" s="13">
        <v>229.54400000000001</v>
      </c>
      <c r="E889" s="13">
        <v>7</v>
      </c>
      <c r="F889" s="13">
        <f t="shared" si="13"/>
        <v>32.792000000000002</v>
      </c>
    </row>
    <row r="890" spans="2:6">
      <c r="B890" s="13" t="s">
        <v>1181</v>
      </c>
      <c r="C890" s="13" t="s">
        <v>1189</v>
      </c>
      <c r="D890" s="13">
        <v>143.72800000000001</v>
      </c>
      <c r="E890" s="13">
        <v>2</v>
      </c>
      <c r="F890" s="13">
        <f t="shared" si="13"/>
        <v>71.864000000000004</v>
      </c>
    </row>
    <row r="891" spans="2:6">
      <c r="B891" s="13" t="s">
        <v>1417</v>
      </c>
      <c r="C891" s="13" t="s">
        <v>1419</v>
      </c>
      <c r="D891" s="13">
        <v>36.048000000000002</v>
      </c>
      <c r="E891" s="13">
        <v>3</v>
      </c>
      <c r="F891" s="13">
        <f t="shared" si="13"/>
        <v>12.016</v>
      </c>
    </row>
    <row r="892" spans="2:6">
      <c r="B892" s="13" t="s">
        <v>539</v>
      </c>
      <c r="C892" s="13" t="s">
        <v>550</v>
      </c>
      <c r="D892" s="13">
        <v>50.94</v>
      </c>
      <c r="E892" s="13">
        <v>3</v>
      </c>
      <c r="F892" s="13">
        <f t="shared" si="13"/>
        <v>16.98</v>
      </c>
    </row>
    <row r="893" spans="2:6">
      <c r="B893" s="13" t="s">
        <v>1420</v>
      </c>
      <c r="C893" s="13" t="s">
        <v>1422</v>
      </c>
      <c r="D893" s="13">
        <v>762.59399999999982</v>
      </c>
      <c r="E893" s="13">
        <v>3</v>
      </c>
      <c r="F893" s="13">
        <f t="shared" si="13"/>
        <v>254.19799999999995</v>
      </c>
    </row>
    <row r="894" spans="2:6">
      <c r="B894" s="13" t="s">
        <v>1421</v>
      </c>
      <c r="C894" s="13" t="s">
        <v>1423</v>
      </c>
      <c r="D894" s="13">
        <v>56.28</v>
      </c>
      <c r="E894" s="13">
        <v>6</v>
      </c>
      <c r="F894" s="13">
        <f t="shared" si="13"/>
        <v>9.3800000000000008</v>
      </c>
    </row>
    <row r="895" spans="2:6">
      <c r="B895" s="13" t="s">
        <v>981</v>
      </c>
      <c r="C895" s="13" t="s">
        <v>982</v>
      </c>
      <c r="D895" s="13">
        <v>2690.9700000000003</v>
      </c>
      <c r="E895" s="13">
        <v>3</v>
      </c>
      <c r="F895" s="13">
        <f t="shared" si="13"/>
        <v>896.99000000000012</v>
      </c>
    </row>
    <row r="896" spans="2:6">
      <c r="B896" s="13" t="s">
        <v>1424</v>
      </c>
      <c r="C896" s="13" t="s">
        <v>1425</v>
      </c>
      <c r="D896" s="13">
        <v>28.16</v>
      </c>
      <c r="E896" s="13">
        <v>4</v>
      </c>
      <c r="F896" s="13">
        <f t="shared" si="13"/>
        <v>7.04</v>
      </c>
    </row>
    <row r="897" spans="2:6">
      <c r="B897" s="13" t="s">
        <v>827</v>
      </c>
      <c r="C897" s="13" t="s">
        <v>828</v>
      </c>
      <c r="D897" s="13">
        <v>40.29</v>
      </c>
      <c r="E897" s="13">
        <v>3</v>
      </c>
      <c r="F897" s="13">
        <f t="shared" si="13"/>
        <v>13.43</v>
      </c>
    </row>
    <row r="898" spans="2:6">
      <c r="B898" s="13" t="s">
        <v>1319</v>
      </c>
      <c r="C898" s="13" t="s">
        <v>1322</v>
      </c>
      <c r="D898" s="13">
        <v>20.23</v>
      </c>
      <c r="E898" s="13">
        <v>7</v>
      </c>
      <c r="F898" s="13">
        <f t="shared" si="13"/>
        <v>2.89</v>
      </c>
    </row>
    <row r="899" spans="2:6">
      <c r="B899" s="13" t="s">
        <v>1426</v>
      </c>
      <c r="C899" s="13" t="s">
        <v>1432</v>
      </c>
      <c r="D899" s="13">
        <v>67.8</v>
      </c>
      <c r="E899" s="13">
        <v>4</v>
      </c>
      <c r="F899" s="13">
        <f t="shared" si="13"/>
        <v>16.95</v>
      </c>
    </row>
    <row r="900" spans="2:6">
      <c r="B900" s="13" t="s">
        <v>1427</v>
      </c>
      <c r="C900" s="13" t="s">
        <v>1433</v>
      </c>
      <c r="D900" s="13">
        <v>377.96999999999997</v>
      </c>
      <c r="E900" s="13">
        <v>3</v>
      </c>
      <c r="F900" s="13">
        <f t="shared" ref="F900:F963" si="14">D900/E900</f>
        <v>125.99</v>
      </c>
    </row>
    <row r="901" spans="2:6">
      <c r="B901" s="13" t="s">
        <v>1428</v>
      </c>
      <c r="C901" s="13" t="s">
        <v>1434</v>
      </c>
      <c r="D901" s="13">
        <v>1628.82</v>
      </c>
      <c r="E901" s="13">
        <v>9</v>
      </c>
      <c r="F901" s="13">
        <f t="shared" si="14"/>
        <v>180.98</v>
      </c>
    </row>
    <row r="902" spans="2:6">
      <c r="B902" s="13" t="s">
        <v>1416</v>
      </c>
      <c r="C902" s="13" t="s">
        <v>1418</v>
      </c>
      <c r="D902" s="13">
        <v>286.93</v>
      </c>
      <c r="E902" s="13">
        <v>7</v>
      </c>
      <c r="F902" s="13">
        <f t="shared" si="14"/>
        <v>40.99</v>
      </c>
    </row>
    <row r="903" spans="2:6">
      <c r="B903" s="13" t="s">
        <v>1429</v>
      </c>
      <c r="C903" s="13" t="s">
        <v>1435</v>
      </c>
      <c r="D903" s="13">
        <v>20.736000000000004</v>
      </c>
      <c r="E903" s="13">
        <v>4</v>
      </c>
      <c r="F903" s="13">
        <f t="shared" si="14"/>
        <v>5.1840000000000011</v>
      </c>
    </row>
    <row r="904" spans="2:6">
      <c r="B904" s="13" t="s">
        <v>613</v>
      </c>
      <c r="C904" s="13" t="s">
        <v>615</v>
      </c>
      <c r="D904" s="13">
        <v>31.44</v>
      </c>
      <c r="E904" s="13">
        <v>3</v>
      </c>
      <c r="F904" s="13">
        <f t="shared" si="14"/>
        <v>10.48</v>
      </c>
    </row>
    <row r="905" spans="2:6">
      <c r="B905" s="13" t="s">
        <v>197</v>
      </c>
      <c r="C905" s="13" t="s">
        <v>210</v>
      </c>
      <c r="D905" s="13">
        <v>83.79</v>
      </c>
      <c r="E905" s="13">
        <v>7</v>
      </c>
      <c r="F905" s="13">
        <f t="shared" si="14"/>
        <v>11.97</v>
      </c>
    </row>
    <row r="906" spans="2:6">
      <c r="B906" s="13" t="s">
        <v>1430</v>
      </c>
      <c r="C906" s="13" t="s">
        <v>1436</v>
      </c>
      <c r="D906" s="13">
        <v>59.519999999999996</v>
      </c>
      <c r="E906" s="13">
        <v>3</v>
      </c>
      <c r="F906" s="13">
        <f t="shared" si="14"/>
        <v>19.84</v>
      </c>
    </row>
    <row r="907" spans="2:6">
      <c r="B907" s="13" t="s">
        <v>1431</v>
      </c>
      <c r="C907" s="13" t="s">
        <v>609</v>
      </c>
      <c r="D907" s="13">
        <v>31.92</v>
      </c>
      <c r="E907" s="13">
        <v>4</v>
      </c>
      <c r="F907" s="13">
        <f t="shared" si="14"/>
        <v>7.98</v>
      </c>
    </row>
    <row r="908" spans="2:6">
      <c r="B908" s="13" t="s">
        <v>1437</v>
      </c>
      <c r="C908" s="13" t="s">
        <v>1438</v>
      </c>
      <c r="D908" s="13">
        <v>17.088000000000001</v>
      </c>
      <c r="E908" s="13">
        <v>2</v>
      </c>
      <c r="F908" s="13">
        <f t="shared" si="14"/>
        <v>8.5440000000000005</v>
      </c>
    </row>
    <row r="909" spans="2:6">
      <c r="B909" s="13" t="s">
        <v>1439</v>
      </c>
      <c r="C909" s="13" t="s">
        <v>1442</v>
      </c>
      <c r="D909" s="13">
        <v>4.26</v>
      </c>
      <c r="E909" s="13">
        <v>1</v>
      </c>
      <c r="F909" s="13">
        <f t="shared" si="14"/>
        <v>4.26</v>
      </c>
    </row>
    <row r="910" spans="2:6">
      <c r="B910" s="13" t="s">
        <v>1440</v>
      </c>
      <c r="C910" s="13" t="s">
        <v>1443</v>
      </c>
      <c r="D910" s="13">
        <v>811.28</v>
      </c>
      <c r="E910" s="13">
        <v>8</v>
      </c>
      <c r="F910" s="13">
        <f t="shared" si="14"/>
        <v>101.41</v>
      </c>
    </row>
    <row r="911" spans="2:6">
      <c r="B911" s="13" t="s">
        <v>1441</v>
      </c>
      <c r="C911" s="13" t="s">
        <v>1444</v>
      </c>
      <c r="D911" s="13">
        <v>6.0299999999999994</v>
      </c>
      <c r="E911" s="13">
        <v>3</v>
      </c>
      <c r="F911" s="13">
        <f t="shared" si="14"/>
        <v>2.0099999999999998</v>
      </c>
    </row>
    <row r="912" spans="2:6">
      <c r="B912" s="13" t="s">
        <v>263</v>
      </c>
      <c r="C912" s="13" t="s">
        <v>269</v>
      </c>
      <c r="D912" s="13">
        <v>6.63</v>
      </c>
      <c r="E912" s="13">
        <v>3</v>
      </c>
      <c r="F912" s="13">
        <f t="shared" si="14"/>
        <v>2.21</v>
      </c>
    </row>
    <row r="913" spans="2:6">
      <c r="B913" s="13" t="s">
        <v>636</v>
      </c>
      <c r="C913" s="13" t="s">
        <v>640</v>
      </c>
      <c r="D913" s="13">
        <v>12.96</v>
      </c>
      <c r="E913" s="13">
        <v>2</v>
      </c>
      <c r="F913" s="13">
        <f t="shared" si="14"/>
        <v>6.48</v>
      </c>
    </row>
    <row r="914" spans="2:6">
      <c r="B914" s="13" t="s">
        <v>1445</v>
      </c>
      <c r="C914" s="13" t="s">
        <v>1447</v>
      </c>
      <c r="D914" s="13">
        <v>32.400000000000006</v>
      </c>
      <c r="E914" s="13">
        <v>5</v>
      </c>
      <c r="F914" s="13">
        <f t="shared" si="14"/>
        <v>6.4800000000000013</v>
      </c>
    </row>
    <row r="915" spans="2:6">
      <c r="B915" s="13" t="s">
        <v>1446</v>
      </c>
      <c r="C915" s="13" t="s">
        <v>1448</v>
      </c>
      <c r="D915" s="13">
        <v>23.849999999999998</v>
      </c>
      <c r="E915" s="13">
        <v>5</v>
      </c>
      <c r="F915" s="13">
        <f t="shared" si="14"/>
        <v>4.7699999999999996</v>
      </c>
    </row>
    <row r="916" spans="2:6">
      <c r="B916" s="13" t="s">
        <v>1449</v>
      </c>
      <c r="C916" s="13" t="s">
        <v>1452</v>
      </c>
      <c r="D916" s="13">
        <v>11.56</v>
      </c>
      <c r="E916" s="13">
        <v>2</v>
      </c>
      <c r="F916" s="13">
        <f t="shared" si="14"/>
        <v>5.78</v>
      </c>
    </row>
    <row r="917" spans="2:6">
      <c r="B917" s="13" t="s">
        <v>128</v>
      </c>
      <c r="C917" s="13" t="s">
        <v>134</v>
      </c>
      <c r="D917" s="13">
        <v>26.400000000000002</v>
      </c>
      <c r="E917" s="13">
        <v>5</v>
      </c>
      <c r="F917" s="13">
        <f t="shared" si="14"/>
        <v>5.28</v>
      </c>
    </row>
    <row r="918" spans="2:6">
      <c r="B918" s="13" t="s">
        <v>1450</v>
      </c>
      <c r="C918" s="13" t="s">
        <v>1453</v>
      </c>
      <c r="D918" s="13">
        <v>69.08</v>
      </c>
      <c r="E918" s="13">
        <v>11</v>
      </c>
      <c r="F918" s="13">
        <f t="shared" si="14"/>
        <v>6.28</v>
      </c>
    </row>
    <row r="919" spans="2:6">
      <c r="B919" s="13" t="s">
        <v>1451</v>
      </c>
      <c r="C919" s="13" t="s">
        <v>1454</v>
      </c>
      <c r="D919" s="13">
        <v>35.880000000000003</v>
      </c>
      <c r="E919" s="13">
        <v>3</v>
      </c>
      <c r="F919" s="13">
        <f t="shared" si="14"/>
        <v>11.96</v>
      </c>
    </row>
    <row r="920" spans="2:6">
      <c r="B920" s="13" t="s">
        <v>1455</v>
      </c>
      <c r="C920" s="13" t="s">
        <v>1456</v>
      </c>
      <c r="D920" s="13">
        <v>184.66</v>
      </c>
      <c r="E920" s="13">
        <v>7</v>
      </c>
      <c r="F920" s="13">
        <f t="shared" si="14"/>
        <v>26.38</v>
      </c>
    </row>
    <row r="921" spans="2:6">
      <c r="B921" s="13" t="s">
        <v>1457</v>
      </c>
      <c r="C921" s="13" t="s">
        <v>1460</v>
      </c>
      <c r="D921" s="13">
        <v>8.56</v>
      </c>
      <c r="E921" s="13">
        <v>2</v>
      </c>
      <c r="F921" s="13">
        <f t="shared" si="14"/>
        <v>4.28</v>
      </c>
    </row>
    <row r="922" spans="2:6">
      <c r="B922" s="13" t="s">
        <v>613</v>
      </c>
      <c r="C922" s="13" t="s">
        <v>615</v>
      </c>
      <c r="D922" s="13">
        <v>52.400000000000006</v>
      </c>
      <c r="E922" s="13">
        <v>5</v>
      </c>
      <c r="F922" s="13">
        <f t="shared" si="14"/>
        <v>10.48</v>
      </c>
    </row>
    <row r="923" spans="2:6">
      <c r="B923" s="13" t="s">
        <v>1458</v>
      </c>
      <c r="C923" s="13" t="s">
        <v>1461</v>
      </c>
      <c r="D923" s="13">
        <v>14.940000000000001</v>
      </c>
      <c r="E923" s="13">
        <v>3</v>
      </c>
      <c r="F923" s="13">
        <f t="shared" si="14"/>
        <v>4.9800000000000004</v>
      </c>
    </row>
    <row r="924" spans="2:6">
      <c r="B924" s="13" t="s">
        <v>1459</v>
      </c>
      <c r="C924" s="13" t="s">
        <v>1462</v>
      </c>
      <c r="D924" s="13">
        <v>11.22</v>
      </c>
      <c r="E924" s="13">
        <v>3</v>
      </c>
      <c r="F924" s="13">
        <f t="shared" si="14"/>
        <v>3.74</v>
      </c>
    </row>
    <row r="925" spans="2:6">
      <c r="B925" s="13" t="s">
        <v>1463</v>
      </c>
      <c r="C925" s="13" t="s">
        <v>1464</v>
      </c>
      <c r="D925" s="13">
        <v>5.9520000000000008</v>
      </c>
      <c r="E925" s="13">
        <v>1</v>
      </c>
      <c r="F925" s="13">
        <f t="shared" si="14"/>
        <v>5.9520000000000008</v>
      </c>
    </row>
    <row r="926" spans="2:6">
      <c r="B926" s="13" t="s">
        <v>1465</v>
      </c>
      <c r="C926" s="13" t="s">
        <v>1466</v>
      </c>
      <c r="D926" s="13">
        <v>129.30000000000001</v>
      </c>
      <c r="E926" s="13">
        <v>2</v>
      </c>
      <c r="F926" s="13">
        <f t="shared" si="14"/>
        <v>64.650000000000006</v>
      </c>
    </row>
    <row r="927" spans="2:6">
      <c r="B927" s="13" t="s">
        <v>1450</v>
      </c>
      <c r="C927" s="13" t="s">
        <v>1453</v>
      </c>
      <c r="D927" s="13">
        <v>18.84</v>
      </c>
      <c r="E927" s="13">
        <v>3</v>
      </c>
      <c r="F927" s="13">
        <f t="shared" si="14"/>
        <v>6.28</v>
      </c>
    </row>
    <row r="928" spans="2:6">
      <c r="B928" s="13" t="s">
        <v>1467</v>
      </c>
      <c r="C928" s="13" t="s">
        <v>1469</v>
      </c>
      <c r="D928" s="13">
        <v>8.64</v>
      </c>
      <c r="E928" s="13">
        <v>3</v>
      </c>
      <c r="F928" s="13">
        <f t="shared" si="14"/>
        <v>2.8800000000000003</v>
      </c>
    </row>
    <row r="929" spans="2:6">
      <c r="B929" s="13" t="s">
        <v>1468</v>
      </c>
      <c r="C929" s="13" t="s">
        <v>1470</v>
      </c>
      <c r="D929" s="13">
        <v>1633.1880000000003</v>
      </c>
      <c r="E929" s="13">
        <v>4</v>
      </c>
      <c r="F929" s="13">
        <f t="shared" si="14"/>
        <v>408.29700000000008</v>
      </c>
    </row>
    <row r="930" spans="2:6">
      <c r="B930" s="13" t="s">
        <v>435</v>
      </c>
      <c r="C930" s="13" t="s">
        <v>441</v>
      </c>
      <c r="D930" s="13">
        <v>19.760000000000002</v>
      </c>
      <c r="E930" s="13">
        <v>4</v>
      </c>
      <c r="F930" s="13">
        <f t="shared" si="14"/>
        <v>4.9400000000000004</v>
      </c>
    </row>
    <row r="931" spans="2:6">
      <c r="B931" s="13" t="s">
        <v>1471</v>
      </c>
      <c r="C931" s="13" t="s">
        <v>1474</v>
      </c>
      <c r="D931" s="13">
        <v>90.99</v>
      </c>
      <c r="E931" s="13">
        <v>1</v>
      </c>
      <c r="F931" s="13">
        <f t="shared" si="14"/>
        <v>90.99</v>
      </c>
    </row>
    <row r="932" spans="2:6">
      <c r="B932" s="13" t="s">
        <v>1125</v>
      </c>
      <c r="C932" s="13" t="s">
        <v>1127</v>
      </c>
      <c r="D932" s="13">
        <v>1526.5600000000002</v>
      </c>
      <c r="E932" s="13">
        <v>7</v>
      </c>
      <c r="F932" s="13">
        <f t="shared" si="14"/>
        <v>218.08</v>
      </c>
    </row>
    <row r="933" spans="2:6">
      <c r="B933" s="13" t="s">
        <v>970</v>
      </c>
      <c r="C933" s="13" t="s">
        <v>973</v>
      </c>
      <c r="D933" s="13">
        <v>368.96999999999997</v>
      </c>
      <c r="E933" s="13">
        <v>3</v>
      </c>
      <c r="F933" s="13">
        <f t="shared" si="14"/>
        <v>122.99</v>
      </c>
    </row>
    <row r="934" spans="2:6">
      <c r="B934" s="13" t="s">
        <v>1472</v>
      </c>
      <c r="C934" s="13" t="s">
        <v>1475</v>
      </c>
      <c r="D934" s="13">
        <v>305.01</v>
      </c>
      <c r="E934" s="13">
        <v>9</v>
      </c>
      <c r="F934" s="13">
        <f t="shared" si="14"/>
        <v>33.89</v>
      </c>
    </row>
    <row r="935" spans="2:6">
      <c r="B935" s="13" t="s">
        <v>1473</v>
      </c>
      <c r="C935" s="13" t="s">
        <v>1476</v>
      </c>
      <c r="D935" s="13">
        <v>18.7</v>
      </c>
      <c r="E935" s="13">
        <v>1</v>
      </c>
      <c r="F935" s="13">
        <f t="shared" si="14"/>
        <v>18.7</v>
      </c>
    </row>
    <row r="936" spans="2:6">
      <c r="B936" s="13" t="s">
        <v>1477</v>
      </c>
      <c r="C936" s="13" t="s">
        <v>1483</v>
      </c>
      <c r="D936" s="13">
        <v>26.25</v>
      </c>
      <c r="E936" s="13">
        <v>3</v>
      </c>
      <c r="F936" s="13">
        <f t="shared" si="14"/>
        <v>8.75</v>
      </c>
    </row>
    <row r="937" spans="2:6">
      <c r="B937" s="13" t="s">
        <v>1478</v>
      </c>
      <c r="C937" s="13" t="s">
        <v>1484</v>
      </c>
      <c r="D937" s="13">
        <v>64.959999999999994</v>
      </c>
      <c r="E937" s="13">
        <v>14</v>
      </c>
      <c r="F937" s="13">
        <f t="shared" si="14"/>
        <v>4.6399999999999997</v>
      </c>
    </row>
    <row r="938" spans="2:6">
      <c r="B938" s="13" t="s">
        <v>575</v>
      </c>
      <c r="C938" s="13" t="s">
        <v>578</v>
      </c>
      <c r="D938" s="13">
        <v>43.7</v>
      </c>
      <c r="E938" s="13">
        <v>5</v>
      </c>
      <c r="F938" s="13">
        <f t="shared" si="14"/>
        <v>8.74</v>
      </c>
    </row>
    <row r="939" spans="2:6">
      <c r="B939" s="13" t="s">
        <v>1105</v>
      </c>
      <c r="C939" s="13" t="s">
        <v>1107</v>
      </c>
      <c r="D939" s="13">
        <v>41.6</v>
      </c>
      <c r="E939" s="13">
        <v>4</v>
      </c>
      <c r="F939" s="13">
        <f t="shared" si="14"/>
        <v>10.4</v>
      </c>
    </row>
    <row r="940" spans="2:6">
      <c r="B940" s="13" t="s">
        <v>1479</v>
      </c>
      <c r="C940" s="13" t="s">
        <v>1485</v>
      </c>
      <c r="D940" s="13">
        <v>23.120000000000005</v>
      </c>
      <c r="E940" s="13">
        <v>5</v>
      </c>
      <c r="F940" s="13">
        <f t="shared" si="14"/>
        <v>4.6240000000000006</v>
      </c>
    </row>
    <row r="941" spans="2:6">
      <c r="B941" s="13" t="s">
        <v>1480</v>
      </c>
      <c r="C941" s="13" t="s">
        <v>1486</v>
      </c>
      <c r="D941" s="13">
        <v>113.88800000000002</v>
      </c>
      <c r="E941" s="13">
        <v>2</v>
      </c>
      <c r="F941" s="13">
        <f t="shared" si="14"/>
        <v>56.94400000000001</v>
      </c>
    </row>
    <row r="942" spans="2:6">
      <c r="B942" s="13" t="s">
        <v>1481</v>
      </c>
      <c r="C942" s="13" t="s">
        <v>1487</v>
      </c>
      <c r="D942" s="13">
        <v>113.56800000000001</v>
      </c>
      <c r="E942" s="13">
        <v>2</v>
      </c>
      <c r="F942" s="13">
        <f t="shared" si="14"/>
        <v>56.784000000000006</v>
      </c>
    </row>
    <row r="943" spans="2:6">
      <c r="B943" s="13" t="s">
        <v>305</v>
      </c>
      <c r="C943" s="13" t="s">
        <v>314</v>
      </c>
      <c r="D943" s="13">
        <v>7.9200000000000008</v>
      </c>
      <c r="E943" s="13">
        <v>2</v>
      </c>
      <c r="F943" s="13">
        <f t="shared" si="14"/>
        <v>3.9600000000000004</v>
      </c>
    </row>
    <row r="944" spans="2:6">
      <c r="B944" s="13" t="s">
        <v>1482</v>
      </c>
      <c r="C944" s="13" t="s">
        <v>1488</v>
      </c>
      <c r="D944" s="13">
        <v>671.98400000000004</v>
      </c>
      <c r="E944" s="13">
        <v>2</v>
      </c>
      <c r="F944" s="13">
        <f t="shared" si="14"/>
        <v>335.99200000000002</v>
      </c>
    </row>
    <row r="945" spans="2:6">
      <c r="B945" s="13" t="s">
        <v>1489</v>
      </c>
      <c r="C945" s="13" t="s">
        <v>1490</v>
      </c>
      <c r="D945" s="13">
        <v>191.64600000000002</v>
      </c>
      <c r="E945" s="13">
        <v>3</v>
      </c>
      <c r="F945" s="13">
        <f t="shared" si="14"/>
        <v>63.882000000000005</v>
      </c>
    </row>
    <row r="946" spans="2:6">
      <c r="B946" s="13" t="s">
        <v>433</v>
      </c>
      <c r="C946" s="13" t="s">
        <v>439</v>
      </c>
      <c r="D946" s="13">
        <v>2.3130000000000002</v>
      </c>
      <c r="E946" s="13">
        <v>1</v>
      </c>
      <c r="F946" s="13">
        <f t="shared" si="14"/>
        <v>2.3130000000000002</v>
      </c>
    </row>
    <row r="947" spans="2:6">
      <c r="B947" s="13" t="s">
        <v>1491</v>
      </c>
      <c r="C947" s="13" t="s">
        <v>1495</v>
      </c>
      <c r="D947" s="13">
        <v>20.34</v>
      </c>
      <c r="E947" s="13">
        <v>3</v>
      </c>
      <c r="F947" s="13">
        <f t="shared" si="14"/>
        <v>6.78</v>
      </c>
    </row>
    <row r="948" spans="2:6">
      <c r="B948" s="13" t="s">
        <v>1492</v>
      </c>
      <c r="C948" s="13" t="s">
        <v>1496</v>
      </c>
      <c r="D948" s="13">
        <v>39.28</v>
      </c>
      <c r="E948" s="13">
        <v>8</v>
      </c>
      <c r="F948" s="13">
        <f t="shared" si="14"/>
        <v>4.91</v>
      </c>
    </row>
    <row r="949" spans="2:6">
      <c r="B949" s="13" t="s">
        <v>43</v>
      </c>
      <c r="C949" s="13" t="s">
        <v>44</v>
      </c>
      <c r="D949" s="13">
        <v>81.567999999999998</v>
      </c>
      <c r="E949" s="13">
        <v>2</v>
      </c>
      <c r="F949" s="13">
        <f t="shared" si="14"/>
        <v>40.783999999999999</v>
      </c>
    </row>
    <row r="950" spans="2:6">
      <c r="B950" s="13" t="s">
        <v>1493</v>
      </c>
      <c r="C950" s="13" t="s">
        <v>1497</v>
      </c>
      <c r="D950" s="13">
        <v>97.184000000000012</v>
      </c>
      <c r="E950" s="13">
        <v>2</v>
      </c>
      <c r="F950" s="13">
        <f t="shared" si="14"/>
        <v>48.592000000000006</v>
      </c>
    </row>
    <row r="951" spans="2:6">
      <c r="B951" s="13" t="s">
        <v>328</v>
      </c>
      <c r="C951" s="13" t="s">
        <v>335</v>
      </c>
      <c r="D951" s="13">
        <v>24.320000000000004</v>
      </c>
      <c r="E951" s="13">
        <v>5</v>
      </c>
      <c r="F951" s="13">
        <f t="shared" si="14"/>
        <v>4.8640000000000008</v>
      </c>
    </row>
    <row r="952" spans="2:6">
      <c r="B952" s="13" t="s">
        <v>1494</v>
      </c>
      <c r="C952" s="13" t="s">
        <v>1498</v>
      </c>
      <c r="D952" s="13">
        <v>18.96</v>
      </c>
      <c r="E952" s="13">
        <v>2</v>
      </c>
      <c r="F952" s="13">
        <f t="shared" si="14"/>
        <v>9.48</v>
      </c>
    </row>
    <row r="953" spans="2:6">
      <c r="B953" s="13" t="s">
        <v>1183</v>
      </c>
      <c r="C953" s="13" t="s">
        <v>1191</v>
      </c>
      <c r="D953" s="13">
        <v>499.58400000000006</v>
      </c>
      <c r="E953" s="13">
        <v>3</v>
      </c>
      <c r="F953" s="13">
        <f t="shared" si="14"/>
        <v>166.52800000000002</v>
      </c>
    </row>
    <row r="954" spans="2:6">
      <c r="B954" s="13" t="s">
        <v>1499</v>
      </c>
      <c r="C954" s="13" t="s">
        <v>1503</v>
      </c>
      <c r="D954" s="13">
        <v>31.104000000000006</v>
      </c>
      <c r="E954" s="13">
        <v>6</v>
      </c>
      <c r="F954" s="13">
        <f t="shared" si="14"/>
        <v>5.1840000000000011</v>
      </c>
    </row>
    <row r="955" spans="2:6">
      <c r="B955" s="13" t="s">
        <v>1500</v>
      </c>
      <c r="C955" s="13" t="s">
        <v>1504</v>
      </c>
      <c r="D955" s="13">
        <v>13.272000000000002</v>
      </c>
      <c r="E955" s="13">
        <v>8</v>
      </c>
      <c r="F955" s="13">
        <f t="shared" si="14"/>
        <v>1.6590000000000003</v>
      </c>
    </row>
    <row r="956" spans="2:6">
      <c r="B956" s="13" t="s">
        <v>1501</v>
      </c>
      <c r="C956" s="13" t="s">
        <v>1505</v>
      </c>
      <c r="D956" s="13">
        <v>28.272000000000006</v>
      </c>
      <c r="E956" s="13">
        <v>2</v>
      </c>
      <c r="F956" s="13">
        <f t="shared" si="14"/>
        <v>14.136000000000003</v>
      </c>
    </row>
    <row r="957" spans="2:6">
      <c r="B957" s="13" t="s">
        <v>406</v>
      </c>
      <c r="C957" s="13" t="s">
        <v>412</v>
      </c>
      <c r="D957" s="13">
        <v>259.13600000000002</v>
      </c>
      <c r="E957" s="13">
        <v>4</v>
      </c>
      <c r="F957" s="13">
        <f t="shared" si="14"/>
        <v>64.784000000000006</v>
      </c>
    </row>
    <row r="958" spans="2:6">
      <c r="B958" s="13" t="s">
        <v>1502</v>
      </c>
      <c r="C958" s="13" t="s">
        <v>1506</v>
      </c>
      <c r="D958" s="13">
        <v>10.8</v>
      </c>
      <c r="E958" s="13">
        <v>5</v>
      </c>
      <c r="F958" s="13">
        <f t="shared" si="14"/>
        <v>2.16</v>
      </c>
    </row>
    <row r="959" spans="2:6">
      <c r="B959" s="13" t="s">
        <v>1507</v>
      </c>
      <c r="C959" s="13" t="s">
        <v>1508</v>
      </c>
      <c r="D959" s="13">
        <v>188.55199999999996</v>
      </c>
      <c r="E959" s="13">
        <v>7</v>
      </c>
      <c r="F959" s="13">
        <f t="shared" si="14"/>
        <v>26.935999999999996</v>
      </c>
    </row>
    <row r="960" spans="2:6">
      <c r="B960" s="13" t="s">
        <v>1223</v>
      </c>
      <c r="C960" s="13" t="s">
        <v>1226</v>
      </c>
      <c r="D960" s="13">
        <v>22.58</v>
      </c>
      <c r="E960" s="13">
        <v>2</v>
      </c>
      <c r="F960" s="13">
        <f t="shared" si="14"/>
        <v>11.29</v>
      </c>
    </row>
    <row r="961" spans="2:6">
      <c r="B961" s="13" t="s">
        <v>997</v>
      </c>
      <c r="C961" s="13" t="s">
        <v>999</v>
      </c>
      <c r="D961" s="13">
        <v>895.92</v>
      </c>
      <c r="E961" s="13">
        <v>4</v>
      </c>
      <c r="F961" s="13">
        <f t="shared" si="14"/>
        <v>223.98</v>
      </c>
    </row>
    <row r="962" spans="2:6">
      <c r="B962" s="13" t="s">
        <v>1509</v>
      </c>
      <c r="C962" s="13" t="s">
        <v>1510</v>
      </c>
      <c r="D962" s="13">
        <v>33.375999999999998</v>
      </c>
      <c r="E962" s="13">
        <v>4</v>
      </c>
      <c r="F962" s="13">
        <f t="shared" si="14"/>
        <v>8.3439999999999994</v>
      </c>
    </row>
    <row r="963" spans="2:6">
      <c r="B963" s="13" t="s">
        <v>1511</v>
      </c>
      <c r="C963" s="13" t="s">
        <v>1512</v>
      </c>
      <c r="D963" s="13">
        <v>904.9</v>
      </c>
      <c r="E963" s="13">
        <v>5</v>
      </c>
      <c r="F963" s="13">
        <f t="shared" si="14"/>
        <v>180.98</v>
      </c>
    </row>
    <row r="964" spans="2:6">
      <c r="B964" s="13" t="s">
        <v>1513</v>
      </c>
      <c r="C964" s="13" t="s">
        <v>1516</v>
      </c>
      <c r="D964" s="13">
        <v>12.030000000000001</v>
      </c>
      <c r="E964" s="13">
        <v>5</v>
      </c>
      <c r="F964" s="13">
        <f t="shared" ref="F964:F1027" si="15">D964/E964</f>
        <v>2.4060000000000001</v>
      </c>
    </row>
    <row r="965" spans="2:6">
      <c r="B965" s="13" t="s">
        <v>570</v>
      </c>
      <c r="C965" s="13" t="s">
        <v>573</v>
      </c>
      <c r="D965" s="13">
        <v>2549.9850000000006</v>
      </c>
      <c r="E965" s="13">
        <v>5</v>
      </c>
      <c r="F965" s="13">
        <f t="shared" si="15"/>
        <v>509.99700000000013</v>
      </c>
    </row>
    <row r="966" spans="2:6">
      <c r="B966" s="13" t="s">
        <v>233</v>
      </c>
      <c r="C966" s="13" t="s">
        <v>238</v>
      </c>
      <c r="D966" s="13">
        <v>21.594000000000005</v>
      </c>
      <c r="E966" s="13">
        <v>2</v>
      </c>
      <c r="F966" s="13">
        <f t="shared" si="15"/>
        <v>10.797000000000002</v>
      </c>
    </row>
    <row r="967" spans="2:6">
      <c r="B967" s="13" t="s">
        <v>1514</v>
      </c>
      <c r="C967" s="13" t="s">
        <v>1517</v>
      </c>
      <c r="D967" s="13">
        <v>8.9640000000000022</v>
      </c>
      <c r="E967" s="13">
        <v>6</v>
      </c>
      <c r="F967" s="13">
        <f t="shared" si="15"/>
        <v>1.4940000000000004</v>
      </c>
    </row>
    <row r="968" spans="2:6">
      <c r="B968" s="13" t="s">
        <v>1515</v>
      </c>
      <c r="C968" s="13" t="s">
        <v>1518</v>
      </c>
      <c r="D968" s="13">
        <v>20.736000000000004</v>
      </c>
      <c r="E968" s="13">
        <v>4</v>
      </c>
      <c r="F968" s="13">
        <f t="shared" si="15"/>
        <v>5.1840000000000011</v>
      </c>
    </row>
    <row r="969" spans="2:6">
      <c r="B969" s="13" t="s">
        <v>1519</v>
      </c>
      <c r="C969" s="13" t="s">
        <v>1520</v>
      </c>
      <c r="D969" s="13">
        <v>327.73279999999994</v>
      </c>
      <c r="E969" s="13">
        <v>2</v>
      </c>
      <c r="F969" s="13">
        <f t="shared" si="15"/>
        <v>163.86639999999997</v>
      </c>
    </row>
    <row r="970" spans="2:6">
      <c r="B970" s="13" t="s">
        <v>1521</v>
      </c>
      <c r="C970" s="13" t="s">
        <v>1522</v>
      </c>
      <c r="D970" s="13">
        <v>254.35200000000003</v>
      </c>
      <c r="E970" s="13">
        <v>3</v>
      </c>
      <c r="F970" s="13">
        <f t="shared" si="15"/>
        <v>84.784000000000006</v>
      </c>
    </row>
    <row r="971" spans="2:6">
      <c r="B971" s="13" t="s">
        <v>1523</v>
      </c>
      <c r="C971" s="13" t="s">
        <v>1524</v>
      </c>
      <c r="D971" s="13">
        <v>504.90000000000003</v>
      </c>
      <c r="E971" s="13">
        <v>5</v>
      </c>
      <c r="F971" s="13">
        <f t="shared" si="15"/>
        <v>100.98</v>
      </c>
    </row>
    <row r="972" spans="2:6">
      <c r="B972" s="13" t="s">
        <v>915</v>
      </c>
      <c r="C972" s="13" t="s">
        <v>917</v>
      </c>
      <c r="D972" s="13">
        <v>20.736000000000004</v>
      </c>
      <c r="E972" s="13">
        <v>4</v>
      </c>
      <c r="F972" s="13">
        <f t="shared" si="15"/>
        <v>5.1840000000000011</v>
      </c>
    </row>
    <row r="973" spans="2:6">
      <c r="B973" s="13" t="s">
        <v>1525</v>
      </c>
      <c r="C973" s="13" t="s">
        <v>1526</v>
      </c>
      <c r="D973" s="13">
        <v>171.28800000000001</v>
      </c>
      <c r="E973" s="13">
        <v>3</v>
      </c>
      <c r="F973" s="13">
        <f t="shared" si="15"/>
        <v>57.096000000000004</v>
      </c>
    </row>
    <row r="974" spans="2:6">
      <c r="B974" s="13" t="s">
        <v>636</v>
      </c>
      <c r="C974" s="13" t="s">
        <v>640</v>
      </c>
      <c r="D974" s="13">
        <v>12.96</v>
      </c>
      <c r="E974" s="13">
        <v>2</v>
      </c>
      <c r="F974" s="13">
        <f t="shared" si="15"/>
        <v>6.48</v>
      </c>
    </row>
    <row r="975" spans="2:6">
      <c r="B975" s="13" t="s">
        <v>1527</v>
      </c>
      <c r="C975" s="13" t="s">
        <v>1529</v>
      </c>
      <c r="D975" s="13">
        <v>22.18</v>
      </c>
      <c r="E975" s="13">
        <v>2</v>
      </c>
      <c r="F975" s="13">
        <f t="shared" si="15"/>
        <v>11.09</v>
      </c>
    </row>
    <row r="976" spans="2:6">
      <c r="B976" s="13" t="s">
        <v>1528</v>
      </c>
      <c r="C976" s="13" t="s">
        <v>1530</v>
      </c>
      <c r="D976" s="13">
        <v>2054.2720000000004</v>
      </c>
      <c r="E976" s="13">
        <v>8</v>
      </c>
      <c r="F976" s="13">
        <f t="shared" si="15"/>
        <v>256.78400000000005</v>
      </c>
    </row>
    <row r="977" spans="2:6">
      <c r="B977" s="13" t="s">
        <v>1531</v>
      </c>
      <c r="C977" s="13" t="s">
        <v>1533</v>
      </c>
      <c r="D977" s="13">
        <v>13.899999999999999</v>
      </c>
      <c r="E977" s="13">
        <v>5</v>
      </c>
      <c r="F977" s="13">
        <f t="shared" si="15"/>
        <v>2.78</v>
      </c>
    </row>
    <row r="978" spans="2:6">
      <c r="B978" s="13" t="s">
        <v>1532</v>
      </c>
      <c r="C978" s="13" t="s">
        <v>46</v>
      </c>
      <c r="D978" s="13">
        <v>26.38</v>
      </c>
      <c r="E978" s="13">
        <v>1</v>
      </c>
      <c r="F978" s="13">
        <f t="shared" si="15"/>
        <v>26.38</v>
      </c>
    </row>
    <row r="979" spans="2:6">
      <c r="B979" s="13" t="s">
        <v>1086</v>
      </c>
      <c r="C979" s="13" t="s">
        <v>1090</v>
      </c>
      <c r="D979" s="13">
        <v>411.8</v>
      </c>
      <c r="E979" s="13">
        <v>2</v>
      </c>
      <c r="F979" s="13">
        <f t="shared" si="15"/>
        <v>205.9</v>
      </c>
    </row>
    <row r="980" spans="2:6">
      <c r="B980" s="13" t="s">
        <v>1534</v>
      </c>
      <c r="C980" s="13" t="s">
        <v>1538</v>
      </c>
      <c r="D980" s="13">
        <v>360</v>
      </c>
      <c r="E980" s="13">
        <v>4</v>
      </c>
      <c r="F980" s="13">
        <f t="shared" si="15"/>
        <v>90</v>
      </c>
    </row>
    <row r="981" spans="2:6">
      <c r="B981" s="13" t="s">
        <v>1535</v>
      </c>
      <c r="C981" s="13" t="s">
        <v>1539</v>
      </c>
      <c r="D981" s="13">
        <v>41.96</v>
      </c>
      <c r="E981" s="13">
        <v>2</v>
      </c>
      <c r="F981" s="13">
        <f t="shared" si="15"/>
        <v>20.98</v>
      </c>
    </row>
    <row r="982" spans="2:6">
      <c r="B982" s="13" t="s">
        <v>1536</v>
      </c>
      <c r="C982" s="13" t="s">
        <v>1540</v>
      </c>
      <c r="D982" s="13">
        <v>227.84</v>
      </c>
      <c r="E982" s="13">
        <v>4</v>
      </c>
      <c r="F982" s="13">
        <f t="shared" si="15"/>
        <v>56.96</v>
      </c>
    </row>
    <row r="983" spans="2:6">
      <c r="B983" s="13" t="s">
        <v>1537</v>
      </c>
      <c r="C983" s="13" t="s">
        <v>1541</v>
      </c>
      <c r="D983" s="13">
        <v>37.94</v>
      </c>
      <c r="E983" s="13">
        <v>2</v>
      </c>
      <c r="F983" s="13">
        <f t="shared" si="15"/>
        <v>18.97</v>
      </c>
    </row>
    <row r="984" spans="2:6">
      <c r="B984" s="13" t="s">
        <v>1542</v>
      </c>
      <c r="C984" s="13" t="s">
        <v>1544</v>
      </c>
      <c r="D984" s="13">
        <v>8.9600000000000009</v>
      </c>
      <c r="E984" s="13">
        <v>2</v>
      </c>
      <c r="F984" s="13">
        <f t="shared" si="15"/>
        <v>4.4800000000000004</v>
      </c>
    </row>
    <row r="985" spans="2:6">
      <c r="B985" s="13" t="s">
        <v>1026</v>
      </c>
      <c r="C985" s="13" t="s">
        <v>1047</v>
      </c>
      <c r="D985" s="13">
        <v>31.5</v>
      </c>
      <c r="E985" s="13">
        <v>10</v>
      </c>
      <c r="F985" s="13">
        <f t="shared" si="15"/>
        <v>3.15</v>
      </c>
    </row>
    <row r="986" spans="2:6">
      <c r="B986" s="13" t="s">
        <v>472</v>
      </c>
      <c r="C986" s="13" t="s">
        <v>473</v>
      </c>
      <c r="D986" s="13">
        <v>30.56</v>
      </c>
      <c r="E986" s="13">
        <v>2</v>
      </c>
      <c r="F986" s="13">
        <f t="shared" si="15"/>
        <v>15.28</v>
      </c>
    </row>
    <row r="987" spans="2:6">
      <c r="B987" s="13" t="s">
        <v>1543</v>
      </c>
      <c r="C987" s="13" t="s">
        <v>1545</v>
      </c>
      <c r="D987" s="13">
        <v>24.368000000000002</v>
      </c>
      <c r="E987" s="13">
        <v>2</v>
      </c>
      <c r="F987" s="13">
        <f t="shared" si="15"/>
        <v>12.184000000000001</v>
      </c>
    </row>
    <row r="988" spans="2:6">
      <c r="B988" s="13" t="s">
        <v>1546</v>
      </c>
      <c r="C988" s="13" t="s">
        <v>1547</v>
      </c>
      <c r="D988" s="13">
        <v>26.880000000000003</v>
      </c>
      <c r="E988" s="13">
        <v>8</v>
      </c>
      <c r="F988" s="13">
        <f t="shared" si="15"/>
        <v>3.3600000000000003</v>
      </c>
    </row>
    <row r="989" spans="2:6">
      <c r="B989" s="13" t="s">
        <v>55</v>
      </c>
      <c r="C989" s="13" t="s">
        <v>58</v>
      </c>
      <c r="D989" s="13">
        <v>90.8</v>
      </c>
      <c r="E989" s="13">
        <v>8</v>
      </c>
      <c r="F989" s="13">
        <f t="shared" si="15"/>
        <v>11.35</v>
      </c>
    </row>
    <row r="990" spans="2:6">
      <c r="B990" s="13" t="s">
        <v>1548</v>
      </c>
      <c r="C990" s="13" t="s">
        <v>1552</v>
      </c>
      <c r="D990" s="13">
        <v>140.73599999999999</v>
      </c>
      <c r="E990" s="13">
        <v>8</v>
      </c>
      <c r="F990" s="13">
        <f t="shared" si="15"/>
        <v>17.591999999999999</v>
      </c>
    </row>
    <row r="991" spans="2:6">
      <c r="B991" s="13" t="s">
        <v>1549</v>
      </c>
      <c r="C991" s="13" t="s">
        <v>1553</v>
      </c>
      <c r="D991" s="13">
        <v>214.95000000000002</v>
      </c>
      <c r="E991" s="13">
        <v>5</v>
      </c>
      <c r="F991" s="13">
        <f t="shared" si="15"/>
        <v>42.99</v>
      </c>
    </row>
    <row r="992" spans="2:6">
      <c r="B992" s="13" t="s">
        <v>1550</v>
      </c>
      <c r="C992" s="13" t="s">
        <v>1554</v>
      </c>
      <c r="D992" s="13">
        <v>45.36</v>
      </c>
      <c r="E992" s="13">
        <v>7</v>
      </c>
      <c r="F992" s="13">
        <f t="shared" si="15"/>
        <v>6.4799999999999995</v>
      </c>
    </row>
    <row r="993" spans="2:6">
      <c r="B993" s="13" t="s">
        <v>1372</v>
      </c>
      <c r="C993" s="13" t="s">
        <v>1375</v>
      </c>
      <c r="D993" s="13">
        <v>288.24</v>
      </c>
      <c r="E993" s="13">
        <v>6</v>
      </c>
      <c r="F993" s="13">
        <f t="shared" si="15"/>
        <v>48.04</v>
      </c>
    </row>
    <row r="994" spans="2:6">
      <c r="B994" s="13" t="s">
        <v>1551</v>
      </c>
      <c r="C994" s="13" t="s">
        <v>1555</v>
      </c>
      <c r="D994" s="13">
        <v>663.93600000000004</v>
      </c>
      <c r="E994" s="13">
        <v>4</v>
      </c>
      <c r="F994" s="13">
        <f t="shared" si="15"/>
        <v>165.98400000000001</v>
      </c>
    </row>
    <row r="995" spans="2:6">
      <c r="B995" s="13" t="s">
        <v>1499</v>
      </c>
      <c r="C995" s="13" t="s">
        <v>1503</v>
      </c>
      <c r="D995" s="13">
        <v>12.96</v>
      </c>
      <c r="E995" s="13">
        <v>2</v>
      </c>
      <c r="F995" s="13">
        <f t="shared" si="15"/>
        <v>6.48</v>
      </c>
    </row>
    <row r="996" spans="2:6">
      <c r="B996" s="13" t="s">
        <v>1556</v>
      </c>
      <c r="C996" s="13" t="s">
        <v>1557</v>
      </c>
      <c r="D996" s="13">
        <v>43.176000000000002</v>
      </c>
      <c r="E996" s="13">
        <v>3</v>
      </c>
      <c r="F996" s="13">
        <f t="shared" si="15"/>
        <v>14.392000000000001</v>
      </c>
    </row>
    <row r="997" spans="2:6">
      <c r="B997" s="13" t="s">
        <v>626</v>
      </c>
      <c r="C997" s="13" t="s">
        <v>628</v>
      </c>
      <c r="D997" s="13">
        <v>58.34</v>
      </c>
      <c r="E997" s="13">
        <v>2</v>
      </c>
      <c r="F997" s="13">
        <f t="shared" si="15"/>
        <v>29.17</v>
      </c>
    </row>
    <row r="998" spans="2:6">
      <c r="B998" s="13" t="s">
        <v>1358</v>
      </c>
      <c r="C998" s="13" t="s">
        <v>1360</v>
      </c>
      <c r="D998" s="13">
        <v>539.97</v>
      </c>
      <c r="E998" s="13">
        <v>3</v>
      </c>
      <c r="F998" s="13">
        <f t="shared" si="15"/>
        <v>179.99</v>
      </c>
    </row>
    <row r="999" spans="2:6">
      <c r="B999" s="13" t="s">
        <v>1558</v>
      </c>
      <c r="C999" s="13" t="s">
        <v>1562</v>
      </c>
      <c r="D999" s="13">
        <v>252.78399999999996</v>
      </c>
      <c r="E999" s="13">
        <v>4</v>
      </c>
      <c r="F999" s="13">
        <f t="shared" si="15"/>
        <v>63.195999999999991</v>
      </c>
    </row>
    <row r="1000" spans="2:6">
      <c r="B1000" s="13" t="s">
        <v>452</v>
      </c>
      <c r="C1000" s="13" t="s">
        <v>454</v>
      </c>
      <c r="D1000" s="13">
        <v>127.98399999999999</v>
      </c>
      <c r="E1000" s="13">
        <v>2</v>
      </c>
      <c r="F1000" s="13">
        <f t="shared" si="15"/>
        <v>63.991999999999997</v>
      </c>
    </row>
    <row r="1001" spans="2:6">
      <c r="B1001" s="13" t="s">
        <v>1559</v>
      </c>
      <c r="C1001" s="13" t="s">
        <v>1563</v>
      </c>
      <c r="D1001" s="13">
        <v>3.9840000000000004</v>
      </c>
      <c r="E1001" s="13">
        <v>2</v>
      </c>
      <c r="F1001" s="13">
        <f t="shared" si="15"/>
        <v>1.9920000000000002</v>
      </c>
    </row>
    <row r="1002" spans="2:6">
      <c r="B1002" s="13" t="s">
        <v>599</v>
      </c>
      <c r="C1002" s="13" t="s">
        <v>602</v>
      </c>
      <c r="D1002" s="13">
        <v>12.991999999999996</v>
      </c>
      <c r="E1002" s="13">
        <v>2</v>
      </c>
      <c r="F1002" s="13">
        <f t="shared" si="15"/>
        <v>6.4959999999999978</v>
      </c>
    </row>
    <row r="1003" spans="2:6">
      <c r="B1003" s="13" t="s">
        <v>1560</v>
      </c>
      <c r="C1003" s="13" t="s">
        <v>1564</v>
      </c>
      <c r="D1003" s="13">
        <v>61</v>
      </c>
      <c r="E1003" s="13">
        <v>5</v>
      </c>
      <c r="F1003" s="13">
        <f t="shared" si="15"/>
        <v>12.2</v>
      </c>
    </row>
    <row r="1004" spans="2:6">
      <c r="B1004" s="13" t="s">
        <v>1561</v>
      </c>
      <c r="C1004" s="13" t="s">
        <v>1565</v>
      </c>
      <c r="D1004" s="13">
        <v>671.93</v>
      </c>
      <c r="E1004" s="13">
        <v>7</v>
      </c>
      <c r="F1004" s="13">
        <f t="shared" si="15"/>
        <v>95.99</v>
      </c>
    </row>
    <row r="1005" spans="2:6">
      <c r="B1005" s="13" t="s">
        <v>174</v>
      </c>
      <c r="C1005" s="13" t="s">
        <v>179</v>
      </c>
      <c r="D1005" s="13">
        <v>33.119999999999997</v>
      </c>
      <c r="E1005" s="13">
        <v>4</v>
      </c>
      <c r="F1005" s="13">
        <f t="shared" si="15"/>
        <v>8.2799999999999994</v>
      </c>
    </row>
    <row r="1006" spans="2:6">
      <c r="B1006" s="13" t="s">
        <v>1566</v>
      </c>
      <c r="C1006" s="13" t="s">
        <v>1569</v>
      </c>
      <c r="D1006" s="13">
        <v>220.26559999999998</v>
      </c>
      <c r="E1006" s="13">
        <v>4</v>
      </c>
      <c r="F1006" s="13">
        <f t="shared" si="15"/>
        <v>55.066399999999994</v>
      </c>
    </row>
    <row r="1007" spans="2:6">
      <c r="B1007" s="13" t="s">
        <v>1345</v>
      </c>
      <c r="C1007" s="13" t="s">
        <v>624</v>
      </c>
      <c r="D1007" s="13">
        <v>10.776000000000002</v>
      </c>
      <c r="E1007" s="13">
        <v>3</v>
      </c>
      <c r="F1007" s="13">
        <f t="shared" si="15"/>
        <v>3.5920000000000005</v>
      </c>
    </row>
    <row r="1008" spans="2:6">
      <c r="B1008" s="13" t="s">
        <v>508</v>
      </c>
      <c r="C1008" s="13" t="s">
        <v>514</v>
      </c>
      <c r="D1008" s="13">
        <v>242.35200000000003</v>
      </c>
      <c r="E1008" s="13">
        <v>3</v>
      </c>
      <c r="F1008" s="13">
        <f t="shared" si="15"/>
        <v>80.784000000000006</v>
      </c>
    </row>
    <row r="1009" spans="2:6">
      <c r="B1009" s="13" t="s">
        <v>1567</v>
      </c>
      <c r="C1009" s="13" t="s">
        <v>1570</v>
      </c>
      <c r="D1009" s="13">
        <v>695.16</v>
      </c>
      <c r="E1009" s="13">
        <v>6</v>
      </c>
      <c r="F1009" s="13">
        <f t="shared" si="15"/>
        <v>115.86</v>
      </c>
    </row>
    <row r="1010" spans="2:6">
      <c r="B1010" s="13" t="s">
        <v>1568</v>
      </c>
      <c r="C1010" s="13" t="s">
        <v>1571</v>
      </c>
      <c r="D1010" s="13">
        <v>220.98</v>
      </c>
      <c r="E1010" s="13">
        <v>1</v>
      </c>
      <c r="F1010" s="13">
        <f t="shared" si="15"/>
        <v>220.98</v>
      </c>
    </row>
    <row r="1011" spans="2:6">
      <c r="B1011" s="13" t="s">
        <v>1572</v>
      </c>
      <c r="C1011" s="13" t="s">
        <v>1573</v>
      </c>
      <c r="D1011" s="13">
        <v>25.68</v>
      </c>
      <c r="E1011" s="13">
        <v>6</v>
      </c>
      <c r="F1011" s="13">
        <f t="shared" si="15"/>
        <v>4.28</v>
      </c>
    </row>
    <row r="1012" spans="2:6">
      <c r="B1012" s="13" t="s">
        <v>618</v>
      </c>
      <c r="C1012" s="13" t="s">
        <v>620</v>
      </c>
      <c r="D1012" s="13">
        <v>298.464</v>
      </c>
      <c r="E1012" s="13">
        <v>6</v>
      </c>
      <c r="F1012" s="13">
        <f t="shared" si="15"/>
        <v>49.744</v>
      </c>
    </row>
    <row r="1013" spans="2:6">
      <c r="B1013" s="13" t="s">
        <v>657</v>
      </c>
      <c r="C1013" s="13" t="s">
        <v>1575</v>
      </c>
      <c r="D1013" s="13">
        <v>258.52799999999996</v>
      </c>
      <c r="E1013" s="13">
        <v>2</v>
      </c>
      <c r="F1013" s="13">
        <f t="shared" si="15"/>
        <v>129.26399999999998</v>
      </c>
    </row>
    <row r="1014" spans="2:6">
      <c r="B1014" s="13" t="s">
        <v>1574</v>
      </c>
      <c r="C1014" s="13" t="s">
        <v>1576</v>
      </c>
      <c r="D1014" s="13">
        <v>49.12</v>
      </c>
      <c r="E1014" s="13">
        <v>4</v>
      </c>
      <c r="F1014" s="13">
        <f t="shared" si="15"/>
        <v>12.28</v>
      </c>
    </row>
    <row r="1015" spans="2:6">
      <c r="B1015" s="13" t="s">
        <v>1577</v>
      </c>
      <c r="C1015" s="13" t="s">
        <v>1581</v>
      </c>
      <c r="D1015" s="13">
        <v>30.559999999999992</v>
      </c>
      <c r="E1015" s="13">
        <v>5</v>
      </c>
      <c r="F1015" s="13">
        <f t="shared" si="15"/>
        <v>6.1119999999999983</v>
      </c>
    </row>
    <row r="1016" spans="2:6">
      <c r="B1016" s="13" t="s">
        <v>1578</v>
      </c>
      <c r="C1016" s="13" t="s">
        <v>1582</v>
      </c>
      <c r="D1016" s="13">
        <v>77.951999999999998</v>
      </c>
      <c r="E1016" s="13">
        <v>3</v>
      </c>
      <c r="F1016" s="13">
        <f t="shared" si="15"/>
        <v>25.983999999999998</v>
      </c>
    </row>
    <row r="1017" spans="2:6">
      <c r="B1017" s="13" t="s">
        <v>1579</v>
      </c>
      <c r="C1017" s="13" t="s">
        <v>1583</v>
      </c>
      <c r="D1017" s="13">
        <v>67.992000000000004</v>
      </c>
      <c r="E1017" s="13">
        <v>1</v>
      </c>
      <c r="F1017" s="13">
        <f t="shared" si="15"/>
        <v>67.992000000000004</v>
      </c>
    </row>
    <row r="1018" spans="2:6">
      <c r="B1018" s="13" t="s">
        <v>392</v>
      </c>
      <c r="C1018" s="13" t="s">
        <v>396</v>
      </c>
      <c r="D1018" s="13">
        <v>12.224</v>
      </c>
      <c r="E1018" s="13">
        <v>2</v>
      </c>
      <c r="F1018" s="13">
        <f t="shared" si="15"/>
        <v>6.1120000000000001</v>
      </c>
    </row>
    <row r="1019" spans="2:6">
      <c r="B1019" s="13" t="s">
        <v>1580</v>
      </c>
      <c r="C1019" s="13" t="s">
        <v>1584</v>
      </c>
      <c r="D1019" s="13">
        <v>44.783999999999999</v>
      </c>
      <c r="E1019" s="13">
        <v>2</v>
      </c>
      <c r="F1019" s="13">
        <f t="shared" si="15"/>
        <v>22.391999999999999</v>
      </c>
    </row>
    <row r="1020" spans="2:6">
      <c r="B1020" s="13" t="s">
        <v>278</v>
      </c>
      <c r="C1020" s="13" t="s">
        <v>280</v>
      </c>
      <c r="D1020" s="13">
        <v>22.847999999999999</v>
      </c>
      <c r="E1020" s="13">
        <v>3</v>
      </c>
      <c r="F1020" s="13">
        <f t="shared" si="15"/>
        <v>7.6159999999999997</v>
      </c>
    </row>
    <row r="1021" spans="2:6">
      <c r="B1021" s="13" t="s">
        <v>1585</v>
      </c>
      <c r="C1021" s="13" t="s">
        <v>1586</v>
      </c>
      <c r="D1021" s="13">
        <v>119.96000000000001</v>
      </c>
      <c r="E1021" s="13">
        <v>5</v>
      </c>
      <c r="F1021" s="13">
        <f t="shared" si="15"/>
        <v>23.992000000000001</v>
      </c>
    </row>
    <row r="1022" spans="2:6">
      <c r="B1022" s="13" t="s">
        <v>1380</v>
      </c>
      <c r="C1022" s="13" t="s">
        <v>1383</v>
      </c>
      <c r="D1022" s="13">
        <v>10.608000000000001</v>
      </c>
      <c r="E1022" s="13">
        <v>6</v>
      </c>
      <c r="F1022" s="13">
        <f t="shared" si="15"/>
        <v>1.768</v>
      </c>
    </row>
    <row r="1023" spans="2:6">
      <c r="B1023" s="13" t="s">
        <v>1587</v>
      </c>
      <c r="C1023" s="13" t="s">
        <v>1588</v>
      </c>
      <c r="D1023" s="13">
        <v>963.13600000000008</v>
      </c>
      <c r="E1023" s="13">
        <v>4</v>
      </c>
      <c r="F1023" s="13">
        <f t="shared" si="15"/>
        <v>240.78400000000002</v>
      </c>
    </row>
    <row r="1024" spans="2:6">
      <c r="B1024" s="13" t="s">
        <v>542</v>
      </c>
      <c r="C1024" s="13" t="s">
        <v>553</v>
      </c>
      <c r="D1024" s="13">
        <v>88.77600000000001</v>
      </c>
      <c r="E1024" s="13">
        <v>3</v>
      </c>
      <c r="F1024" s="13">
        <f t="shared" si="15"/>
        <v>29.592000000000002</v>
      </c>
    </row>
    <row r="1025" spans="2:6">
      <c r="B1025" s="13" t="s">
        <v>1589</v>
      </c>
      <c r="C1025" s="13" t="s">
        <v>1590</v>
      </c>
      <c r="D1025" s="13">
        <v>735.98</v>
      </c>
      <c r="E1025" s="13">
        <v>2</v>
      </c>
      <c r="F1025" s="13">
        <f t="shared" si="15"/>
        <v>367.99</v>
      </c>
    </row>
    <row r="1026" spans="2:6">
      <c r="B1026" s="13" t="s">
        <v>1591</v>
      </c>
      <c r="C1026" s="13" t="s">
        <v>1592</v>
      </c>
      <c r="D1026" s="13">
        <v>23.88</v>
      </c>
      <c r="E1026" s="13">
        <v>6</v>
      </c>
      <c r="F1026" s="13">
        <f t="shared" si="15"/>
        <v>3.98</v>
      </c>
    </row>
    <row r="1027" spans="2:6">
      <c r="B1027" s="13" t="s">
        <v>1593</v>
      </c>
      <c r="C1027" s="13" t="s">
        <v>1599</v>
      </c>
      <c r="D1027" s="13">
        <v>181.86</v>
      </c>
      <c r="E1027" s="13">
        <v>7</v>
      </c>
      <c r="F1027" s="13">
        <f t="shared" si="15"/>
        <v>25.98</v>
      </c>
    </row>
    <row r="1028" spans="2:6">
      <c r="B1028" s="13" t="s">
        <v>1594</v>
      </c>
      <c r="C1028" s="13" t="s">
        <v>1600</v>
      </c>
      <c r="D1028" s="13">
        <v>180.58800000000005</v>
      </c>
      <c r="E1028" s="13">
        <v>2</v>
      </c>
      <c r="F1028" s="13">
        <f t="shared" ref="F1028:F1091" si="16">D1028/E1028</f>
        <v>90.294000000000025</v>
      </c>
    </row>
    <row r="1029" spans="2:6">
      <c r="B1029" s="13" t="s">
        <v>1595</v>
      </c>
      <c r="C1029" s="13" t="s">
        <v>1601</v>
      </c>
      <c r="D1029" s="13">
        <v>47.984000000000002</v>
      </c>
      <c r="E1029" s="13">
        <v>2</v>
      </c>
      <c r="F1029" s="13">
        <f t="shared" si="16"/>
        <v>23.992000000000001</v>
      </c>
    </row>
    <row r="1030" spans="2:6">
      <c r="B1030" s="13" t="s">
        <v>720</v>
      </c>
      <c r="C1030" s="13" t="s">
        <v>726</v>
      </c>
      <c r="D1030" s="13">
        <v>18.760000000000002</v>
      </c>
      <c r="E1030" s="13">
        <v>2</v>
      </c>
      <c r="F1030" s="13">
        <f t="shared" si="16"/>
        <v>9.3800000000000008</v>
      </c>
    </row>
    <row r="1031" spans="2:6">
      <c r="B1031" s="13" t="s">
        <v>1596</v>
      </c>
      <c r="C1031" s="13" t="s">
        <v>1602</v>
      </c>
      <c r="D1031" s="13">
        <v>20.94</v>
      </c>
      <c r="E1031" s="13">
        <v>3</v>
      </c>
      <c r="F1031" s="13">
        <f t="shared" si="16"/>
        <v>6.98</v>
      </c>
    </row>
    <row r="1032" spans="2:6">
      <c r="B1032" s="13" t="s">
        <v>333</v>
      </c>
      <c r="C1032" s="13" t="s">
        <v>340</v>
      </c>
      <c r="D1032" s="13">
        <v>58.68</v>
      </c>
      <c r="E1032" s="13">
        <v>2</v>
      </c>
      <c r="F1032" s="13">
        <f t="shared" si="16"/>
        <v>29.34</v>
      </c>
    </row>
    <row r="1033" spans="2:6">
      <c r="B1033" s="13" t="s">
        <v>1597</v>
      </c>
      <c r="C1033" s="13" t="s">
        <v>1603</v>
      </c>
      <c r="D1033" s="13">
        <v>254.89999999999998</v>
      </c>
      <c r="E1033" s="13">
        <v>5</v>
      </c>
      <c r="F1033" s="13">
        <f t="shared" si="16"/>
        <v>50.98</v>
      </c>
    </row>
    <row r="1034" spans="2:6">
      <c r="B1034" s="13" t="s">
        <v>1598</v>
      </c>
      <c r="C1034" s="13" t="s">
        <v>1604</v>
      </c>
      <c r="D1034" s="13">
        <v>9.64</v>
      </c>
      <c r="E1034" s="13">
        <v>2</v>
      </c>
      <c r="F1034" s="13">
        <f t="shared" si="16"/>
        <v>4.82</v>
      </c>
    </row>
    <row r="1035" spans="2:6">
      <c r="B1035" s="13" t="s">
        <v>512</v>
      </c>
      <c r="C1035" s="13" t="s">
        <v>518</v>
      </c>
      <c r="D1035" s="13">
        <v>826.62000000000012</v>
      </c>
      <c r="E1035" s="13">
        <v>3</v>
      </c>
      <c r="F1035" s="13">
        <f t="shared" si="16"/>
        <v>275.54000000000002</v>
      </c>
    </row>
    <row r="1036" spans="2:6">
      <c r="B1036" s="13" t="s">
        <v>147</v>
      </c>
      <c r="C1036" s="13" t="s">
        <v>150</v>
      </c>
      <c r="D1036" s="13">
        <v>1633.14</v>
      </c>
      <c r="E1036" s="13">
        <v>9</v>
      </c>
      <c r="F1036" s="13">
        <f t="shared" si="16"/>
        <v>181.46</v>
      </c>
    </row>
    <row r="1037" spans="2:6">
      <c r="B1037" s="13" t="s">
        <v>147</v>
      </c>
      <c r="C1037" s="13" t="s">
        <v>150</v>
      </c>
      <c r="D1037" s="13">
        <v>544.38</v>
      </c>
      <c r="E1037" s="13">
        <v>3</v>
      </c>
      <c r="F1037" s="13">
        <f t="shared" si="16"/>
        <v>181.46</v>
      </c>
    </row>
    <row r="1038" spans="2:6">
      <c r="B1038" s="13" t="s">
        <v>1605</v>
      </c>
      <c r="C1038" s="13" t="s">
        <v>1607</v>
      </c>
      <c r="D1038" s="13">
        <v>69.930000000000007</v>
      </c>
      <c r="E1038" s="13">
        <v>7</v>
      </c>
      <c r="F1038" s="13">
        <f t="shared" si="16"/>
        <v>9.99</v>
      </c>
    </row>
    <row r="1039" spans="2:6">
      <c r="B1039" s="13" t="s">
        <v>975</v>
      </c>
      <c r="C1039" s="13" t="s">
        <v>976</v>
      </c>
      <c r="D1039" s="13">
        <v>3.75</v>
      </c>
      <c r="E1039" s="13">
        <v>1</v>
      </c>
      <c r="F1039" s="13">
        <f t="shared" si="16"/>
        <v>3.75</v>
      </c>
    </row>
    <row r="1040" spans="2:6">
      <c r="B1040" s="13" t="s">
        <v>1606</v>
      </c>
      <c r="C1040" s="13" t="s">
        <v>1608</v>
      </c>
      <c r="D1040" s="13">
        <v>20.928000000000001</v>
      </c>
      <c r="E1040" s="13">
        <v>4</v>
      </c>
      <c r="F1040" s="13">
        <f t="shared" si="16"/>
        <v>5.2320000000000002</v>
      </c>
    </row>
    <row r="1041" spans="2:6">
      <c r="B1041" s="13" t="s">
        <v>1609</v>
      </c>
      <c r="C1041" s="13" t="s">
        <v>1611</v>
      </c>
      <c r="D1041" s="13">
        <v>65.989999999999995</v>
      </c>
      <c r="E1041" s="13">
        <v>1</v>
      </c>
      <c r="F1041" s="13">
        <f t="shared" si="16"/>
        <v>65.989999999999995</v>
      </c>
    </row>
    <row r="1042" spans="2:6">
      <c r="B1042" s="13" t="s">
        <v>1610</v>
      </c>
      <c r="C1042" s="13" t="s">
        <v>1612</v>
      </c>
      <c r="D1042" s="13">
        <v>6.3699999999999983</v>
      </c>
      <c r="E1042" s="13">
        <v>7</v>
      </c>
      <c r="F1042" s="13">
        <f t="shared" si="16"/>
        <v>0.90999999999999981</v>
      </c>
    </row>
    <row r="1043" spans="2:6">
      <c r="B1043" s="13" t="s">
        <v>1228</v>
      </c>
      <c r="C1043" s="13" t="s">
        <v>1233</v>
      </c>
      <c r="D1043" s="13">
        <v>29.97</v>
      </c>
      <c r="E1043" s="13">
        <v>3</v>
      </c>
      <c r="F1043" s="13">
        <f t="shared" si="16"/>
        <v>9.99</v>
      </c>
    </row>
    <row r="1044" spans="2:6">
      <c r="B1044" s="13" t="s">
        <v>1613</v>
      </c>
      <c r="C1044" s="13" t="s">
        <v>1614</v>
      </c>
      <c r="D1044" s="13">
        <v>18.704000000000001</v>
      </c>
      <c r="E1044" s="13">
        <v>7</v>
      </c>
      <c r="F1044" s="13">
        <f t="shared" si="16"/>
        <v>2.6720000000000002</v>
      </c>
    </row>
    <row r="1045" spans="2:6">
      <c r="B1045" s="13" t="s">
        <v>1615</v>
      </c>
      <c r="C1045" s="13" t="s">
        <v>978</v>
      </c>
      <c r="D1045" s="13">
        <v>13.392000000000001</v>
      </c>
      <c r="E1045" s="13">
        <v>3</v>
      </c>
      <c r="F1045" s="13">
        <f t="shared" si="16"/>
        <v>4.4640000000000004</v>
      </c>
    </row>
    <row r="1046" spans="2:6">
      <c r="B1046" s="13" t="s">
        <v>1513</v>
      </c>
      <c r="C1046" s="13" t="s">
        <v>1516</v>
      </c>
      <c r="D1046" s="13">
        <v>11.227999999999998</v>
      </c>
      <c r="E1046" s="13">
        <v>7</v>
      </c>
      <c r="F1046" s="13">
        <f t="shared" si="16"/>
        <v>1.6039999999999996</v>
      </c>
    </row>
    <row r="1047" spans="2:6">
      <c r="B1047" s="13" t="s">
        <v>1616</v>
      </c>
      <c r="C1047" s="13" t="s">
        <v>1617</v>
      </c>
      <c r="D1047" s="13">
        <v>75.179999999999993</v>
      </c>
      <c r="E1047" s="13">
        <v>6</v>
      </c>
      <c r="F1047" s="13">
        <f t="shared" si="16"/>
        <v>12.53</v>
      </c>
    </row>
    <row r="1048" spans="2:6">
      <c r="B1048" s="13" t="s">
        <v>1618</v>
      </c>
      <c r="C1048" s="13" t="s">
        <v>1619</v>
      </c>
      <c r="D1048" s="13">
        <v>931.17600000000016</v>
      </c>
      <c r="E1048" s="13">
        <v>3</v>
      </c>
      <c r="F1048" s="13">
        <f t="shared" si="16"/>
        <v>310.39200000000005</v>
      </c>
    </row>
    <row r="1049" spans="2:6">
      <c r="B1049" s="13" t="s">
        <v>657</v>
      </c>
      <c r="C1049" s="13" t="s">
        <v>1575</v>
      </c>
      <c r="D1049" s="13">
        <v>430.88</v>
      </c>
      <c r="E1049" s="13">
        <v>2</v>
      </c>
      <c r="F1049" s="13">
        <f t="shared" si="16"/>
        <v>215.44</v>
      </c>
    </row>
    <row r="1050" spans="2:6">
      <c r="B1050" s="13" t="s">
        <v>1620</v>
      </c>
      <c r="C1050" s="13" t="s">
        <v>1622</v>
      </c>
      <c r="D1050" s="13">
        <v>114.9</v>
      </c>
      <c r="E1050" s="13">
        <v>5</v>
      </c>
      <c r="F1050" s="13">
        <f t="shared" si="16"/>
        <v>22.98</v>
      </c>
    </row>
    <row r="1051" spans="2:6">
      <c r="B1051" s="13" t="s">
        <v>1200</v>
      </c>
      <c r="C1051" s="13" t="s">
        <v>1204</v>
      </c>
      <c r="D1051" s="13">
        <v>26.045999999999992</v>
      </c>
      <c r="E1051" s="13">
        <v>3</v>
      </c>
      <c r="F1051" s="13">
        <f t="shared" si="16"/>
        <v>8.6819999999999968</v>
      </c>
    </row>
    <row r="1052" spans="2:6">
      <c r="B1052" s="13" t="s">
        <v>299</v>
      </c>
      <c r="C1052" s="13" t="s">
        <v>308</v>
      </c>
      <c r="D1052" s="13">
        <v>2.8959999999999995</v>
      </c>
      <c r="E1052" s="13">
        <v>1</v>
      </c>
      <c r="F1052" s="13">
        <f t="shared" si="16"/>
        <v>2.8959999999999995</v>
      </c>
    </row>
    <row r="1053" spans="2:6">
      <c r="B1053" s="13" t="s">
        <v>1621</v>
      </c>
      <c r="C1053" s="13" t="s">
        <v>1623</v>
      </c>
      <c r="D1053" s="13">
        <v>32.544000000000004</v>
      </c>
      <c r="E1053" s="13">
        <v>2</v>
      </c>
      <c r="F1053" s="13">
        <f t="shared" si="16"/>
        <v>16.272000000000002</v>
      </c>
    </row>
    <row r="1054" spans="2:6">
      <c r="B1054" s="13" t="s">
        <v>1624</v>
      </c>
      <c r="C1054" s="13" t="s">
        <v>1628</v>
      </c>
      <c r="D1054" s="13">
        <v>13.467999999999998</v>
      </c>
      <c r="E1054" s="13">
        <v>13</v>
      </c>
      <c r="F1054" s="13">
        <f t="shared" si="16"/>
        <v>1.0359999999999998</v>
      </c>
    </row>
    <row r="1055" spans="2:6">
      <c r="B1055" s="13" t="s">
        <v>1625</v>
      </c>
      <c r="C1055" s="13" t="s">
        <v>1629</v>
      </c>
      <c r="D1055" s="13">
        <v>219.80000000000004</v>
      </c>
      <c r="E1055" s="13">
        <v>5</v>
      </c>
      <c r="F1055" s="13">
        <f t="shared" si="16"/>
        <v>43.960000000000008</v>
      </c>
    </row>
    <row r="1056" spans="2:6">
      <c r="B1056" s="13" t="s">
        <v>952</v>
      </c>
      <c r="C1056" s="13" t="s">
        <v>956</v>
      </c>
      <c r="D1056" s="13">
        <v>317.05799999999999</v>
      </c>
      <c r="E1056" s="13">
        <v>3</v>
      </c>
      <c r="F1056" s="13">
        <f t="shared" si="16"/>
        <v>105.68599999999999</v>
      </c>
    </row>
    <row r="1057" spans="2:6">
      <c r="B1057" s="13" t="s">
        <v>748</v>
      </c>
      <c r="C1057" s="13" t="s">
        <v>749</v>
      </c>
      <c r="D1057" s="13">
        <v>49.08</v>
      </c>
      <c r="E1057" s="13">
        <v>3</v>
      </c>
      <c r="F1057" s="13">
        <f t="shared" si="16"/>
        <v>16.36</v>
      </c>
    </row>
    <row r="1058" spans="2:6">
      <c r="B1058" s="13" t="s">
        <v>1626</v>
      </c>
      <c r="C1058" s="13" t="s">
        <v>1630</v>
      </c>
      <c r="D1058" s="13">
        <v>324.90000000000003</v>
      </c>
      <c r="E1058" s="13">
        <v>5</v>
      </c>
      <c r="F1058" s="13">
        <f t="shared" si="16"/>
        <v>64.98</v>
      </c>
    </row>
    <row r="1059" spans="2:6">
      <c r="B1059" s="13" t="s">
        <v>1627</v>
      </c>
      <c r="C1059" s="13" t="s">
        <v>1631</v>
      </c>
      <c r="D1059" s="13">
        <v>18.240000000000002</v>
      </c>
      <c r="E1059" s="13">
        <v>3</v>
      </c>
      <c r="F1059" s="13">
        <f t="shared" si="16"/>
        <v>6.080000000000001</v>
      </c>
    </row>
    <row r="1060" spans="2:6">
      <c r="B1060" s="13" t="s">
        <v>1632</v>
      </c>
      <c r="C1060" s="13" t="s">
        <v>1634</v>
      </c>
      <c r="D1060" s="13">
        <v>60.311999999999998</v>
      </c>
      <c r="E1060" s="13">
        <v>3</v>
      </c>
      <c r="F1060" s="13">
        <f t="shared" si="16"/>
        <v>20.103999999999999</v>
      </c>
    </row>
    <row r="1061" spans="2:6">
      <c r="B1061" s="13" t="s">
        <v>1633</v>
      </c>
      <c r="C1061" s="13" t="s">
        <v>1635</v>
      </c>
      <c r="D1061" s="13">
        <v>7.0559999999999992</v>
      </c>
      <c r="E1061" s="13">
        <v>3</v>
      </c>
      <c r="F1061" s="13">
        <f t="shared" si="16"/>
        <v>2.3519999999999999</v>
      </c>
    </row>
    <row r="1062" spans="2:6">
      <c r="B1062" s="13" t="s">
        <v>1116</v>
      </c>
      <c r="C1062" s="13" t="s">
        <v>1118</v>
      </c>
      <c r="D1062" s="13">
        <v>27.183999999999997</v>
      </c>
      <c r="E1062" s="13">
        <v>2</v>
      </c>
      <c r="F1062" s="13">
        <f t="shared" si="16"/>
        <v>13.591999999999999</v>
      </c>
    </row>
    <row r="1063" spans="2:6">
      <c r="B1063" s="13" t="s">
        <v>1636</v>
      </c>
      <c r="C1063" s="13" t="s">
        <v>1639</v>
      </c>
      <c r="D1063" s="13">
        <v>3359.9520000000002</v>
      </c>
      <c r="E1063" s="13">
        <v>6</v>
      </c>
      <c r="F1063" s="13">
        <f t="shared" si="16"/>
        <v>559.99200000000008</v>
      </c>
    </row>
    <row r="1064" spans="2:6">
      <c r="B1064" s="13" t="s">
        <v>1637</v>
      </c>
      <c r="C1064" s="13" t="s">
        <v>90</v>
      </c>
      <c r="D1064" s="13">
        <v>18.240000000000002</v>
      </c>
      <c r="E1064" s="13">
        <v>3</v>
      </c>
      <c r="F1064" s="13">
        <f t="shared" si="16"/>
        <v>6.080000000000001</v>
      </c>
    </row>
    <row r="1065" spans="2:6">
      <c r="B1065" s="13" t="s">
        <v>1638</v>
      </c>
      <c r="C1065" s="13" t="s">
        <v>1640</v>
      </c>
      <c r="D1065" s="13">
        <v>27.78</v>
      </c>
      <c r="E1065" s="13">
        <v>6</v>
      </c>
      <c r="F1065" s="13">
        <f t="shared" si="16"/>
        <v>4.63</v>
      </c>
    </row>
    <row r="1066" spans="2:6">
      <c r="B1066" s="13" t="s">
        <v>1171</v>
      </c>
      <c r="C1066" s="13" t="s">
        <v>1175</v>
      </c>
      <c r="D1066" s="13">
        <v>6.56</v>
      </c>
      <c r="E1066" s="13">
        <v>2</v>
      </c>
      <c r="F1066" s="13">
        <f t="shared" si="16"/>
        <v>3.28</v>
      </c>
    </row>
    <row r="1067" spans="2:6">
      <c r="B1067" s="13" t="s">
        <v>1641</v>
      </c>
      <c r="C1067" s="13" t="s">
        <v>1642</v>
      </c>
      <c r="D1067" s="13">
        <v>13.11</v>
      </c>
      <c r="E1067" s="13">
        <v>3</v>
      </c>
      <c r="F1067" s="13">
        <f t="shared" si="16"/>
        <v>4.37</v>
      </c>
    </row>
    <row r="1068" spans="2:6">
      <c r="B1068" s="13" t="s">
        <v>1643</v>
      </c>
      <c r="C1068" s="13" t="s">
        <v>1644</v>
      </c>
      <c r="D1068" s="13">
        <v>1704.89</v>
      </c>
      <c r="E1068" s="13">
        <v>11</v>
      </c>
      <c r="F1068" s="13">
        <f t="shared" si="16"/>
        <v>154.99</v>
      </c>
    </row>
    <row r="1069" spans="2:6">
      <c r="B1069" s="13" t="s">
        <v>943</v>
      </c>
      <c r="C1069" s="13" t="s">
        <v>945</v>
      </c>
      <c r="D1069" s="13">
        <v>1919.9760000000001</v>
      </c>
      <c r="E1069" s="13">
        <v>3</v>
      </c>
      <c r="F1069" s="13">
        <f t="shared" si="16"/>
        <v>639.99200000000008</v>
      </c>
    </row>
    <row r="1070" spans="2:6">
      <c r="B1070" s="13" t="s">
        <v>952</v>
      </c>
      <c r="C1070" s="13" t="s">
        <v>956</v>
      </c>
      <c r="D1070" s="13">
        <v>271.76400000000001</v>
      </c>
      <c r="E1070" s="13">
        <v>2</v>
      </c>
      <c r="F1070" s="13">
        <f t="shared" si="16"/>
        <v>135.88200000000001</v>
      </c>
    </row>
    <row r="1071" spans="2:6">
      <c r="B1071" s="13" t="s">
        <v>1645</v>
      </c>
      <c r="C1071" s="13" t="s">
        <v>1647</v>
      </c>
      <c r="D1071" s="13">
        <v>14.376000000000001</v>
      </c>
      <c r="E1071" s="13">
        <v>3</v>
      </c>
      <c r="F1071" s="13">
        <f t="shared" si="16"/>
        <v>4.7920000000000007</v>
      </c>
    </row>
    <row r="1072" spans="2:6">
      <c r="B1072" s="13" t="s">
        <v>1646</v>
      </c>
      <c r="C1072" s="13" t="s">
        <v>1648</v>
      </c>
      <c r="D1072" s="13">
        <v>341.96</v>
      </c>
      <c r="E1072" s="13">
        <v>5</v>
      </c>
      <c r="F1072" s="13">
        <f t="shared" si="16"/>
        <v>68.391999999999996</v>
      </c>
    </row>
    <row r="1073" spans="2:6">
      <c r="B1073" s="13" t="s">
        <v>1649</v>
      </c>
      <c r="C1073" s="13" t="s">
        <v>1656</v>
      </c>
      <c r="D1073" s="13">
        <v>227.976</v>
      </c>
      <c r="E1073" s="13">
        <v>3</v>
      </c>
      <c r="F1073" s="13">
        <f t="shared" si="16"/>
        <v>75.992000000000004</v>
      </c>
    </row>
    <row r="1074" spans="2:6">
      <c r="B1074" s="13" t="s">
        <v>1650</v>
      </c>
      <c r="C1074" s="13" t="s">
        <v>1657</v>
      </c>
      <c r="D1074" s="13">
        <v>52.679999999999993</v>
      </c>
      <c r="E1074" s="13">
        <v>3</v>
      </c>
      <c r="F1074" s="13">
        <f t="shared" si="16"/>
        <v>17.559999999999999</v>
      </c>
    </row>
    <row r="1075" spans="2:6">
      <c r="B1075" s="13" t="s">
        <v>1651</v>
      </c>
      <c r="C1075" s="13" t="s">
        <v>1658</v>
      </c>
      <c r="D1075" s="13">
        <v>2.032</v>
      </c>
      <c r="E1075" s="13">
        <v>1</v>
      </c>
      <c r="F1075" s="13">
        <f t="shared" si="16"/>
        <v>2.032</v>
      </c>
    </row>
    <row r="1076" spans="2:6">
      <c r="B1076" s="13" t="s">
        <v>594</v>
      </c>
      <c r="C1076" s="13" t="s">
        <v>596</v>
      </c>
      <c r="D1076" s="13">
        <v>17.12</v>
      </c>
      <c r="E1076" s="13">
        <v>4</v>
      </c>
      <c r="F1076" s="13">
        <f t="shared" si="16"/>
        <v>4.28</v>
      </c>
    </row>
    <row r="1077" spans="2:6">
      <c r="B1077" s="13" t="s">
        <v>1652</v>
      </c>
      <c r="C1077" s="13" t="s">
        <v>1659</v>
      </c>
      <c r="D1077" s="13">
        <v>431.96800000000007</v>
      </c>
      <c r="E1077" s="13">
        <v>4</v>
      </c>
      <c r="F1077" s="13">
        <f t="shared" si="16"/>
        <v>107.99200000000002</v>
      </c>
    </row>
    <row r="1078" spans="2:6">
      <c r="B1078" s="13" t="s">
        <v>1653</v>
      </c>
      <c r="C1078" s="13" t="s">
        <v>1660</v>
      </c>
      <c r="D1078" s="13">
        <v>129.91999999999999</v>
      </c>
      <c r="E1078" s="13">
        <v>4</v>
      </c>
      <c r="F1078" s="13">
        <f t="shared" si="16"/>
        <v>32.479999999999997</v>
      </c>
    </row>
    <row r="1079" spans="2:6">
      <c r="B1079" s="13" t="s">
        <v>247</v>
      </c>
      <c r="C1079" s="13" t="s">
        <v>249</v>
      </c>
      <c r="D1079" s="13">
        <v>568.72800000000007</v>
      </c>
      <c r="E1079" s="13">
        <v>3</v>
      </c>
      <c r="F1079" s="13">
        <f t="shared" si="16"/>
        <v>189.57600000000002</v>
      </c>
    </row>
    <row r="1080" spans="2:6">
      <c r="B1080" s="13" t="s">
        <v>1654</v>
      </c>
      <c r="C1080" s="13" t="s">
        <v>1661</v>
      </c>
      <c r="D1080" s="13">
        <v>117.14400000000001</v>
      </c>
      <c r="E1080" s="13">
        <v>9</v>
      </c>
      <c r="F1080" s="13">
        <f t="shared" si="16"/>
        <v>13.016</v>
      </c>
    </row>
    <row r="1081" spans="2:6">
      <c r="B1081" s="13" t="s">
        <v>1655</v>
      </c>
      <c r="C1081" s="13" t="s">
        <v>1662</v>
      </c>
      <c r="D1081" s="13">
        <v>203.52</v>
      </c>
      <c r="E1081" s="13">
        <v>3</v>
      </c>
      <c r="F1081" s="13">
        <f t="shared" si="16"/>
        <v>67.84</v>
      </c>
    </row>
    <row r="1082" spans="2:6">
      <c r="B1082" s="13" t="s">
        <v>174</v>
      </c>
      <c r="C1082" s="13" t="s">
        <v>179</v>
      </c>
      <c r="D1082" s="13">
        <v>51.75</v>
      </c>
      <c r="E1082" s="13">
        <v>5</v>
      </c>
      <c r="F1082" s="13">
        <f t="shared" si="16"/>
        <v>10.35</v>
      </c>
    </row>
    <row r="1083" spans="2:6">
      <c r="B1083" s="13" t="s">
        <v>723</v>
      </c>
      <c r="C1083" s="13" t="s">
        <v>729</v>
      </c>
      <c r="D1083" s="13">
        <v>16.029999999999998</v>
      </c>
      <c r="E1083" s="13">
        <v>5</v>
      </c>
      <c r="F1083" s="13">
        <f t="shared" si="16"/>
        <v>3.2059999999999995</v>
      </c>
    </row>
    <row r="1084" spans="2:6">
      <c r="B1084" s="13" t="s">
        <v>1663</v>
      </c>
      <c r="C1084" s="13" t="s">
        <v>46</v>
      </c>
      <c r="D1084" s="13">
        <v>73.007999999999996</v>
      </c>
      <c r="E1084" s="13">
        <v>9</v>
      </c>
      <c r="F1084" s="13">
        <f t="shared" si="16"/>
        <v>8.1120000000000001</v>
      </c>
    </row>
    <row r="1085" spans="2:6">
      <c r="B1085" s="13" t="s">
        <v>1664</v>
      </c>
      <c r="C1085" s="13" t="s">
        <v>1666</v>
      </c>
      <c r="D1085" s="13">
        <v>25.824000000000002</v>
      </c>
      <c r="E1085" s="13">
        <v>6</v>
      </c>
      <c r="F1085" s="13">
        <f t="shared" si="16"/>
        <v>4.3040000000000003</v>
      </c>
    </row>
    <row r="1086" spans="2:6">
      <c r="B1086" s="13" t="s">
        <v>1665</v>
      </c>
      <c r="C1086" s="13" t="s">
        <v>1667</v>
      </c>
      <c r="D1086" s="13">
        <v>160.96</v>
      </c>
      <c r="E1086" s="13">
        <v>2</v>
      </c>
      <c r="F1086" s="13">
        <f t="shared" si="16"/>
        <v>80.48</v>
      </c>
    </row>
    <row r="1087" spans="2:6">
      <c r="B1087" s="13" t="s">
        <v>1391</v>
      </c>
      <c r="C1087" s="13" t="s">
        <v>1396</v>
      </c>
      <c r="D1087" s="13">
        <v>13.775999999999996</v>
      </c>
      <c r="E1087" s="13">
        <v>6</v>
      </c>
      <c r="F1087" s="13">
        <f t="shared" si="16"/>
        <v>2.2959999999999994</v>
      </c>
    </row>
    <row r="1088" spans="2:6">
      <c r="B1088" s="13" t="s">
        <v>1668</v>
      </c>
      <c r="C1088" s="13" t="s">
        <v>1670</v>
      </c>
      <c r="D1088" s="13">
        <v>10.272000000000002</v>
      </c>
      <c r="E1088" s="13">
        <v>3</v>
      </c>
      <c r="F1088" s="13">
        <f t="shared" si="16"/>
        <v>3.4240000000000008</v>
      </c>
    </row>
    <row r="1089" spans="2:6">
      <c r="B1089" s="13" t="s">
        <v>1669</v>
      </c>
      <c r="C1089" s="13" t="s">
        <v>1671</v>
      </c>
      <c r="D1089" s="13">
        <v>24.048000000000002</v>
      </c>
      <c r="E1089" s="13">
        <v>9</v>
      </c>
      <c r="F1089" s="13">
        <f t="shared" si="16"/>
        <v>2.6720000000000002</v>
      </c>
    </row>
    <row r="1090" spans="2:6">
      <c r="B1090" s="13" t="s">
        <v>92</v>
      </c>
      <c r="C1090" s="13" t="s">
        <v>96</v>
      </c>
      <c r="D1090" s="13">
        <v>2.8960000000000004</v>
      </c>
      <c r="E1090" s="13">
        <v>1</v>
      </c>
      <c r="F1090" s="13">
        <f t="shared" si="16"/>
        <v>2.8960000000000004</v>
      </c>
    </row>
    <row r="1091" spans="2:6">
      <c r="B1091" s="13" t="s">
        <v>147</v>
      </c>
      <c r="C1091" s="13" t="s">
        <v>150</v>
      </c>
      <c r="D1091" s="13">
        <v>580.67200000000003</v>
      </c>
      <c r="E1091" s="13">
        <v>4</v>
      </c>
      <c r="F1091" s="13">
        <f t="shared" si="16"/>
        <v>145.16800000000001</v>
      </c>
    </row>
    <row r="1092" spans="2:6">
      <c r="B1092" s="13" t="s">
        <v>1672</v>
      </c>
      <c r="C1092" s="13" t="s">
        <v>90</v>
      </c>
      <c r="D1092" s="13">
        <v>18.936</v>
      </c>
      <c r="E1092" s="13">
        <v>3</v>
      </c>
      <c r="F1092" s="13">
        <f t="shared" ref="F1092:F1155" si="17">D1092/E1092</f>
        <v>6.3120000000000003</v>
      </c>
    </row>
    <row r="1093" spans="2:6">
      <c r="B1093" s="13" t="s">
        <v>646</v>
      </c>
      <c r="C1093" s="13" t="s">
        <v>649</v>
      </c>
      <c r="D1093" s="13">
        <v>222.38400000000001</v>
      </c>
      <c r="E1093" s="13">
        <v>2</v>
      </c>
      <c r="F1093" s="13">
        <f t="shared" si="17"/>
        <v>111.19200000000001</v>
      </c>
    </row>
    <row r="1094" spans="2:6">
      <c r="B1094" s="13" t="s">
        <v>1673</v>
      </c>
      <c r="C1094" s="13" t="s">
        <v>1676</v>
      </c>
      <c r="D1094" s="13">
        <v>50.454000000000015</v>
      </c>
      <c r="E1094" s="13">
        <v>6</v>
      </c>
      <c r="F1094" s="13">
        <f t="shared" si="17"/>
        <v>8.4090000000000025</v>
      </c>
    </row>
    <row r="1095" spans="2:6">
      <c r="B1095" s="13" t="s">
        <v>1674</v>
      </c>
      <c r="C1095" s="13" t="s">
        <v>1677</v>
      </c>
      <c r="D1095" s="13">
        <v>154.76400000000001</v>
      </c>
      <c r="E1095" s="13">
        <v>3</v>
      </c>
      <c r="F1095" s="13">
        <f t="shared" si="17"/>
        <v>51.588000000000001</v>
      </c>
    </row>
    <row r="1096" spans="2:6">
      <c r="B1096" s="13" t="s">
        <v>1675</v>
      </c>
      <c r="C1096" s="13" t="s">
        <v>1678</v>
      </c>
      <c r="D1096" s="13">
        <v>6.8480000000000008</v>
      </c>
      <c r="E1096" s="13">
        <v>2</v>
      </c>
      <c r="F1096" s="13">
        <f t="shared" si="17"/>
        <v>3.4240000000000004</v>
      </c>
    </row>
    <row r="1097" spans="2:6">
      <c r="B1097" s="13" t="s">
        <v>1679</v>
      </c>
      <c r="C1097" s="13" t="s">
        <v>1683</v>
      </c>
      <c r="D1097" s="13">
        <v>40.032000000000004</v>
      </c>
      <c r="E1097" s="13">
        <v>6</v>
      </c>
      <c r="F1097" s="13">
        <f t="shared" si="17"/>
        <v>6.6720000000000006</v>
      </c>
    </row>
    <row r="1098" spans="2:6">
      <c r="B1098" s="13" t="s">
        <v>1680</v>
      </c>
      <c r="C1098" s="13" t="s">
        <v>1684</v>
      </c>
      <c r="D1098" s="13">
        <v>443.92</v>
      </c>
      <c r="E1098" s="13">
        <v>4</v>
      </c>
      <c r="F1098" s="13">
        <f t="shared" si="17"/>
        <v>110.98</v>
      </c>
    </row>
    <row r="1099" spans="2:6">
      <c r="B1099" s="13" t="s">
        <v>1681</v>
      </c>
      <c r="C1099" s="13" t="s">
        <v>1685</v>
      </c>
      <c r="D1099" s="13">
        <v>169.99</v>
      </c>
      <c r="E1099" s="13">
        <v>1</v>
      </c>
      <c r="F1099" s="13">
        <f t="shared" si="17"/>
        <v>169.99</v>
      </c>
    </row>
    <row r="1100" spans="2:6">
      <c r="B1100" s="13" t="s">
        <v>1682</v>
      </c>
      <c r="C1100" s="13" t="s">
        <v>1686</v>
      </c>
      <c r="D1100" s="13">
        <v>25.92</v>
      </c>
      <c r="E1100" s="13">
        <v>4</v>
      </c>
      <c r="F1100" s="13">
        <f t="shared" si="17"/>
        <v>6.48</v>
      </c>
    </row>
    <row r="1101" spans="2:6">
      <c r="B1101" s="13" t="s">
        <v>1687</v>
      </c>
      <c r="C1101" s="13" t="s">
        <v>1688</v>
      </c>
      <c r="D1101" s="13">
        <v>65.424000000000007</v>
      </c>
      <c r="E1101" s="13">
        <v>4</v>
      </c>
      <c r="F1101" s="13">
        <f t="shared" si="17"/>
        <v>16.356000000000002</v>
      </c>
    </row>
    <row r="1102" spans="2:6">
      <c r="B1102" s="13" t="s">
        <v>300</v>
      </c>
      <c r="C1102" s="13" t="s">
        <v>309</v>
      </c>
      <c r="D1102" s="13">
        <v>10.368000000000002</v>
      </c>
      <c r="E1102" s="13">
        <v>2</v>
      </c>
      <c r="F1102" s="13">
        <f t="shared" si="17"/>
        <v>5.1840000000000011</v>
      </c>
    </row>
    <row r="1103" spans="2:6">
      <c r="B1103" s="13" t="s">
        <v>1689</v>
      </c>
      <c r="C1103" s="13" t="s">
        <v>1695</v>
      </c>
      <c r="D1103" s="13">
        <v>32.896000000000001</v>
      </c>
      <c r="E1103" s="13">
        <v>4</v>
      </c>
      <c r="F1103" s="13">
        <f t="shared" si="17"/>
        <v>8.2240000000000002</v>
      </c>
    </row>
    <row r="1104" spans="2:6">
      <c r="B1104" s="13" t="s">
        <v>201</v>
      </c>
      <c r="C1104" s="13" t="s">
        <v>214</v>
      </c>
      <c r="D1104" s="13">
        <v>215.148</v>
      </c>
      <c r="E1104" s="13">
        <v>2</v>
      </c>
      <c r="F1104" s="13">
        <f t="shared" si="17"/>
        <v>107.574</v>
      </c>
    </row>
    <row r="1105" spans="2:6">
      <c r="B1105" s="13" t="s">
        <v>1690</v>
      </c>
      <c r="C1105" s="13" t="s">
        <v>1696</v>
      </c>
      <c r="D1105" s="13">
        <v>30.96</v>
      </c>
      <c r="E1105" s="13">
        <v>6</v>
      </c>
      <c r="F1105" s="13">
        <f t="shared" si="17"/>
        <v>5.16</v>
      </c>
    </row>
    <row r="1106" spans="2:6">
      <c r="B1106" s="13" t="s">
        <v>1691</v>
      </c>
      <c r="C1106" s="13" t="s">
        <v>1697</v>
      </c>
      <c r="D1106" s="13">
        <v>29.79</v>
      </c>
      <c r="E1106" s="13">
        <v>3</v>
      </c>
      <c r="F1106" s="13">
        <f t="shared" si="17"/>
        <v>9.93</v>
      </c>
    </row>
    <row r="1107" spans="2:6">
      <c r="B1107" s="13" t="s">
        <v>1692</v>
      </c>
      <c r="C1107" s="13" t="s">
        <v>1698</v>
      </c>
      <c r="D1107" s="13">
        <v>128.9</v>
      </c>
      <c r="E1107" s="13">
        <v>2</v>
      </c>
      <c r="F1107" s="13">
        <f t="shared" si="17"/>
        <v>64.45</v>
      </c>
    </row>
    <row r="1108" spans="2:6">
      <c r="B1108" s="13" t="s">
        <v>1693</v>
      </c>
      <c r="C1108" s="13" t="s">
        <v>1699</v>
      </c>
      <c r="D1108" s="13">
        <v>60.12</v>
      </c>
      <c r="E1108" s="13">
        <v>9</v>
      </c>
      <c r="F1108" s="13">
        <f t="shared" si="17"/>
        <v>6.68</v>
      </c>
    </row>
    <row r="1109" spans="2:6">
      <c r="B1109" s="13" t="s">
        <v>1694</v>
      </c>
      <c r="C1109" s="13" t="s">
        <v>1700</v>
      </c>
      <c r="D1109" s="13">
        <v>24.816000000000003</v>
      </c>
      <c r="E1109" s="13">
        <v>3</v>
      </c>
      <c r="F1109" s="13">
        <f t="shared" si="17"/>
        <v>8.2720000000000002</v>
      </c>
    </row>
    <row r="1110" spans="2:6">
      <c r="B1110" s="13" t="s">
        <v>1108</v>
      </c>
      <c r="C1110" s="13" t="s">
        <v>1111</v>
      </c>
      <c r="D1110" s="13">
        <v>14.976000000000003</v>
      </c>
      <c r="E1110" s="13">
        <v>6</v>
      </c>
      <c r="F1110" s="13">
        <f t="shared" si="17"/>
        <v>2.4960000000000004</v>
      </c>
    </row>
    <row r="1111" spans="2:6">
      <c r="B1111" s="13" t="s">
        <v>329</v>
      </c>
      <c r="C1111" s="13" t="s">
        <v>336</v>
      </c>
      <c r="D1111" s="13">
        <v>16.192</v>
      </c>
      <c r="E1111" s="13">
        <v>2</v>
      </c>
      <c r="F1111" s="13">
        <f t="shared" si="17"/>
        <v>8.0960000000000001</v>
      </c>
    </row>
    <row r="1112" spans="2:6">
      <c r="B1112" s="13" t="s">
        <v>201</v>
      </c>
      <c r="C1112" s="13" t="s">
        <v>214</v>
      </c>
      <c r="D1112" s="13">
        <v>251.00599999999997</v>
      </c>
      <c r="E1112" s="13">
        <v>2</v>
      </c>
      <c r="F1112" s="13">
        <f t="shared" si="17"/>
        <v>125.50299999999999</v>
      </c>
    </row>
    <row r="1113" spans="2:6">
      <c r="B1113" s="13" t="s">
        <v>1223</v>
      </c>
      <c r="C1113" s="13" t="s">
        <v>1226</v>
      </c>
      <c r="D1113" s="13">
        <v>54.192</v>
      </c>
      <c r="E1113" s="13">
        <v>6</v>
      </c>
      <c r="F1113" s="13">
        <f t="shared" si="17"/>
        <v>9.032</v>
      </c>
    </row>
    <row r="1114" spans="2:6">
      <c r="B1114" s="13" t="s">
        <v>1615</v>
      </c>
      <c r="C1114" s="13" t="s">
        <v>978</v>
      </c>
      <c r="D1114" s="13">
        <v>16.740000000000002</v>
      </c>
      <c r="E1114" s="13">
        <v>3</v>
      </c>
      <c r="F1114" s="13">
        <f t="shared" si="17"/>
        <v>5.580000000000001</v>
      </c>
    </row>
    <row r="1115" spans="2:6">
      <c r="B1115" s="13" t="s">
        <v>1701</v>
      </c>
      <c r="C1115" s="13" t="s">
        <v>1702</v>
      </c>
      <c r="D1115" s="13">
        <v>2504.7399999999998</v>
      </c>
      <c r="E1115" s="13">
        <v>7</v>
      </c>
      <c r="F1115" s="13">
        <f t="shared" si="17"/>
        <v>357.82</v>
      </c>
    </row>
    <row r="1116" spans="2:6">
      <c r="B1116" s="13" t="s">
        <v>1703</v>
      </c>
      <c r="C1116" s="13" t="s">
        <v>1704</v>
      </c>
      <c r="D1116" s="13">
        <v>3.76</v>
      </c>
      <c r="E1116" s="13">
        <v>2</v>
      </c>
      <c r="F1116" s="13">
        <f t="shared" si="17"/>
        <v>1.88</v>
      </c>
    </row>
    <row r="1117" spans="2:6">
      <c r="B1117" s="13" t="s">
        <v>1705</v>
      </c>
      <c r="C1117" s="13" t="s">
        <v>1707</v>
      </c>
      <c r="D1117" s="13">
        <v>71.975999999999999</v>
      </c>
      <c r="E1117" s="13">
        <v>3</v>
      </c>
      <c r="F1117" s="13">
        <f t="shared" si="17"/>
        <v>23.992000000000001</v>
      </c>
    </row>
    <row r="1118" spans="2:6">
      <c r="B1118" s="13" t="s">
        <v>1421</v>
      </c>
      <c r="C1118" s="13" t="s">
        <v>1423</v>
      </c>
      <c r="D1118" s="13">
        <v>22.512000000000004</v>
      </c>
      <c r="E1118" s="13">
        <v>3</v>
      </c>
      <c r="F1118" s="13">
        <f t="shared" si="17"/>
        <v>7.5040000000000013</v>
      </c>
    </row>
    <row r="1119" spans="2:6">
      <c r="B1119" s="13" t="s">
        <v>1706</v>
      </c>
      <c r="C1119" s="13" t="s">
        <v>1708</v>
      </c>
      <c r="D1119" s="13">
        <v>3.4440000000000008</v>
      </c>
      <c r="E1119" s="13">
        <v>2</v>
      </c>
      <c r="F1119" s="13">
        <f t="shared" si="17"/>
        <v>1.7220000000000004</v>
      </c>
    </row>
    <row r="1120" spans="2:6">
      <c r="B1120" s="13" t="s">
        <v>981</v>
      </c>
      <c r="C1120" s="13" t="s">
        <v>982</v>
      </c>
      <c r="D1120" s="13">
        <v>538.19400000000007</v>
      </c>
      <c r="E1120" s="13">
        <v>2</v>
      </c>
      <c r="F1120" s="13">
        <f t="shared" si="17"/>
        <v>269.09700000000004</v>
      </c>
    </row>
    <row r="1121" spans="2:6">
      <c r="B1121" s="13" t="s">
        <v>1585</v>
      </c>
      <c r="C1121" s="13" t="s">
        <v>1586</v>
      </c>
      <c r="D1121" s="13">
        <v>47.984000000000002</v>
      </c>
      <c r="E1121" s="13">
        <v>2</v>
      </c>
      <c r="F1121" s="13">
        <f t="shared" si="17"/>
        <v>23.992000000000001</v>
      </c>
    </row>
    <row r="1122" spans="2:6">
      <c r="B1122" s="13" t="s">
        <v>394</v>
      </c>
      <c r="C1122" s="13" t="s">
        <v>398</v>
      </c>
      <c r="D1122" s="13">
        <v>492.76800000000003</v>
      </c>
      <c r="E1122" s="13">
        <v>4</v>
      </c>
      <c r="F1122" s="13">
        <f t="shared" si="17"/>
        <v>123.19200000000001</v>
      </c>
    </row>
    <row r="1123" spans="2:6">
      <c r="B1123" s="13" t="s">
        <v>1709</v>
      </c>
      <c r="C1123" s="13" t="s">
        <v>1710</v>
      </c>
      <c r="D1123" s="13">
        <v>47.992000000000004</v>
      </c>
      <c r="E1123" s="13">
        <v>1</v>
      </c>
      <c r="F1123" s="13">
        <f t="shared" si="17"/>
        <v>47.992000000000004</v>
      </c>
    </row>
    <row r="1124" spans="2:6">
      <c r="B1124" s="13" t="s">
        <v>1491</v>
      </c>
      <c r="C1124" s="13" t="s">
        <v>1495</v>
      </c>
      <c r="D1124" s="13">
        <v>10.848000000000001</v>
      </c>
      <c r="E1124" s="13">
        <v>2</v>
      </c>
      <c r="F1124" s="13">
        <f t="shared" si="17"/>
        <v>5.4240000000000004</v>
      </c>
    </row>
    <row r="1125" spans="2:6">
      <c r="B1125" s="13" t="s">
        <v>375</v>
      </c>
      <c r="C1125" s="13" t="s">
        <v>385</v>
      </c>
      <c r="D1125" s="13">
        <v>18.544</v>
      </c>
      <c r="E1125" s="13">
        <v>2</v>
      </c>
      <c r="F1125" s="13">
        <f t="shared" si="17"/>
        <v>9.2720000000000002</v>
      </c>
    </row>
    <row r="1126" spans="2:6">
      <c r="B1126" s="13" t="s">
        <v>175</v>
      </c>
      <c r="C1126" s="13" t="s">
        <v>180</v>
      </c>
      <c r="D1126" s="13">
        <v>180.98</v>
      </c>
      <c r="E1126" s="13">
        <v>1</v>
      </c>
      <c r="F1126" s="13">
        <f t="shared" si="17"/>
        <v>180.98</v>
      </c>
    </row>
    <row r="1127" spans="2:6">
      <c r="B1127" s="13" t="s">
        <v>933</v>
      </c>
      <c r="C1127" s="13" t="s">
        <v>936</v>
      </c>
      <c r="D1127" s="13">
        <v>99.98</v>
      </c>
      <c r="E1127" s="13">
        <v>2</v>
      </c>
      <c r="F1127" s="13">
        <f t="shared" si="17"/>
        <v>49.99</v>
      </c>
    </row>
    <row r="1128" spans="2:6">
      <c r="B1128" s="13" t="s">
        <v>115</v>
      </c>
      <c r="C1128" s="13" t="s">
        <v>122</v>
      </c>
      <c r="D1128" s="13">
        <v>147.184</v>
      </c>
      <c r="E1128" s="13">
        <v>2</v>
      </c>
      <c r="F1128" s="13">
        <f t="shared" si="17"/>
        <v>73.591999999999999</v>
      </c>
    </row>
    <row r="1129" spans="2:6">
      <c r="B1129" s="13" t="s">
        <v>1711</v>
      </c>
      <c r="C1129" s="13" t="s">
        <v>1713</v>
      </c>
      <c r="D1129" s="13">
        <v>72</v>
      </c>
      <c r="E1129" s="13">
        <v>4</v>
      </c>
      <c r="F1129" s="13">
        <f t="shared" si="17"/>
        <v>18</v>
      </c>
    </row>
    <row r="1130" spans="2:6">
      <c r="B1130" s="13" t="s">
        <v>1712</v>
      </c>
      <c r="C1130" s="13" t="s">
        <v>1714</v>
      </c>
      <c r="D1130" s="13">
        <v>655.90000000000009</v>
      </c>
      <c r="E1130" s="13">
        <v>5</v>
      </c>
      <c r="F1130" s="13">
        <f t="shared" si="17"/>
        <v>131.18</v>
      </c>
    </row>
    <row r="1131" spans="2:6">
      <c r="B1131" s="13" t="s">
        <v>459</v>
      </c>
      <c r="C1131" s="13" t="s">
        <v>466</v>
      </c>
      <c r="D1131" s="13">
        <v>603.91999999999996</v>
      </c>
      <c r="E1131" s="13">
        <v>4</v>
      </c>
      <c r="F1131" s="13">
        <f t="shared" si="17"/>
        <v>150.97999999999999</v>
      </c>
    </row>
    <row r="1132" spans="2:6">
      <c r="B1132" s="13" t="s">
        <v>1715</v>
      </c>
      <c r="C1132" s="13" t="s">
        <v>1717</v>
      </c>
      <c r="D1132" s="13">
        <v>10.368000000000002</v>
      </c>
      <c r="E1132" s="13">
        <v>2</v>
      </c>
      <c r="F1132" s="13">
        <f t="shared" si="17"/>
        <v>5.1840000000000011</v>
      </c>
    </row>
    <row r="1133" spans="2:6">
      <c r="B1133" s="13" t="s">
        <v>1716</v>
      </c>
      <c r="C1133" s="13" t="s">
        <v>1718</v>
      </c>
      <c r="D1133" s="13">
        <v>95.736000000000004</v>
      </c>
      <c r="E1133" s="13">
        <v>3</v>
      </c>
      <c r="F1133" s="13">
        <f t="shared" si="17"/>
        <v>31.912000000000003</v>
      </c>
    </row>
    <row r="1134" spans="2:6">
      <c r="B1134" s="13" t="s">
        <v>1719</v>
      </c>
      <c r="C1134" s="13" t="s">
        <v>1721</v>
      </c>
      <c r="D1134" s="13">
        <v>825.17399999999998</v>
      </c>
      <c r="E1134" s="13">
        <v>9</v>
      </c>
      <c r="F1134" s="13">
        <f t="shared" si="17"/>
        <v>91.685999999999993</v>
      </c>
    </row>
    <row r="1135" spans="2:6">
      <c r="B1135" s="13" t="s">
        <v>733</v>
      </c>
      <c r="C1135" s="13" t="s">
        <v>741</v>
      </c>
      <c r="D1135" s="13">
        <v>17.760000000000002</v>
      </c>
      <c r="E1135" s="13">
        <v>3</v>
      </c>
      <c r="F1135" s="13">
        <f t="shared" si="17"/>
        <v>5.9200000000000008</v>
      </c>
    </row>
    <row r="1136" spans="2:6">
      <c r="B1136" s="13" t="s">
        <v>1720</v>
      </c>
      <c r="C1136" s="13" t="s">
        <v>1722</v>
      </c>
      <c r="D1136" s="13">
        <v>6.911999999999999</v>
      </c>
      <c r="E1136" s="13">
        <v>3</v>
      </c>
      <c r="F1136" s="13">
        <f t="shared" si="17"/>
        <v>2.3039999999999998</v>
      </c>
    </row>
    <row r="1137" spans="2:6">
      <c r="B1137" s="13" t="s">
        <v>450</v>
      </c>
      <c r="C1137" s="13" t="s">
        <v>451</v>
      </c>
      <c r="D1137" s="13">
        <v>599.97</v>
      </c>
      <c r="E1137" s="13">
        <v>3</v>
      </c>
      <c r="F1137" s="13">
        <f t="shared" si="17"/>
        <v>199.99</v>
      </c>
    </row>
    <row r="1138" spans="2:6">
      <c r="B1138" s="13" t="s">
        <v>1723</v>
      </c>
      <c r="C1138" s="13" t="s">
        <v>1725</v>
      </c>
      <c r="D1138" s="13">
        <v>38.97</v>
      </c>
      <c r="E1138" s="13">
        <v>3</v>
      </c>
      <c r="F1138" s="13">
        <f t="shared" si="17"/>
        <v>12.99</v>
      </c>
    </row>
    <row r="1139" spans="2:6">
      <c r="B1139" s="13" t="s">
        <v>1724</v>
      </c>
      <c r="C1139" s="13" t="s">
        <v>1726</v>
      </c>
      <c r="D1139" s="13">
        <v>45.84</v>
      </c>
      <c r="E1139" s="13">
        <v>8</v>
      </c>
      <c r="F1139" s="13">
        <f t="shared" si="17"/>
        <v>5.73</v>
      </c>
    </row>
    <row r="1140" spans="2:6">
      <c r="B1140" s="13" t="s">
        <v>1727</v>
      </c>
      <c r="C1140" s="13" t="s">
        <v>1731</v>
      </c>
      <c r="D1140" s="13">
        <v>28.672000000000004</v>
      </c>
      <c r="E1140" s="13">
        <v>8</v>
      </c>
      <c r="F1140" s="13">
        <f t="shared" si="17"/>
        <v>3.5840000000000005</v>
      </c>
    </row>
    <row r="1141" spans="2:6">
      <c r="B1141" s="13" t="s">
        <v>1728</v>
      </c>
      <c r="C1141" s="13" t="s">
        <v>1732</v>
      </c>
      <c r="D1141" s="13">
        <v>29.311999999999994</v>
      </c>
      <c r="E1141" s="13">
        <v>8</v>
      </c>
      <c r="F1141" s="13">
        <f t="shared" si="17"/>
        <v>3.6639999999999993</v>
      </c>
    </row>
    <row r="1142" spans="2:6">
      <c r="B1142" s="13" t="s">
        <v>1729</v>
      </c>
      <c r="C1142" s="13" t="s">
        <v>1733</v>
      </c>
      <c r="D1142" s="13">
        <v>105.98</v>
      </c>
      <c r="E1142" s="13">
        <v>7</v>
      </c>
      <c r="F1142" s="13">
        <f t="shared" si="17"/>
        <v>15.14</v>
      </c>
    </row>
    <row r="1143" spans="2:6">
      <c r="B1143" s="13" t="s">
        <v>1312</v>
      </c>
      <c r="C1143" s="13" t="s">
        <v>1318</v>
      </c>
      <c r="D1143" s="13">
        <v>35.06</v>
      </c>
      <c r="E1143" s="13">
        <v>2</v>
      </c>
      <c r="F1143" s="13">
        <f t="shared" si="17"/>
        <v>17.53</v>
      </c>
    </row>
    <row r="1144" spans="2:6">
      <c r="B1144" s="13" t="s">
        <v>1135</v>
      </c>
      <c r="C1144" s="13" t="s">
        <v>1136</v>
      </c>
      <c r="D1144" s="13">
        <v>33.94</v>
      </c>
      <c r="E1144" s="13">
        <v>1</v>
      </c>
      <c r="F1144" s="13">
        <f t="shared" si="17"/>
        <v>33.94</v>
      </c>
    </row>
    <row r="1145" spans="2:6">
      <c r="B1145" s="13" t="s">
        <v>1730</v>
      </c>
      <c r="C1145" s="13" t="s">
        <v>1734</v>
      </c>
      <c r="D1145" s="13">
        <v>30</v>
      </c>
      <c r="E1145" s="13">
        <v>8</v>
      </c>
      <c r="F1145" s="13">
        <f t="shared" si="17"/>
        <v>3.75</v>
      </c>
    </row>
    <row r="1146" spans="2:6">
      <c r="B1146" s="13" t="s">
        <v>1278</v>
      </c>
      <c r="C1146" s="13" t="s">
        <v>1282</v>
      </c>
      <c r="D1146" s="13">
        <v>7.4760000000000018</v>
      </c>
      <c r="E1146" s="13">
        <v>1</v>
      </c>
      <c r="F1146" s="13">
        <f t="shared" si="17"/>
        <v>7.4760000000000018</v>
      </c>
    </row>
    <row r="1147" spans="2:6">
      <c r="B1147" s="13" t="s">
        <v>1735</v>
      </c>
      <c r="C1147" s="13" t="s">
        <v>1741</v>
      </c>
      <c r="D1147" s="13">
        <v>45.36</v>
      </c>
      <c r="E1147" s="13">
        <v>7</v>
      </c>
      <c r="F1147" s="13">
        <f t="shared" si="17"/>
        <v>6.4799999999999995</v>
      </c>
    </row>
    <row r="1148" spans="2:6">
      <c r="B1148" s="13" t="s">
        <v>1736</v>
      </c>
      <c r="C1148" s="13" t="s">
        <v>1742</v>
      </c>
      <c r="D1148" s="13">
        <v>10.128</v>
      </c>
      <c r="E1148" s="13">
        <v>2</v>
      </c>
      <c r="F1148" s="13">
        <f t="shared" si="17"/>
        <v>5.0640000000000001</v>
      </c>
    </row>
    <row r="1149" spans="2:6">
      <c r="B1149" s="13" t="s">
        <v>1737</v>
      </c>
      <c r="C1149" s="13" t="s">
        <v>1743</v>
      </c>
      <c r="D1149" s="13">
        <v>21.792000000000002</v>
      </c>
      <c r="E1149" s="13">
        <v>4</v>
      </c>
      <c r="F1149" s="13">
        <f t="shared" si="17"/>
        <v>5.4480000000000004</v>
      </c>
    </row>
    <row r="1150" spans="2:6">
      <c r="B1150" s="13" t="s">
        <v>1738</v>
      </c>
      <c r="C1150" s="13" t="s">
        <v>1744</v>
      </c>
      <c r="D1150" s="13">
        <v>439.8</v>
      </c>
      <c r="E1150" s="13">
        <v>4</v>
      </c>
      <c r="F1150" s="13">
        <f t="shared" si="17"/>
        <v>109.95</v>
      </c>
    </row>
    <row r="1151" spans="2:6">
      <c r="B1151" s="13" t="s">
        <v>1739</v>
      </c>
      <c r="C1151" s="13" t="s">
        <v>1745</v>
      </c>
      <c r="D1151" s="13">
        <v>8.2560000000000002</v>
      </c>
      <c r="E1151" s="13">
        <v>4</v>
      </c>
      <c r="F1151" s="13">
        <f t="shared" si="17"/>
        <v>2.0640000000000001</v>
      </c>
    </row>
    <row r="1152" spans="2:6">
      <c r="B1152" s="13" t="s">
        <v>619</v>
      </c>
      <c r="C1152" s="13" t="s">
        <v>621</v>
      </c>
      <c r="D1152" s="13">
        <v>25.560000000000002</v>
      </c>
      <c r="E1152" s="13">
        <v>5</v>
      </c>
      <c r="F1152" s="13">
        <f t="shared" si="17"/>
        <v>5.1120000000000001</v>
      </c>
    </row>
    <row r="1153" spans="2:6">
      <c r="B1153" s="13" t="s">
        <v>687</v>
      </c>
      <c r="C1153" s="13" t="s">
        <v>688</v>
      </c>
      <c r="D1153" s="13">
        <v>4.3680000000000012</v>
      </c>
      <c r="E1153" s="13">
        <v>2</v>
      </c>
      <c r="F1153" s="13">
        <f t="shared" si="17"/>
        <v>2.1840000000000006</v>
      </c>
    </row>
    <row r="1154" spans="2:6">
      <c r="B1154" s="13" t="s">
        <v>1740</v>
      </c>
      <c r="C1154" s="13" t="s">
        <v>1746</v>
      </c>
      <c r="D1154" s="13">
        <v>11.520000000000001</v>
      </c>
      <c r="E1154" s="13">
        <v>4</v>
      </c>
      <c r="F1154" s="13">
        <f t="shared" si="17"/>
        <v>2.8800000000000003</v>
      </c>
    </row>
    <row r="1155" spans="2:6">
      <c r="B1155" s="13" t="s">
        <v>1747</v>
      </c>
      <c r="C1155" s="13" t="s">
        <v>1748</v>
      </c>
      <c r="D1155" s="13">
        <v>1577.94</v>
      </c>
      <c r="E1155" s="13">
        <v>3</v>
      </c>
      <c r="F1155" s="13">
        <f t="shared" si="17"/>
        <v>525.98</v>
      </c>
    </row>
    <row r="1156" spans="2:6">
      <c r="B1156" s="13" t="s">
        <v>1585</v>
      </c>
      <c r="C1156" s="13" t="s">
        <v>1586</v>
      </c>
      <c r="D1156" s="13">
        <v>59.98</v>
      </c>
      <c r="E1156" s="13">
        <v>2</v>
      </c>
      <c r="F1156" s="13">
        <f t="shared" ref="F1156:F1219" si="18">D1156/E1156</f>
        <v>29.99</v>
      </c>
    </row>
    <row r="1157" spans="2:6">
      <c r="B1157" s="13" t="s">
        <v>1749</v>
      </c>
      <c r="C1157" s="13" t="s">
        <v>1751</v>
      </c>
      <c r="D1157" s="13">
        <v>2395.2000000000003</v>
      </c>
      <c r="E1157" s="13">
        <v>6</v>
      </c>
      <c r="F1157" s="13">
        <f t="shared" si="18"/>
        <v>399.20000000000005</v>
      </c>
    </row>
    <row r="1158" spans="2:6">
      <c r="B1158" s="13" t="s">
        <v>1227</v>
      </c>
      <c r="C1158" s="13" t="s">
        <v>1752</v>
      </c>
      <c r="D1158" s="13">
        <v>1687.8</v>
      </c>
      <c r="E1158" s="13">
        <v>4</v>
      </c>
      <c r="F1158" s="13">
        <f t="shared" si="18"/>
        <v>421.95</v>
      </c>
    </row>
    <row r="1159" spans="2:6">
      <c r="B1159" s="13" t="s">
        <v>1228</v>
      </c>
      <c r="C1159" s="13" t="s">
        <v>1233</v>
      </c>
      <c r="D1159" s="13">
        <v>7.9920000000000009</v>
      </c>
      <c r="E1159" s="13">
        <v>1</v>
      </c>
      <c r="F1159" s="13">
        <f t="shared" si="18"/>
        <v>7.9920000000000009</v>
      </c>
    </row>
    <row r="1160" spans="2:6">
      <c r="B1160" s="13" t="s">
        <v>983</v>
      </c>
      <c r="C1160" s="13" t="s">
        <v>986</v>
      </c>
      <c r="D1160" s="13">
        <v>5.1840000000000011</v>
      </c>
      <c r="E1160" s="13">
        <v>1</v>
      </c>
      <c r="F1160" s="13">
        <f t="shared" si="18"/>
        <v>5.1840000000000011</v>
      </c>
    </row>
    <row r="1161" spans="2:6">
      <c r="B1161" s="13" t="s">
        <v>143</v>
      </c>
      <c r="C1161" s="13" t="s">
        <v>144</v>
      </c>
      <c r="D1161" s="13">
        <v>11.68</v>
      </c>
      <c r="E1161" s="13">
        <v>2</v>
      </c>
      <c r="F1161" s="13">
        <f t="shared" si="18"/>
        <v>5.84</v>
      </c>
    </row>
    <row r="1162" spans="2:6">
      <c r="B1162" s="13" t="s">
        <v>1750</v>
      </c>
      <c r="C1162" s="13" t="s">
        <v>597</v>
      </c>
      <c r="D1162" s="13">
        <v>104.80000000000001</v>
      </c>
      <c r="E1162" s="13">
        <v>10</v>
      </c>
      <c r="F1162" s="13">
        <f t="shared" si="18"/>
        <v>10.48</v>
      </c>
    </row>
    <row r="1163" spans="2:6">
      <c r="B1163" s="13" t="s">
        <v>697</v>
      </c>
      <c r="C1163" s="13" t="s">
        <v>700</v>
      </c>
      <c r="D1163" s="13">
        <v>104.85</v>
      </c>
      <c r="E1163" s="13">
        <v>1</v>
      </c>
      <c r="F1163" s="13">
        <f t="shared" si="18"/>
        <v>104.85</v>
      </c>
    </row>
    <row r="1164" spans="2:6">
      <c r="B1164" s="13" t="s">
        <v>1753</v>
      </c>
      <c r="C1164" s="13" t="s">
        <v>1756</v>
      </c>
      <c r="D1164" s="13">
        <v>5.96</v>
      </c>
      <c r="E1164" s="13">
        <v>2</v>
      </c>
      <c r="F1164" s="13">
        <f t="shared" si="18"/>
        <v>2.98</v>
      </c>
    </row>
    <row r="1165" spans="2:6">
      <c r="B1165" s="13" t="s">
        <v>1754</v>
      </c>
      <c r="C1165" s="13" t="s">
        <v>1757</v>
      </c>
      <c r="D1165" s="13">
        <v>1169.694</v>
      </c>
      <c r="E1165" s="13">
        <v>3</v>
      </c>
      <c r="F1165" s="13">
        <f t="shared" si="18"/>
        <v>389.89799999999997</v>
      </c>
    </row>
    <row r="1166" spans="2:6">
      <c r="B1166" s="13" t="s">
        <v>932</v>
      </c>
      <c r="C1166" s="13" t="s">
        <v>935</v>
      </c>
      <c r="D1166" s="13">
        <v>1665.62</v>
      </c>
      <c r="E1166" s="13">
        <v>2</v>
      </c>
      <c r="F1166" s="13">
        <f t="shared" si="18"/>
        <v>832.81</v>
      </c>
    </row>
    <row r="1167" spans="2:6">
      <c r="B1167" s="13" t="s">
        <v>421</v>
      </c>
      <c r="C1167" s="13" t="s">
        <v>425</v>
      </c>
      <c r="D1167" s="13">
        <v>2.88</v>
      </c>
      <c r="E1167" s="13">
        <v>1</v>
      </c>
      <c r="F1167" s="13">
        <f t="shared" si="18"/>
        <v>2.88</v>
      </c>
    </row>
    <row r="1168" spans="2:6">
      <c r="B1168" s="13" t="s">
        <v>1755</v>
      </c>
      <c r="C1168" s="13" t="s">
        <v>1758</v>
      </c>
      <c r="D1168" s="13">
        <v>1443.96</v>
      </c>
      <c r="E1168" s="13">
        <v>12</v>
      </c>
      <c r="F1168" s="13">
        <f t="shared" si="18"/>
        <v>120.33</v>
      </c>
    </row>
    <row r="1169" spans="2:6">
      <c r="B1169" s="13" t="s">
        <v>1759</v>
      </c>
      <c r="C1169" s="13" t="s">
        <v>1760</v>
      </c>
      <c r="D1169" s="13">
        <v>2.6240000000000001</v>
      </c>
      <c r="E1169" s="13">
        <v>1</v>
      </c>
      <c r="F1169" s="13">
        <f t="shared" si="18"/>
        <v>2.6240000000000001</v>
      </c>
    </row>
    <row r="1170" spans="2:6">
      <c r="B1170" s="13" t="s">
        <v>1709</v>
      </c>
      <c r="C1170" s="13" t="s">
        <v>1710</v>
      </c>
      <c r="D1170" s="13">
        <v>431.92800000000005</v>
      </c>
      <c r="E1170" s="13">
        <v>9</v>
      </c>
      <c r="F1170" s="13">
        <f t="shared" si="18"/>
        <v>47.992000000000004</v>
      </c>
    </row>
    <row r="1171" spans="2:6">
      <c r="B1171" s="13" t="s">
        <v>843</v>
      </c>
      <c r="C1171" s="13" t="s">
        <v>1106</v>
      </c>
      <c r="D1171" s="13">
        <v>277.39999999999998</v>
      </c>
      <c r="E1171" s="13">
        <v>5</v>
      </c>
      <c r="F1171" s="13">
        <f t="shared" si="18"/>
        <v>55.48</v>
      </c>
    </row>
    <row r="1172" spans="2:6">
      <c r="B1172" s="13" t="s">
        <v>757</v>
      </c>
      <c r="C1172" s="13" t="s">
        <v>759</v>
      </c>
      <c r="D1172" s="13">
        <v>25.16</v>
      </c>
      <c r="E1172" s="13">
        <v>2</v>
      </c>
      <c r="F1172" s="13">
        <f t="shared" si="18"/>
        <v>12.58</v>
      </c>
    </row>
    <row r="1173" spans="2:6">
      <c r="B1173" s="13" t="s">
        <v>1620</v>
      </c>
      <c r="C1173" s="13" t="s">
        <v>1622</v>
      </c>
      <c r="D1173" s="13">
        <v>91.92</v>
      </c>
      <c r="E1173" s="13">
        <v>4</v>
      </c>
      <c r="F1173" s="13">
        <f t="shared" si="18"/>
        <v>22.98</v>
      </c>
    </row>
    <row r="1174" spans="2:6">
      <c r="B1174" s="13" t="s">
        <v>1761</v>
      </c>
      <c r="C1174" s="13" t="s">
        <v>1763</v>
      </c>
      <c r="D1174" s="13">
        <v>718.11599999999987</v>
      </c>
      <c r="E1174" s="13">
        <v>6</v>
      </c>
      <c r="F1174" s="13">
        <f t="shared" si="18"/>
        <v>119.68599999999998</v>
      </c>
    </row>
    <row r="1175" spans="2:6">
      <c r="B1175" s="13" t="s">
        <v>1762</v>
      </c>
      <c r="C1175" s="13" t="s">
        <v>1764</v>
      </c>
      <c r="D1175" s="13">
        <v>31.776</v>
      </c>
      <c r="E1175" s="13">
        <v>4</v>
      </c>
      <c r="F1175" s="13">
        <f t="shared" si="18"/>
        <v>7.944</v>
      </c>
    </row>
    <row r="1176" spans="2:6">
      <c r="B1176" s="13" t="s">
        <v>377</v>
      </c>
      <c r="C1176" s="13" t="s">
        <v>387</v>
      </c>
      <c r="D1176" s="13">
        <v>487.98400000000004</v>
      </c>
      <c r="E1176" s="13">
        <v>2</v>
      </c>
      <c r="F1176" s="13">
        <f t="shared" si="18"/>
        <v>243.99200000000002</v>
      </c>
    </row>
    <row r="1177" spans="2:6">
      <c r="B1177" s="13" t="s">
        <v>881</v>
      </c>
      <c r="C1177" s="13" t="s">
        <v>882</v>
      </c>
      <c r="D1177" s="13">
        <v>5.5600000000000005</v>
      </c>
      <c r="E1177" s="13">
        <v>1</v>
      </c>
      <c r="F1177" s="13">
        <f t="shared" si="18"/>
        <v>5.5600000000000005</v>
      </c>
    </row>
    <row r="1178" spans="2:6">
      <c r="B1178" s="13" t="s">
        <v>82</v>
      </c>
      <c r="C1178" s="13" t="s">
        <v>84</v>
      </c>
      <c r="D1178" s="13">
        <v>217.85</v>
      </c>
      <c r="E1178" s="13">
        <v>5</v>
      </c>
      <c r="F1178" s="13">
        <f t="shared" si="18"/>
        <v>43.57</v>
      </c>
    </row>
    <row r="1179" spans="2:6">
      <c r="B1179" s="13" t="s">
        <v>1489</v>
      </c>
      <c r="C1179" s="13" t="s">
        <v>1490</v>
      </c>
      <c r="D1179" s="13">
        <v>681.40800000000013</v>
      </c>
      <c r="E1179" s="13">
        <v>12</v>
      </c>
      <c r="F1179" s="13">
        <f t="shared" si="18"/>
        <v>56.784000000000013</v>
      </c>
    </row>
    <row r="1180" spans="2:6">
      <c r="B1180" s="13" t="s">
        <v>1765</v>
      </c>
      <c r="C1180" s="13" t="s">
        <v>1767</v>
      </c>
      <c r="D1180" s="13">
        <v>3.52</v>
      </c>
      <c r="E1180" s="13">
        <v>2</v>
      </c>
      <c r="F1180" s="13">
        <f t="shared" si="18"/>
        <v>1.76</v>
      </c>
    </row>
    <row r="1181" spans="2:6">
      <c r="B1181" s="13" t="s">
        <v>1406</v>
      </c>
      <c r="C1181" s="13" t="s">
        <v>1408</v>
      </c>
      <c r="D1181" s="13">
        <v>5.58</v>
      </c>
      <c r="E1181" s="13">
        <v>1</v>
      </c>
      <c r="F1181" s="13">
        <f t="shared" si="18"/>
        <v>5.58</v>
      </c>
    </row>
    <row r="1182" spans="2:6">
      <c r="B1182" s="13" t="s">
        <v>1766</v>
      </c>
      <c r="C1182" s="13" t="s">
        <v>1768</v>
      </c>
      <c r="D1182" s="13">
        <v>36.32</v>
      </c>
      <c r="E1182" s="13">
        <v>1</v>
      </c>
      <c r="F1182" s="13">
        <f t="shared" si="18"/>
        <v>36.32</v>
      </c>
    </row>
    <row r="1183" spans="2:6">
      <c r="B1183" s="13" t="s">
        <v>909</v>
      </c>
      <c r="C1183" s="13" t="s">
        <v>912</v>
      </c>
      <c r="D1183" s="13">
        <v>52.272000000000006</v>
      </c>
      <c r="E1183" s="13">
        <v>3</v>
      </c>
      <c r="F1183" s="13">
        <f t="shared" si="18"/>
        <v>17.424000000000003</v>
      </c>
    </row>
    <row r="1184" spans="2:6">
      <c r="B1184" s="13" t="s">
        <v>1769</v>
      </c>
      <c r="C1184" s="13" t="s">
        <v>1771</v>
      </c>
      <c r="D1184" s="13">
        <v>213.13600000000002</v>
      </c>
      <c r="E1184" s="13">
        <v>7</v>
      </c>
      <c r="F1184" s="13">
        <f t="shared" si="18"/>
        <v>30.448000000000004</v>
      </c>
    </row>
    <row r="1185" spans="2:6">
      <c r="B1185" s="13" t="s">
        <v>1770</v>
      </c>
      <c r="C1185" s="13" t="s">
        <v>1772</v>
      </c>
      <c r="D1185" s="13">
        <v>69.52</v>
      </c>
      <c r="E1185" s="13">
        <v>2</v>
      </c>
      <c r="F1185" s="13">
        <f t="shared" si="18"/>
        <v>34.76</v>
      </c>
    </row>
    <row r="1186" spans="2:6">
      <c r="B1186" s="13" t="s">
        <v>1035</v>
      </c>
      <c r="C1186" s="13" t="s">
        <v>1056</v>
      </c>
      <c r="D1186" s="13">
        <v>763.44</v>
      </c>
      <c r="E1186" s="13">
        <v>8</v>
      </c>
      <c r="F1186" s="13">
        <f t="shared" si="18"/>
        <v>95.43</v>
      </c>
    </row>
    <row r="1187" spans="2:6">
      <c r="B1187" s="13" t="s">
        <v>1773</v>
      </c>
      <c r="C1187" s="13" t="s">
        <v>1778</v>
      </c>
      <c r="D1187" s="13">
        <v>104.88</v>
      </c>
      <c r="E1187" s="13">
        <v>6</v>
      </c>
      <c r="F1187" s="13">
        <f t="shared" si="18"/>
        <v>17.48</v>
      </c>
    </row>
    <row r="1188" spans="2:6">
      <c r="B1188" s="13" t="s">
        <v>1081</v>
      </c>
      <c r="C1188" s="13" t="s">
        <v>1082</v>
      </c>
      <c r="D1188" s="13">
        <v>34.700000000000003</v>
      </c>
      <c r="E1188" s="13">
        <v>5</v>
      </c>
      <c r="F1188" s="13">
        <f t="shared" si="18"/>
        <v>6.94</v>
      </c>
    </row>
    <row r="1189" spans="2:6">
      <c r="B1189" s="13" t="s">
        <v>813</v>
      </c>
      <c r="C1189" s="13" t="s">
        <v>820</v>
      </c>
      <c r="D1189" s="13">
        <v>33.72</v>
      </c>
      <c r="E1189" s="13">
        <v>4</v>
      </c>
      <c r="F1189" s="13">
        <f t="shared" si="18"/>
        <v>8.43</v>
      </c>
    </row>
    <row r="1190" spans="2:6">
      <c r="B1190" s="13" t="s">
        <v>1774</v>
      </c>
      <c r="C1190" s="13" t="s">
        <v>46</v>
      </c>
      <c r="D1190" s="13">
        <v>14.940000000000001</v>
      </c>
      <c r="E1190" s="13">
        <v>3</v>
      </c>
      <c r="F1190" s="13">
        <f t="shared" si="18"/>
        <v>4.9800000000000004</v>
      </c>
    </row>
    <row r="1191" spans="2:6">
      <c r="B1191" s="13" t="s">
        <v>1775</v>
      </c>
      <c r="C1191" s="13" t="s">
        <v>1779</v>
      </c>
      <c r="D1191" s="13">
        <v>638.73</v>
      </c>
      <c r="E1191" s="13">
        <v>9</v>
      </c>
      <c r="F1191" s="13">
        <f t="shared" si="18"/>
        <v>70.97</v>
      </c>
    </row>
    <row r="1192" spans="2:6">
      <c r="B1192" s="13" t="s">
        <v>1776</v>
      </c>
      <c r="C1192" s="13" t="s">
        <v>1780</v>
      </c>
      <c r="D1192" s="13">
        <v>113.56800000000001</v>
      </c>
      <c r="E1192" s="13">
        <v>2</v>
      </c>
      <c r="F1192" s="13">
        <f t="shared" si="18"/>
        <v>56.784000000000006</v>
      </c>
    </row>
    <row r="1193" spans="2:6">
      <c r="B1193" s="13" t="s">
        <v>1777</v>
      </c>
      <c r="C1193" s="13" t="s">
        <v>1781</v>
      </c>
      <c r="D1193" s="13">
        <v>9.0960000000000001</v>
      </c>
      <c r="E1193" s="13">
        <v>1</v>
      </c>
      <c r="F1193" s="13">
        <f t="shared" si="18"/>
        <v>9.0960000000000001</v>
      </c>
    </row>
    <row r="1194" spans="2:6">
      <c r="B1194" s="13" t="s">
        <v>1782</v>
      </c>
      <c r="C1194" s="13" t="s">
        <v>1783</v>
      </c>
      <c r="D1194" s="13">
        <v>258.89999999999998</v>
      </c>
      <c r="E1194" s="13">
        <v>10</v>
      </c>
      <c r="F1194" s="13">
        <f t="shared" si="18"/>
        <v>25.889999999999997</v>
      </c>
    </row>
    <row r="1195" spans="2:6">
      <c r="B1195" s="13" t="s">
        <v>204</v>
      </c>
      <c r="C1195" s="13" t="s">
        <v>1784</v>
      </c>
      <c r="D1195" s="13">
        <v>24.56</v>
      </c>
      <c r="E1195" s="13">
        <v>2</v>
      </c>
      <c r="F1195" s="13">
        <f t="shared" si="18"/>
        <v>12.28</v>
      </c>
    </row>
    <row r="1196" spans="2:6">
      <c r="B1196" s="13" t="s">
        <v>1785</v>
      </c>
      <c r="C1196" s="13" t="s">
        <v>1786</v>
      </c>
      <c r="D1196" s="13">
        <v>127.372</v>
      </c>
      <c r="E1196" s="13">
        <v>2</v>
      </c>
      <c r="F1196" s="13">
        <f t="shared" si="18"/>
        <v>63.686</v>
      </c>
    </row>
    <row r="1197" spans="2:6">
      <c r="B1197" s="13" t="s">
        <v>207</v>
      </c>
      <c r="C1197" s="13" t="s">
        <v>220</v>
      </c>
      <c r="D1197" s="13">
        <v>47.952000000000005</v>
      </c>
      <c r="E1197" s="13">
        <v>3</v>
      </c>
      <c r="F1197" s="13">
        <f t="shared" si="18"/>
        <v>15.984000000000002</v>
      </c>
    </row>
    <row r="1198" spans="2:6">
      <c r="B1198" s="13" t="s">
        <v>128</v>
      </c>
      <c r="C1198" s="13" t="s">
        <v>134</v>
      </c>
      <c r="D1198" s="13">
        <v>25.344000000000001</v>
      </c>
      <c r="E1198" s="13">
        <v>6</v>
      </c>
      <c r="F1198" s="13">
        <f t="shared" si="18"/>
        <v>4.2240000000000002</v>
      </c>
    </row>
    <row r="1199" spans="2:6">
      <c r="B1199" s="13" t="s">
        <v>402</v>
      </c>
      <c r="C1199" s="13" t="s">
        <v>404</v>
      </c>
      <c r="D1199" s="13">
        <v>43.92</v>
      </c>
      <c r="E1199" s="13">
        <v>5</v>
      </c>
      <c r="F1199" s="13">
        <f t="shared" si="18"/>
        <v>8.7840000000000007</v>
      </c>
    </row>
    <row r="1200" spans="2:6">
      <c r="B1200" s="13" t="s">
        <v>1787</v>
      </c>
      <c r="C1200" s="13" t="s">
        <v>1789</v>
      </c>
      <c r="D1200" s="13">
        <v>163.96</v>
      </c>
      <c r="E1200" s="13">
        <v>4</v>
      </c>
      <c r="F1200" s="13">
        <f t="shared" si="18"/>
        <v>40.99</v>
      </c>
    </row>
    <row r="1201" spans="2:6">
      <c r="B1201" s="13" t="s">
        <v>1788</v>
      </c>
      <c r="C1201" s="13" t="s">
        <v>1790</v>
      </c>
      <c r="D1201" s="13">
        <v>37.93</v>
      </c>
      <c r="E1201" s="13">
        <v>1</v>
      </c>
      <c r="F1201" s="13">
        <f t="shared" si="18"/>
        <v>37.93</v>
      </c>
    </row>
    <row r="1202" spans="2:6">
      <c r="B1202" s="13" t="s">
        <v>1762</v>
      </c>
      <c r="C1202" s="13" t="s">
        <v>1764</v>
      </c>
      <c r="D1202" s="13">
        <v>23.832000000000001</v>
      </c>
      <c r="E1202" s="13">
        <v>3</v>
      </c>
      <c r="F1202" s="13">
        <f t="shared" si="18"/>
        <v>7.944</v>
      </c>
    </row>
    <row r="1203" spans="2:6">
      <c r="B1203" s="13" t="s">
        <v>123</v>
      </c>
      <c r="C1203" s="13" t="s">
        <v>129</v>
      </c>
      <c r="D1203" s="13">
        <v>510.24</v>
      </c>
      <c r="E1203" s="13">
        <v>3</v>
      </c>
      <c r="F1203" s="13">
        <f t="shared" si="18"/>
        <v>170.08</v>
      </c>
    </row>
    <row r="1204" spans="2:6">
      <c r="B1204" s="13" t="s">
        <v>1791</v>
      </c>
      <c r="C1204" s="13" t="s">
        <v>1794</v>
      </c>
      <c r="D1204" s="13">
        <v>204.95000000000002</v>
      </c>
      <c r="E1204" s="13">
        <v>5</v>
      </c>
      <c r="F1204" s="13">
        <f t="shared" si="18"/>
        <v>40.99</v>
      </c>
    </row>
    <row r="1205" spans="2:6">
      <c r="B1205" s="13" t="s">
        <v>1792</v>
      </c>
      <c r="C1205" s="13" t="s">
        <v>1795</v>
      </c>
      <c r="D1205" s="13">
        <v>11.54</v>
      </c>
      <c r="E1205" s="13">
        <v>1</v>
      </c>
      <c r="F1205" s="13">
        <f t="shared" si="18"/>
        <v>11.54</v>
      </c>
    </row>
    <row r="1206" spans="2:6">
      <c r="B1206" s="13" t="s">
        <v>1793</v>
      </c>
      <c r="C1206" s="13" t="s">
        <v>1796</v>
      </c>
      <c r="D1206" s="13">
        <v>162.60000000000002</v>
      </c>
      <c r="E1206" s="13">
        <v>3</v>
      </c>
      <c r="F1206" s="13">
        <f t="shared" si="18"/>
        <v>54.20000000000001</v>
      </c>
    </row>
    <row r="1207" spans="2:6">
      <c r="B1207" s="13" t="s">
        <v>1064</v>
      </c>
      <c r="C1207" s="13" t="s">
        <v>1068</v>
      </c>
      <c r="D1207" s="13">
        <v>23.55</v>
      </c>
      <c r="E1207" s="13">
        <v>5</v>
      </c>
      <c r="F1207" s="13">
        <f t="shared" si="18"/>
        <v>4.71</v>
      </c>
    </row>
    <row r="1208" spans="2:6">
      <c r="B1208" s="13" t="s">
        <v>1406</v>
      </c>
      <c r="C1208" s="13" t="s">
        <v>1408</v>
      </c>
      <c r="D1208" s="13">
        <v>35.712000000000003</v>
      </c>
      <c r="E1208" s="13">
        <v>8</v>
      </c>
      <c r="F1208" s="13">
        <f t="shared" si="18"/>
        <v>4.4640000000000004</v>
      </c>
    </row>
    <row r="1209" spans="2:6">
      <c r="B1209" s="13" t="s">
        <v>1633</v>
      </c>
      <c r="C1209" s="13" t="s">
        <v>1635</v>
      </c>
      <c r="D1209" s="13">
        <v>7.0559999999999992</v>
      </c>
      <c r="E1209" s="13">
        <v>3</v>
      </c>
      <c r="F1209" s="13">
        <f t="shared" si="18"/>
        <v>2.3519999999999999</v>
      </c>
    </row>
    <row r="1210" spans="2:6">
      <c r="B1210" s="13" t="s">
        <v>1797</v>
      </c>
      <c r="C1210" s="13" t="s">
        <v>1798</v>
      </c>
      <c r="D1210" s="13">
        <v>26.38</v>
      </c>
      <c r="E1210" s="13">
        <v>1</v>
      </c>
      <c r="F1210" s="13">
        <f t="shared" si="18"/>
        <v>26.38</v>
      </c>
    </row>
    <row r="1211" spans="2:6">
      <c r="B1211" s="13" t="s">
        <v>704</v>
      </c>
      <c r="C1211" s="13" t="s">
        <v>705</v>
      </c>
      <c r="D1211" s="13">
        <v>71.97</v>
      </c>
      <c r="E1211" s="13">
        <v>3</v>
      </c>
      <c r="F1211" s="13">
        <f t="shared" si="18"/>
        <v>23.99</v>
      </c>
    </row>
    <row r="1212" spans="2:6">
      <c r="B1212" s="13" t="s">
        <v>859</v>
      </c>
      <c r="C1212" s="13" t="s">
        <v>861</v>
      </c>
      <c r="D1212" s="13">
        <v>198.46</v>
      </c>
      <c r="E1212" s="13">
        <v>2</v>
      </c>
      <c r="F1212" s="13">
        <f t="shared" si="18"/>
        <v>99.23</v>
      </c>
    </row>
    <row r="1213" spans="2:6">
      <c r="B1213" s="13" t="s">
        <v>1665</v>
      </c>
      <c r="C1213" s="13" t="s">
        <v>1667</v>
      </c>
      <c r="D1213" s="13">
        <v>321.92</v>
      </c>
      <c r="E1213" s="13">
        <v>4</v>
      </c>
      <c r="F1213" s="13">
        <f t="shared" si="18"/>
        <v>80.48</v>
      </c>
    </row>
    <row r="1214" spans="2:6">
      <c r="B1214" s="13" t="s">
        <v>1799</v>
      </c>
      <c r="C1214" s="13" t="s">
        <v>1803</v>
      </c>
      <c r="D1214" s="13">
        <v>879.98400000000004</v>
      </c>
      <c r="E1214" s="13">
        <v>2</v>
      </c>
      <c r="F1214" s="13">
        <f t="shared" si="18"/>
        <v>439.99200000000002</v>
      </c>
    </row>
    <row r="1215" spans="2:6">
      <c r="B1215" s="13" t="s">
        <v>1800</v>
      </c>
      <c r="C1215" s="13" t="s">
        <v>1804</v>
      </c>
      <c r="D1215" s="13">
        <v>28.4</v>
      </c>
      <c r="E1215" s="13">
        <v>5</v>
      </c>
      <c r="F1215" s="13">
        <f t="shared" si="18"/>
        <v>5.68</v>
      </c>
    </row>
    <row r="1216" spans="2:6">
      <c r="B1216" s="13" t="s">
        <v>1801</v>
      </c>
      <c r="C1216" s="13" t="s">
        <v>1805</v>
      </c>
      <c r="D1216" s="13">
        <v>230.28000000000003</v>
      </c>
      <c r="E1216" s="13">
        <v>3</v>
      </c>
      <c r="F1216" s="13">
        <f t="shared" si="18"/>
        <v>76.760000000000005</v>
      </c>
    </row>
    <row r="1217" spans="2:6">
      <c r="B1217" s="13" t="s">
        <v>1802</v>
      </c>
      <c r="C1217" s="13" t="s">
        <v>1806</v>
      </c>
      <c r="D1217" s="13">
        <v>116.28</v>
      </c>
      <c r="E1217" s="13">
        <v>3</v>
      </c>
      <c r="F1217" s="13">
        <f t="shared" si="18"/>
        <v>38.76</v>
      </c>
    </row>
    <row r="1218" spans="2:6">
      <c r="B1218" s="13" t="s">
        <v>1747</v>
      </c>
      <c r="C1218" s="13" t="s">
        <v>1748</v>
      </c>
      <c r="D1218" s="13">
        <v>841.5680000000001</v>
      </c>
      <c r="E1218" s="13">
        <v>2</v>
      </c>
      <c r="F1218" s="13">
        <f t="shared" si="18"/>
        <v>420.78400000000005</v>
      </c>
    </row>
    <row r="1219" spans="2:6">
      <c r="B1219" s="13" t="s">
        <v>1776</v>
      </c>
      <c r="C1219" s="13" t="s">
        <v>1780</v>
      </c>
      <c r="D1219" s="13">
        <v>354.90000000000003</v>
      </c>
      <c r="E1219" s="13">
        <v>5</v>
      </c>
      <c r="F1219" s="13">
        <f t="shared" si="18"/>
        <v>70.98</v>
      </c>
    </row>
    <row r="1220" spans="2:6">
      <c r="B1220" s="13" t="s">
        <v>1807</v>
      </c>
      <c r="C1220" s="13" t="s">
        <v>1808</v>
      </c>
      <c r="D1220" s="13">
        <v>87.6</v>
      </c>
      <c r="E1220" s="13">
        <v>5</v>
      </c>
      <c r="F1220" s="13">
        <f t="shared" ref="F1220:F1283" si="19">D1220/E1220</f>
        <v>17.52</v>
      </c>
    </row>
    <row r="1221" spans="2:6">
      <c r="B1221" s="13" t="s">
        <v>1809</v>
      </c>
      <c r="C1221" s="13" t="s">
        <v>1810</v>
      </c>
      <c r="D1221" s="13">
        <v>1.7879999999999996</v>
      </c>
      <c r="E1221" s="13">
        <v>3</v>
      </c>
      <c r="F1221" s="13">
        <f t="shared" si="19"/>
        <v>0.59599999999999986</v>
      </c>
    </row>
    <row r="1222" spans="2:6">
      <c r="B1222" s="13" t="s">
        <v>771</v>
      </c>
      <c r="C1222" s="13" t="s">
        <v>774</v>
      </c>
      <c r="D1222" s="13">
        <v>71.975999999999999</v>
      </c>
      <c r="E1222" s="13">
        <v>3</v>
      </c>
      <c r="F1222" s="13">
        <f t="shared" si="19"/>
        <v>23.992000000000001</v>
      </c>
    </row>
    <row r="1223" spans="2:6">
      <c r="B1223" s="13" t="s">
        <v>1811</v>
      </c>
      <c r="C1223" s="13" t="s">
        <v>1812</v>
      </c>
      <c r="D1223" s="13">
        <v>37.94</v>
      </c>
      <c r="E1223" s="13">
        <v>2</v>
      </c>
      <c r="F1223" s="13">
        <f t="shared" si="19"/>
        <v>18.97</v>
      </c>
    </row>
    <row r="1224" spans="2:6">
      <c r="B1224" s="13" t="s">
        <v>897</v>
      </c>
      <c r="C1224" s="13" t="s">
        <v>901</v>
      </c>
      <c r="D1224" s="13">
        <v>8.9039999999999999</v>
      </c>
      <c r="E1224" s="13">
        <v>3</v>
      </c>
      <c r="F1224" s="13">
        <f t="shared" si="19"/>
        <v>2.968</v>
      </c>
    </row>
    <row r="1225" spans="2:6">
      <c r="B1225" s="13" t="s">
        <v>804</v>
      </c>
      <c r="C1225" s="13" t="s">
        <v>806</v>
      </c>
      <c r="D1225" s="13">
        <v>720.06400000000008</v>
      </c>
      <c r="E1225" s="13">
        <v>4</v>
      </c>
      <c r="F1225" s="13">
        <f t="shared" si="19"/>
        <v>180.01600000000002</v>
      </c>
    </row>
    <row r="1226" spans="2:6">
      <c r="B1226" s="13" t="s">
        <v>1782</v>
      </c>
      <c r="C1226" s="13" t="s">
        <v>1783</v>
      </c>
      <c r="D1226" s="13">
        <v>41.424000000000007</v>
      </c>
      <c r="E1226" s="13">
        <v>2</v>
      </c>
      <c r="F1226" s="13">
        <f t="shared" si="19"/>
        <v>20.712000000000003</v>
      </c>
    </row>
    <row r="1227" spans="2:6">
      <c r="B1227" s="13" t="s">
        <v>1813</v>
      </c>
      <c r="C1227" s="13" t="s">
        <v>1814</v>
      </c>
      <c r="D1227" s="13">
        <v>3.1320000000000001</v>
      </c>
      <c r="E1227" s="13">
        <v>2</v>
      </c>
      <c r="F1227" s="13">
        <f t="shared" si="19"/>
        <v>1.5660000000000001</v>
      </c>
    </row>
    <row r="1228" spans="2:6">
      <c r="B1228" s="13" t="s">
        <v>1815</v>
      </c>
      <c r="C1228" s="13" t="s">
        <v>1818</v>
      </c>
      <c r="D1228" s="13">
        <v>251.64</v>
      </c>
      <c r="E1228" s="13">
        <v>3</v>
      </c>
      <c r="F1228" s="13">
        <f t="shared" si="19"/>
        <v>83.88</v>
      </c>
    </row>
    <row r="1229" spans="2:6">
      <c r="B1229" s="13" t="s">
        <v>1816</v>
      </c>
      <c r="C1229" s="13" t="s">
        <v>1819</v>
      </c>
      <c r="D1229" s="13">
        <v>523.76400000000001</v>
      </c>
      <c r="E1229" s="13">
        <v>3</v>
      </c>
      <c r="F1229" s="13">
        <f t="shared" si="19"/>
        <v>174.58799999999999</v>
      </c>
    </row>
    <row r="1230" spans="2:6">
      <c r="B1230" s="13" t="s">
        <v>1817</v>
      </c>
      <c r="C1230" s="13" t="s">
        <v>1820</v>
      </c>
      <c r="D1230" s="13">
        <v>1359.96</v>
      </c>
      <c r="E1230" s="13">
        <v>5</v>
      </c>
      <c r="F1230" s="13">
        <f t="shared" si="19"/>
        <v>271.99200000000002</v>
      </c>
    </row>
    <row r="1231" spans="2:6">
      <c r="B1231" s="13" t="s">
        <v>1821</v>
      </c>
      <c r="C1231" s="13" t="s">
        <v>1822</v>
      </c>
      <c r="D1231" s="13">
        <v>25.06</v>
      </c>
      <c r="E1231" s="13">
        <v>2</v>
      </c>
      <c r="F1231" s="13">
        <f t="shared" si="19"/>
        <v>12.53</v>
      </c>
    </row>
    <row r="1232" spans="2:6">
      <c r="B1232" s="13" t="s">
        <v>1823</v>
      </c>
      <c r="C1232" s="13" t="s">
        <v>1826</v>
      </c>
      <c r="D1232" s="13">
        <v>12.816000000000001</v>
      </c>
      <c r="E1232" s="13">
        <v>3</v>
      </c>
      <c r="F1232" s="13">
        <f t="shared" si="19"/>
        <v>4.2720000000000002</v>
      </c>
    </row>
    <row r="1233" spans="2:6">
      <c r="B1233" s="13" t="s">
        <v>1077</v>
      </c>
      <c r="C1233" s="13" t="s">
        <v>1078</v>
      </c>
      <c r="D1233" s="13">
        <v>314.35199999999998</v>
      </c>
      <c r="E1233" s="13">
        <v>3</v>
      </c>
      <c r="F1233" s="13">
        <f t="shared" si="19"/>
        <v>104.78399999999999</v>
      </c>
    </row>
    <row r="1234" spans="2:6">
      <c r="B1234" s="13" t="s">
        <v>1824</v>
      </c>
      <c r="C1234" s="13" t="s">
        <v>1827</v>
      </c>
      <c r="D1234" s="13">
        <v>18.98</v>
      </c>
      <c r="E1234" s="13">
        <v>2</v>
      </c>
      <c r="F1234" s="13">
        <f t="shared" si="19"/>
        <v>9.49</v>
      </c>
    </row>
    <row r="1235" spans="2:6">
      <c r="B1235" s="13" t="s">
        <v>1825</v>
      </c>
      <c r="C1235" s="13" t="s">
        <v>1828</v>
      </c>
      <c r="D1235" s="13">
        <v>18.240000000000002</v>
      </c>
      <c r="E1235" s="13">
        <v>6</v>
      </c>
      <c r="F1235" s="13">
        <f t="shared" si="19"/>
        <v>3.0400000000000005</v>
      </c>
    </row>
    <row r="1236" spans="2:6">
      <c r="B1236" s="13" t="s">
        <v>1829</v>
      </c>
      <c r="C1236" s="13" t="s">
        <v>1830</v>
      </c>
      <c r="D1236" s="13">
        <v>1458.65</v>
      </c>
      <c r="E1236" s="13">
        <v>5</v>
      </c>
      <c r="F1236" s="13">
        <f t="shared" si="19"/>
        <v>291.73</v>
      </c>
    </row>
    <row r="1237" spans="2:6">
      <c r="B1237" s="13" t="s">
        <v>1336</v>
      </c>
      <c r="C1237" s="13" t="s">
        <v>1338</v>
      </c>
      <c r="D1237" s="13">
        <v>26.64</v>
      </c>
      <c r="E1237" s="13">
        <v>1</v>
      </c>
      <c r="F1237" s="13">
        <f t="shared" si="19"/>
        <v>26.64</v>
      </c>
    </row>
    <row r="1238" spans="2:6">
      <c r="B1238" s="13" t="s">
        <v>1341</v>
      </c>
      <c r="C1238" s="13" t="s">
        <v>1344</v>
      </c>
      <c r="D1238" s="13">
        <v>476.8</v>
      </c>
      <c r="E1238" s="13">
        <v>2</v>
      </c>
      <c r="F1238" s="13">
        <f t="shared" si="19"/>
        <v>238.4</v>
      </c>
    </row>
    <row r="1239" spans="2:6">
      <c r="B1239" s="13" t="s">
        <v>342</v>
      </c>
      <c r="C1239" s="13" t="s">
        <v>345</v>
      </c>
      <c r="D1239" s="13">
        <v>87.444000000000003</v>
      </c>
      <c r="E1239" s="13">
        <v>2</v>
      </c>
      <c r="F1239" s="13">
        <f t="shared" si="19"/>
        <v>43.722000000000001</v>
      </c>
    </row>
    <row r="1240" spans="2:6">
      <c r="B1240" s="13" t="s">
        <v>562</v>
      </c>
      <c r="C1240" s="13" t="s">
        <v>567</v>
      </c>
      <c r="D1240" s="13">
        <v>501.81000000000006</v>
      </c>
      <c r="E1240" s="13">
        <v>3</v>
      </c>
      <c r="F1240" s="13">
        <f t="shared" si="19"/>
        <v>167.27</v>
      </c>
    </row>
    <row r="1241" spans="2:6">
      <c r="B1241" s="13" t="s">
        <v>1831</v>
      </c>
      <c r="C1241" s="13" t="s">
        <v>1833</v>
      </c>
      <c r="D1241" s="13">
        <v>691.96</v>
      </c>
      <c r="E1241" s="13">
        <v>4</v>
      </c>
      <c r="F1241" s="13">
        <f t="shared" si="19"/>
        <v>172.99</v>
      </c>
    </row>
    <row r="1242" spans="2:6">
      <c r="B1242" s="13" t="s">
        <v>1832</v>
      </c>
      <c r="C1242" s="13" t="s">
        <v>1834</v>
      </c>
      <c r="D1242" s="13">
        <v>34.950000000000003</v>
      </c>
      <c r="E1242" s="13">
        <v>5</v>
      </c>
      <c r="F1242" s="13">
        <f t="shared" si="19"/>
        <v>6.99</v>
      </c>
    </row>
    <row r="1243" spans="2:6">
      <c r="B1243" s="13" t="s">
        <v>1261</v>
      </c>
      <c r="C1243" s="13" t="s">
        <v>1267</v>
      </c>
      <c r="D1243" s="13">
        <v>33.567999999999991</v>
      </c>
      <c r="E1243" s="13">
        <v>8</v>
      </c>
      <c r="F1243" s="13">
        <f t="shared" si="19"/>
        <v>4.1959999999999988</v>
      </c>
    </row>
    <row r="1244" spans="2:6">
      <c r="B1244" s="13" t="s">
        <v>1835</v>
      </c>
      <c r="C1244" s="13" t="s">
        <v>1838</v>
      </c>
      <c r="D1244" s="13">
        <v>4.95</v>
      </c>
      <c r="E1244" s="13">
        <v>1</v>
      </c>
      <c r="F1244" s="13">
        <f t="shared" si="19"/>
        <v>4.95</v>
      </c>
    </row>
    <row r="1245" spans="2:6">
      <c r="B1245" s="13" t="s">
        <v>1836</v>
      </c>
      <c r="C1245" s="13" t="s">
        <v>1839</v>
      </c>
      <c r="D1245" s="13">
        <v>26.400000000000002</v>
      </c>
      <c r="E1245" s="13">
        <v>5</v>
      </c>
      <c r="F1245" s="13">
        <f t="shared" si="19"/>
        <v>5.28</v>
      </c>
    </row>
    <row r="1246" spans="2:6">
      <c r="B1246" s="13" t="s">
        <v>764</v>
      </c>
      <c r="C1246" s="13" t="s">
        <v>313</v>
      </c>
      <c r="D1246" s="13">
        <v>3.5639999999999992</v>
      </c>
      <c r="E1246" s="13">
        <v>3</v>
      </c>
      <c r="F1246" s="13">
        <f t="shared" si="19"/>
        <v>1.1879999999999997</v>
      </c>
    </row>
    <row r="1247" spans="2:6">
      <c r="B1247" s="13" t="s">
        <v>963</v>
      </c>
      <c r="C1247" s="13" t="s">
        <v>965</v>
      </c>
      <c r="D1247" s="13">
        <v>823.96000000000015</v>
      </c>
      <c r="E1247" s="13">
        <v>5</v>
      </c>
      <c r="F1247" s="13">
        <f t="shared" si="19"/>
        <v>164.79200000000003</v>
      </c>
    </row>
    <row r="1248" spans="2:6">
      <c r="B1248" s="13" t="s">
        <v>1837</v>
      </c>
      <c r="C1248" s="13" t="s">
        <v>1840</v>
      </c>
      <c r="D1248" s="13">
        <v>10.272000000000002</v>
      </c>
      <c r="E1248" s="13">
        <v>3</v>
      </c>
      <c r="F1248" s="13">
        <f t="shared" si="19"/>
        <v>3.4240000000000008</v>
      </c>
    </row>
    <row r="1249" spans="2:6">
      <c r="B1249" s="13" t="s">
        <v>1841</v>
      </c>
      <c r="C1249" s="13" t="s">
        <v>1843</v>
      </c>
      <c r="D1249" s="13">
        <v>480.96</v>
      </c>
      <c r="E1249" s="13">
        <v>3</v>
      </c>
      <c r="F1249" s="13">
        <f t="shared" si="19"/>
        <v>160.32</v>
      </c>
    </row>
    <row r="1250" spans="2:6">
      <c r="B1250" s="13" t="s">
        <v>1842</v>
      </c>
      <c r="C1250" s="13" t="s">
        <v>1844</v>
      </c>
      <c r="D1250" s="13">
        <v>124.79200000000002</v>
      </c>
      <c r="E1250" s="13">
        <v>1</v>
      </c>
      <c r="F1250" s="13">
        <f t="shared" si="19"/>
        <v>124.79200000000002</v>
      </c>
    </row>
    <row r="1251" spans="2:6">
      <c r="B1251" s="13" t="s">
        <v>1845</v>
      </c>
      <c r="C1251" s="13" t="s">
        <v>1846</v>
      </c>
      <c r="D1251" s="13">
        <v>10.64</v>
      </c>
      <c r="E1251" s="13">
        <v>4</v>
      </c>
      <c r="F1251" s="13">
        <f t="shared" si="19"/>
        <v>2.66</v>
      </c>
    </row>
    <row r="1252" spans="2:6">
      <c r="B1252" s="13" t="s">
        <v>1782</v>
      </c>
      <c r="C1252" s="13" t="s">
        <v>1783</v>
      </c>
      <c r="D1252" s="13">
        <v>155.34</v>
      </c>
      <c r="E1252" s="13">
        <v>6</v>
      </c>
      <c r="F1252" s="13">
        <f t="shared" si="19"/>
        <v>25.89</v>
      </c>
    </row>
    <row r="1253" spans="2:6">
      <c r="B1253" s="13" t="s">
        <v>1847</v>
      </c>
      <c r="C1253" s="13" t="s">
        <v>1848</v>
      </c>
      <c r="D1253" s="13">
        <v>12.127999999999997</v>
      </c>
      <c r="E1253" s="13">
        <v>4</v>
      </c>
      <c r="F1253" s="13">
        <f t="shared" si="19"/>
        <v>3.0319999999999991</v>
      </c>
    </row>
    <row r="1254" spans="2:6">
      <c r="B1254" s="13" t="s">
        <v>1849</v>
      </c>
      <c r="C1254" s="13" t="s">
        <v>1852</v>
      </c>
      <c r="D1254" s="13">
        <v>48.9</v>
      </c>
      <c r="E1254" s="13">
        <v>5</v>
      </c>
      <c r="F1254" s="13">
        <f t="shared" si="19"/>
        <v>9.7799999999999994</v>
      </c>
    </row>
    <row r="1255" spans="2:6">
      <c r="B1255" s="13" t="s">
        <v>866</v>
      </c>
      <c r="C1255" s="13" t="s">
        <v>870</v>
      </c>
      <c r="D1255" s="13">
        <v>3.5519999999999996</v>
      </c>
      <c r="E1255" s="13">
        <v>3</v>
      </c>
      <c r="F1255" s="13">
        <f t="shared" si="19"/>
        <v>1.1839999999999999</v>
      </c>
    </row>
    <row r="1256" spans="2:6">
      <c r="B1256" s="13" t="s">
        <v>1850</v>
      </c>
      <c r="C1256" s="13" t="s">
        <v>1853</v>
      </c>
      <c r="D1256" s="13">
        <v>15.552000000000003</v>
      </c>
      <c r="E1256" s="13">
        <v>3</v>
      </c>
      <c r="F1256" s="13">
        <f t="shared" si="19"/>
        <v>5.1840000000000011</v>
      </c>
    </row>
    <row r="1257" spans="2:6">
      <c r="B1257" s="13" t="s">
        <v>866</v>
      </c>
      <c r="C1257" s="13" t="s">
        <v>870</v>
      </c>
      <c r="D1257" s="13">
        <v>2.3679999999999999</v>
      </c>
      <c r="E1257" s="13">
        <v>2</v>
      </c>
      <c r="F1257" s="13">
        <f t="shared" si="19"/>
        <v>1.1839999999999999</v>
      </c>
    </row>
    <row r="1258" spans="2:6">
      <c r="B1258" s="13" t="s">
        <v>1851</v>
      </c>
      <c r="C1258" s="13" t="s">
        <v>1854</v>
      </c>
      <c r="D1258" s="13">
        <v>127.98399999999999</v>
      </c>
      <c r="E1258" s="13">
        <v>2</v>
      </c>
      <c r="F1258" s="13">
        <f t="shared" si="19"/>
        <v>63.991999999999997</v>
      </c>
    </row>
    <row r="1259" spans="2:6">
      <c r="B1259" s="13" t="s">
        <v>1855</v>
      </c>
      <c r="C1259" s="13" t="s">
        <v>1861</v>
      </c>
      <c r="D1259" s="13">
        <v>470.37600000000009</v>
      </c>
      <c r="E1259" s="13">
        <v>3</v>
      </c>
      <c r="F1259" s="13">
        <f t="shared" si="19"/>
        <v>156.79200000000003</v>
      </c>
    </row>
    <row r="1260" spans="2:6">
      <c r="B1260" s="13" t="s">
        <v>760</v>
      </c>
      <c r="C1260" s="13" t="s">
        <v>762</v>
      </c>
      <c r="D1260" s="13">
        <v>19.440000000000001</v>
      </c>
      <c r="E1260" s="13">
        <v>3</v>
      </c>
      <c r="F1260" s="13">
        <f t="shared" si="19"/>
        <v>6.48</v>
      </c>
    </row>
    <row r="1261" spans="2:6">
      <c r="B1261" s="13" t="s">
        <v>1856</v>
      </c>
      <c r="C1261" s="13" t="s">
        <v>1862</v>
      </c>
      <c r="D1261" s="13">
        <v>9.82</v>
      </c>
      <c r="E1261" s="13">
        <v>2</v>
      </c>
      <c r="F1261" s="13">
        <f t="shared" si="19"/>
        <v>4.91</v>
      </c>
    </row>
    <row r="1262" spans="2:6">
      <c r="B1262" s="13" t="s">
        <v>1841</v>
      </c>
      <c r="C1262" s="13" t="s">
        <v>1843</v>
      </c>
      <c r="D1262" s="13">
        <v>801.59999999999991</v>
      </c>
      <c r="E1262" s="13">
        <v>5</v>
      </c>
      <c r="F1262" s="13">
        <f t="shared" si="19"/>
        <v>160.32</v>
      </c>
    </row>
    <row r="1263" spans="2:6">
      <c r="B1263" s="13" t="s">
        <v>1857</v>
      </c>
      <c r="C1263" s="13" t="s">
        <v>1863</v>
      </c>
      <c r="D1263" s="13">
        <v>161.56800000000001</v>
      </c>
      <c r="E1263" s="13">
        <v>2</v>
      </c>
      <c r="F1263" s="13">
        <f t="shared" si="19"/>
        <v>80.784000000000006</v>
      </c>
    </row>
    <row r="1264" spans="2:6">
      <c r="B1264" s="13" t="s">
        <v>1858</v>
      </c>
      <c r="C1264" s="13" t="s">
        <v>1864</v>
      </c>
      <c r="D1264" s="13">
        <v>16.096</v>
      </c>
      <c r="E1264" s="13">
        <v>2</v>
      </c>
      <c r="F1264" s="13">
        <f t="shared" si="19"/>
        <v>8.048</v>
      </c>
    </row>
    <row r="1265" spans="2:6">
      <c r="B1265" s="13" t="s">
        <v>1859</v>
      </c>
      <c r="C1265" s="13" t="s">
        <v>1865</v>
      </c>
      <c r="D1265" s="13">
        <v>7.6560000000000006</v>
      </c>
      <c r="E1265" s="13">
        <v>4</v>
      </c>
      <c r="F1265" s="13">
        <f t="shared" si="19"/>
        <v>1.9140000000000001</v>
      </c>
    </row>
    <row r="1266" spans="2:6">
      <c r="B1266" s="13" t="s">
        <v>1860</v>
      </c>
      <c r="C1266" s="13" t="s">
        <v>1866</v>
      </c>
      <c r="D1266" s="13">
        <v>311.97600000000006</v>
      </c>
      <c r="E1266" s="13">
        <v>3</v>
      </c>
      <c r="F1266" s="13">
        <f t="shared" si="19"/>
        <v>103.99200000000002</v>
      </c>
    </row>
    <row r="1267" spans="2:6">
      <c r="B1267" s="13" t="s">
        <v>128</v>
      </c>
      <c r="C1267" s="13" t="s">
        <v>134</v>
      </c>
      <c r="D1267" s="13">
        <v>25.344000000000001</v>
      </c>
      <c r="E1267" s="13">
        <v>6</v>
      </c>
      <c r="F1267" s="13">
        <f t="shared" si="19"/>
        <v>4.2240000000000002</v>
      </c>
    </row>
    <row r="1268" spans="2:6">
      <c r="B1268" s="13" t="s">
        <v>1867</v>
      </c>
      <c r="C1268" s="13" t="s">
        <v>1868</v>
      </c>
      <c r="D1268" s="13">
        <v>26.720000000000002</v>
      </c>
      <c r="E1268" s="13">
        <v>5</v>
      </c>
      <c r="F1268" s="13">
        <f t="shared" si="19"/>
        <v>5.3440000000000003</v>
      </c>
    </row>
    <row r="1269" spans="2:6">
      <c r="B1269" s="13" t="s">
        <v>1703</v>
      </c>
      <c r="C1269" s="13" t="s">
        <v>1704</v>
      </c>
      <c r="D1269" s="13">
        <v>9.3999999999999986</v>
      </c>
      <c r="E1269" s="13">
        <v>5</v>
      </c>
      <c r="F1269" s="13">
        <f t="shared" si="19"/>
        <v>1.8799999999999997</v>
      </c>
    </row>
    <row r="1270" spans="2:6">
      <c r="B1270" s="13" t="s">
        <v>1019</v>
      </c>
      <c r="C1270" s="13" t="s">
        <v>1020</v>
      </c>
      <c r="D1270" s="13">
        <v>74</v>
      </c>
      <c r="E1270" s="13">
        <v>5</v>
      </c>
      <c r="F1270" s="13">
        <f t="shared" si="19"/>
        <v>14.8</v>
      </c>
    </row>
    <row r="1271" spans="2:6">
      <c r="B1271" s="13" t="s">
        <v>1869</v>
      </c>
      <c r="C1271" s="13" t="s">
        <v>1870</v>
      </c>
      <c r="D1271" s="13">
        <v>201.584</v>
      </c>
      <c r="E1271" s="13">
        <v>2</v>
      </c>
      <c r="F1271" s="13">
        <f t="shared" si="19"/>
        <v>100.792</v>
      </c>
    </row>
    <row r="1272" spans="2:6">
      <c r="B1272" s="13" t="s">
        <v>1871</v>
      </c>
      <c r="C1272" s="13" t="s">
        <v>1873</v>
      </c>
      <c r="D1272" s="13">
        <v>14.56</v>
      </c>
      <c r="E1272" s="13">
        <v>2</v>
      </c>
      <c r="F1272" s="13">
        <f t="shared" si="19"/>
        <v>7.28</v>
      </c>
    </row>
    <row r="1273" spans="2:6">
      <c r="B1273" s="13" t="s">
        <v>343</v>
      </c>
      <c r="C1273" s="13" t="s">
        <v>346</v>
      </c>
      <c r="D1273" s="13">
        <v>3.048</v>
      </c>
      <c r="E1273" s="13">
        <v>1</v>
      </c>
      <c r="F1273" s="13">
        <f t="shared" si="19"/>
        <v>3.048</v>
      </c>
    </row>
    <row r="1274" spans="2:6">
      <c r="B1274" s="13" t="s">
        <v>1872</v>
      </c>
      <c r="C1274" s="13" t="s">
        <v>1874</v>
      </c>
      <c r="D1274" s="13">
        <v>25.920000000000005</v>
      </c>
      <c r="E1274" s="13">
        <v>5</v>
      </c>
      <c r="F1274" s="13">
        <f t="shared" si="19"/>
        <v>5.1840000000000011</v>
      </c>
    </row>
    <row r="1275" spans="2:6">
      <c r="B1275" s="13" t="s">
        <v>1875</v>
      </c>
      <c r="C1275" s="13" t="s">
        <v>1877</v>
      </c>
      <c r="D1275" s="13">
        <v>44.384</v>
      </c>
      <c r="E1275" s="13">
        <v>1</v>
      </c>
      <c r="F1275" s="13">
        <f t="shared" si="19"/>
        <v>44.384</v>
      </c>
    </row>
    <row r="1276" spans="2:6">
      <c r="B1276" s="13" t="s">
        <v>1876</v>
      </c>
      <c r="C1276" s="13" t="s">
        <v>609</v>
      </c>
      <c r="D1276" s="13">
        <v>2.9440000000000004</v>
      </c>
      <c r="E1276" s="13">
        <v>1</v>
      </c>
      <c r="F1276" s="13">
        <f t="shared" si="19"/>
        <v>2.9440000000000004</v>
      </c>
    </row>
    <row r="1277" spans="2:6">
      <c r="B1277" s="13" t="s">
        <v>51</v>
      </c>
      <c r="C1277" s="13" t="s">
        <v>52</v>
      </c>
      <c r="D1277" s="13">
        <v>12.7</v>
      </c>
      <c r="E1277" s="13">
        <v>2</v>
      </c>
      <c r="F1277" s="13">
        <f t="shared" si="19"/>
        <v>6.35</v>
      </c>
    </row>
    <row r="1278" spans="2:6">
      <c r="B1278" s="13" t="s">
        <v>1837</v>
      </c>
      <c r="C1278" s="13" t="s">
        <v>1840</v>
      </c>
      <c r="D1278" s="13">
        <v>12.84</v>
      </c>
      <c r="E1278" s="13">
        <v>3</v>
      </c>
      <c r="F1278" s="13">
        <f t="shared" si="19"/>
        <v>4.28</v>
      </c>
    </row>
    <row r="1279" spans="2:6">
      <c r="B1279" s="13" t="s">
        <v>718</v>
      </c>
      <c r="C1279" s="13" t="s">
        <v>724</v>
      </c>
      <c r="D1279" s="13">
        <v>44.67</v>
      </c>
      <c r="E1279" s="13">
        <v>3</v>
      </c>
      <c r="F1279" s="13">
        <f t="shared" si="19"/>
        <v>14.89</v>
      </c>
    </row>
    <row r="1280" spans="2:6">
      <c r="B1280" s="13" t="s">
        <v>87</v>
      </c>
      <c r="C1280" s="13" t="s">
        <v>90</v>
      </c>
      <c r="D1280" s="13">
        <v>8.94</v>
      </c>
      <c r="E1280" s="13">
        <v>3</v>
      </c>
      <c r="F1280" s="13">
        <f t="shared" si="19"/>
        <v>2.98</v>
      </c>
    </row>
    <row r="1281" spans="2:6">
      <c r="B1281" s="13" t="s">
        <v>1327</v>
      </c>
      <c r="C1281" s="13" t="s">
        <v>1332</v>
      </c>
      <c r="D1281" s="13">
        <v>84.784000000000006</v>
      </c>
      <c r="E1281" s="13">
        <v>2</v>
      </c>
      <c r="F1281" s="13">
        <f t="shared" si="19"/>
        <v>42.392000000000003</v>
      </c>
    </row>
    <row r="1282" spans="2:6">
      <c r="B1282" s="13" t="s">
        <v>1878</v>
      </c>
      <c r="C1282" s="13" t="s">
        <v>1879</v>
      </c>
      <c r="D1282" s="13">
        <v>22.77</v>
      </c>
      <c r="E1282" s="13">
        <v>3</v>
      </c>
      <c r="F1282" s="13">
        <f t="shared" si="19"/>
        <v>7.59</v>
      </c>
    </row>
    <row r="1283" spans="2:6">
      <c r="B1283" s="13" t="s">
        <v>291</v>
      </c>
      <c r="C1283" s="13" t="s">
        <v>294</v>
      </c>
      <c r="D1283" s="13">
        <v>2591.56</v>
      </c>
      <c r="E1283" s="13">
        <v>4</v>
      </c>
      <c r="F1283" s="13">
        <f t="shared" si="19"/>
        <v>647.89</v>
      </c>
    </row>
    <row r="1284" spans="2:6">
      <c r="B1284" s="13" t="s">
        <v>1880</v>
      </c>
      <c r="C1284" s="13" t="s">
        <v>1881</v>
      </c>
      <c r="D1284" s="13">
        <v>41.95</v>
      </c>
      <c r="E1284" s="13">
        <v>5</v>
      </c>
      <c r="F1284" s="13">
        <f t="shared" ref="F1284:F1347" si="20">D1284/E1284</f>
        <v>8.39</v>
      </c>
    </row>
    <row r="1285" spans="2:6">
      <c r="B1285" s="13" t="s">
        <v>1882</v>
      </c>
      <c r="C1285" s="13" t="s">
        <v>1885</v>
      </c>
      <c r="D1285" s="13">
        <v>474.43</v>
      </c>
      <c r="E1285" s="13">
        <v>11</v>
      </c>
      <c r="F1285" s="13">
        <f t="shared" si="20"/>
        <v>43.13</v>
      </c>
    </row>
    <row r="1286" spans="2:6">
      <c r="B1286" s="13" t="s">
        <v>1883</v>
      </c>
      <c r="C1286" s="13" t="s">
        <v>1886</v>
      </c>
      <c r="D1286" s="13">
        <v>8.4480000000000004</v>
      </c>
      <c r="E1286" s="13">
        <v>2</v>
      </c>
      <c r="F1286" s="13">
        <f t="shared" si="20"/>
        <v>4.2240000000000002</v>
      </c>
    </row>
    <row r="1287" spans="2:6">
      <c r="B1287" s="13" t="s">
        <v>1884</v>
      </c>
      <c r="C1287" s="13" t="s">
        <v>1887</v>
      </c>
      <c r="D1287" s="13">
        <v>39.295999999999999</v>
      </c>
      <c r="E1287" s="13">
        <v>4</v>
      </c>
      <c r="F1287" s="13">
        <f t="shared" si="20"/>
        <v>9.8239999999999998</v>
      </c>
    </row>
    <row r="1288" spans="2:6">
      <c r="B1288" s="13" t="s">
        <v>1077</v>
      </c>
      <c r="C1288" s="13" t="s">
        <v>1078</v>
      </c>
      <c r="D1288" s="13">
        <v>556.66499999999996</v>
      </c>
      <c r="E1288" s="13">
        <v>5</v>
      </c>
      <c r="F1288" s="13">
        <f t="shared" si="20"/>
        <v>111.333</v>
      </c>
    </row>
    <row r="1289" spans="2:6">
      <c r="B1289" s="13" t="s">
        <v>1888</v>
      </c>
      <c r="C1289" s="13" t="s">
        <v>1891</v>
      </c>
      <c r="D1289" s="13">
        <v>95.84</v>
      </c>
      <c r="E1289" s="13">
        <v>4</v>
      </c>
      <c r="F1289" s="13">
        <f t="shared" si="20"/>
        <v>23.96</v>
      </c>
    </row>
    <row r="1290" spans="2:6">
      <c r="B1290" s="13" t="s">
        <v>1157</v>
      </c>
      <c r="C1290" s="13" t="s">
        <v>1158</v>
      </c>
      <c r="D1290" s="13">
        <v>29.664000000000001</v>
      </c>
      <c r="E1290" s="13">
        <v>4</v>
      </c>
      <c r="F1290" s="13">
        <f t="shared" si="20"/>
        <v>7.4160000000000004</v>
      </c>
    </row>
    <row r="1291" spans="2:6">
      <c r="B1291" s="13" t="s">
        <v>1027</v>
      </c>
      <c r="C1291" s="13" t="s">
        <v>1048</v>
      </c>
      <c r="D1291" s="13">
        <v>9.1840000000000011</v>
      </c>
      <c r="E1291" s="13">
        <v>7</v>
      </c>
      <c r="F1291" s="13">
        <f t="shared" si="20"/>
        <v>1.3120000000000001</v>
      </c>
    </row>
    <row r="1292" spans="2:6">
      <c r="B1292" s="13" t="s">
        <v>461</v>
      </c>
      <c r="C1292" s="13" t="s">
        <v>468</v>
      </c>
      <c r="D1292" s="13">
        <v>153.584</v>
      </c>
      <c r="E1292" s="13">
        <v>2</v>
      </c>
      <c r="F1292" s="13">
        <f t="shared" si="20"/>
        <v>76.792000000000002</v>
      </c>
    </row>
    <row r="1293" spans="2:6">
      <c r="B1293" s="13" t="s">
        <v>1889</v>
      </c>
      <c r="C1293" s="13" t="s">
        <v>1892</v>
      </c>
      <c r="D1293" s="13">
        <v>12.863999999999995</v>
      </c>
      <c r="E1293" s="13">
        <v>8</v>
      </c>
      <c r="F1293" s="13">
        <f t="shared" si="20"/>
        <v>1.6079999999999994</v>
      </c>
    </row>
    <row r="1294" spans="2:6">
      <c r="B1294" s="13" t="s">
        <v>735</v>
      </c>
      <c r="C1294" s="13" t="s">
        <v>743</v>
      </c>
      <c r="D1294" s="13">
        <v>479.97</v>
      </c>
      <c r="E1294" s="13">
        <v>3</v>
      </c>
      <c r="F1294" s="13">
        <f t="shared" si="20"/>
        <v>159.99</v>
      </c>
    </row>
    <row r="1295" spans="2:6">
      <c r="B1295" s="13" t="s">
        <v>1890</v>
      </c>
      <c r="C1295" s="13" t="s">
        <v>1893</v>
      </c>
      <c r="D1295" s="13">
        <v>232.88</v>
      </c>
      <c r="E1295" s="13">
        <v>4</v>
      </c>
      <c r="F1295" s="13">
        <f t="shared" si="20"/>
        <v>58.22</v>
      </c>
    </row>
    <row r="1296" spans="2:6">
      <c r="B1296" s="13" t="s">
        <v>612</v>
      </c>
      <c r="C1296" s="13" t="s">
        <v>614</v>
      </c>
      <c r="D1296" s="13">
        <v>23.991999999999994</v>
      </c>
      <c r="E1296" s="13">
        <v>2</v>
      </c>
      <c r="F1296" s="13">
        <f t="shared" si="20"/>
        <v>11.995999999999997</v>
      </c>
    </row>
    <row r="1297" spans="2:6">
      <c r="B1297" s="13" t="s">
        <v>534</v>
      </c>
      <c r="C1297" s="13" t="s">
        <v>545</v>
      </c>
      <c r="D1297" s="13">
        <v>276.69</v>
      </c>
      <c r="E1297" s="13">
        <v>3</v>
      </c>
      <c r="F1297" s="13">
        <f t="shared" si="20"/>
        <v>92.23</v>
      </c>
    </row>
    <row r="1298" spans="2:6">
      <c r="B1298" s="13" t="s">
        <v>208</v>
      </c>
      <c r="C1298" s="13" t="s">
        <v>221</v>
      </c>
      <c r="D1298" s="13">
        <v>172.76400000000001</v>
      </c>
      <c r="E1298" s="13">
        <v>2</v>
      </c>
      <c r="F1298" s="13">
        <f t="shared" si="20"/>
        <v>86.382000000000005</v>
      </c>
    </row>
    <row r="1299" spans="2:6">
      <c r="B1299" s="13" t="s">
        <v>376</v>
      </c>
      <c r="C1299" s="13" t="s">
        <v>386</v>
      </c>
      <c r="D1299" s="13">
        <v>220.06399999999999</v>
      </c>
      <c r="E1299" s="13">
        <v>4</v>
      </c>
      <c r="F1299" s="13">
        <f t="shared" si="20"/>
        <v>55.015999999999998</v>
      </c>
    </row>
    <row r="1300" spans="2:6">
      <c r="B1300" s="13" t="s">
        <v>1521</v>
      </c>
      <c r="C1300" s="13" t="s">
        <v>1522</v>
      </c>
      <c r="D1300" s="13">
        <v>339.13600000000002</v>
      </c>
      <c r="E1300" s="13">
        <v>4</v>
      </c>
      <c r="F1300" s="13">
        <f t="shared" si="20"/>
        <v>84.784000000000006</v>
      </c>
    </row>
    <row r="1301" spans="2:6">
      <c r="B1301" s="13" t="s">
        <v>377</v>
      </c>
      <c r="C1301" s="13" t="s">
        <v>387</v>
      </c>
      <c r="D1301" s="13">
        <v>182.99399999999997</v>
      </c>
      <c r="E1301" s="13">
        <v>3</v>
      </c>
      <c r="F1301" s="13">
        <f t="shared" si="20"/>
        <v>60.99799999999999</v>
      </c>
    </row>
    <row r="1302" spans="2:6">
      <c r="B1302" s="13" t="s">
        <v>1457</v>
      </c>
      <c r="C1302" s="13" t="s">
        <v>1460</v>
      </c>
      <c r="D1302" s="13">
        <v>10.272000000000002</v>
      </c>
      <c r="E1302" s="13">
        <v>3</v>
      </c>
      <c r="F1302" s="13">
        <f t="shared" si="20"/>
        <v>3.4240000000000008</v>
      </c>
    </row>
    <row r="1303" spans="2:6">
      <c r="B1303" s="13" t="s">
        <v>409</v>
      </c>
      <c r="C1303" s="13" t="s">
        <v>415</v>
      </c>
      <c r="D1303" s="13">
        <v>7.857000000000002</v>
      </c>
      <c r="E1303" s="13">
        <v>3</v>
      </c>
      <c r="F1303" s="13">
        <f t="shared" si="20"/>
        <v>2.6190000000000007</v>
      </c>
    </row>
    <row r="1304" spans="2:6">
      <c r="B1304" s="13" t="s">
        <v>1894</v>
      </c>
      <c r="C1304" s="13" t="s">
        <v>1895</v>
      </c>
      <c r="D1304" s="13">
        <v>221.024</v>
      </c>
      <c r="E1304" s="13">
        <v>2</v>
      </c>
      <c r="F1304" s="13">
        <f t="shared" si="20"/>
        <v>110.512</v>
      </c>
    </row>
    <row r="1305" spans="2:6">
      <c r="B1305" s="13" t="s">
        <v>1896</v>
      </c>
      <c r="C1305" s="13" t="s">
        <v>1899</v>
      </c>
      <c r="D1305" s="13">
        <v>2.2639999999999993</v>
      </c>
      <c r="E1305" s="13">
        <v>1</v>
      </c>
      <c r="F1305" s="13">
        <f t="shared" si="20"/>
        <v>2.2639999999999993</v>
      </c>
    </row>
    <row r="1306" spans="2:6">
      <c r="B1306" s="13" t="s">
        <v>1897</v>
      </c>
      <c r="C1306" s="13" t="s">
        <v>1900</v>
      </c>
      <c r="D1306" s="13">
        <v>0.44399999999999995</v>
      </c>
      <c r="E1306" s="13">
        <v>1</v>
      </c>
      <c r="F1306" s="13">
        <f t="shared" si="20"/>
        <v>0.44399999999999995</v>
      </c>
    </row>
    <row r="1307" spans="2:6">
      <c r="B1307" s="13" t="s">
        <v>1898</v>
      </c>
      <c r="C1307" s="13" t="s">
        <v>1901</v>
      </c>
      <c r="D1307" s="13">
        <v>146.17600000000002</v>
      </c>
      <c r="E1307" s="13">
        <v>8</v>
      </c>
      <c r="F1307" s="13">
        <f t="shared" si="20"/>
        <v>18.272000000000002</v>
      </c>
    </row>
    <row r="1308" spans="2:6">
      <c r="B1308" s="13" t="s">
        <v>538</v>
      </c>
      <c r="C1308" s="13" t="s">
        <v>549</v>
      </c>
      <c r="D1308" s="13">
        <v>15.92</v>
      </c>
      <c r="E1308" s="13">
        <v>2</v>
      </c>
      <c r="F1308" s="13">
        <f t="shared" si="20"/>
        <v>7.96</v>
      </c>
    </row>
    <row r="1309" spans="2:6">
      <c r="B1309" s="13" t="s">
        <v>829</v>
      </c>
      <c r="C1309" s="13" t="s">
        <v>832</v>
      </c>
      <c r="D1309" s="13">
        <v>159.96000000000004</v>
      </c>
      <c r="E1309" s="13">
        <v>5</v>
      </c>
      <c r="F1309" s="13">
        <f t="shared" si="20"/>
        <v>31.992000000000008</v>
      </c>
    </row>
    <row r="1310" spans="2:6">
      <c r="B1310" s="13" t="s">
        <v>285</v>
      </c>
      <c r="C1310" s="13" t="s">
        <v>287</v>
      </c>
      <c r="D1310" s="13">
        <v>13.76</v>
      </c>
      <c r="E1310" s="13">
        <v>2</v>
      </c>
      <c r="F1310" s="13">
        <f t="shared" si="20"/>
        <v>6.88</v>
      </c>
    </row>
    <row r="1311" spans="2:6">
      <c r="B1311" s="13" t="s">
        <v>1902</v>
      </c>
      <c r="C1311" s="13" t="s">
        <v>1904</v>
      </c>
      <c r="D1311" s="13">
        <v>19.040000000000003</v>
      </c>
      <c r="E1311" s="13">
        <v>4</v>
      </c>
      <c r="F1311" s="13">
        <f t="shared" si="20"/>
        <v>4.7600000000000007</v>
      </c>
    </row>
    <row r="1312" spans="2:6">
      <c r="B1312" s="13" t="s">
        <v>692</v>
      </c>
      <c r="C1312" s="13" t="s">
        <v>694</v>
      </c>
      <c r="D1312" s="13">
        <v>37.44</v>
      </c>
      <c r="E1312" s="13">
        <v>6</v>
      </c>
      <c r="F1312" s="13">
        <f t="shared" si="20"/>
        <v>6.2399999999999993</v>
      </c>
    </row>
    <row r="1313" spans="2:6">
      <c r="B1313" s="13" t="s">
        <v>1903</v>
      </c>
      <c r="C1313" s="13" t="s">
        <v>1905</v>
      </c>
      <c r="D1313" s="13">
        <v>37.589999999999996</v>
      </c>
      <c r="E1313" s="13">
        <v>3</v>
      </c>
      <c r="F1313" s="13">
        <f t="shared" si="20"/>
        <v>12.53</v>
      </c>
    </row>
    <row r="1314" spans="2:6">
      <c r="B1314" s="13" t="s">
        <v>1654</v>
      </c>
      <c r="C1314" s="13" t="s">
        <v>1661</v>
      </c>
      <c r="D1314" s="13">
        <v>26.032</v>
      </c>
      <c r="E1314" s="13">
        <v>2</v>
      </c>
      <c r="F1314" s="13">
        <f t="shared" si="20"/>
        <v>13.016</v>
      </c>
    </row>
    <row r="1315" spans="2:6">
      <c r="B1315" s="13" t="s">
        <v>1788</v>
      </c>
      <c r="C1315" s="13" t="s">
        <v>1790</v>
      </c>
      <c r="D1315" s="13">
        <v>91.032000000000011</v>
      </c>
      <c r="E1315" s="13">
        <v>3</v>
      </c>
      <c r="F1315" s="13">
        <f t="shared" si="20"/>
        <v>30.344000000000005</v>
      </c>
    </row>
    <row r="1316" spans="2:6">
      <c r="B1316" s="13" t="s">
        <v>1906</v>
      </c>
      <c r="C1316" s="13" t="s">
        <v>1907</v>
      </c>
      <c r="D1316" s="13">
        <v>54.66</v>
      </c>
      <c r="E1316" s="13">
        <v>6</v>
      </c>
      <c r="F1316" s="13">
        <f t="shared" si="20"/>
        <v>9.11</v>
      </c>
    </row>
    <row r="1317" spans="2:6">
      <c r="B1317" s="13" t="s">
        <v>1673</v>
      </c>
      <c r="C1317" s="13" t="s">
        <v>1676</v>
      </c>
      <c r="D1317" s="13">
        <v>112.12000000000002</v>
      </c>
      <c r="E1317" s="13">
        <v>5</v>
      </c>
      <c r="F1317" s="13">
        <f t="shared" si="20"/>
        <v>22.424000000000003</v>
      </c>
    </row>
    <row r="1318" spans="2:6">
      <c r="B1318" s="13" t="s">
        <v>804</v>
      </c>
      <c r="C1318" s="13" t="s">
        <v>806</v>
      </c>
      <c r="D1318" s="13">
        <v>1575.14</v>
      </c>
      <c r="E1318" s="13">
        <v>7</v>
      </c>
      <c r="F1318" s="13">
        <f t="shared" si="20"/>
        <v>225.02</v>
      </c>
    </row>
    <row r="1319" spans="2:6">
      <c r="B1319" s="13" t="s">
        <v>475</v>
      </c>
      <c r="C1319" s="13" t="s">
        <v>477</v>
      </c>
      <c r="D1319" s="13">
        <v>25.060000000000002</v>
      </c>
      <c r="E1319" s="13">
        <v>7</v>
      </c>
      <c r="F1319" s="13">
        <f t="shared" si="20"/>
        <v>3.5800000000000005</v>
      </c>
    </row>
    <row r="1320" spans="2:6">
      <c r="B1320" s="13" t="s">
        <v>1908</v>
      </c>
      <c r="C1320" s="13" t="s">
        <v>1910</v>
      </c>
      <c r="D1320" s="13">
        <v>37.392000000000003</v>
      </c>
      <c r="E1320" s="13">
        <v>3</v>
      </c>
      <c r="F1320" s="13">
        <f t="shared" si="20"/>
        <v>12.464</v>
      </c>
    </row>
    <row r="1321" spans="2:6">
      <c r="B1321" s="13" t="s">
        <v>1909</v>
      </c>
      <c r="C1321" s="13" t="s">
        <v>1911</v>
      </c>
      <c r="D1321" s="13">
        <v>79.12</v>
      </c>
      <c r="E1321" s="13">
        <v>5</v>
      </c>
      <c r="F1321" s="13">
        <f t="shared" si="20"/>
        <v>15.824000000000002</v>
      </c>
    </row>
    <row r="1322" spans="2:6">
      <c r="B1322" s="13" t="s">
        <v>797</v>
      </c>
      <c r="C1322" s="13" t="s">
        <v>800</v>
      </c>
      <c r="D1322" s="13">
        <v>12.74</v>
      </c>
      <c r="E1322" s="13">
        <v>7</v>
      </c>
      <c r="F1322" s="13">
        <f t="shared" si="20"/>
        <v>1.82</v>
      </c>
    </row>
    <row r="1323" spans="2:6">
      <c r="B1323" s="13" t="s">
        <v>1912</v>
      </c>
      <c r="C1323" s="13" t="s">
        <v>1913</v>
      </c>
      <c r="D1323" s="13">
        <v>8.82</v>
      </c>
      <c r="E1323" s="13">
        <v>3</v>
      </c>
      <c r="F1323" s="13">
        <f t="shared" si="20"/>
        <v>2.94</v>
      </c>
    </row>
    <row r="1324" spans="2:6">
      <c r="B1324" s="13" t="s">
        <v>60</v>
      </c>
      <c r="C1324" s="13" t="s">
        <v>64</v>
      </c>
      <c r="D1324" s="13">
        <v>120.78399999999999</v>
      </c>
      <c r="E1324" s="13">
        <v>1</v>
      </c>
      <c r="F1324" s="13">
        <f t="shared" si="20"/>
        <v>120.78399999999999</v>
      </c>
    </row>
    <row r="1325" spans="2:6">
      <c r="B1325" s="13" t="s">
        <v>1654</v>
      </c>
      <c r="C1325" s="13" t="s">
        <v>1661</v>
      </c>
      <c r="D1325" s="13">
        <v>9.7619999999999969</v>
      </c>
      <c r="E1325" s="13">
        <v>3</v>
      </c>
      <c r="F1325" s="13">
        <f t="shared" si="20"/>
        <v>3.2539999999999991</v>
      </c>
    </row>
    <row r="1326" spans="2:6">
      <c r="B1326" s="13" t="s">
        <v>266</v>
      </c>
      <c r="C1326" s="13" t="s">
        <v>272</v>
      </c>
      <c r="D1326" s="13">
        <v>13.719999999999999</v>
      </c>
      <c r="E1326" s="13">
        <v>1</v>
      </c>
      <c r="F1326" s="13">
        <f t="shared" si="20"/>
        <v>13.719999999999999</v>
      </c>
    </row>
    <row r="1327" spans="2:6">
      <c r="B1327" s="13" t="s">
        <v>1914</v>
      </c>
      <c r="C1327" s="13" t="s">
        <v>1919</v>
      </c>
      <c r="D1327" s="13">
        <v>55.2</v>
      </c>
      <c r="E1327" s="13">
        <v>1</v>
      </c>
      <c r="F1327" s="13">
        <f t="shared" si="20"/>
        <v>55.2</v>
      </c>
    </row>
    <row r="1328" spans="2:6">
      <c r="B1328" s="13" t="s">
        <v>1915</v>
      </c>
      <c r="C1328" s="13" t="s">
        <v>1920</v>
      </c>
      <c r="D1328" s="13">
        <v>259.13600000000002</v>
      </c>
      <c r="E1328" s="13">
        <v>4</v>
      </c>
      <c r="F1328" s="13">
        <f t="shared" si="20"/>
        <v>64.784000000000006</v>
      </c>
    </row>
    <row r="1329" spans="2:6">
      <c r="B1329" s="13" t="s">
        <v>1916</v>
      </c>
      <c r="C1329" s="13" t="s">
        <v>1921</v>
      </c>
      <c r="D1329" s="13">
        <v>29.24</v>
      </c>
      <c r="E1329" s="13">
        <v>5</v>
      </c>
      <c r="F1329" s="13">
        <f t="shared" si="20"/>
        <v>5.8479999999999999</v>
      </c>
    </row>
    <row r="1330" spans="2:6">
      <c r="B1330" s="13" t="s">
        <v>1917</v>
      </c>
      <c r="C1330" s="13" t="s">
        <v>1922</v>
      </c>
      <c r="D1330" s="13">
        <v>15.552000000000003</v>
      </c>
      <c r="E1330" s="13">
        <v>3</v>
      </c>
      <c r="F1330" s="13">
        <f t="shared" si="20"/>
        <v>5.1840000000000011</v>
      </c>
    </row>
    <row r="1331" spans="2:6">
      <c r="B1331" s="13" t="s">
        <v>1918</v>
      </c>
      <c r="C1331" s="13" t="s">
        <v>1923</v>
      </c>
      <c r="D1331" s="13">
        <v>4.8960000000000008</v>
      </c>
      <c r="E1331" s="13">
        <v>3</v>
      </c>
      <c r="F1331" s="13">
        <f t="shared" si="20"/>
        <v>1.6320000000000003</v>
      </c>
    </row>
    <row r="1332" spans="2:6">
      <c r="B1332" s="13" t="s">
        <v>1358</v>
      </c>
      <c r="C1332" s="13" t="s">
        <v>1360</v>
      </c>
      <c r="D1332" s="13">
        <v>539.97</v>
      </c>
      <c r="E1332" s="13">
        <v>3</v>
      </c>
      <c r="F1332" s="13">
        <f t="shared" si="20"/>
        <v>179.99</v>
      </c>
    </row>
    <row r="1333" spans="2:6">
      <c r="B1333" s="13" t="s">
        <v>1223</v>
      </c>
      <c r="C1333" s="13" t="s">
        <v>1226</v>
      </c>
      <c r="D1333" s="13">
        <v>22.58</v>
      </c>
      <c r="E1333" s="13">
        <v>2</v>
      </c>
      <c r="F1333" s="13">
        <f t="shared" si="20"/>
        <v>11.29</v>
      </c>
    </row>
    <row r="1334" spans="2:6">
      <c r="B1334" s="13" t="s">
        <v>949</v>
      </c>
      <c r="C1334" s="13" t="s">
        <v>953</v>
      </c>
      <c r="D1334" s="13">
        <v>169.06400000000002</v>
      </c>
      <c r="E1334" s="13">
        <v>7</v>
      </c>
      <c r="F1334" s="13">
        <f t="shared" si="20"/>
        <v>24.152000000000005</v>
      </c>
    </row>
    <row r="1335" spans="2:6">
      <c r="B1335" s="13" t="s">
        <v>1924</v>
      </c>
      <c r="C1335" s="13" t="s">
        <v>1925</v>
      </c>
      <c r="D1335" s="13">
        <v>168.624</v>
      </c>
      <c r="E1335" s="13">
        <v>9</v>
      </c>
      <c r="F1335" s="13">
        <f t="shared" si="20"/>
        <v>18.736000000000001</v>
      </c>
    </row>
    <row r="1336" spans="2:6">
      <c r="B1336" s="13" t="s">
        <v>486</v>
      </c>
      <c r="C1336" s="13" t="s">
        <v>488</v>
      </c>
      <c r="D1336" s="13">
        <v>48.86</v>
      </c>
      <c r="E1336" s="13">
        <v>7</v>
      </c>
      <c r="F1336" s="13">
        <f t="shared" si="20"/>
        <v>6.9799999999999995</v>
      </c>
    </row>
    <row r="1337" spans="2:6">
      <c r="B1337" s="13" t="s">
        <v>53</v>
      </c>
      <c r="C1337" s="13" t="s">
        <v>56</v>
      </c>
      <c r="D1337" s="13">
        <v>14.976000000000001</v>
      </c>
      <c r="E1337" s="13">
        <v>9</v>
      </c>
      <c r="F1337" s="13">
        <f t="shared" si="20"/>
        <v>1.6640000000000001</v>
      </c>
    </row>
    <row r="1338" spans="2:6">
      <c r="B1338" s="13" t="s">
        <v>1926</v>
      </c>
      <c r="C1338" s="13" t="s">
        <v>1929</v>
      </c>
      <c r="D1338" s="13">
        <v>4.2399999999999993</v>
      </c>
      <c r="E1338" s="13">
        <v>5</v>
      </c>
      <c r="F1338" s="13">
        <f t="shared" si="20"/>
        <v>0.84799999999999986</v>
      </c>
    </row>
    <row r="1339" spans="2:6">
      <c r="B1339" s="13" t="s">
        <v>1927</v>
      </c>
      <c r="C1339" s="13" t="s">
        <v>1930</v>
      </c>
      <c r="D1339" s="13">
        <v>319.95999999999998</v>
      </c>
      <c r="E1339" s="13">
        <v>4</v>
      </c>
      <c r="F1339" s="13">
        <f t="shared" si="20"/>
        <v>79.989999999999995</v>
      </c>
    </row>
    <row r="1340" spans="2:6">
      <c r="B1340" s="13" t="s">
        <v>86</v>
      </c>
      <c r="C1340" s="13" t="s">
        <v>380</v>
      </c>
      <c r="D1340" s="13">
        <v>17.04</v>
      </c>
      <c r="E1340" s="13">
        <v>3</v>
      </c>
      <c r="F1340" s="13">
        <f t="shared" si="20"/>
        <v>5.68</v>
      </c>
    </row>
    <row r="1341" spans="2:6">
      <c r="B1341" s="13" t="s">
        <v>1928</v>
      </c>
      <c r="C1341" s="13" t="s">
        <v>1931</v>
      </c>
      <c r="D1341" s="13">
        <v>344.90999999999997</v>
      </c>
      <c r="E1341" s="13">
        <v>3</v>
      </c>
      <c r="F1341" s="13">
        <f t="shared" si="20"/>
        <v>114.96999999999998</v>
      </c>
    </row>
    <row r="1342" spans="2:6">
      <c r="B1342" s="13" t="s">
        <v>1346</v>
      </c>
      <c r="C1342" s="13" t="s">
        <v>1352</v>
      </c>
      <c r="D1342" s="13">
        <v>6.8739999999999988</v>
      </c>
      <c r="E1342" s="13">
        <v>7</v>
      </c>
      <c r="F1342" s="13">
        <f t="shared" si="20"/>
        <v>0.98199999999999987</v>
      </c>
    </row>
    <row r="1343" spans="2:6">
      <c r="B1343" s="13" t="s">
        <v>1932</v>
      </c>
      <c r="C1343" s="13" t="s">
        <v>1933</v>
      </c>
      <c r="D1343" s="13">
        <v>1.9959999999999996</v>
      </c>
      <c r="E1343" s="13">
        <v>1</v>
      </c>
      <c r="F1343" s="13">
        <f t="shared" si="20"/>
        <v>1.9959999999999996</v>
      </c>
    </row>
    <row r="1344" spans="2:6">
      <c r="B1344" s="13" t="s">
        <v>1392</v>
      </c>
      <c r="C1344" s="13" t="s">
        <v>1397</v>
      </c>
      <c r="D1344" s="13">
        <v>8.9280000000000008</v>
      </c>
      <c r="E1344" s="13">
        <v>2</v>
      </c>
      <c r="F1344" s="13">
        <f t="shared" si="20"/>
        <v>4.4640000000000004</v>
      </c>
    </row>
    <row r="1345" spans="2:6">
      <c r="B1345" s="13" t="s">
        <v>1325</v>
      </c>
      <c r="C1345" s="13" t="s">
        <v>1330</v>
      </c>
      <c r="D1345" s="13">
        <v>10499.97</v>
      </c>
      <c r="E1345" s="13">
        <v>3</v>
      </c>
      <c r="F1345" s="13">
        <f t="shared" si="20"/>
        <v>3499.99</v>
      </c>
    </row>
    <row r="1346" spans="2:6">
      <c r="B1346" s="13" t="s">
        <v>1934</v>
      </c>
      <c r="C1346" s="13" t="s">
        <v>1935</v>
      </c>
      <c r="D1346" s="13">
        <v>15.984000000000002</v>
      </c>
      <c r="E1346" s="13">
        <v>2</v>
      </c>
      <c r="F1346" s="13">
        <f t="shared" si="20"/>
        <v>7.9920000000000009</v>
      </c>
    </row>
    <row r="1347" spans="2:6">
      <c r="B1347" s="13" t="s">
        <v>1936</v>
      </c>
      <c r="C1347" s="13" t="s">
        <v>1940</v>
      </c>
      <c r="D1347" s="13">
        <v>482.66399999999999</v>
      </c>
      <c r="E1347" s="13">
        <v>8</v>
      </c>
      <c r="F1347" s="13">
        <f t="shared" si="20"/>
        <v>60.332999999999998</v>
      </c>
    </row>
    <row r="1348" spans="2:6">
      <c r="B1348" s="13" t="s">
        <v>1937</v>
      </c>
      <c r="C1348" s="13" t="s">
        <v>1941</v>
      </c>
      <c r="D1348" s="13">
        <v>4799.9839999999995</v>
      </c>
      <c r="E1348" s="13">
        <v>2</v>
      </c>
      <c r="F1348" s="13">
        <f t="shared" ref="F1348:F1411" si="21">D1348/E1348</f>
        <v>2399.9919999999997</v>
      </c>
    </row>
    <row r="1349" spans="2:6">
      <c r="B1349" s="13" t="s">
        <v>1096</v>
      </c>
      <c r="C1349" s="13" t="s">
        <v>1098</v>
      </c>
      <c r="D1349" s="13">
        <v>37.94</v>
      </c>
      <c r="E1349" s="13">
        <v>2</v>
      </c>
      <c r="F1349" s="13">
        <f t="shared" si="21"/>
        <v>18.97</v>
      </c>
    </row>
    <row r="1350" spans="2:6">
      <c r="B1350" s="13" t="s">
        <v>823</v>
      </c>
      <c r="C1350" s="13" t="s">
        <v>825</v>
      </c>
      <c r="D1350" s="13">
        <v>18.288</v>
      </c>
      <c r="E1350" s="13">
        <v>6</v>
      </c>
      <c r="F1350" s="13">
        <f t="shared" si="21"/>
        <v>3.048</v>
      </c>
    </row>
    <row r="1351" spans="2:6">
      <c r="B1351" s="13" t="s">
        <v>1938</v>
      </c>
      <c r="C1351" s="13" t="s">
        <v>1942</v>
      </c>
      <c r="D1351" s="13">
        <v>385.80000000000007</v>
      </c>
      <c r="E1351" s="13">
        <v>5</v>
      </c>
      <c r="F1351" s="13">
        <f t="shared" si="21"/>
        <v>77.160000000000011</v>
      </c>
    </row>
    <row r="1352" spans="2:6">
      <c r="B1352" s="13" t="s">
        <v>769</v>
      </c>
      <c r="C1352" s="13" t="s">
        <v>772</v>
      </c>
      <c r="D1352" s="13">
        <v>102.96</v>
      </c>
      <c r="E1352" s="13">
        <v>2</v>
      </c>
      <c r="F1352" s="13">
        <f t="shared" si="21"/>
        <v>51.48</v>
      </c>
    </row>
    <row r="1353" spans="2:6">
      <c r="B1353" s="13" t="s">
        <v>1939</v>
      </c>
      <c r="C1353" s="13" t="s">
        <v>1943</v>
      </c>
      <c r="D1353" s="13">
        <v>174.42000000000002</v>
      </c>
      <c r="E1353" s="13">
        <v>3</v>
      </c>
      <c r="F1353" s="13">
        <f t="shared" si="21"/>
        <v>58.140000000000008</v>
      </c>
    </row>
    <row r="1354" spans="2:6">
      <c r="B1354" s="13" t="s">
        <v>1944</v>
      </c>
      <c r="C1354" s="13" t="s">
        <v>1945</v>
      </c>
      <c r="D1354" s="13">
        <v>45.92</v>
      </c>
      <c r="E1354" s="13">
        <v>4</v>
      </c>
      <c r="F1354" s="13">
        <f t="shared" si="21"/>
        <v>11.48</v>
      </c>
    </row>
    <row r="1355" spans="2:6">
      <c r="B1355" s="13" t="s">
        <v>534</v>
      </c>
      <c r="C1355" s="13" t="s">
        <v>545</v>
      </c>
      <c r="D1355" s="13">
        <v>332.02800000000002</v>
      </c>
      <c r="E1355" s="13">
        <v>9</v>
      </c>
      <c r="F1355" s="13">
        <f t="shared" si="21"/>
        <v>36.892000000000003</v>
      </c>
    </row>
    <row r="1356" spans="2:6">
      <c r="B1356" s="13" t="s">
        <v>1736</v>
      </c>
      <c r="C1356" s="13" t="s">
        <v>1742</v>
      </c>
      <c r="D1356" s="13">
        <v>11.393999999999998</v>
      </c>
      <c r="E1356" s="13">
        <v>9</v>
      </c>
      <c r="F1356" s="13">
        <f t="shared" si="21"/>
        <v>1.2659999999999998</v>
      </c>
    </row>
    <row r="1357" spans="2:6">
      <c r="B1357" s="13" t="s">
        <v>1946</v>
      </c>
      <c r="C1357" s="13" t="s">
        <v>1947</v>
      </c>
      <c r="D1357" s="13">
        <v>15.552000000000003</v>
      </c>
      <c r="E1357" s="13">
        <v>3</v>
      </c>
      <c r="F1357" s="13">
        <f t="shared" si="21"/>
        <v>5.1840000000000011</v>
      </c>
    </row>
    <row r="1358" spans="2:6">
      <c r="B1358" s="13" t="s">
        <v>527</v>
      </c>
      <c r="C1358" s="13" t="s">
        <v>1948</v>
      </c>
      <c r="D1358" s="13">
        <v>31.104000000000006</v>
      </c>
      <c r="E1358" s="13">
        <v>6</v>
      </c>
      <c r="F1358" s="13">
        <f t="shared" si="21"/>
        <v>5.1840000000000011</v>
      </c>
    </row>
    <row r="1359" spans="2:6">
      <c r="B1359" s="13" t="s">
        <v>191</v>
      </c>
      <c r="C1359" s="13" t="s">
        <v>194</v>
      </c>
      <c r="D1359" s="13">
        <v>6.3159999999999981</v>
      </c>
      <c r="E1359" s="13">
        <v>1</v>
      </c>
      <c r="F1359" s="13">
        <f t="shared" si="21"/>
        <v>6.3159999999999981</v>
      </c>
    </row>
    <row r="1360" spans="2:6">
      <c r="B1360" s="13" t="s">
        <v>1949</v>
      </c>
      <c r="C1360" s="13" t="s">
        <v>1951</v>
      </c>
      <c r="D1360" s="13">
        <v>9.4080000000000013</v>
      </c>
      <c r="E1360" s="13">
        <v>7</v>
      </c>
      <c r="F1360" s="13">
        <f t="shared" si="21"/>
        <v>1.3440000000000001</v>
      </c>
    </row>
    <row r="1361" spans="2:6">
      <c r="B1361" s="13" t="s">
        <v>1950</v>
      </c>
      <c r="C1361" s="13" t="s">
        <v>1952</v>
      </c>
      <c r="D1361" s="13">
        <v>19.829999999999998</v>
      </c>
      <c r="E1361" s="13">
        <v>1</v>
      </c>
      <c r="F1361" s="13">
        <f t="shared" si="21"/>
        <v>19.829999999999998</v>
      </c>
    </row>
    <row r="1362" spans="2:6">
      <c r="B1362" s="13" t="s">
        <v>697</v>
      </c>
      <c r="C1362" s="13" t="s">
        <v>700</v>
      </c>
      <c r="D1362" s="13">
        <v>209.7</v>
      </c>
      <c r="E1362" s="13">
        <v>2</v>
      </c>
      <c r="F1362" s="13">
        <f t="shared" si="21"/>
        <v>104.85</v>
      </c>
    </row>
    <row r="1363" spans="2:6">
      <c r="B1363" s="13" t="s">
        <v>1027</v>
      </c>
      <c r="C1363" s="13" t="s">
        <v>1048</v>
      </c>
      <c r="D1363" s="13">
        <v>1.64</v>
      </c>
      <c r="E1363" s="13">
        <v>1</v>
      </c>
      <c r="F1363" s="13">
        <f t="shared" si="21"/>
        <v>1.64</v>
      </c>
    </row>
    <row r="1364" spans="2:6">
      <c r="B1364" s="13" t="s">
        <v>535</v>
      </c>
      <c r="C1364" s="13" t="s">
        <v>546</v>
      </c>
      <c r="D1364" s="13">
        <v>1049.2</v>
      </c>
      <c r="E1364" s="13">
        <v>5</v>
      </c>
      <c r="F1364" s="13">
        <f t="shared" si="21"/>
        <v>209.84</v>
      </c>
    </row>
    <row r="1365" spans="2:6">
      <c r="B1365" s="13" t="s">
        <v>810</v>
      </c>
      <c r="C1365" s="13" t="s">
        <v>817</v>
      </c>
      <c r="D1365" s="13">
        <v>20.9</v>
      </c>
      <c r="E1365" s="13">
        <v>5</v>
      </c>
      <c r="F1365" s="13">
        <f t="shared" si="21"/>
        <v>4.18</v>
      </c>
    </row>
    <row r="1366" spans="2:6">
      <c r="B1366" s="13" t="s">
        <v>1532</v>
      </c>
      <c r="C1366" s="13" t="s">
        <v>46</v>
      </c>
      <c r="D1366" s="13">
        <v>63.311999999999998</v>
      </c>
      <c r="E1366" s="13">
        <v>3</v>
      </c>
      <c r="F1366" s="13">
        <f t="shared" si="21"/>
        <v>21.103999999999999</v>
      </c>
    </row>
    <row r="1367" spans="2:6">
      <c r="B1367" s="13" t="s">
        <v>1953</v>
      </c>
      <c r="C1367" s="13" t="s">
        <v>1954</v>
      </c>
      <c r="D1367" s="13">
        <v>96.783999999999978</v>
      </c>
      <c r="E1367" s="13">
        <v>4</v>
      </c>
      <c r="F1367" s="13">
        <f t="shared" si="21"/>
        <v>24.195999999999994</v>
      </c>
    </row>
    <row r="1368" spans="2:6">
      <c r="B1368" s="13" t="s">
        <v>664</v>
      </c>
      <c r="C1368" s="13" t="s">
        <v>666</v>
      </c>
      <c r="D1368" s="13">
        <v>10.476000000000001</v>
      </c>
      <c r="E1368" s="13">
        <v>3</v>
      </c>
      <c r="F1368" s="13">
        <f t="shared" si="21"/>
        <v>3.4920000000000004</v>
      </c>
    </row>
    <row r="1369" spans="2:6">
      <c r="B1369" s="13" t="s">
        <v>146</v>
      </c>
      <c r="C1369" s="13" t="s">
        <v>149</v>
      </c>
      <c r="D1369" s="13">
        <v>47.98</v>
      </c>
      <c r="E1369" s="13">
        <v>2</v>
      </c>
      <c r="F1369" s="13">
        <f t="shared" si="21"/>
        <v>23.99</v>
      </c>
    </row>
    <row r="1370" spans="2:6">
      <c r="B1370" s="13" t="s">
        <v>502</v>
      </c>
      <c r="C1370" s="13" t="s">
        <v>505</v>
      </c>
      <c r="D1370" s="13">
        <v>13.049999999999999</v>
      </c>
      <c r="E1370" s="13">
        <v>5</v>
      </c>
      <c r="F1370" s="13">
        <f t="shared" si="21"/>
        <v>2.61</v>
      </c>
    </row>
    <row r="1371" spans="2:6">
      <c r="B1371" s="13" t="s">
        <v>1955</v>
      </c>
      <c r="C1371" s="13" t="s">
        <v>1957</v>
      </c>
      <c r="D1371" s="13">
        <v>63.96</v>
      </c>
      <c r="E1371" s="13">
        <v>4</v>
      </c>
      <c r="F1371" s="13">
        <f t="shared" si="21"/>
        <v>15.99</v>
      </c>
    </row>
    <row r="1372" spans="2:6">
      <c r="B1372" s="13" t="s">
        <v>1665</v>
      </c>
      <c r="C1372" s="13" t="s">
        <v>1667</v>
      </c>
      <c r="D1372" s="13">
        <v>80.48</v>
      </c>
      <c r="E1372" s="13">
        <v>1</v>
      </c>
      <c r="F1372" s="13">
        <f t="shared" si="21"/>
        <v>80.48</v>
      </c>
    </row>
    <row r="1373" spans="2:6">
      <c r="B1373" s="13" t="s">
        <v>1956</v>
      </c>
      <c r="C1373" s="13" t="s">
        <v>1958</v>
      </c>
      <c r="D1373" s="13">
        <v>11.673000000000002</v>
      </c>
      <c r="E1373" s="13">
        <v>3</v>
      </c>
      <c r="F1373" s="13">
        <f t="shared" si="21"/>
        <v>3.8910000000000005</v>
      </c>
    </row>
    <row r="1374" spans="2:6">
      <c r="B1374" s="13" t="s">
        <v>370</v>
      </c>
      <c r="C1374" s="13" t="s">
        <v>379</v>
      </c>
      <c r="D1374" s="13">
        <v>871.4</v>
      </c>
      <c r="E1374" s="13">
        <v>4</v>
      </c>
      <c r="F1374" s="13">
        <f t="shared" si="21"/>
        <v>217.85</v>
      </c>
    </row>
    <row r="1375" spans="2:6">
      <c r="B1375" s="13" t="s">
        <v>1959</v>
      </c>
      <c r="C1375" s="13" t="s">
        <v>1960</v>
      </c>
      <c r="D1375" s="13">
        <v>71.928000000000011</v>
      </c>
      <c r="E1375" s="13">
        <v>9</v>
      </c>
      <c r="F1375" s="13">
        <f t="shared" si="21"/>
        <v>7.9920000000000009</v>
      </c>
    </row>
    <row r="1376" spans="2:6">
      <c r="B1376" s="13" t="s">
        <v>855</v>
      </c>
      <c r="C1376" s="13" t="s">
        <v>856</v>
      </c>
      <c r="D1376" s="13">
        <v>25.99</v>
      </c>
      <c r="E1376" s="13">
        <v>1</v>
      </c>
      <c r="F1376" s="13">
        <f t="shared" si="21"/>
        <v>25.99</v>
      </c>
    </row>
    <row r="1377" spans="2:6">
      <c r="B1377" s="13" t="s">
        <v>1961</v>
      </c>
      <c r="C1377" s="13" t="s">
        <v>1962</v>
      </c>
      <c r="D1377" s="13">
        <v>323.10000000000002</v>
      </c>
      <c r="E1377" s="13">
        <v>2</v>
      </c>
      <c r="F1377" s="13">
        <f t="shared" si="21"/>
        <v>161.55000000000001</v>
      </c>
    </row>
    <row r="1378" spans="2:6">
      <c r="B1378" s="13" t="s">
        <v>406</v>
      </c>
      <c r="C1378" s="13" t="s">
        <v>412</v>
      </c>
      <c r="D1378" s="13">
        <v>64.784000000000006</v>
      </c>
      <c r="E1378" s="13">
        <v>1</v>
      </c>
      <c r="F1378" s="13">
        <f t="shared" si="21"/>
        <v>64.784000000000006</v>
      </c>
    </row>
    <row r="1379" spans="2:6">
      <c r="B1379" s="13" t="s">
        <v>1406</v>
      </c>
      <c r="C1379" s="13" t="s">
        <v>1408</v>
      </c>
      <c r="D1379" s="13">
        <v>11.16</v>
      </c>
      <c r="E1379" s="13">
        <v>2</v>
      </c>
      <c r="F1379" s="13">
        <f t="shared" si="21"/>
        <v>5.58</v>
      </c>
    </row>
    <row r="1380" spans="2:6">
      <c r="B1380" s="13" t="s">
        <v>1963</v>
      </c>
      <c r="C1380" s="13" t="s">
        <v>1971</v>
      </c>
      <c r="D1380" s="13">
        <v>896.32799999999997</v>
      </c>
      <c r="E1380" s="13">
        <v>9</v>
      </c>
      <c r="F1380" s="13">
        <f t="shared" si="21"/>
        <v>99.591999999999999</v>
      </c>
    </row>
    <row r="1381" spans="2:6">
      <c r="B1381" s="13" t="s">
        <v>1964</v>
      </c>
      <c r="C1381" s="13" t="s">
        <v>1972</v>
      </c>
      <c r="D1381" s="13">
        <v>189</v>
      </c>
      <c r="E1381" s="13">
        <v>1</v>
      </c>
      <c r="F1381" s="13">
        <f t="shared" si="21"/>
        <v>189</v>
      </c>
    </row>
    <row r="1382" spans="2:6">
      <c r="B1382" s="13" t="s">
        <v>960</v>
      </c>
      <c r="C1382" s="13" t="s">
        <v>962</v>
      </c>
      <c r="D1382" s="13">
        <v>53.981999999999999</v>
      </c>
      <c r="E1382" s="13">
        <v>3</v>
      </c>
      <c r="F1382" s="13">
        <f t="shared" si="21"/>
        <v>17.994</v>
      </c>
    </row>
    <row r="1383" spans="2:6">
      <c r="B1383" s="13" t="s">
        <v>1965</v>
      </c>
      <c r="C1383" s="13" t="s">
        <v>1973</v>
      </c>
      <c r="D1383" s="13">
        <v>177.22499999999999</v>
      </c>
      <c r="E1383" s="13">
        <v>5</v>
      </c>
      <c r="F1383" s="13">
        <f t="shared" si="21"/>
        <v>35.445</v>
      </c>
    </row>
    <row r="1384" spans="2:6">
      <c r="B1384" s="13" t="s">
        <v>1882</v>
      </c>
      <c r="C1384" s="13" t="s">
        <v>1885</v>
      </c>
      <c r="D1384" s="13">
        <v>129.39000000000001</v>
      </c>
      <c r="E1384" s="13">
        <v>3</v>
      </c>
      <c r="F1384" s="13">
        <f t="shared" si="21"/>
        <v>43.13</v>
      </c>
    </row>
    <row r="1385" spans="2:6">
      <c r="B1385" s="13" t="s">
        <v>1966</v>
      </c>
      <c r="C1385" s="13" t="s">
        <v>1974</v>
      </c>
      <c r="D1385" s="13">
        <v>54.32</v>
      </c>
      <c r="E1385" s="13">
        <v>4</v>
      </c>
      <c r="F1385" s="13">
        <f t="shared" si="21"/>
        <v>13.58</v>
      </c>
    </row>
    <row r="1386" spans="2:6">
      <c r="B1386" s="13" t="s">
        <v>1482</v>
      </c>
      <c r="C1386" s="13" t="s">
        <v>1488</v>
      </c>
      <c r="D1386" s="13">
        <v>4367.8960000000006</v>
      </c>
      <c r="E1386" s="13">
        <v>13</v>
      </c>
      <c r="F1386" s="13">
        <f t="shared" si="21"/>
        <v>335.99200000000008</v>
      </c>
    </row>
    <row r="1387" spans="2:6">
      <c r="B1387" s="13" t="s">
        <v>1967</v>
      </c>
      <c r="C1387" s="13" t="s">
        <v>1975</v>
      </c>
      <c r="D1387" s="13">
        <v>49.568000000000005</v>
      </c>
      <c r="E1387" s="13">
        <v>2</v>
      </c>
      <c r="F1387" s="13">
        <f t="shared" si="21"/>
        <v>24.784000000000002</v>
      </c>
    </row>
    <row r="1388" spans="2:6">
      <c r="B1388" s="13" t="s">
        <v>1968</v>
      </c>
      <c r="C1388" s="13" t="s">
        <v>1976</v>
      </c>
      <c r="D1388" s="13">
        <v>161.376</v>
      </c>
      <c r="E1388" s="13">
        <v>6</v>
      </c>
      <c r="F1388" s="13">
        <f t="shared" si="21"/>
        <v>26.896000000000001</v>
      </c>
    </row>
    <row r="1389" spans="2:6">
      <c r="B1389" s="13" t="s">
        <v>1969</v>
      </c>
      <c r="C1389" s="13" t="s">
        <v>1977</v>
      </c>
      <c r="D1389" s="13">
        <v>2.7840000000000003</v>
      </c>
      <c r="E1389" s="13">
        <v>2</v>
      </c>
      <c r="F1389" s="13">
        <f t="shared" si="21"/>
        <v>1.3920000000000001</v>
      </c>
    </row>
    <row r="1390" spans="2:6">
      <c r="B1390" s="13" t="s">
        <v>1970</v>
      </c>
      <c r="C1390" s="13" t="s">
        <v>1978</v>
      </c>
      <c r="D1390" s="13">
        <v>8.7200000000000006</v>
      </c>
      <c r="E1390" s="13">
        <v>5</v>
      </c>
      <c r="F1390" s="13">
        <f t="shared" si="21"/>
        <v>1.7440000000000002</v>
      </c>
    </row>
    <row r="1391" spans="2:6">
      <c r="B1391" s="13" t="s">
        <v>1979</v>
      </c>
      <c r="C1391" s="13" t="s">
        <v>1980</v>
      </c>
      <c r="D1391" s="13">
        <v>82.38</v>
      </c>
      <c r="E1391" s="13">
        <v>6</v>
      </c>
      <c r="F1391" s="13">
        <f t="shared" si="21"/>
        <v>13.729999999999999</v>
      </c>
    </row>
    <row r="1392" spans="2:6">
      <c r="B1392" s="13" t="s">
        <v>1446</v>
      </c>
      <c r="C1392" s="13" t="s">
        <v>1448</v>
      </c>
      <c r="D1392" s="13">
        <v>42.929999999999993</v>
      </c>
      <c r="E1392" s="13">
        <v>9</v>
      </c>
      <c r="F1392" s="13">
        <f t="shared" si="21"/>
        <v>4.7699999999999996</v>
      </c>
    </row>
    <row r="1393" spans="2:6">
      <c r="B1393" s="13" t="s">
        <v>1981</v>
      </c>
      <c r="C1393" s="13" t="s">
        <v>1982</v>
      </c>
      <c r="D1393" s="13">
        <v>15.552000000000003</v>
      </c>
      <c r="E1393" s="13">
        <v>3</v>
      </c>
      <c r="F1393" s="13">
        <f t="shared" si="21"/>
        <v>5.1840000000000011</v>
      </c>
    </row>
    <row r="1394" spans="2:6">
      <c r="B1394" s="13" t="s">
        <v>374</v>
      </c>
      <c r="C1394" s="13" t="s">
        <v>384</v>
      </c>
      <c r="D1394" s="13">
        <v>17.920000000000002</v>
      </c>
      <c r="E1394" s="13">
        <v>5</v>
      </c>
      <c r="F1394" s="13">
        <f t="shared" si="21"/>
        <v>3.5840000000000005</v>
      </c>
    </row>
    <row r="1395" spans="2:6">
      <c r="B1395" s="13" t="s">
        <v>61</v>
      </c>
      <c r="C1395" s="13" t="s">
        <v>65</v>
      </c>
      <c r="D1395" s="13">
        <v>19.989999999999998</v>
      </c>
      <c r="E1395" s="13">
        <v>1</v>
      </c>
      <c r="F1395" s="13">
        <f t="shared" si="21"/>
        <v>19.989999999999998</v>
      </c>
    </row>
    <row r="1396" spans="2:6">
      <c r="B1396" s="13" t="s">
        <v>1724</v>
      </c>
      <c r="C1396" s="13" t="s">
        <v>1726</v>
      </c>
      <c r="D1396" s="13">
        <v>22.92</v>
      </c>
      <c r="E1396" s="13">
        <v>5</v>
      </c>
      <c r="F1396" s="13">
        <f t="shared" si="21"/>
        <v>4.5840000000000005</v>
      </c>
    </row>
    <row r="1397" spans="2:6">
      <c r="B1397" s="13" t="s">
        <v>1983</v>
      </c>
      <c r="C1397" s="13" t="s">
        <v>1984</v>
      </c>
      <c r="D1397" s="13">
        <v>5.1840000000000011</v>
      </c>
      <c r="E1397" s="13">
        <v>1</v>
      </c>
      <c r="F1397" s="13">
        <f t="shared" si="21"/>
        <v>5.1840000000000011</v>
      </c>
    </row>
    <row r="1398" spans="2:6">
      <c r="B1398" s="13" t="s">
        <v>147</v>
      </c>
      <c r="C1398" s="13" t="s">
        <v>150</v>
      </c>
      <c r="D1398" s="13">
        <v>544.38</v>
      </c>
      <c r="E1398" s="13">
        <v>3</v>
      </c>
      <c r="F1398" s="13">
        <f t="shared" si="21"/>
        <v>181.46</v>
      </c>
    </row>
    <row r="1399" spans="2:6">
      <c r="B1399" s="13" t="s">
        <v>1024</v>
      </c>
      <c r="C1399" s="13" t="s">
        <v>1045</v>
      </c>
      <c r="D1399" s="13">
        <v>19.824000000000002</v>
      </c>
      <c r="E1399" s="13">
        <v>6</v>
      </c>
      <c r="F1399" s="13">
        <f t="shared" si="21"/>
        <v>3.3040000000000003</v>
      </c>
    </row>
    <row r="1400" spans="2:6">
      <c r="B1400" s="13" t="s">
        <v>1985</v>
      </c>
      <c r="C1400" s="13" t="s">
        <v>1987</v>
      </c>
      <c r="D1400" s="13">
        <v>657.50400000000002</v>
      </c>
      <c r="E1400" s="13">
        <v>6</v>
      </c>
      <c r="F1400" s="13">
        <f t="shared" si="21"/>
        <v>109.584</v>
      </c>
    </row>
    <row r="1401" spans="2:6">
      <c r="B1401" s="13" t="s">
        <v>1986</v>
      </c>
      <c r="C1401" s="13" t="s">
        <v>1988</v>
      </c>
      <c r="D1401" s="13">
        <v>99.54</v>
      </c>
      <c r="E1401" s="13">
        <v>2</v>
      </c>
      <c r="F1401" s="13">
        <f t="shared" si="21"/>
        <v>49.77</v>
      </c>
    </row>
    <row r="1402" spans="2:6">
      <c r="B1402" s="13" t="s">
        <v>933</v>
      </c>
      <c r="C1402" s="13" t="s">
        <v>936</v>
      </c>
      <c r="D1402" s="13">
        <v>199.96</v>
      </c>
      <c r="E1402" s="13">
        <v>4</v>
      </c>
      <c r="F1402" s="13">
        <f t="shared" si="21"/>
        <v>49.99</v>
      </c>
    </row>
    <row r="1403" spans="2:6">
      <c r="B1403" s="13" t="s">
        <v>1989</v>
      </c>
      <c r="C1403" s="13" t="s">
        <v>1990</v>
      </c>
      <c r="D1403" s="13">
        <v>20.724000000000004</v>
      </c>
      <c r="E1403" s="13">
        <v>2</v>
      </c>
      <c r="F1403" s="13">
        <f t="shared" si="21"/>
        <v>10.362000000000002</v>
      </c>
    </row>
    <row r="1404" spans="2:6">
      <c r="B1404" s="13" t="s">
        <v>1626</v>
      </c>
      <c r="C1404" s="13" t="s">
        <v>1630</v>
      </c>
      <c r="D1404" s="13">
        <v>415.87200000000007</v>
      </c>
      <c r="E1404" s="13">
        <v>8</v>
      </c>
      <c r="F1404" s="13">
        <f t="shared" si="21"/>
        <v>51.984000000000009</v>
      </c>
    </row>
    <row r="1405" spans="2:6">
      <c r="B1405" s="13" t="s">
        <v>613</v>
      </c>
      <c r="C1405" s="13" t="s">
        <v>615</v>
      </c>
      <c r="D1405" s="13">
        <v>16.768000000000001</v>
      </c>
      <c r="E1405" s="13">
        <v>2</v>
      </c>
      <c r="F1405" s="13">
        <f t="shared" si="21"/>
        <v>8.3840000000000003</v>
      </c>
    </row>
    <row r="1406" spans="2:6">
      <c r="B1406" s="13" t="s">
        <v>1426</v>
      </c>
      <c r="C1406" s="13" t="s">
        <v>1432</v>
      </c>
      <c r="D1406" s="13">
        <v>27.12</v>
      </c>
      <c r="E1406" s="13">
        <v>2</v>
      </c>
      <c r="F1406" s="13">
        <f t="shared" si="21"/>
        <v>13.56</v>
      </c>
    </row>
    <row r="1407" spans="2:6">
      <c r="B1407" s="13" t="s">
        <v>1888</v>
      </c>
      <c r="C1407" s="13" t="s">
        <v>1891</v>
      </c>
      <c r="D1407" s="13">
        <v>95.84</v>
      </c>
      <c r="E1407" s="13">
        <v>4</v>
      </c>
      <c r="F1407" s="13">
        <f t="shared" si="21"/>
        <v>23.96</v>
      </c>
    </row>
    <row r="1408" spans="2:6">
      <c r="B1408" s="13" t="s">
        <v>1515</v>
      </c>
      <c r="C1408" s="13" t="s">
        <v>1518</v>
      </c>
      <c r="D1408" s="13">
        <v>12.96</v>
      </c>
      <c r="E1408" s="13">
        <v>2</v>
      </c>
      <c r="F1408" s="13">
        <f t="shared" si="21"/>
        <v>6.48</v>
      </c>
    </row>
    <row r="1409" spans="2:6">
      <c r="B1409" s="13" t="s">
        <v>543</v>
      </c>
      <c r="C1409" s="13" t="s">
        <v>554</v>
      </c>
      <c r="D1409" s="13">
        <v>19.008000000000003</v>
      </c>
      <c r="E1409" s="13">
        <v>8</v>
      </c>
      <c r="F1409" s="13">
        <f t="shared" si="21"/>
        <v>2.3760000000000003</v>
      </c>
    </row>
    <row r="1410" spans="2:6">
      <c r="B1410" s="13" t="s">
        <v>1991</v>
      </c>
      <c r="C1410" s="13" t="s">
        <v>1992</v>
      </c>
      <c r="D1410" s="13">
        <v>10.368000000000002</v>
      </c>
      <c r="E1410" s="13">
        <v>2</v>
      </c>
      <c r="F1410" s="13">
        <f t="shared" si="21"/>
        <v>5.1840000000000011</v>
      </c>
    </row>
    <row r="1411" spans="2:6">
      <c r="B1411" s="13" t="s">
        <v>888</v>
      </c>
      <c r="C1411" s="13" t="s">
        <v>892</v>
      </c>
      <c r="D1411" s="13">
        <v>77.720000000000013</v>
      </c>
      <c r="E1411" s="13">
        <v>1</v>
      </c>
      <c r="F1411" s="13">
        <f t="shared" si="21"/>
        <v>77.720000000000013</v>
      </c>
    </row>
    <row r="1412" spans="2:6">
      <c r="B1412" s="13" t="s">
        <v>647</v>
      </c>
      <c r="C1412" s="13" t="s">
        <v>650</v>
      </c>
      <c r="D1412" s="13">
        <v>520.46399999999994</v>
      </c>
      <c r="E1412" s="13">
        <v>2</v>
      </c>
      <c r="F1412" s="13">
        <f t="shared" ref="F1412:F1475" si="22">D1412/E1412</f>
        <v>260.23199999999997</v>
      </c>
    </row>
    <row r="1413" spans="2:6">
      <c r="B1413" s="13" t="s">
        <v>1993</v>
      </c>
      <c r="C1413" s="13" t="s">
        <v>1999</v>
      </c>
      <c r="D1413" s="13">
        <v>29.160000000000004</v>
      </c>
      <c r="E1413" s="13">
        <v>3</v>
      </c>
      <c r="F1413" s="13">
        <f t="shared" si="22"/>
        <v>9.7200000000000006</v>
      </c>
    </row>
    <row r="1414" spans="2:6">
      <c r="B1414" s="13" t="s">
        <v>1994</v>
      </c>
      <c r="C1414" s="13" t="s">
        <v>2000</v>
      </c>
      <c r="D1414" s="13">
        <v>131.94</v>
      </c>
      <c r="E1414" s="13">
        <v>3</v>
      </c>
      <c r="F1414" s="13">
        <f t="shared" si="22"/>
        <v>43.98</v>
      </c>
    </row>
    <row r="1415" spans="2:6">
      <c r="B1415" s="13" t="s">
        <v>170</v>
      </c>
      <c r="C1415" s="13" t="s">
        <v>172</v>
      </c>
      <c r="D1415" s="13">
        <v>25.92</v>
      </c>
      <c r="E1415" s="13">
        <v>4</v>
      </c>
      <c r="F1415" s="13">
        <f t="shared" si="22"/>
        <v>6.48</v>
      </c>
    </row>
    <row r="1416" spans="2:6">
      <c r="B1416" s="13" t="s">
        <v>513</v>
      </c>
      <c r="C1416" s="13" t="s">
        <v>519</v>
      </c>
      <c r="D1416" s="13">
        <v>704.76</v>
      </c>
      <c r="E1416" s="13">
        <v>4</v>
      </c>
      <c r="F1416" s="13">
        <f t="shared" si="22"/>
        <v>176.19</v>
      </c>
    </row>
    <row r="1417" spans="2:6">
      <c r="B1417" s="13" t="s">
        <v>1995</v>
      </c>
      <c r="C1417" s="13" t="s">
        <v>90</v>
      </c>
      <c r="D1417" s="13">
        <v>7.41</v>
      </c>
      <c r="E1417" s="13">
        <v>3</v>
      </c>
      <c r="F1417" s="13">
        <f t="shared" si="22"/>
        <v>2.4700000000000002</v>
      </c>
    </row>
    <row r="1418" spans="2:6">
      <c r="B1418" s="13" t="s">
        <v>1996</v>
      </c>
      <c r="C1418" s="13" t="s">
        <v>2001</v>
      </c>
      <c r="D1418" s="13">
        <v>21.5</v>
      </c>
      <c r="E1418" s="13">
        <v>10</v>
      </c>
      <c r="F1418" s="13">
        <f t="shared" si="22"/>
        <v>2.15</v>
      </c>
    </row>
    <row r="1419" spans="2:6">
      <c r="B1419" s="13" t="s">
        <v>1997</v>
      </c>
      <c r="C1419" s="13" t="s">
        <v>2002</v>
      </c>
      <c r="D1419" s="13">
        <v>10.528</v>
      </c>
      <c r="E1419" s="13">
        <v>4</v>
      </c>
      <c r="F1419" s="13">
        <f t="shared" si="22"/>
        <v>2.6320000000000001</v>
      </c>
    </row>
    <row r="1420" spans="2:6">
      <c r="B1420" s="13" t="s">
        <v>1998</v>
      </c>
      <c r="C1420" s="13" t="s">
        <v>2003</v>
      </c>
      <c r="D1420" s="13">
        <v>20.544000000000004</v>
      </c>
      <c r="E1420" s="13">
        <v>6</v>
      </c>
      <c r="F1420" s="13">
        <f t="shared" si="22"/>
        <v>3.4240000000000008</v>
      </c>
    </row>
    <row r="1421" spans="2:6">
      <c r="B1421" s="13" t="s">
        <v>143</v>
      </c>
      <c r="C1421" s="13" t="s">
        <v>144</v>
      </c>
      <c r="D1421" s="13">
        <v>11.68</v>
      </c>
      <c r="E1421" s="13">
        <v>2</v>
      </c>
      <c r="F1421" s="13">
        <f t="shared" si="22"/>
        <v>5.84</v>
      </c>
    </row>
    <row r="1422" spans="2:6">
      <c r="B1422" s="13" t="s">
        <v>2004</v>
      </c>
      <c r="C1422" s="13" t="s">
        <v>2005</v>
      </c>
      <c r="D1422" s="13">
        <v>159.75</v>
      </c>
      <c r="E1422" s="13">
        <v>5</v>
      </c>
      <c r="F1422" s="13">
        <f t="shared" si="22"/>
        <v>31.95</v>
      </c>
    </row>
    <row r="1423" spans="2:6">
      <c r="B1423" s="13" t="s">
        <v>1693</v>
      </c>
      <c r="C1423" s="13" t="s">
        <v>1699</v>
      </c>
      <c r="D1423" s="13">
        <v>46.76</v>
      </c>
      <c r="E1423" s="13">
        <v>7</v>
      </c>
      <c r="F1423" s="13">
        <f t="shared" si="22"/>
        <v>6.68</v>
      </c>
    </row>
    <row r="1424" spans="2:6">
      <c r="B1424" s="13" t="s">
        <v>2006</v>
      </c>
      <c r="C1424" s="13" t="s">
        <v>2008</v>
      </c>
      <c r="D1424" s="13">
        <v>183.96800000000002</v>
      </c>
      <c r="E1424" s="13">
        <v>2</v>
      </c>
      <c r="F1424" s="13">
        <f t="shared" si="22"/>
        <v>91.984000000000009</v>
      </c>
    </row>
    <row r="1425" spans="2:6">
      <c r="B1425" s="13" t="s">
        <v>1482</v>
      </c>
      <c r="C1425" s="13" t="s">
        <v>1488</v>
      </c>
      <c r="D1425" s="13">
        <v>1259.97</v>
      </c>
      <c r="E1425" s="13">
        <v>3</v>
      </c>
      <c r="F1425" s="13">
        <f t="shared" si="22"/>
        <v>419.99</v>
      </c>
    </row>
    <row r="1426" spans="2:6">
      <c r="B1426" s="13" t="s">
        <v>2007</v>
      </c>
      <c r="C1426" s="13" t="s">
        <v>2009</v>
      </c>
      <c r="D1426" s="13">
        <v>68.97</v>
      </c>
      <c r="E1426" s="13">
        <v>3</v>
      </c>
      <c r="F1426" s="13">
        <f t="shared" si="22"/>
        <v>22.99</v>
      </c>
    </row>
    <row r="1427" spans="2:6">
      <c r="B1427" s="13" t="s">
        <v>1618</v>
      </c>
      <c r="C1427" s="13" t="s">
        <v>1619</v>
      </c>
      <c r="D1427" s="13">
        <v>387.99</v>
      </c>
      <c r="E1427" s="13">
        <v>1</v>
      </c>
      <c r="F1427" s="13">
        <f t="shared" si="22"/>
        <v>387.99</v>
      </c>
    </row>
    <row r="1428" spans="2:6">
      <c r="B1428" s="13" t="s">
        <v>1079</v>
      </c>
      <c r="C1428" s="13" t="s">
        <v>1080</v>
      </c>
      <c r="D1428" s="13">
        <v>478.24</v>
      </c>
      <c r="E1428" s="13">
        <v>8</v>
      </c>
      <c r="F1428" s="13">
        <f t="shared" si="22"/>
        <v>59.78</v>
      </c>
    </row>
    <row r="1429" spans="2:6">
      <c r="B1429" s="13" t="s">
        <v>1154</v>
      </c>
      <c r="C1429" s="13" t="s">
        <v>1156</v>
      </c>
      <c r="D1429" s="13">
        <v>17.239999999999998</v>
      </c>
      <c r="E1429" s="13">
        <v>2</v>
      </c>
      <c r="F1429" s="13">
        <f t="shared" si="22"/>
        <v>8.6199999999999992</v>
      </c>
    </row>
    <row r="1430" spans="2:6">
      <c r="B1430" s="13" t="s">
        <v>2010</v>
      </c>
      <c r="C1430" s="13" t="s">
        <v>2014</v>
      </c>
      <c r="D1430" s="13">
        <v>302.94</v>
      </c>
      <c r="E1430" s="13">
        <v>3</v>
      </c>
      <c r="F1430" s="13">
        <f t="shared" si="22"/>
        <v>100.98</v>
      </c>
    </row>
    <row r="1431" spans="2:6">
      <c r="B1431" s="13" t="s">
        <v>881</v>
      </c>
      <c r="C1431" s="13" t="s">
        <v>882</v>
      </c>
      <c r="D1431" s="13">
        <v>34.75</v>
      </c>
      <c r="E1431" s="13">
        <v>5</v>
      </c>
      <c r="F1431" s="13">
        <f t="shared" si="22"/>
        <v>6.95</v>
      </c>
    </row>
    <row r="1432" spans="2:6">
      <c r="B1432" s="13" t="s">
        <v>2011</v>
      </c>
      <c r="C1432" s="13" t="s">
        <v>2015</v>
      </c>
      <c r="D1432" s="13">
        <v>113.94</v>
      </c>
      <c r="E1432" s="13">
        <v>6</v>
      </c>
      <c r="F1432" s="13">
        <f t="shared" si="22"/>
        <v>18.989999999999998</v>
      </c>
    </row>
    <row r="1433" spans="2:6">
      <c r="B1433" s="13" t="s">
        <v>2012</v>
      </c>
      <c r="C1433" s="13" t="s">
        <v>2016</v>
      </c>
      <c r="D1433" s="13">
        <v>55.98</v>
      </c>
      <c r="E1433" s="13">
        <v>2</v>
      </c>
      <c r="F1433" s="13">
        <f t="shared" si="22"/>
        <v>27.99</v>
      </c>
    </row>
    <row r="1434" spans="2:6">
      <c r="B1434" s="13" t="s">
        <v>104</v>
      </c>
      <c r="C1434" s="13" t="s">
        <v>108</v>
      </c>
      <c r="D1434" s="13">
        <v>27.18</v>
      </c>
      <c r="E1434" s="13">
        <v>3</v>
      </c>
      <c r="F1434" s="13">
        <f t="shared" si="22"/>
        <v>9.06</v>
      </c>
    </row>
    <row r="1435" spans="2:6">
      <c r="B1435" s="13" t="s">
        <v>1587</v>
      </c>
      <c r="C1435" s="13" t="s">
        <v>1588</v>
      </c>
      <c r="D1435" s="13">
        <v>1805.88</v>
      </c>
      <c r="E1435" s="13">
        <v>6</v>
      </c>
      <c r="F1435" s="13">
        <f t="shared" si="22"/>
        <v>300.98</v>
      </c>
    </row>
    <row r="1436" spans="2:6">
      <c r="B1436" s="13" t="s">
        <v>2013</v>
      </c>
      <c r="C1436" s="13" t="s">
        <v>2017</v>
      </c>
      <c r="D1436" s="13">
        <v>70.949999999999989</v>
      </c>
      <c r="E1436" s="13">
        <v>3</v>
      </c>
      <c r="F1436" s="13">
        <f t="shared" si="22"/>
        <v>23.649999999999995</v>
      </c>
    </row>
    <row r="1437" spans="2:6">
      <c r="B1437" s="13" t="s">
        <v>991</v>
      </c>
      <c r="C1437" s="13" t="s">
        <v>993</v>
      </c>
      <c r="D1437" s="13">
        <v>244.54999999999998</v>
      </c>
      <c r="E1437" s="13">
        <v>5</v>
      </c>
      <c r="F1437" s="13">
        <f t="shared" si="22"/>
        <v>48.91</v>
      </c>
    </row>
    <row r="1438" spans="2:6">
      <c r="B1438" s="13" t="s">
        <v>932</v>
      </c>
      <c r="C1438" s="13" t="s">
        <v>935</v>
      </c>
      <c r="D1438" s="13">
        <v>1332.4960000000001</v>
      </c>
      <c r="E1438" s="13">
        <v>2</v>
      </c>
      <c r="F1438" s="13">
        <f t="shared" si="22"/>
        <v>666.24800000000005</v>
      </c>
    </row>
    <row r="1439" spans="2:6">
      <c r="B1439" s="13" t="s">
        <v>2018</v>
      </c>
      <c r="C1439" s="13" t="s">
        <v>2022</v>
      </c>
      <c r="D1439" s="13">
        <v>32.776000000000003</v>
      </c>
      <c r="E1439" s="13">
        <v>1</v>
      </c>
      <c r="F1439" s="13">
        <f t="shared" si="22"/>
        <v>32.776000000000003</v>
      </c>
    </row>
    <row r="1440" spans="2:6">
      <c r="B1440" s="13" t="s">
        <v>115</v>
      </c>
      <c r="C1440" s="13" t="s">
        <v>122</v>
      </c>
      <c r="D1440" s="13">
        <v>147.184</v>
      </c>
      <c r="E1440" s="13">
        <v>2</v>
      </c>
      <c r="F1440" s="13">
        <f t="shared" si="22"/>
        <v>73.591999999999999</v>
      </c>
    </row>
    <row r="1441" spans="2:6">
      <c r="B1441" s="13" t="s">
        <v>2019</v>
      </c>
      <c r="C1441" s="13" t="s">
        <v>2023</v>
      </c>
      <c r="D1441" s="13">
        <v>54.384000000000007</v>
      </c>
      <c r="E1441" s="13">
        <v>2</v>
      </c>
      <c r="F1441" s="13">
        <f t="shared" si="22"/>
        <v>27.192000000000004</v>
      </c>
    </row>
    <row r="1442" spans="2:6">
      <c r="B1442" s="13" t="s">
        <v>2020</v>
      </c>
      <c r="C1442" s="13" t="s">
        <v>2024</v>
      </c>
      <c r="D1442" s="13">
        <v>76.77600000000001</v>
      </c>
      <c r="E1442" s="13">
        <v>4</v>
      </c>
      <c r="F1442" s="13">
        <f t="shared" si="22"/>
        <v>19.194000000000003</v>
      </c>
    </row>
    <row r="1443" spans="2:6">
      <c r="B1443" s="13" t="s">
        <v>2021</v>
      </c>
      <c r="C1443" s="13" t="s">
        <v>2025</v>
      </c>
      <c r="D1443" s="13">
        <v>14.352000000000002</v>
      </c>
      <c r="E1443" s="13">
        <v>3</v>
      </c>
      <c r="F1443" s="13">
        <f t="shared" si="22"/>
        <v>4.7840000000000007</v>
      </c>
    </row>
    <row r="1444" spans="2:6">
      <c r="B1444" s="13" t="s">
        <v>672</v>
      </c>
      <c r="C1444" s="13" t="s">
        <v>675</v>
      </c>
      <c r="D1444" s="13">
        <v>209.79200000000003</v>
      </c>
      <c r="E1444" s="13">
        <v>2</v>
      </c>
      <c r="F1444" s="13">
        <f t="shared" si="22"/>
        <v>104.89600000000002</v>
      </c>
    </row>
    <row r="1445" spans="2:6">
      <c r="B1445" s="13" t="s">
        <v>797</v>
      </c>
      <c r="C1445" s="13" t="s">
        <v>800</v>
      </c>
      <c r="D1445" s="13">
        <v>16.38</v>
      </c>
      <c r="E1445" s="13">
        <v>9</v>
      </c>
      <c r="F1445" s="13">
        <f t="shared" si="22"/>
        <v>1.8199999999999998</v>
      </c>
    </row>
    <row r="1446" spans="2:6">
      <c r="B1446" s="13" t="s">
        <v>2026</v>
      </c>
      <c r="C1446" s="13" t="s">
        <v>2033</v>
      </c>
      <c r="D1446" s="13">
        <v>167.96</v>
      </c>
      <c r="E1446" s="13">
        <v>2</v>
      </c>
      <c r="F1446" s="13">
        <f t="shared" si="22"/>
        <v>83.98</v>
      </c>
    </row>
    <row r="1447" spans="2:6">
      <c r="B1447" s="13" t="s">
        <v>2027</v>
      </c>
      <c r="C1447" s="13" t="s">
        <v>2034</v>
      </c>
      <c r="D1447" s="13">
        <v>321.56799999999998</v>
      </c>
      <c r="E1447" s="13">
        <v>2</v>
      </c>
      <c r="F1447" s="13">
        <f t="shared" si="22"/>
        <v>160.78399999999999</v>
      </c>
    </row>
    <row r="1448" spans="2:6">
      <c r="B1448" s="13" t="s">
        <v>1006</v>
      </c>
      <c r="C1448" s="13" t="s">
        <v>1009</v>
      </c>
      <c r="D1448" s="13">
        <v>12.96</v>
      </c>
      <c r="E1448" s="13">
        <v>2</v>
      </c>
      <c r="F1448" s="13">
        <f t="shared" si="22"/>
        <v>6.48</v>
      </c>
    </row>
    <row r="1449" spans="2:6">
      <c r="B1449" s="13" t="s">
        <v>2028</v>
      </c>
      <c r="C1449" s="13" t="s">
        <v>2035</v>
      </c>
      <c r="D1449" s="13">
        <v>128.05799999999999</v>
      </c>
      <c r="E1449" s="13">
        <v>3</v>
      </c>
      <c r="F1449" s="13">
        <f t="shared" si="22"/>
        <v>42.686</v>
      </c>
    </row>
    <row r="1450" spans="2:6">
      <c r="B1450" s="13" t="s">
        <v>1785</v>
      </c>
      <c r="C1450" s="13" t="s">
        <v>1786</v>
      </c>
      <c r="D1450" s="13">
        <v>63.686</v>
      </c>
      <c r="E1450" s="13">
        <v>1</v>
      </c>
      <c r="F1450" s="13">
        <f t="shared" si="22"/>
        <v>63.686</v>
      </c>
    </row>
    <row r="1451" spans="2:6">
      <c r="B1451" s="13" t="s">
        <v>1388</v>
      </c>
      <c r="C1451" s="13" t="s">
        <v>1389</v>
      </c>
      <c r="D1451" s="13">
        <v>239.976</v>
      </c>
      <c r="E1451" s="13">
        <v>3</v>
      </c>
      <c r="F1451" s="13">
        <f t="shared" si="22"/>
        <v>79.992000000000004</v>
      </c>
    </row>
    <row r="1452" spans="2:6">
      <c r="B1452" s="13" t="s">
        <v>2029</v>
      </c>
      <c r="C1452" s="13" t="s">
        <v>2036</v>
      </c>
      <c r="D1452" s="13">
        <v>344.22</v>
      </c>
      <c r="E1452" s="13">
        <v>2</v>
      </c>
      <c r="F1452" s="13">
        <f t="shared" si="22"/>
        <v>172.11</v>
      </c>
    </row>
    <row r="1453" spans="2:6">
      <c r="B1453" s="13" t="s">
        <v>1161</v>
      </c>
      <c r="C1453" s="13" t="s">
        <v>1164</v>
      </c>
      <c r="D1453" s="13">
        <v>15.552000000000003</v>
      </c>
      <c r="E1453" s="13">
        <v>3</v>
      </c>
      <c r="F1453" s="13">
        <f t="shared" si="22"/>
        <v>5.1840000000000011</v>
      </c>
    </row>
    <row r="1454" spans="2:6">
      <c r="B1454" s="13" t="s">
        <v>2030</v>
      </c>
      <c r="C1454" s="13" t="s">
        <v>2037</v>
      </c>
      <c r="D1454" s="13">
        <v>21.248000000000001</v>
      </c>
      <c r="E1454" s="13">
        <v>4</v>
      </c>
      <c r="F1454" s="13">
        <f t="shared" si="22"/>
        <v>5.3120000000000003</v>
      </c>
    </row>
    <row r="1455" spans="2:6">
      <c r="B1455" s="13" t="s">
        <v>2031</v>
      </c>
      <c r="C1455" s="13" t="s">
        <v>2038</v>
      </c>
      <c r="D1455" s="13">
        <v>8.4480000000000004</v>
      </c>
      <c r="E1455" s="13">
        <v>2</v>
      </c>
      <c r="F1455" s="13">
        <f t="shared" si="22"/>
        <v>4.2240000000000002</v>
      </c>
    </row>
    <row r="1456" spans="2:6">
      <c r="B1456" s="13" t="s">
        <v>2032</v>
      </c>
      <c r="C1456" s="13" t="s">
        <v>2039</v>
      </c>
      <c r="D1456" s="13">
        <v>333.09000000000003</v>
      </c>
      <c r="E1456" s="13">
        <v>3</v>
      </c>
      <c r="F1456" s="13">
        <f t="shared" si="22"/>
        <v>111.03000000000002</v>
      </c>
    </row>
    <row r="1457" spans="2:6">
      <c r="B1457" s="13" t="s">
        <v>1963</v>
      </c>
      <c r="C1457" s="13" t="s">
        <v>1971</v>
      </c>
      <c r="D1457" s="13">
        <v>248.98</v>
      </c>
      <c r="E1457" s="13">
        <v>2</v>
      </c>
      <c r="F1457" s="13">
        <f t="shared" si="22"/>
        <v>124.49</v>
      </c>
    </row>
    <row r="1458" spans="2:6">
      <c r="B1458" s="13" t="s">
        <v>2040</v>
      </c>
      <c r="C1458" s="13" t="s">
        <v>2041</v>
      </c>
      <c r="D1458" s="13">
        <v>418.29599999999994</v>
      </c>
      <c r="E1458" s="13">
        <v>3</v>
      </c>
      <c r="F1458" s="13">
        <f t="shared" si="22"/>
        <v>139.43199999999999</v>
      </c>
    </row>
    <row r="1459" spans="2:6">
      <c r="B1459" s="13" t="s">
        <v>390</v>
      </c>
      <c r="C1459" s="13" t="s">
        <v>391</v>
      </c>
      <c r="D1459" s="13">
        <v>917.92349999999988</v>
      </c>
      <c r="E1459" s="13">
        <v>9</v>
      </c>
      <c r="F1459" s="13">
        <f t="shared" si="22"/>
        <v>101.99149999999999</v>
      </c>
    </row>
    <row r="1460" spans="2:6">
      <c r="B1460" s="13" t="s">
        <v>183</v>
      </c>
      <c r="C1460" s="13" t="s">
        <v>185</v>
      </c>
      <c r="D1460" s="13">
        <v>38.880000000000003</v>
      </c>
      <c r="E1460" s="13">
        <v>6</v>
      </c>
      <c r="F1460" s="13">
        <f t="shared" si="22"/>
        <v>6.48</v>
      </c>
    </row>
    <row r="1461" spans="2:6">
      <c r="B1461" s="13" t="s">
        <v>1747</v>
      </c>
      <c r="C1461" s="13" t="s">
        <v>1748</v>
      </c>
      <c r="D1461" s="13">
        <v>631.17600000000016</v>
      </c>
      <c r="E1461" s="13">
        <v>4</v>
      </c>
      <c r="F1461" s="13">
        <f t="shared" si="22"/>
        <v>157.79400000000004</v>
      </c>
    </row>
    <row r="1462" spans="2:6">
      <c r="B1462" s="13" t="s">
        <v>1525</v>
      </c>
      <c r="C1462" s="13" t="s">
        <v>1526</v>
      </c>
      <c r="D1462" s="13">
        <v>171.28800000000001</v>
      </c>
      <c r="E1462" s="13">
        <v>3</v>
      </c>
      <c r="F1462" s="13">
        <f t="shared" si="22"/>
        <v>57.096000000000004</v>
      </c>
    </row>
    <row r="1463" spans="2:6">
      <c r="B1463" s="13" t="s">
        <v>1906</v>
      </c>
      <c r="C1463" s="13" t="s">
        <v>1907</v>
      </c>
      <c r="D1463" s="13">
        <v>36.44</v>
      </c>
      <c r="E1463" s="13">
        <v>4</v>
      </c>
      <c r="F1463" s="13">
        <f t="shared" si="22"/>
        <v>9.11</v>
      </c>
    </row>
    <row r="1464" spans="2:6">
      <c r="B1464" s="13" t="s">
        <v>2042</v>
      </c>
      <c r="C1464" s="13" t="s">
        <v>2043</v>
      </c>
      <c r="D1464" s="13">
        <v>1347.5200000000002</v>
      </c>
      <c r="E1464" s="13">
        <v>8</v>
      </c>
      <c r="F1464" s="13">
        <f t="shared" si="22"/>
        <v>168.44000000000003</v>
      </c>
    </row>
    <row r="1465" spans="2:6">
      <c r="B1465" s="13" t="s">
        <v>2044</v>
      </c>
      <c r="C1465" s="13" t="s">
        <v>90</v>
      </c>
      <c r="D1465" s="13">
        <v>9.4320000000000004</v>
      </c>
      <c r="E1465" s="13">
        <v>3</v>
      </c>
      <c r="F1465" s="13">
        <f t="shared" si="22"/>
        <v>3.1440000000000001</v>
      </c>
    </row>
    <row r="1466" spans="2:6">
      <c r="B1466" s="13" t="s">
        <v>504</v>
      </c>
      <c r="C1466" s="13" t="s">
        <v>507</v>
      </c>
      <c r="D1466" s="13">
        <v>269.98</v>
      </c>
      <c r="E1466" s="13">
        <v>2</v>
      </c>
      <c r="F1466" s="13">
        <f t="shared" si="22"/>
        <v>134.99</v>
      </c>
    </row>
    <row r="1467" spans="2:6">
      <c r="B1467" s="13" t="s">
        <v>2045</v>
      </c>
      <c r="C1467" s="13" t="s">
        <v>2047</v>
      </c>
      <c r="D1467" s="13">
        <v>99.9</v>
      </c>
      <c r="E1467" s="13">
        <v>5</v>
      </c>
      <c r="F1467" s="13">
        <f t="shared" si="22"/>
        <v>19.98</v>
      </c>
    </row>
    <row r="1468" spans="2:6">
      <c r="B1468" s="13" t="s">
        <v>588</v>
      </c>
      <c r="C1468" s="13" t="s">
        <v>2048</v>
      </c>
      <c r="D1468" s="13">
        <v>39.08</v>
      </c>
      <c r="E1468" s="13">
        <v>4</v>
      </c>
      <c r="F1468" s="13">
        <f t="shared" si="22"/>
        <v>9.77</v>
      </c>
    </row>
    <row r="1469" spans="2:6">
      <c r="B1469" s="13" t="s">
        <v>2046</v>
      </c>
      <c r="C1469" s="13" t="s">
        <v>2049</v>
      </c>
      <c r="D1469" s="13">
        <v>116.83199999999999</v>
      </c>
      <c r="E1469" s="13">
        <v>4</v>
      </c>
      <c r="F1469" s="13">
        <f t="shared" si="22"/>
        <v>29.207999999999998</v>
      </c>
    </row>
    <row r="1470" spans="2:6">
      <c r="B1470" s="13" t="s">
        <v>2050</v>
      </c>
      <c r="C1470" s="13" t="s">
        <v>2051</v>
      </c>
      <c r="D1470" s="13">
        <v>15.84</v>
      </c>
      <c r="E1470" s="13">
        <v>3</v>
      </c>
      <c r="F1470" s="13">
        <f t="shared" si="22"/>
        <v>5.28</v>
      </c>
    </row>
    <row r="1471" spans="2:6">
      <c r="B1471" s="13" t="s">
        <v>233</v>
      </c>
      <c r="C1471" s="13" t="s">
        <v>238</v>
      </c>
      <c r="D1471" s="13">
        <v>86.376000000000005</v>
      </c>
      <c r="E1471" s="13">
        <v>3</v>
      </c>
      <c r="F1471" s="13">
        <f t="shared" si="22"/>
        <v>28.792000000000002</v>
      </c>
    </row>
    <row r="1472" spans="2:6">
      <c r="B1472" s="13" t="s">
        <v>524</v>
      </c>
      <c r="C1472" s="13" t="s">
        <v>528</v>
      </c>
      <c r="D1472" s="13">
        <v>18.240000000000002</v>
      </c>
      <c r="E1472" s="13">
        <v>3</v>
      </c>
      <c r="F1472" s="13">
        <f t="shared" si="22"/>
        <v>6.080000000000001</v>
      </c>
    </row>
    <row r="1473" spans="2:6">
      <c r="B1473" s="13" t="s">
        <v>1759</v>
      </c>
      <c r="C1473" s="13" t="s">
        <v>1760</v>
      </c>
      <c r="D1473" s="13">
        <v>13.12</v>
      </c>
      <c r="E1473" s="13">
        <v>4</v>
      </c>
      <c r="F1473" s="13">
        <f t="shared" si="22"/>
        <v>3.28</v>
      </c>
    </row>
    <row r="1474" spans="2:6">
      <c r="B1474" s="13" t="s">
        <v>1926</v>
      </c>
      <c r="C1474" s="13" t="s">
        <v>1929</v>
      </c>
      <c r="D1474" s="13">
        <v>5.9359999999999991</v>
      </c>
      <c r="E1474" s="13">
        <v>7</v>
      </c>
      <c r="F1474" s="13">
        <f t="shared" si="22"/>
        <v>0.84799999999999986</v>
      </c>
    </row>
    <row r="1475" spans="2:6">
      <c r="B1475" s="13" t="s">
        <v>2052</v>
      </c>
      <c r="C1475" s="13" t="s">
        <v>2053</v>
      </c>
      <c r="D1475" s="13">
        <v>325.86</v>
      </c>
      <c r="E1475" s="13">
        <v>2</v>
      </c>
      <c r="F1475" s="13">
        <f t="shared" si="22"/>
        <v>162.93</v>
      </c>
    </row>
    <row r="1476" spans="2:6">
      <c r="B1476" s="13" t="s">
        <v>2054</v>
      </c>
      <c r="C1476" s="13" t="s">
        <v>2055</v>
      </c>
      <c r="D1476" s="13">
        <v>5.76</v>
      </c>
      <c r="E1476" s="13">
        <v>2</v>
      </c>
      <c r="F1476" s="13">
        <f t="shared" ref="F1476:F1539" si="23">D1476/E1476</f>
        <v>2.88</v>
      </c>
    </row>
    <row r="1477" spans="2:6">
      <c r="B1477" s="13" t="s">
        <v>480</v>
      </c>
      <c r="C1477" s="13" t="s">
        <v>482</v>
      </c>
      <c r="D1477" s="13">
        <v>8.5590000000000011</v>
      </c>
      <c r="E1477" s="13">
        <v>1</v>
      </c>
      <c r="F1477" s="13">
        <f t="shared" si="23"/>
        <v>8.5590000000000011</v>
      </c>
    </row>
    <row r="1478" spans="2:6">
      <c r="B1478" s="13" t="s">
        <v>2056</v>
      </c>
      <c r="C1478" s="13" t="s">
        <v>2057</v>
      </c>
      <c r="D1478" s="13">
        <v>419.13599999999997</v>
      </c>
      <c r="E1478" s="13">
        <v>4</v>
      </c>
      <c r="F1478" s="13">
        <f t="shared" si="23"/>
        <v>104.78399999999999</v>
      </c>
    </row>
    <row r="1479" spans="2:6">
      <c r="B1479" s="13" t="s">
        <v>2058</v>
      </c>
      <c r="C1479" s="13" t="s">
        <v>2059</v>
      </c>
      <c r="D1479" s="13">
        <v>45.216000000000001</v>
      </c>
      <c r="E1479" s="13">
        <v>3</v>
      </c>
      <c r="F1479" s="13">
        <f t="shared" si="23"/>
        <v>15.072000000000001</v>
      </c>
    </row>
    <row r="1480" spans="2:6">
      <c r="B1480" s="13" t="s">
        <v>1349</v>
      </c>
      <c r="C1480" s="13" t="s">
        <v>1355</v>
      </c>
      <c r="D1480" s="13">
        <v>28.782000000000004</v>
      </c>
      <c r="E1480" s="13">
        <v>6</v>
      </c>
      <c r="F1480" s="13">
        <f t="shared" si="23"/>
        <v>4.7970000000000006</v>
      </c>
    </row>
    <row r="1481" spans="2:6">
      <c r="B1481" s="13" t="s">
        <v>1284</v>
      </c>
      <c r="C1481" s="13" t="s">
        <v>1287</v>
      </c>
      <c r="D1481" s="13">
        <v>24.448</v>
      </c>
      <c r="E1481" s="13">
        <v>4</v>
      </c>
      <c r="F1481" s="13">
        <f t="shared" si="23"/>
        <v>6.1120000000000001</v>
      </c>
    </row>
    <row r="1482" spans="2:6">
      <c r="B1482" s="13" t="s">
        <v>2060</v>
      </c>
      <c r="C1482" s="13" t="s">
        <v>2061</v>
      </c>
      <c r="D1482" s="13">
        <v>479.98400000000004</v>
      </c>
      <c r="E1482" s="13">
        <v>2</v>
      </c>
      <c r="F1482" s="13">
        <f t="shared" si="23"/>
        <v>239.99200000000002</v>
      </c>
    </row>
    <row r="1483" spans="2:6">
      <c r="B1483" s="13" t="s">
        <v>2062</v>
      </c>
      <c r="C1483" s="13" t="s">
        <v>2067</v>
      </c>
      <c r="D1483" s="13">
        <v>76.58</v>
      </c>
      <c r="E1483" s="13">
        <v>7</v>
      </c>
      <c r="F1483" s="13">
        <f t="shared" si="23"/>
        <v>10.94</v>
      </c>
    </row>
    <row r="1484" spans="2:6">
      <c r="B1484" s="13" t="s">
        <v>2063</v>
      </c>
      <c r="C1484" s="13" t="s">
        <v>2068</v>
      </c>
      <c r="D1484" s="13">
        <v>8.8000000000000007</v>
      </c>
      <c r="E1484" s="13">
        <v>5</v>
      </c>
      <c r="F1484" s="13">
        <f t="shared" si="23"/>
        <v>1.7600000000000002</v>
      </c>
    </row>
    <row r="1485" spans="2:6">
      <c r="B1485" s="13" t="s">
        <v>2064</v>
      </c>
      <c r="C1485" s="13" t="s">
        <v>2069</v>
      </c>
      <c r="D1485" s="13">
        <v>590.35199999999998</v>
      </c>
      <c r="E1485" s="13">
        <v>6</v>
      </c>
      <c r="F1485" s="13">
        <f t="shared" si="23"/>
        <v>98.391999999999996</v>
      </c>
    </row>
    <row r="1486" spans="2:6">
      <c r="B1486" s="13" t="s">
        <v>2065</v>
      </c>
      <c r="C1486" s="13" t="s">
        <v>2070</v>
      </c>
      <c r="D1486" s="13">
        <v>5.58</v>
      </c>
      <c r="E1486" s="13">
        <v>3</v>
      </c>
      <c r="F1486" s="13">
        <f t="shared" si="23"/>
        <v>1.86</v>
      </c>
    </row>
    <row r="1487" spans="2:6">
      <c r="B1487" s="13" t="s">
        <v>2066</v>
      </c>
      <c r="C1487" s="13" t="s">
        <v>2071</v>
      </c>
      <c r="D1487" s="13">
        <v>25.02</v>
      </c>
      <c r="E1487" s="13">
        <v>3</v>
      </c>
      <c r="F1487" s="13">
        <f t="shared" si="23"/>
        <v>8.34</v>
      </c>
    </row>
    <row r="1488" spans="2:6">
      <c r="B1488" s="13" t="s">
        <v>1465</v>
      </c>
      <c r="C1488" s="13" t="s">
        <v>1466</v>
      </c>
      <c r="D1488" s="13">
        <v>452.55000000000007</v>
      </c>
      <c r="E1488" s="13">
        <v>7</v>
      </c>
      <c r="F1488" s="13">
        <f t="shared" si="23"/>
        <v>64.650000000000006</v>
      </c>
    </row>
    <row r="1489" spans="2:6">
      <c r="B1489" s="13" t="s">
        <v>2072</v>
      </c>
      <c r="C1489" s="13" t="s">
        <v>2073</v>
      </c>
      <c r="D1489" s="13">
        <v>21.81</v>
      </c>
      <c r="E1489" s="13">
        <v>3</v>
      </c>
      <c r="F1489" s="13">
        <f t="shared" si="23"/>
        <v>7.27</v>
      </c>
    </row>
    <row r="1490" spans="2:6">
      <c r="B1490" s="13" t="s">
        <v>1728</v>
      </c>
      <c r="C1490" s="13" t="s">
        <v>1732</v>
      </c>
      <c r="D1490" s="13">
        <v>91.6</v>
      </c>
      <c r="E1490" s="13">
        <v>5</v>
      </c>
      <c r="F1490" s="13">
        <f t="shared" si="23"/>
        <v>18.32</v>
      </c>
    </row>
    <row r="1491" spans="2:6">
      <c r="B1491" s="13" t="s">
        <v>177</v>
      </c>
      <c r="C1491" s="13" t="s">
        <v>182</v>
      </c>
      <c r="D1491" s="13">
        <v>47.12</v>
      </c>
      <c r="E1491" s="13">
        <v>8</v>
      </c>
      <c r="F1491" s="13">
        <f t="shared" si="23"/>
        <v>5.89</v>
      </c>
    </row>
    <row r="1492" spans="2:6">
      <c r="B1492" s="13" t="s">
        <v>2074</v>
      </c>
      <c r="C1492" s="13" t="s">
        <v>2076</v>
      </c>
      <c r="D1492" s="13">
        <v>2879.9520000000002</v>
      </c>
      <c r="E1492" s="13">
        <v>6</v>
      </c>
      <c r="F1492" s="13">
        <f t="shared" si="23"/>
        <v>479.99200000000002</v>
      </c>
    </row>
    <row r="1493" spans="2:6">
      <c r="B1493" s="13" t="s">
        <v>2075</v>
      </c>
      <c r="C1493" s="13" t="s">
        <v>2077</v>
      </c>
      <c r="D1493" s="13">
        <v>90.480000000000018</v>
      </c>
      <c r="E1493" s="13">
        <v>3</v>
      </c>
      <c r="F1493" s="13">
        <f t="shared" si="23"/>
        <v>30.160000000000007</v>
      </c>
    </row>
    <row r="1494" spans="2:6">
      <c r="B1494" s="13" t="s">
        <v>1876</v>
      </c>
      <c r="C1494" s="13" t="s">
        <v>609</v>
      </c>
      <c r="D1494" s="13">
        <v>8.8320000000000007</v>
      </c>
      <c r="E1494" s="13">
        <v>3</v>
      </c>
      <c r="F1494" s="13">
        <f t="shared" si="23"/>
        <v>2.9440000000000004</v>
      </c>
    </row>
    <row r="1495" spans="2:6">
      <c r="B1495" s="13" t="s">
        <v>843</v>
      </c>
      <c r="C1495" s="13" t="s">
        <v>1106</v>
      </c>
      <c r="D1495" s="13">
        <v>177.536</v>
      </c>
      <c r="E1495" s="13">
        <v>4</v>
      </c>
      <c r="F1495" s="13">
        <f t="shared" si="23"/>
        <v>44.384</v>
      </c>
    </row>
    <row r="1496" spans="2:6">
      <c r="B1496" s="13" t="s">
        <v>1961</v>
      </c>
      <c r="C1496" s="13" t="s">
        <v>1962</v>
      </c>
      <c r="D1496" s="13">
        <v>258.48</v>
      </c>
      <c r="E1496" s="13">
        <v>2</v>
      </c>
      <c r="F1496" s="13">
        <f t="shared" si="23"/>
        <v>129.24</v>
      </c>
    </row>
    <row r="1497" spans="2:6">
      <c r="B1497" s="13" t="s">
        <v>177</v>
      </c>
      <c r="C1497" s="13" t="s">
        <v>182</v>
      </c>
      <c r="D1497" s="13">
        <v>14.135999999999999</v>
      </c>
      <c r="E1497" s="13">
        <v>3</v>
      </c>
      <c r="F1497" s="13">
        <f t="shared" si="23"/>
        <v>4.7119999999999997</v>
      </c>
    </row>
    <row r="1498" spans="2:6">
      <c r="B1498" s="13" t="s">
        <v>302</v>
      </c>
      <c r="C1498" s="13" t="s">
        <v>311</v>
      </c>
      <c r="D1498" s="13">
        <v>51.75</v>
      </c>
      <c r="E1498" s="13">
        <v>5</v>
      </c>
      <c r="F1498" s="13">
        <f t="shared" si="23"/>
        <v>10.35</v>
      </c>
    </row>
    <row r="1499" spans="2:6">
      <c r="B1499" s="13" t="s">
        <v>2078</v>
      </c>
      <c r="C1499" s="13" t="s">
        <v>2079</v>
      </c>
      <c r="D1499" s="13">
        <v>123.96000000000001</v>
      </c>
      <c r="E1499" s="13">
        <v>3</v>
      </c>
      <c r="F1499" s="13">
        <f t="shared" si="23"/>
        <v>41.32</v>
      </c>
    </row>
    <row r="1500" spans="2:6">
      <c r="B1500" s="13" t="s">
        <v>406</v>
      </c>
      <c r="C1500" s="13" t="s">
        <v>412</v>
      </c>
      <c r="D1500" s="13">
        <v>242.94</v>
      </c>
      <c r="E1500" s="13">
        <v>3</v>
      </c>
      <c r="F1500" s="13">
        <f t="shared" si="23"/>
        <v>80.98</v>
      </c>
    </row>
    <row r="1501" spans="2:6">
      <c r="B1501" s="13" t="s">
        <v>850</v>
      </c>
      <c r="C1501" s="13" t="s">
        <v>854</v>
      </c>
      <c r="D1501" s="13">
        <v>123.92</v>
      </c>
      <c r="E1501" s="13">
        <v>4</v>
      </c>
      <c r="F1501" s="13">
        <f t="shared" si="23"/>
        <v>30.98</v>
      </c>
    </row>
    <row r="1502" spans="2:6">
      <c r="B1502" s="13" t="s">
        <v>75</v>
      </c>
      <c r="C1502" s="13" t="s">
        <v>78</v>
      </c>
      <c r="D1502" s="13">
        <v>12.39</v>
      </c>
      <c r="E1502" s="13">
        <v>3</v>
      </c>
      <c r="F1502" s="13">
        <f t="shared" si="23"/>
        <v>4.13</v>
      </c>
    </row>
    <row r="1503" spans="2:6">
      <c r="B1503" s="13" t="s">
        <v>2013</v>
      </c>
      <c r="C1503" s="13" t="s">
        <v>2017</v>
      </c>
      <c r="D1503" s="13">
        <v>47.3</v>
      </c>
      <c r="E1503" s="13">
        <v>2</v>
      </c>
      <c r="F1503" s="13">
        <f t="shared" si="23"/>
        <v>23.65</v>
      </c>
    </row>
    <row r="1504" spans="2:6">
      <c r="B1504" s="13" t="s">
        <v>2080</v>
      </c>
      <c r="C1504" s="13" t="s">
        <v>2082</v>
      </c>
      <c r="D1504" s="13">
        <v>3.1680000000000006</v>
      </c>
      <c r="E1504" s="13">
        <v>4</v>
      </c>
      <c r="F1504" s="13">
        <f t="shared" si="23"/>
        <v>0.79200000000000015</v>
      </c>
    </row>
    <row r="1505" spans="2:6">
      <c r="B1505" s="13" t="s">
        <v>2081</v>
      </c>
      <c r="C1505" s="13" t="s">
        <v>2083</v>
      </c>
      <c r="D1505" s="13">
        <v>579.13599999999997</v>
      </c>
      <c r="E1505" s="13">
        <v>4</v>
      </c>
      <c r="F1505" s="13">
        <f t="shared" si="23"/>
        <v>144.78399999999999</v>
      </c>
    </row>
    <row r="1506" spans="2:6">
      <c r="B1506" s="13" t="s">
        <v>2084</v>
      </c>
      <c r="C1506" s="13" t="s">
        <v>2089</v>
      </c>
      <c r="D1506" s="13">
        <v>440.18999999999994</v>
      </c>
      <c r="E1506" s="13">
        <v>9</v>
      </c>
      <c r="F1506" s="13">
        <f t="shared" si="23"/>
        <v>48.91</v>
      </c>
    </row>
    <row r="1507" spans="2:6">
      <c r="B1507" s="13" t="s">
        <v>2085</v>
      </c>
      <c r="C1507" s="13" t="s">
        <v>2090</v>
      </c>
      <c r="D1507" s="13">
        <v>64.400000000000006</v>
      </c>
      <c r="E1507" s="13">
        <v>5</v>
      </c>
      <c r="F1507" s="13">
        <f t="shared" si="23"/>
        <v>12.88</v>
      </c>
    </row>
    <row r="1508" spans="2:6">
      <c r="B1508" s="13" t="s">
        <v>991</v>
      </c>
      <c r="C1508" s="13" t="s">
        <v>993</v>
      </c>
      <c r="D1508" s="13">
        <v>244.54999999999998</v>
      </c>
      <c r="E1508" s="13">
        <v>5</v>
      </c>
      <c r="F1508" s="13">
        <f t="shared" si="23"/>
        <v>48.91</v>
      </c>
    </row>
    <row r="1509" spans="2:6">
      <c r="B1509" s="13" t="s">
        <v>2086</v>
      </c>
      <c r="C1509" s="13" t="s">
        <v>2091</v>
      </c>
      <c r="D1509" s="13">
        <v>195.76</v>
      </c>
      <c r="E1509" s="13">
        <v>4</v>
      </c>
      <c r="F1509" s="13">
        <f t="shared" si="23"/>
        <v>48.94</v>
      </c>
    </row>
    <row r="1510" spans="2:6">
      <c r="B1510" s="13" t="s">
        <v>792</v>
      </c>
      <c r="C1510" s="13" t="s">
        <v>795</v>
      </c>
      <c r="D1510" s="13">
        <v>11.76</v>
      </c>
      <c r="E1510" s="13">
        <v>2</v>
      </c>
      <c r="F1510" s="13">
        <f t="shared" si="23"/>
        <v>5.88</v>
      </c>
    </row>
    <row r="1511" spans="2:6">
      <c r="B1511" s="13" t="s">
        <v>2087</v>
      </c>
      <c r="C1511" s="13" t="s">
        <v>2092</v>
      </c>
      <c r="D1511" s="13">
        <v>166.45</v>
      </c>
      <c r="E1511" s="13">
        <v>5</v>
      </c>
      <c r="F1511" s="13">
        <f t="shared" si="23"/>
        <v>33.29</v>
      </c>
    </row>
    <row r="1512" spans="2:6">
      <c r="B1512" s="13" t="s">
        <v>2088</v>
      </c>
      <c r="C1512" s="13" t="s">
        <v>2093</v>
      </c>
      <c r="D1512" s="13">
        <v>2.88</v>
      </c>
      <c r="E1512" s="13">
        <v>1</v>
      </c>
      <c r="F1512" s="13">
        <f t="shared" si="23"/>
        <v>2.88</v>
      </c>
    </row>
    <row r="1513" spans="2:6">
      <c r="B1513" s="13" t="s">
        <v>1500</v>
      </c>
      <c r="C1513" s="13" t="s">
        <v>1504</v>
      </c>
      <c r="D1513" s="13">
        <v>11.059999999999999</v>
      </c>
      <c r="E1513" s="13">
        <v>10</v>
      </c>
      <c r="F1513" s="13">
        <f t="shared" si="23"/>
        <v>1.1059999999999999</v>
      </c>
    </row>
    <row r="1514" spans="2:6">
      <c r="B1514" s="13" t="s">
        <v>2094</v>
      </c>
      <c r="C1514" s="13" t="s">
        <v>2096</v>
      </c>
      <c r="D1514" s="13">
        <v>623.46479999999997</v>
      </c>
      <c r="E1514" s="13">
        <v>7</v>
      </c>
      <c r="F1514" s="13">
        <f t="shared" si="23"/>
        <v>89.066400000000002</v>
      </c>
    </row>
    <row r="1515" spans="2:6">
      <c r="B1515" s="13" t="s">
        <v>2095</v>
      </c>
      <c r="C1515" s="13" t="s">
        <v>2097</v>
      </c>
      <c r="D1515" s="13">
        <v>772.68000000000006</v>
      </c>
      <c r="E1515" s="13">
        <v>5</v>
      </c>
      <c r="F1515" s="13">
        <f t="shared" si="23"/>
        <v>154.536</v>
      </c>
    </row>
    <row r="1516" spans="2:6">
      <c r="B1516" s="13" t="s">
        <v>1421</v>
      </c>
      <c r="C1516" s="13" t="s">
        <v>1423</v>
      </c>
      <c r="D1516" s="13">
        <v>15.008000000000003</v>
      </c>
      <c r="E1516" s="13">
        <v>2</v>
      </c>
      <c r="F1516" s="13">
        <f t="shared" si="23"/>
        <v>7.5040000000000013</v>
      </c>
    </row>
    <row r="1517" spans="2:6">
      <c r="B1517" s="13" t="s">
        <v>2098</v>
      </c>
      <c r="C1517" s="13" t="s">
        <v>2099</v>
      </c>
      <c r="D1517" s="13">
        <v>5.7150000000000016</v>
      </c>
      <c r="E1517" s="13">
        <v>5</v>
      </c>
      <c r="F1517" s="13">
        <f t="shared" si="23"/>
        <v>1.1430000000000002</v>
      </c>
    </row>
    <row r="1518" spans="2:6">
      <c r="B1518" s="13" t="s">
        <v>2100</v>
      </c>
      <c r="C1518" s="13" t="s">
        <v>2101</v>
      </c>
      <c r="D1518" s="13">
        <v>5.2480000000000002</v>
      </c>
      <c r="E1518" s="13">
        <v>2</v>
      </c>
      <c r="F1518" s="13">
        <f t="shared" si="23"/>
        <v>2.6240000000000001</v>
      </c>
    </row>
    <row r="1519" spans="2:6">
      <c r="B1519" s="13" t="s">
        <v>145</v>
      </c>
      <c r="C1519" s="13" t="s">
        <v>148</v>
      </c>
      <c r="D1519" s="13">
        <v>74.415999999999997</v>
      </c>
      <c r="E1519" s="13">
        <v>2</v>
      </c>
      <c r="F1519" s="13">
        <f t="shared" si="23"/>
        <v>37.207999999999998</v>
      </c>
    </row>
    <row r="1520" spans="2:6">
      <c r="B1520" s="13" t="s">
        <v>1998</v>
      </c>
      <c r="C1520" s="13" t="s">
        <v>2003</v>
      </c>
      <c r="D1520" s="13">
        <v>6.8480000000000008</v>
      </c>
      <c r="E1520" s="13">
        <v>2</v>
      </c>
      <c r="F1520" s="13">
        <f t="shared" si="23"/>
        <v>3.4240000000000004</v>
      </c>
    </row>
    <row r="1521" spans="2:6">
      <c r="B1521" s="13" t="s">
        <v>167</v>
      </c>
      <c r="C1521" s="13" t="s">
        <v>168</v>
      </c>
      <c r="D1521" s="13">
        <v>7.9959999999999996</v>
      </c>
      <c r="E1521" s="13">
        <v>1</v>
      </c>
      <c r="F1521" s="13">
        <f t="shared" si="23"/>
        <v>7.9959999999999996</v>
      </c>
    </row>
    <row r="1522" spans="2:6">
      <c r="B1522" s="13" t="s">
        <v>997</v>
      </c>
      <c r="C1522" s="13" t="s">
        <v>999</v>
      </c>
      <c r="D1522" s="13">
        <v>895.92</v>
      </c>
      <c r="E1522" s="13">
        <v>5</v>
      </c>
      <c r="F1522" s="13">
        <f t="shared" si="23"/>
        <v>179.184</v>
      </c>
    </row>
    <row r="1523" spans="2:6">
      <c r="B1523" s="13" t="s">
        <v>82</v>
      </c>
      <c r="C1523" s="13" t="s">
        <v>84</v>
      </c>
      <c r="D1523" s="13">
        <v>130.71</v>
      </c>
      <c r="E1523" s="13">
        <v>3</v>
      </c>
      <c r="F1523" s="13">
        <f t="shared" si="23"/>
        <v>43.57</v>
      </c>
    </row>
    <row r="1524" spans="2:6">
      <c r="B1524" s="13" t="s">
        <v>2102</v>
      </c>
      <c r="C1524" s="13" t="s">
        <v>2103</v>
      </c>
      <c r="D1524" s="13">
        <v>11.68</v>
      </c>
      <c r="E1524" s="13">
        <v>2</v>
      </c>
      <c r="F1524" s="13">
        <f t="shared" si="23"/>
        <v>5.84</v>
      </c>
    </row>
    <row r="1525" spans="2:6">
      <c r="B1525" s="13" t="s">
        <v>1014</v>
      </c>
      <c r="C1525" s="13" t="s">
        <v>1018</v>
      </c>
      <c r="D1525" s="13">
        <v>62.31</v>
      </c>
      <c r="E1525" s="13">
        <v>3</v>
      </c>
      <c r="F1525" s="13">
        <f t="shared" si="23"/>
        <v>20.77</v>
      </c>
    </row>
    <row r="1526" spans="2:6">
      <c r="B1526" s="13" t="s">
        <v>657</v>
      </c>
      <c r="C1526" s="13" t="s">
        <v>1575</v>
      </c>
      <c r="D1526" s="13">
        <v>344.70400000000001</v>
      </c>
      <c r="E1526" s="13">
        <v>2</v>
      </c>
      <c r="F1526" s="13">
        <f t="shared" si="23"/>
        <v>172.352</v>
      </c>
    </row>
    <row r="1527" spans="2:6">
      <c r="B1527" s="13" t="s">
        <v>751</v>
      </c>
      <c r="C1527" s="13" t="s">
        <v>754</v>
      </c>
      <c r="D1527" s="13">
        <v>521.96</v>
      </c>
      <c r="E1527" s="13">
        <v>2</v>
      </c>
      <c r="F1527" s="13">
        <f t="shared" si="23"/>
        <v>260.98</v>
      </c>
    </row>
    <row r="1528" spans="2:6">
      <c r="B1528" s="13" t="s">
        <v>2104</v>
      </c>
      <c r="C1528" s="13" t="s">
        <v>597</v>
      </c>
      <c r="D1528" s="13">
        <v>7.58</v>
      </c>
      <c r="E1528" s="13">
        <v>1</v>
      </c>
      <c r="F1528" s="13">
        <f t="shared" si="23"/>
        <v>7.58</v>
      </c>
    </row>
    <row r="1529" spans="2:6">
      <c r="B1529" s="13" t="s">
        <v>2105</v>
      </c>
      <c r="C1529" s="13" t="s">
        <v>2110</v>
      </c>
      <c r="D1529" s="13">
        <v>9.9600000000000009</v>
      </c>
      <c r="E1529" s="13">
        <v>2</v>
      </c>
      <c r="F1529" s="13">
        <f t="shared" si="23"/>
        <v>4.9800000000000004</v>
      </c>
    </row>
    <row r="1530" spans="2:6">
      <c r="B1530" s="13" t="s">
        <v>2106</v>
      </c>
      <c r="C1530" s="13" t="s">
        <v>2111</v>
      </c>
      <c r="D1530" s="13">
        <v>9.2099999999999991</v>
      </c>
      <c r="E1530" s="13">
        <v>3</v>
      </c>
      <c r="F1530" s="13">
        <f t="shared" si="23"/>
        <v>3.07</v>
      </c>
    </row>
    <row r="1531" spans="2:6">
      <c r="B1531" s="13" t="s">
        <v>457</v>
      </c>
      <c r="C1531" s="13" t="s">
        <v>464</v>
      </c>
      <c r="D1531" s="13">
        <v>27.93</v>
      </c>
      <c r="E1531" s="13">
        <v>3</v>
      </c>
      <c r="F1531" s="13">
        <f t="shared" si="23"/>
        <v>9.31</v>
      </c>
    </row>
    <row r="1532" spans="2:6">
      <c r="B1532" s="13" t="s">
        <v>2107</v>
      </c>
      <c r="C1532" s="13" t="s">
        <v>2112</v>
      </c>
      <c r="D1532" s="13">
        <v>7.9</v>
      </c>
      <c r="E1532" s="13">
        <v>2</v>
      </c>
      <c r="F1532" s="13">
        <f t="shared" si="23"/>
        <v>3.95</v>
      </c>
    </row>
    <row r="1533" spans="2:6">
      <c r="B1533" s="13" t="s">
        <v>2108</v>
      </c>
      <c r="C1533" s="13" t="s">
        <v>2113</v>
      </c>
      <c r="D1533" s="13">
        <v>221.16</v>
      </c>
      <c r="E1533" s="13">
        <v>4</v>
      </c>
      <c r="F1533" s="13">
        <f t="shared" si="23"/>
        <v>55.29</v>
      </c>
    </row>
    <row r="1534" spans="2:6">
      <c r="B1534" s="13" t="s">
        <v>2109</v>
      </c>
      <c r="C1534" s="13" t="s">
        <v>2114</v>
      </c>
      <c r="D1534" s="13">
        <v>127.96</v>
      </c>
      <c r="E1534" s="13">
        <v>2</v>
      </c>
      <c r="F1534" s="13">
        <f t="shared" si="23"/>
        <v>63.98</v>
      </c>
    </row>
    <row r="1535" spans="2:6">
      <c r="B1535" s="13" t="s">
        <v>604</v>
      </c>
      <c r="C1535" s="13" t="s">
        <v>606</v>
      </c>
      <c r="D1535" s="13">
        <v>18.690000000000001</v>
      </c>
      <c r="E1535" s="13">
        <v>3</v>
      </c>
      <c r="F1535" s="13">
        <f t="shared" si="23"/>
        <v>6.23</v>
      </c>
    </row>
    <row r="1536" spans="2:6">
      <c r="B1536" s="13" t="s">
        <v>2115</v>
      </c>
      <c r="C1536" s="13" t="s">
        <v>2116</v>
      </c>
      <c r="D1536" s="13">
        <v>209.56799999999998</v>
      </c>
      <c r="E1536" s="13">
        <v>2</v>
      </c>
      <c r="F1536" s="13">
        <f t="shared" si="23"/>
        <v>104.78399999999999</v>
      </c>
    </row>
    <row r="1537" spans="2:6">
      <c r="B1537" s="13" t="s">
        <v>432</v>
      </c>
      <c r="C1537" s="13" t="s">
        <v>438</v>
      </c>
      <c r="D1537" s="13">
        <v>3.8820000000000006</v>
      </c>
      <c r="E1537" s="13">
        <v>2</v>
      </c>
      <c r="F1537" s="13">
        <f t="shared" si="23"/>
        <v>1.9410000000000003</v>
      </c>
    </row>
    <row r="1538" spans="2:6">
      <c r="B1538" s="13" t="s">
        <v>2117</v>
      </c>
      <c r="C1538" s="13" t="s">
        <v>2120</v>
      </c>
      <c r="D1538" s="13">
        <v>115.29600000000001</v>
      </c>
      <c r="E1538" s="13">
        <v>3</v>
      </c>
      <c r="F1538" s="13">
        <f t="shared" si="23"/>
        <v>38.432000000000002</v>
      </c>
    </row>
    <row r="1539" spans="2:6">
      <c r="B1539" s="13" t="s">
        <v>2118</v>
      </c>
      <c r="C1539" s="13" t="s">
        <v>2121</v>
      </c>
      <c r="D1539" s="13">
        <v>1.9080000000000004</v>
      </c>
      <c r="E1539" s="13">
        <v>2</v>
      </c>
      <c r="F1539" s="13">
        <f t="shared" si="23"/>
        <v>0.95400000000000018</v>
      </c>
    </row>
    <row r="1540" spans="2:6">
      <c r="B1540" s="13" t="s">
        <v>2119</v>
      </c>
      <c r="C1540" s="13" t="s">
        <v>2122</v>
      </c>
      <c r="D1540" s="13">
        <v>43.371999999999993</v>
      </c>
      <c r="E1540" s="13">
        <v>7</v>
      </c>
      <c r="F1540" s="13">
        <f t="shared" ref="F1540:F1603" si="24">D1540/E1540</f>
        <v>6.1959999999999988</v>
      </c>
    </row>
    <row r="1541" spans="2:6">
      <c r="B1541" s="13" t="s">
        <v>1081</v>
      </c>
      <c r="C1541" s="13" t="s">
        <v>1082</v>
      </c>
      <c r="D1541" s="13">
        <v>27.76</v>
      </c>
      <c r="E1541" s="13">
        <v>4</v>
      </c>
      <c r="F1541" s="13">
        <f t="shared" si="24"/>
        <v>6.94</v>
      </c>
    </row>
    <row r="1542" spans="2:6">
      <c r="B1542" s="13" t="s">
        <v>2123</v>
      </c>
      <c r="C1542" s="13" t="s">
        <v>2124</v>
      </c>
      <c r="D1542" s="13">
        <v>25.344000000000001</v>
      </c>
      <c r="E1542" s="13">
        <v>4</v>
      </c>
      <c r="F1542" s="13">
        <f t="shared" si="24"/>
        <v>6.3360000000000003</v>
      </c>
    </row>
    <row r="1543" spans="2:6">
      <c r="B1543" s="13" t="s">
        <v>2125</v>
      </c>
      <c r="C1543" s="13" t="s">
        <v>2126</v>
      </c>
      <c r="D1543" s="13">
        <v>6.4640000000000004</v>
      </c>
      <c r="E1543" s="13">
        <v>1</v>
      </c>
      <c r="F1543" s="13">
        <f t="shared" si="24"/>
        <v>6.4640000000000004</v>
      </c>
    </row>
    <row r="1544" spans="2:6">
      <c r="B1544" s="13" t="s">
        <v>561</v>
      </c>
      <c r="C1544" s="13" t="s">
        <v>566</v>
      </c>
      <c r="D1544" s="13">
        <v>11.52</v>
      </c>
      <c r="E1544" s="13">
        <v>5</v>
      </c>
      <c r="F1544" s="13">
        <f t="shared" si="24"/>
        <v>2.3039999999999998</v>
      </c>
    </row>
    <row r="1545" spans="2:6">
      <c r="B1545" s="13" t="s">
        <v>646</v>
      </c>
      <c r="C1545" s="13" t="s">
        <v>649</v>
      </c>
      <c r="D1545" s="13">
        <v>222.38400000000001</v>
      </c>
      <c r="E1545" s="13">
        <v>2</v>
      </c>
      <c r="F1545" s="13">
        <f t="shared" si="24"/>
        <v>111.19200000000001</v>
      </c>
    </row>
    <row r="1546" spans="2:6">
      <c r="B1546" s="13" t="s">
        <v>2102</v>
      </c>
      <c r="C1546" s="13" t="s">
        <v>2103</v>
      </c>
      <c r="D1546" s="13">
        <v>23.36</v>
      </c>
      <c r="E1546" s="13">
        <v>4</v>
      </c>
      <c r="F1546" s="13">
        <f t="shared" si="24"/>
        <v>5.84</v>
      </c>
    </row>
    <row r="1547" spans="2:6">
      <c r="B1547" s="13" t="s">
        <v>2127</v>
      </c>
      <c r="C1547" s="13" t="s">
        <v>2128</v>
      </c>
      <c r="D1547" s="13">
        <v>100.94</v>
      </c>
      <c r="E1547" s="13">
        <v>7</v>
      </c>
      <c r="F1547" s="13">
        <f t="shared" si="24"/>
        <v>14.42</v>
      </c>
    </row>
    <row r="1548" spans="2:6">
      <c r="B1548" s="13" t="s">
        <v>2129</v>
      </c>
      <c r="C1548" s="13" t="s">
        <v>2130</v>
      </c>
      <c r="D1548" s="13">
        <v>279.89999999999998</v>
      </c>
      <c r="E1548" s="13">
        <v>5</v>
      </c>
      <c r="F1548" s="13">
        <f t="shared" si="24"/>
        <v>55.98</v>
      </c>
    </row>
    <row r="1549" spans="2:6">
      <c r="B1549" s="13" t="s">
        <v>1025</v>
      </c>
      <c r="C1549" s="13" t="s">
        <v>1046</v>
      </c>
      <c r="D1549" s="13">
        <v>39.593999999999994</v>
      </c>
      <c r="E1549" s="13">
        <v>1</v>
      </c>
      <c r="F1549" s="13">
        <f t="shared" si="24"/>
        <v>39.593999999999994</v>
      </c>
    </row>
    <row r="1550" spans="2:6">
      <c r="B1550" s="13" t="s">
        <v>2131</v>
      </c>
      <c r="C1550" s="13" t="s">
        <v>2132</v>
      </c>
      <c r="D1550" s="13">
        <v>91.00800000000001</v>
      </c>
      <c r="E1550" s="13">
        <v>9</v>
      </c>
      <c r="F1550" s="13">
        <f t="shared" si="24"/>
        <v>10.112000000000002</v>
      </c>
    </row>
    <row r="1551" spans="2:6">
      <c r="B1551" s="13" t="s">
        <v>2133</v>
      </c>
      <c r="C1551" s="13" t="s">
        <v>2134</v>
      </c>
      <c r="D1551" s="13">
        <v>10.36</v>
      </c>
      <c r="E1551" s="13">
        <v>2</v>
      </c>
      <c r="F1551" s="13">
        <f t="shared" si="24"/>
        <v>5.18</v>
      </c>
    </row>
    <row r="1552" spans="2:6">
      <c r="B1552" s="13" t="s">
        <v>137</v>
      </c>
      <c r="C1552" s="13" t="s">
        <v>141</v>
      </c>
      <c r="D1552" s="13">
        <v>14.016</v>
      </c>
      <c r="E1552" s="13">
        <v>4</v>
      </c>
      <c r="F1552" s="13">
        <f t="shared" si="24"/>
        <v>3.504</v>
      </c>
    </row>
    <row r="1553" spans="2:6">
      <c r="B1553" s="13" t="s">
        <v>1932</v>
      </c>
      <c r="C1553" s="13" t="s">
        <v>1933</v>
      </c>
      <c r="D1553" s="13">
        <v>39.92</v>
      </c>
      <c r="E1553" s="13">
        <v>5</v>
      </c>
      <c r="F1553" s="13">
        <f t="shared" si="24"/>
        <v>7.984</v>
      </c>
    </row>
    <row r="1554" spans="2:6">
      <c r="B1554" s="13" t="s">
        <v>2135</v>
      </c>
      <c r="C1554" s="13" t="s">
        <v>2136</v>
      </c>
      <c r="D1554" s="13">
        <v>61.96</v>
      </c>
      <c r="E1554" s="13">
        <v>2</v>
      </c>
      <c r="F1554" s="13">
        <f t="shared" si="24"/>
        <v>30.98</v>
      </c>
    </row>
    <row r="1555" spans="2:6">
      <c r="B1555" s="13" t="s">
        <v>604</v>
      </c>
      <c r="C1555" s="13" t="s">
        <v>606</v>
      </c>
      <c r="D1555" s="13">
        <v>19.936000000000003</v>
      </c>
      <c r="E1555" s="13">
        <v>4</v>
      </c>
      <c r="F1555" s="13">
        <f t="shared" si="24"/>
        <v>4.9840000000000009</v>
      </c>
    </row>
    <row r="1556" spans="2:6">
      <c r="B1556" s="13" t="s">
        <v>1736</v>
      </c>
      <c r="C1556" s="13" t="s">
        <v>1742</v>
      </c>
      <c r="D1556" s="13">
        <v>3.7980000000000005</v>
      </c>
      <c r="E1556" s="13">
        <v>2</v>
      </c>
      <c r="F1556" s="13">
        <f t="shared" si="24"/>
        <v>1.8990000000000002</v>
      </c>
    </row>
    <row r="1557" spans="2:6">
      <c r="B1557" s="13" t="s">
        <v>648</v>
      </c>
      <c r="C1557" s="13" t="s">
        <v>651</v>
      </c>
      <c r="D1557" s="13">
        <v>27.744000000000003</v>
      </c>
      <c r="E1557" s="13">
        <v>6</v>
      </c>
      <c r="F1557" s="13">
        <f t="shared" si="24"/>
        <v>4.6240000000000006</v>
      </c>
    </row>
    <row r="1558" spans="2:6">
      <c r="B1558" s="13" t="s">
        <v>113</v>
      </c>
      <c r="C1558" s="13" t="s">
        <v>120</v>
      </c>
      <c r="D1558" s="13">
        <v>158.37599999999998</v>
      </c>
      <c r="E1558" s="13">
        <v>4</v>
      </c>
      <c r="F1558" s="13">
        <f t="shared" si="24"/>
        <v>39.593999999999994</v>
      </c>
    </row>
    <row r="1559" spans="2:6">
      <c r="B1559" s="13" t="s">
        <v>68</v>
      </c>
      <c r="C1559" s="13" t="s">
        <v>71</v>
      </c>
      <c r="D1559" s="13">
        <v>27.58</v>
      </c>
      <c r="E1559" s="13">
        <v>2</v>
      </c>
      <c r="F1559" s="13">
        <f t="shared" si="24"/>
        <v>13.79</v>
      </c>
    </row>
    <row r="1560" spans="2:6">
      <c r="B1560" s="13" t="s">
        <v>2137</v>
      </c>
      <c r="C1560" s="13" t="s">
        <v>2138</v>
      </c>
      <c r="D1560" s="13">
        <v>243.92</v>
      </c>
      <c r="E1560" s="13">
        <v>5</v>
      </c>
      <c r="F1560" s="13">
        <f t="shared" si="24"/>
        <v>48.783999999999999</v>
      </c>
    </row>
    <row r="1561" spans="2:6">
      <c r="B1561" s="13" t="s">
        <v>2139</v>
      </c>
      <c r="C1561" s="13" t="s">
        <v>2140</v>
      </c>
      <c r="D1561" s="13">
        <v>10.192000000000002</v>
      </c>
      <c r="E1561" s="13">
        <v>7</v>
      </c>
      <c r="F1561" s="13">
        <f t="shared" si="24"/>
        <v>1.4560000000000002</v>
      </c>
    </row>
    <row r="1562" spans="2:6">
      <c r="B1562" s="13" t="s">
        <v>2141</v>
      </c>
      <c r="C1562" s="13" t="s">
        <v>2145</v>
      </c>
      <c r="D1562" s="13">
        <v>239.96999999999997</v>
      </c>
      <c r="E1562" s="13">
        <v>3</v>
      </c>
      <c r="F1562" s="13">
        <f t="shared" si="24"/>
        <v>79.989999999999995</v>
      </c>
    </row>
    <row r="1563" spans="2:6">
      <c r="B1563" s="13" t="s">
        <v>2142</v>
      </c>
      <c r="C1563" s="13" t="s">
        <v>2146</v>
      </c>
      <c r="D1563" s="13">
        <v>2404.7040000000002</v>
      </c>
      <c r="E1563" s="13">
        <v>6</v>
      </c>
      <c r="F1563" s="13">
        <f t="shared" si="24"/>
        <v>400.78400000000005</v>
      </c>
    </row>
    <row r="1564" spans="2:6">
      <c r="B1564" s="13" t="s">
        <v>2020</v>
      </c>
      <c r="C1564" s="13" t="s">
        <v>2024</v>
      </c>
      <c r="D1564" s="13">
        <v>563.024</v>
      </c>
      <c r="E1564" s="13">
        <v>11</v>
      </c>
      <c r="F1564" s="13">
        <f t="shared" si="24"/>
        <v>51.183999999999997</v>
      </c>
    </row>
    <row r="1565" spans="2:6">
      <c r="B1565" s="13" t="s">
        <v>1928</v>
      </c>
      <c r="C1565" s="13" t="s">
        <v>1931</v>
      </c>
      <c r="D1565" s="13">
        <v>344.90999999999997</v>
      </c>
      <c r="E1565" s="13">
        <v>3</v>
      </c>
      <c r="F1565" s="13">
        <f t="shared" si="24"/>
        <v>114.96999999999998</v>
      </c>
    </row>
    <row r="1566" spans="2:6">
      <c r="B1566" s="13" t="s">
        <v>561</v>
      </c>
      <c r="C1566" s="13" t="s">
        <v>566</v>
      </c>
      <c r="D1566" s="13">
        <v>8.64</v>
      </c>
      <c r="E1566" s="13">
        <v>3</v>
      </c>
      <c r="F1566" s="13">
        <f t="shared" si="24"/>
        <v>2.8800000000000003</v>
      </c>
    </row>
    <row r="1567" spans="2:6">
      <c r="B1567" s="13" t="s">
        <v>2143</v>
      </c>
      <c r="C1567" s="13" t="s">
        <v>2147</v>
      </c>
      <c r="D1567" s="13">
        <v>89.987999999999985</v>
      </c>
      <c r="E1567" s="13">
        <v>2</v>
      </c>
      <c r="F1567" s="13">
        <f t="shared" si="24"/>
        <v>44.993999999999993</v>
      </c>
    </row>
    <row r="1568" spans="2:6">
      <c r="B1568" s="13" t="s">
        <v>1791</v>
      </c>
      <c r="C1568" s="13" t="s">
        <v>1794</v>
      </c>
      <c r="D1568" s="13">
        <v>229.54400000000001</v>
      </c>
      <c r="E1568" s="13">
        <v>7</v>
      </c>
      <c r="F1568" s="13">
        <f t="shared" si="24"/>
        <v>32.792000000000002</v>
      </c>
    </row>
    <row r="1569" spans="2:6">
      <c r="B1569" s="13" t="s">
        <v>2144</v>
      </c>
      <c r="C1569" s="13" t="s">
        <v>2148</v>
      </c>
      <c r="D1569" s="13">
        <v>1.8239999999999998</v>
      </c>
      <c r="E1569" s="13">
        <v>2</v>
      </c>
      <c r="F1569" s="13">
        <f t="shared" si="24"/>
        <v>0.91199999999999992</v>
      </c>
    </row>
    <row r="1570" spans="2:6">
      <c r="B1570" s="13" t="s">
        <v>1728</v>
      </c>
      <c r="C1570" s="13" t="s">
        <v>1732</v>
      </c>
      <c r="D1570" s="13">
        <v>18.319999999999997</v>
      </c>
      <c r="E1570" s="13">
        <v>5</v>
      </c>
      <c r="F1570" s="13">
        <f t="shared" si="24"/>
        <v>3.6639999999999993</v>
      </c>
    </row>
    <row r="1571" spans="2:6">
      <c r="B1571" s="13" t="s">
        <v>1621</v>
      </c>
      <c r="C1571" s="13" t="s">
        <v>1623</v>
      </c>
      <c r="D1571" s="13">
        <v>48.816000000000003</v>
      </c>
      <c r="E1571" s="13">
        <v>3</v>
      </c>
      <c r="F1571" s="13">
        <f t="shared" si="24"/>
        <v>16.272000000000002</v>
      </c>
    </row>
    <row r="1572" spans="2:6">
      <c r="B1572" s="13" t="s">
        <v>304</v>
      </c>
      <c r="C1572" s="13" t="s">
        <v>313</v>
      </c>
      <c r="D1572" s="13">
        <v>1.1879999999999997</v>
      </c>
      <c r="E1572" s="13">
        <v>1</v>
      </c>
      <c r="F1572" s="13">
        <f t="shared" si="24"/>
        <v>1.1879999999999997</v>
      </c>
    </row>
    <row r="1573" spans="2:6">
      <c r="B1573" s="13" t="s">
        <v>2149</v>
      </c>
      <c r="C1573" s="13" t="s">
        <v>2153</v>
      </c>
      <c r="D1573" s="13">
        <v>5.32</v>
      </c>
      <c r="E1573" s="13">
        <v>2</v>
      </c>
      <c r="F1573" s="13">
        <f t="shared" si="24"/>
        <v>2.66</v>
      </c>
    </row>
    <row r="1574" spans="2:6">
      <c r="B1574" s="13" t="s">
        <v>2150</v>
      </c>
      <c r="C1574" s="13" t="s">
        <v>2154</v>
      </c>
      <c r="D1574" s="13">
        <v>975.92</v>
      </c>
      <c r="E1574" s="13">
        <v>4</v>
      </c>
      <c r="F1574" s="13">
        <f t="shared" si="24"/>
        <v>243.98</v>
      </c>
    </row>
    <row r="1575" spans="2:6">
      <c r="B1575" s="13" t="s">
        <v>2151</v>
      </c>
      <c r="C1575" s="13" t="s">
        <v>2155</v>
      </c>
      <c r="D1575" s="13">
        <v>2249.91</v>
      </c>
      <c r="E1575" s="13">
        <v>9</v>
      </c>
      <c r="F1575" s="13">
        <f t="shared" si="24"/>
        <v>249.98999999999998</v>
      </c>
    </row>
    <row r="1576" spans="2:6">
      <c r="B1576" s="13" t="s">
        <v>1137</v>
      </c>
      <c r="C1576" s="13" t="s">
        <v>1139</v>
      </c>
      <c r="D1576" s="13">
        <v>59.92</v>
      </c>
      <c r="E1576" s="13">
        <v>4</v>
      </c>
      <c r="F1576" s="13">
        <f t="shared" si="24"/>
        <v>14.98</v>
      </c>
    </row>
    <row r="1577" spans="2:6">
      <c r="B1577" s="13" t="s">
        <v>2152</v>
      </c>
      <c r="C1577" s="13" t="s">
        <v>2156</v>
      </c>
      <c r="D1577" s="13">
        <v>171.20000000000002</v>
      </c>
      <c r="E1577" s="13">
        <v>5</v>
      </c>
      <c r="F1577" s="13">
        <f t="shared" si="24"/>
        <v>34.24</v>
      </c>
    </row>
    <row r="1578" spans="2:6">
      <c r="B1578" s="13" t="s">
        <v>1949</v>
      </c>
      <c r="C1578" s="13" t="s">
        <v>1951</v>
      </c>
      <c r="D1578" s="13">
        <v>3.36</v>
      </c>
      <c r="E1578" s="13">
        <v>2</v>
      </c>
      <c r="F1578" s="13">
        <f t="shared" si="24"/>
        <v>1.68</v>
      </c>
    </row>
    <row r="1579" spans="2:6">
      <c r="B1579" s="13" t="s">
        <v>1755</v>
      </c>
      <c r="C1579" s="13" t="s">
        <v>1758</v>
      </c>
      <c r="D1579" s="13">
        <v>481.32</v>
      </c>
      <c r="E1579" s="13">
        <v>4</v>
      </c>
      <c r="F1579" s="13">
        <f t="shared" si="24"/>
        <v>120.33</v>
      </c>
    </row>
    <row r="1580" spans="2:6">
      <c r="B1580" s="13" t="s">
        <v>1275</v>
      </c>
      <c r="C1580" s="13" t="s">
        <v>1279</v>
      </c>
      <c r="D1580" s="13">
        <v>13.98</v>
      </c>
      <c r="E1580" s="13">
        <v>1</v>
      </c>
      <c r="F1580" s="13">
        <f t="shared" si="24"/>
        <v>13.98</v>
      </c>
    </row>
    <row r="1581" spans="2:6">
      <c r="B1581" s="13" t="s">
        <v>610</v>
      </c>
      <c r="C1581" s="13" t="s">
        <v>611</v>
      </c>
      <c r="D1581" s="13">
        <v>25.92</v>
      </c>
      <c r="E1581" s="13">
        <v>6</v>
      </c>
      <c r="F1581" s="13">
        <f t="shared" si="24"/>
        <v>4.32</v>
      </c>
    </row>
    <row r="1582" spans="2:6">
      <c r="B1582" s="13" t="s">
        <v>2157</v>
      </c>
      <c r="C1582" s="13" t="s">
        <v>2158</v>
      </c>
      <c r="D1582" s="13">
        <v>91.59</v>
      </c>
      <c r="E1582" s="13">
        <v>3</v>
      </c>
      <c r="F1582" s="13">
        <f t="shared" si="24"/>
        <v>30.53</v>
      </c>
    </row>
    <row r="1583" spans="2:6">
      <c r="B1583" s="13" t="s">
        <v>392</v>
      </c>
      <c r="C1583" s="13" t="s">
        <v>396</v>
      </c>
      <c r="D1583" s="13">
        <v>18.335999999999999</v>
      </c>
      <c r="E1583" s="13">
        <v>3</v>
      </c>
      <c r="F1583" s="13">
        <f t="shared" si="24"/>
        <v>6.1119999999999992</v>
      </c>
    </row>
    <row r="1584" spans="2:6">
      <c r="B1584" s="13" t="s">
        <v>2159</v>
      </c>
      <c r="C1584" s="13" t="s">
        <v>2161</v>
      </c>
      <c r="D1584" s="13">
        <v>36.288000000000011</v>
      </c>
      <c r="E1584" s="13">
        <v>7</v>
      </c>
      <c r="F1584" s="13">
        <f t="shared" si="24"/>
        <v>5.1840000000000019</v>
      </c>
    </row>
    <row r="1585" spans="2:6">
      <c r="B1585" s="13" t="s">
        <v>255</v>
      </c>
      <c r="C1585" s="13" t="s">
        <v>258</v>
      </c>
      <c r="D1585" s="13">
        <v>111.98399999999999</v>
      </c>
      <c r="E1585" s="13">
        <v>2</v>
      </c>
      <c r="F1585" s="13">
        <f t="shared" si="24"/>
        <v>55.991999999999997</v>
      </c>
    </row>
    <row r="1586" spans="2:6">
      <c r="B1586" s="13" t="s">
        <v>1591</v>
      </c>
      <c r="C1586" s="13" t="s">
        <v>1592</v>
      </c>
      <c r="D1586" s="13">
        <v>5.9700000000000006</v>
      </c>
      <c r="E1586" s="13">
        <v>5</v>
      </c>
      <c r="F1586" s="13">
        <f t="shared" si="24"/>
        <v>1.1940000000000002</v>
      </c>
    </row>
    <row r="1587" spans="2:6">
      <c r="B1587" s="13" t="s">
        <v>2160</v>
      </c>
      <c r="C1587" s="13" t="s">
        <v>2162</v>
      </c>
      <c r="D1587" s="13">
        <v>2.508</v>
      </c>
      <c r="E1587" s="13">
        <v>2</v>
      </c>
      <c r="F1587" s="13">
        <f t="shared" si="24"/>
        <v>1.254</v>
      </c>
    </row>
    <row r="1588" spans="2:6">
      <c r="B1588" s="13" t="s">
        <v>209</v>
      </c>
      <c r="C1588" s="13" t="s">
        <v>222</v>
      </c>
      <c r="D1588" s="13">
        <v>67.144000000000005</v>
      </c>
      <c r="E1588" s="13">
        <v>7</v>
      </c>
      <c r="F1588" s="13">
        <f t="shared" si="24"/>
        <v>9.5920000000000005</v>
      </c>
    </row>
    <row r="1589" spans="2:6">
      <c r="B1589" s="13" t="s">
        <v>2163</v>
      </c>
      <c r="C1589" s="13" t="s">
        <v>2164</v>
      </c>
      <c r="D1589" s="13">
        <v>254.05799999999999</v>
      </c>
      <c r="E1589" s="13">
        <v>3</v>
      </c>
      <c r="F1589" s="13">
        <f t="shared" si="24"/>
        <v>84.685999999999993</v>
      </c>
    </row>
    <row r="1590" spans="2:6">
      <c r="B1590" s="13" t="s">
        <v>1706</v>
      </c>
      <c r="C1590" s="13" t="s">
        <v>1708</v>
      </c>
      <c r="D1590" s="13">
        <v>2.2959999999999994</v>
      </c>
      <c r="E1590" s="13">
        <v>2</v>
      </c>
      <c r="F1590" s="13">
        <f t="shared" si="24"/>
        <v>1.1479999999999997</v>
      </c>
    </row>
    <row r="1591" spans="2:6">
      <c r="B1591" s="13" t="s">
        <v>2117</v>
      </c>
      <c r="C1591" s="13" t="s">
        <v>2120</v>
      </c>
      <c r="D1591" s="13">
        <v>96.08</v>
      </c>
      <c r="E1591" s="13">
        <v>2</v>
      </c>
      <c r="F1591" s="13">
        <f t="shared" si="24"/>
        <v>48.04</v>
      </c>
    </row>
    <row r="1592" spans="2:6">
      <c r="B1592" s="13" t="s">
        <v>1143</v>
      </c>
      <c r="C1592" s="13" t="s">
        <v>1144</v>
      </c>
      <c r="D1592" s="13">
        <v>3.62</v>
      </c>
      <c r="E1592" s="13">
        <v>2</v>
      </c>
      <c r="F1592" s="13">
        <f t="shared" si="24"/>
        <v>1.81</v>
      </c>
    </row>
    <row r="1593" spans="2:6">
      <c r="B1593" s="13" t="s">
        <v>697</v>
      </c>
      <c r="C1593" s="13" t="s">
        <v>700</v>
      </c>
      <c r="D1593" s="13">
        <v>629.09999999999991</v>
      </c>
      <c r="E1593" s="13">
        <v>6</v>
      </c>
      <c r="F1593" s="13">
        <f t="shared" si="24"/>
        <v>104.84999999999998</v>
      </c>
    </row>
    <row r="1594" spans="2:6">
      <c r="B1594" s="13" t="s">
        <v>2165</v>
      </c>
      <c r="C1594" s="13" t="s">
        <v>2167</v>
      </c>
      <c r="D1594" s="13">
        <v>90.48</v>
      </c>
      <c r="E1594" s="13">
        <v>2</v>
      </c>
      <c r="F1594" s="13">
        <f t="shared" si="24"/>
        <v>45.24</v>
      </c>
    </row>
    <row r="1595" spans="2:6">
      <c r="B1595" s="13" t="s">
        <v>1463</v>
      </c>
      <c r="C1595" s="13" t="s">
        <v>1464</v>
      </c>
      <c r="D1595" s="13">
        <v>14.88</v>
      </c>
      <c r="E1595" s="13">
        <v>2</v>
      </c>
      <c r="F1595" s="13">
        <f t="shared" si="24"/>
        <v>7.44</v>
      </c>
    </row>
    <row r="1596" spans="2:6">
      <c r="B1596" s="13" t="s">
        <v>2166</v>
      </c>
      <c r="C1596" s="13" t="s">
        <v>2168</v>
      </c>
      <c r="D1596" s="13">
        <v>91.275000000000006</v>
      </c>
      <c r="E1596" s="13">
        <v>1</v>
      </c>
      <c r="F1596" s="13">
        <f t="shared" si="24"/>
        <v>91.275000000000006</v>
      </c>
    </row>
    <row r="1597" spans="2:6">
      <c r="B1597" s="13" t="s">
        <v>1006</v>
      </c>
      <c r="C1597" s="13" t="s">
        <v>1009</v>
      </c>
      <c r="D1597" s="13">
        <v>19.440000000000001</v>
      </c>
      <c r="E1597" s="13">
        <v>3</v>
      </c>
      <c r="F1597" s="13">
        <f t="shared" si="24"/>
        <v>6.48</v>
      </c>
    </row>
    <row r="1598" spans="2:6">
      <c r="B1598" s="13" t="s">
        <v>984</v>
      </c>
      <c r="C1598" s="13" t="s">
        <v>987</v>
      </c>
      <c r="D1598" s="13">
        <v>897.15000000000009</v>
      </c>
      <c r="E1598" s="13">
        <v>3</v>
      </c>
      <c r="F1598" s="13">
        <f t="shared" si="24"/>
        <v>299.05</v>
      </c>
    </row>
    <row r="1599" spans="2:6">
      <c r="B1599" s="13" t="s">
        <v>979</v>
      </c>
      <c r="C1599" s="13" t="s">
        <v>980</v>
      </c>
      <c r="D1599" s="13">
        <v>23.1</v>
      </c>
      <c r="E1599" s="13">
        <v>2</v>
      </c>
      <c r="F1599" s="13">
        <f t="shared" si="24"/>
        <v>11.55</v>
      </c>
    </row>
    <row r="1600" spans="2:6">
      <c r="B1600" s="13" t="s">
        <v>1598</v>
      </c>
      <c r="C1600" s="13" t="s">
        <v>1604</v>
      </c>
      <c r="D1600" s="13">
        <v>33.74</v>
      </c>
      <c r="E1600" s="13">
        <v>7</v>
      </c>
      <c r="F1600" s="13">
        <f t="shared" si="24"/>
        <v>4.82</v>
      </c>
    </row>
    <row r="1601" spans="2:6">
      <c r="B1601" s="13" t="s">
        <v>268</v>
      </c>
      <c r="C1601" s="13" t="s">
        <v>274</v>
      </c>
      <c r="D1601" s="13">
        <v>375.34</v>
      </c>
      <c r="E1601" s="13">
        <v>1</v>
      </c>
      <c r="F1601" s="13">
        <f t="shared" si="24"/>
        <v>375.34</v>
      </c>
    </row>
    <row r="1602" spans="2:6">
      <c r="B1602" s="13" t="s">
        <v>2169</v>
      </c>
      <c r="C1602" s="13" t="s">
        <v>2171</v>
      </c>
      <c r="D1602" s="13">
        <v>117.48800000000001</v>
      </c>
      <c r="E1602" s="13">
        <v>7</v>
      </c>
      <c r="F1602" s="13">
        <f t="shared" si="24"/>
        <v>16.784000000000002</v>
      </c>
    </row>
    <row r="1603" spans="2:6">
      <c r="B1603" s="13" t="s">
        <v>2170</v>
      </c>
      <c r="C1603" s="13" t="s">
        <v>2172</v>
      </c>
      <c r="D1603" s="13">
        <v>18.84</v>
      </c>
      <c r="E1603" s="13">
        <v>3</v>
      </c>
      <c r="F1603" s="13">
        <f t="shared" si="24"/>
        <v>6.28</v>
      </c>
    </row>
    <row r="1604" spans="2:6">
      <c r="B1604" s="13" t="s">
        <v>2173</v>
      </c>
      <c r="C1604" s="13" t="s">
        <v>2174</v>
      </c>
      <c r="D1604" s="13">
        <v>69.48</v>
      </c>
      <c r="E1604" s="13">
        <v>1</v>
      </c>
      <c r="F1604" s="13">
        <f t="shared" ref="F1604:F1667" si="25">D1604/E1604</f>
        <v>69.48</v>
      </c>
    </row>
    <row r="1605" spans="2:6">
      <c r="B1605" s="13" t="s">
        <v>2175</v>
      </c>
      <c r="C1605" s="13" t="s">
        <v>2177</v>
      </c>
      <c r="D1605" s="13">
        <v>6.6719999999999988</v>
      </c>
      <c r="E1605" s="13">
        <v>3</v>
      </c>
      <c r="F1605" s="13">
        <f t="shared" si="25"/>
        <v>2.2239999999999998</v>
      </c>
    </row>
    <row r="1606" spans="2:6">
      <c r="B1606" s="13" t="s">
        <v>657</v>
      </c>
      <c r="C1606" s="13" t="s">
        <v>1575</v>
      </c>
      <c r="D1606" s="13">
        <v>689.40800000000002</v>
      </c>
      <c r="E1606" s="13">
        <v>4</v>
      </c>
      <c r="F1606" s="13">
        <f t="shared" si="25"/>
        <v>172.352</v>
      </c>
    </row>
    <row r="1607" spans="2:6">
      <c r="B1607" s="13" t="s">
        <v>2176</v>
      </c>
      <c r="C1607" s="13" t="s">
        <v>2178</v>
      </c>
      <c r="D1607" s="13">
        <v>1889.9899999999998</v>
      </c>
      <c r="E1607" s="13">
        <v>5</v>
      </c>
      <c r="F1607" s="13">
        <f t="shared" si="25"/>
        <v>377.99799999999993</v>
      </c>
    </row>
    <row r="1608" spans="2:6">
      <c r="B1608" s="13" t="s">
        <v>2179</v>
      </c>
      <c r="C1608" s="13" t="s">
        <v>2180</v>
      </c>
      <c r="D1608" s="13">
        <v>48.783999999999999</v>
      </c>
      <c r="E1608" s="13">
        <v>1</v>
      </c>
      <c r="F1608" s="13">
        <f t="shared" si="25"/>
        <v>48.783999999999999</v>
      </c>
    </row>
    <row r="1609" spans="2:6">
      <c r="B1609" s="13" t="s">
        <v>442</v>
      </c>
      <c r="C1609" s="13" t="s">
        <v>443</v>
      </c>
      <c r="D1609" s="13">
        <v>13.092000000000002</v>
      </c>
      <c r="E1609" s="13">
        <v>4</v>
      </c>
      <c r="F1609" s="13">
        <f t="shared" si="25"/>
        <v>3.2730000000000006</v>
      </c>
    </row>
    <row r="1610" spans="2:6">
      <c r="B1610" s="13" t="s">
        <v>2181</v>
      </c>
      <c r="C1610" s="13" t="s">
        <v>2182</v>
      </c>
      <c r="D1610" s="13">
        <v>79.989999999999995</v>
      </c>
      <c r="E1610" s="13">
        <v>1</v>
      </c>
      <c r="F1610" s="13">
        <f t="shared" si="25"/>
        <v>79.989999999999995</v>
      </c>
    </row>
    <row r="1611" spans="2:6">
      <c r="B1611" s="13" t="s">
        <v>1166</v>
      </c>
      <c r="C1611" s="13" t="s">
        <v>1168</v>
      </c>
      <c r="D1611" s="13">
        <v>209.97900000000001</v>
      </c>
      <c r="E1611" s="13">
        <v>7</v>
      </c>
      <c r="F1611" s="13">
        <f t="shared" si="25"/>
        <v>29.997000000000003</v>
      </c>
    </row>
    <row r="1612" spans="2:6">
      <c r="B1612" s="13" t="s">
        <v>2075</v>
      </c>
      <c r="C1612" s="13" t="s">
        <v>2077</v>
      </c>
      <c r="D1612" s="13">
        <v>33.930000000000007</v>
      </c>
      <c r="E1612" s="13">
        <v>3</v>
      </c>
      <c r="F1612" s="13">
        <f t="shared" si="25"/>
        <v>11.310000000000002</v>
      </c>
    </row>
    <row r="1613" spans="2:6">
      <c r="B1613" s="13" t="s">
        <v>2183</v>
      </c>
      <c r="C1613" s="13" t="s">
        <v>2185</v>
      </c>
      <c r="D1613" s="13">
        <v>222.32000000000005</v>
      </c>
      <c r="E1613" s="13">
        <v>7</v>
      </c>
      <c r="F1613" s="13">
        <f t="shared" si="25"/>
        <v>31.760000000000009</v>
      </c>
    </row>
    <row r="1614" spans="2:6">
      <c r="B1614" s="13" t="s">
        <v>2184</v>
      </c>
      <c r="C1614" s="13" t="s">
        <v>2186</v>
      </c>
      <c r="D1614" s="13">
        <v>210.56400000000002</v>
      </c>
      <c r="E1614" s="13">
        <v>6</v>
      </c>
      <c r="F1614" s="13">
        <f t="shared" si="25"/>
        <v>35.094000000000001</v>
      </c>
    </row>
    <row r="1615" spans="2:6">
      <c r="B1615" s="13" t="s">
        <v>1567</v>
      </c>
      <c r="C1615" s="13" t="s">
        <v>1570</v>
      </c>
      <c r="D1615" s="13">
        <v>347.58</v>
      </c>
      <c r="E1615" s="13">
        <v>3</v>
      </c>
      <c r="F1615" s="13">
        <f t="shared" si="25"/>
        <v>115.86</v>
      </c>
    </row>
    <row r="1616" spans="2:6">
      <c r="B1616" s="13" t="s">
        <v>2187</v>
      </c>
      <c r="C1616" s="13" t="s">
        <v>2190</v>
      </c>
      <c r="D1616" s="13">
        <v>33.479999999999997</v>
      </c>
      <c r="E1616" s="13">
        <v>2</v>
      </c>
      <c r="F1616" s="13">
        <f t="shared" si="25"/>
        <v>16.739999999999998</v>
      </c>
    </row>
    <row r="1617" spans="2:6">
      <c r="B1617" s="13" t="s">
        <v>394</v>
      </c>
      <c r="C1617" s="13" t="s">
        <v>398</v>
      </c>
      <c r="D1617" s="13">
        <v>461.97</v>
      </c>
      <c r="E1617" s="13">
        <v>3</v>
      </c>
      <c r="F1617" s="13">
        <f t="shared" si="25"/>
        <v>153.99</v>
      </c>
    </row>
    <row r="1618" spans="2:6">
      <c r="B1618" s="13" t="s">
        <v>2188</v>
      </c>
      <c r="C1618" s="13" t="s">
        <v>2191</v>
      </c>
      <c r="D1618" s="13">
        <v>137.62</v>
      </c>
      <c r="E1618" s="13">
        <v>2</v>
      </c>
      <c r="F1618" s="13">
        <f t="shared" si="25"/>
        <v>68.81</v>
      </c>
    </row>
    <row r="1619" spans="2:6">
      <c r="B1619" s="13" t="s">
        <v>2189</v>
      </c>
      <c r="C1619" s="13" t="s">
        <v>2192</v>
      </c>
      <c r="D1619" s="13">
        <v>302.67</v>
      </c>
      <c r="E1619" s="13">
        <v>3</v>
      </c>
      <c r="F1619" s="13">
        <f t="shared" si="25"/>
        <v>100.89</v>
      </c>
    </row>
    <row r="1620" spans="2:6">
      <c r="B1620" s="13" t="s">
        <v>1531</v>
      </c>
      <c r="C1620" s="13" t="s">
        <v>1533</v>
      </c>
      <c r="D1620" s="13">
        <v>8.34</v>
      </c>
      <c r="E1620" s="13">
        <v>3</v>
      </c>
      <c r="F1620" s="13">
        <f t="shared" si="25"/>
        <v>2.78</v>
      </c>
    </row>
    <row r="1621" spans="2:6">
      <c r="B1621" s="13" t="s">
        <v>2193</v>
      </c>
      <c r="C1621" s="13" t="s">
        <v>2194</v>
      </c>
      <c r="D1621" s="13">
        <v>8.57</v>
      </c>
      <c r="E1621" s="13">
        <v>1</v>
      </c>
      <c r="F1621" s="13">
        <f t="shared" si="25"/>
        <v>8.57</v>
      </c>
    </row>
    <row r="1622" spans="2:6">
      <c r="B1622" s="13" t="s">
        <v>931</v>
      </c>
      <c r="C1622" s="13" t="s">
        <v>934</v>
      </c>
      <c r="D1622" s="13">
        <v>119.61600000000001</v>
      </c>
      <c r="E1622" s="13">
        <v>8</v>
      </c>
      <c r="F1622" s="13">
        <f t="shared" si="25"/>
        <v>14.952000000000002</v>
      </c>
    </row>
    <row r="1623" spans="2:6">
      <c r="B1623" s="13" t="s">
        <v>407</v>
      </c>
      <c r="C1623" s="13" t="s">
        <v>413</v>
      </c>
      <c r="D1623" s="13">
        <v>239.96000000000004</v>
      </c>
      <c r="E1623" s="13">
        <v>5</v>
      </c>
      <c r="F1623" s="13">
        <f t="shared" si="25"/>
        <v>47.992000000000004</v>
      </c>
    </row>
    <row r="1624" spans="2:6">
      <c r="B1624" s="13" t="s">
        <v>1013</v>
      </c>
      <c r="C1624" s="13" t="s">
        <v>1017</v>
      </c>
      <c r="D1624" s="13">
        <v>195.64</v>
      </c>
      <c r="E1624" s="13">
        <v>4</v>
      </c>
      <c r="F1624" s="13">
        <f t="shared" si="25"/>
        <v>48.91</v>
      </c>
    </row>
    <row r="1625" spans="2:6">
      <c r="B1625" s="13" t="s">
        <v>317</v>
      </c>
      <c r="C1625" s="13" t="s">
        <v>322</v>
      </c>
      <c r="D1625" s="13">
        <v>391.98</v>
      </c>
      <c r="E1625" s="13">
        <v>2</v>
      </c>
      <c r="F1625" s="13">
        <f t="shared" si="25"/>
        <v>195.99</v>
      </c>
    </row>
    <row r="1626" spans="2:6">
      <c r="B1626" s="13" t="s">
        <v>2195</v>
      </c>
      <c r="C1626" s="13" t="s">
        <v>2196</v>
      </c>
      <c r="D1626" s="13">
        <v>383.97600000000006</v>
      </c>
      <c r="E1626" s="13">
        <v>3</v>
      </c>
      <c r="F1626" s="13">
        <f t="shared" si="25"/>
        <v>127.99200000000002</v>
      </c>
    </row>
    <row r="1627" spans="2:6">
      <c r="B1627" s="13" t="s">
        <v>1023</v>
      </c>
      <c r="C1627" s="13" t="s">
        <v>1044</v>
      </c>
      <c r="D1627" s="13">
        <v>1781.6819999999998</v>
      </c>
      <c r="E1627" s="13">
        <v>7</v>
      </c>
      <c r="F1627" s="13">
        <f t="shared" si="25"/>
        <v>254.52599999999998</v>
      </c>
    </row>
    <row r="1628" spans="2:6">
      <c r="B1628" s="13" t="s">
        <v>844</v>
      </c>
      <c r="C1628" s="13" t="s">
        <v>846</v>
      </c>
      <c r="D1628" s="13">
        <v>21.400000000000002</v>
      </c>
      <c r="E1628" s="13">
        <v>5</v>
      </c>
      <c r="F1628" s="13">
        <f t="shared" si="25"/>
        <v>4.28</v>
      </c>
    </row>
    <row r="1629" spans="2:6">
      <c r="B1629" s="13" t="s">
        <v>701</v>
      </c>
      <c r="C1629" s="13" t="s">
        <v>702</v>
      </c>
      <c r="D1629" s="13">
        <v>13.904</v>
      </c>
      <c r="E1629" s="13">
        <v>2</v>
      </c>
      <c r="F1629" s="13">
        <f t="shared" si="25"/>
        <v>6.952</v>
      </c>
    </row>
    <row r="1630" spans="2:6">
      <c r="B1630" s="13" t="s">
        <v>328</v>
      </c>
      <c r="C1630" s="13" t="s">
        <v>335</v>
      </c>
      <c r="D1630" s="13">
        <v>18.240000000000002</v>
      </c>
      <c r="E1630" s="13">
        <v>3</v>
      </c>
      <c r="F1630" s="13">
        <f t="shared" si="25"/>
        <v>6.080000000000001</v>
      </c>
    </row>
    <row r="1631" spans="2:6">
      <c r="B1631" s="13" t="s">
        <v>2197</v>
      </c>
      <c r="C1631" s="13" t="s">
        <v>2198</v>
      </c>
      <c r="D1631" s="13">
        <v>359.49899999999997</v>
      </c>
      <c r="E1631" s="13">
        <v>3</v>
      </c>
      <c r="F1631" s="13">
        <f t="shared" si="25"/>
        <v>119.83299999999998</v>
      </c>
    </row>
    <row r="1632" spans="2:6">
      <c r="B1632" s="13" t="s">
        <v>613</v>
      </c>
      <c r="C1632" s="13" t="s">
        <v>615</v>
      </c>
      <c r="D1632" s="13">
        <v>10.48</v>
      </c>
      <c r="E1632" s="13">
        <v>1</v>
      </c>
      <c r="F1632" s="13">
        <f t="shared" si="25"/>
        <v>10.48</v>
      </c>
    </row>
    <row r="1633" spans="2:6">
      <c r="B1633" s="13" t="s">
        <v>1311</v>
      </c>
      <c r="C1633" s="13" t="s">
        <v>1317</v>
      </c>
      <c r="D1633" s="13">
        <v>7.9680000000000009</v>
      </c>
      <c r="E1633" s="13">
        <v>2</v>
      </c>
      <c r="F1633" s="13">
        <f t="shared" si="25"/>
        <v>3.9840000000000004</v>
      </c>
    </row>
    <row r="1634" spans="2:6">
      <c r="B1634" s="13" t="s">
        <v>402</v>
      </c>
      <c r="C1634" s="13" t="s">
        <v>404</v>
      </c>
      <c r="D1634" s="13">
        <v>8.7840000000000007</v>
      </c>
      <c r="E1634" s="13">
        <v>1</v>
      </c>
      <c r="F1634" s="13">
        <f t="shared" si="25"/>
        <v>8.7840000000000007</v>
      </c>
    </row>
    <row r="1635" spans="2:6">
      <c r="B1635" s="13" t="s">
        <v>2199</v>
      </c>
      <c r="C1635" s="13" t="s">
        <v>2200</v>
      </c>
      <c r="D1635" s="13">
        <v>3.024</v>
      </c>
      <c r="E1635" s="13">
        <v>3</v>
      </c>
      <c r="F1635" s="13">
        <f t="shared" si="25"/>
        <v>1.008</v>
      </c>
    </row>
    <row r="1636" spans="2:6">
      <c r="B1636" s="13" t="s">
        <v>1124</v>
      </c>
      <c r="C1636" s="13" t="s">
        <v>1126</v>
      </c>
      <c r="D1636" s="13">
        <v>42.047999999999995</v>
      </c>
      <c r="E1636" s="13">
        <v>9</v>
      </c>
      <c r="F1636" s="13">
        <f t="shared" si="25"/>
        <v>4.6719999999999997</v>
      </c>
    </row>
    <row r="1637" spans="2:6">
      <c r="B1637" s="13" t="s">
        <v>539</v>
      </c>
      <c r="C1637" s="13" t="s">
        <v>550</v>
      </c>
      <c r="D1637" s="13">
        <v>67.92</v>
      </c>
      <c r="E1637" s="13">
        <v>5</v>
      </c>
      <c r="F1637" s="13">
        <f t="shared" si="25"/>
        <v>13.584</v>
      </c>
    </row>
    <row r="1638" spans="2:6">
      <c r="B1638" s="13" t="s">
        <v>2201</v>
      </c>
      <c r="C1638" s="13" t="s">
        <v>2203</v>
      </c>
      <c r="D1638" s="13">
        <v>3.3040000000000003</v>
      </c>
      <c r="E1638" s="13">
        <v>1</v>
      </c>
      <c r="F1638" s="13">
        <f t="shared" si="25"/>
        <v>3.3040000000000003</v>
      </c>
    </row>
    <row r="1639" spans="2:6">
      <c r="B1639" s="13" t="s">
        <v>2202</v>
      </c>
      <c r="C1639" s="13" t="s">
        <v>2204</v>
      </c>
      <c r="D1639" s="13">
        <v>35.479999999999997</v>
      </c>
      <c r="E1639" s="13">
        <v>1</v>
      </c>
      <c r="F1639" s="13">
        <f t="shared" si="25"/>
        <v>35.479999999999997</v>
      </c>
    </row>
    <row r="1640" spans="2:6">
      <c r="B1640" s="13" t="s">
        <v>2131</v>
      </c>
      <c r="C1640" s="13" t="s">
        <v>2132</v>
      </c>
      <c r="D1640" s="13">
        <v>101.12</v>
      </c>
      <c r="E1640" s="13">
        <v>8</v>
      </c>
      <c r="F1640" s="13">
        <f t="shared" si="25"/>
        <v>12.64</v>
      </c>
    </row>
    <row r="1641" spans="2:6">
      <c r="B1641" s="13" t="s">
        <v>1880</v>
      </c>
      <c r="C1641" s="13" t="s">
        <v>1881</v>
      </c>
      <c r="D1641" s="13">
        <v>58.730000000000004</v>
      </c>
      <c r="E1641" s="13">
        <v>7</v>
      </c>
      <c r="F1641" s="13">
        <f t="shared" si="25"/>
        <v>8.39</v>
      </c>
    </row>
    <row r="1642" spans="2:6">
      <c r="B1642" s="13" t="s">
        <v>626</v>
      </c>
      <c r="C1642" s="13" t="s">
        <v>628</v>
      </c>
      <c r="D1642" s="13">
        <v>93.344000000000008</v>
      </c>
      <c r="E1642" s="13">
        <v>4</v>
      </c>
      <c r="F1642" s="13">
        <f t="shared" si="25"/>
        <v>23.336000000000002</v>
      </c>
    </row>
    <row r="1643" spans="2:6">
      <c r="B1643" s="13" t="s">
        <v>2205</v>
      </c>
      <c r="C1643" s="13" t="s">
        <v>978</v>
      </c>
      <c r="D1643" s="13">
        <v>23.34</v>
      </c>
      <c r="E1643" s="13">
        <v>3</v>
      </c>
      <c r="F1643" s="13">
        <f t="shared" si="25"/>
        <v>7.78</v>
      </c>
    </row>
    <row r="1644" spans="2:6">
      <c r="B1644" s="13" t="s">
        <v>2206</v>
      </c>
      <c r="C1644" s="13" t="s">
        <v>2207</v>
      </c>
      <c r="D1644" s="13">
        <v>51.550000000000004</v>
      </c>
      <c r="E1644" s="13">
        <v>5</v>
      </c>
      <c r="F1644" s="13">
        <f t="shared" si="25"/>
        <v>10.31</v>
      </c>
    </row>
    <row r="1645" spans="2:6">
      <c r="B1645" s="13" t="s">
        <v>289</v>
      </c>
      <c r="C1645" s="13" t="s">
        <v>292</v>
      </c>
      <c r="D1645" s="13">
        <v>86.26</v>
      </c>
      <c r="E1645" s="13">
        <v>2</v>
      </c>
      <c r="F1645" s="13">
        <f t="shared" si="25"/>
        <v>43.13</v>
      </c>
    </row>
    <row r="1646" spans="2:6">
      <c r="B1646" s="13" t="s">
        <v>1770</v>
      </c>
      <c r="C1646" s="13" t="s">
        <v>1772</v>
      </c>
      <c r="D1646" s="13">
        <v>139.04</v>
      </c>
      <c r="E1646" s="13">
        <v>4</v>
      </c>
      <c r="F1646" s="13">
        <f t="shared" si="25"/>
        <v>34.76</v>
      </c>
    </row>
    <row r="1647" spans="2:6">
      <c r="B1647" s="13" t="s">
        <v>2208</v>
      </c>
      <c r="C1647" s="13" t="s">
        <v>2210</v>
      </c>
      <c r="D1647" s="13">
        <v>46.8</v>
      </c>
      <c r="E1647" s="13">
        <v>4</v>
      </c>
      <c r="F1647" s="13">
        <f t="shared" si="25"/>
        <v>11.7</v>
      </c>
    </row>
    <row r="1648" spans="2:6">
      <c r="B1648" s="13" t="s">
        <v>2209</v>
      </c>
      <c r="C1648" s="13" t="s">
        <v>2211</v>
      </c>
      <c r="D1648" s="13">
        <v>8.5440000000000005</v>
      </c>
      <c r="E1648" s="13">
        <v>4</v>
      </c>
      <c r="F1648" s="13">
        <f t="shared" si="25"/>
        <v>2.1360000000000001</v>
      </c>
    </row>
    <row r="1649" spans="2:6">
      <c r="B1649" s="13" t="s">
        <v>1178</v>
      </c>
      <c r="C1649" s="13" t="s">
        <v>1186</v>
      </c>
      <c r="D1649" s="13">
        <v>842.37600000000009</v>
      </c>
      <c r="E1649" s="13">
        <v>3</v>
      </c>
      <c r="F1649" s="13">
        <f t="shared" si="25"/>
        <v>280.79200000000003</v>
      </c>
    </row>
    <row r="1650" spans="2:6">
      <c r="B1650" s="13" t="s">
        <v>1472</v>
      </c>
      <c r="C1650" s="13" t="s">
        <v>1475</v>
      </c>
      <c r="D1650" s="13">
        <v>67.78</v>
      </c>
      <c r="E1650" s="13">
        <v>2</v>
      </c>
      <c r="F1650" s="13">
        <f t="shared" si="25"/>
        <v>33.89</v>
      </c>
    </row>
    <row r="1651" spans="2:6">
      <c r="B1651" s="13" t="s">
        <v>637</v>
      </c>
      <c r="C1651" s="13" t="s">
        <v>641</v>
      </c>
      <c r="D1651" s="13">
        <v>39.900000000000006</v>
      </c>
      <c r="E1651" s="13">
        <v>5</v>
      </c>
      <c r="F1651" s="13">
        <f t="shared" si="25"/>
        <v>7.9800000000000013</v>
      </c>
    </row>
    <row r="1652" spans="2:6">
      <c r="B1652" s="13" t="s">
        <v>2212</v>
      </c>
      <c r="C1652" s="13" t="s">
        <v>2215</v>
      </c>
      <c r="D1652" s="13">
        <v>1001.5840000000001</v>
      </c>
      <c r="E1652" s="13">
        <v>2</v>
      </c>
      <c r="F1652" s="13">
        <f t="shared" si="25"/>
        <v>500.79200000000003</v>
      </c>
    </row>
    <row r="1653" spans="2:6">
      <c r="B1653" s="13" t="s">
        <v>2213</v>
      </c>
      <c r="C1653" s="13" t="s">
        <v>2216</v>
      </c>
      <c r="D1653" s="13">
        <v>569.05799999999999</v>
      </c>
      <c r="E1653" s="13">
        <v>3</v>
      </c>
      <c r="F1653" s="13">
        <f t="shared" si="25"/>
        <v>189.68600000000001</v>
      </c>
    </row>
    <row r="1654" spans="2:6">
      <c r="B1654" s="13" t="s">
        <v>2214</v>
      </c>
      <c r="C1654" s="13" t="s">
        <v>2217</v>
      </c>
      <c r="D1654" s="13">
        <v>14.224000000000002</v>
      </c>
      <c r="E1654" s="13">
        <v>2</v>
      </c>
      <c r="F1654" s="13">
        <f t="shared" si="25"/>
        <v>7.112000000000001</v>
      </c>
    </row>
    <row r="1655" spans="2:6">
      <c r="B1655" s="13" t="s">
        <v>1624</v>
      </c>
      <c r="C1655" s="13" t="s">
        <v>1628</v>
      </c>
      <c r="D1655" s="13">
        <v>2.0719999999999996</v>
      </c>
      <c r="E1655" s="13">
        <v>2</v>
      </c>
      <c r="F1655" s="13">
        <f t="shared" si="25"/>
        <v>1.0359999999999998</v>
      </c>
    </row>
    <row r="1656" spans="2:6">
      <c r="B1656" s="13" t="s">
        <v>2218</v>
      </c>
      <c r="C1656" s="13" t="s">
        <v>2219</v>
      </c>
      <c r="D1656" s="13">
        <v>328.39919999999995</v>
      </c>
      <c r="E1656" s="13">
        <v>3</v>
      </c>
      <c r="F1656" s="13">
        <f t="shared" si="25"/>
        <v>109.46639999999998</v>
      </c>
    </row>
    <row r="1657" spans="2:6">
      <c r="B1657" s="13" t="s">
        <v>2220</v>
      </c>
      <c r="C1657" s="13" t="s">
        <v>2223</v>
      </c>
      <c r="D1657" s="13">
        <v>45.36</v>
      </c>
      <c r="E1657" s="13">
        <v>7</v>
      </c>
      <c r="F1657" s="13">
        <f t="shared" si="25"/>
        <v>6.4799999999999995</v>
      </c>
    </row>
    <row r="1658" spans="2:6">
      <c r="B1658" s="13" t="s">
        <v>2221</v>
      </c>
      <c r="C1658" s="13" t="s">
        <v>2224</v>
      </c>
      <c r="D1658" s="13">
        <v>45.78</v>
      </c>
      <c r="E1658" s="13">
        <v>3</v>
      </c>
      <c r="F1658" s="13">
        <f t="shared" si="25"/>
        <v>15.26</v>
      </c>
    </row>
    <row r="1659" spans="2:6">
      <c r="B1659" s="13" t="s">
        <v>2222</v>
      </c>
      <c r="C1659" s="13" t="s">
        <v>2225</v>
      </c>
      <c r="D1659" s="13">
        <v>40.29</v>
      </c>
      <c r="E1659" s="13">
        <v>3</v>
      </c>
      <c r="F1659" s="13">
        <f t="shared" si="25"/>
        <v>13.43</v>
      </c>
    </row>
    <row r="1660" spans="2:6">
      <c r="B1660" s="13" t="s">
        <v>1500</v>
      </c>
      <c r="C1660" s="13" t="s">
        <v>1504</v>
      </c>
      <c r="D1660" s="13">
        <v>38.71</v>
      </c>
      <c r="E1660" s="13">
        <v>7</v>
      </c>
      <c r="F1660" s="13">
        <f t="shared" si="25"/>
        <v>5.53</v>
      </c>
    </row>
    <row r="1661" spans="2:6">
      <c r="B1661" s="13" t="s">
        <v>2226</v>
      </c>
      <c r="C1661" s="13" t="s">
        <v>2229</v>
      </c>
      <c r="D1661" s="13">
        <v>167.95200000000003</v>
      </c>
      <c r="E1661" s="13">
        <v>6</v>
      </c>
      <c r="F1661" s="13">
        <f t="shared" si="25"/>
        <v>27.992000000000004</v>
      </c>
    </row>
    <row r="1662" spans="2:6">
      <c r="B1662" s="13" t="s">
        <v>2227</v>
      </c>
      <c r="C1662" s="13" t="s">
        <v>2230</v>
      </c>
      <c r="D1662" s="13">
        <v>45.04</v>
      </c>
      <c r="E1662" s="13">
        <v>2</v>
      </c>
      <c r="F1662" s="13">
        <f t="shared" si="25"/>
        <v>22.52</v>
      </c>
    </row>
    <row r="1663" spans="2:6">
      <c r="B1663" s="13" t="s">
        <v>2228</v>
      </c>
      <c r="C1663" s="13" t="s">
        <v>2231</v>
      </c>
      <c r="D1663" s="13">
        <v>23.16</v>
      </c>
      <c r="E1663" s="13">
        <v>2</v>
      </c>
      <c r="F1663" s="13">
        <f t="shared" si="25"/>
        <v>11.58</v>
      </c>
    </row>
    <row r="1664" spans="2:6">
      <c r="B1664" s="13" t="s">
        <v>575</v>
      </c>
      <c r="C1664" s="13" t="s">
        <v>578</v>
      </c>
      <c r="D1664" s="13">
        <v>17.48</v>
      </c>
      <c r="E1664" s="13">
        <v>2</v>
      </c>
      <c r="F1664" s="13">
        <f t="shared" si="25"/>
        <v>8.74</v>
      </c>
    </row>
    <row r="1665" spans="2:6">
      <c r="B1665" s="13" t="s">
        <v>1797</v>
      </c>
      <c r="C1665" s="13" t="s">
        <v>1798</v>
      </c>
      <c r="D1665" s="13">
        <v>79.14</v>
      </c>
      <c r="E1665" s="13">
        <v>3</v>
      </c>
      <c r="F1665" s="13">
        <f t="shared" si="25"/>
        <v>26.38</v>
      </c>
    </row>
    <row r="1666" spans="2:6">
      <c r="B1666" s="13" t="s">
        <v>1202</v>
      </c>
      <c r="C1666" s="13" t="s">
        <v>1206</v>
      </c>
      <c r="D1666" s="13">
        <v>8.4</v>
      </c>
      <c r="E1666" s="13">
        <v>5</v>
      </c>
      <c r="F1666" s="13">
        <f t="shared" si="25"/>
        <v>1.6800000000000002</v>
      </c>
    </row>
    <row r="1667" spans="2:6">
      <c r="B1667" s="13" t="s">
        <v>1480</v>
      </c>
      <c r="C1667" s="13" t="s">
        <v>1486</v>
      </c>
      <c r="D1667" s="13">
        <v>498.26000000000005</v>
      </c>
      <c r="E1667" s="13">
        <v>7</v>
      </c>
      <c r="F1667" s="13">
        <f t="shared" si="25"/>
        <v>71.180000000000007</v>
      </c>
    </row>
    <row r="1668" spans="2:6">
      <c r="B1668" s="13" t="s">
        <v>2232</v>
      </c>
      <c r="C1668" s="13" t="s">
        <v>2234</v>
      </c>
      <c r="D1668" s="13">
        <v>706.86</v>
      </c>
      <c r="E1668" s="13">
        <v>7</v>
      </c>
      <c r="F1668" s="13">
        <f t="shared" ref="F1668:F1731" si="26">D1668/E1668</f>
        <v>100.98</v>
      </c>
    </row>
    <row r="1669" spans="2:6">
      <c r="B1669" s="13" t="s">
        <v>568</v>
      </c>
      <c r="C1669" s="13" t="s">
        <v>571</v>
      </c>
      <c r="D1669" s="13">
        <v>114.94999999999999</v>
      </c>
      <c r="E1669" s="13">
        <v>5</v>
      </c>
      <c r="F1669" s="13">
        <f t="shared" si="26"/>
        <v>22.99</v>
      </c>
    </row>
    <row r="1670" spans="2:6">
      <c r="B1670" s="13" t="s">
        <v>2233</v>
      </c>
      <c r="C1670" s="13" t="s">
        <v>2235</v>
      </c>
      <c r="D1670" s="13">
        <v>43.19</v>
      </c>
      <c r="E1670" s="13">
        <v>7</v>
      </c>
      <c r="F1670" s="13">
        <f t="shared" si="26"/>
        <v>6.17</v>
      </c>
    </row>
    <row r="1671" spans="2:6">
      <c r="B1671" s="13" t="s">
        <v>1005</v>
      </c>
      <c r="C1671" s="13" t="s">
        <v>1008</v>
      </c>
      <c r="D1671" s="13">
        <v>166.44</v>
      </c>
      <c r="E1671" s="13">
        <v>3</v>
      </c>
      <c r="F1671" s="13">
        <f t="shared" si="26"/>
        <v>55.48</v>
      </c>
    </row>
    <row r="1672" spans="2:6">
      <c r="B1672" s="13" t="s">
        <v>1207</v>
      </c>
      <c r="C1672" s="13" t="s">
        <v>1208</v>
      </c>
      <c r="D1672" s="13">
        <v>14.624000000000002</v>
      </c>
      <c r="E1672" s="13">
        <v>2</v>
      </c>
      <c r="F1672" s="13">
        <f t="shared" si="26"/>
        <v>7.3120000000000012</v>
      </c>
    </row>
    <row r="1673" spans="2:6">
      <c r="B1673" s="13" t="s">
        <v>2040</v>
      </c>
      <c r="C1673" s="13" t="s">
        <v>2041</v>
      </c>
      <c r="D1673" s="13">
        <v>697.16</v>
      </c>
      <c r="E1673" s="13">
        <v>5</v>
      </c>
      <c r="F1673" s="13">
        <f t="shared" si="26"/>
        <v>139.43199999999999</v>
      </c>
    </row>
    <row r="1674" spans="2:6">
      <c r="B1674" s="13" t="s">
        <v>2236</v>
      </c>
      <c r="C1674" s="13" t="s">
        <v>2237</v>
      </c>
      <c r="D1674" s="13">
        <v>30.93</v>
      </c>
      <c r="E1674" s="13">
        <v>1</v>
      </c>
      <c r="F1674" s="13">
        <f t="shared" si="26"/>
        <v>30.93</v>
      </c>
    </row>
    <row r="1675" spans="2:6">
      <c r="B1675" s="13" t="s">
        <v>102</v>
      </c>
      <c r="C1675" s="13" t="s">
        <v>106</v>
      </c>
      <c r="D1675" s="13">
        <v>27.496000000000002</v>
      </c>
      <c r="E1675" s="13">
        <v>7</v>
      </c>
      <c r="F1675" s="13">
        <f t="shared" si="26"/>
        <v>3.9280000000000004</v>
      </c>
    </row>
    <row r="1676" spans="2:6">
      <c r="B1676" s="13" t="s">
        <v>2238</v>
      </c>
      <c r="C1676" s="13" t="s">
        <v>2239</v>
      </c>
      <c r="D1676" s="13">
        <v>210.00800000000001</v>
      </c>
      <c r="E1676" s="13">
        <v>1</v>
      </c>
      <c r="F1676" s="13">
        <f t="shared" si="26"/>
        <v>210.00800000000001</v>
      </c>
    </row>
    <row r="1677" spans="2:6">
      <c r="B1677" s="13" t="s">
        <v>1500</v>
      </c>
      <c r="C1677" s="13" t="s">
        <v>1504</v>
      </c>
      <c r="D1677" s="13">
        <v>3.3179999999999996</v>
      </c>
      <c r="E1677" s="13">
        <v>3</v>
      </c>
      <c r="F1677" s="13">
        <f t="shared" si="26"/>
        <v>1.1059999999999999</v>
      </c>
    </row>
    <row r="1678" spans="2:6">
      <c r="B1678" s="13" t="s">
        <v>2240</v>
      </c>
      <c r="C1678" s="13" t="s">
        <v>2241</v>
      </c>
      <c r="D1678" s="13">
        <v>43.5</v>
      </c>
      <c r="E1678" s="13">
        <v>3</v>
      </c>
      <c r="F1678" s="13">
        <f t="shared" si="26"/>
        <v>14.5</v>
      </c>
    </row>
    <row r="1679" spans="2:6">
      <c r="B1679" s="13" t="s">
        <v>1735</v>
      </c>
      <c r="C1679" s="13" t="s">
        <v>1741</v>
      </c>
      <c r="D1679" s="13">
        <v>38.880000000000003</v>
      </c>
      <c r="E1679" s="13">
        <v>6</v>
      </c>
      <c r="F1679" s="13">
        <f t="shared" si="26"/>
        <v>6.48</v>
      </c>
    </row>
    <row r="1680" spans="2:6">
      <c r="B1680" s="13" t="s">
        <v>1424</v>
      </c>
      <c r="C1680" s="13" t="s">
        <v>1425</v>
      </c>
      <c r="D1680" s="13">
        <v>35.200000000000003</v>
      </c>
      <c r="E1680" s="13">
        <v>5</v>
      </c>
      <c r="F1680" s="13">
        <f t="shared" si="26"/>
        <v>7.0400000000000009</v>
      </c>
    </row>
    <row r="1681" spans="2:6">
      <c r="B1681" s="13" t="s">
        <v>2242</v>
      </c>
      <c r="C1681" s="13" t="s">
        <v>2243</v>
      </c>
      <c r="D1681" s="13">
        <v>45.527999999999999</v>
      </c>
      <c r="E1681" s="13">
        <v>3</v>
      </c>
      <c r="F1681" s="13">
        <f t="shared" si="26"/>
        <v>15.176</v>
      </c>
    </row>
    <row r="1682" spans="2:6">
      <c r="B1682" s="13" t="s">
        <v>792</v>
      </c>
      <c r="C1682" s="13" t="s">
        <v>795</v>
      </c>
      <c r="D1682" s="13">
        <v>11.76</v>
      </c>
      <c r="E1682" s="13">
        <v>2</v>
      </c>
      <c r="F1682" s="13">
        <f t="shared" si="26"/>
        <v>5.88</v>
      </c>
    </row>
    <row r="1683" spans="2:6">
      <c r="B1683" s="13" t="s">
        <v>2244</v>
      </c>
      <c r="C1683" s="13" t="s">
        <v>2248</v>
      </c>
      <c r="D1683" s="13">
        <v>167.94</v>
      </c>
      <c r="E1683" s="13">
        <v>3</v>
      </c>
      <c r="F1683" s="13">
        <f t="shared" si="26"/>
        <v>55.98</v>
      </c>
    </row>
    <row r="1684" spans="2:6">
      <c r="B1684" s="13" t="s">
        <v>2245</v>
      </c>
      <c r="C1684" s="13" t="s">
        <v>2249</v>
      </c>
      <c r="D1684" s="13">
        <v>3.89</v>
      </c>
      <c r="E1684" s="13">
        <v>1</v>
      </c>
      <c r="F1684" s="13">
        <f t="shared" si="26"/>
        <v>3.89</v>
      </c>
    </row>
    <row r="1685" spans="2:6">
      <c r="B1685" s="13" t="s">
        <v>2246</v>
      </c>
      <c r="C1685" s="13" t="s">
        <v>2250</v>
      </c>
      <c r="D1685" s="13">
        <v>52.44</v>
      </c>
      <c r="E1685" s="13">
        <v>4</v>
      </c>
      <c r="F1685" s="13">
        <f t="shared" si="26"/>
        <v>13.11</v>
      </c>
    </row>
    <row r="1686" spans="2:6">
      <c r="B1686" s="13" t="s">
        <v>54</v>
      </c>
      <c r="C1686" s="13" t="s">
        <v>57</v>
      </c>
      <c r="D1686" s="13">
        <v>32.36</v>
      </c>
      <c r="E1686" s="13">
        <v>4</v>
      </c>
      <c r="F1686" s="13">
        <f t="shared" si="26"/>
        <v>8.09</v>
      </c>
    </row>
    <row r="1687" spans="2:6">
      <c r="B1687" s="13" t="s">
        <v>2247</v>
      </c>
      <c r="C1687" s="13" t="s">
        <v>2251</v>
      </c>
      <c r="D1687" s="13">
        <v>406.59999999999997</v>
      </c>
      <c r="E1687" s="13">
        <v>5</v>
      </c>
      <c r="F1687" s="13">
        <f t="shared" si="26"/>
        <v>81.319999999999993</v>
      </c>
    </row>
    <row r="1688" spans="2:6">
      <c r="B1688" s="13" t="s">
        <v>1596</v>
      </c>
      <c r="C1688" s="13" t="s">
        <v>1602</v>
      </c>
      <c r="D1688" s="13">
        <v>27.92</v>
      </c>
      <c r="E1688" s="13">
        <v>4</v>
      </c>
      <c r="F1688" s="13">
        <f t="shared" si="26"/>
        <v>6.98</v>
      </c>
    </row>
    <row r="1689" spans="2:6">
      <c r="B1689" s="13" t="s">
        <v>1525</v>
      </c>
      <c r="C1689" s="13" t="s">
        <v>1526</v>
      </c>
      <c r="D1689" s="13">
        <v>399.67200000000003</v>
      </c>
      <c r="E1689" s="13">
        <v>7</v>
      </c>
      <c r="F1689" s="13">
        <f t="shared" si="26"/>
        <v>57.096000000000004</v>
      </c>
    </row>
    <row r="1690" spans="2:6">
      <c r="B1690" s="13" t="s">
        <v>654</v>
      </c>
      <c r="C1690" s="13" t="s">
        <v>660</v>
      </c>
      <c r="D1690" s="13">
        <v>159.80000000000001</v>
      </c>
      <c r="E1690" s="13">
        <v>4</v>
      </c>
      <c r="F1690" s="13">
        <f t="shared" si="26"/>
        <v>39.950000000000003</v>
      </c>
    </row>
    <row r="1691" spans="2:6">
      <c r="B1691" s="13" t="s">
        <v>1252</v>
      </c>
      <c r="C1691" s="13" t="s">
        <v>1257</v>
      </c>
      <c r="D1691" s="13">
        <v>44.75</v>
      </c>
      <c r="E1691" s="13">
        <v>5</v>
      </c>
      <c r="F1691" s="13">
        <f t="shared" si="26"/>
        <v>8.9499999999999993</v>
      </c>
    </row>
    <row r="1692" spans="2:6">
      <c r="B1692" s="13" t="s">
        <v>2252</v>
      </c>
      <c r="C1692" s="13" t="s">
        <v>2254</v>
      </c>
      <c r="D1692" s="13">
        <v>13.48</v>
      </c>
      <c r="E1692" s="13">
        <v>1</v>
      </c>
      <c r="F1692" s="13">
        <f t="shared" si="26"/>
        <v>13.48</v>
      </c>
    </row>
    <row r="1693" spans="2:6">
      <c r="B1693" s="13" t="s">
        <v>2253</v>
      </c>
      <c r="C1693" s="13" t="s">
        <v>2255</v>
      </c>
      <c r="D1693" s="13">
        <v>85.52</v>
      </c>
      <c r="E1693" s="13">
        <v>2</v>
      </c>
      <c r="F1693" s="13">
        <f t="shared" si="26"/>
        <v>42.76</v>
      </c>
    </row>
    <row r="1694" spans="2:6">
      <c r="B1694" s="13" t="s">
        <v>2256</v>
      </c>
      <c r="C1694" s="13" t="s">
        <v>2257</v>
      </c>
      <c r="D1694" s="13">
        <v>21.240000000000002</v>
      </c>
      <c r="E1694" s="13">
        <v>9</v>
      </c>
      <c r="F1694" s="13">
        <f t="shared" si="26"/>
        <v>2.3600000000000003</v>
      </c>
    </row>
    <row r="1695" spans="2:6">
      <c r="B1695" s="13" t="s">
        <v>81</v>
      </c>
      <c r="C1695" s="13" t="s">
        <v>83</v>
      </c>
      <c r="D1695" s="13">
        <v>9.5520000000000014</v>
      </c>
      <c r="E1695" s="13">
        <v>8</v>
      </c>
      <c r="F1695" s="13">
        <f t="shared" si="26"/>
        <v>1.1940000000000002</v>
      </c>
    </row>
    <row r="1696" spans="2:6">
      <c r="B1696" s="13" t="s">
        <v>1166</v>
      </c>
      <c r="C1696" s="13" t="s">
        <v>1168</v>
      </c>
      <c r="D1696" s="13">
        <v>89.991000000000014</v>
      </c>
      <c r="E1696" s="13">
        <v>3</v>
      </c>
      <c r="F1696" s="13">
        <f t="shared" si="26"/>
        <v>29.997000000000003</v>
      </c>
    </row>
    <row r="1697" spans="2:6">
      <c r="B1697" s="13" t="s">
        <v>1791</v>
      </c>
      <c r="C1697" s="13" t="s">
        <v>1794</v>
      </c>
      <c r="D1697" s="13">
        <v>163.96</v>
      </c>
      <c r="E1697" s="13">
        <v>4</v>
      </c>
      <c r="F1697" s="13">
        <f t="shared" si="26"/>
        <v>40.99</v>
      </c>
    </row>
    <row r="1698" spans="2:6">
      <c r="B1698" s="13" t="s">
        <v>1392</v>
      </c>
      <c r="C1698" s="13" t="s">
        <v>1397</v>
      </c>
      <c r="D1698" s="13">
        <v>4.4640000000000004</v>
      </c>
      <c r="E1698" s="13">
        <v>1</v>
      </c>
      <c r="F1698" s="13">
        <f t="shared" si="26"/>
        <v>4.4640000000000004</v>
      </c>
    </row>
    <row r="1699" spans="2:6">
      <c r="B1699" s="13" t="s">
        <v>2258</v>
      </c>
      <c r="C1699" s="13" t="s">
        <v>2259</v>
      </c>
      <c r="D1699" s="13">
        <v>50.4</v>
      </c>
      <c r="E1699" s="13">
        <v>8</v>
      </c>
      <c r="F1699" s="13">
        <f t="shared" si="26"/>
        <v>6.3</v>
      </c>
    </row>
    <row r="1700" spans="2:6">
      <c r="B1700" s="13" t="s">
        <v>2129</v>
      </c>
      <c r="C1700" s="13" t="s">
        <v>2130</v>
      </c>
      <c r="D1700" s="13">
        <v>89.567999999999998</v>
      </c>
      <c r="E1700" s="13">
        <v>2</v>
      </c>
      <c r="F1700" s="13">
        <f t="shared" si="26"/>
        <v>44.783999999999999</v>
      </c>
    </row>
    <row r="1701" spans="2:6">
      <c r="B1701" s="13" t="s">
        <v>718</v>
      </c>
      <c r="C1701" s="13" t="s">
        <v>724</v>
      </c>
      <c r="D1701" s="13">
        <v>14.89</v>
      </c>
      <c r="E1701" s="13">
        <v>1</v>
      </c>
      <c r="F1701" s="13">
        <f t="shared" si="26"/>
        <v>14.89</v>
      </c>
    </row>
    <row r="1702" spans="2:6">
      <c r="B1702" s="13" t="s">
        <v>494</v>
      </c>
      <c r="C1702" s="13" t="s">
        <v>499</v>
      </c>
      <c r="D1702" s="13">
        <v>543.91999999999996</v>
      </c>
      <c r="E1702" s="13">
        <v>8</v>
      </c>
      <c r="F1702" s="13">
        <f t="shared" si="26"/>
        <v>67.989999999999995</v>
      </c>
    </row>
    <row r="1703" spans="2:6">
      <c r="B1703" s="13" t="s">
        <v>1785</v>
      </c>
      <c r="C1703" s="13" t="s">
        <v>1786</v>
      </c>
      <c r="D1703" s="13">
        <v>191.05799999999999</v>
      </c>
      <c r="E1703" s="13">
        <v>3</v>
      </c>
      <c r="F1703" s="13">
        <f t="shared" si="26"/>
        <v>63.686</v>
      </c>
    </row>
    <row r="1704" spans="2:6">
      <c r="B1704" s="13" t="s">
        <v>2260</v>
      </c>
      <c r="C1704" s="13" t="s">
        <v>2261</v>
      </c>
      <c r="D1704" s="13">
        <v>13.040000000000001</v>
      </c>
      <c r="E1704" s="13">
        <v>5</v>
      </c>
      <c r="F1704" s="13">
        <f t="shared" si="26"/>
        <v>2.6080000000000001</v>
      </c>
    </row>
    <row r="1705" spans="2:6">
      <c r="B1705" s="13" t="s">
        <v>1420</v>
      </c>
      <c r="C1705" s="13" t="s">
        <v>1422</v>
      </c>
      <c r="D1705" s="13">
        <v>1525.1879999999996</v>
      </c>
      <c r="E1705" s="13">
        <v>6</v>
      </c>
      <c r="F1705" s="13">
        <f t="shared" si="26"/>
        <v>254.19799999999995</v>
      </c>
    </row>
    <row r="1706" spans="2:6">
      <c r="B1706" s="13" t="s">
        <v>2262</v>
      </c>
      <c r="C1706" s="13" t="s">
        <v>2263</v>
      </c>
      <c r="D1706" s="13">
        <v>64.959999999999994</v>
      </c>
      <c r="E1706" s="13">
        <v>2</v>
      </c>
      <c r="F1706" s="13">
        <f t="shared" si="26"/>
        <v>32.479999999999997</v>
      </c>
    </row>
    <row r="1707" spans="2:6">
      <c r="B1707" s="13" t="s">
        <v>392</v>
      </c>
      <c r="C1707" s="13" t="s">
        <v>396</v>
      </c>
      <c r="D1707" s="13">
        <v>30.56</v>
      </c>
      <c r="E1707" s="13">
        <v>4</v>
      </c>
      <c r="F1707" s="13">
        <f t="shared" si="26"/>
        <v>7.64</v>
      </c>
    </row>
    <row r="1708" spans="2:6">
      <c r="B1708" s="13" t="s">
        <v>2264</v>
      </c>
      <c r="C1708" s="13" t="s">
        <v>2267</v>
      </c>
      <c r="D1708" s="13">
        <v>11.808</v>
      </c>
      <c r="E1708" s="13">
        <v>2</v>
      </c>
      <c r="F1708" s="13">
        <f t="shared" si="26"/>
        <v>5.9039999999999999</v>
      </c>
    </row>
    <row r="1709" spans="2:6">
      <c r="B1709" s="13" t="s">
        <v>2265</v>
      </c>
      <c r="C1709" s="13" t="s">
        <v>2268</v>
      </c>
      <c r="D1709" s="13">
        <v>9.6560000000000006</v>
      </c>
      <c r="E1709" s="13">
        <v>1</v>
      </c>
      <c r="F1709" s="13">
        <f t="shared" si="26"/>
        <v>9.6560000000000006</v>
      </c>
    </row>
    <row r="1710" spans="2:6">
      <c r="B1710" s="13" t="s">
        <v>636</v>
      </c>
      <c r="C1710" s="13" t="s">
        <v>640</v>
      </c>
      <c r="D1710" s="13">
        <v>20.736000000000004</v>
      </c>
      <c r="E1710" s="13">
        <v>4</v>
      </c>
      <c r="F1710" s="13">
        <f t="shared" si="26"/>
        <v>5.1840000000000011</v>
      </c>
    </row>
    <row r="1711" spans="2:6">
      <c r="B1711" s="13" t="s">
        <v>775</v>
      </c>
      <c r="C1711" s="13" t="s">
        <v>777</v>
      </c>
      <c r="D1711" s="13">
        <v>27.360000000000003</v>
      </c>
      <c r="E1711" s="13">
        <v>3</v>
      </c>
      <c r="F1711" s="13">
        <f t="shared" si="26"/>
        <v>9.120000000000001</v>
      </c>
    </row>
    <row r="1712" spans="2:6">
      <c r="B1712" s="13" t="s">
        <v>1273</v>
      </c>
      <c r="C1712" s="13" t="s">
        <v>1274</v>
      </c>
      <c r="D1712" s="13">
        <v>2314.116</v>
      </c>
      <c r="E1712" s="13">
        <v>7</v>
      </c>
      <c r="F1712" s="13">
        <f t="shared" si="26"/>
        <v>330.58800000000002</v>
      </c>
    </row>
    <row r="1713" spans="2:6">
      <c r="B1713" s="13" t="s">
        <v>480</v>
      </c>
      <c r="C1713" s="13" t="s">
        <v>482</v>
      </c>
      <c r="D1713" s="13">
        <v>34.236000000000004</v>
      </c>
      <c r="E1713" s="13">
        <v>4</v>
      </c>
      <c r="F1713" s="13">
        <f t="shared" si="26"/>
        <v>8.5590000000000011</v>
      </c>
    </row>
    <row r="1714" spans="2:6">
      <c r="B1714" s="13" t="s">
        <v>2266</v>
      </c>
      <c r="C1714" s="13" t="s">
        <v>2269</v>
      </c>
      <c r="D1714" s="13">
        <v>19.760000000000002</v>
      </c>
      <c r="E1714" s="13">
        <v>2</v>
      </c>
      <c r="F1714" s="13">
        <f t="shared" si="26"/>
        <v>9.8800000000000008</v>
      </c>
    </row>
    <row r="1715" spans="2:6">
      <c r="B1715" s="13" t="s">
        <v>1095</v>
      </c>
      <c r="C1715" s="13" t="s">
        <v>1097</v>
      </c>
      <c r="D1715" s="13">
        <v>15.96</v>
      </c>
      <c r="E1715" s="13">
        <v>2</v>
      </c>
      <c r="F1715" s="13">
        <f t="shared" si="26"/>
        <v>7.98</v>
      </c>
    </row>
    <row r="1716" spans="2:6">
      <c r="B1716" s="13" t="s">
        <v>1347</v>
      </c>
      <c r="C1716" s="13" t="s">
        <v>1353</v>
      </c>
      <c r="D1716" s="13">
        <v>307.77600000000001</v>
      </c>
      <c r="E1716" s="13">
        <v>7</v>
      </c>
      <c r="F1716" s="13">
        <f t="shared" si="26"/>
        <v>43.968000000000004</v>
      </c>
    </row>
    <row r="1717" spans="2:6">
      <c r="B1717" s="13" t="s">
        <v>147</v>
      </c>
      <c r="C1717" s="13" t="s">
        <v>150</v>
      </c>
      <c r="D1717" s="13">
        <v>725.84</v>
      </c>
      <c r="E1717" s="13">
        <v>4</v>
      </c>
      <c r="F1717" s="13">
        <f t="shared" si="26"/>
        <v>181.46</v>
      </c>
    </row>
    <row r="1718" spans="2:6">
      <c r="B1718" s="13" t="s">
        <v>2270</v>
      </c>
      <c r="C1718" s="13" t="s">
        <v>2271</v>
      </c>
      <c r="D1718" s="13">
        <v>10.896000000000001</v>
      </c>
      <c r="E1718" s="13">
        <v>3</v>
      </c>
      <c r="F1718" s="13">
        <f t="shared" si="26"/>
        <v>3.6320000000000001</v>
      </c>
    </row>
    <row r="1719" spans="2:6">
      <c r="B1719" s="13" t="s">
        <v>1823</v>
      </c>
      <c r="C1719" s="13" t="s">
        <v>1826</v>
      </c>
      <c r="D1719" s="13">
        <v>8.5440000000000005</v>
      </c>
      <c r="E1719" s="13">
        <v>2</v>
      </c>
      <c r="F1719" s="13">
        <f t="shared" si="26"/>
        <v>4.2720000000000002</v>
      </c>
    </row>
    <row r="1720" spans="2:6">
      <c r="B1720" s="13" t="s">
        <v>1404</v>
      </c>
      <c r="C1720" s="13" t="s">
        <v>1405</v>
      </c>
      <c r="D1720" s="13">
        <v>143.85600000000002</v>
      </c>
      <c r="E1720" s="13">
        <v>9</v>
      </c>
      <c r="F1720" s="13">
        <f t="shared" si="26"/>
        <v>15.984000000000002</v>
      </c>
    </row>
    <row r="1721" spans="2:6">
      <c r="B1721" s="13" t="s">
        <v>2272</v>
      </c>
      <c r="C1721" s="13" t="s">
        <v>2274</v>
      </c>
      <c r="D1721" s="13">
        <v>198.27200000000002</v>
      </c>
      <c r="E1721" s="13">
        <v>8</v>
      </c>
      <c r="F1721" s="13">
        <f t="shared" si="26"/>
        <v>24.784000000000002</v>
      </c>
    </row>
    <row r="1722" spans="2:6">
      <c r="B1722" s="13" t="s">
        <v>2273</v>
      </c>
      <c r="C1722" s="13" t="s">
        <v>2275</v>
      </c>
      <c r="D1722" s="13">
        <v>720.7600000000001</v>
      </c>
      <c r="E1722" s="13">
        <v>5</v>
      </c>
      <c r="F1722" s="13">
        <f t="shared" si="26"/>
        <v>144.15200000000002</v>
      </c>
    </row>
    <row r="1723" spans="2:6">
      <c r="B1723" s="13" t="s">
        <v>542</v>
      </c>
      <c r="C1723" s="13" t="s">
        <v>553</v>
      </c>
      <c r="D1723" s="13">
        <v>88.77600000000001</v>
      </c>
      <c r="E1723" s="13">
        <v>3</v>
      </c>
      <c r="F1723" s="13">
        <f t="shared" si="26"/>
        <v>29.592000000000002</v>
      </c>
    </row>
    <row r="1724" spans="2:6">
      <c r="B1724" s="13" t="s">
        <v>2276</v>
      </c>
      <c r="C1724" s="13" t="s">
        <v>2279</v>
      </c>
      <c r="D1724" s="13">
        <v>11.56</v>
      </c>
      <c r="E1724" s="13">
        <v>4</v>
      </c>
      <c r="F1724" s="13">
        <f t="shared" si="26"/>
        <v>2.89</v>
      </c>
    </row>
    <row r="1725" spans="2:6">
      <c r="B1725" s="13" t="s">
        <v>1908</v>
      </c>
      <c r="C1725" s="13" t="s">
        <v>1910</v>
      </c>
      <c r="D1725" s="13">
        <v>15.58</v>
      </c>
      <c r="E1725" s="13">
        <v>1</v>
      </c>
      <c r="F1725" s="13">
        <f t="shared" si="26"/>
        <v>15.58</v>
      </c>
    </row>
    <row r="1726" spans="2:6">
      <c r="B1726" s="13" t="s">
        <v>2277</v>
      </c>
      <c r="C1726" s="13" t="s">
        <v>2280</v>
      </c>
      <c r="D1726" s="13">
        <v>85.055999999999997</v>
      </c>
      <c r="E1726" s="13">
        <v>3</v>
      </c>
      <c r="F1726" s="13">
        <f t="shared" si="26"/>
        <v>28.352</v>
      </c>
    </row>
    <row r="1727" spans="2:6">
      <c r="B1727" s="13" t="s">
        <v>1293</v>
      </c>
      <c r="C1727" s="13" t="s">
        <v>1295</v>
      </c>
      <c r="D1727" s="13">
        <v>273.95999999999998</v>
      </c>
      <c r="E1727" s="13">
        <v>2</v>
      </c>
      <c r="F1727" s="13">
        <f t="shared" si="26"/>
        <v>136.97999999999999</v>
      </c>
    </row>
    <row r="1728" spans="2:6">
      <c r="B1728" s="13" t="s">
        <v>2278</v>
      </c>
      <c r="C1728" s="13" t="s">
        <v>2281</v>
      </c>
      <c r="D1728" s="13">
        <v>306.89999999999998</v>
      </c>
      <c r="E1728" s="13">
        <v>3</v>
      </c>
      <c r="F1728" s="13">
        <f t="shared" si="26"/>
        <v>102.3</v>
      </c>
    </row>
    <row r="1729" spans="2:6">
      <c r="B1729" s="13" t="s">
        <v>748</v>
      </c>
      <c r="C1729" s="13" t="s">
        <v>749</v>
      </c>
      <c r="D1729" s="13">
        <v>98.16</v>
      </c>
      <c r="E1729" s="13">
        <v>6</v>
      </c>
      <c r="F1729" s="13">
        <f t="shared" si="26"/>
        <v>16.36</v>
      </c>
    </row>
    <row r="1730" spans="2:6">
      <c r="B1730" s="13" t="s">
        <v>1750</v>
      </c>
      <c r="C1730" s="13" t="s">
        <v>597</v>
      </c>
      <c r="D1730" s="13">
        <v>31.44</v>
      </c>
      <c r="E1730" s="13">
        <v>3</v>
      </c>
      <c r="F1730" s="13">
        <f t="shared" si="26"/>
        <v>10.48</v>
      </c>
    </row>
    <row r="1731" spans="2:6">
      <c r="B1731" s="13" t="s">
        <v>2282</v>
      </c>
      <c r="C1731" s="13" t="s">
        <v>2285</v>
      </c>
      <c r="D1731" s="13">
        <v>358.2</v>
      </c>
      <c r="E1731" s="13">
        <v>3</v>
      </c>
      <c r="F1731" s="13">
        <f t="shared" si="26"/>
        <v>119.39999999999999</v>
      </c>
    </row>
    <row r="1732" spans="2:6">
      <c r="B1732" s="13" t="s">
        <v>2283</v>
      </c>
      <c r="C1732" s="13" t="s">
        <v>2286</v>
      </c>
      <c r="D1732" s="13">
        <v>545.91599999999994</v>
      </c>
      <c r="E1732" s="13">
        <v>14</v>
      </c>
      <c r="F1732" s="13">
        <f t="shared" ref="F1732:F1795" si="27">D1732/E1732</f>
        <v>38.993999999999993</v>
      </c>
    </row>
    <row r="1733" spans="2:6">
      <c r="B1733" s="13" t="s">
        <v>1345</v>
      </c>
      <c r="C1733" s="13" t="s">
        <v>624</v>
      </c>
      <c r="D1733" s="13">
        <v>40.410000000000004</v>
      </c>
      <c r="E1733" s="13">
        <v>9</v>
      </c>
      <c r="F1733" s="13">
        <f t="shared" si="27"/>
        <v>4.49</v>
      </c>
    </row>
    <row r="1734" spans="2:6">
      <c r="B1734" s="13" t="s">
        <v>255</v>
      </c>
      <c r="C1734" s="13" t="s">
        <v>258</v>
      </c>
      <c r="D1734" s="13">
        <v>167.976</v>
      </c>
      <c r="E1734" s="13">
        <v>3</v>
      </c>
      <c r="F1734" s="13">
        <f t="shared" si="27"/>
        <v>55.991999999999997</v>
      </c>
    </row>
    <row r="1735" spans="2:6">
      <c r="B1735" s="13" t="s">
        <v>2046</v>
      </c>
      <c r="C1735" s="13" t="s">
        <v>2049</v>
      </c>
      <c r="D1735" s="13">
        <v>109.53</v>
      </c>
      <c r="E1735" s="13">
        <v>3</v>
      </c>
      <c r="F1735" s="13">
        <f t="shared" si="27"/>
        <v>36.51</v>
      </c>
    </row>
    <row r="1736" spans="2:6">
      <c r="B1736" s="13" t="s">
        <v>2284</v>
      </c>
      <c r="C1736" s="13" t="s">
        <v>2287</v>
      </c>
      <c r="D1736" s="13">
        <v>9.82</v>
      </c>
      <c r="E1736" s="13">
        <v>2</v>
      </c>
      <c r="F1736" s="13">
        <f t="shared" si="27"/>
        <v>4.91</v>
      </c>
    </row>
    <row r="1737" spans="2:6">
      <c r="B1737" s="13" t="s">
        <v>1294</v>
      </c>
      <c r="C1737" s="13" t="s">
        <v>1296</v>
      </c>
      <c r="D1737" s="13">
        <v>26.352000000000004</v>
      </c>
      <c r="E1737" s="13">
        <v>3</v>
      </c>
      <c r="F1737" s="13">
        <f t="shared" si="27"/>
        <v>8.7840000000000007</v>
      </c>
    </row>
    <row r="1738" spans="2:6">
      <c r="B1738" s="13" t="s">
        <v>198</v>
      </c>
      <c r="C1738" s="13" t="s">
        <v>211</v>
      </c>
      <c r="D1738" s="13">
        <v>71.98</v>
      </c>
      <c r="E1738" s="13">
        <v>2</v>
      </c>
      <c r="F1738" s="13">
        <f t="shared" si="27"/>
        <v>35.99</v>
      </c>
    </row>
    <row r="1739" spans="2:6">
      <c r="B1739" s="13" t="s">
        <v>2288</v>
      </c>
      <c r="C1739" s="13" t="s">
        <v>2289</v>
      </c>
      <c r="D1739" s="13">
        <v>79.98</v>
      </c>
      <c r="E1739" s="13">
        <v>2</v>
      </c>
      <c r="F1739" s="13">
        <f t="shared" si="27"/>
        <v>39.99</v>
      </c>
    </row>
    <row r="1740" spans="2:6">
      <c r="B1740" s="13" t="s">
        <v>433</v>
      </c>
      <c r="C1740" s="13" t="s">
        <v>439</v>
      </c>
      <c r="D1740" s="13">
        <v>24.672000000000001</v>
      </c>
      <c r="E1740" s="13">
        <v>4</v>
      </c>
      <c r="F1740" s="13">
        <f t="shared" si="27"/>
        <v>6.1680000000000001</v>
      </c>
    </row>
    <row r="1741" spans="2:6">
      <c r="B1741" s="13" t="s">
        <v>411</v>
      </c>
      <c r="C1741" s="13" t="s">
        <v>417</v>
      </c>
      <c r="D1741" s="13">
        <v>3.7439999999999998</v>
      </c>
      <c r="E1741" s="13">
        <v>1</v>
      </c>
      <c r="F1741" s="13">
        <f t="shared" si="27"/>
        <v>3.7439999999999998</v>
      </c>
    </row>
    <row r="1742" spans="2:6">
      <c r="B1742" s="13" t="s">
        <v>2021</v>
      </c>
      <c r="C1742" s="13" t="s">
        <v>2291</v>
      </c>
      <c r="D1742" s="13">
        <v>87.92</v>
      </c>
      <c r="E1742" s="13">
        <v>4</v>
      </c>
      <c r="F1742" s="13">
        <f t="shared" si="27"/>
        <v>21.98</v>
      </c>
    </row>
    <row r="1743" spans="2:6">
      <c r="B1743" s="13" t="s">
        <v>1673</v>
      </c>
      <c r="C1743" s="13" t="s">
        <v>1676</v>
      </c>
      <c r="D1743" s="13">
        <v>22.424000000000003</v>
      </c>
      <c r="E1743" s="13">
        <v>1</v>
      </c>
      <c r="F1743" s="13">
        <f t="shared" si="27"/>
        <v>22.424000000000003</v>
      </c>
    </row>
    <row r="1744" spans="2:6">
      <c r="B1744" s="13" t="s">
        <v>2075</v>
      </c>
      <c r="C1744" s="13" t="s">
        <v>2077</v>
      </c>
      <c r="D1744" s="13">
        <v>90.480000000000018</v>
      </c>
      <c r="E1744" s="13">
        <v>3</v>
      </c>
      <c r="F1744" s="13">
        <f t="shared" si="27"/>
        <v>30.160000000000007</v>
      </c>
    </row>
    <row r="1745" spans="2:6">
      <c r="B1745" s="13" t="s">
        <v>2253</v>
      </c>
      <c r="C1745" s="13" t="s">
        <v>2255</v>
      </c>
      <c r="D1745" s="13">
        <v>42.76</v>
      </c>
      <c r="E1745" s="13">
        <v>1</v>
      </c>
      <c r="F1745" s="13">
        <f t="shared" si="27"/>
        <v>42.76</v>
      </c>
    </row>
    <row r="1746" spans="2:6">
      <c r="B1746" s="13" t="s">
        <v>569</v>
      </c>
      <c r="C1746" s="13" t="s">
        <v>572</v>
      </c>
      <c r="D1746" s="13">
        <v>10.080000000000002</v>
      </c>
      <c r="E1746" s="13">
        <v>7</v>
      </c>
      <c r="F1746" s="13">
        <f t="shared" si="27"/>
        <v>1.4400000000000002</v>
      </c>
    </row>
    <row r="1747" spans="2:6">
      <c r="B1747" s="13" t="s">
        <v>2290</v>
      </c>
      <c r="C1747" s="13" t="s">
        <v>2292</v>
      </c>
      <c r="D1747" s="13">
        <v>101.34</v>
      </c>
      <c r="E1747" s="13">
        <v>3</v>
      </c>
      <c r="F1747" s="13">
        <f t="shared" si="27"/>
        <v>33.78</v>
      </c>
    </row>
    <row r="1748" spans="2:6">
      <c r="B1748" s="13" t="s">
        <v>2179</v>
      </c>
      <c r="C1748" s="13" t="s">
        <v>2180</v>
      </c>
      <c r="D1748" s="13">
        <v>73.175999999999974</v>
      </c>
      <c r="E1748" s="13">
        <v>6</v>
      </c>
      <c r="F1748" s="13">
        <f t="shared" si="27"/>
        <v>12.195999999999996</v>
      </c>
    </row>
    <row r="1749" spans="2:6">
      <c r="B1749" s="13" t="s">
        <v>1983</v>
      </c>
      <c r="C1749" s="13" t="s">
        <v>1984</v>
      </c>
      <c r="D1749" s="13">
        <v>20.736000000000004</v>
      </c>
      <c r="E1749" s="13">
        <v>4</v>
      </c>
      <c r="F1749" s="13">
        <f t="shared" si="27"/>
        <v>5.1840000000000011</v>
      </c>
    </row>
    <row r="1750" spans="2:6">
      <c r="B1750" s="13" t="s">
        <v>2293</v>
      </c>
      <c r="C1750" s="13" t="s">
        <v>2294</v>
      </c>
      <c r="D1750" s="13">
        <v>39.984000000000002</v>
      </c>
      <c r="E1750" s="13">
        <v>2</v>
      </c>
      <c r="F1750" s="13">
        <f t="shared" si="27"/>
        <v>19.992000000000001</v>
      </c>
    </row>
    <row r="1751" spans="2:6">
      <c r="B1751" s="13" t="s">
        <v>2295</v>
      </c>
      <c r="C1751" s="13" t="s">
        <v>2297</v>
      </c>
      <c r="D1751" s="13">
        <v>26.400000000000002</v>
      </c>
      <c r="E1751" s="13">
        <v>5</v>
      </c>
      <c r="F1751" s="13">
        <f t="shared" si="27"/>
        <v>5.28</v>
      </c>
    </row>
    <row r="1752" spans="2:6">
      <c r="B1752" s="13" t="s">
        <v>2296</v>
      </c>
      <c r="C1752" s="13" t="s">
        <v>2298</v>
      </c>
      <c r="D1752" s="13">
        <v>3.52</v>
      </c>
      <c r="E1752" s="13">
        <v>2</v>
      </c>
      <c r="F1752" s="13">
        <f t="shared" si="27"/>
        <v>1.76</v>
      </c>
    </row>
    <row r="1753" spans="2:6">
      <c r="B1753" s="13" t="s">
        <v>2232</v>
      </c>
      <c r="C1753" s="13" t="s">
        <v>2234</v>
      </c>
      <c r="D1753" s="13">
        <v>161.56800000000001</v>
      </c>
      <c r="E1753" s="13">
        <v>2</v>
      </c>
      <c r="F1753" s="13">
        <f t="shared" si="27"/>
        <v>80.784000000000006</v>
      </c>
    </row>
    <row r="1754" spans="2:6">
      <c r="B1754" s="13" t="s">
        <v>527</v>
      </c>
      <c r="C1754" s="13" t="s">
        <v>531</v>
      </c>
      <c r="D1754" s="13">
        <v>4.0640000000000001</v>
      </c>
      <c r="E1754" s="13">
        <v>1</v>
      </c>
      <c r="F1754" s="13">
        <f t="shared" si="27"/>
        <v>4.0640000000000001</v>
      </c>
    </row>
    <row r="1755" spans="2:6">
      <c r="B1755" s="13" t="s">
        <v>1624</v>
      </c>
      <c r="C1755" s="13" t="s">
        <v>1628</v>
      </c>
      <c r="D1755" s="13">
        <v>6.2160000000000002</v>
      </c>
      <c r="E1755" s="13">
        <v>4</v>
      </c>
      <c r="F1755" s="13">
        <f t="shared" si="27"/>
        <v>1.554</v>
      </c>
    </row>
    <row r="1756" spans="2:6">
      <c r="B1756" s="13" t="s">
        <v>1222</v>
      </c>
      <c r="C1756" s="13" t="s">
        <v>1225</v>
      </c>
      <c r="D1756" s="13">
        <v>8.895999999999999</v>
      </c>
      <c r="E1756" s="13">
        <v>4</v>
      </c>
      <c r="F1756" s="13">
        <f t="shared" si="27"/>
        <v>2.2239999999999998</v>
      </c>
    </row>
    <row r="1757" spans="2:6">
      <c r="B1757" s="13" t="s">
        <v>1739</v>
      </c>
      <c r="C1757" s="13" t="s">
        <v>1745</v>
      </c>
      <c r="D1757" s="13">
        <v>2.0640000000000001</v>
      </c>
      <c r="E1757" s="13">
        <v>1</v>
      </c>
      <c r="F1757" s="13">
        <f t="shared" si="27"/>
        <v>2.0640000000000001</v>
      </c>
    </row>
    <row r="1758" spans="2:6">
      <c r="B1758" s="13" t="s">
        <v>2299</v>
      </c>
      <c r="C1758" s="13" t="s">
        <v>2300</v>
      </c>
      <c r="D1758" s="13">
        <v>6.3680000000000003</v>
      </c>
      <c r="E1758" s="13">
        <v>2</v>
      </c>
      <c r="F1758" s="13">
        <f t="shared" si="27"/>
        <v>3.1840000000000002</v>
      </c>
    </row>
    <row r="1759" spans="2:6">
      <c r="B1759" s="13" t="s">
        <v>2123</v>
      </c>
      <c r="C1759" s="13" t="s">
        <v>2124</v>
      </c>
      <c r="D1759" s="13">
        <v>38.016000000000005</v>
      </c>
      <c r="E1759" s="13">
        <v>6</v>
      </c>
      <c r="F1759" s="13">
        <f t="shared" si="27"/>
        <v>6.3360000000000012</v>
      </c>
    </row>
    <row r="1760" spans="2:6">
      <c r="B1760" s="13" t="s">
        <v>613</v>
      </c>
      <c r="C1760" s="13" t="s">
        <v>615</v>
      </c>
      <c r="D1760" s="13">
        <v>8.3840000000000003</v>
      </c>
      <c r="E1760" s="13">
        <v>1</v>
      </c>
      <c r="F1760" s="13">
        <f t="shared" si="27"/>
        <v>8.3840000000000003</v>
      </c>
    </row>
    <row r="1761" spans="2:6">
      <c r="B1761" s="13" t="s">
        <v>2301</v>
      </c>
      <c r="C1761" s="13" t="s">
        <v>2305</v>
      </c>
      <c r="D1761" s="13">
        <v>6.8480000000000008</v>
      </c>
      <c r="E1761" s="13">
        <v>2</v>
      </c>
      <c r="F1761" s="13">
        <f t="shared" si="27"/>
        <v>3.4240000000000004</v>
      </c>
    </row>
    <row r="1762" spans="2:6">
      <c r="B1762" s="13" t="s">
        <v>2302</v>
      </c>
      <c r="C1762" s="13" t="s">
        <v>2306</v>
      </c>
      <c r="D1762" s="13">
        <v>19.600000000000001</v>
      </c>
      <c r="E1762" s="13">
        <v>5</v>
      </c>
      <c r="F1762" s="13">
        <f t="shared" si="27"/>
        <v>3.9200000000000004</v>
      </c>
    </row>
    <row r="1763" spans="2:6">
      <c r="B1763" s="13" t="s">
        <v>2303</v>
      </c>
      <c r="C1763" s="13" t="s">
        <v>2307</v>
      </c>
      <c r="D1763" s="13">
        <v>68.459999999999994</v>
      </c>
      <c r="E1763" s="13">
        <v>2</v>
      </c>
      <c r="F1763" s="13">
        <f t="shared" si="27"/>
        <v>34.229999999999997</v>
      </c>
    </row>
    <row r="1764" spans="2:6">
      <c r="B1764" s="13" t="s">
        <v>2175</v>
      </c>
      <c r="C1764" s="13" t="s">
        <v>2177</v>
      </c>
      <c r="D1764" s="13">
        <v>13.343999999999998</v>
      </c>
      <c r="E1764" s="13">
        <v>6</v>
      </c>
      <c r="F1764" s="13">
        <f t="shared" si="27"/>
        <v>2.2239999999999998</v>
      </c>
    </row>
    <row r="1765" spans="2:6">
      <c r="B1765" s="13" t="s">
        <v>2304</v>
      </c>
      <c r="C1765" s="13" t="s">
        <v>2308</v>
      </c>
      <c r="D1765" s="13">
        <v>1478.2719999999999</v>
      </c>
      <c r="E1765" s="13">
        <v>8</v>
      </c>
      <c r="F1765" s="13">
        <f t="shared" si="27"/>
        <v>184.78399999999999</v>
      </c>
    </row>
    <row r="1766" spans="2:6">
      <c r="B1766" s="13" t="s">
        <v>1012</v>
      </c>
      <c r="C1766" s="13" t="s">
        <v>1016</v>
      </c>
      <c r="D1766" s="13">
        <v>9.24</v>
      </c>
      <c r="E1766" s="13">
        <v>3</v>
      </c>
      <c r="F1766" s="13">
        <f t="shared" si="27"/>
        <v>3.08</v>
      </c>
    </row>
    <row r="1767" spans="2:6">
      <c r="B1767" s="13" t="s">
        <v>1669</v>
      </c>
      <c r="C1767" s="13" t="s">
        <v>1671</v>
      </c>
      <c r="D1767" s="13">
        <v>13.360000000000001</v>
      </c>
      <c r="E1767" s="13">
        <v>5</v>
      </c>
      <c r="F1767" s="13">
        <f t="shared" si="27"/>
        <v>2.6720000000000002</v>
      </c>
    </row>
    <row r="1768" spans="2:6">
      <c r="B1768" s="13" t="s">
        <v>2309</v>
      </c>
      <c r="C1768" s="13" t="s">
        <v>2311</v>
      </c>
      <c r="D1768" s="13">
        <v>78.256</v>
      </c>
      <c r="E1768" s="13">
        <v>2</v>
      </c>
      <c r="F1768" s="13">
        <f t="shared" si="27"/>
        <v>39.128</v>
      </c>
    </row>
    <row r="1769" spans="2:6">
      <c r="B1769" s="13" t="s">
        <v>1011</v>
      </c>
      <c r="C1769" s="13" t="s">
        <v>1015</v>
      </c>
      <c r="D1769" s="13">
        <v>102.01800000000001</v>
      </c>
      <c r="E1769" s="13">
        <v>7</v>
      </c>
      <c r="F1769" s="13">
        <f t="shared" si="27"/>
        <v>14.574000000000002</v>
      </c>
    </row>
    <row r="1770" spans="2:6">
      <c r="B1770" s="13" t="s">
        <v>268</v>
      </c>
      <c r="C1770" s="13" t="s">
        <v>274</v>
      </c>
      <c r="D1770" s="13">
        <v>750.68</v>
      </c>
      <c r="E1770" s="13">
        <v>2</v>
      </c>
      <c r="F1770" s="13">
        <f t="shared" si="27"/>
        <v>375.34</v>
      </c>
    </row>
    <row r="1771" spans="2:6">
      <c r="B1771" s="13" t="s">
        <v>2310</v>
      </c>
      <c r="C1771" s="13" t="s">
        <v>2312</v>
      </c>
      <c r="D1771" s="13">
        <v>44.400000000000006</v>
      </c>
      <c r="E1771" s="13">
        <v>3</v>
      </c>
      <c r="F1771" s="13">
        <f t="shared" si="27"/>
        <v>14.800000000000002</v>
      </c>
    </row>
    <row r="1772" spans="2:6">
      <c r="B1772" s="13" t="s">
        <v>1266</v>
      </c>
      <c r="C1772" s="13" t="s">
        <v>1272</v>
      </c>
      <c r="D1772" s="13">
        <v>84.55</v>
      </c>
      <c r="E1772" s="13">
        <v>5</v>
      </c>
      <c r="F1772" s="13">
        <f t="shared" si="27"/>
        <v>16.91</v>
      </c>
    </row>
    <row r="1773" spans="2:6">
      <c r="B1773" s="13" t="s">
        <v>2021</v>
      </c>
      <c r="C1773" s="13" t="s">
        <v>2025</v>
      </c>
      <c r="D1773" s="13">
        <v>17.940000000000001</v>
      </c>
      <c r="E1773" s="13">
        <v>3</v>
      </c>
      <c r="F1773" s="13">
        <f t="shared" si="27"/>
        <v>5.98</v>
      </c>
    </row>
    <row r="1774" spans="2:6">
      <c r="B1774" s="13" t="s">
        <v>734</v>
      </c>
      <c r="C1774" s="13" t="s">
        <v>742</v>
      </c>
      <c r="D1774" s="13">
        <v>103.19200000000001</v>
      </c>
      <c r="E1774" s="13">
        <v>1</v>
      </c>
      <c r="F1774" s="13">
        <f t="shared" si="27"/>
        <v>103.19200000000001</v>
      </c>
    </row>
    <row r="1775" spans="2:6">
      <c r="B1775" s="13" t="s">
        <v>1711</v>
      </c>
      <c r="C1775" s="13" t="s">
        <v>1713</v>
      </c>
      <c r="D1775" s="13">
        <v>36</v>
      </c>
      <c r="E1775" s="13">
        <v>2</v>
      </c>
      <c r="F1775" s="13">
        <f t="shared" si="27"/>
        <v>18</v>
      </c>
    </row>
    <row r="1776" spans="2:6">
      <c r="B1776" s="13" t="s">
        <v>407</v>
      </c>
      <c r="C1776" s="13" t="s">
        <v>413</v>
      </c>
      <c r="D1776" s="13">
        <v>239.96</v>
      </c>
      <c r="E1776" s="13">
        <v>4</v>
      </c>
      <c r="F1776" s="13">
        <f t="shared" si="27"/>
        <v>59.99</v>
      </c>
    </row>
    <row r="1777" spans="2:6">
      <c r="B1777" s="13" t="s">
        <v>1621</v>
      </c>
      <c r="C1777" s="13" t="s">
        <v>1623</v>
      </c>
      <c r="D1777" s="13">
        <v>40.68</v>
      </c>
      <c r="E1777" s="13">
        <v>2</v>
      </c>
      <c r="F1777" s="13">
        <f t="shared" si="27"/>
        <v>20.34</v>
      </c>
    </row>
    <row r="1778" spans="2:6">
      <c r="B1778" s="13" t="s">
        <v>2313</v>
      </c>
      <c r="C1778" s="13" t="s">
        <v>2314</v>
      </c>
      <c r="D1778" s="13">
        <v>419.13599999999997</v>
      </c>
      <c r="E1778" s="13">
        <v>4</v>
      </c>
      <c r="F1778" s="13">
        <f t="shared" si="27"/>
        <v>104.78399999999999</v>
      </c>
    </row>
    <row r="1779" spans="2:6">
      <c r="B1779" s="13" t="s">
        <v>2315</v>
      </c>
      <c r="C1779" s="13" t="s">
        <v>2318</v>
      </c>
      <c r="D1779" s="13">
        <v>23.976000000000003</v>
      </c>
      <c r="E1779" s="13">
        <v>3</v>
      </c>
      <c r="F1779" s="13">
        <f t="shared" si="27"/>
        <v>7.9920000000000009</v>
      </c>
    </row>
    <row r="1780" spans="2:6">
      <c r="B1780" s="13" t="s">
        <v>2316</v>
      </c>
      <c r="C1780" s="13" t="s">
        <v>2319</v>
      </c>
      <c r="D1780" s="13">
        <v>6.2640000000000002</v>
      </c>
      <c r="E1780" s="13">
        <v>3</v>
      </c>
      <c r="F1780" s="13">
        <f t="shared" si="27"/>
        <v>2.0880000000000001</v>
      </c>
    </row>
    <row r="1781" spans="2:6">
      <c r="B1781" s="13" t="s">
        <v>2317</v>
      </c>
      <c r="C1781" s="13" t="s">
        <v>210</v>
      </c>
      <c r="D1781" s="13">
        <v>20.808</v>
      </c>
      <c r="E1781" s="13">
        <v>3</v>
      </c>
      <c r="F1781" s="13">
        <f t="shared" si="27"/>
        <v>6.9359999999999999</v>
      </c>
    </row>
    <row r="1782" spans="2:6">
      <c r="B1782" s="13" t="s">
        <v>1785</v>
      </c>
      <c r="C1782" s="13" t="s">
        <v>1786</v>
      </c>
      <c r="D1782" s="13">
        <v>218.35200000000003</v>
      </c>
      <c r="E1782" s="13">
        <v>3</v>
      </c>
      <c r="F1782" s="13">
        <f t="shared" si="27"/>
        <v>72.784000000000006</v>
      </c>
    </row>
    <row r="1783" spans="2:6">
      <c r="B1783" s="13" t="s">
        <v>55</v>
      </c>
      <c r="C1783" s="13" t="s">
        <v>58</v>
      </c>
      <c r="D1783" s="13">
        <v>18.16</v>
      </c>
      <c r="E1783" s="13">
        <v>2</v>
      </c>
      <c r="F1783" s="13">
        <f t="shared" si="27"/>
        <v>9.08</v>
      </c>
    </row>
    <row r="1784" spans="2:6">
      <c r="B1784" s="13" t="s">
        <v>654</v>
      </c>
      <c r="C1784" s="13" t="s">
        <v>660</v>
      </c>
      <c r="D1784" s="13">
        <v>63.920000000000009</v>
      </c>
      <c r="E1784" s="13">
        <v>2</v>
      </c>
      <c r="F1784" s="13">
        <f t="shared" si="27"/>
        <v>31.960000000000004</v>
      </c>
    </row>
    <row r="1785" spans="2:6">
      <c r="B1785" s="13" t="s">
        <v>2320</v>
      </c>
      <c r="C1785" s="13" t="s">
        <v>2326</v>
      </c>
      <c r="D1785" s="13">
        <v>6.56</v>
      </c>
      <c r="E1785" s="13">
        <v>2</v>
      </c>
      <c r="F1785" s="13">
        <f t="shared" si="27"/>
        <v>3.28</v>
      </c>
    </row>
    <row r="1786" spans="2:6">
      <c r="B1786" s="13" t="s">
        <v>2321</v>
      </c>
      <c r="C1786" s="13" t="s">
        <v>2327</v>
      </c>
      <c r="D1786" s="13">
        <v>7.83</v>
      </c>
      <c r="E1786" s="13">
        <v>3</v>
      </c>
      <c r="F1786" s="13">
        <f t="shared" si="27"/>
        <v>2.61</v>
      </c>
    </row>
    <row r="1787" spans="2:6">
      <c r="B1787" s="13" t="s">
        <v>2322</v>
      </c>
      <c r="C1787" s="13" t="s">
        <v>2328</v>
      </c>
      <c r="D1787" s="13">
        <v>41.9</v>
      </c>
      <c r="E1787" s="13">
        <v>2</v>
      </c>
      <c r="F1787" s="13">
        <f t="shared" si="27"/>
        <v>20.95</v>
      </c>
    </row>
    <row r="1788" spans="2:6">
      <c r="B1788" s="13" t="s">
        <v>2323</v>
      </c>
      <c r="C1788" s="13" t="s">
        <v>2329</v>
      </c>
      <c r="D1788" s="13">
        <v>664.14599999999996</v>
      </c>
      <c r="E1788" s="13">
        <v>6</v>
      </c>
      <c r="F1788" s="13">
        <f t="shared" si="27"/>
        <v>110.69099999999999</v>
      </c>
    </row>
    <row r="1789" spans="2:6">
      <c r="B1789" s="13" t="s">
        <v>1727</v>
      </c>
      <c r="C1789" s="13" t="s">
        <v>1731</v>
      </c>
      <c r="D1789" s="13">
        <v>8.9600000000000009</v>
      </c>
      <c r="E1789" s="13">
        <v>2</v>
      </c>
      <c r="F1789" s="13">
        <f t="shared" si="27"/>
        <v>4.4800000000000004</v>
      </c>
    </row>
    <row r="1790" spans="2:6">
      <c r="B1790" s="13" t="s">
        <v>2324</v>
      </c>
      <c r="C1790" s="13" t="s">
        <v>2330</v>
      </c>
      <c r="D1790" s="13">
        <v>3.3119999999999998</v>
      </c>
      <c r="E1790" s="13">
        <v>1</v>
      </c>
      <c r="F1790" s="13">
        <f t="shared" si="27"/>
        <v>3.3119999999999998</v>
      </c>
    </row>
    <row r="1791" spans="2:6">
      <c r="B1791" s="13" t="s">
        <v>1880</v>
      </c>
      <c r="C1791" s="13" t="s">
        <v>1881</v>
      </c>
      <c r="D1791" s="13">
        <v>20.136000000000003</v>
      </c>
      <c r="E1791" s="13">
        <v>3</v>
      </c>
      <c r="F1791" s="13">
        <f t="shared" si="27"/>
        <v>6.7120000000000006</v>
      </c>
    </row>
    <row r="1792" spans="2:6">
      <c r="B1792" s="13" t="s">
        <v>2325</v>
      </c>
      <c r="C1792" s="13" t="s">
        <v>2331</v>
      </c>
      <c r="D1792" s="13">
        <v>8.8559999999999999</v>
      </c>
      <c r="E1792" s="13">
        <v>3</v>
      </c>
      <c r="F1792" s="13">
        <f t="shared" si="27"/>
        <v>2.952</v>
      </c>
    </row>
    <row r="1793" spans="2:6">
      <c r="B1793" s="13" t="s">
        <v>1138</v>
      </c>
      <c r="C1793" s="13" t="s">
        <v>1140</v>
      </c>
      <c r="D1793" s="13">
        <v>859.19999999999993</v>
      </c>
      <c r="E1793" s="13">
        <v>4</v>
      </c>
      <c r="F1793" s="13">
        <f t="shared" si="27"/>
        <v>214.79999999999998</v>
      </c>
    </row>
    <row r="1794" spans="2:6">
      <c r="B1794" s="13" t="s">
        <v>2332</v>
      </c>
      <c r="C1794" s="13" t="s">
        <v>2333</v>
      </c>
      <c r="D1794" s="13">
        <v>56.704000000000001</v>
      </c>
      <c r="E1794" s="13">
        <v>2</v>
      </c>
      <c r="F1794" s="13">
        <f t="shared" si="27"/>
        <v>28.352</v>
      </c>
    </row>
    <row r="1795" spans="2:6">
      <c r="B1795" s="13" t="s">
        <v>881</v>
      </c>
      <c r="C1795" s="13" t="s">
        <v>882</v>
      </c>
      <c r="D1795" s="13">
        <v>11.120000000000001</v>
      </c>
      <c r="E1795" s="13">
        <v>2</v>
      </c>
      <c r="F1795" s="13">
        <f t="shared" si="27"/>
        <v>5.5600000000000005</v>
      </c>
    </row>
    <row r="1796" spans="2:6">
      <c r="B1796" s="13" t="s">
        <v>847</v>
      </c>
      <c r="C1796" s="13" t="s">
        <v>851</v>
      </c>
      <c r="D1796" s="13">
        <v>239.95999999999998</v>
      </c>
      <c r="E1796" s="13">
        <v>10</v>
      </c>
      <c r="F1796" s="13">
        <f t="shared" ref="F1796:F1859" si="28">D1796/E1796</f>
        <v>23.995999999999999</v>
      </c>
    </row>
    <row r="1797" spans="2:6">
      <c r="B1797" s="13" t="s">
        <v>2303</v>
      </c>
      <c r="C1797" s="13" t="s">
        <v>2307</v>
      </c>
      <c r="D1797" s="13">
        <v>54.768000000000001</v>
      </c>
      <c r="E1797" s="13">
        <v>2</v>
      </c>
      <c r="F1797" s="13">
        <f t="shared" si="28"/>
        <v>27.384</v>
      </c>
    </row>
    <row r="1798" spans="2:6">
      <c r="B1798" s="13" t="s">
        <v>2334</v>
      </c>
      <c r="C1798" s="13" t="s">
        <v>2336</v>
      </c>
      <c r="D1798" s="13">
        <v>13.392000000000001</v>
      </c>
      <c r="E1798" s="13">
        <v>3</v>
      </c>
      <c r="F1798" s="13">
        <f t="shared" si="28"/>
        <v>4.4640000000000004</v>
      </c>
    </row>
    <row r="1799" spans="2:6">
      <c r="B1799" s="13" t="s">
        <v>2335</v>
      </c>
      <c r="C1799" s="13" t="s">
        <v>2337</v>
      </c>
      <c r="D1799" s="13">
        <v>23.92</v>
      </c>
      <c r="E1799" s="13">
        <v>5</v>
      </c>
      <c r="F1799" s="13">
        <f t="shared" si="28"/>
        <v>4.7840000000000007</v>
      </c>
    </row>
    <row r="1800" spans="2:6">
      <c r="B1800" s="13" t="s">
        <v>756</v>
      </c>
      <c r="C1800" s="13" t="s">
        <v>758</v>
      </c>
      <c r="D1800" s="13">
        <v>255.96799999999999</v>
      </c>
      <c r="E1800" s="13">
        <v>4</v>
      </c>
      <c r="F1800" s="13">
        <f t="shared" si="28"/>
        <v>63.991999999999997</v>
      </c>
    </row>
    <row r="1801" spans="2:6">
      <c r="B1801" s="13" t="s">
        <v>165</v>
      </c>
      <c r="C1801" s="13" t="s">
        <v>166</v>
      </c>
      <c r="D1801" s="13">
        <v>9.7799999999999994</v>
      </c>
      <c r="E1801" s="13">
        <v>2</v>
      </c>
      <c r="F1801" s="13">
        <f t="shared" si="28"/>
        <v>4.8899999999999997</v>
      </c>
    </row>
    <row r="1802" spans="2:6">
      <c r="B1802" s="13" t="s">
        <v>2338</v>
      </c>
      <c r="C1802" s="13" t="s">
        <v>2339</v>
      </c>
      <c r="D1802" s="13">
        <v>1.81</v>
      </c>
      <c r="E1802" s="13">
        <v>1</v>
      </c>
      <c r="F1802" s="13">
        <f t="shared" si="28"/>
        <v>1.81</v>
      </c>
    </row>
    <row r="1803" spans="2:6">
      <c r="B1803" s="13" t="s">
        <v>2117</v>
      </c>
      <c r="C1803" s="13" t="s">
        <v>2120</v>
      </c>
      <c r="D1803" s="13">
        <v>115.29600000000001</v>
      </c>
      <c r="E1803" s="13">
        <v>3</v>
      </c>
      <c r="F1803" s="13">
        <f t="shared" si="28"/>
        <v>38.432000000000002</v>
      </c>
    </row>
    <row r="1804" spans="2:6">
      <c r="B1804" s="13" t="s">
        <v>2340</v>
      </c>
      <c r="C1804" s="13" t="s">
        <v>2341</v>
      </c>
      <c r="D1804" s="13">
        <v>2479.96</v>
      </c>
      <c r="E1804" s="13">
        <v>4</v>
      </c>
      <c r="F1804" s="13">
        <f t="shared" si="28"/>
        <v>619.99</v>
      </c>
    </row>
    <row r="1805" spans="2:6">
      <c r="B1805" s="13" t="s">
        <v>1860</v>
      </c>
      <c r="C1805" s="13" t="s">
        <v>1866</v>
      </c>
      <c r="D1805" s="13">
        <v>181.98599999999999</v>
      </c>
      <c r="E1805" s="13">
        <v>2</v>
      </c>
      <c r="F1805" s="13">
        <f t="shared" si="28"/>
        <v>90.992999999999995</v>
      </c>
    </row>
    <row r="1806" spans="2:6">
      <c r="B1806" s="13" t="s">
        <v>81</v>
      </c>
      <c r="C1806" s="13" t="s">
        <v>83</v>
      </c>
      <c r="D1806" s="13">
        <v>1.5919999999999996</v>
      </c>
      <c r="E1806" s="13">
        <v>2</v>
      </c>
      <c r="F1806" s="13">
        <f t="shared" si="28"/>
        <v>0.79599999999999982</v>
      </c>
    </row>
    <row r="1807" spans="2:6">
      <c r="B1807" s="13" t="s">
        <v>457</v>
      </c>
      <c r="C1807" s="13" t="s">
        <v>464</v>
      </c>
      <c r="D1807" s="13">
        <v>22.344000000000001</v>
      </c>
      <c r="E1807" s="13">
        <v>3</v>
      </c>
      <c r="F1807" s="13">
        <f t="shared" si="28"/>
        <v>7.4480000000000004</v>
      </c>
    </row>
    <row r="1808" spans="2:6">
      <c r="B1808" s="13" t="s">
        <v>2342</v>
      </c>
      <c r="C1808" s="13" t="s">
        <v>2344</v>
      </c>
      <c r="D1808" s="13">
        <v>67.400000000000006</v>
      </c>
      <c r="E1808" s="13">
        <v>5</v>
      </c>
      <c r="F1808" s="13">
        <f t="shared" si="28"/>
        <v>13.48</v>
      </c>
    </row>
    <row r="1809" spans="2:6">
      <c r="B1809" s="13" t="s">
        <v>2343</v>
      </c>
      <c r="C1809" s="13" t="s">
        <v>2345</v>
      </c>
      <c r="D1809" s="13">
        <v>25.16</v>
      </c>
      <c r="E1809" s="13">
        <v>2</v>
      </c>
      <c r="F1809" s="13">
        <f t="shared" si="28"/>
        <v>12.58</v>
      </c>
    </row>
    <row r="1810" spans="2:6">
      <c r="B1810" s="13" t="s">
        <v>1307</v>
      </c>
      <c r="C1810" s="13" t="s">
        <v>1313</v>
      </c>
      <c r="D1810" s="13">
        <v>126.56</v>
      </c>
      <c r="E1810" s="13">
        <v>4</v>
      </c>
      <c r="F1810" s="13">
        <f t="shared" si="28"/>
        <v>31.64</v>
      </c>
    </row>
    <row r="1811" spans="2:6">
      <c r="B1811" s="13" t="s">
        <v>1651</v>
      </c>
      <c r="C1811" s="13" t="s">
        <v>1658</v>
      </c>
      <c r="D1811" s="13">
        <v>10.16</v>
      </c>
      <c r="E1811" s="13">
        <v>2</v>
      </c>
      <c r="F1811" s="13">
        <f t="shared" si="28"/>
        <v>5.08</v>
      </c>
    </row>
    <row r="1812" spans="2:6">
      <c r="B1812" s="13" t="s">
        <v>2346</v>
      </c>
      <c r="C1812" s="13" t="s">
        <v>2350</v>
      </c>
      <c r="D1812" s="13">
        <v>34.54</v>
      </c>
      <c r="E1812" s="13">
        <v>1</v>
      </c>
      <c r="F1812" s="13">
        <f t="shared" si="28"/>
        <v>34.54</v>
      </c>
    </row>
    <row r="1813" spans="2:6">
      <c r="B1813" s="13" t="s">
        <v>2074</v>
      </c>
      <c r="C1813" s="13" t="s">
        <v>2076</v>
      </c>
      <c r="D1813" s="13">
        <v>2999.95</v>
      </c>
      <c r="E1813" s="13">
        <v>5</v>
      </c>
      <c r="F1813" s="13">
        <f t="shared" si="28"/>
        <v>599.99</v>
      </c>
    </row>
    <row r="1814" spans="2:6">
      <c r="B1814" s="13" t="s">
        <v>723</v>
      </c>
      <c r="C1814" s="13" t="s">
        <v>729</v>
      </c>
      <c r="D1814" s="13">
        <v>64.12</v>
      </c>
      <c r="E1814" s="13">
        <v>4</v>
      </c>
      <c r="F1814" s="13">
        <f t="shared" si="28"/>
        <v>16.03</v>
      </c>
    </row>
    <row r="1815" spans="2:6">
      <c r="B1815" s="13" t="s">
        <v>1627</v>
      </c>
      <c r="C1815" s="13" t="s">
        <v>1631</v>
      </c>
      <c r="D1815" s="13">
        <v>19.456000000000003</v>
      </c>
      <c r="E1815" s="13">
        <v>4</v>
      </c>
      <c r="F1815" s="13">
        <f t="shared" si="28"/>
        <v>4.8640000000000008</v>
      </c>
    </row>
    <row r="1816" spans="2:6">
      <c r="B1816" s="13" t="s">
        <v>2347</v>
      </c>
      <c r="C1816" s="13" t="s">
        <v>2351</v>
      </c>
      <c r="D1816" s="13">
        <v>209.98599999999999</v>
      </c>
      <c r="E1816" s="13">
        <v>2</v>
      </c>
      <c r="F1816" s="13">
        <f t="shared" si="28"/>
        <v>104.99299999999999</v>
      </c>
    </row>
    <row r="1817" spans="2:6">
      <c r="B1817" s="13" t="s">
        <v>1463</v>
      </c>
      <c r="C1817" s="13" t="s">
        <v>1464</v>
      </c>
      <c r="D1817" s="13">
        <v>29.760000000000005</v>
      </c>
      <c r="E1817" s="13">
        <v>5</v>
      </c>
      <c r="F1817" s="13">
        <f t="shared" si="28"/>
        <v>5.9520000000000008</v>
      </c>
    </row>
    <row r="1818" spans="2:6">
      <c r="B1818" s="13" t="s">
        <v>2348</v>
      </c>
      <c r="C1818" s="13" t="s">
        <v>2352</v>
      </c>
      <c r="D1818" s="13">
        <v>89.768000000000001</v>
      </c>
      <c r="E1818" s="13">
        <v>1</v>
      </c>
      <c r="F1818" s="13">
        <f t="shared" si="28"/>
        <v>89.768000000000001</v>
      </c>
    </row>
    <row r="1819" spans="2:6">
      <c r="B1819" s="13" t="s">
        <v>2074</v>
      </c>
      <c r="C1819" s="13" t="s">
        <v>2076</v>
      </c>
      <c r="D1819" s="13">
        <v>959.98400000000004</v>
      </c>
      <c r="E1819" s="13">
        <v>2</v>
      </c>
      <c r="F1819" s="13">
        <f t="shared" si="28"/>
        <v>479.99200000000002</v>
      </c>
    </row>
    <row r="1820" spans="2:6">
      <c r="B1820" s="13" t="s">
        <v>353</v>
      </c>
      <c r="C1820" s="13" t="s">
        <v>358</v>
      </c>
      <c r="D1820" s="13">
        <v>15.552000000000003</v>
      </c>
      <c r="E1820" s="13">
        <v>3</v>
      </c>
      <c r="F1820" s="13">
        <f t="shared" si="28"/>
        <v>5.1840000000000011</v>
      </c>
    </row>
    <row r="1821" spans="2:6">
      <c r="B1821" s="13" t="s">
        <v>2349</v>
      </c>
      <c r="C1821" s="13" t="s">
        <v>2353</v>
      </c>
      <c r="D1821" s="13">
        <v>34.360000000000007</v>
      </c>
      <c r="E1821" s="13">
        <v>1</v>
      </c>
      <c r="F1821" s="13">
        <f t="shared" si="28"/>
        <v>34.360000000000007</v>
      </c>
    </row>
    <row r="1822" spans="2:6">
      <c r="B1822" s="13" t="s">
        <v>761</v>
      </c>
      <c r="C1822" s="13" t="s">
        <v>763</v>
      </c>
      <c r="D1822" s="13">
        <v>6.56</v>
      </c>
      <c r="E1822" s="13">
        <v>2</v>
      </c>
      <c r="F1822" s="13">
        <f t="shared" si="28"/>
        <v>3.28</v>
      </c>
    </row>
    <row r="1823" spans="2:6">
      <c r="B1823" s="13" t="s">
        <v>1165</v>
      </c>
      <c r="C1823" s="13" t="s">
        <v>1167</v>
      </c>
      <c r="D1823" s="13">
        <v>243.92</v>
      </c>
      <c r="E1823" s="13">
        <v>5</v>
      </c>
      <c r="F1823" s="13">
        <f t="shared" si="28"/>
        <v>48.783999999999999</v>
      </c>
    </row>
    <row r="1824" spans="2:6">
      <c r="B1824" s="13" t="s">
        <v>2354</v>
      </c>
      <c r="C1824" s="13" t="s">
        <v>2355</v>
      </c>
      <c r="D1824" s="13">
        <v>47.52</v>
      </c>
      <c r="E1824" s="13">
        <v>9</v>
      </c>
      <c r="F1824" s="13">
        <f t="shared" si="28"/>
        <v>5.28</v>
      </c>
    </row>
    <row r="1825" spans="2:6">
      <c r="B1825" s="13" t="s">
        <v>1335</v>
      </c>
      <c r="C1825" s="13" t="s">
        <v>1337</v>
      </c>
      <c r="D1825" s="13">
        <v>19.98</v>
      </c>
      <c r="E1825" s="13">
        <v>1</v>
      </c>
      <c r="F1825" s="13">
        <f t="shared" si="28"/>
        <v>19.98</v>
      </c>
    </row>
    <row r="1826" spans="2:6">
      <c r="B1826" s="13" t="s">
        <v>2356</v>
      </c>
      <c r="C1826" s="13" t="s">
        <v>2358</v>
      </c>
      <c r="D1826" s="13">
        <v>83.56</v>
      </c>
      <c r="E1826" s="13">
        <v>4</v>
      </c>
      <c r="F1826" s="13">
        <f t="shared" si="28"/>
        <v>20.89</v>
      </c>
    </row>
    <row r="1827" spans="2:6">
      <c r="B1827" s="13" t="s">
        <v>2357</v>
      </c>
      <c r="C1827" s="13" t="s">
        <v>2359</v>
      </c>
      <c r="D1827" s="13">
        <v>546.06000000000006</v>
      </c>
      <c r="E1827" s="13">
        <v>3</v>
      </c>
      <c r="F1827" s="13">
        <f t="shared" si="28"/>
        <v>182.02</v>
      </c>
    </row>
    <row r="1828" spans="2:6">
      <c r="B1828" s="13" t="s">
        <v>1181</v>
      </c>
      <c r="C1828" s="13" t="s">
        <v>1189</v>
      </c>
      <c r="D1828" s="13">
        <v>269.49</v>
      </c>
      <c r="E1828" s="13">
        <v>3</v>
      </c>
      <c r="F1828" s="13">
        <f t="shared" si="28"/>
        <v>89.83</v>
      </c>
    </row>
    <row r="1829" spans="2:6">
      <c r="B1829" s="13" t="s">
        <v>480</v>
      </c>
      <c r="C1829" s="13" t="s">
        <v>482</v>
      </c>
      <c r="D1829" s="13">
        <v>59.913000000000011</v>
      </c>
      <c r="E1829" s="13">
        <v>7</v>
      </c>
      <c r="F1829" s="13">
        <f t="shared" si="28"/>
        <v>8.5590000000000011</v>
      </c>
    </row>
    <row r="1830" spans="2:6">
      <c r="B1830" s="13" t="s">
        <v>969</v>
      </c>
      <c r="C1830" s="13" t="s">
        <v>972</v>
      </c>
      <c r="D1830" s="13">
        <v>391.98</v>
      </c>
      <c r="E1830" s="13">
        <v>2</v>
      </c>
      <c r="F1830" s="13">
        <f t="shared" si="28"/>
        <v>195.99</v>
      </c>
    </row>
    <row r="1831" spans="2:6">
      <c r="B1831" s="13" t="s">
        <v>2360</v>
      </c>
      <c r="C1831" s="13" t="s">
        <v>2361</v>
      </c>
      <c r="D1831" s="13">
        <v>437.84999999999997</v>
      </c>
      <c r="E1831" s="13">
        <v>3</v>
      </c>
      <c r="F1831" s="13">
        <f t="shared" si="28"/>
        <v>145.94999999999999</v>
      </c>
    </row>
    <row r="1832" spans="2:6">
      <c r="B1832" s="13" t="s">
        <v>849</v>
      </c>
      <c r="C1832" s="13" t="s">
        <v>853</v>
      </c>
      <c r="D1832" s="13">
        <v>25.02</v>
      </c>
      <c r="E1832" s="13">
        <v>3</v>
      </c>
      <c r="F1832" s="13">
        <f t="shared" si="28"/>
        <v>8.34</v>
      </c>
    </row>
    <row r="1833" spans="2:6">
      <c r="B1833" s="13" t="s">
        <v>2362</v>
      </c>
      <c r="C1833" s="13" t="s">
        <v>2363</v>
      </c>
      <c r="D1833" s="13">
        <v>10.709999999999999</v>
      </c>
      <c r="E1833" s="13">
        <v>3</v>
      </c>
      <c r="F1833" s="13">
        <f t="shared" si="28"/>
        <v>3.57</v>
      </c>
    </row>
    <row r="1834" spans="2:6">
      <c r="B1834" s="13" t="s">
        <v>1380</v>
      </c>
      <c r="C1834" s="13" t="s">
        <v>1383</v>
      </c>
      <c r="D1834" s="13">
        <v>11.05</v>
      </c>
      <c r="E1834" s="13">
        <v>5</v>
      </c>
      <c r="F1834" s="13">
        <f t="shared" si="28"/>
        <v>2.21</v>
      </c>
    </row>
    <row r="1835" spans="2:6">
      <c r="B1835" s="13" t="s">
        <v>2364</v>
      </c>
      <c r="C1835" s="13" t="s">
        <v>2365</v>
      </c>
      <c r="D1835" s="13">
        <v>659.9</v>
      </c>
      <c r="E1835" s="13">
        <v>2</v>
      </c>
      <c r="F1835" s="13">
        <f t="shared" si="28"/>
        <v>329.95</v>
      </c>
    </row>
    <row r="1836" spans="2:6">
      <c r="B1836" s="13" t="s">
        <v>1227</v>
      </c>
      <c r="C1836" s="13" t="s">
        <v>1752</v>
      </c>
      <c r="D1836" s="13">
        <v>843.9</v>
      </c>
      <c r="E1836" s="13">
        <v>2</v>
      </c>
      <c r="F1836" s="13">
        <f t="shared" si="28"/>
        <v>421.95</v>
      </c>
    </row>
    <row r="1837" spans="2:6">
      <c r="B1837" s="13" t="s">
        <v>2366</v>
      </c>
      <c r="C1837" s="13" t="s">
        <v>2367</v>
      </c>
      <c r="D1837" s="13">
        <v>1496.16</v>
      </c>
      <c r="E1837" s="13">
        <v>9</v>
      </c>
      <c r="F1837" s="13">
        <f t="shared" si="28"/>
        <v>166.24</v>
      </c>
    </row>
    <row r="1838" spans="2:6">
      <c r="B1838" s="13" t="s">
        <v>1560</v>
      </c>
      <c r="C1838" s="13" t="s">
        <v>1564</v>
      </c>
      <c r="D1838" s="13">
        <v>19.52</v>
      </c>
      <c r="E1838" s="13">
        <v>2</v>
      </c>
      <c r="F1838" s="13">
        <f t="shared" si="28"/>
        <v>9.76</v>
      </c>
    </row>
    <row r="1839" spans="2:6">
      <c r="B1839" s="13" t="s">
        <v>2276</v>
      </c>
      <c r="C1839" s="13" t="s">
        <v>2279</v>
      </c>
      <c r="D1839" s="13">
        <v>13.872000000000002</v>
      </c>
      <c r="E1839" s="13">
        <v>6</v>
      </c>
      <c r="F1839" s="13">
        <f t="shared" si="28"/>
        <v>2.3120000000000003</v>
      </c>
    </row>
    <row r="1840" spans="2:6">
      <c r="B1840" s="13" t="s">
        <v>2368</v>
      </c>
      <c r="C1840" s="13" t="s">
        <v>2369</v>
      </c>
      <c r="D1840" s="13">
        <v>273.55200000000002</v>
      </c>
      <c r="E1840" s="13">
        <v>3</v>
      </c>
      <c r="F1840" s="13">
        <f t="shared" si="28"/>
        <v>91.184000000000012</v>
      </c>
    </row>
    <row r="1841" spans="2:6">
      <c r="B1841" s="13" t="s">
        <v>2370</v>
      </c>
      <c r="C1841" s="13" t="s">
        <v>2372</v>
      </c>
      <c r="D1841" s="13">
        <v>82.56</v>
      </c>
      <c r="E1841" s="13">
        <v>5</v>
      </c>
      <c r="F1841" s="13">
        <f t="shared" si="28"/>
        <v>16.512</v>
      </c>
    </row>
    <row r="1842" spans="2:6">
      <c r="B1842" s="13" t="s">
        <v>1649</v>
      </c>
      <c r="C1842" s="13" t="s">
        <v>1656</v>
      </c>
      <c r="D1842" s="13">
        <v>284.96999999999997</v>
      </c>
      <c r="E1842" s="13">
        <v>3</v>
      </c>
      <c r="F1842" s="13">
        <f t="shared" si="28"/>
        <v>94.99</v>
      </c>
    </row>
    <row r="1843" spans="2:6">
      <c r="B1843" s="13" t="s">
        <v>2371</v>
      </c>
      <c r="C1843" s="13" t="s">
        <v>2373</v>
      </c>
      <c r="D1843" s="13">
        <v>60.84</v>
      </c>
      <c r="E1843" s="13">
        <v>3</v>
      </c>
      <c r="F1843" s="13">
        <f t="shared" si="28"/>
        <v>20.28</v>
      </c>
    </row>
    <row r="1844" spans="2:6">
      <c r="B1844" s="13" t="s">
        <v>1222</v>
      </c>
      <c r="C1844" s="13" t="s">
        <v>1225</v>
      </c>
      <c r="D1844" s="13">
        <v>11.12</v>
      </c>
      <c r="E1844" s="13">
        <v>4</v>
      </c>
      <c r="F1844" s="13">
        <f t="shared" si="28"/>
        <v>2.78</v>
      </c>
    </row>
    <row r="1845" spans="2:6">
      <c r="B1845" s="13" t="s">
        <v>701</v>
      </c>
      <c r="C1845" s="13" t="s">
        <v>702</v>
      </c>
      <c r="D1845" s="13">
        <v>34.76</v>
      </c>
      <c r="E1845" s="13">
        <v>5</v>
      </c>
      <c r="F1845" s="13">
        <f t="shared" si="28"/>
        <v>6.952</v>
      </c>
    </row>
    <row r="1846" spans="2:6">
      <c r="B1846" s="13" t="s">
        <v>718</v>
      </c>
      <c r="C1846" s="13" t="s">
        <v>724</v>
      </c>
      <c r="D1846" s="13">
        <v>74.45</v>
      </c>
      <c r="E1846" s="13">
        <v>5</v>
      </c>
      <c r="F1846" s="13">
        <f t="shared" si="28"/>
        <v>14.89</v>
      </c>
    </row>
    <row r="1847" spans="2:6">
      <c r="B1847" s="13" t="s">
        <v>1499</v>
      </c>
      <c r="C1847" s="13" t="s">
        <v>1503</v>
      </c>
      <c r="D1847" s="13">
        <v>19.440000000000001</v>
      </c>
      <c r="E1847" s="13">
        <v>3</v>
      </c>
      <c r="F1847" s="13">
        <f t="shared" si="28"/>
        <v>6.48</v>
      </c>
    </row>
    <row r="1848" spans="2:6">
      <c r="B1848" s="13" t="s">
        <v>2374</v>
      </c>
      <c r="C1848" s="13" t="s">
        <v>2378</v>
      </c>
      <c r="D1848" s="13">
        <v>32.400000000000006</v>
      </c>
      <c r="E1848" s="13">
        <v>5</v>
      </c>
      <c r="F1848" s="13">
        <f t="shared" si="28"/>
        <v>6.4800000000000013</v>
      </c>
    </row>
    <row r="1849" spans="2:6">
      <c r="B1849" s="13" t="s">
        <v>2375</v>
      </c>
      <c r="C1849" s="13" t="s">
        <v>2231</v>
      </c>
      <c r="D1849" s="13">
        <v>57.9</v>
      </c>
      <c r="E1849" s="13">
        <v>5</v>
      </c>
      <c r="F1849" s="13">
        <f t="shared" si="28"/>
        <v>11.58</v>
      </c>
    </row>
    <row r="1850" spans="2:6">
      <c r="B1850" s="13" t="s">
        <v>1836</v>
      </c>
      <c r="C1850" s="13" t="s">
        <v>1839</v>
      </c>
      <c r="D1850" s="13">
        <v>10.56</v>
      </c>
      <c r="E1850" s="13">
        <v>2</v>
      </c>
      <c r="F1850" s="13">
        <f t="shared" si="28"/>
        <v>5.28</v>
      </c>
    </row>
    <row r="1851" spans="2:6">
      <c r="B1851" s="13" t="s">
        <v>2376</v>
      </c>
      <c r="C1851" s="13" t="s">
        <v>2379</v>
      </c>
      <c r="D1851" s="13">
        <v>1194.165</v>
      </c>
      <c r="E1851" s="13">
        <v>5</v>
      </c>
      <c r="F1851" s="13">
        <f t="shared" si="28"/>
        <v>238.833</v>
      </c>
    </row>
    <row r="1852" spans="2:6">
      <c r="B1852" s="13" t="s">
        <v>2377</v>
      </c>
      <c r="C1852" s="13" t="s">
        <v>2380</v>
      </c>
      <c r="D1852" s="13">
        <v>40.99</v>
      </c>
      <c r="E1852" s="13">
        <v>1</v>
      </c>
      <c r="F1852" s="13">
        <f t="shared" si="28"/>
        <v>40.99</v>
      </c>
    </row>
    <row r="1853" spans="2:6">
      <c r="B1853" s="13" t="s">
        <v>2381</v>
      </c>
      <c r="C1853" s="13" t="s">
        <v>2382</v>
      </c>
      <c r="D1853" s="13">
        <v>15.840000000000002</v>
      </c>
      <c r="E1853" s="13">
        <v>2</v>
      </c>
      <c r="F1853" s="13">
        <f t="shared" si="28"/>
        <v>7.9200000000000008</v>
      </c>
    </row>
    <row r="1854" spans="2:6">
      <c r="B1854" s="13" t="s">
        <v>1883</v>
      </c>
      <c r="C1854" s="13" t="s">
        <v>1886</v>
      </c>
      <c r="D1854" s="13">
        <v>8.4480000000000004</v>
      </c>
      <c r="E1854" s="13">
        <v>2</v>
      </c>
      <c r="F1854" s="13">
        <f t="shared" si="28"/>
        <v>4.2240000000000002</v>
      </c>
    </row>
    <row r="1855" spans="2:6">
      <c r="B1855" s="13" t="s">
        <v>2383</v>
      </c>
      <c r="C1855" s="13" t="s">
        <v>2385</v>
      </c>
      <c r="D1855" s="13">
        <v>27.395999999999997</v>
      </c>
      <c r="E1855" s="13">
        <v>9</v>
      </c>
      <c r="F1855" s="13">
        <f t="shared" si="28"/>
        <v>3.0439999999999996</v>
      </c>
    </row>
    <row r="1856" spans="2:6">
      <c r="B1856" s="13" t="s">
        <v>2384</v>
      </c>
      <c r="C1856" s="13" t="s">
        <v>2386</v>
      </c>
      <c r="D1856" s="13">
        <v>13.455999999999998</v>
      </c>
      <c r="E1856" s="13">
        <v>1</v>
      </c>
      <c r="F1856" s="13">
        <f t="shared" si="28"/>
        <v>13.455999999999998</v>
      </c>
    </row>
    <row r="1857" spans="2:6">
      <c r="B1857" s="13" t="s">
        <v>2021</v>
      </c>
      <c r="C1857" s="13" t="s">
        <v>2025</v>
      </c>
      <c r="D1857" s="13">
        <v>35.880000000000003</v>
      </c>
      <c r="E1857" s="13">
        <v>6</v>
      </c>
      <c r="F1857" s="13">
        <f t="shared" si="28"/>
        <v>5.98</v>
      </c>
    </row>
    <row r="1858" spans="2:6">
      <c r="B1858" s="13" t="s">
        <v>2187</v>
      </c>
      <c r="C1858" s="13" t="s">
        <v>2190</v>
      </c>
      <c r="D1858" s="13">
        <v>40.176000000000002</v>
      </c>
      <c r="E1858" s="13">
        <v>3</v>
      </c>
      <c r="F1858" s="13">
        <f t="shared" si="28"/>
        <v>13.392000000000001</v>
      </c>
    </row>
    <row r="1859" spans="2:6">
      <c r="B1859" s="13" t="s">
        <v>730</v>
      </c>
      <c r="C1859" s="13" t="s">
        <v>731</v>
      </c>
      <c r="D1859" s="13">
        <v>36.792000000000002</v>
      </c>
      <c r="E1859" s="13">
        <v>1</v>
      </c>
      <c r="F1859" s="13">
        <f t="shared" si="28"/>
        <v>36.792000000000002</v>
      </c>
    </row>
    <row r="1860" spans="2:6">
      <c r="B1860" s="13" t="s">
        <v>1303</v>
      </c>
      <c r="C1860" s="13" t="s">
        <v>1305</v>
      </c>
      <c r="D1860" s="13">
        <v>177.54999999999998</v>
      </c>
      <c r="E1860" s="13">
        <v>5</v>
      </c>
      <c r="F1860" s="13">
        <f t="shared" ref="F1860:F1923" si="29">D1860/E1860</f>
        <v>35.51</v>
      </c>
    </row>
    <row r="1861" spans="2:6">
      <c r="B1861" s="13" t="s">
        <v>2387</v>
      </c>
      <c r="C1861" s="13" t="s">
        <v>2388</v>
      </c>
      <c r="D1861" s="13">
        <v>81.400000000000006</v>
      </c>
      <c r="E1861" s="13">
        <v>5</v>
      </c>
      <c r="F1861" s="13">
        <f t="shared" si="29"/>
        <v>16.28</v>
      </c>
    </row>
    <row r="1862" spans="2:6">
      <c r="B1862" s="13" t="s">
        <v>1031</v>
      </c>
      <c r="C1862" s="13" t="s">
        <v>1052</v>
      </c>
      <c r="D1862" s="13">
        <v>178.10999999999999</v>
      </c>
      <c r="E1862" s="13">
        <v>3</v>
      </c>
      <c r="F1862" s="13">
        <f t="shared" si="29"/>
        <v>59.37</v>
      </c>
    </row>
    <row r="1863" spans="2:6">
      <c r="B1863" s="13" t="s">
        <v>2389</v>
      </c>
      <c r="C1863" s="13" t="s">
        <v>2392</v>
      </c>
      <c r="D1863" s="13">
        <v>1089.75</v>
      </c>
      <c r="E1863" s="13">
        <v>3</v>
      </c>
      <c r="F1863" s="13">
        <f t="shared" si="29"/>
        <v>363.25</v>
      </c>
    </row>
    <row r="1864" spans="2:6">
      <c r="B1864" s="13" t="s">
        <v>2157</v>
      </c>
      <c r="C1864" s="13" t="s">
        <v>2158</v>
      </c>
      <c r="D1864" s="13">
        <v>61.06</v>
      </c>
      <c r="E1864" s="13">
        <v>2</v>
      </c>
      <c r="F1864" s="13">
        <f t="shared" si="29"/>
        <v>30.53</v>
      </c>
    </row>
    <row r="1865" spans="2:6">
      <c r="B1865" s="13" t="s">
        <v>2006</v>
      </c>
      <c r="C1865" s="13" t="s">
        <v>2008</v>
      </c>
      <c r="D1865" s="13">
        <v>459.92</v>
      </c>
      <c r="E1865" s="13">
        <v>4</v>
      </c>
      <c r="F1865" s="13">
        <f t="shared" si="29"/>
        <v>114.98</v>
      </c>
    </row>
    <row r="1866" spans="2:6">
      <c r="B1866" s="13" t="s">
        <v>766</v>
      </c>
      <c r="C1866" s="13" t="s">
        <v>768</v>
      </c>
      <c r="D1866" s="13">
        <v>27.52</v>
      </c>
      <c r="E1866" s="13">
        <v>4</v>
      </c>
      <c r="F1866" s="13">
        <f t="shared" si="29"/>
        <v>6.88</v>
      </c>
    </row>
    <row r="1867" spans="2:6">
      <c r="B1867" s="13" t="s">
        <v>2390</v>
      </c>
      <c r="C1867" s="13" t="s">
        <v>2393</v>
      </c>
      <c r="D1867" s="13">
        <v>638.82000000000005</v>
      </c>
      <c r="E1867" s="13">
        <v>9</v>
      </c>
      <c r="F1867" s="13">
        <f t="shared" si="29"/>
        <v>70.98</v>
      </c>
    </row>
    <row r="1868" spans="2:6">
      <c r="B1868" s="13" t="s">
        <v>2391</v>
      </c>
      <c r="C1868" s="13" t="s">
        <v>2394</v>
      </c>
      <c r="D1868" s="13">
        <v>30.69</v>
      </c>
      <c r="E1868" s="13">
        <v>3</v>
      </c>
      <c r="F1868" s="13">
        <f t="shared" si="29"/>
        <v>10.23</v>
      </c>
    </row>
    <row r="1869" spans="2:6">
      <c r="B1869" s="13" t="s">
        <v>757</v>
      </c>
      <c r="C1869" s="13" t="s">
        <v>759</v>
      </c>
      <c r="D1869" s="13">
        <v>25.16</v>
      </c>
      <c r="E1869" s="13">
        <v>2</v>
      </c>
      <c r="F1869" s="13">
        <f t="shared" si="29"/>
        <v>12.58</v>
      </c>
    </row>
    <row r="1870" spans="2:6">
      <c r="B1870" s="13" t="s">
        <v>1946</v>
      </c>
      <c r="C1870" s="13" t="s">
        <v>1947</v>
      </c>
      <c r="D1870" s="13">
        <v>12.96</v>
      </c>
      <c r="E1870" s="13">
        <v>2</v>
      </c>
      <c r="F1870" s="13">
        <f t="shared" si="29"/>
        <v>6.48</v>
      </c>
    </row>
    <row r="1871" spans="2:6">
      <c r="B1871" s="13" t="s">
        <v>2395</v>
      </c>
      <c r="C1871" s="13" t="s">
        <v>2399</v>
      </c>
      <c r="D1871" s="13">
        <v>26.48</v>
      </c>
      <c r="E1871" s="13">
        <v>1</v>
      </c>
      <c r="F1871" s="13">
        <f t="shared" si="29"/>
        <v>26.48</v>
      </c>
    </row>
    <row r="1872" spans="2:6">
      <c r="B1872" s="13" t="s">
        <v>2396</v>
      </c>
      <c r="C1872" s="13" t="s">
        <v>2400</v>
      </c>
      <c r="D1872" s="13">
        <v>532.72</v>
      </c>
      <c r="E1872" s="13">
        <v>2</v>
      </c>
      <c r="F1872" s="13">
        <f t="shared" si="29"/>
        <v>266.36</v>
      </c>
    </row>
    <row r="1873" spans="2:6">
      <c r="B1873" s="13" t="s">
        <v>1693</v>
      </c>
      <c r="C1873" s="13" t="s">
        <v>1699</v>
      </c>
      <c r="D1873" s="13">
        <v>26.72</v>
      </c>
      <c r="E1873" s="13">
        <v>4</v>
      </c>
      <c r="F1873" s="13">
        <f t="shared" si="29"/>
        <v>6.68</v>
      </c>
    </row>
    <row r="1874" spans="2:6">
      <c r="B1874" s="13" t="s">
        <v>2397</v>
      </c>
      <c r="C1874" s="13" t="s">
        <v>2401</v>
      </c>
      <c r="D1874" s="13">
        <v>20.04</v>
      </c>
      <c r="E1874" s="13">
        <v>3</v>
      </c>
      <c r="F1874" s="13">
        <f t="shared" si="29"/>
        <v>6.68</v>
      </c>
    </row>
    <row r="1875" spans="2:6">
      <c r="B1875" s="13" t="s">
        <v>985</v>
      </c>
      <c r="C1875" s="13" t="s">
        <v>988</v>
      </c>
      <c r="D1875" s="13">
        <v>795.48</v>
      </c>
      <c r="E1875" s="13">
        <v>7</v>
      </c>
      <c r="F1875" s="13">
        <f t="shared" si="29"/>
        <v>113.64</v>
      </c>
    </row>
    <row r="1876" spans="2:6">
      <c r="B1876" s="13" t="s">
        <v>2398</v>
      </c>
      <c r="C1876" s="13" t="s">
        <v>2402</v>
      </c>
      <c r="D1876" s="13">
        <v>21.560000000000002</v>
      </c>
      <c r="E1876" s="13">
        <v>7</v>
      </c>
      <c r="F1876" s="13">
        <f t="shared" si="29"/>
        <v>3.0800000000000005</v>
      </c>
    </row>
    <row r="1877" spans="2:6">
      <c r="B1877" s="13" t="s">
        <v>1110</v>
      </c>
      <c r="C1877" s="13" t="s">
        <v>1113</v>
      </c>
      <c r="D1877" s="13">
        <v>74.95</v>
      </c>
      <c r="E1877" s="13">
        <v>5</v>
      </c>
      <c r="F1877" s="13">
        <f t="shared" si="29"/>
        <v>14.99</v>
      </c>
    </row>
    <row r="1878" spans="2:6">
      <c r="B1878" s="13" t="s">
        <v>1511</v>
      </c>
      <c r="C1878" s="13" t="s">
        <v>1512</v>
      </c>
      <c r="D1878" s="13">
        <v>542.93999999999994</v>
      </c>
      <c r="E1878" s="13">
        <v>3</v>
      </c>
      <c r="F1878" s="13">
        <f t="shared" si="29"/>
        <v>180.98</v>
      </c>
    </row>
    <row r="1879" spans="2:6">
      <c r="B1879" s="13" t="s">
        <v>1632</v>
      </c>
      <c r="C1879" s="13" t="s">
        <v>2403</v>
      </c>
      <c r="D1879" s="13">
        <v>54.92</v>
      </c>
      <c r="E1879" s="13">
        <v>4</v>
      </c>
      <c r="F1879" s="13">
        <f t="shared" si="29"/>
        <v>13.73</v>
      </c>
    </row>
    <row r="1880" spans="2:6">
      <c r="B1880" s="13" t="s">
        <v>706</v>
      </c>
      <c r="C1880" s="13" t="s">
        <v>707</v>
      </c>
      <c r="D1880" s="13">
        <v>85.2</v>
      </c>
      <c r="E1880" s="13">
        <v>6</v>
      </c>
      <c r="F1880" s="13">
        <f t="shared" si="29"/>
        <v>14.200000000000001</v>
      </c>
    </row>
    <row r="1881" spans="2:6">
      <c r="B1881" s="13" t="s">
        <v>205</v>
      </c>
      <c r="C1881" s="13" t="s">
        <v>218</v>
      </c>
      <c r="D1881" s="13">
        <v>217.76400000000001</v>
      </c>
      <c r="E1881" s="13">
        <v>6</v>
      </c>
      <c r="F1881" s="13">
        <f t="shared" si="29"/>
        <v>36.294000000000004</v>
      </c>
    </row>
    <row r="1882" spans="2:6">
      <c r="B1882" s="13" t="s">
        <v>2404</v>
      </c>
      <c r="C1882" s="13" t="s">
        <v>2407</v>
      </c>
      <c r="D1882" s="13">
        <v>39.072000000000003</v>
      </c>
      <c r="E1882" s="13">
        <v>6</v>
      </c>
      <c r="F1882" s="13">
        <f t="shared" si="29"/>
        <v>6.5120000000000005</v>
      </c>
    </row>
    <row r="1883" spans="2:6">
      <c r="B1883" s="13" t="s">
        <v>2405</v>
      </c>
      <c r="C1883" s="13" t="s">
        <v>2408</v>
      </c>
      <c r="D1883" s="13">
        <v>22.638000000000002</v>
      </c>
      <c r="E1883" s="13">
        <v>7</v>
      </c>
      <c r="F1883" s="13">
        <f t="shared" si="29"/>
        <v>3.2340000000000004</v>
      </c>
    </row>
    <row r="1884" spans="2:6">
      <c r="B1884" s="13" t="s">
        <v>2406</v>
      </c>
      <c r="C1884" s="13" t="s">
        <v>2409</v>
      </c>
      <c r="D1884" s="13">
        <v>95.143999999999991</v>
      </c>
      <c r="E1884" s="13">
        <v>7</v>
      </c>
      <c r="F1884" s="13">
        <f t="shared" si="29"/>
        <v>13.591999999999999</v>
      </c>
    </row>
    <row r="1885" spans="2:6">
      <c r="B1885" s="13" t="s">
        <v>2398</v>
      </c>
      <c r="C1885" s="13" t="s">
        <v>2402</v>
      </c>
      <c r="D1885" s="13">
        <v>12.320000000000002</v>
      </c>
      <c r="E1885" s="13">
        <v>5</v>
      </c>
      <c r="F1885" s="13">
        <f t="shared" si="29"/>
        <v>2.4640000000000004</v>
      </c>
    </row>
    <row r="1886" spans="2:6">
      <c r="B1886" s="13" t="s">
        <v>1346</v>
      </c>
      <c r="C1886" s="13" t="s">
        <v>1352</v>
      </c>
      <c r="D1886" s="13">
        <v>4.4190000000000005</v>
      </c>
      <c r="E1886" s="13">
        <v>3</v>
      </c>
      <c r="F1886" s="13">
        <f t="shared" si="29"/>
        <v>1.4730000000000001</v>
      </c>
    </row>
    <row r="1887" spans="2:6">
      <c r="B1887" s="13" t="s">
        <v>456</v>
      </c>
      <c r="C1887" s="13" t="s">
        <v>463</v>
      </c>
      <c r="D1887" s="13">
        <v>35</v>
      </c>
      <c r="E1887" s="13">
        <v>7</v>
      </c>
      <c r="F1887" s="13">
        <f t="shared" si="29"/>
        <v>5</v>
      </c>
    </row>
    <row r="1888" spans="2:6">
      <c r="B1888" s="13" t="s">
        <v>814</v>
      </c>
      <c r="C1888" s="13" t="s">
        <v>821</v>
      </c>
      <c r="D1888" s="13">
        <v>72.784000000000006</v>
      </c>
      <c r="E1888" s="13">
        <v>1</v>
      </c>
      <c r="F1888" s="13">
        <f t="shared" si="29"/>
        <v>72.784000000000006</v>
      </c>
    </row>
    <row r="1889" spans="2:6">
      <c r="B1889" s="13" t="s">
        <v>1255</v>
      </c>
      <c r="C1889" s="13" t="s">
        <v>1260</v>
      </c>
      <c r="D1889" s="13">
        <v>97.84</v>
      </c>
      <c r="E1889" s="13">
        <v>2</v>
      </c>
      <c r="F1889" s="13">
        <f t="shared" si="29"/>
        <v>48.92</v>
      </c>
    </row>
    <row r="1890" spans="2:6">
      <c r="B1890" s="13" t="s">
        <v>588</v>
      </c>
      <c r="C1890" s="13" t="s">
        <v>590</v>
      </c>
      <c r="D1890" s="13">
        <v>51.75</v>
      </c>
      <c r="E1890" s="13">
        <v>1</v>
      </c>
      <c r="F1890" s="13">
        <f t="shared" si="29"/>
        <v>51.75</v>
      </c>
    </row>
    <row r="1891" spans="2:6">
      <c r="B1891" s="13" t="s">
        <v>626</v>
      </c>
      <c r="C1891" s="13" t="s">
        <v>628</v>
      </c>
      <c r="D1891" s="13">
        <v>46.672000000000004</v>
      </c>
      <c r="E1891" s="13">
        <v>2</v>
      </c>
      <c r="F1891" s="13">
        <f t="shared" si="29"/>
        <v>23.336000000000002</v>
      </c>
    </row>
    <row r="1892" spans="2:6">
      <c r="B1892" s="13" t="s">
        <v>844</v>
      </c>
      <c r="C1892" s="13" t="s">
        <v>846</v>
      </c>
      <c r="D1892" s="13">
        <v>10.272000000000002</v>
      </c>
      <c r="E1892" s="13">
        <v>3</v>
      </c>
      <c r="F1892" s="13">
        <f t="shared" si="29"/>
        <v>3.4240000000000008</v>
      </c>
    </row>
    <row r="1893" spans="2:6">
      <c r="B1893" s="13" t="s">
        <v>2410</v>
      </c>
      <c r="C1893" s="13" t="s">
        <v>2411</v>
      </c>
      <c r="D1893" s="13">
        <v>61.792000000000002</v>
      </c>
      <c r="E1893" s="13">
        <v>4</v>
      </c>
      <c r="F1893" s="13">
        <f t="shared" si="29"/>
        <v>15.448</v>
      </c>
    </row>
    <row r="1894" spans="2:6">
      <c r="B1894" s="13" t="s">
        <v>508</v>
      </c>
      <c r="C1894" s="13" t="s">
        <v>514</v>
      </c>
      <c r="D1894" s="13">
        <v>205.99919999999997</v>
      </c>
      <c r="E1894" s="13">
        <v>3</v>
      </c>
      <c r="F1894" s="13">
        <f t="shared" si="29"/>
        <v>68.666399999999996</v>
      </c>
    </row>
    <row r="1895" spans="2:6">
      <c r="B1895" s="13" t="s">
        <v>1384</v>
      </c>
      <c r="C1895" s="13" t="s">
        <v>1386</v>
      </c>
      <c r="D1895" s="13">
        <v>238.62</v>
      </c>
      <c r="E1895" s="13">
        <v>2</v>
      </c>
      <c r="F1895" s="13">
        <f t="shared" si="29"/>
        <v>119.31</v>
      </c>
    </row>
    <row r="1896" spans="2:6">
      <c r="B1896" s="13" t="s">
        <v>835</v>
      </c>
      <c r="C1896" s="13" t="s">
        <v>836</v>
      </c>
      <c r="D1896" s="13">
        <v>7.77</v>
      </c>
      <c r="E1896" s="13">
        <v>1</v>
      </c>
      <c r="F1896" s="13">
        <f t="shared" si="29"/>
        <v>7.77</v>
      </c>
    </row>
    <row r="1897" spans="2:6">
      <c r="B1897" s="13" t="s">
        <v>1525</v>
      </c>
      <c r="C1897" s="13" t="s">
        <v>1526</v>
      </c>
      <c r="D1897" s="13">
        <v>285.48</v>
      </c>
      <c r="E1897" s="13">
        <v>5</v>
      </c>
      <c r="F1897" s="13">
        <f t="shared" si="29"/>
        <v>57.096000000000004</v>
      </c>
    </row>
    <row r="1898" spans="2:6">
      <c r="B1898" s="13" t="s">
        <v>1645</v>
      </c>
      <c r="C1898" s="13" t="s">
        <v>1647</v>
      </c>
      <c r="D1898" s="13">
        <v>19.168000000000003</v>
      </c>
      <c r="E1898" s="13">
        <v>4</v>
      </c>
      <c r="F1898" s="13">
        <f t="shared" si="29"/>
        <v>4.7920000000000007</v>
      </c>
    </row>
    <row r="1899" spans="2:6">
      <c r="B1899" s="13" t="s">
        <v>2412</v>
      </c>
      <c r="C1899" s="13" t="s">
        <v>2414</v>
      </c>
      <c r="D1899" s="13">
        <v>419.4</v>
      </c>
      <c r="E1899" s="13">
        <v>4</v>
      </c>
      <c r="F1899" s="13">
        <f t="shared" si="29"/>
        <v>104.85</v>
      </c>
    </row>
    <row r="1900" spans="2:6">
      <c r="B1900" s="13" t="s">
        <v>2189</v>
      </c>
      <c r="C1900" s="13" t="s">
        <v>2192</v>
      </c>
      <c r="D1900" s="13">
        <v>90.801000000000002</v>
      </c>
      <c r="E1900" s="13">
        <v>1</v>
      </c>
      <c r="F1900" s="13">
        <f t="shared" si="29"/>
        <v>90.801000000000002</v>
      </c>
    </row>
    <row r="1901" spans="2:6">
      <c r="B1901" s="13" t="s">
        <v>652</v>
      </c>
      <c r="C1901" s="13" t="s">
        <v>658</v>
      </c>
      <c r="D1901" s="13">
        <v>181.76400000000001</v>
      </c>
      <c r="E1901" s="13">
        <v>2</v>
      </c>
      <c r="F1901" s="13">
        <f t="shared" si="29"/>
        <v>90.882000000000005</v>
      </c>
    </row>
    <row r="1902" spans="2:6">
      <c r="B1902" s="13" t="s">
        <v>2413</v>
      </c>
      <c r="C1902" s="13" t="s">
        <v>2415</v>
      </c>
      <c r="D1902" s="13">
        <v>5.56</v>
      </c>
      <c r="E1902" s="13">
        <v>2</v>
      </c>
      <c r="F1902" s="13">
        <f t="shared" si="29"/>
        <v>2.78</v>
      </c>
    </row>
    <row r="1903" spans="2:6">
      <c r="B1903" s="13" t="s">
        <v>2416</v>
      </c>
      <c r="C1903" s="13" t="s">
        <v>2417</v>
      </c>
      <c r="D1903" s="13">
        <v>57.567999999999998</v>
      </c>
      <c r="E1903" s="13">
        <v>4</v>
      </c>
      <c r="F1903" s="13">
        <f t="shared" si="29"/>
        <v>14.391999999999999</v>
      </c>
    </row>
    <row r="1904" spans="2:6">
      <c r="B1904" s="13" t="s">
        <v>2418</v>
      </c>
      <c r="C1904" s="13" t="s">
        <v>2419</v>
      </c>
      <c r="D1904" s="13">
        <v>239.66599999999997</v>
      </c>
      <c r="E1904" s="13">
        <v>2</v>
      </c>
      <c r="F1904" s="13">
        <f t="shared" si="29"/>
        <v>119.83299999999998</v>
      </c>
    </row>
    <row r="1905" spans="2:6">
      <c r="B1905" s="13" t="s">
        <v>49</v>
      </c>
      <c r="C1905" s="13" t="s">
        <v>50</v>
      </c>
      <c r="D1905" s="13">
        <v>59.76</v>
      </c>
      <c r="E1905" s="13">
        <v>1</v>
      </c>
      <c r="F1905" s="13">
        <f t="shared" si="29"/>
        <v>59.76</v>
      </c>
    </row>
    <row r="1906" spans="2:6">
      <c r="B1906" s="13" t="s">
        <v>876</v>
      </c>
      <c r="C1906" s="13" t="s">
        <v>880</v>
      </c>
      <c r="D1906" s="13">
        <v>108.08</v>
      </c>
      <c r="E1906" s="13">
        <v>7</v>
      </c>
      <c r="F1906" s="13">
        <f t="shared" si="29"/>
        <v>15.44</v>
      </c>
    </row>
    <row r="1907" spans="2:6">
      <c r="B1907" s="13" t="s">
        <v>2118</v>
      </c>
      <c r="C1907" s="13" t="s">
        <v>2121</v>
      </c>
      <c r="D1907" s="13">
        <v>9.5400000000000009</v>
      </c>
      <c r="E1907" s="13">
        <v>3</v>
      </c>
      <c r="F1907" s="13">
        <f t="shared" si="29"/>
        <v>3.18</v>
      </c>
    </row>
    <row r="1908" spans="2:6">
      <c r="B1908" s="13" t="s">
        <v>2253</v>
      </c>
      <c r="C1908" s="13" t="s">
        <v>2255</v>
      </c>
      <c r="D1908" s="13">
        <v>42.76</v>
      </c>
      <c r="E1908" s="13">
        <v>1</v>
      </c>
      <c r="F1908" s="13">
        <f t="shared" si="29"/>
        <v>42.76</v>
      </c>
    </row>
    <row r="1909" spans="2:6">
      <c r="B1909" s="13" t="s">
        <v>2420</v>
      </c>
      <c r="C1909" s="13" t="s">
        <v>2421</v>
      </c>
      <c r="D1909" s="13">
        <v>2.78</v>
      </c>
      <c r="E1909" s="13">
        <v>1</v>
      </c>
      <c r="F1909" s="13">
        <f t="shared" si="29"/>
        <v>2.78</v>
      </c>
    </row>
    <row r="1910" spans="2:6">
      <c r="B1910" s="13" t="s">
        <v>2087</v>
      </c>
      <c r="C1910" s="13" t="s">
        <v>2092</v>
      </c>
      <c r="D1910" s="13">
        <v>99.87</v>
      </c>
      <c r="E1910" s="13">
        <v>3</v>
      </c>
      <c r="F1910" s="13">
        <f t="shared" si="29"/>
        <v>33.29</v>
      </c>
    </row>
    <row r="1911" spans="2:6">
      <c r="B1911" s="13" t="s">
        <v>977</v>
      </c>
      <c r="C1911" s="13" t="s">
        <v>978</v>
      </c>
      <c r="D1911" s="13">
        <v>9.7799999999999994</v>
      </c>
      <c r="E1911" s="13">
        <v>1</v>
      </c>
      <c r="F1911" s="13">
        <f t="shared" si="29"/>
        <v>9.7799999999999994</v>
      </c>
    </row>
    <row r="1912" spans="2:6">
      <c r="B1912" s="13" t="s">
        <v>207</v>
      </c>
      <c r="C1912" s="13" t="s">
        <v>220</v>
      </c>
      <c r="D1912" s="13">
        <v>59.94</v>
      </c>
      <c r="E1912" s="13">
        <v>3</v>
      </c>
      <c r="F1912" s="13">
        <f t="shared" si="29"/>
        <v>19.98</v>
      </c>
    </row>
    <row r="1913" spans="2:6">
      <c r="B1913" s="13" t="s">
        <v>2422</v>
      </c>
      <c r="C1913" s="13" t="s">
        <v>46</v>
      </c>
      <c r="D1913" s="13">
        <v>45.36</v>
      </c>
      <c r="E1913" s="13">
        <v>4</v>
      </c>
      <c r="F1913" s="13">
        <f t="shared" si="29"/>
        <v>11.34</v>
      </c>
    </row>
    <row r="1914" spans="2:6">
      <c r="B1914" s="13" t="s">
        <v>2354</v>
      </c>
      <c r="C1914" s="13" t="s">
        <v>2355</v>
      </c>
      <c r="D1914" s="13">
        <v>26.400000000000002</v>
      </c>
      <c r="E1914" s="13">
        <v>5</v>
      </c>
      <c r="F1914" s="13">
        <f t="shared" si="29"/>
        <v>5.28</v>
      </c>
    </row>
    <row r="1915" spans="2:6">
      <c r="B1915" s="13" t="s">
        <v>2423</v>
      </c>
      <c r="C1915" s="13" t="s">
        <v>2424</v>
      </c>
      <c r="D1915" s="13">
        <v>41.4</v>
      </c>
      <c r="E1915" s="13">
        <v>4</v>
      </c>
      <c r="F1915" s="13">
        <f t="shared" si="29"/>
        <v>10.35</v>
      </c>
    </row>
    <row r="1916" spans="2:6">
      <c r="B1916" s="13" t="s">
        <v>1426</v>
      </c>
      <c r="C1916" s="13" t="s">
        <v>1432</v>
      </c>
      <c r="D1916" s="13">
        <v>16.95</v>
      </c>
      <c r="E1916" s="13">
        <v>1</v>
      </c>
      <c r="F1916" s="13">
        <f t="shared" si="29"/>
        <v>16.95</v>
      </c>
    </row>
    <row r="1917" spans="2:6">
      <c r="B1917" s="13" t="s">
        <v>2320</v>
      </c>
      <c r="C1917" s="13" t="s">
        <v>2326</v>
      </c>
      <c r="D1917" s="13">
        <v>22.959999999999997</v>
      </c>
      <c r="E1917" s="13">
        <v>7</v>
      </c>
      <c r="F1917" s="13">
        <f t="shared" si="29"/>
        <v>3.28</v>
      </c>
    </row>
    <row r="1918" spans="2:6">
      <c r="B1918" s="13" t="s">
        <v>1738</v>
      </c>
      <c r="C1918" s="13" t="s">
        <v>1744</v>
      </c>
      <c r="D1918" s="13">
        <v>1099.5</v>
      </c>
      <c r="E1918" s="13">
        <v>10</v>
      </c>
      <c r="F1918" s="13">
        <f t="shared" si="29"/>
        <v>109.95</v>
      </c>
    </row>
    <row r="1919" spans="2:6">
      <c r="B1919" s="13" t="s">
        <v>1939</v>
      </c>
      <c r="C1919" s="13" t="s">
        <v>1943</v>
      </c>
      <c r="D1919" s="13">
        <v>87.210000000000008</v>
      </c>
      <c r="E1919" s="13">
        <v>3</v>
      </c>
      <c r="F1919" s="13">
        <f t="shared" si="29"/>
        <v>29.070000000000004</v>
      </c>
    </row>
    <row r="1920" spans="2:6">
      <c r="B1920" s="13" t="s">
        <v>2425</v>
      </c>
      <c r="C1920" s="13" t="s">
        <v>2428</v>
      </c>
      <c r="D1920" s="13">
        <v>15.552000000000003</v>
      </c>
      <c r="E1920" s="13">
        <v>3</v>
      </c>
      <c r="F1920" s="13">
        <f t="shared" si="29"/>
        <v>5.1840000000000011</v>
      </c>
    </row>
    <row r="1921" spans="2:6">
      <c r="B1921" s="13" t="s">
        <v>2426</v>
      </c>
      <c r="C1921" s="13" t="s">
        <v>2429</v>
      </c>
      <c r="D1921" s="13">
        <v>683.98799999999994</v>
      </c>
      <c r="E1921" s="13">
        <v>2</v>
      </c>
      <c r="F1921" s="13">
        <f t="shared" si="29"/>
        <v>341.99399999999997</v>
      </c>
    </row>
    <row r="1922" spans="2:6">
      <c r="B1922" s="13" t="s">
        <v>1392</v>
      </c>
      <c r="C1922" s="13" t="s">
        <v>1397</v>
      </c>
      <c r="D1922" s="13">
        <v>13.392000000000001</v>
      </c>
      <c r="E1922" s="13">
        <v>3</v>
      </c>
      <c r="F1922" s="13">
        <f t="shared" si="29"/>
        <v>4.4640000000000004</v>
      </c>
    </row>
    <row r="1923" spans="2:6">
      <c r="B1923" s="13" t="s">
        <v>2427</v>
      </c>
      <c r="C1923" s="13" t="s">
        <v>2430</v>
      </c>
      <c r="D1923" s="13">
        <v>16.776000000000003</v>
      </c>
      <c r="E1923" s="13">
        <v>3</v>
      </c>
      <c r="F1923" s="13">
        <f t="shared" si="29"/>
        <v>5.5920000000000014</v>
      </c>
    </row>
    <row r="1924" spans="2:6">
      <c r="B1924" s="13" t="s">
        <v>2364</v>
      </c>
      <c r="C1924" s="13" t="s">
        <v>2365</v>
      </c>
      <c r="D1924" s="13">
        <v>527.91999999999996</v>
      </c>
      <c r="E1924" s="13">
        <v>2</v>
      </c>
      <c r="F1924" s="13">
        <f t="shared" ref="F1924:F1987" si="30">D1924/E1924</f>
        <v>263.95999999999998</v>
      </c>
    </row>
    <row r="1925" spans="2:6">
      <c r="B1925" s="13" t="s">
        <v>1378</v>
      </c>
      <c r="C1925" s="13" t="s">
        <v>1381</v>
      </c>
      <c r="D1925" s="13">
        <v>95.992000000000004</v>
      </c>
      <c r="E1925" s="13">
        <v>1</v>
      </c>
      <c r="F1925" s="13">
        <f t="shared" si="30"/>
        <v>95.992000000000004</v>
      </c>
    </row>
    <row r="1926" spans="2:6">
      <c r="B1926" s="13" t="s">
        <v>2201</v>
      </c>
      <c r="C1926" s="13" t="s">
        <v>2203</v>
      </c>
      <c r="D1926" s="13">
        <v>13.216000000000001</v>
      </c>
      <c r="E1926" s="13">
        <v>4</v>
      </c>
      <c r="F1926" s="13">
        <f t="shared" si="30"/>
        <v>3.3040000000000003</v>
      </c>
    </row>
    <row r="1927" spans="2:6">
      <c r="B1927" s="13" t="s">
        <v>1766</v>
      </c>
      <c r="C1927" s="13" t="s">
        <v>1768</v>
      </c>
      <c r="D1927" s="13">
        <v>435.84000000000003</v>
      </c>
      <c r="E1927" s="13">
        <v>12</v>
      </c>
      <c r="F1927" s="13">
        <f t="shared" si="30"/>
        <v>36.32</v>
      </c>
    </row>
    <row r="1928" spans="2:6">
      <c r="B1928" s="13" t="s">
        <v>91</v>
      </c>
      <c r="C1928" s="13" t="s">
        <v>95</v>
      </c>
      <c r="D1928" s="13">
        <v>5.88</v>
      </c>
      <c r="E1928" s="13">
        <v>2</v>
      </c>
      <c r="F1928" s="13">
        <f t="shared" si="30"/>
        <v>2.94</v>
      </c>
    </row>
    <row r="1929" spans="2:6">
      <c r="B1929" s="13" t="s">
        <v>2431</v>
      </c>
      <c r="C1929" s="13" t="s">
        <v>2433</v>
      </c>
      <c r="D1929" s="13">
        <v>42.68</v>
      </c>
      <c r="E1929" s="13">
        <v>4</v>
      </c>
      <c r="F1929" s="13">
        <f t="shared" si="30"/>
        <v>10.67</v>
      </c>
    </row>
    <row r="1930" spans="2:6">
      <c r="B1930" s="13" t="s">
        <v>1388</v>
      </c>
      <c r="C1930" s="13" t="s">
        <v>1389</v>
      </c>
      <c r="D1930" s="13">
        <v>299.96999999999997</v>
      </c>
      <c r="E1930" s="13">
        <v>3</v>
      </c>
      <c r="F1930" s="13">
        <f t="shared" si="30"/>
        <v>99.99</v>
      </c>
    </row>
    <row r="1931" spans="2:6">
      <c r="B1931" s="13" t="s">
        <v>672</v>
      </c>
      <c r="C1931" s="13" t="s">
        <v>675</v>
      </c>
      <c r="D1931" s="13">
        <v>262.24</v>
      </c>
      <c r="E1931" s="13">
        <v>2</v>
      </c>
      <c r="F1931" s="13">
        <f t="shared" si="30"/>
        <v>131.12</v>
      </c>
    </row>
    <row r="1932" spans="2:6">
      <c r="B1932" s="13" t="s">
        <v>696</v>
      </c>
      <c r="C1932" s="13" t="s">
        <v>2434</v>
      </c>
      <c r="D1932" s="13">
        <v>234.36</v>
      </c>
      <c r="E1932" s="13">
        <v>6</v>
      </c>
      <c r="F1932" s="13">
        <f t="shared" si="30"/>
        <v>39.06</v>
      </c>
    </row>
    <row r="1933" spans="2:6">
      <c r="B1933" s="13" t="s">
        <v>2432</v>
      </c>
      <c r="C1933" s="13" t="s">
        <v>2435</v>
      </c>
      <c r="D1933" s="13">
        <v>20.736000000000004</v>
      </c>
      <c r="E1933" s="13">
        <v>4</v>
      </c>
      <c r="F1933" s="13">
        <f t="shared" si="30"/>
        <v>5.1840000000000011</v>
      </c>
    </row>
    <row r="1934" spans="2:6">
      <c r="B1934" s="13" t="s">
        <v>2050</v>
      </c>
      <c r="C1934" s="13" t="s">
        <v>2051</v>
      </c>
      <c r="D1934" s="13">
        <v>21.12</v>
      </c>
      <c r="E1934" s="13">
        <v>4</v>
      </c>
      <c r="F1934" s="13">
        <f t="shared" si="30"/>
        <v>5.28</v>
      </c>
    </row>
    <row r="1935" spans="2:6">
      <c r="B1935" s="13" t="s">
        <v>2436</v>
      </c>
      <c r="C1935" s="13" t="s">
        <v>2439</v>
      </c>
      <c r="D1935" s="13">
        <v>17.22</v>
      </c>
      <c r="E1935" s="13">
        <v>3</v>
      </c>
      <c r="F1935" s="13">
        <f t="shared" si="30"/>
        <v>5.7399999999999993</v>
      </c>
    </row>
    <row r="1936" spans="2:6">
      <c r="B1936" s="13" t="s">
        <v>2437</v>
      </c>
      <c r="C1936" s="13" t="s">
        <v>2440</v>
      </c>
      <c r="D1936" s="13">
        <v>226.56</v>
      </c>
      <c r="E1936" s="13">
        <v>6</v>
      </c>
      <c r="F1936" s="13">
        <f t="shared" si="30"/>
        <v>37.76</v>
      </c>
    </row>
    <row r="1937" spans="2:6">
      <c r="B1937" s="13" t="s">
        <v>2438</v>
      </c>
      <c r="C1937" s="13" t="s">
        <v>2441</v>
      </c>
      <c r="D1937" s="13">
        <v>107.88</v>
      </c>
      <c r="E1937" s="13">
        <v>3</v>
      </c>
      <c r="F1937" s="13">
        <f t="shared" si="30"/>
        <v>35.96</v>
      </c>
    </row>
    <row r="1938" spans="2:6">
      <c r="B1938" s="13" t="s">
        <v>1594</v>
      </c>
      <c r="C1938" s="13" t="s">
        <v>1600</v>
      </c>
      <c r="D1938" s="13">
        <v>240.78400000000002</v>
      </c>
      <c r="E1938" s="13">
        <v>1</v>
      </c>
      <c r="F1938" s="13">
        <f t="shared" si="30"/>
        <v>240.78400000000002</v>
      </c>
    </row>
    <row r="1939" spans="2:6">
      <c r="B1939" s="13" t="s">
        <v>2273</v>
      </c>
      <c r="C1939" s="13" t="s">
        <v>2275</v>
      </c>
      <c r="D1939" s="13">
        <v>360.38</v>
      </c>
      <c r="E1939" s="13">
        <v>2</v>
      </c>
      <c r="F1939" s="13">
        <f t="shared" si="30"/>
        <v>180.19</v>
      </c>
    </row>
    <row r="1940" spans="2:6">
      <c r="B1940" s="13" t="s">
        <v>1491</v>
      </c>
      <c r="C1940" s="13" t="s">
        <v>1495</v>
      </c>
      <c r="D1940" s="13">
        <v>13.56</v>
      </c>
      <c r="E1940" s="13">
        <v>2</v>
      </c>
      <c r="F1940" s="13">
        <f t="shared" si="30"/>
        <v>6.78</v>
      </c>
    </row>
    <row r="1941" spans="2:6">
      <c r="B1941" s="13" t="s">
        <v>431</v>
      </c>
      <c r="C1941" s="13" t="s">
        <v>437</v>
      </c>
      <c r="D1941" s="13">
        <v>552</v>
      </c>
      <c r="E1941" s="13">
        <v>10</v>
      </c>
      <c r="F1941" s="13">
        <f t="shared" si="30"/>
        <v>55.2</v>
      </c>
    </row>
    <row r="1942" spans="2:6">
      <c r="B1942" s="13" t="s">
        <v>1998</v>
      </c>
      <c r="C1942" s="13" t="s">
        <v>2003</v>
      </c>
      <c r="D1942" s="13">
        <v>20.544000000000004</v>
      </c>
      <c r="E1942" s="13">
        <v>6</v>
      </c>
      <c r="F1942" s="13">
        <f t="shared" si="30"/>
        <v>3.4240000000000008</v>
      </c>
    </row>
    <row r="1943" spans="2:6">
      <c r="B1943" s="13" t="s">
        <v>2442</v>
      </c>
      <c r="C1943" s="13" t="s">
        <v>2443</v>
      </c>
      <c r="D1943" s="13">
        <v>2357.4880000000003</v>
      </c>
      <c r="E1943" s="13">
        <v>7</v>
      </c>
      <c r="F1943" s="13">
        <f t="shared" si="30"/>
        <v>336.78400000000005</v>
      </c>
    </row>
    <row r="1944" spans="2:6">
      <c r="B1944" s="13" t="s">
        <v>113</v>
      </c>
      <c r="C1944" s="13" t="s">
        <v>120</v>
      </c>
      <c r="D1944" s="13">
        <v>369.54399999999998</v>
      </c>
      <c r="E1944" s="13">
        <v>7</v>
      </c>
      <c r="F1944" s="13">
        <f t="shared" si="30"/>
        <v>52.791999999999994</v>
      </c>
    </row>
    <row r="1945" spans="2:6">
      <c r="B1945" s="13" t="s">
        <v>242</v>
      </c>
      <c r="C1945" s="13" t="s">
        <v>244</v>
      </c>
      <c r="D1945" s="13">
        <v>184.75200000000001</v>
      </c>
      <c r="E1945" s="13">
        <v>3</v>
      </c>
      <c r="F1945" s="13">
        <f t="shared" si="30"/>
        <v>61.584000000000003</v>
      </c>
    </row>
    <row r="1946" spans="2:6">
      <c r="B1946" s="13" t="s">
        <v>2444</v>
      </c>
      <c r="C1946" s="13" t="s">
        <v>2445</v>
      </c>
      <c r="D1946" s="13">
        <v>12.294</v>
      </c>
      <c r="E1946" s="13">
        <v>1</v>
      </c>
      <c r="F1946" s="13">
        <f t="shared" si="30"/>
        <v>12.294</v>
      </c>
    </row>
    <row r="1947" spans="2:6">
      <c r="B1947" s="13" t="s">
        <v>435</v>
      </c>
      <c r="C1947" s="13" t="s">
        <v>441</v>
      </c>
      <c r="D1947" s="13">
        <v>19.760000000000002</v>
      </c>
      <c r="E1947" s="13">
        <v>4</v>
      </c>
      <c r="F1947" s="13">
        <f t="shared" si="30"/>
        <v>4.9400000000000004</v>
      </c>
    </row>
    <row r="1948" spans="2:6">
      <c r="B1948" s="13" t="s">
        <v>2349</v>
      </c>
      <c r="C1948" s="13" t="s">
        <v>2353</v>
      </c>
      <c r="D1948" s="13">
        <v>128.85000000000002</v>
      </c>
      <c r="E1948" s="13">
        <v>3</v>
      </c>
      <c r="F1948" s="13">
        <f t="shared" si="30"/>
        <v>42.95000000000001</v>
      </c>
    </row>
    <row r="1949" spans="2:6">
      <c r="B1949" s="13" t="s">
        <v>2446</v>
      </c>
      <c r="C1949" s="13" t="s">
        <v>2447</v>
      </c>
      <c r="D1949" s="13">
        <v>127.94999999999999</v>
      </c>
      <c r="E1949" s="13">
        <v>3</v>
      </c>
      <c r="F1949" s="13">
        <f t="shared" si="30"/>
        <v>42.65</v>
      </c>
    </row>
    <row r="1950" spans="2:6">
      <c r="B1950" s="13" t="s">
        <v>2226</v>
      </c>
      <c r="C1950" s="13" t="s">
        <v>2229</v>
      </c>
      <c r="D1950" s="13">
        <v>69.98</v>
      </c>
      <c r="E1950" s="13">
        <v>2</v>
      </c>
      <c r="F1950" s="13">
        <f t="shared" si="30"/>
        <v>34.99</v>
      </c>
    </row>
    <row r="1951" spans="2:6">
      <c r="B1951" s="13" t="s">
        <v>2232</v>
      </c>
      <c r="C1951" s="13" t="s">
        <v>2234</v>
      </c>
      <c r="D1951" s="13">
        <v>646.27200000000005</v>
      </c>
      <c r="E1951" s="13">
        <v>8</v>
      </c>
      <c r="F1951" s="13">
        <f t="shared" si="30"/>
        <v>80.784000000000006</v>
      </c>
    </row>
    <row r="1952" spans="2:6">
      <c r="B1952" s="13" t="s">
        <v>527</v>
      </c>
      <c r="C1952" s="13" t="s">
        <v>1948</v>
      </c>
      <c r="D1952" s="13">
        <v>10.368000000000002</v>
      </c>
      <c r="E1952" s="13">
        <v>2</v>
      </c>
      <c r="F1952" s="13">
        <f t="shared" si="30"/>
        <v>5.1840000000000011</v>
      </c>
    </row>
    <row r="1953" spans="2:6">
      <c r="B1953" s="13" t="s">
        <v>2448</v>
      </c>
      <c r="C1953" s="13" t="s">
        <v>2449</v>
      </c>
      <c r="D1953" s="13">
        <v>8.4</v>
      </c>
      <c r="E1953" s="13">
        <v>5</v>
      </c>
      <c r="F1953" s="13">
        <f t="shared" si="30"/>
        <v>1.6800000000000002</v>
      </c>
    </row>
    <row r="1954" spans="2:6">
      <c r="B1954" s="13" t="s">
        <v>1556</v>
      </c>
      <c r="C1954" s="13" t="s">
        <v>1557</v>
      </c>
      <c r="D1954" s="13">
        <v>71.959999999999994</v>
      </c>
      <c r="E1954" s="13">
        <v>5</v>
      </c>
      <c r="F1954" s="13">
        <f t="shared" si="30"/>
        <v>14.391999999999999</v>
      </c>
    </row>
    <row r="1955" spans="2:6">
      <c r="B1955" s="13" t="s">
        <v>984</v>
      </c>
      <c r="C1955" s="13" t="s">
        <v>987</v>
      </c>
      <c r="D1955" s="13">
        <v>239.24</v>
      </c>
      <c r="E1955" s="13">
        <v>1</v>
      </c>
      <c r="F1955" s="13">
        <f t="shared" si="30"/>
        <v>239.24</v>
      </c>
    </row>
    <row r="1956" spans="2:6">
      <c r="B1956" s="13" t="s">
        <v>2450</v>
      </c>
      <c r="C1956" s="13" t="s">
        <v>2451</v>
      </c>
      <c r="D1956" s="13">
        <v>54.900000000000006</v>
      </c>
      <c r="E1956" s="13">
        <v>5</v>
      </c>
      <c r="F1956" s="13">
        <f t="shared" si="30"/>
        <v>10.98</v>
      </c>
    </row>
    <row r="1957" spans="2:6">
      <c r="B1957" s="13" t="s">
        <v>1138</v>
      </c>
      <c r="C1957" s="13" t="s">
        <v>1140</v>
      </c>
      <c r="D1957" s="13">
        <v>859.2</v>
      </c>
      <c r="E1957" s="13">
        <v>3</v>
      </c>
      <c r="F1957" s="13">
        <f t="shared" si="30"/>
        <v>286.40000000000003</v>
      </c>
    </row>
    <row r="1958" spans="2:6">
      <c r="B1958" s="13" t="s">
        <v>2452</v>
      </c>
      <c r="C1958" s="13" t="s">
        <v>2453</v>
      </c>
      <c r="D1958" s="13">
        <v>506.28</v>
      </c>
      <c r="E1958" s="13">
        <v>3</v>
      </c>
      <c r="F1958" s="13">
        <f t="shared" si="30"/>
        <v>168.76</v>
      </c>
    </row>
    <row r="1959" spans="2:6">
      <c r="B1959" s="13" t="s">
        <v>2115</v>
      </c>
      <c r="C1959" s="13" t="s">
        <v>2116</v>
      </c>
      <c r="D1959" s="13">
        <v>314.35199999999998</v>
      </c>
      <c r="E1959" s="13">
        <v>3</v>
      </c>
      <c r="F1959" s="13">
        <f t="shared" si="30"/>
        <v>104.78399999999999</v>
      </c>
    </row>
    <row r="1960" spans="2:6">
      <c r="B1960" s="13" t="s">
        <v>2454</v>
      </c>
      <c r="C1960" s="13" t="s">
        <v>2455</v>
      </c>
      <c r="D1960" s="13">
        <v>27.888000000000002</v>
      </c>
      <c r="E1960" s="13">
        <v>7</v>
      </c>
      <c r="F1960" s="13">
        <f t="shared" si="30"/>
        <v>3.9840000000000004</v>
      </c>
    </row>
    <row r="1961" spans="2:6">
      <c r="B1961" s="13" t="s">
        <v>2456</v>
      </c>
      <c r="C1961" s="13" t="s">
        <v>2459</v>
      </c>
      <c r="D1961" s="13">
        <v>518.27200000000005</v>
      </c>
      <c r="E1961" s="13">
        <v>8</v>
      </c>
      <c r="F1961" s="13">
        <f t="shared" si="30"/>
        <v>64.784000000000006</v>
      </c>
    </row>
    <row r="1962" spans="2:6">
      <c r="B1962" s="13" t="s">
        <v>2457</v>
      </c>
      <c r="C1962" s="13" t="s">
        <v>2460</v>
      </c>
      <c r="D1962" s="13">
        <v>6.98</v>
      </c>
      <c r="E1962" s="13">
        <v>1</v>
      </c>
      <c r="F1962" s="13">
        <f t="shared" si="30"/>
        <v>6.98</v>
      </c>
    </row>
    <row r="1963" spans="2:6">
      <c r="B1963" s="13" t="s">
        <v>2458</v>
      </c>
      <c r="C1963" s="13" t="s">
        <v>2461</v>
      </c>
      <c r="D1963" s="13">
        <v>343.20000000000005</v>
      </c>
      <c r="E1963" s="13">
        <v>1</v>
      </c>
      <c r="F1963" s="13">
        <f t="shared" si="30"/>
        <v>343.20000000000005</v>
      </c>
    </row>
    <row r="1964" spans="2:6">
      <c r="B1964" s="13" t="s">
        <v>1182</v>
      </c>
      <c r="C1964" s="13" t="s">
        <v>1190</v>
      </c>
      <c r="D1964" s="13">
        <v>17.544</v>
      </c>
      <c r="E1964" s="13">
        <v>3</v>
      </c>
      <c r="F1964" s="13">
        <f t="shared" si="30"/>
        <v>5.8479999999999999</v>
      </c>
    </row>
    <row r="1965" spans="2:6">
      <c r="B1965" s="13" t="s">
        <v>2020</v>
      </c>
      <c r="C1965" s="13" t="s">
        <v>2024</v>
      </c>
      <c r="D1965" s="13">
        <v>153.55199999999999</v>
      </c>
      <c r="E1965" s="13">
        <v>3</v>
      </c>
      <c r="F1965" s="13">
        <f t="shared" si="30"/>
        <v>51.183999999999997</v>
      </c>
    </row>
    <row r="1966" spans="2:6">
      <c r="B1966" s="13" t="s">
        <v>2462</v>
      </c>
      <c r="C1966" s="13" t="s">
        <v>2463</v>
      </c>
      <c r="D1966" s="13">
        <v>270.62</v>
      </c>
      <c r="E1966" s="13">
        <v>2</v>
      </c>
      <c r="F1966" s="13">
        <f t="shared" si="30"/>
        <v>135.31</v>
      </c>
    </row>
    <row r="1967" spans="2:6">
      <c r="B1967" s="13" t="s">
        <v>2464</v>
      </c>
      <c r="C1967" s="13" t="s">
        <v>2465</v>
      </c>
      <c r="D1967" s="13">
        <v>151.05600000000001</v>
      </c>
      <c r="E1967" s="13">
        <v>9</v>
      </c>
      <c r="F1967" s="13">
        <f t="shared" si="30"/>
        <v>16.784000000000002</v>
      </c>
    </row>
    <row r="1968" spans="2:6">
      <c r="B1968" s="13" t="s">
        <v>886</v>
      </c>
      <c r="C1968" s="13" t="s">
        <v>890</v>
      </c>
      <c r="D1968" s="13">
        <v>1.1880000000000002</v>
      </c>
      <c r="E1968" s="13">
        <v>2</v>
      </c>
      <c r="F1968" s="13">
        <f t="shared" si="30"/>
        <v>0.59400000000000008</v>
      </c>
    </row>
    <row r="1969" spans="2:6">
      <c r="B1969" s="13" t="s">
        <v>1523</v>
      </c>
      <c r="C1969" s="13" t="s">
        <v>1524</v>
      </c>
      <c r="D1969" s="13">
        <v>272.64600000000002</v>
      </c>
      <c r="E1969" s="13">
        <v>3</v>
      </c>
      <c r="F1969" s="13">
        <f t="shared" si="30"/>
        <v>90.882000000000005</v>
      </c>
    </row>
    <row r="1970" spans="2:6">
      <c r="B1970" s="13" t="s">
        <v>2466</v>
      </c>
      <c r="C1970" s="13" t="s">
        <v>2470</v>
      </c>
      <c r="D1970" s="13">
        <v>212.8</v>
      </c>
      <c r="E1970" s="13">
        <v>2</v>
      </c>
      <c r="F1970" s="13">
        <f t="shared" si="30"/>
        <v>106.4</v>
      </c>
    </row>
    <row r="1971" spans="2:6">
      <c r="B1971" s="13" t="s">
        <v>2467</v>
      </c>
      <c r="C1971" s="13" t="s">
        <v>2471</v>
      </c>
      <c r="D1971" s="13">
        <v>38.520000000000003</v>
      </c>
      <c r="E1971" s="13">
        <v>9</v>
      </c>
      <c r="F1971" s="13">
        <f t="shared" si="30"/>
        <v>4.28</v>
      </c>
    </row>
    <row r="1972" spans="2:6">
      <c r="B1972" s="13" t="s">
        <v>1766</v>
      </c>
      <c r="C1972" s="13" t="s">
        <v>1768</v>
      </c>
      <c r="D1972" s="13">
        <v>72.64</v>
      </c>
      <c r="E1972" s="13">
        <v>2</v>
      </c>
      <c r="F1972" s="13">
        <f t="shared" si="30"/>
        <v>36.32</v>
      </c>
    </row>
    <row r="1973" spans="2:6">
      <c r="B1973" s="13" t="s">
        <v>55</v>
      </c>
      <c r="C1973" s="13" t="s">
        <v>58</v>
      </c>
      <c r="D1973" s="13">
        <v>45.4</v>
      </c>
      <c r="E1973" s="13">
        <v>4</v>
      </c>
      <c r="F1973" s="13">
        <f t="shared" si="30"/>
        <v>11.35</v>
      </c>
    </row>
    <row r="1974" spans="2:6">
      <c r="B1974" s="13" t="s">
        <v>766</v>
      </c>
      <c r="C1974" s="13" t="s">
        <v>768</v>
      </c>
      <c r="D1974" s="13">
        <v>13.76</v>
      </c>
      <c r="E1974" s="13">
        <v>2</v>
      </c>
      <c r="F1974" s="13">
        <f t="shared" si="30"/>
        <v>6.88</v>
      </c>
    </row>
    <row r="1975" spans="2:6">
      <c r="B1975" s="13" t="s">
        <v>898</v>
      </c>
      <c r="C1975" s="13" t="s">
        <v>902</v>
      </c>
      <c r="D1975" s="13">
        <v>80.991</v>
      </c>
      <c r="E1975" s="13">
        <v>1</v>
      </c>
      <c r="F1975" s="13">
        <f t="shared" si="30"/>
        <v>80.991</v>
      </c>
    </row>
    <row r="1976" spans="2:6">
      <c r="B1976" s="13" t="s">
        <v>102</v>
      </c>
      <c r="C1976" s="13" t="s">
        <v>106</v>
      </c>
      <c r="D1976" s="13">
        <v>11.784000000000001</v>
      </c>
      <c r="E1976" s="13">
        <v>3</v>
      </c>
      <c r="F1976" s="13">
        <f t="shared" si="30"/>
        <v>3.9280000000000004</v>
      </c>
    </row>
    <row r="1977" spans="2:6">
      <c r="B1977" s="13" t="s">
        <v>2468</v>
      </c>
      <c r="C1977" s="13" t="s">
        <v>2472</v>
      </c>
      <c r="D1977" s="13">
        <v>4.3600000000000003</v>
      </c>
      <c r="E1977" s="13">
        <v>2</v>
      </c>
      <c r="F1977" s="13">
        <f t="shared" si="30"/>
        <v>2.1800000000000002</v>
      </c>
    </row>
    <row r="1978" spans="2:6">
      <c r="B1978" s="13" t="s">
        <v>1829</v>
      </c>
      <c r="C1978" s="13" t="s">
        <v>1830</v>
      </c>
      <c r="D1978" s="13">
        <v>2888.1270000000004</v>
      </c>
      <c r="E1978" s="13">
        <v>11</v>
      </c>
      <c r="F1978" s="13">
        <f t="shared" si="30"/>
        <v>262.55700000000002</v>
      </c>
    </row>
    <row r="1979" spans="2:6">
      <c r="B1979" s="13" t="s">
        <v>1754</v>
      </c>
      <c r="C1979" s="13" t="s">
        <v>1757</v>
      </c>
      <c r="D1979" s="13">
        <v>1299.6600000000001</v>
      </c>
      <c r="E1979" s="13">
        <v>2</v>
      </c>
      <c r="F1979" s="13">
        <f t="shared" si="30"/>
        <v>649.83000000000004</v>
      </c>
    </row>
    <row r="1980" spans="2:6">
      <c r="B1980" s="13" t="s">
        <v>2142</v>
      </c>
      <c r="C1980" s="13" t="s">
        <v>2146</v>
      </c>
      <c r="D1980" s="13">
        <v>2254.41</v>
      </c>
      <c r="E1980" s="13">
        <v>5</v>
      </c>
      <c r="F1980" s="13">
        <f t="shared" si="30"/>
        <v>450.88199999999995</v>
      </c>
    </row>
    <row r="1981" spans="2:6">
      <c r="B1981" s="13" t="s">
        <v>2469</v>
      </c>
      <c r="C1981" s="13" t="s">
        <v>2473</v>
      </c>
      <c r="D1981" s="13">
        <v>104.85000000000001</v>
      </c>
      <c r="E1981" s="13">
        <v>3</v>
      </c>
      <c r="F1981" s="13">
        <f t="shared" si="30"/>
        <v>34.950000000000003</v>
      </c>
    </row>
    <row r="1982" spans="2:6">
      <c r="B1982" s="13" t="s">
        <v>61</v>
      </c>
      <c r="C1982" s="13" t="s">
        <v>65</v>
      </c>
      <c r="D1982" s="13">
        <v>59.97</v>
      </c>
      <c r="E1982" s="13">
        <v>3</v>
      </c>
      <c r="F1982" s="13">
        <f t="shared" si="30"/>
        <v>19.989999999999998</v>
      </c>
    </row>
    <row r="1983" spans="2:6">
      <c r="B1983" s="13" t="s">
        <v>940</v>
      </c>
      <c r="C1983" s="13" t="s">
        <v>942</v>
      </c>
      <c r="D1983" s="13">
        <v>314.53199999999998</v>
      </c>
      <c r="E1983" s="13">
        <v>2</v>
      </c>
      <c r="F1983" s="13">
        <f t="shared" si="30"/>
        <v>157.26599999999999</v>
      </c>
    </row>
    <row r="1984" spans="2:6">
      <c r="B1984" s="13" t="s">
        <v>2141</v>
      </c>
      <c r="C1984" s="13" t="s">
        <v>2145</v>
      </c>
      <c r="D1984" s="13">
        <v>191.976</v>
      </c>
      <c r="E1984" s="13">
        <v>3</v>
      </c>
      <c r="F1984" s="13">
        <f t="shared" si="30"/>
        <v>63.991999999999997</v>
      </c>
    </row>
    <row r="1985" spans="2:6">
      <c r="B1985" s="13" t="s">
        <v>1762</v>
      </c>
      <c r="C1985" s="13" t="s">
        <v>1764</v>
      </c>
      <c r="D1985" s="13">
        <v>23.832000000000001</v>
      </c>
      <c r="E1985" s="13">
        <v>3</v>
      </c>
      <c r="F1985" s="13">
        <f t="shared" si="30"/>
        <v>7.944</v>
      </c>
    </row>
    <row r="1986" spans="2:6">
      <c r="B1986" s="13" t="s">
        <v>2265</v>
      </c>
      <c r="C1986" s="13" t="s">
        <v>2475</v>
      </c>
      <c r="D1986" s="13">
        <v>409.21600000000001</v>
      </c>
      <c r="E1986" s="13">
        <v>8</v>
      </c>
      <c r="F1986" s="13">
        <f t="shared" si="30"/>
        <v>51.152000000000001</v>
      </c>
    </row>
    <row r="1987" spans="2:6">
      <c r="B1987" s="13" t="s">
        <v>205</v>
      </c>
      <c r="C1987" s="13" t="s">
        <v>218</v>
      </c>
      <c r="D1987" s="13">
        <v>72.588000000000008</v>
      </c>
      <c r="E1987" s="13">
        <v>2</v>
      </c>
      <c r="F1987" s="13">
        <f t="shared" si="30"/>
        <v>36.294000000000004</v>
      </c>
    </row>
    <row r="1988" spans="2:6">
      <c r="B1988" s="13" t="s">
        <v>2474</v>
      </c>
      <c r="C1988" s="13" t="s">
        <v>2476</v>
      </c>
      <c r="D1988" s="13">
        <v>61.567999999999998</v>
      </c>
      <c r="E1988" s="13">
        <v>2</v>
      </c>
      <c r="F1988" s="13">
        <f t="shared" ref="F1988:F2051" si="31">D1988/E1988</f>
        <v>30.783999999999999</v>
      </c>
    </row>
    <row r="1989" spans="2:6">
      <c r="B1989" s="13" t="s">
        <v>1252</v>
      </c>
      <c r="C1989" s="13" t="s">
        <v>1257</v>
      </c>
      <c r="D1989" s="13">
        <v>44.75</v>
      </c>
      <c r="E1989" s="13">
        <v>5</v>
      </c>
      <c r="F1989" s="13">
        <f t="shared" si="31"/>
        <v>8.9499999999999993</v>
      </c>
    </row>
    <row r="1990" spans="2:6">
      <c r="B1990" s="13" t="s">
        <v>2477</v>
      </c>
      <c r="C1990" s="13" t="s">
        <v>2478</v>
      </c>
      <c r="D1990" s="13">
        <v>11.96</v>
      </c>
      <c r="E1990" s="13">
        <v>2</v>
      </c>
      <c r="F1990" s="13">
        <f t="shared" si="31"/>
        <v>5.98</v>
      </c>
    </row>
    <row r="1991" spans="2:6">
      <c r="B1991" s="13" t="s">
        <v>623</v>
      </c>
      <c r="C1991" s="13" t="s">
        <v>625</v>
      </c>
      <c r="D1991" s="13">
        <v>3.9119999999999999</v>
      </c>
      <c r="E1991" s="13">
        <v>1</v>
      </c>
      <c r="F1991" s="13">
        <f t="shared" si="31"/>
        <v>3.9119999999999999</v>
      </c>
    </row>
    <row r="1992" spans="2:6">
      <c r="B1992" s="13" t="s">
        <v>706</v>
      </c>
      <c r="C1992" s="13" t="s">
        <v>707</v>
      </c>
      <c r="D1992" s="13">
        <v>53.25</v>
      </c>
      <c r="E1992" s="13">
        <v>3</v>
      </c>
      <c r="F1992" s="13">
        <f t="shared" si="31"/>
        <v>17.75</v>
      </c>
    </row>
    <row r="1993" spans="2:6">
      <c r="B1993" s="13" t="s">
        <v>2479</v>
      </c>
      <c r="C1993" s="13" t="s">
        <v>90</v>
      </c>
      <c r="D1993" s="13">
        <v>3.76</v>
      </c>
      <c r="E1993" s="13">
        <v>2</v>
      </c>
      <c r="F1993" s="13">
        <f t="shared" si="31"/>
        <v>1.88</v>
      </c>
    </row>
    <row r="1994" spans="2:6">
      <c r="B1994" s="13" t="s">
        <v>2377</v>
      </c>
      <c r="C1994" s="13" t="s">
        <v>2380</v>
      </c>
      <c r="D1994" s="13">
        <v>163.96</v>
      </c>
      <c r="E1994" s="13">
        <v>5</v>
      </c>
      <c r="F1994" s="13">
        <f t="shared" si="31"/>
        <v>32.792000000000002</v>
      </c>
    </row>
    <row r="1995" spans="2:6">
      <c r="B1995" s="13" t="s">
        <v>2480</v>
      </c>
      <c r="C1995" s="13" t="s">
        <v>2482</v>
      </c>
      <c r="D1995" s="13">
        <v>274.8</v>
      </c>
      <c r="E1995" s="13">
        <v>5</v>
      </c>
      <c r="F1995" s="13">
        <f t="shared" si="31"/>
        <v>54.96</v>
      </c>
    </row>
    <row r="1996" spans="2:6">
      <c r="B1996" s="13" t="s">
        <v>2309</v>
      </c>
      <c r="C1996" s="13" t="s">
        <v>2311</v>
      </c>
      <c r="D1996" s="13">
        <v>195.64</v>
      </c>
      <c r="E1996" s="13">
        <v>4</v>
      </c>
      <c r="F1996" s="13">
        <f t="shared" si="31"/>
        <v>48.91</v>
      </c>
    </row>
    <row r="1997" spans="2:6">
      <c r="B1997" s="13" t="s">
        <v>734</v>
      </c>
      <c r="C1997" s="13" t="s">
        <v>742</v>
      </c>
      <c r="D1997" s="13">
        <v>257.98</v>
      </c>
      <c r="E1997" s="13">
        <v>2</v>
      </c>
      <c r="F1997" s="13">
        <f t="shared" si="31"/>
        <v>128.99</v>
      </c>
    </row>
    <row r="1998" spans="2:6">
      <c r="B1998" s="13" t="s">
        <v>2481</v>
      </c>
      <c r="C1998" s="13" t="s">
        <v>2483</v>
      </c>
      <c r="D1998" s="13">
        <v>119.03999999999999</v>
      </c>
      <c r="E1998" s="13">
        <v>6</v>
      </c>
      <c r="F1998" s="13">
        <f t="shared" si="31"/>
        <v>19.84</v>
      </c>
    </row>
    <row r="1999" spans="2:6">
      <c r="B1999" s="13" t="s">
        <v>893</v>
      </c>
      <c r="C1999" s="13" t="s">
        <v>894</v>
      </c>
      <c r="D1999" s="13">
        <v>20.07</v>
      </c>
      <c r="E1999" s="13">
        <v>3</v>
      </c>
      <c r="F1999" s="13">
        <f t="shared" si="31"/>
        <v>6.69</v>
      </c>
    </row>
    <row r="2000" spans="2:6">
      <c r="B2000" s="13" t="s">
        <v>2484</v>
      </c>
      <c r="C2000" s="13" t="s">
        <v>2485</v>
      </c>
      <c r="D2000" s="13">
        <v>11.76</v>
      </c>
      <c r="E2000" s="13">
        <v>4</v>
      </c>
      <c r="F2000" s="13">
        <f t="shared" si="31"/>
        <v>2.94</v>
      </c>
    </row>
    <row r="2001" spans="2:6">
      <c r="B2001" s="13" t="s">
        <v>971</v>
      </c>
      <c r="C2001" s="13" t="s">
        <v>974</v>
      </c>
      <c r="D2001" s="13">
        <v>40.736000000000004</v>
      </c>
      <c r="E2001" s="13">
        <v>2</v>
      </c>
      <c r="F2001" s="13">
        <f t="shared" si="31"/>
        <v>20.368000000000002</v>
      </c>
    </row>
    <row r="2002" spans="2:6">
      <c r="B2002" s="13" t="s">
        <v>2486</v>
      </c>
      <c r="C2002" s="13" t="s">
        <v>2487</v>
      </c>
      <c r="D2002" s="13">
        <v>340.70400000000006</v>
      </c>
      <c r="E2002" s="13">
        <v>6</v>
      </c>
      <c r="F2002" s="13">
        <f t="shared" si="31"/>
        <v>56.784000000000013</v>
      </c>
    </row>
    <row r="2003" spans="2:6">
      <c r="B2003" s="13" t="s">
        <v>2488</v>
      </c>
      <c r="C2003" s="13" t="s">
        <v>2490</v>
      </c>
      <c r="D2003" s="13">
        <v>87.92</v>
      </c>
      <c r="E2003" s="13">
        <v>4</v>
      </c>
      <c r="F2003" s="13">
        <f t="shared" si="31"/>
        <v>21.98</v>
      </c>
    </row>
    <row r="2004" spans="2:6">
      <c r="B2004" s="13" t="s">
        <v>2489</v>
      </c>
      <c r="C2004" s="13" t="s">
        <v>2491</v>
      </c>
      <c r="D2004" s="13">
        <v>51.967999999999996</v>
      </c>
      <c r="E2004" s="13">
        <v>2</v>
      </c>
      <c r="F2004" s="13">
        <f t="shared" si="31"/>
        <v>25.983999999999998</v>
      </c>
    </row>
    <row r="2005" spans="2:6">
      <c r="B2005" s="13" t="s">
        <v>1179</v>
      </c>
      <c r="C2005" s="13" t="s">
        <v>1187</v>
      </c>
      <c r="D2005" s="13">
        <v>51.336000000000006</v>
      </c>
      <c r="E2005" s="13">
        <v>3</v>
      </c>
      <c r="F2005" s="13">
        <f t="shared" si="31"/>
        <v>17.112000000000002</v>
      </c>
    </row>
    <row r="2006" spans="2:6">
      <c r="B2006" s="13" t="s">
        <v>248</v>
      </c>
      <c r="C2006" s="13" t="s">
        <v>250</v>
      </c>
      <c r="D2006" s="13">
        <v>332.70400000000001</v>
      </c>
      <c r="E2006" s="13">
        <v>1</v>
      </c>
      <c r="F2006" s="13">
        <f t="shared" si="31"/>
        <v>332.70400000000001</v>
      </c>
    </row>
    <row r="2007" spans="2:6">
      <c r="B2007" s="13" t="s">
        <v>1501</v>
      </c>
      <c r="C2007" s="13" t="s">
        <v>1505</v>
      </c>
      <c r="D2007" s="13">
        <v>42.408000000000008</v>
      </c>
      <c r="E2007" s="13">
        <v>3</v>
      </c>
      <c r="F2007" s="13">
        <f t="shared" si="31"/>
        <v>14.136000000000003</v>
      </c>
    </row>
    <row r="2008" spans="2:6">
      <c r="B2008" s="13" t="s">
        <v>2492</v>
      </c>
      <c r="C2008" s="13" t="s">
        <v>2493</v>
      </c>
      <c r="D2008" s="13">
        <v>383.84000000000003</v>
      </c>
      <c r="E2008" s="13">
        <v>4</v>
      </c>
      <c r="F2008" s="13">
        <f t="shared" si="31"/>
        <v>95.960000000000008</v>
      </c>
    </row>
    <row r="2009" spans="2:6">
      <c r="B2009" s="13" t="s">
        <v>613</v>
      </c>
      <c r="C2009" s="13" t="s">
        <v>615</v>
      </c>
      <c r="D2009" s="13">
        <v>31.44</v>
      </c>
      <c r="E2009" s="13">
        <v>3</v>
      </c>
      <c r="F2009" s="13">
        <f t="shared" si="31"/>
        <v>10.48</v>
      </c>
    </row>
    <row r="2010" spans="2:6">
      <c r="B2010" s="13" t="s">
        <v>2159</v>
      </c>
      <c r="C2010" s="13" t="s">
        <v>2161</v>
      </c>
      <c r="D2010" s="13">
        <v>25.920000000000005</v>
      </c>
      <c r="E2010" s="13">
        <v>5</v>
      </c>
      <c r="F2010" s="13">
        <f t="shared" si="31"/>
        <v>5.1840000000000011</v>
      </c>
    </row>
    <row r="2011" spans="2:6">
      <c r="B2011" s="13" t="s">
        <v>1736</v>
      </c>
      <c r="C2011" s="13" t="s">
        <v>1742</v>
      </c>
      <c r="D2011" s="13">
        <v>6.3299999999999992</v>
      </c>
      <c r="E2011" s="13">
        <v>5</v>
      </c>
      <c r="F2011" s="13">
        <f t="shared" si="31"/>
        <v>1.2659999999999998</v>
      </c>
    </row>
    <row r="2012" spans="2:6">
      <c r="B2012" s="13" t="s">
        <v>2242</v>
      </c>
      <c r="C2012" s="13" t="s">
        <v>2243</v>
      </c>
      <c r="D2012" s="13">
        <v>75.88</v>
      </c>
      <c r="E2012" s="13">
        <v>5</v>
      </c>
      <c r="F2012" s="13">
        <f t="shared" si="31"/>
        <v>15.175999999999998</v>
      </c>
    </row>
    <row r="2013" spans="2:6">
      <c r="B2013" s="13" t="s">
        <v>1007</v>
      </c>
      <c r="C2013" s="13" t="s">
        <v>1010</v>
      </c>
      <c r="D2013" s="13">
        <v>329.988</v>
      </c>
      <c r="E2013" s="13">
        <v>2</v>
      </c>
      <c r="F2013" s="13">
        <f t="shared" si="31"/>
        <v>164.994</v>
      </c>
    </row>
    <row r="2014" spans="2:6">
      <c r="B2014" s="13" t="s">
        <v>1407</v>
      </c>
      <c r="C2014" s="13" t="s">
        <v>1409</v>
      </c>
      <c r="D2014" s="13">
        <v>71.376000000000005</v>
      </c>
      <c r="E2014" s="13">
        <v>3</v>
      </c>
      <c r="F2014" s="13">
        <f t="shared" si="31"/>
        <v>23.792000000000002</v>
      </c>
    </row>
    <row r="2015" spans="2:6">
      <c r="B2015" s="13" t="s">
        <v>793</v>
      </c>
      <c r="C2015" s="13" t="s">
        <v>796</v>
      </c>
      <c r="D2015" s="13">
        <v>7.7120000000000006</v>
      </c>
      <c r="E2015" s="13">
        <v>2</v>
      </c>
      <c r="F2015" s="13">
        <f t="shared" si="31"/>
        <v>3.8560000000000003</v>
      </c>
    </row>
    <row r="2016" spans="2:6">
      <c r="B2016" s="13" t="s">
        <v>868</v>
      </c>
      <c r="C2016" s="13" t="s">
        <v>872</v>
      </c>
      <c r="D2016" s="13">
        <v>51.168000000000006</v>
      </c>
      <c r="E2016" s="13">
        <v>2</v>
      </c>
      <c r="F2016" s="13">
        <f t="shared" si="31"/>
        <v>25.584000000000003</v>
      </c>
    </row>
    <row r="2017" spans="2:6">
      <c r="B2017" s="13" t="s">
        <v>1618</v>
      </c>
      <c r="C2017" s="13" t="s">
        <v>1619</v>
      </c>
      <c r="D2017" s="13">
        <v>2793.5280000000002</v>
      </c>
      <c r="E2017" s="13">
        <v>9</v>
      </c>
      <c r="F2017" s="13">
        <f t="shared" si="31"/>
        <v>310.39200000000005</v>
      </c>
    </row>
    <row r="2018" spans="2:6">
      <c r="B2018" s="13" t="s">
        <v>857</v>
      </c>
      <c r="C2018" s="13" t="s">
        <v>858</v>
      </c>
      <c r="D2018" s="13">
        <v>1000.0200000000001</v>
      </c>
      <c r="E2018" s="13">
        <v>7</v>
      </c>
      <c r="F2018" s="13">
        <f t="shared" si="31"/>
        <v>142.86000000000001</v>
      </c>
    </row>
    <row r="2019" spans="2:6">
      <c r="B2019" s="13" t="s">
        <v>315</v>
      </c>
      <c r="C2019" s="13" t="s">
        <v>316</v>
      </c>
      <c r="D2019" s="13">
        <v>65.94</v>
      </c>
      <c r="E2019" s="13">
        <v>3</v>
      </c>
      <c r="F2019" s="13">
        <f t="shared" si="31"/>
        <v>21.98</v>
      </c>
    </row>
    <row r="2020" spans="2:6">
      <c r="B2020" s="13" t="s">
        <v>1637</v>
      </c>
      <c r="C2020" s="13" t="s">
        <v>90</v>
      </c>
      <c r="D2020" s="13">
        <v>18.240000000000002</v>
      </c>
      <c r="E2020" s="13">
        <v>3</v>
      </c>
      <c r="F2020" s="13">
        <f t="shared" si="31"/>
        <v>6.080000000000001</v>
      </c>
    </row>
    <row r="2021" spans="2:6">
      <c r="B2021" s="13" t="s">
        <v>1769</v>
      </c>
      <c r="C2021" s="13" t="s">
        <v>1771</v>
      </c>
      <c r="D2021" s="13">
        <v>76.12</v>
      </c>
      <c r="E2021" s="13">
        <v>2</v>
      </c>
      <c r="F2021" s="13">
        <f t="shared" si="31"/>
        <v>38.06</v>
      </c>
    </row>
    <row r="2022" spans="2:6">
      <c r="B2022" s="13" t="s">
        <v>695</v>
      </c>
      <c r="C2022" s="13" t="s">
        <v>698</v>
      </c>
      <c r="D2022" s="13">
        <v>56.699999999999996</v>
      </c>
      <c r="E2022" s="13">
        <v>9</v>
      </c>
      <c r="F2022" s="13">
        <f t="shared" si="31"/>
        <v>6.3</v>
      </c>
    </row>
    <row r="2023" spans="2:6">
      <c r="B2023" s="13" t="s">
        <v>2494</v>
      </c>
      <c r="C2023" s="13" t="s">
        <v>2495</v>
      </c>
      <c r="D2023" s="13">
        <v>72.703999999999994</v>
      </c>
      <c r="E2023" s="13">
        <v>4</v>
      </c>
      <c r="F2023" s="13">
        <f t="shared" si="31"/>
        <v>18.175999999999998</v>
      </c>
    </row>
    <row r="2024" spans="2:6">
      <c r="B2024" s="13" t="s">
        <v>689</v>
      </c>
      <c r="C2024" s="13" t="s">
        <v>690</v>
      </c>
      <c r="D2024" s="13">
        <v>12.263999999999999</v>
      </c>
      <c r="E2024" s="13">
        <v>7</v>
      </c>
      <c r="F2024" s="13">
        <f t="shared" si="31"/>
        <v>1.752</v>
      </c>
    </row>
    <row r="2025" spans="2:6">
      <c r="B2025" s="13" t="s">
        <v>635</v>
      </c>
      <c r="C2025" s="13" t="s">
        <v>639</v>
      </c>
      <c r="D2025" s="13">
        <v>218.35200000000003</v>
      </c>
      <c r="E2025" s="13">
        <v>3</v>
      </c>
      <c r="F2025" s="13">
        <f t="shared" si="31"/>
        <v>72.784000000000006</v>
      </c>
    </row>
    <row r="2026" spans="2:6">
      <c r="B2026" s="13" t="s">
        <v>2104</v>
      </c>
      <c r="C2026" s="13" t="s">
        <v>597</v>
      </c>
      <c r="D2026" s="13">
        <v>30.32</v>
      </c>
      <c r="E2026" s="13">
        <v>4</v>
      </c>
      <c r="F2026" s="13">
        <f t="shared" si="31"/>
        <v>7.58</v>
      </c>
    </row>
    <row r="2027" spans="2:6">
      <c r="B2027" s="13" t="s">
        <v>2496</v>
      </c>
      <c r="C2027" s="13" t="s">
        <v>2498</v>
      </c>
      <c r="D2027" s="13">
        <v>177.56800000000001</v>
      </c>
      <c r="E2027" s="13">
        <v>2</v>
      </c>
      <c r="F2027" s="13">
        <f t="shared" si="31"/>
        <v>88.784000000000006</v>
      </c>
    </row>
    <row r="2028" spans="2:6">
      <c r="B2028" s="13" t="s">
        <v>1515</v>
      </c>
      <c r="C2028" s="13" t="s">
        <v>1518</v>
      </c>
      <c r="D2028" s="13">
        <v>19.440000000000001</v>
      </c>
      <c r="E2028" s="13">
        <v>3</v>
      </c>
      <c r="F2028" s="13">
        <f t="shared" si="31"/>
        <v>6.48</v>
      </c>
    </row>
    <row r="2029" spans="2:6">
      <c r="B2029" s="13" t="s">
        <v>1715</v>
      </c>
      <c r="C2029" s="13" t="s">
        <v>1717</v>
      </c>
      <c r="D2029" s="13">
        <v>71.28</v>
      </c>
      <c r="E2029" s="13">
        <v>11</v>
      </c>
      <c r="F2029" s="13">
        <f t="shared" si="31"/>
        <v>6.48</v>
      </c>
    </row>
    <row r="2030" spans="2:6">
      <c r="B2030" s="13" t="s">
        <v>1589</v>
      </c>
      <c r="C2030" s="13" t="s">
        <v>1590</v>
      </c>
      <c r="D2030" s="13">
        <v>1471.96</v>
      </c>
      <c r="E2030" s="13">
        <v>5</v>
      </c>
      <c r="F2030" s="13">
        <f t="shared" si="31"/>
        <v>294.392</v>
      </c>
    </row>
    <row r="2031" spans="2:6">
      <c r="B2031" s="13" t="s">
        <v>2497</v>
      </c>
      <c r="C2031" s="13" t="s">
        <v>2499</v>
      </c>
      <c r="D2031" s="13">
        <v>79.959999999999994</v>
      </c>
      <c r="E2031" s="13">
        <v>5</v>
      </c>
      <c r="F2031" s="13">
        <f t="shared" si="31"/>
        <v>15.991999999999999</v>
      </c>
    </row>
    <row r="2032" spans="2:6">
      <c r="B2032" s="13" t="s">
        <v>2236</v>
      </c>
      <c r="C2032" s="13" t="s">
        <v>2237</v>
      </c>
      <c r="D2032" s="13">
        <v>247.44</v>
      </c>
      <c r="E2032" s="13">
        <v>8</v>
      </c>
      <c r="F2032" s="13">
        <f t="shared" si="31"/>
        <v>30.93</v>
      </c>
    </row>
    <row r="2033" spans="2:6">
      <c r="B2033" s="13" t="s">
        <v>1200</v>
      </c>
      <c r="C2033" s="13" t="s">
        <v>1204</v>
      </c>
      <c r="D2033" s="13">
        <v>43.41</v>
      </c>
      <c r="E2033" s="13">
        <v>1</v>
      </c>
      <c r="F2033" s="13">
        <f t="shared" si="31"/>
        <v>43.41</v>
      </c>
    </row>
    <row r="2034" spans="2:6">
      <c r="B2034" s="13" t="s">
        <v>2500</v>
      </c>
      <c r="C2034" s="13" t="s">
        <v>182</v>
      </c>
      <c r="D2034" s="13">
        <v>6.24</v>
      </c>
      <c r="E2034" s="13">
        <v>3</v>
      </c>
      <c r="F2034" s="13">
        <f t="shared" si="31"/>
        <v>2.08</v>
      </c>
    </row>
    <row r="2035" spans="2:6">
      <c r="B2035" s="13" t="s">
        <v>2501</v>
      </c>
      <c r="C2035" s="13" t="s">
        <v>2502</v>
      </c>
      <c r="D2035" s="13">
        <v>465.16</v>
      </c>
      <c r="E2035" s="13">
        <v>2</v>
      </c>
      <c r="F2035" s="13">
        <f t="shared" si="31"/>
        <v>232.58</v>
      </c>
    </row>
    <row r="2036" spans="2:6">
      <c r="B2036" s="13" t="s">
        <v>1095</v>
      </c>
      <c r="C2036" s="13" t="s">
        <v>1097</v>
      </c>
      <c r="D2036" s="13">
        <v>7.98</v>
      </c>
      <c r="E2036" s="13">
        <v>1</v>
      </c>
      <c r="F2036" s="13">
        <f t="shared" si="31"/>
        <v>7.98</v>
      </c>
    </row>
    <row r="2037" spans="2:6">
      <c r="B2037" s="13" t="s">
        <v>62</v>
      </c>
      <c r="C2037" s="13" t="s">
        <v>66</v>
      </c>
      <c r="D2037" s="13">
        <v>9.8560000000000016</v>
      </c>
      <c r="E2037" s="13">
        <v>4</v>
      </c>
      <c r="F2037" s="13">
        <f t="shared" si="31"/>
        <v>2.4640000000000004</v>
      </c>
    </row>
    <row r="2038" spans="2:6">
      <c r="B2038" s="13" t="s">
        <v>2503</v>
      </c>
      <c r="C2038" s="13" t="s">
        <v>2504</v>
      </c>
      <c r="D2038" s="13">
        <v>384.59200000000004</v>
      </c>
      <c r="E2038" s="13">
        <v>2</v>
      </c>
      <c r="F2038" s="13">
        <f t="shared" si="31"/>
        <v>192.29600000000002</v>
      </c>
    </row>
    <row r="2039" spans="2:6">
      <c r="B2039" s="13" t="s">
        <v>174</v>
      </c>
      <c r="C2039" s="13" t="s">
        <v>179</v>
      </c>
      <c r="D2039" s="13">
        <v>41.4</v>
      </c>
      <c r="E2039" s="13">
        <v>4</v>
      </c>
      <c r="F2039" s="13">
        <f t="shared" si="31"/>
        <v>10.35</v>
      </c>
    </row>
    <row r="2040" spans="2:6">
      <c r="B2040" s="13" t="s">
        <v>809</v>
      </c>
      <c r="C2040" s="13" t="s">
        <v>816</v>
      </c>
      <c r="D2040" s="13">
        <v>34.5</v>
      </c>
      <c r="E2040" s="13">
        <v>3</v>
      </c>
      <c r="F2040" s="13">
        <f t="shared" si="31"/>
        <v>11.5</v>
      </c>
    </row>
    <row r="2041" spans="2:6">
      <c r="B2041" s="13" t="s">
        <v>2505</v>
      </c>
      <c r="C2041" s="13" t="s">
        <v>2508</v>
      </c>
      <c r="D2041" s="13">
        <v>39.992000000000004</v>
      </c>
      <c r="E2041" s="13">
        <v>1</v>
      </c>
      <c r="F2041" s="13">
        <f t="shared" si="31"/>
        <v>39.992000000000004</v>
      </c>
    </row>
    <row r="2042" spans="2:6">
      <c r="B2042" s="13" t="s">
        <v>2506</v>
      </c>
      <c r="C2042" s="13" t="s">
        <v>2509</v>
      </c>
      <c r="D2042" s="13">
        <v>1159.056</v>
      </c>
      <c r="E2042" s="13">
        <v>9</v>
      </c>
      <c r="F2042" s="13">
        <f t="shared" si="31"/>
        <v>128.78399999999999</v>
      </c>
    </row>
    <row r="2043" spans="2:6">
      <c r="B2043" s="13" t="s">
        <v>2507</v>
      </c>
      <c r="C2043" s="13" t="s">
        <v>2510</v>
      </c>
      <c r="D2043" s="13">
        <v>179.89999999999998</v>
      </c>
      <c r="E2043" s="13">
        <v>5</v>
      </c>
      <c r="F2043" s="13">
        <f t="shared" si="31"/>
        <v>35.979999999999997</v>
      </c>
    </row>
    <row r="2044" spans="2:6">
      <c r="B2044" s="13" t="s">
        <v>1014</v>
      </c>
      <c r="C2044" s="13" t="s">
        <v>1018</v>
      </c>
      <c r="D2044" s="13">
        <v>116.312</v>
      </c>
      <c r="E2044" s="13">
        <v>7</v>
      </c>
      <c r="F2044" s="13">
        <f t="shared" si="31"/>
        <v>16.616</v>
      </c>
    </row>
    <row r="2045" spans="2:6">
      <c r="B2045" s="13" t="s">
        <v>2511</v>
      </c>
      <c r="C2045" s="13" t="s">
        <v>2512</v>
      </c>
      <c r="D2045" s="13">
        <v>5.9039999999999999</v>
      </c>
      <c r="E2045" s="13">
        <v>2</v>
      </c>
      <c r="F2045" s="13">
        <f t="shared" si="31"/>
        <v>2.952</v>
      </c>
    </row>
    <row r="2046" spans="2:6">
      <c r="B2046" s="13" t="s">
        <v>2513</v>
      </c>
      <c r="C2046" s="13" t="s">
        <v>2514</v>
      </c>
      <c r="D2046" s="13">
        <v>701.96</v>
      </c>
      <c r="E2046" s="13">
        <v>2</v>
      </c>
      <c r="F2046" s="13">
        <f t="shared" si="31"/>
        <v>350.98</v>
      </c>
    </row>
    <row r="2047" spans="2:6">
      <c r="B2047" s="13" t="s">
        <v>2515</v>
      </c>
      <c r="C2047" s="13" t="s">
        <v>2516</v>
      </c>
      <c r="D2047" s="13">
        <v>25.83</v>
      </c>
      <c r="E2047" s="13">
        <v>3</v>
      </c>
      <c r="F2047" s="13">
        <f t="shared" si="31"/>
        <v>8.61</v>
      </c>
    </row>
    <row r="2048" spans="2:6">
      <c r="B2048" s="13" t="s">
        <v>2517</v>
      </c>
      <c r="C2048" s="13" t="s">
        <v>2520</v>
      </c>
      <c r="D2048" s="13">
        <v>195.96000000000004</v>
      </c>
      <c r="E2048" s="13">
        <v>5</v>
      </c>
      <c r="F2048" s="13">
        <f t="shared" si="31"/>
        <v>39.192000000000007</v>
      </c>
    </row>
    <row r="2049" spans="2:6">
      <c r="B2049" s="13" t="s">
        <v>2518</v>
      </c>
      <c r="C2049" s="13" t="s">
        <v>2521</v>
      </c>
      <c r="D2049" s="13">
        <v>74.352000000000004</v>
      </c>
      <c r="E2049" s="13">
        <v>3</v>
      </c>
      <c r="F2049" s="13">
        <f t="shared" si="31"/>
        <v>24.784000000000002</v>
      </c>
    </row>
    <row r="2050" spans="2:6">
      <c r="B2050" s="13" t="s">
        <v>2519</v>
      </c>
      <c r="C2050" s="13" t="s">
        <v>2522</v>
      </c>
      <c r="D2050" s="13">
        <v>6.68</v>
      </c>
      <c r="E2050" s="13">
        <v>1</v>
      </c>
      <c r="F2050" s="13">
        <f t="shared" si="31"/>
        <v>6.68</v>
      </c>
    </row>
    <row r="2051" spans="2:6">
      <c r="B2051" s="13" t="s">
        <v>2095</v>
      </c>
      <c r="C2051" s="13" t="s">
        <v>2097</v>
      </c>
      <c r="D2051" s="13">
        <v>579.51</v>
      </c>
      <c r="E2051" s="13">
        <v>3</v>
      </c>
      <c r="F2051" s="13">
        <f t="shared" si="31"/>
        <v>193.17</v>
      </c>
    </row>
    <row r="2052" spans="2:6">
      <c r="B2052" s="13" t="s">
        <v>1110</v>
      </c>
      <c r="C2052" s="13" t="s">
        <v>1113</v>
      </c>
      <c r="D2052" s="13">
        <v>14.99</v>
      </c>
      <c r="E2052" s="13">
        <v>1</v>
      </c>
      <c r="F2052" s="13">
        <f t="shared" ref="F2052:F2115" si="32">D2052/E2052</f>
        <v>14.99</v>
      </c>
    </row>
    <row r="2053" spans="2:6">
      <c r="B2053" s="13" t="s">
        <v>1959</v>
      </c>
      <c r="C2053" s="13" t="s">
        <v>1960</v>
      </c>
      <c r="D2053" s="13">
        <v>39.960000000000008</v>
      </c>
      <c r="E2053" s="13">
        <v>5</v>
      </c>
      <c r="F2053" s="13">
        <f t="shared" si="32"/>
        <v>7.9920000000000018</v>
      </c>
    </row>
    <row r="2054" spans="2:6">
      <c r="B2054" s="13" t="s">
        <v>86</v>
      </c>
      <c r="C2054" s="13" t="s">
        <v>380</v>
      </c>
      <c r="D2054" s="13">
        <v>34.08</v>
      </c>
      <c r="E2054" s="13">
        <v>6</v>
      </c>
      <c r="F2054" s="13">
        <f t="shared" si="32"/>
        <v>5.68</v>
      </c>
    </row>
    <row r="2055" spans="2:6">
      <c r="B2055" s="13" t="s">
        <v>1499</v>
      </c>
      <c r="C2055" s="13" t="s">
        <v>1503</v>
      </c>
      <c r="D2055" s="13">
        <v>10.368000000000002</v>
      </c>
      <c r="E2055" s="13">
        <v>2</v>
      </c>
      <c r="F2055" s="13">
        <f t="shared" si="32"/>
        <v>5.1840000000000011</v>
      </c>
    </row>
    <row r="2056" spans="2:6">
      <c r="B2056" s="13" t="s">
        <v>1650</v>
      </c>
      <c r="C2056" s="13" t="s">
        <v>1657</v>
      </c>
      <c r="D2056" s="13">
        <v>87.8</v>
      </c>
      <c r="E2056" s="13">
        <v>4</v>
      </c>
      <c r="F2056" s="13">
        <f t="shared" si="32"/>
        <v>21.95</v>
      </c>
    </row>
    <row r="2057" spans="2:6">
      <c r="B2057" s="13" t="s">
        <v>970</v>
      </c>
      <c r="C2057" s="13" t="s">
        <v>973</v>
      </c>
      <c r="D2057" s="13">
        <v>221.38200000000001</v>
      </c>
      <c r="E2057" s="13">
        <v>2</v>
      </c>
      <c r="F2057" s="13">
        <f t="shared" si="32"/>
        <v>110.691</v>
      </c>
    </row>
    <row r="2058" spans="2:6">
      <c r="B2058" s="13" t="s">
        <v>2523</v>
      </c>
      <c r="C2058" s="13" t="s">
        <v>2524</v>
      </c>
      <c r="D2058" s="13">
        <v>5199.96</v>
      </c>
      <c r="E2058" s="13">
        <v>4</v>
      </c>
      <c r="F2058" s="13">
        <f t="shared" si="32"/>
        <v>1299.99</v>
      </c>
    </row>
    <row r="2059" spans="2:6">
      <c r="B2059" s="13" t="s">
        <v>1492</v>
      </c>
      <c r="C2059" s="13" t="s">
        <v>1496</v>
      </c>
      <c r="D2059" s="13">
        <v>24.55</v>
      </c>
      <c r="E2059" s="13">
        <v>5</v>
      </c>
      <c r="F2059" s="13">
        <f t="shared" si="32"/>
        <v>4.91</v>
      </c>
    </row>
    <row r="2060" spans="2:6">
      <c r="B2060" s="13" t="s">
        <v>1793</v>
      </c>
      <c r="C2060" s="13" t="s">
        <v>1796</v>
      </c>
      <c r="D2060" s="13">
        <v>108.40000000000002</v>
      </c>
      <c r="E2060" s="13">
        <v>5</v>
      </c>
      <c r="F2060" s="13">
        <f t="shared" si="32"/>
        <v>21.680000000000003</v>
      </c>
    </row>
    <row r="2061" spans="2:6">
      <c r="B2061" s="13" t="s">
        <v>719</v>
      </c>
      <c r="C2061" s="13" t="s">
        <v>725</v>
      </c>
      <c r="D2061" s="13">
        <v>361.37600000000003</v>
      </c>
      <c r="E2061" s="13">
        <v>2</v>
      </c>
      <c r="F2061" s="13">
        <f t="shared" si="32"/>
        <v>180.68800000000002</v>
      </c>
    </row>
    <row r="2062" spans="2:6">
      <c r="B2062" s="13" t="s">
        <v>2525</v>
      </c>
      <c r="C2062" s="13" t="s">
        <v>2527</v>
      </c>
      <c r="D2062" s="13">
        <v>19.68</v>
      </c>
      <c r="E2062" s="13">
        <v>5</v>
      </c>
      <c r="F2062" s="13">
        <f t="shared" si="32"/>
        <v>3.9359999999999999</v>
      </c>
    </row>
    <row r="2063" spans="2:6">
      <c r="B2063" s="13" t="s">
        <v>559</v>
      </c>
      <c r="C2063" s="13" t="s">
        <v>564</v>
      </c>
      <c r="D2063" s="13">
        <v>25.92</v>
      </c>
      <c r="E2063" s="13">
        <v>4</v>
      </c>
      <c r="F2063" s="13">
        <f t="shared" si="32"/>
        <v>6.48</v>
      </c>
    </row>
    <row r="2064" spans="2:6">
      <c r="B2064" s="13" t="s">
        <v>2526</v>
      </c>
      <c r="C2064" s="13" t="s">
        <v>2528</v>
      </c>
      <c r="D2064" s="13">
        <v>6.48</v>
      </c>
      <c r="E2064" s="13">
        <v>1</v>
      </c>
      <c r="F2064" s="13">
        <f t="shared" si="32"/>
        <v>6.48</v>
      </c>
    </row>
    <row r="2065" spans="2:6">
      <c r="B2065" s="13" t="s">
        <v>2416</v>
      </c>
      <c r="C2065" s="13" t="s">
        <v>2417</v>
      </c>
      <c r="D2065" s="13">
        <v>86.352000000000004</v>
      </c>
      <c r="E2065" s="13">
        <v>6</v>
      </c>
      <c r="F2065" s="13">
        <f t="shared" si="32"/>
        <v>14.392000000000001</v>
      </c>
    </row>
    <row r="2066" spans="2:6">
      <c r="B2066" s="13" t="s">
        <v>2075</v>
      </c>
      <c r="C2066" s="13" t="s">
        <v>2077</v>
      </c>
      <c r="D2066" s="13">
        <v>150.80000000000001</v>
      </c>
      <c r="E2066" s="13">
        <v>5</v>
      </c>
      <c r="F2066" s="13">
        <f t="shared" si="32"/>
        <v>30.160000000000004</v>
      </c>
    </row>
    <row r="2067" spans="2:6">
      <c r="B2067" s="13" t="s">
        <v>2529</v>
      </c>
      <c r="C2067" s="13" t="s">
        <v>2532</v>
      </c>
      <c r="D2067" s="13">
        <v>1039.992</v>
      </c>
      <c r="E2067" s="13">
        <v>1</v>
      </c>
      <c r="F2067" s="13">
        <f t="shared" si="32"/>
        <v>1039.992</v>
      </c>
    </row>
    <row r="2068" spans="2:6">
      <c r="B2068" s="13" t="s">
        <v>2220</v>
      </c>
      <c r="C2068" s="13" t="s">
        <v>2223</v>
      </c>
      <c r="D2068" s="13">
        <v>51.84</v>
      </c>
      <c r="E2068" s="13">
        <v>8</v>
      </c>
      <c r="F2068" s="13">
        <f t="shared" si="32"/>
        <v>6.48</v>
      </c>
    </row>
    <row r="2069" spans="2:6">
      <c r="B2069" s="13" t="s">
        <v>2530</v>
      </c>
      <c r="C2069" s="13" t="s">
        <v>2533</v>
      </c>
      <c r="D2069" s="13">
        <v>41.22</v>
      </c>
      <c r="E2069" s="13">
        <v>1</v>
      </c>
      <c r="F2069" s="13">
        <f t="shared" si="32"/>
        <v>41.22</v>
      </c>
    </row>
    <row r="2070" spans="2:6">
      <c r="B2070" s="13" t="s">
        <v>2503</v>
      </c>
      <c r="C2070" s="13" t="s">
        <v>2504</v>
      </c>
      <c r="D2070" s="13">
        <v>240.37</v>
      </c>
      <c r="E2070" s="13">
        <v>1</v>
      </c>
      <c r="F2070" s="13">
        <f t="shared" si="32"/>
        <v>240.37</v>
      </c>
    </row>
    <row r="2071" spans="2:6">
      <c r="B2071" s="13" t="s">
        <v>2531</v>
      </c>
      <c r="C2071" s="13" t="s">
        <v>2534</v>
      </c>
      <c r="D2071" s="13">
        <v>119.02</v>
      </c>
      <c r="E2071" s="13">
        <v>2</v>
      </c>
      <c r="F2071" s="13">
        <f t="shared" si="32"/>
        <v>59.51</v>
      </c>
    </row>
    <row r="2072" spans="2:6">
      <c r="B2072" s="13" t="s">
        <v>1236</v>
      </c>
      <c r="C2072" s="13" t="s">
        <v>1237</v>
      </c>
      <c r="D2072" s="13">
        <v>133.12</v>
      </c>
      <c r="E2072" s="13">
        <v>5</v>
      </c>
      <c r="F2072" s="13">
        <f t="shared" si="32"/>
        <v>26.624000000000002</v>
      </c>
    </row>
    <row r="2073" spans="2:6">
      <c r="B2073" s="13" t="s">
        <v>79</v>
      </c>
      <c r="C2073" s="13" t="s">
        <v>80</v>
      </c>
      <c r="D2073" s="13">
        <v>83.92</v>
      </c>
      <c r="E2073" s="13">
        <v>4</v>
      </c>
      <c r="F2073" s="13">
        <f t="shared" si="32"/>
        <v>20.98</v>
      </c>
    </row>
    <row r="2074" spans="2:6">
      <c r="B2074" s="13" t="s">
        <v>598</v>
      </c>
      <c r="C2074" s="13" t="s">
        <v>601</v>
      </c>
      <c r="D2074" s="13">
        <v>6.63</v>
      </c>
      <c r="E2074" s="13">
        <v>3</v>
      </c>
      <c r="F2074" s="13">
        <f t="shared" si="32"/>
        <v>2.21</v>
      </c>
    </row>
    <row r="2075" spans="2:6">
      <c r="B2075" s="13" t="s">
        <v>1227</v>
      </c>
      <c r="C2075" s="13" t="s">
        <v>1232</v>
      </c>
      <c r="D2075" s="13">
        <v>371.96999999999997</v>
      </c>
      <c r="E2075" s="13">
        <v>3</v>
      </c>
      <c r="F2075" s="13">
        <f t="shared" si="32"/>
        <v>123.99</v>
      </c>
    </row>
    <row r="2076" spans="2:6">
      <c r="B2076" s="13" t="s">
        <v>1388</v>
      </c>
      <c r="C2076" s="13" t="s">
        <v>1389</v>
      </c>
      <c r="D2076" s="13">
        <v>99.99</v>
      </c>
      <c r="E2076" s="13">
        <v>1</v>
      </c>
      <c r="F2076" s="13">
        <f t="shared" si="32"/>
        <v>99.99</v>
      </c>
    </row>
    <row r="2077" spans="2:6">
      <c r="B2077" s="13" t="s">
        <v>1146</v>
      </c>
      <c r="C2077" s="13" t="s">
        <v>1148</v>
      </c>
      <c r="D2077" s="13">
        <v>286.14999999999998</v>
      </c>
      <c r="E2077" s="13">
        <v>5</v>
      </c>
      <c r="F2077" s="13">
        <f t="shared" si="32"/>
        <v>57.23</v>
      </c>
    </row>
    <row r="2078" spans="2:6">
      <c r="B2078" s="13" t="s">
        <v>605</v>
      </c>
      <c r="C2078" s="13" t="s">
        <v>607</v>
      </c>
      <c r="D2078" s="13">
        <v>32.783999999999992</v>
      </c>
      <c r="E2078" s="13">
        <v>4</v>
      </c>
      <c r="F2078" s="13">
        <f t="shared" si="32"/>
        <v>8.195999999999998</v>
      </c>
    </row>
    <row r="2079" spans="2:6">
      <c r="B2079" s="13" t="s">
        <v>1585</v>
      </c>
      <c r="C2079" s="13" t="s">
        <v>1586</v>
      </c>
      <c r="D2079" s="13">
        <v>47.984000000000002</v>
      </c>
      <c r="E2079" s="13">
        <v>2</v>
      </c>
      <c r="F2079" s="13">
        <f t="shared" si="32"/>
        <v>23.992000000000001</v>
      </c>
    </row>
    <row r="2080" spans="2:6">
      <c r="B2080" s="13" t="s">
        <v>1849</v>
      </c>
      <c r="C2080" s="13" t="s">
        <v>1852</v>
      </c>
      <c r="D2080" s="13">
        <v>62.591999999999999</v>
      </c>
      <c r="E2080" s="13">
        <v>8</v>
      </c>
      <c r="F2080" s="13">
        <f t="shared" si="32"/>
        <v>7.8239999999999998</v>
      </c>
    </row>
    <row r="2081" spans="2:6">
      <c r="B2081" s="13" t="s">
        <v>491</v>
      </c>
      <c r="C2081" s="13" t="s">
        <v>496</v>
      </c>
      <c r="D2081" s="13">
        <v>4.2759999999999989</v>
      </c>
      <c r="E2081" s="13">
        <v>1</v>
      </c>
      <c r="F2081" s="13">
        <f t="shared" si="32"/>
        <v>4.2759999999999989</v>
      </c>
    </row>
    <row r="2082" spans="2:6">
      <c r="B2082" s="13" t="s">
        <v>2535</v>
      </c>
      <c r="C2082" s="13" t="s">
        <v>2540</v>
      </c>
      <c r="D2082" s="13">
        <v>5.2480000000000002</v>
      </c>
      <c r="E2082" s="13">
        <v>2</v>
      </c>
      <c r="F2082" s="13">
        <f t="shared" si="32"/>
        <v>2.6240000000000001</v>
      </c>
    </row>
    <row r="2083" spans="2:6">
      <c r="B2083" s="13" t="s">
        <v>1366</v>
      </c>
      <c r="C2083" s="13" t="s">
        <v>1369</v>
      </c>
      <c r="D2083" s="13">
        <v>824.95</v>
      </c>
      <c r="E2083" s="13">
        <v>5</v>
      </c>
      <c r="F2083" s="13">
        <f t="shared" si="32"/>
        <v>164.99</v>
      </c>
    </row>
    <row r="2084" spans="2:6">
      <c r="B2084" s="13" t="s">
        <v>2536</v>
      </c>
      <c r="C2084" s="13" t="s">
        <v>2541</v>
      </c>
      <c r="D2084" s="13">
        <v>24.64</v>
      </c>
      <c r="E2084" s="13">
        <v>8</v>
      </c>
      <c r="F2084" s="13">
        <f t="shared" si="32"/>
        <v>3.08</v>
      </c>
    </row>
    <row r="2085" spans="2:6">
      <c r="B2085" s="13" t="s">
        <v>2537</v>
      </c>
      <c r="C2085" s="13" t="s">
        <v>2542</v>
      </c>
      <c r="D2085" s="13">
        <v>227.88</v>
      </c>
      <c r="E2085" s="13">
        <v>6</v>
      </c>
      <c r="F2085" s="13">
        <f t="shared" si="32"/>
        <v>37.979999999999997</v>
      </c>
    </row>
    <row r="2086" spans="2:6">
      <c r="B2086" s="13" t="s">
        <v>2538</v>
      </c>
      <c r="C2086" s="13" t="s">
        <v>2543</v>
      </c>
      <c r="D2086" s="13">
        <v>241.96</v>
      </c>
      <c r="E2086" s="13">
        <v>2</v>
      </c>
      <c r="F2086" s="13">
        <f t="shared" si="32"/>
        <v>120.98</v>
      </c>
    </row>
    <row r="2087" spans="2:6">
      <c r="B2087" s="13" t="s">
        <v>2539</v>
      </c>
      <c r="C2087" s="13" t="s">
        <v>2544</v>
      </c>
      <c r="D2087" s="13">
        <v>3.89</v>
      </c>
      <c r="E2087" s="13">
        <v>1</v>
      </c>
      <c r="F2087" s="13">
        <f t="shared" si="32"/>
        <v>3.89</v>
      </c>
    </row>
    <row r="2088" spans="2:6">
      <c r="B2088" s="13" t="s">
        <v>2209</v>
      </c>
      <c r="C2088" s="13" t="s">
        <v>2211</v>
      </c>
      <c r="D2088" s="13">
        <v>8.01</v>
      </c>
      <c r="E2088" s="13">
        <v>3</v>
      </c>
      <c r="F2088" s="13">
        <f t="shared" si="32"/>
        <v>2.67</v>
      </c>
    </row>
    <row r="2089" spans="2:6">
      <c r="B2089" s="13" t="s">
        <v>2545</v>
      </c>
      <c r="C2089" s="13" t="s">
        <v>2549</v>
      </c>
      <c r="D2089" s="13">
        <v>569.5680000000001</v>
      </c>
      <c r="E2089" s="13">
        <v>2</v>
      </c>
      <c r="F2089" s="13">
        <f t="shared" si="32"/>
        <v>284.78400000000005</v>
      </c>
    </row>
    <row r="2090" spans="2:6">
      <c r="B2090" s="13" t="s">
        <v>1179</v>
      </c>
      <c r="C2090" s="13" t="s">
        <v>1187</v>
      </c>
      <c r="D2090" s="13">
        <v>149.73000000000002</v>
      </c>
      <c r="E2090" s="13">
        <v>7</v>
      </c>
      <c r="F2090" s="13">
        <f t="shared" si="32"/>
        <v>21.390000000000004</v>
      </c>
    </row>
    <row r="2091" spans="2:6">
      <c r="B2091" s="13" t="s">
        <v>998</v>
      </c>
      <c r="C2091" s="13" t="s">
        <v>1000</v>
      </c>
      <c r="D2091" s="13">
        <v>899.43</v>
      </c>
      <c r="E2091" s="13">
        <v>5</v>
      </c>
      <c r="F2091" s="13">
        <f t="shared" si="32"/>
        <v>179.886</v>
      </c>
    </row>
    <row r="2092" spans="2:6">
      <c r="B2092" s="13" t="s">
        <v>979</v>
      </c>
      <c r="C2092" s="13" t="s">
        <v>980</v>
      </c>
      <c r="D2092" s="13">
        <v>46.2</v>
      </c>
      <c r="E2092" s="13">
        <v>5</v>
      </c>
      <c r="F2092" s="13">
        <f t="shared" si="32"/>
        <v>9.24</v>
      </c>
    </row>
    <row r="2093" spans="2:6">
      <c r="B2093" s="13" t="s">
        <v>2546</v>
      </c>
      <c r="C2093" s="13" t="s">
        <v>2550</v>
      </c>
      <c r="D2093" s="13">
        <v>47.952000000000005</v>
      </c>
      <c r="E2093" s="13">
        <v>3</v>
      </c>
      <c r="F2093" s="13">
        <f t="shared" si="32"/>
        <v>15.984000000000002</v>
      </c>
    </row>
    <row r="2094" spans="2:6">
      <c r="B2094" s="13" t="s">
        <v>1959</v>
      </c>
      <c r="C2094" s="13" t="s">
        <v>1960</v>
      </c>
      <c r="D2094" s="13">
        <v>7.9920000000000009</v>
      </c>
      <c r="E2094" s="13">
        <v>1</v>
      </c>
      <c r="F2094" s="13">
        <f t="shared" si="32"/>
        <v>7.9920000000000009</v>
      </c>
    </row>
    <row r="2095" spans="2:6">
      <c r="B2095" s="13" t="s">
        <v>2547</v>
      </c>
      <c r="C2095" s="13" t="s">
        <v>2551</v>
      </c>
      <c r="D2095" s="13">
        <v>76.864000000000004</v>
      </c>
      <c r="E2095" s="13">
        <v>2</v>
      </c>
      <c r="F2095" s="13">
        <f t="shared" si="32"/>
        <v>38.432000000000002</v>
      </c>
    </row>
    <row r="2096" spans="2:6">
      <c r="B2096" s="13" t="s">
        <v>1128</v>
      </c>
      <c r="C2096" s="13" t="s">
        <v>1129</v>
      </c>
      <c r="D2096" s="13">
        <v>102.93</v>
      </c>
      <c r="E2096" s="13">
        <v>3</v>
      </c>
      <c r="F2096" s="13">
        <f t="shared" si="32"/>
        <v>34.31</v>
      </c>
    </row>
    <row r="2097" spans="2:6">
      <c r="B2097" s="13" t="s">
        <v>748</v>
      </c>
      <c r="C2097" s="13" t="s">
        <v>749</v>
      </c>
      <c r="D2097" s="13">
        <v>98.16</v>
      </c>
      <c r="E2097" s="13">
        <v>6</v>
      </c>
      <c r="F2097" s="13">
        <f t="shared" si="32"/>
        <v>16.36</v>
      </c>
    </row>
    <row r="2098" spans="2:6">
      <c r="B2098" s="13" t="s">
        <v>2548</v>
      </c>
      <c r="C2098" s="13" t="s">
        <v>2552</v>
      </c>
      <c r="D2098" s="13">
        <v>11.520000000000001</v>
      </c>
      <c r="E2098" s="13">
        <v>5</v>
      </c>
      <c r="F2098" s="13">
        <f t="shared" si="32"/>
        <v>2.3040000000000003</v>
      </c>
    </row>
    <row r="2099" spans="2:6">
      <c r="B2099" s="13" t="s">
        <v>1815</v>
      </c>
      <c r="C2099" s="13" t="s">
        <v>1818</v>
      </c>
      <c r="D2099" s="13">
        <v>83.88</v>
      </c>
      <c r="E2099" s="13">
        <v>1</v>
      </c>
      <c r="F2099" s="13">
        <f t="shared" si="32"/>
        <v>83.88</v>
      </c>
    </row>
    <row r="2100" spans="2:6">
      <c r="B2100" s="13" t="s">
        <v>2553</v>
      </c>
      <c r="C2100" s="13" t="s">
        <v>2554</v>
      </c>
      <c r="D2100" s="13">
        <v>19.440000000000001</v>
      </c>
      <c r="E2100" s="13">
        <v>3</v>
      </c>
      <c r="F2100" s="13">
        <f t="shared" si="32"/>
        <v>6.48</v>
      </c>
    </row>
    <row r="2101" spans="2:6">
      <c r="B2101" s="13" t="s">
        <v>1477</v>
      </c>
      <c r="C2101" s="13" t="s">
        <v>1483</v>
      </c>
      <c r="D2101" s="13">
        <v>35</v>
      </c>
      <c r="E2101" s="13">
        <v>4</v>
      </c>
      <c r="F2101" s="13">
        <f t="shared" si="32"/>
        <v>8.75</v>
      </c>
    </row>
    <row r="2102" spans="2:6">
      <c r="B2102" s="13" t="s">
        <v>1035</v>
      </c>
      <c r="C2102" s="13" t="s">
        <v>1056</v>
      </c>
      <c r="D2102" s="13">
        <v>477.15000000000003</v>
      </c>
      <c r="E2102" s="13">
        <v>5</v>
      </c>
      <c r="F2102" s="13">
        <f t="shared" si="32"/>
        <v>95.43</v>
      </c>
    </row>
    <row r="2103" spans="2:6">
      <c r="B2103" s="13" t="s">
        <v>1427</v>
      </c>
      <c r="C2103" s="13" t="s">
        <v>1433</v>
      </c>
      <c r="D2103" s="13">
        <v>302.37599999999998</v>
      </c>
      <c r="E2103" s="13">
        <v>3</v>
      </c>
      <c r="F2103" s="13">
        <f t="shared" si="32"/>
        <v>100.79199999999999</v>
      </c>
    </row>
    <row r="2104" spans="2:6">
      <c r="B2104" s="13" t="s">
        <v>841</v>
      </c>
      <c r="C2104" s="13" t="s">
        <v>842</v>
      </c>
      <c r="D2104" s="13">
        <v>974.98799999999983</v>
      </c>
      <c r="E2104" s="13">
        <v>4</v>
      </c>
      <c r="F2104" s="13">
        <f t="shared" si="32"/>
        <v>243.74699999999996</v>
      </c>
    </row>
    <row r="2105" spans="2:6">
      <c r="B2105" s="13" t="s">
        <v>588</v>
      </c>
      <c r="C2105" s="13" t="s">
        <v>590</v>
      </c>
      <c r="D2105" s="13">
        <v>103.50000000000001</v>
      </c>
      <c r="E2105" s="13">
        <v>5</v>
      </c>
      <c r="F2105" s="13">
        <f t="shared" si="32"/>
        <v>20.700000000000003</v>
      </c>
    </row>
    <row r="2106" spans="2:6">
      <c r="B2106" s="13" t="s">
        <v>2555</v>
      </c>
      <c r="C2106" s="13" t="s">
        <v>2556</v>
      </c>
      <c r="D2106" s="13">
        <v>2.4640000000000004</v>
      </c>
      <c r="E2106" s="13">
        <v>1</v>
      </c>
      <c r="F2106" s="13">
        <f t="shared" si="32"/>
        <v>2.4640000000000004</v>
      </c>
    </row>
    <row r="2107" spans="2:6">
      <c r="B2107" s="13" t="s">
        <v>230</v>
      </c>
      <c r="C2107" s="13" t="s">
        <v>235</v>
      </c>
      <c r="D2107" s="13">
        <v>8.7200000000000006</v>
      </c>
      <c r="E2107" s="13">
        <v>1</v>
      </c>
      <c r="F2107" s="13">
        <f t="shared" si="32"/>
        <v>8.7200000000000006</v>
      </c>
    </row>
    <row r="2108" spans="2:6">
      <c r="B2108" s="13" t="s">
        <v>865</v>
      </c>
      <c r="C2108" s="13" t="s">
        <v>869</v>
      </c>
      <c r="D2108" s="13">
        <v>56.56</v>
      </c>
      <c r="E2108" s="13">
        <v>2</v>
      </c>
      <c r="F2108" s="13">
        <f t="shared" si="32"/>
        <v>28.28</v>
      </c>
    </row>
    <row r="2109" spans="2:6">
      <c r="B2109" s="13" t="s">
        <v>2050</v>
      </c>
      <c r="C2109" s="13" t="s">
        <v>2051</v>
      </c>
      <c r="D2109" s="13">
        <v>36.96</v>
      </c>
      <c r="E2109" s="13">
        <v>7</v>
      </c>
      <c r="F2109" s="13">
        <f t="shared" si="32"/>
        <v>5.28</v>
      </c>
    </row>
    <row r="2110" spans="2:6">
      <c r="B2110" s="13" t="s">
        <v>1703</v>
      </c>
      <c r="C2110" s="13" t="s">
        <v>1704</v>
      </c>
      <c r="D2110" s="13">
        <v>3.76</v>
      </c>
      <c r="E2110" s="13">
        <v>2</v>
      </c>
      <c r="F2110" s="13">
        <f t="shared" si="32"/>
        <v>1.88</v>
      </c>
    </row>
    <row r="2111" spans="2:6">
      <c r="B2111" s="13" t="s">
        <v>1633</v>
      </c>
      <c r="C2111" s="13" t="s">
        <v>1635</v>
      </c>
      <c r="D2111" s="13">
        <v>14.7</v>
      </c>
      <c r="E2111" s="13">
        <v>5</v>
      </c>
      <c r="F2111" s="13">
        <f t="shared" si="32"/>
        <v>2.94</v>
      </c>
    </row>
    <row r="2112" spans="2:6">
      <c r="B2112" s="13" t="s">
        <v>1463</v>
      </c>
      <c r="C2112" s="13" t="s">
        <v>1464</v>
      </c>
      <c r="D2112" s="13">
        <v>37.200000000000003</v>
      </c>
      <c r="E2112" s="13">
        <v>5</v>
      </c>
      <c r="F2112" s="13">
        <f t="shared" si="32"/>
        <v>7.44</v>
      </c>
    </row>
    <row r="2113" spans="2:6">
      <c r="B2113" s="13" t="s">
        <v>1595</v>
      </c>
      <c r="C2113" s="13" t="s">
        <v>1601</v>
      </c>
      <c r="D2113" s="13">
        <v>89.97</v>
      </c>
      <c r="E2113" s="13">
        <v>3</v>
      </c>
      <c r="F2113" s="13">
        <f t="shared" si="32"/>
        <v>29.99</v>
      </c>
    </row>
    <row r="2114" spans="2:6">
      <c r="B2114" s="13" t="s">
        <v>2056</v>
      </c>
      <c r="C2114" s="13" t="s">
        <v>2057</v>
      </c>
      <c r="D2114" s="13">
        <v>261.95999999999998</v>
      </c>
      <c r="E2114" s="13">
        <v>2</v>
      </c>
      <c r="F2114" s="13">
        <f t="shared" si="32"/>
        <v>130.97999999999999</v>
      </c>
    </row>
    <row r="2115" spans="2:6">
      <c r="B2115" s="13" t="s">
        <v>1019</v>
      </c>
      <c r="C2115" s="13" t="s">
        <v>1020</v>
      </c>
      <c r="D2115" s="13">
        <v>74</v>
      </c>
      <c r="E2115" s="13">
        <v>5</v>
      </c>
      <c r="F2115" s="13">
        <f t="shared" si="32"/>
        <v>14.8</v>
      </c>
    </row>
    <row r="2116" spans="2:6">
      <c r="B2116" s="13" t="s">
        <v>1849</v>
      </c>
      <c r="C2116" s="13" t="s">
        <v>1852</v>
      </c>
      <c r="D2116" s="13">
        <v>68.459999999999994</v>
      </c>
      <c r="E2116" s="13">
        <v>7</v>
      </c>
      <c r="F2116" s="13">
        <f t="shared" ref="F2116:F2179" si="33">D2116/E2116</f>
        <v>9.7799999999999994</v>
      </c>
    </row>
    <row r="2117" spans="2:6">
      <c r="B2117" s="13" t="s">
        <v>653</v>
      </c>
      <c r="C2117" s="13" t="s">
        <v>659</v>
      </c>
      <c r="D2117" s="13">
        <v>4.5540000000000003</v>
      </c>
      <c r="E2117" s="13">
        <v>3</v>
      </c>
      <c r="F2117" s="13">
        <f t="shared" si="33"/>
        <v>1.518</v>
      </c>
    </row>
    <row r="2118" spans="2:6">
      <c r="B2118" s="13" t="s">
        <v>2557</v>
      </c>
      <c r="C2118" s="13" t="s">
        <v>2561</v>
      </c>
      <c r="D2118" s="13">
        <v>5.2</v>
      </c>
      <c r="E2118" s="13">
        <v>2</v>
      </c>
      <c r="F2118" s="13">
        <f t="shared" si="33"/>
        <v>2.6</v>
      </c>
    </row>
    <row r="2119" spans="2:6">
      <c r="B2119" s="13" t="s">
        <v>127</v>
      </c>
      <c r="C2119" s="13" t="s">
        <v>133</v>
      </c>
      <c r="D2119" s="13">
        <v>205.99200000000002</v>
      </c>
      <c r="E2119" s="13">
        <v>1</v>
      </c>
      <c r="F2119" s="13">
        <f t="shared" si="33"/>
        <v>205.99200000000002</v>
      </c>
    </row>
    <row r="2120" spans="2:6">
      <c r="B2120" s="13" t="s">
        <v>2558</v>
      </c>
      <c r="C2120" s="13" t="s">
        <v>2562</v>
      </c>
      <c r="D2120" s="13">
        <v>15.552000000000003</v>
      </c>
      <c r="E2120" s="13">
        <v>3</v>
      </c>
      <c r="F2120" s="13">
        <f t="shared" si="33"/>
        <v>5.1840000000000011</v>
      </c>
    </row>
    <row r="2121" spans="2:6">
      <c r="B2121" s="13" t="s">
        <v>2559</v>
      </c>
      <c r="C2121" s="13" t="s">
        <v>2563</v>
      </c>
      <c r="D2121" s="13">
        <v>503.96000000000004</v>
      </c>
      <c r="E2121" s="13">
        <v>5</v>
      </c>
      <c r="F2121" s="13">
        <f t="shared" si="33"/>
        <v>100.792</v>
      </c>
    </row>
    <row r="2122" spans="2:6">
      <c r="B2122" s="13" t="s">
        <v>1170</v>
      </c>
      <c r="C2122" s="13" t="s">
        <v>1174</v>
      </c>
      <c r="D2122" s="13">
        <v>24.472000000000001</v>
      </c>
      <c r="E2122" s="13">
        <v>7</v>
      </c>
      <c r="F2122" s="13">
        <f t="shared" si="33"/>
        <v>3.496</v>
      </c>
    </row>
    <row r="2123" spans="2:6">
      <c r="B2123" s="13" t="s">
        <v>251</v>
      </c>
      <c r="C2123" s="13" t="s">
        <v>252</v>
      </c>
      <c r="D2123" s="13">
        <v>241.56799999999998</v>
      </c>
      <c r="E2123" s="13">
        <v>2</v>
      </c>
      <c r="F2123" s="13">
        <f t="shared" si="33"/>
        <v>120.78399999999999</v>
      </c>
    </row>
    <row r="2124" spans="2:6">
      <c r="B2124" s="13" t="s">
        <v>1914</v>
      </c>
      <c r="C2124" s="13" t="s">
        <v>1919</v>
      </c>
      <c r="D2124" s="13">
        <v>110.4</v>
      </c>
      <c r="E2124" s="13">
        <v>2</v>
      </c>
      <c r="F2124" s="13">
        <f t="shared" si="33"/>
        <v>55.2</v>
      </c>
    </row>
    <row r="2125" spans="2:6">
      <c r="B2125" s="13" t="s">
        <v>1841</v>
      </c>
      <c r="C2125" s="13" t="s">
        <v>1843</v>
      </c>
      <c r="D2125" s="13">
        <v>384.76799999999997</v>
      </c>
      <c r="E2125" s="13">
        <v>2</v>
      </c>
      <c r="F2125" s="13">
        <f t="shared" si="33"/>
        <v>192.38399999999999</v>
      </c>
    </row>
    <row r="2126" spans="2:6">
      <c r="B2126" s="13" t="s">
        <v>2246</v>
      </c>
      <c r="C2126" s="13" t="s">
        <v>2250</v>
      </c>
      <c r="D2126" s="13">
        <v>78.66</v>
      </c>
      <c r="E2126" s="13">
        <v>6</v>
      </c>
      <c r="F2126" s="13">
        <f t="shared" si="33"/>
        <v>13.11</v>
      </c>
    </row>
    <row r="2127" spans="2:6">
      <c r="B2127" s="13" t="s">
        <v>2560</v>
      </c>
      <c r="C2127" s="13" t="s">
        <v>2564</v>
      </c>
      <c r="D2127" s="13">
        <v>45.36</v>
      </c>
      <c r="E2127" s="13">
        <v>4</v>
      </c>
      <c r="F2127" s="13">
        <f t="shared" si="33"/>
        <v>11.34</v>
      </c>
    </row>
    <row r="2128" spans="2:6">
      <c r="B2128" s="13" t="s">
        <v>2565</v>
      </c>
      <c r="C2128" s="13" t="s">
        <v>2566</v>
      </c>
      <c r="D2128" s="13">
        <v>32.400000000000006</v>
      </c>
      <c r="E2128" s="13">
        <v>5</v>
      </c>
      <c r="F2128" s="13">
        <f t="shared" si="33"/>
        <v>6.4800000000000013</v>
      </c>
    </row>
    <row r="2129" spans="2:6">
      <c r="B2129" s="13" t="s">
        <v>2567</v>
      </c>
      <c r="C2129" s="13" t="s">
        <v>2568</v>
      </c>
      <c r="D2129" s="13">
        <v>24</v>
      </c>
      <c r="E2129" s="13">
        <v>2</v>
      </c>
      <c r="F2129" s="13">
        <f t="shared" si="33"/>
        <v>12</v>
      </c>
    </row>
    <row r="2130" spans="2:6">
      <c r="B2130" s="13" t="s">
        <v>1991</v>
      </c>
      <c r="C2130" s="13" t="s">
        <v>1992</v>
      </c>
      <c r="D2130" s="13">
        <v>15.552000000000003</v>
      </c>
      <c r="E2130" s="13">
        <v>3</v>
      </c>
      <c r="F2130" s="13">
        <f t="shared" si="33"/>
        <v>5.1840000000000011</v>
      </c>
    </row>
    <row r="2131" spans="2:6">
      <c r="B2131" s="13" t="s">
        <v>748</v>
      </c>
      <c r="C2131" s="13" t="s">
        <v>749</v>
      </c>
      <c r="D2131" s="13">
        <v>26.176000000000002</v>
      </c>
      <c r="E2131" s="13">
        <v>2</v>
      </c>
      <c r="F2131" s="13">
        <f t="shared" si="33"/>
        <v>13.088000000000001</v>
      </c>
    </row>
    <row r="2132" spans="2:6">
      <c r="B2132" s="13" t="s">
        <v>248</v>
      </c>
      <c r="C2132" s="13" t="s">
        <v>250</v>
      </c>
      <c r="D2132" s="13">
        <v>1247.6399999999999</v>
      </c>
      <c r="E2132" s="13">
        <v>3</v>
      </c>
      <c r="F2132" s="13">
        <f t="shared" si="33"/>
        <v>415.87999999999994</v>
      </c>
    </row>
    <row r="2133" spans="2:6">
      <c r="B2133" s="13" t="s">
        <v>204</v>
      </c>
      <c r="C2133" s="13" t="s">
        <v>217</v>
      </c>
      <c r="D2133" s="13">
        <v>279.89999999999998</v>
      </c>
      <c r="E2133" s="13">
        <v>5</v>
      </c>
      <c r="F2133" s="13">
        <f t="shared" si="33"/>
        <v>55.98</v>
      </c>
    </row>
    <row r="2134" spans="2:6">
      <c r="B2134" s="13" t="s">
        <v>1261</v>
      </c>
      <c r="C2134" s="13" t="s">
        <v>1267</v>
      </c>
      <c r="D2134" s="13">
        <v>50.352000000000004</v>
      </c>
      <c r="E2134" s="13">
        <v>3</v>
      </c>
      <c r="F2134" s="13">
        <f t="shared" si="33"/>
        <v>16.784000000000002</v>
      </c>
    </row>
    <row r="2135" spans="2:6">
      <c r="B2135" s="13" t="s">
        <v>2560</v>
      </c>
      <c r="C2135" s="13" t="s">
        <v>2564</v>
      </c>
      <c r="D2135" s="13">
        <v>34.019999999999996</v>
      </c>
      <c r="E2135" s="13">
        <v>3</v>
      </c>
      <c r="F2135" s="13">
        <f t="shared" si="33"/>
        <v>11.339999999999998</v>
      </c>
    </row>
    <row r="2136" spans="2:6">
      <c r="B2136" s="13" t="s">
        <v>493</v>
      </c>
      <c r="C2136" s="13" t="s">
        <v>498</v>
      </c>
      <c r="D2136" s="13">
        <v>23.88</v>
      </c>
      <c r="E2136" s="13">
        <v>6</v>
      </c>
      <c r="F2136" s="13">
        <f t="shared" si="33"/>
        <v>3.98</v>
      </c>
    </row>
    <row r="2137" spans="2:6">
      <c r="B2137" s="13" t="s">
        <v>2569</v>
      </c>
      <c r="C2137" s="13" t="s">
        <v>2572</v>
      </c>
      <c r="D2137" s="13">
        <v>11.52</v>
      </c>
      <c r="E2137" s="13">
        <v>4</v>
      </c>
      <c r="F2137" s="13">
        <f t="shared" si="33"/>
        <v>2.88</v>
      </c>
    </row>
    <row r="2138" spans="2:6">
      <c r="B2138" s="13" t="s">
        <v>2377</v>
      </c>
      <c r="C2138" s="13" t="s">
        <v>2380</v>
      </c>
      <c r="D2138" s="13">
        <v>286.93</v>
      </c>
      <c r="E2138" s="13">
        <v>7</v>
      </c>
      <c r="F2138" s="13">
        <f t="shared" si="33"/>
        <v>40.99</v>
      </c>
    </row>
    <row r="2139" spans="2:6">
      <c r="B2139" s="13" t="s">
        <v>734</v>
      </c>
      <c r="C2139" s="13" t="s">
        <v>742</v>
      </c>
      <c r="D2139" s="13">
        <v>206.38400000000001</v>
      </c>
      <c r="E2139" s="13">
        <v>2</v>
      </c>
      <c r="F2139" s="13">
        <f t="shared" si="33"/>
        <v>103.19200000000001</v>
      </c>
    </row>
    <row r="2140" spans="2:6">
      <c r="B2140" s="13" t="s">
        <v>814</v>
      </c>
      <c r="C2140" s="13" t="s">
        <v>821</v>
      </c>
      <c r="D2140" s="13">
        <v>218.35200000000003</v>
      </c>
      <c r="E2140" s="13">
        <v>3</v>
      </c>
      <c r="F2140" s="13">
        <f t="shared" si="33"/>
        <v>72.784000000000006</v>
      </c>
    </row>
    <row r="2141" spans="2:6">
      <c r="B2141" s="13" t="s">
        <v>1521</v>
      </c>
      <c r="C2141" s="13" t="s">
        <v>1522</v>
      </c>
      <c r="D2141" s="13">
        <v>529.9</v>
      </c>
      <c r="E2141" s="13">
        <v>5</v>
      </c>
      <c r="F2141" s="13">
        <f t="shared" si="33"/>
        <v>105.97999999999999</v>
      </c>
    </row>
    <row r="2142" spans="2:6">
      <c r="B2142" s="13" t="s">
        <v>1762</v>
      </c>
      <c r="C2142" s="13" t="s">
        <v>1764</v>
      </c>
      <c r="D2142" s="13">
        <v>99.3</v>
      </c>
      <c r="E2142" s="13">
        <v>10</v>
      </c>
      <c r="F2142" s="13">
        <f t="shared" si="33"/>
        <v>9.93</v>
      </c>
    </row>
    <row r="2143" spans="2:6">
      <c r="B2143" s="13" t="s">
        <v>1362</v>
      </c>
      <c r="C2143" s="13" t="s">
        <v>1363</v>
      </c>
      <c r="D2143" s="13">
        <v>108.96</v>
      </c>
      <c r="E2143" s="13">
        <v>2</v>
      </c>
      <c r="F2143" s="13">
        <f t="shared" si="33"/>
        <v>54.48</v>
      </c>
    </row>
    <row r="2144" spans="2:6">
      <c r="B2144" s="13" t="s">
        <v>2570</v>
      </c>
      <c r="C2144" s="13" t="s">
        <v>2573</v>
      </c>
      <c r="D2144" s="13">
        <v>2.6880000000000002</v>
      </c>
      <c r="E2144" s="13">
        <v>1</v>
      </c>
      <c r="F2144" s="13">
        <f t="shared" si="33"/>
        <v>2.6880000000000002</v>
      </c>
    </row>
    <row r="2145" spans="2:6">
      <c r="B2145" s="13" t="s">
        <v>1468</v>
      </c>
      <c r="C2145" s="13" t="s">
        <v>1470</v>
      </c>
      <c r="D2145" s="13">
        <v>5443.96</v>
      </c>
      <c r="E2145" s="13">
        <v>4</v>
      </c>
      <c r="F2145" s="13">
        <f t="shared" si="33"/>
        <v>1360.99</v>
      </c>
    </row>
    <row r="2146" spans="2:6">
      <c r="B2146" s="13" t="s">
        <v>2189</v>
      </c>
      <c r="C2146" s="13" t="s">
        <v>2192</v>
      </c>
      <c r="D2146" s="13">
        <v>302.67</v>
      </c>
      <c r="E2146" s="13">
        <v>3</v>
      </c>
      <c r="F2146" s="13">
        <f t="shared" si="33"/>
        <v>100.89</v>
      </c>
    </row>
    <row r="2147" spans="2:6">
      <c r="B2147" s="13" t="s">
        <v>2571</v>
      </c>
      <c r="C2147" s="13" t="s">
        <v>2574</v>
      </c>
      <c r="D2147" s="13">
        <v>56.07</v>
      </c>
      <c r="E2147" s="13">
        <v>7</v>
      </c>
      <c r="F2147" s="13">
        <f t="shared" si="33"/>
        <v>8.01</v>
      </c>
    </row>
    <row r="2148" spans="2:6">
      <c r="B2148" s="13" t="s">
        <v>1765</v>
      </c>
      <c r="C2148" s="13" t="s">
        <v>1767</v>
      </c>
      <c r="D2148" s="13">
        <v>8.8000000000000007</v>
      </c>
      <c r="E2148" s="13">
        <v>5</v>
      </c>
      <c r="F2148" s="13">
        <f t="shared" si="33"/>
        <v>1.7600000000000002</v>
      </c>
    </row>
    <row r="2149" spans="2:6">
      <c r="B2149" s="13" t="s">
        <v>2575</v>
      </c>
      <c r="C2149" s="13" t="s">
        <v>2576</v>
      </c>
      <c r="D2149" s="13">
        <v>142.80000000000001</v>
      </c>
      <c r="E2149" s="13">
        <v>1</v>
      </c>
      <c r="F2149" s="13">
        <f t="shared" si="33"/>
        <v>142.80000000000001</v>
      </c>
    </row>
    <row r="2150" spans="2:6">
      <c r="B2150" s="13" t="s">
        <v>1927</v>
      </c>
      <c r="C2150" s="13" t="s">
        <v>1930</v>
      </c>
      <c r="D2150" s="13">
        <v>399.95</v>
      </c>
      <c r="E2150" s="13">
        <v>5</v>
      </c>
      <c r="F2150" s="13">
        <f t="shared" si="33"/>
        <v>79.989999999999995</v>
      </c>
    </row>
    <row r="2151" spans="2:6">
      <c r="B2151" s="13" t="s">
        <v>2577</v>
      </c>
      <c r="C2151" s="13" t="s">
        <v>2582</v>
      </c>
      <c r="D2151" s="13">
        <v>73.679999999999993</v>
      </c>
      <c r="E2151" s="13">
        <v>6</v>
      </c>
      <c r="F2151" s="13">
        <f t="shared" si="33"/>
        <v>12.28</v>
      </c>
    </row>
    <row r="2152" spans="2:6">
      <c r="B2152" s="13" t="s">
        <v>2578</v>
      </c>
      <c r="C2152" s="13" t="s">
        <v>2583</v>
      </c>
      <c r="D2152" s="13">
        <v>139.91999999999999</v>
      </c>
      <c r="E2152" s="13">
        <v>2</v>
      </c>
      <c r="F2152" s="13">
        <f t="shared" si="33"/>
        <v>69.959999999999994</v>
      </c>
    </row>
    <row r="2153" spans="2:6">
      <c r="B2153" s="13" t="s">
        <v>2438</v>
      </c>
      <c r="C2153" s="13" t="s">
        <v>2441</v>
      </c>
      <c r="D2153" s="13">
        <v>107.88</v>
      </c>
      <c r="E2153" s="13">
        <v>3</v>
      </c>
      <c r="F2153" s="13">
        <f t="shared" si="33"/>
        <v>35.96</v>
      </c>
    </row>
    <row r="2154" spans="2:6">
      <c r="B2154" s="13" t="s">
        <v>2087</v>
      </c>
      <c r="C2154" s="13" t="s">
        <v>2092</v>
      </c>
      <c r="D2154" s="13">
        <v>33.29</v>
      </c>
      <c r="E2154" s="13">
        <v>1</v>
      </c>
      <c r="F2154" s="13">
        <f t="shared" si="33"/>
        <v>33.29</v>
      </c>
    </row>
    <row r="2155" spans="2:6">
      <c r="B2155" s="13" t="s">
        <v>2579</v>
      </c>
      <c r="C2155" s="13" t="s">
        <v>2584</v>
      </c>
      <c r="D2155" s="13">
        <v>58.170000000000009</v>
      </c>
      <c r="E2155" s="13">
        <v>5</v>
      </c>
      <c r="F2155" s="13">
        <f t="shared" si="33"/>
        <v>11.634000000000002</v>
      </c>
    </row>
    <row r="2156" spans="2:6">
      <c r="B2156" s="13" t="s">
        <v>2580</v>
      </c>
      <c r="C2156" s="13" t="s">
        <v>2585</v>
      </c>
      <c r="D2156" s="13">
        <v>5.04</v>
      </c>
      <c r="E2156" s="13">
        <v>2</v>
      </c>
      <c r="F2156" s="13">
        <f t="shared" si="33"/>
        <v>2.52</v>
      </c>
    </row>
    <row r="2157" spans="2:6">
      <c r="B2157" s="13" t="s">
        <v>2581</v>
      </c>
      <c r="C2157" s="13" t="s">
        <v>2586</v>
      </c>
      <c r="D2157" s="13">
        <v>24.784000000000002</v>
      </c>
      <c r="E2157" s="13">
        <v>1</v>
      </c>
      <c r="F2157" s="13">
        <f t="shared" si="33"/>
        <v>24.784000000000002</v>
      </c>
    </row>
    <row r="2158" spans="2:6">
      <c r="B2158" s="13" t="s">
        <v>286</v>
      </c>
      <c r="C2158" s="13" t="s">
        <v>288</v>
      </c>
      <c r="D2158" s="13">
        <v>13.36</v>
      </c>
      <c r="E2158" s="13">
        <v>2</v>
      </c>
      <c r="F2158" s="13">
        <f t="shared" si="33"/>
        <v>6.68</v>
      </c>
    </row>
    <row r="2159" spans="2:6">
      <c r="B2159" s="13" t="s">
        <v>1238</v>
      </c>
      <c r="C2159" s="13" t="s">
        <v>1240</v>
      </c>
      <c r="D2159" s="13">
        <v>158.9</v>
      </c>
      <c r="E2159" s="13">
        <v>5</v>
      </c>
      <c r="F2159" s="13">
        <f t="shared" si="33"/>
        <v>31.78</v>
      </c>
    </row>
    <row r="2160" spans="2:6">
      <c r="B2160" s="13" t="s">
        <v>1968</v>
      </c>
      <c r="C2160" s="13" t="s">
        <v>1976</v>
      </c>
      <c r="D2160" s="13">
        <v>33.61999999999999</v>
      </c>
      <c r="E2160" s="13">
        <v>5</v>
      </c>
      <c r="F2160" s="13">
        <f t="shared" si="33"/>
        <v>6.7239999999999984</v>
      </c>
    </row>
    <row r="2161" spans="2:6">
      <c r="B2161" s="13" t="s">
        <v>377</v>
      </c>
      <c r="C2161" s="13" t="s">
        <v>387</v>
      </c>
      <c r="D2161" s="13">
        <v>243.99199999999996</v>
      </c>
      <c r="E2161" s="13">
        <v>4</v>
      </c>
      <c r="F2161" s="13">
        <f t="shared" si="33"/>
        <v>60.99799999999999</v>
      </c>
    </row>
    <row r="2162" spans="2:6">
      <c r="B2162" s="13" t="s">
        <v>1216</v>
      </c>
      <c r="C2162" s="13" t="s">
        <v>597</v>
      </c>
      <c r="D2162" s="13">
        <v>7.120000000000001</v>
      </c>
      <c r="E2162" s="13">
        <v>5</v>
      </c>
      <c r="F2162" s="13">
        <f t="shared" si="33"/>
        <v>1.4240000000000002</v>
      </c>
    </row>
    <row r="2163" spans="2:6">
      <c r="B2163" s="13" t="s">
        <v>1712</v>
      </c>
      <c r="C2163" s="13" t="s">
        <v>1714</v>
      </c>
      <c r="D2163" s="13">
        <v>1049.44</v>
      </c>
      <c r="E2163" s="13">
        <v>8</v>
      </c>
      <c r="F2163" s="13">
        <f t="shared" si="33"/>
        <v>131.18</v>
      </c>
    </row>
    <row r="2164" spans="2:6">
      <c r="B2164" s="13" t="s">
        <v>2486</v>
      </c>
      <c r="C2164" s="13" t="s">
        <v>2487</v>
      </c>
      <c r="D2164" s="13">
        <v>170.35200000000003</v>
      </c>
      <c r="E2164" s="13">
        <v>3</v>
      </c>
      <c r="F2164" s="13">
        <f t="shared" si="33"/>
        <v>56.784000000000013</v>
      </c>
    </row>
    <row r="2165" spans="2:6">
      <c r="B2165" s="13" t="s">
        <v>2406</v>
      </c>
      <c r="C2165" s="13" t="s">
        <v>2409</v>
      </c>
      <c r="D2165" s="13">
        <v>101.94</v>
      </c>
      <c r="E2165" s="13">
        <v>6</v>
      </c>
      <c r="F2165" s="13">
        <f t="shared" si="33"/>
        <v>16.989999999999998</v>
      </c>
    </row>
    <row r="2166" spans="2:6">
      <c r="B2166" s="13" t="s">
        <v>494</v>
      </c>
      <c r="C2166" s="13" t="s">
        <v>499</v>
      </c>
      <c r="D2166" s="13">
        <v>271.95999999999998</v>
      </c>
      <c r="E2166" s="13">
        <v>4</v>
      </c>
      <c r="F2166" s="13">
        <f t="shared" si="33"/>
        <v>67.989999999999995</v>
      </c>
    </row>
    <row r="2167" spans="2:6">
      <c r="B2167" s="13" t="s">
        <v>2587</v>
      </c>
      <c r="C2167" s="13" t="s">
        <v>2588</v>
      </c>
      <c r="D2167" s="13">
        <v>8.8000000000000007</v>
      </c>
      <c r="E2167" s="13">
        <v>5</v>
      </c>
      <c r="F2167" s="13">
        <f t="shared" si="33"/>
        <v>1.7600000000000002</v>
      </c>
    </row>
    <row r="2168" spans="2:6">
      <c r="B2168" s="13" t="s">
        <v>761</v>
      </c>
      <c r="C2168" s="13" t="s">
        <v>763</v>
      </c>
      <c r="D2168" s="13">
        <v>19.68</v>
      </c>
      <c r="E2168" s="13">
        <v>6</v>
      </c>
      <c r="F2168" s="13">
        <f t="shared" si="33"/>
        <v>3.28</v>
      </c>
    </row>
    <row r="2169" spans="2:6">
      <c r="B2169" s="13" t="s">
        <v>508</v>
      </c>
      <c r="C2169" s="13" t="s">
        <v>514</v>
      </c>
      <c r="D2169" s="13">
        <v>302.94</v>
      </c>
      <c r="E2169" s="13">
        <v>3</v>
      </c>
      <c r="F2169" s="13">
        <f t="shared" si="33"/>
        <v>100.98</v>
      </c>
    </row>
    <row r="2170" spans="2:6">
      <c r="B2170" s="13" t="s">
        <v>1514</v>
      </c>
      <c r="C2170" s="13" t="s">
        <v>1517</v>
      </c>
      <c r="D2170" s="13">
        <v>14.940000000000001</v>
      </c>
      <c r="E2170" s="13">
        <v>3</v>
      </c>
      <c r="F2170" s="13">
        <f t="shared" si="33"/>
        <v>4.9800000000000004</v>
      </c>
    </row>
    <row r="2171" spans="2:6">
      <c r="B2171" s="13" t="s">
        <v>1567</v>
      </c>
      <c r="C2171" s="13" t="s">
        <v>1570</v>
      </c>
      <c r="D2171" s="13">
        <v>231.72</v>
      </c>
      <c r="E2171" s="13">
        <v>2</v>
      </c>
      <c r="F2171" s="13">
        <f t="shared" si="33"/>
        <v>115.86</v>
      </c>
    </row>
    <row r="2172" spans="2:6">
      <c r="B2172" s="13" t="s">
        <v>2589</v>
      </c>
      <c r="C2172" s="13" t="s">
        <v>2590</v>
      </c>
      <c r="D2172" s="13">
        <v>11.760000000000002</v>
      </c>
      <c r="E2172" s="13">
        <v>5</v>
      </c>
      <c r="F2172" s="13">
        <f t="shared" si="33"/>
        <v>2.3520000000000003</v>
      </c>
    </row>
    <row r="2173" spans="2:6">
      <c r="B2173" s="13" t="s">
        <v>950</v>
      </c>
      <c r="C2173" s="13" t="s">
        <v>954</v>
      </c>
      <c r="D2173" s="13">
        <v>5.3440000000000003</v>
      </c>
      <c r="E2173" s="13">
        <v>1</v>
      </c>
      <c r="F2173" s="13">
        <f t="shared" si="33"/>
        <v>5.3440000000000003</v>
      </c>
    </row>
    <row r="2174" spans="2:6">
      <c r="B2174" s="13" t="s">
        <v>2137</v>
      </c>
      <c r="C2174" s="13" t="s">
        <v>2138</v>
      </c>
      <c r="D2174" s="13">
        <v>146.352</v>
      </c>
      <c r="E2174" s="13">
        <v>3</v>
      </c>
      <c r="F2174" s="13">
        <f t="shared" si="33"/>
        <v>48.783999999999999</v>
      </c>
    </row>
    <row r="2175" spans="2:6">
      <c r="B2175" s="13" t="s">
        <v>1265</v>
      </c>
      <c r="C2175" s="13" t="s">
        <v>1271</v>
      </c>
      <c r="D2175" s="13">
        <v>32.400000000000006</v>
      </c>
      <c r="E2175" s="13">
        <v>5</v>
      </c>
      <c r="F2175" s="13">
        <f t="shared" si="33"/>
        <v>6.4800000000000013</v>
      </c>
    </row>
    <row r="2176" spans="2:6">
      <c r="B2176" s="13" t="s">
        <v>2591</v>
      </c>
      <c r="C2176" s="13" t="s">
        <v>2593</v>
      </c>
      <c r="D2176" s="13">
        <v>209.94</v>
      </c>
      <c r="E2176" s="13">
        <v>6</v>
      </c>
      <c r="F2176" s="13">
        <f t="shared" si="33"/>
        <v>34.99</v>
      </c>
    </row>
    <row r="2177" spans="2:6">
      <c r="B2177" s="13" t="s">
        <v>932</v>
      </c>
      <c r="C2177" s="13" t="s">
        <v>935</v>
      </c>
      <c r="D2177" s="13">
        <v>4164.0499999999993</v>
      </c>
      <c r="E2177" s="13">
        <v>5</v>
      </c>
      <c r="F2177" s="13">
        <f t="shared" si="33"/>
        <v>832.80999999999983</v>
      </c>
    </row>
    <row r="2178" spans="2:6">
      <c r="B2178" s="13" t="s">
        <v>2592</v>
      </c>
      <c r="C2178" s="13" t="s">
        <v>2594</v>
      </c>
      <c r="D2178" s="13">
        <v>212.94</v>
      </c>
      <c r="E2178" s="13">
        <v>3</v>
      </c>
      <c r="F2178" s="13">
        <f t="shared" si="33"/>
        <v>70.98</v>
      </c>
    </row>
    <row r="2179" spans="2:6">
      <c r="B2179" s="13" t="s">
        <v>408</v>
      </c>
      <c r="C2179" s="13" t="s">
        <v>414</v>
      </c>
      <c r="D2179" s="13">
        <v>68.541000000000011</v>
      </c>
      <c r="E2179" s="13">
        <v>11</v>
      </c>
      <c r="F2179" s="13">
        <f t="shared" si="33"/>
        <v>6.2310000000000008</v>
      </c>
    </row>
    <row r="2180" spans="2:6">
      <c r="B2180" s="13" t="s">
        <v>317</v>
      </c>
      <c r="C2180" s="13" t="s">
        <v>322</v>
      </c>
      <c r="D2180" s="13">
        <v>627.16800000000012</v>
      </c>
      <c r="E2180" s="13">
        <v>4</v>
      </c>
      <c r="F2180" s="13">
        <f t="shared" ref="F2180:F2243" si="34">D2180/E2180</f>
        <v>156.79200000000003</v>
      </c>
    </row>
    <row r="2181" spans="2:6">
      <c r="B2181" s="13" t="s">
        <v>2157</v>
      </c>
      <c r="C2181" s="13" t="s">
        <v>2158</v>
      </c>
      <c r="D2181" s="13">
        <v>122.12000000000002</v>
      </c>
      <c r="E2181" s="13">
        <v>5</v>
      </c>
      <c r="F2181" s="13">
        <f t="shared" si="34"/>
        <v>24.424000000000003</v>
      </c>
    </row>
    <row r="2182" spans="2:6">
      <c r="B2182" s="13" t="s">
        <v>224</v>
      </c>
      <c r="C2182" s="13" t="s">
        <v>227</v>
      </c>
      <c r="D2182" s="13">
        <v>6.99</v>
      </c>
      <c r="E2182" s="13">
        <v>3</v>
      </c>
      <c r="F2182" s="13">
        <f t="shared" si="34"/>
        <v>2.33</v>
      </c>
    </row>
    <row r="2183" spans="2:6">
      <c r="B2183" s="13" t="s">
        <v>1364</v>
      </c>
      <c r="C2183" s="13" t="s">
        <v>1367</v>
      </c>
      <c r="D2183" s="13">
        <v>107.42400000000001</v>
      </c>
      <c r="E2183" s="13">
        <v>6</v>
      </c>
      <c r="F2183" s="13">
        <f t="shared" si="34"/>
        <v>17.904</v>
      </c>
    </row>
    <row r="2184" spans="2:6">
      <c r="B2184" s="13" t="s">
        <v>2169</v>
      </c>
      <c r="C2184" s="13" t="s">
        <v>2171</v>
      </c>
      <c r="D2184" s="13">
        <v>125.88</v>
      </c>
      <c r="E2184" s="13">
        <v>6</v>
      </c>
      <c r="F2184" s="13">
        <f t="shared" si="34"/>
        <v>20.98</v>
      </c>
    </row>
    <row r="2185" spans="2:6">
      <c r="B2185" s="13" t="s">
        <v>1716</v>
      </c>
      <c r="C2185" s="13" t="s">
        <v>1718</v>
      </c>
      <c r="D2185" s="13">
        <v>79.78</v>
      </c>
      <c r="E2185" s="13">
        <v>2</v>
      </c>
      <c r="F2185" s="13">
        <f t="shared" si="34"/>
        <v>39.89</v>
      </c>
    </row>
    <row r="2186" spans="2:6">
      <c r="B2186" s="13" t="s">
        <v>2595</v>
      </c>
      <c r="C2186" s="13" t="s">
        <v>2596</v>
      </c>
      <c r="D2186" s="13">
        <v>133.20000000000002</v>
      </c>
      <c r="E2186" s="13">
        <v>9</v>
      </c>
      <c r="F2186" s="13">
        <f t="shared" si="34"/>
        <v>14.800000000000002</v>
      </c>
    </row>
    <row r="2187" spans="2:6">
      <c r="B2187" s="13" t="s">
        <v>283</v>
      </c>
      <c r="C2187" s="13" t="s">
        <v>284</v>
      </c>
      <c r="D2187" s="13">
        <v>42.615999999999993</v>
      </c>
      <c r="E2187" s="13">
        <v>7</v>
      </c>
      <c r="F2187" s="13">
        <f t="shared" si="34"/>
        <v>6.0879999999999992</v>
      </c>
    </row>
    <row r="2188" spans="2:6">
      <c r="B2188" s="13" t="s">
        <v>2597</v>
      </c>
      <c r="C2188" s="13" t="s">
        <v>2599</v>
      </c>
      <c r="D2188" s="13">
        <v>319.98400000000004</v>
      </c>
      <c r="E2188" s="13">
        <v>2</v>
      </c>
      <c r="F2188" s="13">
        <f t="shared" si="34"/>
        <v>159.99200000000002</v>
      </c>
    </row>
    <row r="2189" spans="2:6">
      <c r="B2189" s="13" t="s">
        <v>1944</v>
      </c>
      <c r="C2189" s="13" t="s">
        <v>1945</v>
      </c>
      <c r="D2189" s="13">
        <v>45.92</v>
      </c>
      <c r="E2189" s="13">
        <v>5</v>
      </c>
      <c r="F2189" s="13">
        <f t="shared" si="34"/>
        <v>9.1840000000000011</v>
      </c>
    </row>
    <row r="2190" spans="2:6">
      <c r="B2190" s="13" t="s">
        <v>2395</v>
      </c>
      <c r="C2190" s="13" t="s">
        <v>2399</v>
      </c>
      <c r="D2190" s="13">
        <v>21.184000000000001</v>
      </c>
      <c r="E2190" s="13">
        <v>2</v>
      </c>
      <c r="F2190" s="13">
        <f t="shared" si="34"/>
        <v>10.592000000000001</v>
      </c>
    </row>
    <row r="2191" spans="2:6">
      <c r="B2191" s="13" t="s">
        <v>2598</v>
      </c>
      <c r="C2191" s="13" t="s">
        <v>2600</v>
      </c>
      <c r="D2191" s="13">
        <v>20.736000000000004</v>
      </c>
      <c r="E2191" s="13">
        <v>4</v>
      </c>
      <c r="F2191" s="13">
        <f t="shared" si="34"/>
        <v>5.1840000000000011</v>
      </c>
    </row>
    <row r="2192" spans="2:6">
      <c r="B2192" s="13" t="s">
        <v>2028</v>
      </c>
      <c r="C2192" s="13" t="s">
        <v>2035</v>
      </c>
      <c r="D2192" s="13">
        <v>213.42999999999995</v>
      </c>
      <c r="E2192" s="13">
        <v>5</v>
      </c>
      <c r="F2192" s="13">
        <f t="shared" si="34"/>
        <v>42.685999999999993</v>
      </c>
    </row>
    <row r="2193" spans="2:6">
      <c r="B2193" s="13" t="s">
        <v>646</v>
      </c>
      <c r="C2193" s="13" t="s">
        <v>649</v>
      </c>
      <c r="D2193" s="13">
        <v>333.57600000000002</v>
      </c>
      <c r="E2193" s="13">
        <v>3</v>
      </c>
      <c r="F2193" s="13">
        <f t="shared" si="34"/>
        <v>111.19200000000001</v>
      </c>
    </row>
    <row r="2194" spans="2:6">
      <c r="B2194" s="13" t="s">
        <v>1083</v>
      </c>
      <c r="C2194" s="13" t="s">
        <v>1087</v>
      </c>
      <c r="D2194" s="13">
        <v>31.992000000000004</v>
      </c>
      <c r="E2194" s="13">
        <v>1</v>
      </c>
      <c r="F2194" s="13">
        <f t="shared" si="34"/>
        <v>31.992000000000004</v>
      </c>
    </row>
    <row r="2195" spans="2:6">
      <c r="B2195" s="13" t="s">
        <v>868</v>
      </c>
      <c r="C2195" s="13" t="s">
        <v>872</v>
      </c>
      <c r="D2195" s="13">
        <v>51.168000000000006</v>
      </c>
      <c r="E2195" s="13">
        <v>2</v>
      </c>
      <c r="F2195" s="13">
        <f t="shared" si="34"/>
        <v>25.584000000000003</v>
      </c>
    </row>
    <row r="2196" spans="2:6">
      <c r="B2196" s="13" t="s">
        <v>2149</v>
      </c>
      <c r="C2196" s="13" t="s">
        <v>2153</v>
      </c>
      <c r="D2196" s="13">
        <v>10.64</v>
      </c>
      <c r="E2196" s="13">
        <v>5</v>
      </c>
      <c r="F2196" s="13">
        <f t="shared" si="34"/>
        <v>2.1280000000000001</v>
      </c>
    </row>
    <row r="2197" spans="2:6">
      <c r="B2197" s="13" t="s">
        <v>400</v>
      </c>
      <c r="C2197" s="13" t="s">
        <v>401</v>
      </c>
      <c r="D2197" s="13">
        <v>68.703999999999994</v>
      </c>
      <c r="E2197" s="13">
        <v>2</v>
      </c>
      <c r="F2197" s="13">
        <f t="shared" si="34"/>
        <v>34.351999999999997</v>
      </c>
    </row>
    <row r="2198" spans="2:6">
      <c r="B2198" s="13" t="s">
        <v>1674</v>
      </c>
      <c r="C2198" s="13" t="s">
        <v>1677</v>
      </c>
      <c r="D2198" s="13">
        <v>386.91</v>
      </c>
      <c r="E2198" s="13">
        <v>9</v>
      </c>
      <c r="F2198" s="13">
        <f t="shared" si="34"/>
        <v>42.99</v>
      </c>
    </row>
    <row r="2199" spans="2:6">
      <c r="B2199" s="13" t="s">
        <v>1525</v>
      </c>
      <c r="C2199" s="13" t="s">
        <v>1526</v>
      </c>
      <c r="D2199" s="13">
        <v>356.85</v>
      </c>
      <c r="E2199" s="13">
        <v>5</v>
      </c>
      <c r="F2199" s="13">
        <f t="shared" si="34"/>
        <v>71.37</v>
      </c>
    </row>
    <row r="2200" spans="2:6">
      <c r="B2200" s="13" t="s">
        <v>2601</v>
      </c>
      <c r="C2200" s="13" t="s">
        <v>2602</v>
      </c>
      <c r="D2200" s="13">
        <v>251.57999999999998</v>
      </c>
      <c r="E2200" s="13">
        <v>7</v>
      </c>
      <c r="F2200" s="13">
        <f t="shared" si="34"/>
        <v>35.94</v>
      </c>
    </row>
    <row r="2201" spans="2:6">
      <c r="B2201" s="13" t="s">
        <v>2603</v>
      </c>
      <c r="C2201" s="13" t="s">
        <v>2606</v>
      </c>
      <c r="D2201" s="13">
        <v>42.85</v>
      </c>
      <c r="E2201" s="13">
        <v>5</v>
      </c>
      <c r="F2201" s="13">
        <f t="shared" si="34"/>
        <v>8.57</v>
      </c>
    </row>
    <row r="2202" spans="2:6">
      <c r="B2202" s="13" t="s">
        <v>2604</v>
      </c>
      <c r="C2202" s="13" t="s">
        <v>2607</v>
      </c>
      <c r="D2202" s="13">
        <v>6.16</v>
      </c>
      <c r="E2202" s="13">
        <v>2</v>
      </c>
      <c r="F2202" s="13">
        <f t="shared" si="34"/>
        <v>3.08</v>
      </c>
    </row>
    <row r="2203" spans="2:6">
      <c r="B2203" s="13" t="s">
        <v>2605</v>
      </c>
      <c r="C2203" s="13" t="s">
        <v>2608</v>
      </c>
      <c r="D2203" s="13">
        <v>17</v>
      </c>
      <c r="E2203" s="13">
        <v>2</v>
      </c>
      <c r="F2203" s="13">
        <f t="shared" si="34"/>
        <v>8.5</v>
      </c>
    </row>
    <row r="2204" spans="2:6">
      <c r="B2204" s="13" t="s">
        <v>1773</v>
      </c>
      <c r="C2204" s="13" t="s">
        <v>1778</v>
      </c>
      <c r="D2204" s="13">
        <v>87.4</v>
      </c>
      <c r="E2204" s="13">
        <v>5</v>
      </c>
      <c r="F2204" s="13">
        <f t="shared" si="34"/>
        <v>17.48</v>
      </c>
    </row>
    <row r="2205" spans="2:6">
      <c r="B2205" s="13" t="s">
        <v>331</v>
      </c>
      <c r="C2205" s="13" t="s">
        <v>338</v>
      </c>
      <c r="D2205" s="13">
        <v>29.84</v>
      </c>
      <c r="E2205" s="13">
        <v>2</v>
      </c>
      <c r="F2205" s="13">
        <f t="shared" si="34"/>
        <v>14.92</v>
      </c>
    </row>
    <row r="2206" spans="2:6">
      <c r="B2206" s="13" t="s">
        <v>230</v>
      </c>
      <c r="C2206" s="13" t="s">
        <v>235</v>
      </c>
      <c r="D2206" s="13">
        <v>10.9</v>
      </c>
      <c r="E2206" s="13">
        <v>1</v>
      </c>
      <c r="F2206" s="13">
        <f t="shared" si="34"/>
        <v>10.9</v>
      </c>
    </row>
    <row r="2207" spans="2:6">
      <c r="B2207" s="13" t="s">
        <v>207</v>
      </c>
      <c r="C2207" s="13" t="s">
        <v>220</v>
      </c>
      <c r="D2207" s="13">
        <v>79.92</v>
      </c>
      <c r="E2207" s="13">
        <v>4</v>
      </c>
      <c r="F2207" s="13">
        <f t="shared" si="34"/>
        <v>19.98</v>
      </c>
    </row>
    <row r="2208" spans="2:6">
      <c r="B2208" s="13" t="s">
        <v>2609</v>
      </c>
      <c r="C2208" s="13" t="s">
        <v>2610</v>
      </c>
      <c r="D2208" s="13">
        <v>146.82</v>
      </c>
      <c r="E2208" s="13">
        <v>3</v>
      </c>
      <c r="F2208" s="13">
        <f t="shared" si="34"/>
        <v>48.94</v>
      </c>
    </row>
    <row r="2209" spans="2:6">
      <c r="B2209" s="13" t="s">
        <v>569</v>
      </c>
      <c r="C2209" s="13" t="s">
        <v>572</v>
      </c>
      <c r="D2209" s="13">
        <v>3.6</v>
      </c>
      <c r="E2209" s="13">
        <v>2</v>
      </c>
      <c r="F2209" s="13">
        <f t="shared" si="34"/>
        <v>1.8</v>
      </c>
    </row>
    <row r="2210" spans="2:6">
      <c r="B2210" s="13" t="s">
        <v>1580</v>
      </c>
      <c r="C2210" s="13" t="s">
        <v>1584</v>
      </c>
      <c r="D2210" s="13">
        <v>111.96</v>
      </c>
      <c r="E2210" s="13">
        <v>4</v>
      </c>
      <c r="F2210" s="13">
        <f t="shared" si="34"/>
        <v>27.99</v>
      </c>
    </row>
    <row r="2211" spans="2:6">
      <c r="B2211" s="13" t="s">
        <v>2611</v>
      </c>
      <c r="C2211" s="13" t="s">
        <v>2613</v>
      </c>
      <c r="D2211" s="13">
        <v>12.160000000000002</v>
      </c>
      <c r="E2211" s="13">
        <v>5</v>
      </c>
      <c r="F2211" s="13">
        <f t="shared" si="34"/>
        <v>2.4320000000000004</v>
      </c>
    </row>
    <row r="2212" spans="2:6">
      <c r="B2212" s="13" t="s">
        <v>137</v>
      </c>
      <c r="C2212" s="13" t="s">
        <v>141</v>
      </c>
      <c r="D2212" s="13">
        <v>17.52</v>
      </c>
      <c r="E2212" s="13">
        <v>4</v>
      </c>
      <c r="F2212" s="13">
        <f t="shared" si="34"/>
        <v>4.38</v>
      </c>
    </row>
    <row r="2213" spans="2:6">
      <c r="B2213" s="13" t="s">
        <v>2612</v>
      </c>
      <c r="C2213" s="13" t="s">
        <v>2614</v>
      </c>
      <c r="D2213" s="13">
        <v>155.88</v>
      </c>
      <c r="E2213" s="13">
        <v>6</v>
      </c>
      <c r="F2213" s="13">
        <f t="shared" si="34"/>
        <v>25.98</v>
      </c>
    </row>
    <row r="2214" spans="2:6">
      <c r="B2214" s="13" t="s">
        <v>1200</v>
      </c>
      <c r="C2214" s="13" t="s">
        <v>1204</v>
      </c>
      <c r="D2214" s="13">
        <v>477.51</v>
      </c>
      <c r="E2214" s="13">
        <v>11</v>
      </c>
      <c r="F2214" s="13">
        <f t="shared" si="34"/>
        <v>43.41</v>
      </c>
    </row>
    <row r="2215" spans="2:6">
      <c r="B2215" s="13" t="s">
        <v>1347</v>
      </c>
      <c r="C2215" s="13" t="s">
        <v>1353</v>
      </c>
      <c r="D2215" s="13">
        <v>164.88</v>
      </c>
      <c r="E2215" s="13">
        <v>3</v>
      </c>
      <c r="F2215" s="13">
        <f t="shared" si="34"/>
        <v>54.96</v>
      </c>
    </row>
    <row r="2216" spans="2:6">
      <c r="B2216" s="13" t="s">
        <v>2615</v>
      </c>
      <c r="C2216" s="13" t="s">
        <v>2617</v>
      </c>
      <c r="D2216" s="13">
        <v>16.34</v>
      </c>
      <c r="E2216" s="13">
        <v>2</v>
      </c>
      <c r="F2216" s="13">
        <f t="shared" si="34"/>
        <v>8.17</v>
      </c>
    </row>
    <row r="2217" spans="2:6">
      <c r="B2217" s="13" t="s">
        <v>2616</v>
      </c>
      <c r="C2217" s="13" t="s">
        <v>2618</v>
      </c>
      <c r="D2217" s="13">
        <v>225.29600000000002</v>
      </c>
      <c r="E2217" s="13">
        <v>2</v>
      </c>
      <c r="F2217" s="13">
        <f t="shared" si="34"/>
        <v>112.64800000000001</v>
      </c>
    </row>
    <row r="2218" spans="2:6">
      <c r="B2218" s="13" t="s">
        <v>1261</v>
      </c>
      <c r="C2218" s="13" t="s">
        <v>1267</v>
      </c>
      <c r="D2218" s="13">
        <v>50.352000000000004</v>
      </c>
      <c r="E2218" s="13">
        <v>3</v>
      </c>
      <c r="F2218" s="13">
        <f t="shared" si="34"/>
        <v>16.784000000000002</v>
      </c>
    </row>
    <row r="2219" spans="2:6">
      <c r="B2219" s="13" t="s">
        <v>824</v>
      </c>
      <c r="C2219" s="13" t="s">
        <v>826</v>
      </c>
      <c r="D2219" s="13">
        <v>9.9120000000000008</v>
      </c>
      <c r="E2219" s="13">
        <v>3</v>
      </c>
      <c r="F2219" s="13">
        <f t="shared" si="34"/>
        <v>3.3040000000000003</v>
      </c>
    </row>
    <row r="2220" spans="2:6">
      <c r="B2220" s="13" t="s">
        <v>2619</v>
      </c>
      <c r="C2220" s="13" t="s">
        <v>2620</v>
      </c>
      <c r="D2220" s="13">
        <v>266.35200000000003</v>
      </c>
      <c r="E2220" s="13">
        <v>6</v>
      </c>
      <c r="F2220" s="13">
        <f t="shared" si="34"/>
        <v>44.392000000000003</v>
      </c>
    </row>
    <row r="2221" spans="2:6">
      <c r="B2221" s="13" t="s">
        <v>520</v>
      </c>
      <c r="C2221" s="13" t="s">
        <v>522</v>
      </c>
      <c r="D2221" s="13">
        <v>56.328000000000003</v>
      </c>
      <c r="E2221" s="13">
        <v>3</v>
      </c>
      <c r="F2221" s="13">
        <f t="shared" si="34"/>
        <v>18.776</v>
      </c>
    </row>
    <row r="2222" spans="2:6">
      <c r="B2222" s="13" t="s">
        <v>748</v>
      </c>
      <c r="C2222" s="13" t="s">
        <v>749</v>
      </c>
      <c r="D2222" s="13">
        <v>39.264000000000003</v>
      </c>
      <c r="E2222" s="13">
        <v>3</v>
      </c>
      <c r="F2222" s="13">
        <f t="shared" si="34"/>
        <v>13.088000000000001</v>
      </c>
    </row>
    <row r="2223" spans="2:6">
      <c r="B2223" s="13" t="s">
        <v>2481</v>
      </c>
      <c r="C2223" s="13" t="s">
        <v>2483</v>
      </c>
      <c r="D2223" s="13">
        <v>95.231999999999999</v>
      </c>
      <c r="E2223" s="13">
        <v>6</v>
      </c>
      <c r="F2223" s="13">
        <f t="shared" si="34"/>
        <v>15.872</v>
      </c>
    </row>
    <row r="2224" spans="2:6">
      <c r="B2224" s="13" t="s">
        <v>2621</v>
      </c>
      <c r="C2224" s="13" t="s">
        <v>2623</v>
      </c>
      <c r="D2224" s="13">
        <v>149.94999999999999</v>
      </c>
      <c r="E2224" s="13">
        <v>5</v>
      </c>
      <c r="F2224" s="13">
        <f t="shared" si="34"/>
        <v>29.99</v>
      </c>
    </row>
    <row r="2225" spans="2:6">
      <c r="B2225" s="13" t="s">
        <v>2622</v>
      </c>
      <c r="C2225" s="13" t="s">
        <v>2624</v>
      </c>
      <c r="D2225" s="13">
        <v>23.32</v>
      </c>
      <c r="E2225" s="13">
        <v>2</v>
      </c>
      <c r="F2225" s="13">
        <f t="shared" si="34"/>
        <v>11.66</v>
      </c>
    </row>
    <row r="2226" spans="2:6">
      <c r="B2226" s="13" t="s">
        <v>1120</v>
      </c>
      <c r="C2226" s="13" t="s">
        <v>1121</v>
      </c>
      <c r="D2226" s="13">
        <v>16.740000000000002</v>
      </c>
      <c r="E2226" s="13">
        <v>3</v>
      </c>
      <c r="F2226" s="13">
        <f t="shared" si="34"/>
        <v>5.580000000000001</v>
      </c>
    </row>
    <row r="2227" spans="2:6">
      <c r="B2227" s="13" t="s">
        <v>1995</v>
      </c>
      <c r="C2227" s="13" t="s">
        <v>90</v>
      </c>
      <c r="D2227" s="13">
        <v>14.82</v>
      </c>
      <c r="E2227" s="13">
        <v>6</v>
      </c>
      <c r="F2227" s="13">
        <f t="shared" si="34"/>
        <v>2.4700000000000002</v>
      </c>
    </row>
    <row r="2228" spans="2:6">
      <c r="B2228" s="13" t="s">
        <v>2277</v>
      </c>
      <c r="C2228" s="13" t="s">
        <v>2280</v>
      </c>
      <c r="D2228" s="13">
        <v>177.2</v>
      </c>
      <c r="E2228" s="13">
        <v>5</v>
      </c>
      <c r="F2228" s="13">
        <f t="shared" si="34"/>
        <v>35.44</v>
      </c>
    </row>
    <row r="2229" spans="2:6">
      <c r="B2229" s="13" t="s">
        <v>1073</v>
      </c>
      <c r="C2229" s="13" t="s">
        <v>2625</v>
      </c>
      <c r="D2229" s="13">
        <v>122.13600000000001</v>
      </c>
      <c r="E2229" s="13">
        <v>3</v>
      </c>
      <c r="F2229" s="13">
        <f t="shared" si="34"/>
        <v>40.712000000000003</v>
      </c>
    </row>
    <row r="2230" spans="2:6">
      <c r="B2230" s="13" t="s">
        <v>395</v>
      </c>
      <c r="C2230" s="13" t="s">
        <v>399</v>
      </c>
      <c r="D2230" s="13">
        <v>479.952</v>
      </c>
      <c r="E2230" s="13">
        <v>6</v>
      </c>
      <c r="F2230" s="13">
        <f t="shared" si="34"/>
        <v>79.992000000000004</v>
      </c>
    </row>
    <row r="2231" spans="2:6">
      <c r="B2231" s="13" t="s">
        <v>152</v>
      </c>
      <c r="C2231" s="13" t="s">
        <v>158</v>
      </c>
      <c r="D2231" s="13">
        <v>23.92</v>
      </c>
      <c r="E2231" s="13">
        <v>5</v>
      </c>
      <c r="F2231" s="13">
        <f t="shared" si="34"/>
        <v>4.7840000000000007</v>
      </c>
    </row>
    <row r="2232" spans="2:6">
      <c r="B2232" s="13" t="s">
        <v>1427</v>
      </c>
      <c r="C2232" s="13" t="s">
        <v>1433</v>
      </c>
      <c r="D2232" s="13">
        <v>629.94999999999993</v>
      </c>
      <c r="E2232" s="13">
        <v>5</v>
      </c>
      <c r="F2232" s="13">
        <f t="shared" si="34"/>
        <v>125.98999999999998</v>
      </c>
    </row>
    <row r="2233" spans="2:6">
      <c r="B2233" s="13" t="s">
        <v>931</v>
      </c>
      <c r="C2233" s="13" t="s">
        <v>934</v>
      </c>
      <c r="D2233" s="13">
        <v>14.952000000000002</v>
      </c>
      <c r="E2233" s="13">
        <v>1</v>
      </c>
      <c r="F2233" s="13">
        <f t="shared" si="34"/>
        <v>14.952000000000002</v>
      </c>
    </row>
    <row r="2234" spans="2:6">
      <c r="B2234" s="13" t="s">
        <v>2626</v>
      </c>
      <c r="C2234" s="13" t="s">
        <v>2627</v>
      </c>
      <c r="D2234" s="13">
        <v>17.940000000000001</v>
      </c>
      <c r="E2234" s="13">
        <v>3</v>
      </c>
      <c r="F2234" s="13">
        <f t="shared" si="34"/>
        <v>5.98</v>
      </c>
    </row>
    <row r="2235" spans="2:6">
      <c r="B2235" s="13" t="s">
        <v>2184</v>
      </c>
      <c r="C2235" s="13" t="s">
        <v>2186</v>
      </c>
      <c r="D2235" s="13">
        <v>116.98</v>
      </c>
      <c r="E2235" s="13">
        <v>2</v>
      </c>
      <c r="F2235" s="13">
        <f t="shared" si="34"/>
        <v>58.49</v>
      </c>
    </row>
    <row r="2236" spans="2:6">
      <c r="B2236" s="13" t="s">
        <v>1494</v>
      </c>
      <c r="C2236" s="13" t="s">
        <v>1498</v>
      </c>
      <c r="D2236" s="13">
        <v>47.400000000000006</v>
      </c>
      <c r="E2236" s="13">
        <v>5</v>
      </c>
      <c r="F2236" s="13">
        <f t="shared" si="34"/>
        <v>9.48</v>
      </c>
    </row>
    <row r="2237" spans="2:6">
      <c r="B2237" s="13" t="s">
        <v>2348</v>
      </c>
      <c r="C2237" s="13" t="s">
        <v>2352</v>
      </c>
      <c r="D2237" s="13">
        <v>512.96</v>
      </c>
      <c r="E2237" s="13">
        <v>4</v>
      </c>
      <c r="F2237" s="13">
        <f t="shared" si="34"/>
        <v>128.24</v>
      </c>
    </row>
    <row r="2238" spans="2:6">
      <c r="B2238" s="13" t="s">
        <v>1609</v>
      </c>
      <c r="C2238" s="13" t="s">
        <v>1611</v>
      </c>
      <c r="D2238" s="13">
        <v>395.93999999999994</v>
      </c>
      <c r="E2238" s="13">
        <v>6</v>
      </c>
      <c r="F2238" s="13">
        <f t="shared" si="34"/>
        <v>65.989999999999995</v>
      </c>
    </row>
    <row r="2239" spans="2:6">
      <c r="B2239" s="13" t="s">
        <v>2628</v>
      </c>
      <c r="C2239" s="13" t="s">
        <v>2630</v>
      </c>
      <c r="D2239" s="13">
        <v>81.96</v>
      </c>
      <c r="E2239" s="13">
        <v>2</v>
      </c>
      <c r="F2239" s="13">
        <f t="shared" si="34"/>
        <v>40.98</v>
      </c>
    </row>
    <row r="2240" spans="2:6">
      <c r="B2240" s="13" t="s">
        <v>2629</v>
      </c>
      <c r="C2240" s="13" t="s">
        <v>2631</v>
      </c>
      <c r="D2240" s="13">
        <v>32.776000000000003</v>
      </c>
      <c r="E2240" s="13">
        <v>1</v>
      </c>
      <c r="F2240" s="13">
        <f t="shared" si="34"/>
        <v>32.776000000000003</v>
      </c>
    </row>
    <row r="2241" spans="2:6">
      <c r="B2241" s="13" t="s">
        <v>635</v>
      </c>
      <c r="C2241" s="13" t="s">
        <v>639</v>
      </c>
      <c r="D2241" s="13">
        <v>272.94</v>
      </c>
      <c r="E2241" s="13">
        <v>3</v>
      </c>
      <c r="F2241" s="13">
        <f t="shared" si="34"/>
        <v>90.98</v>
      </c>
    </row>
    <row r="2242" spans="2:6">
      <c r="B2242" s="13" t="s">
        <v>952</v>
      </c>
      <c r="C2242" s="13" t="s">
        <v>956</v>
      </c>
      <c r="D2242" s="13">
        <v>317.05799999999999</v>
      </c>
      <c r="E2242" s="13">
        <v>3</v>
      </c>
      <c r="F2242" s="13">
        <f t="shared" si="34"/>
        <v>105.68599999999999</v>
      </c>
    </row>
    <row r="2243" spans="2:6">
      <c r="B2243" s="13" t="s">
        <v>1253</v>
      </c>
      <c r="C2243" s="13" t="s">
        <v>1258</v>
      </c>
      <c r="D2243" s="13">
        <v>15.76</v>
      </c>
      <c r="E2243" s="13">
        <v>2</v>
      </c>
      <c r="F2243" s="13">
        <f t="shared" si="34"/>
        <v>7.88</v>
      </c>
    </row>
    <row r="2244" spans="2:6">
      <c r="B2244" s="13" t="s">
        <v>1871</v>
      </c>
      <c r="C2244" s="13" t="s">
        <v>1873</v>
      </c>
      <c r="D2244" s="13">
        <v>14.560000000000002</v>
      </c>
      <c r="E2244" s="13">
        <v>5</v>
      </c>
      <c r="F2244" s="13">
        <f t="shared" ref="F2244:F2307" si="35">D2244/E2244</f>
        <v>2.9120000000000004</v>
      </c>
    </row>
    <row r="2245" spans="2:6">
      <c r="B2245" s="13" t="s">
        <v>2632</v>
      </c>
      <c r="C2245" s="13" t="s">
        <v>2634</v>
      </c>
      <c r="D2245" s="13">
        <v>35.4</v>
      </c>
      <c r="E2245" s="13">
        <v>5</v>
      </c>
      <c r="F2245" s="13">
        <f t="shared" si="35"/>
        <v>7.08</v>
      </c>
    </row>
    <row r="2246" spans="2:6">
      <c r="B2246" s="13" t="s">
        <v>1122</v>
      </c>
      <c r="C2246" s="13" t="s">
        <v>1123</v>
      </c>
      <c r="D2246" s="13">
        <v>419.4</v>
      </c>
      <c r="E2246" s="13">
        <v>5</v>
      </c>
      <c r="F2246" s="13">
        <f t="shared" si="35"/>
        <v>83.88</v>
      </c>
    </row>
    <row r="2247" spans="2:6">
      <c r="B2247" s="13" t="s">
        <v>2633</v>
      </c>
      <c r="C2247" s="13" t="s">
        <v>2635</v>
      </c>
      <c r="D2247" s="13">
        <v>13.005000000000003</v>
      </c>
      <c r="E2247" s="13">
        <v>3</v>
      </c>
      <c r="F2247" s="13">
        <f t="shared" si="35"/>
        <v>4.3350000000000009</v>
      </c>
    </row>
    <row r="2248" spans="2:6">
      <c r="B2248" s="13" t="s">
        <v>2636</v>
      </c>
      <c r="C2248" s="13" t="s">
        <v>2637</v>
      </c>
      <c r="D2248" s="13">
        <v>449.91</v>
      </c>
      <c r="E2248" s="13">
        <v>9</v>
      </c>
      <c r="F2248" s="13">
        <f t="shared" si="35"/>
        <v>49.99</v>
      </c>
    </row>
    <row r="2249" spans="2:6">
      <c r="B2249" s="13" t="s">
        <v>2170</v>
      </c>
      <c r="C2249" s="13" t="s">
        <v>2172</v>
      </c>
      <c r="D2249" s="13">
        <v>20.096000000000004</v>
      </c>
      <c r="E2249" s="13">
        <v>4</v>
      </c>
      <c r="F2249" s="13">
        <f t="shared" si="35"/>
        <v>5.0240000000000009</v>
      </c>
    </row>
    <row r="2250" spans="2:6">
      <c r="B2250" s="13" t="s">
        <v>2638</v>
      </c>
      <c r="C2250" s="13" t="s">
        <v>2639</v>
      </c>
      <c r="D2250" s="13">
        <v>37.752000000000002</v>
      </c>
      <c r="E2250" s="13">
        <v>3</v>
      </c>
      <c r="F2250" s="13">
        <f t="shared" si="35"/>
        <v>12.584000000000001</v>
      </c>
    </row>
    <row r="2251" spans="2:6">
      <c r="B2251" s="13" t="s">
        <v>2304</v>
      </c>
      <c r="C2251" s="13" t="s">
        <v>2308</v>
      </c>
      <c r="D2251" s="13">
        <v>138.58799999999999</v>
      </c>
      <c r="E2251" s="13">
        <v>1</v>
      </c>
      <c r="F2251" s="13">
        <f t="shared" si="35"/>
        <v>138.58799999999999</v>
      </c>
    </row>
    <row r="2252" spans="2:6">
      <c r="B2252" s="13" t="s">
        <v>1626</v>
      </c>
      <c r="C2252" s="13" t="s">
        <v>1630</v>
      </c>
      <c r="D2252" s="13">
        <v>259.92000000000007</v>
      </c>
      <c r="E2252" s="13">
        <v>5</v>
      </c>
      <c r="F2252" s="13">
        <f t="shared" si="35"/>
        <v>51.984000000000016</v>
      </c>
    </row>
    <row r="2253" spans="2:6">
      <c r="B2253" s="13" t="s">
        <v>2425</v>
      </c>
      <c r="C2253" s="13" t="s">
        <v>2428</v>
      </c>
      <c r="D2253" s="13">
        <v>20.736000000000004</v>
      </c>
      <c r="E2253" s="13">
        <v>4</v>
      </c>
      <c r="F2253" s="13">
        <f t="shared" si="35"/>
        <v>5.1840000000000011</v>
      </c>
    </row>
    <row r="2254" spans="2:6">
      <c r="B2254" s="13" t="s">
        <v>2640</v>
      </c>
      <c r="C2254" s="13" t="s">
        <v>2641</v>
      </c>
      <c r="D2254" s="13">
        <v>3.8560000000000003</v>
      </c>
      <c r="E2254" s="13">
        <v>1</v>
      </c>
      <c r="F2254" s="13">
        <f t="shared" si="35"/>
        <v>3.8560000000000003</v>
      </c>
    </row>
    <row r="2255" spans="2:6">
      <c r="B2255" s="13" t="s">
        <v>432</v>
      </c>
      <c r="C2255" s="13" t="s">
        <v>438</v>
      </c>
      <c r="D2255" s="13">
        <v>3.8820000000000006</v>
      </c>
      <c r="E2255" s="13">
        <v>2</v>
      </c>
      <c r="F2255" s="13">
        <f t="shared" si="35"/>
        <v>1.9410000000000003</v>
      </c>
    </row>
    <row r="2256" spans="2:6">
      <c r="B2256" s="13" t="s">
        <v>2642</v>
      </c>
      <c r="C2256" s="13" t="s">
        <v>2646</v>
      </c>
      <c r="D2256" s="13">
        <v>12.585000000000003</v>
      </c>
      <c r="E2256" s="13">
        <v>1</v>
      </c>
      <c r="F2256" s="13">
        <f t="shared" si="35"/>
        <v>12.585000000000003</v>
      </c>
    </row>
    <row r="2257" spans="2:6">
      <c r="B2257" s="13" t="s">
        <v>2643</v>
      </c>
      <c r="C2257" s="13" t="s">
        <v>2647</v>
      </c>
      <c r="D2257" s="13">
        <v>113.372</v>
      </c>
      <c r="E2257" s="13">
        <v>2</v>
      </c>
      <c r="F2257" s="13">
        <f t="shared" si="35"/>
        <v>56.686</v>
      </c>
    </row>
    <row r="2258" spans="2:6">
      <c r="B2258" s="13" t="s">
        <v>2221</v>
      </c>
      <c r="C2258" s="13" t="s">
        <v>2224</v>
      </c>
      <c r="D2258" s="13">
        <v>18.312000000000001</v>
      </c>
      <c r="E2258" s="13">
        <v>4</v>
      </c>
      <c r="F2258" s="13">
        <f t="shared" si="35"/>
        <v>4.5780000000000003</v>
      </c>
    </row>
    <row r="2259" spans="2:6">
      <c r="B2259" s="13" t="s">
        <v>2644</v>
      </c>
      <c r="C2259" s="13" t="s">
        <v>2648</v>
      </c>
      <c r="D2259" s="13">
        <v>127.93599999999999</v>
      </c>
      <c r="E2259" s="13">
        <v>8</v>
      </c>
      <c r="F2259" s="13">
        <f t="shared" si="35"/>
        <v>15.991999999999999</v>
      </c>
    </row>
    <row r="2260" spans="2:6">
      <c r="B2260" s="13" t="s">
        <v>2645</v>
      </c>
      <c r="C2260" s="13" t="s">
        <v>2649</v>
      </c>
      <c r="D2260" s="13">
        <v>241.17000000000002</v>
      </c>
      <c r="E2260" s="13">
        <v>2</v>
      </c>
      <c r="F2260" s="13">
        <f t="shared" si="35"/>
        <v>120.58500000000001</v>
      </c>
    </row>
    <row r="2261" spans="2:6">
      <c r="B2261" s="13" t="s">
        <v>2650</v>
      </c>
      <c r="C2261" s="13" t="s">
        <v>2652</v>
      </c>
      <c r="D2261" s="13">
        <v>1.6799999999999995</v>
      </c>
      <c r="E2261" s="13">
        <v>5</v>
      </c>
      <c r="F2261" s="13">
        <f t="shared" si="35"/>
        <v>0.33599999999999991</v>
      </c>
    </row>
    <row r="2262" spans="2:6">
      <c r="B2262" s="13" t="s">
        <v>2030</v>
      </c>
      <c r="C2262" s="13" t="s">
        <v>2037</v>
      </c>
      <c r="D2262" s="13">
        <v>7.968</v>
      </c>
      <c r="E2262" s="13">
        <v>3</v>
      </c>
      <c r="F2262" s="13">
        <f t="shared" si="35"/>
        <v>2.6560000000000001</v>
      </c>
    </row>
    <row r="2263" spans="2:6">
      <c r="B2263" s="13" t="s">
        <v>2651</v>
      </c>
      <c r="C2263" s="13" t="s">
        <v>2653</v>
      </c>
      <c r="D2263" s="13">
        <v>113.372</v>
      </c>
      <c r="E2263" s="13">
        <v>2</v>
      </c>
      <c r="F2263" s="13">
        <f t="shared" si="35"/>
        <v>56.686</v>
      </c>
    </row>
    <row r="2264" spans="2:6">
      <c r="B2264" s="13" t="s">
        <v>1248</v>
      </c>
      <c r="C2264" s="13" t="s">
        <v>1250</v>
      </c>
      <c r="D2264" s="13">
        <v>2.9600000000000004</v>
      </c>
      <c r="E2264" s="13">
        <v>2</v>
      </c>
      <c r="F2264" s="13">
        <f t="shared" si="35"/>
        <v>1.4800000000000002</v>
      </c>
    </row>
    <row r="2265" spans="2:6">
      <c r="B2265" s="13" t="s">
        <v>1968</v>
      </c>
      <c r="C2265" s="13" t="s">
        <v>1976</v>
      </c>
      <c r="D2265" s="13">
        <v>168.1</v>
      </c>
      <c r="E2265" s="13">
        <v>5</v>
      </c>
      <c r="F2265" s="13">
        <f t="shared" si="35"/>
        <v>33.619999999999997</v>
      </c>
    </row>
    <row r="2266" spans="2:6">
      <c r="B2266" s="13" t="s">
        <v>1170</v>
      </c>
      <c r="C2266" s="13" t="s">
        <v>1174</v>
      </c>
      <c r="D2266" s="13">
        <v>17.48</v>
      </c>
      <c r="E2266" s="13">
        <v>4</v>
      </c>
      <c r="F2266" s="13">
        <f t="shared" si="35"/>
        <v>4.37</v>
      </c>
    </row>
    <row r="2267" spans="2:6">
      <c r="B2267" s="13" t="s">
        <v>2157</v>
      </c>
      <c r="C2267" s="13" t="s">
        <v>2158</v>
      </c>
      <c r="D2267" s="13">
        <v>152.65</v>
      </c>
      <c r="E2267" s="13">
        <v>5</v>
      </c>
      <c r="F2267" s="13">
        <f t="shared" si="35"/>
        <v>30.53</v>
      </c>
    </row>
    <row r="2268" spans="2:6">
      <c r="B2268" s="13" t="s">
        <v>2494</v>
      </c>
      <c r="C2268" s="13" t="s">
        <v>2495</v>
      </c>
      <c r="D2268" s="13">
        <v>22.72</v>
      </c>
      <c r="E2268" s="13">
        <v>1</v>
      </c>
      <c r="F2268" s="13">
        <f t="shared" si="35"/>
        <v>22.72</v>
      </c>
    </row>
    <row r="2269" spans="2:6">
      <c r="B2269" s="13" t="s">
        <v>2654</v>
      </c>
      <c r="C2269" s="13" t="s">
        <v>2655</v>
      </c>
      <c r="D2269" s="13">
        <v>1640.6999999999998</v>
      </c>
      <c r="E2269" s="13">
        <v>5</v>
      </c>
      <c r="F2269" s="13">
        <f t="shared" si="35"/>
        <v>328.14</v>
      </c>
    </row>
    <row r="2270" spans="2:6">
      <c r="B2270" s="13" t="s">
        <v>896</v>
      </c>
      <c r="C2270" s="13" t="s">
        <v>900</v>
      </c>
      <c r="D2270" s="13">
        <v>371.2</v>
      </c>
      <c r="E2270" s="13">
        <v>5</v>
      </c>
      <c r="F2270" s="13">
        <f t="shared" si="35"/>
        <v>74.239999999999995</v>
      </c>
    </row>
    <row r="2271" spans="2:6">
      <c r="B2271" s="13" t="s">
        <v>2656</v>
      </c>
      <c r="C2271" s="13" t="s">
        <v>2661</v>
      </c>
      <c r="D2271" s="13">
        <v>62.04</v>
      </c>
      <c r="E2271" s="13">
        <v>4</v>
      </c>
      <c r="F2271" s="13">
        <f t="shared" si="35"/>
        <v>15.51</v>
      </c>
    </row>
    <row r="2272" spans="2:6">
      <c r="B2272" s="13" t="s">
        <v>1366</v>
      </c>
      <c r="C2272" s="13" t="s">
        <v>1369</v>
      </c>
      <c r="D2272" s="13">
        <v>494.97</v>
      </c>
      <c r="E2272" s="13">
        <v>3</v>
      </c>
      <c r="F2272" s="13">
        <f t="shared" si="35"/>
        <v>164.99</v>
      </c>
    </row>
    <row r="2273" spans="2:6">
      <c r="B2273" s="13" t="s">
        <v>115</v>
      </c>
      <c r="C2273" s="13" t="s">
        <v>122</v>
      </c>
      <c r="D2273" s="13">
        <v>367.96</v>
      </c>
      <c r="E2273" s="13">
        <v>4</v>
      </c>
      <c r="F2273" s="13">
        <f t="shared" si="35"/>
        <v>91.99</v>
      </c>
    </row>
    <row r="2274" spans="2:6">
      <c r="B2274" s="13" t="s">
        <v>2657</v>
      </c>
      <c r="C2274" s="13" t="s">
        <v>2662</v>
      </c>
      <c r="D2274" s="13">
        <v>44.96</v>
      </c>
      <c r="E2274" s="13">
        <v>2</v>
      </c>
      <c r="F2274" s="13">
        <f t="shared" si="35"/>
        <v>22.48</v>
      </c>
    </row>
    <row r="2275" spans="2:6">
      <c r="B2275" s="13" t="s">
        <v>2658</v>
      </c>
      <c r="C2275" s="13" t="s">
        <v>2663</v>
      </c>
      <c r="D2275" s="13">
        <v>182.94</v>
      </c>
      <c r="E2275" s="13">
        <v>3</v>
      </c>
      <c r="F2275" s="13">
        <f t="shared" si="35"/>
        <v>60.98</v>
      </c>
    </row>
    <row r="2276" spans="2:6">
      <c r="B2276" s="13" t="s">
        <v>720</v>
      </c>
      <c r="C2276" s="13" t="s">
        <v>726</v>
      </c>
      <c r="D2276" s="13">
        <v>28.14</v>
      </c>
      <c r="E2276" s="13">
        <v>3</v>
      </c>
      <c r="F2276" s="13">
        <f t="shared" si="35"/>
        <v>9.3800000000000008</v>
      </c>
    </row>
    <row r="2277" spans="2:6">
      <c r="B2277" s="13" t="s">
        <v>1321</v>
      </c>
      <c r="C2277" s="13" t="s">
        <v>1324</v>
      </c>
      <c r="D2277" s="13">
        <v>7.38</v>
      </c>
      <c r="E2277" s="13">
        <v>2</v>
      </c>
      <c r="F2277" s="13">
        <f t="shared" si="35"/>
        <v>3.69</v>
      </c>
    </row>
    <row r="2278" spans="2:6">
      <c r="B2278" s="13" t="s">
        <v>2659</v>
      </c>
      <c r="C2278" s="13" t="s">
        <v>2664</v>
      </c>
      <c r="D2278" s="13">
        <v>10.9</v>
      </c>
      <c r="E2278" s="13">
        <v>5</v>
      </c>
      <c r="F2278" s="13">
        <f t="shared" si="35"/>
        <v>2.1800000000000002</v>
      </c>
    </row>
    <row r="2279" spans="2:6">
      <c r="B2279" s="13" t="s">
        <v>2660</v>
      </c>
      <c r="C2279" s="13" t="s">
        <v>2665</v>
      </c>
      <c r="D2279" s="13">
        <v>274.89</v>
      </c>
      <c r="E2279" s="13">
        <v>11</v>
      </c>
      <c r="F2279" s="13">
        <f t="shared" si="35"/>
        <v>24.99</v>
      </c>
    </row>
    <row r="2280" spans="2:6">
      <c r="B2280" s="13" t="s">
        <v>995</v>
      </c>
      <c r="C2280" s="13" t="s">
        <v>996</v>
      </c>
      <c r="D2280" s="13">
        <v>23.04</v>
      </c>
      <c r="E2280" s="13">
        <v>8</v>
      </c>
      <c r="F2280" s="13">
        <f t="shared" si="35"/>
        <v>2.88</v>
      </c>
    </row>
    <row r="2281" spans="2:6">
      <c r="B2281" s="13" t="s">
        <v>1785</v>
      </c>
      <c r="C2281" s="13" t="s">
        <v>1786</v>
      </c>
      <c r="D2281" s="13">
        <v>218.35200000000003</v>
      </c>
      <c r="E2281" s="13">
        <v>3</v>
      </c>
      <c r="F2281" s="13">
        <f t="shared" si="35"/>
        <v>72.784000000000006</v>
      </c>
    </row>
    <row r="2282" spans="2:6">
      <c r="B2282" s="13" t="s">
        <v>1412</v>
      </c>
      <c r="C2282" s="13" t="s">
        <v>1415</v>
      </c>
      <c r="D2282" s="13">
        <v>10.368000000000002</v>
      </c>
      <c r="E2282" s="13">
        <v>2</v>
      </c>
      <c r="F2282" s="13">
        <f t="shared" si="35"/>
        <v>5.1840000000000011</v>
      </c>
    </row>
    <row r="2283" spans="2:6">
      <c r="B2283" s="13" t="s">
        <v>73</v>
      </c>
      <c r="C2283" s="13" t="s">
        <v>76</v>
      </c>
      <c r="D2283" s="13">
        <v>37.056000000000004</v>
      </c>
      <c r="E2283" s="13">
        <v>4</v>
      </c>
      <c r="F2283" s="13">
        <f t="shared" si="35"/>
        <v>9.2640000000000011</v>
      </c>
    </row>
    <row r="2284" spans="2:6">
      <c r="B2284" s="13" t="s">
        <v>2666</v>
      </c>
      <c r="C2284" s="13" t="s">
        <v>2671</v>
      </c>
      <c r="D2284" s="13">
        <v>259.89600000000002</v>
      </c>
      <c r="E2284" s="13">
        <v>2</v>
      </c>
      <c r="F2284" s="13">
        <f t="shared" si="35"/>
        <v>129.94800000000001</v>
      </c>
    </row>
    <row r="2285" spans="2:6">
      <c r="B2285" s="13" t="s">
        <v>51</v>
      </c>
      <c r="C2285" s="13" t="s">
        <v>52</v>
      </c>
      <c r="D2285" s="13">
        <v>19.049999999999997</v>
      </c>
      <c r="E2285" s="13">
        <v>3</v>
      </c>
      <c r="F2285" s="13">
        <f t="shared" si="35"/>
        <v>6.3499999999999988</v>
      </c>
    </row>
    <row r="2286" spans="2:6">
      <c r="B2286" s="13" t="s">
        <v>1577</v>
      </c>
      <c r="C2286" s="13" t="s">
        <v>1581</v>
      </c>
      <c r="D2286" s="13">
        <v>73.343999999999994</v>
      </c>
      <c r="E2286" s="13">
        <v>3</v>
      </c>
      <c r="F2286" s="13">
        <f t="shared" si="35"/>
        <v>24.447999999999997</v>
      </c>
    </row>
    <row r="2287" spans="2:6">
      <c r="B2287" s="13" t="s">
        <v>1451</v>
      </c>
      <c r="C2287" s="13" t="s">
        <v>1454</v>
      </c>
      <c r="D2287" s="13">
        <v>95.68</v>
      </c>
      <c r="E2287" s="13">
        <v>8</v>
      </c>
      <c r="F2287" s="13">
        <f t="shared" si="35"/>
        <v>11.96</v>
      </c>
    </row>
    <row r="2288" spans="2:6">
      <c r="B2288" s="13" t="s">
        <v>153</v>
      </c>
      <c r="C2288" s="13" t="s">
        <v>159</v>
      </c>
      <c r="D2288" s="13">
        <v>50.96</v>
      </c>
      <c r="E2288" s="13">
        <v>7</v>
      </c>
      <c r="F2288" s="13">
        <f t="shared" si="35"/>
        <v>7.28</v>
      </c>
    </row>
    <row r="2289" spans="2:6">
      <c r="B2289" s="13" t="s">
        <v>2537</v>
      </c>
      <c r="C2289" s="13" t="s">
        <v>2542</v>
      </c>
      <c r="D2289" s="13">
        <v>113.94</v>
      </c>
      <c r="E2289" s="13">
        <v>3</v>
      </c>
      <c r="F2289" s="13">
        <f t="shared" si="35"/>
        <v>37.979999999999997</v>
      </c>
    </row>
    <row r="2290" spans="2:6">
      <c r="B2290" s="13" t="s">
        <v>2667</v>
      </c>
      <c r="C2290" s="13" t="s">
        <v>2672</v>
      </c>
      <c r="D2290" s="13">
        <v>25.92</v>
      </c>
      <c r="E2290" s="13">
        <v>4</v>
      </c>
      <c r="F2290" s="13">
        <f t="shared" si="35"/>
        <v>6.48</v>
      </c>
    </row>
    <row r="2291" spans="2:6">
      <c r="B2291" s="13" t="s">
        <v>1651</v>
      </c>
      <c r="C2291" s="13" t="s">
        <v>1658</v>
      </c>
      <c r="D2291" s="13">
        <v>20.32</v>
      </c>
      <c r="E2291" s="13">
        <v>4</v>
      </c>
      <c r="F2291" s="13">
        <f t="shared" si="35"/>
        <v>5.08</v>
      </c>
    </row>
    <row r="2292" spans="2:6">
      <c r="B2292" s="13" t="s">
        <v>2668</v>
      </c>
      <c r="C2292" s="13" t="s">
        <v>2673</v>
      </c>
      <c r="D2292" s="13">
        <v>411.98</v>
      </c>
      <c r="E2292" s="13">
        <v>2</v>
      </c>
      <c r="F2292" s="13">
        <f t="shared" si="35"/>
        <v>205.99</v>
      </c>
    </row>
    <row r="2293" spans="2:6">
      <c r="B2293" s="13" t="s">
        <v>2669</v>
      </c>
      <c r="C2293" s="13" t="s">
        <v>2674</v>
      </c>
      <c r="D2293" s="13">
        <v>34.479999999999997</v>
      </c>
      <c r="E2293" s="13">
        <v>2</v>
      </c>
      <c r="F2293" s="13">
        <f t="shared" si="35"/>
        <v>17.239999999999998</v>
      </c>
    </row>
    <row r="2294" spans="2:6">
      <c r="B2294" s="13" t="s">
        <v>2084</v>
      </c>
      <c r="C2294" s="13" t="s">
        <v>2089</v>
      </c>
      <c r="D2294" s="13">
        <v>244.54999999999998</v>
      </c>
      <c r="E2294" s="13">
        <v>5</v>
      </c>
      <c r="F2294" s="13">
        <f t="shared" si="35"/>
        <v>48.91</v>
      </c>
    </row>
    <row r="2295" spans="2:6">
      <c r="B2295" s="13" t="s">
        <v>2670</v>
      </c>
      <c r="C2295" s="13" t="s">
        <v>2675</v>
      </c>
      <c r="D2295" s="13">
        <v>10.782000000000002</v>
      </c>
      <c r="E2295" s="13">
        <v>3</v>
      </c>
      <c r="F2295" s="13">
        <f t="shared" si="35"/>
        <v>3.5940000000000007</v>
      </c>
    </row>
    <row r="2296" spans="2:6">
      <c r="B2296" s="13" t="s">
        <v>2074</v>
      </c>
      <c r="C2296" s="13" t="s">
        <v>2076</v>
      </c>
      <c r="D2296" s="13">
        <v>2399.96</v>
      </c>
      <c r="E2296" s="13">
        <v>5</v>
      </c>
      <c r="F2296" s="13">
        <f t="shared" si="35"/>
        <v>479.99200000000002</v>
      </c>
    </row>
    <row r="2297" spans="2:6">
      <c r="B2297" s="13" t="s">
        <v>456</v>
      </c>
      <c r="C2297" s="13" t="s">
        <v>463</v>
      </c>
      <c r="D2297" s="13">
        <v>16</v>
      </c>
      <c r="E2297" s="13">
        <v>4</v>
      </c>
      <c r="F2297" s="13">
        <f t="shared" si="35"/>
        <v>4</v>
      </c>
    </row>
    <row r="2298" spans="2:6">
      <c r="B2298" s="13" t="s">
        <v>2676</v>
      </c>
      <c r="C2298" s="13" t="s">
        <v>2679</v>
      </c>
      <c r="D2298" s="13">
        <v>5.5879999999999992</v>
      </c>
      <c r="E2298" s="13">
        <v>2</v>
      </c>
      <c r="F2298" s="13">
        <f t="shared" si="35"/>
        <v>2.7939999999999996</v>
      </c>
    </row>
    <row r="2299" spans="2:6">
      <c r="B2299" s="13" t="s">
        <v>2677</v>
      </c>
      <c r="C2299" s="13" t="s">
        <v>2680</v>
      </c>
      <c r="D2299" s="13">
        <v>235.92</v>
      </c>
      <c r="E2299" s="13">
        <v>5</v>
      </c>
      <c r="F2299" s="13">
        <f t="shared" si="35"/>
        <v>47.183999999999997</v>
      </c>
    </row>
    <row r="2300" spans="2:6">
      <c r="B2300" s="13" t="s">
        <v>2678</v>
      </c>
      <c r="C2300" s="13" t="s">
        <v>2681</v>
      </c>
      <c r="D2300" s="13">
        <v>10.68</v>
      </c>
      <c r="E2300" s="13">
        <v>1</v>
      </c>
      <c r="F2300" s="13">
        <f t="shared" si="35"/>
        <v>10.68</v>
      </c>
    </row>
    <row r="2301" spans="2:6">
      <c r="B2301" s="13" t="s">
        <v>2370</v>
      </c>
      <c r="C2301" s="13" t="s">
        <v>2372</v>
      </c>
      <c r="D2301" s="13">
        <v>41.28</v>
      </c>
      <c r="E2301" s="13">
        <v>2</v>
      </c>
      <c r="F2301" s="13">
        <f t="shared" si="35"/>
        <v>20.64</v>
      </c>
    </row>
    <row r="2302" spans="2:6">
      <c r="B2302" s="13" t="s">
        <v>2264</v>
      </c>
      <c r="C2302" s="13" t="s">
        <v>2267</v>
      </c>
      <c r="D2302" s="13">
        <v>14.76</v>
      </c>
      <c r="E2302" s="13">
        <v>2</v>
      </c>
      <c r="F2302" s="13">
        <f t="shared" si="35"/>
        <v>7.38</v>
      </c>
    </row>
    <row r="2303" spans="2:6">
      <c r="B2303" s="13" t="s">
        <v>540</v>
      </c>
      <c r="C2303" s="13" t="s">
        <v>551</v>
      </c>
      <c r="D2303" s="13">
        <v>115.96</v>
      </c>
      <c r="E2303" s="13">
        <v>2</v>
      </c>
      <c r="F2303" s="13">
        <f t="shared" si="35"/>
        <v>57.98</v>
      </c>
    </row>
    <row r="2304" spans="2:6">
      <c r="B2304" s="13" t="s">
        <v>618</v>
      </c>
      <c r="C2304" s="13" t="s">
        <v>620</v>
      </c>
      <c r="D2304" s="13">
        <v>186.54</v>
      </c>
      <c r="E2304" s="13">
        <v>3</v>
      </c>
      <c r="F2304" s="13">
        <f t="shared" si="35"/>
        <v>62.18</v>
      </c>
    </row>
    <row r="2305" spans="2:6">
      <c r="B2305" s="13" t="s">
        <v>1716</v>
      </c>
      <c r="C2305" s="13" t="s">
        <v>1718</v>
      </c>
      <c r="D2305" s="13">
        <v>159.56</v>
      </c>
      <c r="E2305" s="13">
        <v>4</v>
      </c>
      <c r="F2305" s="13">
        <f t="shared" si="35"/>
        <v>39.89</v>
      </c>
    </row>
    <row r="2306" spans="2:6">
      <c r="B2306" s="13" t="s">
        <v>2682</v>
      </c>
      <c r="C2306" s="13" t="s">
        <v>2684</v>
      </c>
      <c r="D2306" s="13">
        <v>356.78999999999996</v>
      </c>
      <c r="E2306" s="13">
        <v>7</v>
      </c>
      <c r="F2306" s="13">
        <f t="shared" si="35"/>
        <v>50.969999999999992</v>
      </c>
    </row>
    <row r="2307" spans="2:6">
      <c r="B2307" s="13" t="s">
        <v>2683</v>
      </c>
      <c r="C2307" s="13" t="s">
        <v>2685</v>
      </c>
      <c r="D2307" s="13">
        <v>16.98</v>
      </c>
      <c r="E2307" s="13">
        <v>1</v>
      </c>
      <c r="F2307" s="13">
        <f t="shared" si="35"/>
        <v>16.98</v>
      </c>
    </row>
    <row r="2308" spans="2:6">
      <c r="B2308" s="13" t="s">
        <v>1071</v>
      </c>
      <c r="C2308" s="13" t="s">
        <v>1074</v>
      </c>
      <c r="D2308" s="13">
        <v>95.976000000000013</v>
      </c>
      <c r="E2308" s="13">
        <v>3</v>
      </c>
      <c r="F2308" s="13">
        <f t="shared" ref="F2308:F2371" si="36">D2308/E2308</f>
        <v>31.992000000000004</v>
      </c>
    </row>
    <row r="2309" spans="2:6">
      <c r="B2309" s="13" t="s">
        <v>2109</v>
      </c>
      <c r="C2309" s="13" t="s">
        <v>2114</v>
      </c>
      <c r="D2309" s="13">
        <v>102.36799999999999</v>
      </c>
      <c r="E2309" s="13">
        <v>2</v>
      </c>
      <c r="F2309" s="13">
        <f t="shared" si="36"/>
        <v>51.183999999999997</v>
      </c>
    </row>
    <row r="2310" spans="2:6">
      <c r="B2310" s="13" t="s">
        <v>1800</v>
      </c>
      <c r="C2310" s="13" t="s">
        <v>1804</v>
      </c>
      <c r="D2310" s="13">
        <v>28.4</v>
      </c>
      <c r="E2310" s="13">
        <v>5</v>
      </c>
      <c r="F2310" s="13">
        <f t="shared" si="36"/>
        <v>5.68</v>
      </c>
    </row>
    <row r="2311" spans="2:6">
      <c r="B2311" s="13" t="s">
        <v>709</v>
      </c>
      <c r="C2311" s="13" t="s">
        <v>713</v>
      </c>
      <c r="D2311" s="13">
        <v>713.88</v>
      </c>
      <c r="E2311" s="13">
        <v>4</v>
      </c>
      <c r="F2311" s="13">
        <f t="shared" si="36"/>
        <v>178.47</v>
      </c>
    </row>
    <row r="2312" spans="2:6">
      <c r="B2312" s="13" t="s">
        <v>1141</v>
      </c>
      <c r="C2312" s="13" t="s">
        <v>1142</v>
      </c>
      <c r="D2312" s="13">
        <v>68.52</v>
      </c>
      <c r="E2312" s="13">
        <v>3</v>
      </c>
      <c r="F2312" s="13">
        <f t="shared" si="36"/>
        <v>22.84</v>
      </c>
    </row>
    <row r="2313" spans="2:6">
      <c r="B2313" s="13" t="s">
        <v>1509</v>
      </c>
      <c r="C2313" s="13" t="s">
        <v>1510</v>
      </c>
      <c r="D2313" s="13">
        <v>58.407999999999994</v>
      </c>
      <c r="E2313" s="13">
        <v>7</v>
      </c>
      <c r="F2313" s="13">
        <f t="shared" si="36"/>
        <v>8.3439999999999994</v>
      </c>
    </row>
    <row r="2314" spans="2:6">
      <c r="B2314" s="13" t="s">
        <v>752</v>
      </c>
      <c r="C2314" s="13" t="s">
        <v>755</v>
      </c>
      <c r="D2314" s="13">
        <v>79.97399999999999</v>
      </c>
      <c r="E2314" s="13">
        <v>3</v>
      </c>
      <c r="F2314" s="13">
        <f t="shared" si="36"/>
        <v>26.657999999999998</v>
      </c>
    </row>
    <row r="2315" spans="2:6">
      <c r="B2315" s="13" t="s">
        <v>2686</v>
      </c>
      <c r="C2315" s="13" t="s">
        <v>2687</v>
      </c>
      <c r="D2315" s="13">
        <v>7.8000000000000007</v>
      </c>
      <c r="E2315" s="13">
        <v>3</v>
      </c>
      <c r="F2315" s="13">
        <f t="shared" si="36"/>
        <v>2.6</v>
      </c>
    </row>
    <row r="2316" spans="2:6">
      <c r="B2316" s="13" t="s">
        <v>2688</v>
      </c>
      <c r="C2316" s="13" t="s">
        <v>2691</v>
      </c>
      <c r="D2316" s="13">
        <v>12.624000000000001</v>
      </c>
      <c r="E2316" s="13">
        <v>2</v>
      </c>
      <c r="F2316" s="13">
        <f t="shared" si="36"/>
        <v>6.3120000000000003</v>
      </c>
    </row>
    <row r="2317" spans="2:6">
      <c r="B2317" s="13" t="s">
        <v>1029</v>
      </c>
      <c r="C2317" s="13" t="s">
        <v>1050</v>
      </c>
      <c r="D2317" s="13">
        <v>89.584000000000003</v>
      </c>
      <c r="E2317" s="13">
        <v>2</v>
      </c>
      <c r="F2317" s="13">
        <f t="shared" si="36"/>
        <v>44.792000000000002</v>
      </c>
    </row>
    <row r="2318" spans="2:6">
      <c r="B2318" s="13" t="s">
        <v>2689</v>
      </c>
      <c r="C2318" s="13" t="s">
        <v>2692</v>
      </c>
      <c r="D2318" s="13">
        <v>471.92</v>
      </c>
      <c r="E2318" s="13">
        <v>2</v>
      </c>
      <c r="F2318" s="13">
        <f t="shared" si="36"/>
        <v>235.96</v>
      </c>
    </row>
    <row r="2319" spans="2:6">
      <c r="B2319" s="13" t="s">
        <v>2690</v>
      </c>
      <c r="C2319" s="13" t="s">
        <v>2693</v>
      </c>
      <c r="D2319" s="13">
        <v>18.180000000000003</v>
      </c>
      <c r="E2319" s="13">
        <v>4</v>
      </c>
      <c r="F2319" s="13">
        <f t="shared" si="36"/>
        <v>4.5450000000000008</v>
      </c>
    </row>
    <row r="2320" spans="2:6">
      <c r="B2320" s="13" t="s">
        <v>2481</v>
      </c>
      <c r="C2320" s="13" t="s">
        <v>2483</v>
      </c>
      <c r="D2320" s="13">
        <v>31.744</v>
      </c>
      <c r="E2320" s="13">
        <v>2</v>
      </c>
      <c r="F2320" s="13">
        <f t="shared" si="36"/>
        <v>15.872</v>
      </c>
    </row>
    <row r="2321" spans="2:6">
      <c r="B2321" s="13" t="s">
        <v>200</v>
      </c>
      <c r="C2321" s="13" t="s">
        <v>213</v>
      </c>
      <c r="D2321" s="13">
        <v>48.87</v>
      </c>
      <c r="E2321" s="13">
        <v>9</v>
      </c>
      <c r="F2321" s="13">
        <f t="shared" si="36"/>
        <v>5.43</v>
      </c>
    </row>
    <row r="2322" spans="2:6">
      <c r="B2322" s="13" t="s">
        <v>2581</v>
      </c>
      <c r="C2322" s="13" t="s">
        <v>2586</v>
      </c>
      <c r="D2322" s="13">
        <v>154.9</v>
      </c>
      <c r="E2322" s="13">
        <v>5</v>
      </c>
      <c r="F2322" s="13">
        <f t="shared" si="36"/>
        <v>30.98</v>
      </c>
    </row>
    <row r="2323" spans="2:6">
      <c r="B2323" s="13" t="s">
        <v>2694</v>
      </c>
      <c r="C2323" s="13" t="s">
        <v>2696</v>
      </c>
      <c r="D2323" s="13">
        <v>1158.1199999999999</v>
      </c>
      <c r="E2323" s="13">
        <v>5</v>
      </c>
      <c r="F2323" s="13">
        <f t="shared" si="36"/>
        <v>231.62399999999997</v>
      </c>
    </row>
    <row r="2324" spans="2:6">
      <c r="B2324" s="13" t="s">
        <v>2695</v>
      </c>
      <c r="C2324" s="13" t="s">
        <v>2697</v>
      </c>
      <c r="D2324" s="13">
        <v>1.3919999999999997</v>
      </c>
      <c r="E2324" s="13">
        <v>2</v>
      </c>
      <c r="F2324" s="13">
        <f t="shared" si="36"/>
        <v>0.69599999999999984</v>
      </c>
    </row>
    <row r="2325" spans="2:6">
      <c r="B2325" s="13" t="s">
        <v>2698</v>
      </c>
      <c r="C2325" s="13" t="s">
        <v>2699</v>
      </c>
      <c r="D2325" s="13">
        <v>13.839999999999998</v>
      </c>
      <c r="E2325" s="13">
        <v>4</v>
      </c>
      <c r="F2325" s="13">
        <f t="shared" si="36"/>
        <v>3.4599999999999995</v>
      </c>
    </row>
    <row r="2326" spans="2:6">
      <c r="B2326" s="13" t="s">
        <v>920</v>
      </c>
      <c r="C2326" s="13" t="s">
        <v>923</v>
      </c>
      <c r="D2326" s="13">
        <v>175.87200000000001</v>
      </c>
      <c r="E2326" s="13">
        <v>4</v>
      </c>
      <c r="F2326" s="13">
        <f t="shared" si="36"/>
        <v>43.968000000000004</v>
      </c>
    </row>
    <row r="2327" spans="2:6">
      <c r="B2327" s="13" t="s">
        <v>2173</v>
      </c>
      <c r="C2327" s="13" t="s">
        <v>2174</v>
      </c>
      <c r="D2327" s="13">
        <v>208.44</v>
      </c>
      <c r="E2327" s="13">
        <v>3</v>
      </c>
      <c r="F2327" s="13">
        <f t="shared" si="36"/>
        <v>69.48</v>
      </c>
    </row>
    <row r="2328" spans="2:6">
      <c r="B2328" s="13" t="s">
        <v>2085</v>
      </c>
      <c r="C2328" s="13" t="s">
        <v>2090</v>
      </c>
      <c r="D2328" s="13">
        <v>25.76</v>
      </c>
      <c r="E2328" s="13">
        <v>2</v>
      </c>
      <c r="F2328" s="13">
        <f t="shared" si="36"/>
        <v>12.88</v>
      </c>
    </row>
    <row r="2329" spans="2:6">
      <c r="B2329" s="13" t="s">
        <v>1939</v>
      </c>
      <c r="C2329" s="13" t="s">
        <v>1943</v>
      </c>
      <c r="D2329" s="13">
        <v>148.25700000000001</v>
      </c>
      <c r="E2329" s="13">
        <v>3</v>
      </c>
      <c r="F2329" s="13">
        <f t="shared" si="36"/>
        <v>49.419000000000004</v>
      </c>
    </row>
    <row r="2330" spans="2:6">
      <c r="B2330" s="13" t="s">
        <v>332</v>
      </c>
      <c r="C2330" s="13" t="s">
        <v>339</v>
      </c>
      <c r="D2330" s="13">
        <v>227.45999999999998</v>
      </c>
      <c r="E2330" s="13">
        <v>6</v>
      </c>
      <c r="F2330" s="13">
        <f t="shared" si="36"/>
        <v>37.909999999999997</v>
      </c>
    </row>
    <row r="2331" spans="2:6">
      <c r="B2331" s="13" t="s">
        <v>2633</v>
      </c>
      <c r="C2331" s="13" t="s">
        <v>2635</v>
      </c>
      <c r="D2331" s="13">
        <v>46.24</v>
      </c>
      <c r="E2331" s="13">
        <v>4</v>
      </c>
      <c r="F2331" s="13">
        <f t="shared" si="36"/>
        <v>11.56</v>
      </c>
    </row>
    <row r="2332" spans="2:6">
      <c r="B2332" s="13" t="s">
        <v>502</v>
      </c>
      <c r="C2332" s="13" t="s">
        <v>505</v>
      </c>
      <c r="D2332" s="13">
        <v>5.22</v>
      </c>
      <c r="E2332" s="13">
        <v>2</v>
      </c>
      <c r="F2332" s="13">
        <f t="shared" si="36"/>
        <v>2.61</v>
      </c>
    </row>
    <row r="2333" spans="2:6">
      <c r="B2333" s="13" t="s">
        <v>1125</v>
      </c>
      <c r="C2333" s="13" t="s">
        <v>1127</v>
      </c>
      <c r="D2333" s="13">
        <v>523.39200000000005</v>
      </c>
      <c r="E2333" s="13">
        <v>3</v>
      </c>
      <c r="F2333" s="13">
        <f t="shared" si="36"/>
        <v>174.46400000000003</v>
      </c>
    </row>
    <row r="2334" spans="2:6">
      <c r="B2334" s="13" t="s">
        <v>2700</v>
      </c>
      <c r="C2334" s="13" t="s">
        <v>2703</v>
      </c>
      <c r="D2334" s="13">
        <v>12.96</v>
      </c>
      <c r="E2334" s="13">
        <v>2</v>
      </c>
      <c r="F2334" s="13">
        <f t="shared" si="36"/>
        <v>6.48</v>
      </c>
    </row>
    <row r="2335" spans="2:6">
      <c r="B2335" s="13" t="s">
        <v>2701</v>
      </c>
      <c r="C2335" s="13" t="s">
        <v>2704</v>
      </c>
      <c r="D2335" s="13">
        <v>17.940000000000001</v>
      </c>
      <c r="E2335" s="13">
        <v>3</v>
      </c>
      <c r="F2335" s="13">
        <f t="shared" si="36"/>
        <v>5.98</v>
      </c>
    </row>
    <row r="2336" spans="2:6">
      <c r="B2336" s="13" t="s">
        <v>812</v>
      </c>
      <c r="C2336" s="13" t="s">
        <v>819</v>
      </c>
      <c r="D2336" s="13">
        <v>166.72</v>
      </c>
      <c r="E2336" s="13">
        <v>2</v>
      </c>
      <c r="F2336" s="13">
        <f t="shared" si="36"/>
        <v>83.36</v>
      </c>
    </row>
    <row r="2337" spans="2:6">
      <c r="B2337" s="13" t="s">
        <v>1694</v>
      </c>
      <c r="C2337" s="13" t="s">
        <v>1700</v>
      </c>
      <c r="D2337" s="13">
        <v>24.816000000000003</v>
      </c>
      <c r="E2337" s="13">
        <v>3</v>
      </c>
      <c r="F2337" s="13">
        <f t="shared" si="36"/>
        <v>8.2720000000000002</v>
      </c>
    </row>
    <row r="2338" spans="2:6">
      <c r="B2338" s="13" t="s">
        <v>2702</v>
      </c>
      <c r="C2338" s="13" t="s">
        <v>2705</v>
      </c>
      <c r="D2338" s="13">
        <v>124.36</v>
      </c>
      <c r="E2338" s="13">
        <v>2</v>
      </c>
      <c r="F2338" s="13">
        <f t="shared" si="36"/>
        <v>62.18</v>
      </c>
    </row>
    <row r="2339" spans="2:6">
      <c r="B2339" s="13" t="s">
        <v>2597</v>
      </c>
      <c r="C2339" s="13" t="s">
        <v>2599</v>
      </c>
      <c r="D2339" s="13">
        <v>599.97</v>
      </c>
      <c r="E2339" s="13">
        <v>5</v>
      </c>
      <c r="F2339" s="13">
        <f t="shared" si="36"/>
        <v>119.994</v>
      </c>
    </row>
    <row r="2340" spans="2:6">
      <c r="B2340" s="13" t="s">
        <v>1489</v>
      </c>
      <c r="C2340" s="13" t="s">
        <v>1490</v>
      </c>
      <c r="D2340" s="13">
        <v>198.744</v>
      </c>
      <c r="E2340" s="13">
        <v>4</v>
      </c>
      <c r="F2340" s="13">
        <f t="shared" si="36"/>
        <v>49.686</v>
      </c>
    </row>
    <row r="2341" spans="2:6">
      <c r="B2341" s="13" t="s">
        <v>2436</v>
      </c>
      <c r="C2341" s="13" t="s">
        <v>2439</v>
      </c>
      <c r="D2341" s="13">
        <v>9.1840000000000011</v>
      </c>
      <c r="E2341" s="13">
        <v>2</v>
      </c>
      <c r="F2341" s="13">
        <f t="shared" si="36"/>
        <v>4.5920000000000005</v>
      </c>
    </row>
    <row r="2342" spans="2:6">
      <c r="B2342" s="13" t="s">
        <v>2706</v>
      </c>
      <c r="C2342" s="13" t="s">
        <v>2707</v>
      </c>
      <c r="D2342" s="13">
        <v>6.2080000000000002</v>
      </c>
      <c r="E2342" s="13">
        <v>2</v>
      </c>
      <c r="F2342" s="13">
        <f t="shared" si="36"/>
        <v>3.1040000000000001</v>
      </c>
    </row>
    <row r="2343" spans="2:6">
      <c r="B2343" s="13" t="s">
        <v>1411</v>
      </c>
      <c r="C2343" s="13" t="s">
        <v>1414</v>
      </c>
      <c r="D2343" s="13">
        <v>32.67</v>
      </c>
      <c r="E2343" s="13">
        <v>3</v>
      </c>
      <c r="F2343" s="13">
        <f t="shared" si="36"/>
        <v>10.89</v>
      </c>
    </row>
    <row r="2344" spans="2:6">
      <c r="B2344" s="13" t="s">
        <v>2063</v>
      </c>
      <c r="C2344" s="13" t="s">
        <v>2068</v>
      </c>
      <c r="D2344" s="13">
        <v>3.52</v>
      </c>
      <c r="E2344" s="13">
        <v>2</v>
      </c>
      <c r="F2344" s="13">
        <f t="shared" si="36"/>
        <v>1.76</v>
      </c>
    </row>
    <row r="2345" spans="2:6">
      <c r="B2345" s="13" t="s">
        <v>719</v>
      </c>
      <c r="C2345" s="13" t="s">
        <v>725</v>
      </c>
      <c r="D2345" s="13">
        <v>1626.1920000000002</v>
      </c>
      <c r="E2345" s="13">
        <v>9</v>
      </c>
      <c r="F2345" s="13">
        <f t="shared" si="36"/>
        <v>180.68800000000002</v>
      </c>
    </row>
    <row r="2346" spans="2:6">
      <c r="B2346" s="13" t="s">
        <v>1724</v>
      </c>
      <c r="C2346" s="13" t="s">
        <v>1726</v>
      </c>
      <c r="D2346" s="13">
        <v>8.5950000000000024</v>
      </c>
      <c r="E2346" s="13">
        <v>5</v>
      </c>
      <c r="F2346" s="13">
        <f t="shared" si="36"/>
        <v>1.7190000000000005</v>
      </c>
    </row>
    <row r="2347" spans="2:6">
      <c r="B2347" s="13" t="s">
        <v>1384</v>
      </c>
      <c r="C2347" s="13" t="s">
        <v>1386</v>
      </c>
      <c r="D2347" s="13">
        <v>190.89600000000002</v>
      </c>
      <c r="E2347" s="13">
        <v>2</v>
      </c>
      <c r="F2347" s="13">
        <f t="shared" si="36"/>
        <v>95.448000000000008</v>
      </c>
    </row>
    <row r="2348" spans="2:6">
      <c r="B2348" s="13" t="s">
        <v>2087</v>
      </c>
      <c r="C2348" s="13" t="s">
        <v>2092</v>
      </c>
      <c r="D2348" s="13">
        <v>99.87</v>
      </c>
      <c r="E2348" s="13">
        <v>3</v>
      </c>
      <c r="F2348" s="13">
        <f t="shared" si="36"/>
        <v>33.29</v>
      </c>
    </row>
    <row r="2349" spans="2:6">
      <c r="B2349" s="13" t="s">
        <v>2708</v>
      </c>
      <c r="C2349" s="13" t="s">
        <v>2709</v>
      </c>
      <c r="D2349" s="13">
        <v>119.96</v>
      </c>
      <c r="E2349" s="13">
        <v>1</v>
      </c>
      <c r="F2349" s="13">
        <f t="shared" si="36"/>
        <v>119.96</v>
      </c>
    </row>
    <row r="2350" spans="2:6">
      <c r="B2350" s="13" t="s">
        <v>2277</v>
      </c>
      <c r="C2350" s="13" t="s">
        <v>2280</v>
      </c>
      <c r="D2350" s="13">
        <v>318.95999999999998</v>
      </c>
      <c r="E2350" s="13">
        <v>9</v>
      </c>
      <c r="F2350" s="13">
        <f t="shared" si="36"/>
        <v>35.44</v>
      </c>
    </row>
    <row r="2351" spans="2:6">
      <c r="B2351" s="13" t="s">
        <v>2042</v>
      </c>
      <c r="C2351" s="13" t="s">
        <v>2043</v>
      </c>
      <c r="D2351" s="13">
        <v>421.1</v>
      </c>
      <c r="E2351" s="13">
        <v>2</v>
      </c>
      <c r="F2351" s="13">
        <f t="shared" si="36"/>
        <v>210.55</v>
      </c>
    </row>
    <row r="2352" spans="2:6">
      <c r="B2352" s="13" t="s">
        <v>175</v>
      </c>
      <c r="C2352" s="13" t="s">
        <v>180</v>
      </c>
      <c r="D2352" s="13">
        <v>760.11599999999987</v>
      </c>
      <c r="E2352" s="13">
        <v>6</v>
      </c>
      <c r="F2352" s="13">
        <f t="shared" si="36"/>
        <v>126.68599999999998</v>
      </c>
    </row>
    <row r="2353" spans="2:6">
      <c r="B2353" s="13" t="s">
        <v>2125</v>
      </c>
      <c r="C2353" s="13" t="s">
        <v>2126</v>
      </c>
      <c r="D2353" s="13">
        <v>38.784000000000006</v>
      </c>
      <c r="E2353" s="13">
        <v>3</v>
      </c>
      <c r="F2353" s="13">
        <f t="shared" si="36"/>
        <v>12.928000000000003</v>
      </c>
    </row>
    <row r="2354" spans="2:6">
      <c r="B2354" s="13" t="s">
        <v>2710</v>
      </c>
      <c r="C2354" s="13" t="s">
        <v>2711</v>
      </c>
      <c r="D2354" s="13">
        <v>122.32799999999999</v>
      </c>
      <c r="E2354" s="13">
        <v>9</v>
      </c>
      <c r="F2354" s="13">
        <f t="shared" si="36"/>
        <v>13.591999999999999</v>
      </c>
    </row>
    <row r="2355" spans="2:6">
      <c r="B2355" s="13" t="s">
        <v>2712</v>
      </c>
      <c r="C2355" s="13" t="s">
        <v>2713</v>
      </c>
      <c r="D2355" s="13">
        <v>17.940000000000001</v>
      </c>
      <c r="E2355" s="13">
        <v>3</v>
      </c>
      <c r="F2355" s="13">
        <f t="shared" si="36"/>
        <v>5.98</v>
      </c>
    </row>
    <row r="2356" spans="2:6">
      <c r="B2356" s="13" t="s">
        <v>701</v>
      </c>
      <c r="C2356" s="13" t="s">
        <v>702</v>
      </c>
      <c r="D2356" s="13">
        <v>13.904</v>
      </c>
      <c r="E2356" s="13">
        <v>2</v>
      </c>
      <c r="F2356" s="13">
        <f t="shared" si="36"/>
        <v>6.952</v>
      </c>
    </row>
    <row r="2357" spans="2:6">
      <c r="B2357" s="13" t="s">
        <v>2477</v>
      </c>
      <c r="C2357" s="13" t="s">
        <v>2478</v>
      </c>
      <c r="D2357" s="13">
        <v>41.86</v>
      </c>
      <c r="E2357" s="13">
        <v>7</v>
      </c>
      <c r="F2357" s="13">
        <f t="shared" si="36"/>
        <v>5.9799999999999995</v>
      </c>
    </row>
    <row r="2358" spans="2:6">
      <c r="B2358" s="13" t="s">
        <v>2390</v>
      </c>
      <c r="C2358" s="13" t="s">
        <v>2393</v>
      </c>
      <c r="D2358" s="13">
        <v>141.96</v>
      </c>
      <c r="E2358" s="13">
        <v>2</v>
      </c>
      <c r="F2358" s="13">
        <f t="shared" si="36"/>
        <v>70.98</v>
      </c>
    </row>
    <row r="2359" spans="2:6">
      <c r="B2359" s="13" t="s">
        <v>1674</v>
      </c>
      <c r="C2359" s="13" t="s">
        <v>1677</v>
      </c>
      <c r="D2359" s="13">
        <v>257.94</v>
      </c>
      <c r="E2359" s="13">
        <v>3</v>
      </c>
      <c r="F2359" s="13">
        <f t="shared" si="36"/>
        <v>85.98</v>
      </c>
    </row>
    <row r="2360" spans="2:6">
      <c r="B2360" s="13" t="s">
        <v>2714</v>
      </c>
      <c r="C2360" s="13" t="s">
        <v>2715</v>
      </c>
      <c r="D2360" s="13">
        <v>1879.96</v>
      </c>
      <c r="E2360" s="13">
        <v>4</v>
      </c>
      <c r="F2360" s="13">
        <f t="shared" si="36"/>
        <v>469.99</v>
      </c>
    </row>
    <row r="2361" spans="2:6">
      <c r="B2361" s="13" t="s">
        <v>1632</v>
      </c>
      <c r="C2361" s="13" t="s">
        <v>2403</v>
      </c>
      <c r="D2361" s="13">
        <v>27.46</v>
      </c>
      <c r="E2361" s="13">
        <v>2</v>
      </c>
      <c r="F2361" s="13">
        <f t="shared" si="36"/>
        <v>13.73</v>
      </c>
    </row>
    <row r="2362" spans="2:6">
      <c r="B2362" s="13" t="s">
        <v>616</v>
      </c>
      <c r="C2362" s="13" t="s">
        <v>617</v>
      </c>
      <c r="D2362" s="13">
        <v>89.98</v>
      </c>
      <c r="E2362" s="13">
        <v>2</v>
      </c>
      <c r="F2362" s="13">
        <f t="shared" si="36"/>
        <v>44.99</v>
      </c>
    </row>
    <row r="2363" spans="2:6">
      <c r="B2363" s="13" t="s">
        <v>481</v>
      </c>
      <c r="C2363" s="13" t="s">
        <v>483</v>
      </c>
      <c r="D2363" s="13">
        <v>828.59999999999991</v>
      </c>
      <c r="E2363" s="13">
        <v>3</v>
      </c>
      <c r="F2363" s="13">
        <f t="shared" si="36"/>
        <v>276.2</v>
      </c>
    </row>
    <row r="2364" spans="2:6">
      <c r="B2364" s="13" t="s">
        <v>1242</v>
      </c>
      <c r="C2364" s="13" t="s">
        <v>1245</v>
      </c>
      <c r="D2364" s="13">
        <v>113.52</v>
      </c>
      <c r="E2364" s="13">
        <v>4</v>
      </c>
      <c r="F2364" s="13">
        <f t="shared" si="36"/>
        <v>28.38</v>
      </c>
    </row>
    <row r="2365" spans="2:6">
      <c r="B2365" s="13" t="s">
        <v>2716</v>
      </c>
      <c r="C2365" s="13" t="s">
        <v>2717</v>
      </c>
      <c r="D2365" s="13">
        <v>135.29999999999998</v>
      </c>
      <c r="E2365" s="13">
        <v>5</v>
      </c>
      <c r="F2365" s="13">
        <f t="shared" si="36"/>
        <v>27.059999999999995</v>
      </c>
    </row>
    <row r="2366" spans="2:6">
      <c r="B2366" s="13" t="s">
        <v>2718</v>
      </c>
      <c r="C2366" s="13" t="s">
        <v>2721</v>
      </c>
      <c r="D2366" s="13">
        <v>776.84999999999991</v>
      </c>
      <c r="E2366" s="13">
        <v>5</v>
      </c>
      <c r="F2366" s="13">
        <f t="shared" si="36"/>
        <v>155.36999999999998</v>
      </c>
    </row>
    <row r="2367" spans="2:6">
      <c r="B2367" s="13" t="s">
        <v>2444</v>
      </c>
      <c r="C2367" s="13" t="s">
        <v>2445</v>
      </c>
      <c r="D2367" s="13">
        <v>12.294</v>
      </c>
      <c r="E2367" s="13">
        <v>1</v>
      </c>
      <c r="F2367" s="13">
        <f t="shared" si="36"/>
        <v>12.294</v>
      </c>
    </row>
    <row r="2368" spans="2:6">
      <c r="B2368" s="13" t="s">
        <v>2719</v>
      </c>
      <c r="C2368" s="13" t="s">
        <v>1677</v>
      </c>
      <c r="D2368" s="13">
        <v>154.76400000000001</v>
      </c>
      <c r="E2368" s="13">
        <v>3</v>
      </c>
      <c r="F2368" s="13">
        <f t="shared" si="36"/>
        <v>51.588000000000001</v>
      </c>
    </row>
    <row r="2369" spans="2:6">
      <c r="B2369" s="13" t="s">
        <v>2720</v>
      </c>
      <c r="C2369" s="13" t="s">
        <v>2722</v>
      </c>
      <c r="D2369" s="13">
        <v>43.28</v>
      </c>
      <c r="E2369" s="13">
        <v>1</v>
      </c>
      <c r="F2369" s="13">
        <f t="shared" si="36"/>
        <v>43.28</v>
      </c>
    </row>
    <row r="2370" spans="2:6">
      <c r="B2370" s="13" t="s">
        <v>1489</v>
      </c>
      <c r="C2370" s="13" t="s">
        <v>1490</v>
      </c>
      <c r="D2370" s="13">
        <v>141.96</v>
      </c>
      <c r="E2370" s="13">
        <v>2</v>
      </c>
      <c r="F2370" s="13">
        <f t="shared" si="36"/>
        <v>70.98</v>
      </c>
    </row>
    <row r="2371" spans="2:6">
      <c r="B2371" s="13" t="s">
        <v>2166</v>
      </c>
      <c r="C2371" s="13" t="s">
        <v>2168</v>
      </c>
      <c r="D2371" s="13">
        <v>182.55</v>
      </c>
      <c r="E2371" s="13">
        <v>2</v>
      </c>
      <c r="F2371" s="13">
        <f t="shared" si="36"/>
        <v>91.275000000000006</v>
      </c>
    </row>
    <row r="2372" spans="2:6">
      <c r="B2372" s="13" t="s">
        <v>558</v>
      </c>
      <c r="C2372" s="13" t="s">
        <v>563</v>
      </c>
      <c r="D2372" s="13">
        <v>4.91</v>
      </c>
      <c r="E2372" s="13">
        <v>1</v>
      </c>
      <c r="F2372" s="13">
        <f t="shared" ref="F2372:F2435" si="37">D2372/E2372</f>
        <v>4.91</v>
      </c>
    </row>
    <row r="2373" spans="2:6">
      <c r="B2373" s="13" t="s">
        <v>2643</v>
      </c>
      <c r="C2373" s="13" t="s">
        <v>2647</v>
      </c>
      <c r="D2373" s="13">
        <v>145.76400000000001</v>
      </c>
      <c r="E2373" s="13">
        <v>2</v>
      </c>
      <c r="F2373" s="13">
        <f t="shared" si="37"/>
        <v>72.882000000000005</v>
      </c>
    </row>
    <row r="2374" spans="2:6">
      <c r="B2374" s="13" t="s">
        <v>198</v>
      </c>
      <c r="C2374" s="13" t="s">
        <v>211</v>
      </c>
      <c r="D2374" s="13">
        <v>107.97</v>
      </c>
      <c r="E2374" s="13">
        <v>3</v>
      </c>
      <c r="F2374" s="13">
        <f t="shared" si="37"/>
        <v>35.99</v>
      </c>
    </row>
    <row r="2375" spans="2:6">
      <c r="B2375" s="13" t="s">
        <v>198</v>
      </c>
      <c r="C2375" s="13" t="s">
        <v>211</v>
      </c>
      <c r="D2375" s="13">
        <v>143.96</v>
      </c>
      <c r="E2375" s="13">
        <v>5</v>
      </c>
      <c r="F2375" s="13">
        <f t="shared" si="37"/>
        <v>28.792000000000002</v>
      </c>
    </row>
    <row r="2376" spans="2:6">
      <c r="B2376" s="13" t="s">
        <v>2723</v>
      </c>
      <c r="C2376" s="13" t="s">
        <v>2725</v>
      </c>
      <c r="D2376" s="13">
        <v>2399.96</v>
      </c>
      <c r="E2376" s="13">
        <v>5</v>
      </c>
      <c r="F2376" s="13">
        <f t="shared" si="37"/>
        <v>479.99200000000002</v>
      </c>
    </row>
    <row r="2377" spans="2:6">
      <c r="B2377" s="13" t="s">
        <v>2135</v>
      </c>
      <c r="C2377" s="13" t="s">
        <v>2136</v>
      </c>
      <c r="D2377" s="13">
        <v>74.352000000000004</v>
      </c>
      <c r="E2377" s="13">
        <v>3</v>
      </c>
      <c r="F2377" s="13">
        <f t="shared" si="37"/>
        <v>24.784000000000002</v>
      </c>
    </row>
    <row r="2378" spans="2:6">
      <c r="B2378" s="13" t="s">
        <v>1362</v>
      </c>
      <c r="C2378" s="13" t="s">
        <v>1363</v>
      </c>
      <c r="D2378" s="13">
        <v>87.167999999999978</v>
      </c>
      <c r="E2378" s="13">
        <v>8</v>
      </c>
      <c r="F2378" s="13">
        <f t="shared" si="37"/>
        <v>10.895999999999997</v>
      </c>
    </row>
    <row r="2379" spans="2:6">
      <c r="B2379" s="13" t="s">
        <v>827</v>
      </c>
      <c r="C2379" s="13" t="s">
        <v>828</v>
      </c>
      <c r="D2379" s="13">
        <v>32.231999999999999</v>
      </c>
      <c r="E2379" s="13">
        <v>3</v>
      </c>
      <c r="F2379" s="13">
        <f t="shared" si="37"/>
        <v>10.744</v>
      </c>
    </row>
    <row r="2380" spans="2:6">
      <c r="B2380" s="13" t="s">
        <v>2724</v>
      </c>
      <c r="C2380" s="13" t="s">
        <v>2726</v>
      </c>
      <c r="D2380" s="13">
        <v>2.2020000000000004</v>
      </c>
      <c r="E2380" s="13">
        <v>2</v>
      </c>
      <c r="F2380" s="13">
        <f t="shared" si="37"/>
        <v>1.1010000000000002</v>
      </c>
    </row>
    <row r="2381" spans="2:6">
      <c r="B2381" s="13" t="s">
        <v>722</v>
      </c>
      <c r="C2381" s="13" t="s">
        <v>728</v>
      </c>
      <c r="D2381" s="13">
        <v>9.3960000000000008</v>
      </c>
      <c r="E2381" s="13">
        <v>3</v>
      </c>
      <c r="F2381" s="13">
        <f t="shared" si="37"/>
        <v>3.1320000000000001</v>
      </c>
    </row>
    <row r="2382" spans="2:6">
      <c r="B2382" s="13" t="s">
        <v>708</v>
      </c>
      <c r="C2382" s="13" t="s">
        <v>712</v>
      </c>
      <c r="D2382" s="13">
        <v>23.24</v>
      </c>
      <c r="E2382" s="13">
        <v>5</v>
      </c>
      <c r="F2382" s="13">
        <f t="shared" si="37"/>
        <v>4.6479999999999997</v>
      </c>
    </row>
    <row r="2383" spans="2:6">
      <c r="B2383" s="13" t="s">
        <v>1857</v>
      </c>
      <c r="C2383" s="13" t="s">
        <v>1863</v>
      </c>
      <c r="D2383" s="13">
        <v>908.82</v>
      </c>
      <c r="E2383" s="13">
        <v>9</v>
      </c>
      <c r="F2383" s="13">
        <f t="shared" si="37"/>
        <v>100.98</v>
      </c>
    </row>
    <row r="2384" spans="2:6">
      <c r="B2384" s="13" t="s">
        <v>2727</v>
      </c>
      <c r="C2384" s="13" t="s">
        <v>2728</v>
      </c>
      <c r="D2384" s="13">
        <v>5.5520000000000005</v>
      </c>
      <c r="E2384" s="13">
        <v>2</v>
      </c>
      <c r="F2384" s="13">
        <f t="shared" si="37"/>
        <v>2.7760000000000002</v>
      </c>
    </row>
    <row r="2385" spans="2:6">
      <c r="B2385" s="13" t="s">
        <v>1613</v>
      </c>
      <c r="C2385" s="13" t="s">
        <v>1614</v>
      </c>
      <c r="D2385" s="13">
        <v>8.016</v>
      </c>
      <c r="E2385" s="13">
        <v>3</v>
      </c>
      <c r="F2385" s="13">
        <f t="shared" si="37"/>
        <v>2.6720000000000002</v>
      </c>
    </row>
    <row r="2386" spans="2:6">
      <c r="B2386" s="13" t="s">
        <v>1336</v>
      </c>
      <c r="C2386" s="13" t="s">
        <v>1338</v>
      </c>
      <c r="D2386" s="13">
        <v>74.591999999999999</v>
      </c>
      <c r="E2386" s="13">
        <v>4</v>
      </c>
      <c r="F2386" s="13">
        <f t="shared" si="37"/>
        <v>18.648</v>
      </c>
    </row>
    <row r="2387" spans="2:6">
      <c r="B2387" s="13" t="s">
        <v>1535</v>
      </c>
      <c r="C2387" s="13" t="s">
        <v>1539</v>
      </c>
      <c r="D2387" s="13">
        <v>16.784000000000002</v>
      </c>
      <c r="E2387" s="13">
        <v>2</v>
      </c>
      <c r="F2387" s="13">
        <f t="shared" si="37"/>
        <v>8.3920000000000012</v>
      </c>
    </row>
    <row r="2388" spans="2:6">
      <c r="B2388" s="13" t="s">
        <v>342</v>
      </c>
      <c r="C2388" s="13" t="s">
        <v>345</v>
      </c>
      <c r="D2388" s="13">
        <v>38.86399999999999</v>
      </c>
      <c r="E2388" s="13">
        <v>4</v>
      </c>
      <c r="F2388" s="13">
        <f t="shared" si="37"/>
        <v>9.7159999999999975</v>
      </c>
    </row>
    <row r="2389" spans="2:6">
      <c r="B2389" s="13" t="s">
        <v>664</v>
      </c>
      <c r="C2389" s="13" t="s">
        <v>666</v>
      </c>
      <c r="D2389" s="13">
        <v>17.46</v>
      </c>
      <c r="E2389" s="13">
        <v>2</v>
      </c>
      <c r="F2389" s="13">
        <f t="shared" si="37"/>
        <v>8.73</v>
      </c>
    </row>
    <row r="2390" spans="2:6">
      <c r="B2390" s="13" t="s">
        <v>2642</v>
      </c>
      <c r="C2390" s="13" t="s">
        <v>2646</v>
      </c>
      <c r="D2390" s="13">
        <v>369.16</v>
      </c>
      <c r="E2390" s="13">
        <v>11</v>
      </c>
      <c r="F2390" s="13">
        <f t="shared" si="37"/>
        <v>33.56</v>
      </c>
    </row>
    <row r="2391" spans="2:6">
      <c r="B2391" s="13" t="s">
        <v>1492</v>
      </c>
      <c r="C2391" s="13" t="s">
        <v>1496</v>
      </c>
      <c r="D2391" s="13">
        <v>14.73</v>
      </c>
      <c r="E2391" s="13">
        <v>3</v>
      </c>
      <c r="F2391" s="13">
        <f t="shared" si="37"/>
        <v>4.91</v>
      </c>
    </row>
    <row r="2392" spans="2:6">
      <c r="B2392" s="13" t="s">
        <v>377</v>
      </c>
      <c r="C2392" s="13" t="s">
        <v>387</v>
      </c>
      <c r="D2392" s="13">
        <v>274.49100000000004</v>
      </c>
      <c r="E2392" s="13">
        <v>3</v>
      </c>
      <c r="F2392" s="13">
        <f t="shared" si="37"/>
        <v>91.497000000000014</v>
      </c>
    </row>
    <row r="2393" spans="2:6">
      <c r="B2393" s="13" t="s">
        <v>2729</v>
      </c>
      <c r="C2393" s="13" t="s">
        <v>2730</v>
      </c>
      <c r="D2393" s="13">
        <v>137.94</v>
      </c>
      <c r="E2393" s="13">
        <v>3</v>
      </c>
      <c r="F2393" s="13">
        <f t="shared" si="37"/>
        <v>45.98</v>
      </c>
    </row>
    <row r="2394" spans="2:6">
      <c r="B2394" s="13" t="s">
        <v>1426</v>
      </c>
      <c r="C2394" s="13" t="s">
        <v>1432</v>
      </c>
      <c r="D2394" s="13">
        <v>40.68</v>
      </c>
      <c r="E2394" s="13">
        <v>3</v>
      </c>
      <c r="F2394" s="13">
        <f t="shared" si="37"/>
        <v>13.56</v>
      </c>
    </row>
    <row r="2395" spans="2:6">
      <c r="B2395" s="13" t="s">
        <v>2731</v>
      </c>
      <c r="C2395" s="13" t="s">
        <v>2732</v>
      </c>
      <c r="D2395" s="13">
        <v>123.92000000000002</v>
      </c>
      <c r="E2395" s="13">
        <v>5</v>
      </c>
      <c r="F2395" s="13">
        <f t="shared" si="37"/>
        <v>24.784000000000002</v>
      </c>
    </row>
    <row r="2396" spans="2:6">
      <c r="B2396" s="13" t="s">
        <v>2364</v>
      </c>
      <c r="C2396" s="13" t="s">
        <v>2365</v>
      </c>
      <c r="D2396" s="13">
        <v>1319.8</v>
      </c>
      <c r="E2396" s="13">
        <v>5</v>
      </c>
      <c r="F2396" s="13">
        <f t="shared" si="37"/>
        <v>263.95999999999998</v>
      </c>
    </row>
    <row r="2397" spans="2:6">
      <c r="B2397" s="13" t="s">
        <v>876</v>
      </c>
      <c r="C2397" s="13" t="s">
        <v>880</v>
      </c>
      <c r="D2397" s="13">
        <v>30.88</v>
      </c>
      <c r="E2397" s="13">
        <v>2</v>
      </c>
      <c r="F2397" s="13">
        <f t="shared" si="37"/>
        <v>15.44</v>
      </c>
    </row>
    <row r="2398" spans="2:6">
      <c r="B2398" s="13" t="s">
        <v>2501</v>
      </c>
      <c r="C2398" s="13" t="s">
        <v>2502</v>
      </c>
      <c r="D2398" s="13">
        <v>465.16</v>
      </c>
      <c r="E2398" s="13">
        <v>2</v>
      </c>
      <c r="F2398" s="13">
        <f t="shared" si="37"/>
        <v>232.58</v>
      </c>
    </row>
    <row r="2399" spans="2:6">
      <c r="B2399" s="13" t="s">
        <v>1491</v>
      </c>
      <c r="C2399" s="13" t="s">
        <v>1495</v>
      </c>
      <c r="D2399" s="13">
        <v>27.12</v>
      </c>
      <c r="E2399" s="13">
        <v>4</v>
      </c>
      <c r="F2399" s="13">
        <f t="shared" si="37"/>
        <v>6.78</v>
      </c>
    </row>
    <row r="2400" spans="2:6">
      <c r="B2400" s="13" t="s">
        <v>1494</v>
      </c>
      <c r="C2400" s="13" t="s">
        <v>1498</v>
      </c>
      <c r="D2400" s="13">
        <v>66.36</v>
      </c>
      <c r="E2400" s="13">
        <v>7</v>
      </c>
      <c r="F2400" s="13">
        <f t="shared" si="37"/>
        <v>9.48</v>
      </c>
    </row>
    <row r="2401" spans="2:6">
      <c r="B2401" s="13" t="s">
        <v>418</v>
      </c>
      <c r="C2401" s="13" t="s">
        <v>422</v>
      </c>
      <c r="D2401" s="13">
        <v>92.88000000000001</v>
      </c>
      <c r="E2401" s="13">
        <v>6</v>
      </c>
      <c r="F2401" s="13">
        <f t="shared" si="37"/>
        <v>15.480000000000002</v>
      </c>
    </row>
    <row r="2402" spans="2:6">
      <c r="B2402" s="13" t="s">
        <v>2265</v>
      </c>
      <c r="C2402" s="13" t="s">
        <v>2268</v>
      </c>
      <c r="D2402" s="13">
        <v>24.14</v>
      </c>
      <c r="E2402" s="13">
        <v>2</v>
      </c>
      <c r="F2402" s="13">
        <f t="shared" si="37"/>
        <v>12.07</v>
      </c>
    </row>
    <row r="2403" spans="2:6">
      <c r="B2403" s="13" t="s">
        <v>2733</v>
      </c>
      <c r="C2403" s="13" t="s">
        <v>2734</v>
      </c>
      <c r="D2403" s="13">
        <v>4416.174</v>
      </c>
      <c r="E2403" s="13">
        <v>9</v>
      </c>
      <c r="F2403" s="13">
        <f t="shared" si="37"/>
        <v>490.68599999999998</v>
      </c>
    </row>
    <row r="2404" spans="2:6">
      <c r="B2404" s="13" t="s">
        <v>2632</v>
      </c>
      <c r="C2404" s="13" t="s">
        <v>2634</v>
      </c>
      <c r="D2404" s="13">
        <v>49.56</v>
      </c>
      <c r="E2404" s="13">
        <v>7</v>
      </c>
      <c r="F2404" s="13">
        <f t="shared" si="37"/>
        <v>7.08</v>
      </c>
    </row>
    <row r="2405" spans="2:6">
      <c r="B2405" s="13" t="s">
        <v>1776</v>
      </c>
      <c r="C2405" s="13" t="s">
        <v>1780</v>
      </c>
      <c r="D2405" s="13">
        <v>354.90000000000003</v>
      </c>
      <c r="E2405" s="13">
        <v>5</v>
      </c>
      <c r="F2405" s="13">
        <f t="shared" si="37"/>
        <v>70.98</v>
      </c>
    </row>
    <row r="2406" spans="2:6">
      <c r="B2406" s="13" t="s">
        <v>2735</v>
      </c>
      <c r="C2406" s="13" t="s">
        <v>2737</v>
      </c>
      <c r="D2406" s="13">
        <v>14.700000000000001</v>
      </c>
      <c r="E2406" s="13">
        <v>7</v>
      </c>
      <c r="F2406" s="13">
        <f t="shared" si="37"/>
        <v>2.1</v>
      </c>
    </row>
    <row r="2407" spans="2:6">
      <c r="B2407" s="13" t="s">
        <v>2736</v>
      </c>
      <c r="C2407" s="13" t="s">
        <v>2738</v>
      </c>
      <c r="D2407" s="13">
        <v>32.700000000000003</v>
      </c>
      <c r="E2407" s="13">
        <v>5</v>
      </c>
      <c r="F2407" s="13">
        <f t="shared" si="37"/>
        <v>6.5400000000000009</v>
      </c>
    </row>
    <row r="2408" spans="2:6">
      <c r="B2408" s="13" t="s">
        <v>2381</v>
      </c>
      <c r="C2408" s="13" t="s">
        <v>2382</v>
      </c>
      <c r="D2408" s="13">
        <v>31.680000000000003</v>
      </c>
      <c r="E2408" s="13">
        <v>4</v>
      </c>
      <c r="F2408" s="13">
        <f t="shared" si="37"/>
        <v>7.9200000000000008</v>
      </c>
    </row>
    <row r="2409" spans="2:6">
      <c r="B2409" s="13" t="s">
        <v>1593</v>
      </c>
      <c r="C2409" s="13" t="s">
        <v>1599</v>
      </c>
      <c r="D2409" s="13">
        <v>181.86</v>
      </c>
      <c r="E2409" s="13">
        <v>7</v>
      </c>
      <c r="F2409" s="13">
        <f t="shared" si="37"/>
        <v>25.98</v>
      </c>
    </row>
    <row r="2410" spans="2:6">
      <c r="B2410" s="13" t="s">
        <v>331</v>
      </c>
      <c r="C2410" s="13" t="s">
        <v>338</v>
      </c>
      <c r="D2410" s="13">
        <v>13.428000000000003</v>
      </c>
      <c r="E2410" s="13">
        <v>3</v>
      </c>
      <c r="F2410" s="13">
        <f t="shared" si="37"/>
        <v>4.4760000000000009</v>
      </c>
    </row>
    <row r="2411" spans="2:6">
      <c r="B2411" s="13" t="s">
        <v>798</v>
      </c>
      <c r="C2411" s="13" t="s">
        <v>801</v>
      </c>
      <c r="D2411" s="13">
        <v>67.13600000000001</v>
      </c>
      <c r="E2411" s="13">
        <v>4</v>
      </c>
      <c r="F2411" s="13">
        <f t="shared" si="37"/>
        <v>16.784000000000002</v>
      </c>
    </row>
    <row r="2412" spans="2:6">
      <c r="B2412" s="13" t="s">
        <v>1749</v>
      </c>
      <c r="C2412" s="13" t="s">
        <v>2739</v>
      </c>
      <c r="D2412" s="13">
        <v>599.98500000000013</v>
      </c>
      <c r="E2412" s="13">
        <v>5</v>
      </c>
      <c r="F2412" s="13">
        <f t="shared" si="37"/>
        <v>119.99700000000003</v>
      </c>
    </row>
    <row r="2413" spans="2:6">
      <c r="B2413" s="13" t="s">
        <v>653</v>
      </c>
      <c r="C2413" s="13" t="s">
        <v>659</v>
      </c>
      <c r="D2413" s="13">
        <v>3.0359999999999996</v>
      </c>
      <c r="E2413" s="13">
        <v>3</v>
      </c>
      <c r="F2413" s="13">
        <f t="shared" si="37"/>
        <v>1.0119999999999998</v>
      </c>
    </row>
    <row r="2414" spans="2:6">
      <c r="B2414" s="13" t="s">
        <v>170</v>
      </c>
      <c r="C2414" s="13" t="s">
        <v>172</v>
      </c>
      <c r="D2414" s="13">
        <v>25.920000000000005</v>
      </c>
      <c r="E2414" s="13">
        <v>5</v>
      </c>
      <c r="F2414" s="13">
        <f t="shared" si="37"/>
        <v>5.1840000000000011</v>
      </c>
    </row>
    <row r="2415" spans="2:6">
      <c r="B2415" s="13" t="s">
        <v>2078</v>
      </c>
      <c r="C2415" s="13" t="s">
        <v>2079</v>
      </c>
      <c r="D2415" s="13">
        <v>66.112000000000009</v>
      </c>
      <c r="E2415" s="13">
        <v>2</v>
      </c>
      <c r="F2415" s="13">
        <f t="shared" si="37"/>
        <v>33.056000000000004</v>
      </c>
    </row>
    <row r="2416" spans="2:6">
      <c r="B2416" s="13" t="s">
        <v>375</v>
      </c>
      <c r="C2416" s="13" t="s">
        <v>385</v>
      </c>
      <c r="D2416" s="13">
        <v>46.36</v>
      </c>
      <c r="E2416" s="13">
        <v>4</v>
      </c>
      <c r="F2416" s="13">
        <f t="shared" si="37"/>
        <v>11.59</v>
      </c>
    </row>
    <row r="2417" spans="2:6">
      <c r="B2417" s="13" t="s">
        <v>2740</v>
      </c>
      <c r="C2417" s="13" t="s">
        <v>2741</v>
      </c>
      <c r="D2417" s="13">
        <v>649</v>
      </c>
      <c r="E2417" s="13">
        <v>2</v>
      </c>
      <c r="F2417" s="13">
        <f t="shared" si="37"/>
        <v>324.5</v>
      </c>
    </row>
    <row r="2418" spans="2:6">
      <c r="B2418" s="13" t="s">
        <v>1493</v>
      </c>
      <c r="C2418" s="13" t="s">
        <v>1497</v>
      </c>
      <c r="D2418" s="13">
        <v>97.184000000000012</v>
      </c>
      <c r="E2418" s="13">
        <v>2</v>
      </c>
      <c r="F2418" s="13">
        <f t="shared" si="37"/>
        <v>48.592000000000006</v>
      </c>
    </row>
    <row r="2419" spans="2:6">
      <c r="B2419" s="13" t="s">
        <v>1445</v>
      </c>
      <c r="C2419" s="13" t="s">
        <v>1447</v>
      </c>
      <c r="D2419" s="13">
        <v>10.368000000000002</v>
      </c>
      <c r="E2419" s="13">
        <v>2</v>
      </c>
      <c r="F2419" s="13">
        <f t="shared" si="37"/>
        <v>5.1840000000000011</v>
      </c>
    </row>
    <row r="2420" spans="2:6">
      <c r="B2420" s="13" t="s">
        <v>1064</v>
      </c>
      <c r="C2420" s="13" t="s">
        <v>1068</v>
      </c>
      <c r="D2420" s="13">
        <v>14.129999999999999</v>
      </c>
      <c r="E2420" s="13">
        <v>3</v>
      </c>
      <c r="F2420" s="13">
        <f t="shared" si="37"/>
        <v>4.71</v>
      </c>
    </row>
    <row r="2421" spans="2:6">
      <c r="B2421" s="13" t="s">
        <v>2742</v>
      </c>
      <c r="C2421" s="13" t="s">
        <v>2743</v>
      </c>
      <c r="D2421" s="13">
        <v>43.92</v>
      </c>
      <c r="E2421" s="13">
        <v>3</v>
      </c>
      <c r="F2421" s="13">
        <f t="shared" si="37"/>
        <v>14.64</v>
      </c>
    </row>
    <row r="2422" spans="2:6">
      <c r="B2422" s="13" t="s">
        <v>2615</v>
      </c>
      <c r="C2422" s="13" t="s">
        <v>2617</v>
      </c>
      <c r="D2422" s="13">
        <v>19.608000000000001</v>
      </c>
      <c r="E2422" s="13">
        <v>3</v>
      </c>
      <c r="F2422" s="13">
        <f t="shared" si="37"/>
        <v>6.5360000000000005</v>
      </c>
    </row>
    <row r="2423" spans="2:6">
      <c r="B2423" s="13" t="s">
        <v>886</v>
      </c>
      <c r="C2423" s="13" t="s">
        <v>890</v>
      </c>
      <c r="D2423" s="13">
        <v>4.1580000000000004</v>
      </c>
      <c r="E2423" s="13">
        <v>7</v>
      </c>
      <c r="F2423" s="13">
        <f t="shared" si="37"/>
        <v>0.59400000000000008</v>
      </c>
    </row>
    <row r="2424" spans="2:6">
      <c r="B2424" s="13" t="s">
        <v>1309</v>
      </c>
      <c r="C2424" s="13" t="s">
        <v>1315</v>
      </c>
      <c r="D2424" s="13">
        <v>979.95</v>
      </c>
      <c r="E2424" s="13">
        <v>5</v>
      </c>
      <c r="F2424" s="13">
        <f t="shared" si="37"/>
        <v>195.99</v>
      </c>
    </row>
    <row r="2425" spans="2:6">
      <c r="B2425" s="13" t="s">
        <v>2716</v>
      </c>
      <c r="C2425" s="13" t="s">
        <v>2717</v>
      </c>
      <c r="D2425" s="13">
        <v>135.29999999999998</v>
      </c>
      <c r="E2425" s="13">
        <v>5</v>
      </c>
      <c r="F2425" s="13">
        <f t="shared" si="37"/>
        <v>27.059999999999995</v>
      </c>
    </row>
    <row r="2426" spans="2:6">
      <c r="B2426" s="13" t="s">
        <v>897</v>
      </c>
      <c r="C2426" s="13" t="s">
        <v>901</v>
      </c>
      <c r="D2426" s="13">
        <v>8.9039999999999999</v>
      </c>
      <c r="E2426" s="13">
        <v>3</v>
      </c>
      <c r="F2426" s="13">
        <f t="shared" si="37"/>
        <v>2.968</v>
      </c>
    </row>
    <row r="2427" spans="2:6">
      <c r="B2427" s="13" t="s">
        <v>1211</v>
      </c>
      <c r="C2427" s="13" t="s">
        <v>1212</v>
      </c>
      <c r="D2427" s="13">
        <v>100.80000000000001</v>
      </c>
      <c r="E2427" s="13">
        <v>2</v>
      </c>
      <c r="F2427" s="13">
        <f t="shared" si="37"/>
        <v>50.400000000000006</v>
      </c>
    </row>
    <row r="2428" spans="2:6">
      <c r="B2428" s="13" t="s">
        <v>79</v>
      </c>
      <c r="C2428" s="13" t="s">
        <v>80</v>
      </c>
      <c r="D2428" s="13">
        <v>41.96</v>
      </c>
      <c r="E2428" s="13">
        <v>2</v>
      </c>
      <c r="F2428" s="13">
        <f t="shared" si="37"/>
        <v>20.98</v>
      </c>
    </row>
    <row r="2429" spans="2:6">
      <c r="B2429" s="13" t="s">
        <v>203</v>
      </c>
      <c r="C2429" s="13" t="s">
        <v>216</v>
      </c>
      <c r="D2429" s="13">
        <v>9.4499999999999993</v>
      </c>
      <c r="E2429" s="13">
        <v>3</v>
      </c>
      <c r="F2429" s="13">
        <f t="shared" si="37"/>
        <v>3.15</v>
      </c>
    </row>
    <row r="2430" spans="2:6">
      <c r="B2430" s="13" t="s">
        <v>2744</v>
      </c>
      <c r="C2430" s="13" t="s">
        <v>2745</v>
      </c>
      <c r="D2430" s="13">
        <v>400.79999999999995</v>
      </c>
      <c r="E2430" s="13">
        <v>5</v>
      </c>
      <c r="F2430" s="13">
        <f t="shared" si="37"/>
        <v>80.16</v>
      </c>
    </row>
    <row r="2431" spans="2:6">
      <c r="B2431" s="13" t="s">
        <v>233</v>
      </c>
      <c r="C2431" s="13" t="s">
        <v>238</v>
      </c>
      <c r="D2431" s="13">
        <v>28.792000000000002</v>
      </c>
      <c r="E2431" s="13">
        <v>1</v>
      </c>
      <c r="F2431" s="13">
        <f t="shared" si="37"/>
        <v>28.792000000000002</v>
      </c>
    </row>
    <row r="2432" spans="2:6">
      <c r="B2432" s="13" t="s">
        <v>2746</v>
      </c>
      <c r="C2432" s="13" t="s">
        <v>2747</v>
      </c>
      <c r="D2432" s="13">
        <v>61.541999999999994</v>
      </c>
      <c r="E2432" s="13">
        <v>1</v>
      </c>
      <c r="F2432" s="13">
        <f t="shared" si="37"/>
        <v>61.541999999999994</v>
      </c>
    </row>
    <row r="2433" spans="2:6">
      <c r="B2433" s="13" t="s">
        <v>2579</v>
      </c>
      <c r="C2433" s="13" t="s">
        <v>2584</v>
      </c>
      <c r="D2433" s="13">
        <v>81.438000000000017</v>
      </c>
      <c r="E2433" s="13">
        <v>7</v>
      </c>
      <c r="F2433" s="13">
        <f t="shared" si="37"/>
        <v>11.634000000000002</v>
      </c>
    </row>
    <row r="2434" spans="2:6">
      <c r="B2434" s="13" t="s">
        <v>798</v>
      </c>
      <c r="C2434" s="13" t="s">
        <v>2748</v>
      </c>
      <c r="D2434" s="13">
        <v>15.51</v>
      </c>
      <c r="E2434" s="13">
        <v>1</v>
      </c>
      <c r="F2434" s="13">
        <f t="shared" si="37"/>
        <v>15.51</v>
      </c>
    </row>
    <row r="2435" spans="2:6">
      <c r="B2435" s="13" t="s">
        <v>903</v>
      </c>
      <c r="C2435" s="13" t="s">
        <v>905</v>
      </c>
      <c r="D2435" s="13">
        <v>721.87500000000011</v>
      </c>
      <c r="E2435" s="13">
        <v>6</v>
      </c>
      <c r="F2435" s="13">
        <f t="shared" si="37"/>
        <v>120.31250000000001</v>
      </c>
    </row>
    <row r="2436" spans="2:6">
      <c r="B2436" s="13" t="s">
        <v>568</v>
      </c>
      <c r="C2436" s="13" t="s">
        <v>571</v>
      </c>
      <c r="D2436" s="13">
        <v>73.567999999999998</v>
      </c>
      <c r="E2436" s="13">
        <v>4</v>
      </c>
      <c r="F2436" s="13">
        <f t="shared" ref="F2436:F2499" si="38">D2436/E2436</f>
        <v>18.391999999999999</v>
      </c>
    </row>
    <row r="2437" spans="2:6">
      <c r="B2437" s="13" t="s">
        <v>539</v>
      </c>
      <c r="C2437" s="13" t="s">
        <v>550</v>
      </c>
      <c r="D2437" s="13">
        <v>13.584000000000001</v>
      </c>
      <c r="E2437" s="13">
        <v>1</v>
      </c>
      <c r="F2437" s="13">
        <f t="shared" si="38"/>
        <v>13.584000000000001</v>
      </c>
    </row>
    <row r="2438" spans="2:6">
      <c r="B2438" s="13" t="s">
        <v>2456</v>
      </c>
      <c r="C2438" s="13" t="s">
        <v>2459</v>
      </c>
      <c r="D2438" s="13">
        <v>64.784000000000006</v>
      </c>
      <c r="E2438" s="13">
        <v>1</v>
      </c>
      <c r="F2438" s="13">
        <f t="shared" si="38"/>
        <v>64.784000000000006</v>
      </c>
    </row>
    <row r="2439" spans="2:6">
      <c r="B2439" s="13" t="s">
        <v>432</v>
      </c>
      <c r="C2439" s="13" t="s">
        <v>438</v>
      </c>
      <c r="D2439" s="13">
        <v>38.82</v>
      </c>
      <c r="E2439" s="13">
        <v>6</v>
      </c>
      <c r="F2439" s="13">
        <f t="shared" si="38"/>
        <v>6.47</v>
      </c>
    </row>
    <row r="2440" spans="2:6">
      <c r="B2440" s="13" t="s">
        <v>137</v>
      </c>
      <c r="C2440" s="13" t="s">
        <v>141</v>
      </c>
      <c r="D2440" s="13">
        <v>21.9</v>
      </c>
      <c r="E2440" s="13">
        <v>5</v>
      </c>
      <c r="F2440" s="13">
        <f t="shared" si="38"/>
        <v>4.38</v>
      </c>
    </row>
    <row r="2441" spans="2:6">
      <c r="B2441" s="13" t="s">
        <v>521</v>
      </c>
      <c r="C2441" s="13" t="s">
        <v>523</v>
      </c>
      <c r="D2441" s="13">
        <v>111.79</v>
      </c>
      <c r="E2441" s="13">
        <v>7</v>
      </c>
      <c r="F2441" s="13">
        <f t="shared" si="38"/>
        <v>15.97</v>
      </c>
    </row>
    <row r="2442" spans="2:6">
      <c r="B2442" s="13" t="s">
        <v>896</v>
      </c>
      <c r="C2442" s="13" t="s">
        <v>900</v>
      </c>
      <c r="D2442" s="13">
        <v>445.44</v>
      </c>
      <c r="E2442" s="13">
        <v>8</v>
      </c>
      <c r="F2442" s="13">
        <f t="shared" si="38"/>
        <v>55.68</v>
      </c>
    </row>
    <row r="2443" spans="2:6">
      <c r="B2443" s="13" t="s">
        <v>2477</v>
      </c>
      <c r="C2443" s="13" t="s">
        <v>2478</v>
      </c>
      <c r="D2443" s="13">
        <v>29.900000000000002</v>
      </c>
      <c r="E2443" s="13">
        <v>5</v>
      </c>
      <c r="F2443" s="13">
        <f t="shared" si="38"/>
        <v>5.98</v>
      </c>
    </row>
    <row r="2444" spans="2:6">
      <c r="B2444" s="13" t="s">
        <v>631</v>
      </c>
      <c r="C2444" s="13" t="s">
        <v>2749</v>
      </c>
      <c r="D2444" s="13">
        <v>15.570000000000004</v>
      </c>
      <c r="E2444" s="13">
        <v>3</v>
      </c>
      <c r="F2444" s="13">
        <f t="shared" si="38"/>
        <v>5.1900000000000013</v>
      </c>
    </row>
    <row r="2445" spans="2:6">
      <c r="B2445" s="13" t="s">
        <v>2750</v>
      </c>
      <c r="C2445" s="13" t="s">
        <v>2751</v>
      </c>
      <c r="D2445" s="13">
        <v>153.78</v>
      </c>
      <c r="E2445" s="13">
        <v>11</v>
      </c>
      <c r="F2445" s="13">
        <f t="shared" si="38"/>
        <v>13.98</v>
      </c>
    </row>
    <row r="2446" spans="2:6">
      <c r="B2446" s="13" t="s">
        <v>1621</v>
      </c>
      <c r="C2446" s="13" t="s">
        <v>1623</v>
      </c>
      <c r="D2446" s="13">
        <v>61.019999999999996</v>
      </c>
      <c r="E2446" s="13">
        <v>3</v>
      </c>
      <c r="F2446" s="13">
        <f t="shared" si="38"/>
        <v>20.34</v>
      </c>
    </row>
    <row r="2447" spans="2:6">
      <c r="B2447" s="13" t="s">
        <v>2638</v>
      </c>
      <c r="C2447" s="13" t="s">
        <v>2639</v>
      </c>
      <c r="D2447" s="13">
        <v>110.11</v>
      </c>
      <c r="E2447" s="13">
        <v>7</v>
      </c>
      <c r="F2447" s="13">
        <f t="shared" si="38"/>
        <v>15.73</v>
      </c>
    </row>
    <row r="2448" spans="2:6">
      <c r="B2448" s="13" t="s">
        <v>1672</v>
      </c>
      <c r="C2448" s="13" t="s">
        <v>90</v>
      </c>
      <c r="D2448" s="13">
        <v>7.89</v>
      </c>
      <c r="E2448" s="13">
        <v>1</v>
      </c>
      <c r="F2448" s="13">
        <f t="shared" si="38"/>
        <v>7.89</v>
      </c>
    </row>
    <row r="2449" spans="2:6">
      <c r="B2449" s="13" t="s">
        <v>295</v>
      </c>
      <c r="C2449" s="13" t="s">
        <v>296</v>
      </c>
      <c r="D2449" s="13">
        <v>36.024000000000001</v>
      </c>
      <c r="E2449" s="13">
        <v>3</v>
      </c>
      <c r="F2449" s="13">
        <f t="shared" si="38"/>
        <v>12.008000000000001</v>
      </c>
    </row>
    <row r="2450" spans="2:6">
      <c r="B2450" s="13" t="s">
        <v>539</v>
      </c>
      <c r="C2450" s="13" t="s">
        <v>550</v>
      </c>
      <c r="D2450" s="13">
        <v>54.336000000000006</v>
      </c>
      <c r="E2450" s="13">
        <v>4</v>
      </c>
      <c r="F2450" s="13">
        <f t="shared" si="38"/>
        <v>13.584000000000001</v>
      </c>
    </row>
    <row r="2451" spans="2:6">
      <c r="B2451" s="13" t="s">
        <v>2150</v>
      </c>
      <c r="C2451" s="13" t="s">
        <v>2154</v>
      </c>
      <c r="D2451" s="13">
        <v>390.36799999999999</v>
      </c>
      <c r="E2451" s="13">
        <v>2</v>
      </c>
      <c r="F2451" s="13">
        <f t="shared" si="38"/>
        <v>195.184</v>
      </c>
    </row>
    <row r="2452" spans="2:6">
      <c r="B2452" s="13" t="s">
        <v>126</v>
      </c>
      <c r="C2452" s="13" t="s">
        <v>2754</v>
      </c>
      <c r="D2452" s="13">
        <v>101.52000000000001</v>
      </c>
      <c r="E2452" s="13">
        <v>5</v>
      </c>
      <c r="F2452" s="13">
        <f t="shared" si="38"/>
        <v>20.304000000000002</v>
      </c>
    </row>
    <row r="2453" spans="2:6">
      <c r="B2453" s="13" t="s">
        <v>1967</v>
      </c>
      <c r="C2453" s="13" t="s">
        <v>1975</v>
      </c>
      <c r="D2453" s="13">
        <v>74.352000000000004</v>
      </c>
      <c r="E2453" s="13">
        <v>3</v>
      </c>
      <c r="F2453" s="13">
        <f t="shared" si="38"/>
        <v>24.784000000000002</v>
      </c>
    </row>
    <row r="2454" spans="2:6">
      <c r="B2454" s="13" t="s">
        <v>2752</v>
      </c>
      <c r="C2454" s="13" t="s">
        <v>2755</v>
      </c>
      <c r="D2454" s="13">
        <v>15.700000000000001</v>
      </c>
      <c r="E2454" s="13">
        <v>5</v>
      </c>
      <c r="F2454" s="13">
        <f t="shared" si="38"/>
        <v>3.14</v>
      </c>
    </row>
    <row r="2455" spans="2:6">
      <c r="B2455" s="13" t="s">
        <v>2753</v>
      </c>
      <c r="C2455" s="13" t="s">
        <v>2756</v>
      </c>
      <c r="D2455" s="13">
        <v>59.519999999999996</v>
      </c>
      <c r="E2455" s="13">
        <v>3</v>
      </c>
      <c r="F2455" s="13">
        <f t="shared" si="38"/>
        <v>19.84</v>
      </c>
    </row>
    <row r="2456" spans="2:6">
      <c r="B2456" s="13" t="s">
        <v>766</v>
      </c>
      <c r="C2456" s="13" t="s">
        <v>768</v>
      </c>
      <c r="D2456" s="13">
        <v>34.4</v>
      </c>
      <c r="E2456" s="13">
        <v>5</v>
      </c>
      <c r="F2456" s="13">
        <f t="shared" si="38"/>
        <v>6.88</v>
      </c>
    </row>
    <row r="2457" spans="2:6">
      <c r="B2457" s="13" t="s">
        <v>1312</v>
      </c>
      <c r="C2457" s="13" t="s">
        <v>1318</v>
      </c>
      <c r="D2457" s="13">
        <v>70.12</v>
      </c>
      <c r="E2457" s="13">
        <v>4</v>
      </c>
      <c r="F2457" s="13">
        <f t="shared" si="38"/>
        <v>17.53</v>
      </c>
    </row>
    <row r="2458" spans="2:6">
      <c r="B2458" s="13" t="s">
        <v>561</v>
      </c>
      <c r="C2458" s="13" t="s">
        <v>566</v>
      </c>
      <c r="D2458" s="13">
        <v>11.52</v>
      </c>
      <c r="E2458" s="13">
        <v>5</v>
      </c>
      <c r="F2458" s="13">
        <f t="shared" si="38"/>
        <v>2.3039999999999998</v>
      </c>
    </row>
    <row r="2459" spans="2:6">
      <c r="B2459" s="13" t="s">
        <v>1855</v>
      </c>
      <c r="C2459" s="13" t="s">
        <v>1861</v>
      </c>
      <c r="D2459" s="13">
        <v>156.79200000000003</v>
      </c>
      <c r="E2459" s="13">
        <v>1</v>
      </c>
      <c r="F2459" s="13">
        <f t="shared" si="38"/>
        <v>156.79200000000003</v>
      </c>
    </row>
    <row r="2460" spans="2:6">
      <c r="B2460" s="13" t="s">
        <v>1370</v>
      </c>
      <c r="C2460" s="13" t="s">
        <v>1373</v>
      </c>
      <c r="D2460" s="13">
        <v>35.360000000000007</v>
      </c>
      <c r="E2460" s="13">
        <v>2</v>
      </c>
      <c r="F2460" s="13">
        <f t="shared" si="38"/>
        <v>17.680000000000003</v>
      </c>
    </row>
    <row r="2461" spans="2:6">
      <c r="B2461" s="13" t="s">
        <v>2757</v>
      </c>
      <c r="C2461" s="13" t="s">
        <v>2758</v>
      </c>
      <c r="D2461" s="13">
        <v>13.591999999999999</v>
      </c>
      <c r="E2461" s="13">
        <v>1</v>
      </c>
      <c r="F2461" s="13">
        <f t="shared" si="38"/>
        <v>13.591999999999999</v>
      </c>
    </row>
    <row r="2462" spans="2:6">
      <c r="B2462" s="13" t="s">
        <v>1197</v>
      </c>
      <c r="C2462" s="13" t="s">
        <v>1198</v>
      </c>
      <c r="D2462" s="13">
        <v>195.10400000000001</v>
      </c>
      <c r="E2462" s="13">
        <v>4</v>
      </c>
      <c r="F2462" s="13">
        <f t="shared" si="38"/>
        <v>48.776000000000003</v>
      </c>
    </row>
    <row r="2463" spans="2:6">
      <c r="B2463" s="13" t="s">
        <v>472</v>
      </c>
      <c r="C2463" s="13" t="s">
        <v>473</v>
      </c>
      <c r="D2463" s="13">
        <v>36.671999999999997</v>
      </c>
      <c r="E2463" s="13">
        <v>3</v>
      </c>
      <c r="F2463" s="13">
        <f t="shared" si="38"/>
        <v>12.223999999999998</v>
      </c>
    </row>
    <row r="2464" spans="2:6">
      <c r="B2464" s="13" t="s">
        <v>411</v>
      </c>
      <c r="C2464" s="13" t="s">
        <v>417</v>
      </c>
      <c r="D2464" s="13">
        <v>18.72</v>
      </c>
      <c r="E2464" s="13">
        <v>5</v>
      </c>
      <c r="F2464" s="13">
        <f t="shared" si="38"/>
        <v>3.7439999999999998</v>
      </c>
    </row>
    <row r="2465" spans="2:6">
      <c r="B2465" s="13" t="s">
        <v>1100</v>
      </c>
      <c r="C2465" s="13" t="s">
        <v>1102</v>
      </c>
      <c r="D2465" s="13">
        <v>236.52800000000002</v>
      </c>
      <c r="E2465" s="13">
        <v>2</v>
      </c>
      <c r="F2465" s="13">
        <f t="shared" si="38"/>
        <v>118.26400000000001</v>
      </c>
    </row>
    <row r="2466" spans="2:6">
      <c r="B2466" s="13" t="s">
        <v>1872</v>
      </c>
      <c r="C2466" s="13" t="s">
        <v>1874</v>
      </c>
      <c r="D2466" s="13">
        <v>5.1840000000000011</v>
      </c>
      <c r="E2466" s="13">
        <v>1</v>
      </c>
      <c r="F2466" s="13">
        <f t="shared" si="38"/>
        <v>5.1840000000000011</v>
      </c>
    </row>
    <row r="2467" spans="2:6">
      <c r="B2467" s="13" t="s">
        <v>2377</v>
      </c>
      <c r="C2467" s="13" t="s">
        <v>2380</v>
      </c>
      <c r="D2467" s="13">
        <v>65.584000000000003</v>
      </c>
      <c r="E2467" s="13">
        <v>2</v>
      </c>
      <c r="F2467" s="13">
        <f t="shared" si="38"/>
        <v>32.792000000000002</v>
      </c>
    </row>
    <row r="2468" spans="2:6">
      <c r="B2468" s="13" t="s">
        <v>1151</v>
      </c>
      <c r="C2468" s="13" t="s">
        <v>1152</v>
      </c>
      <c r="D2468" s="13">
        <v>22.200000000000003</v>
      </c>
      <c r="E2468" s="13">
        <v>1</v>
      </c>
      <c r="F2468" s="13">
        <f t="shared" si="38"/>
        <v>22.200000000000003</v>
      </c>
    </row>
    <row r="2469" spans="2:6">
      <c r="B2469" s="13" t="s">
        <v>2412</v>
      </c>
      <c r="C2469" s="13" t="s">
        <v>2414</v>
      </c>
      <c r="D2469" s="13">
        <v>419.4</v>
      </c>
      <c r="E2469" s="13">
        <v>5</v>
      </c>
      <c r="F2469" s="13">
        <f t="shared" si="38"/>
        <v>83.88</v>
      </c>
    </row>
    <row r="2470" spans="2:6">
      <c r="B2470" s="13" t="s">
        <v>444</v>
      </c>
      <c r="C2470" s="13" t="s">
        <v>446</v>
      </c>
      <c r="D2470" s="13">
        <v>88.920000000000016</v>
      </c>
      <c r="E2470" s="13">
        <v>5</v>
      </c>
      <c r="F2470" s="13">
        <f t="shared" si="38"/>
        <v>17.784000000000002</v>
      </c>
    </row>
    <row r="2471" spans="2:6">
      <c r="B2471" s="13" t="s">
        <v>75</v>
      </c>
      <c r="C2471" s="13" t="s">
        <v>78</v>
      </c>
      <c r="D2471" s="13">
        <v>9.9120000000000008</v>
      </c>
      <c r="E2471" s="13">
        <v>3</v>
      </c>
      <c r="F2471" s="13">
        <f t="shared" si="38"/>
        <v>3.3040000000000003</v>
      </c>
    </row>
    <row r="2472" spans="2:6">
      <c r="B2472" s="13" t="s">
        <v>1785</v>
      </c>
      <c r="C2472" s="13" t="s">
        <v>1786</v>
      </c>
      <c r="D2472" s="13">
        <v>318.43</v>
      </c>
      <c r="E2472" s="13">
        <v>5</v>
      </c>
      <c r="F2472" s="13">
        <f t="shared" si="38"/>
        <v>63.686</v>
      </c>
    </row>
    <row r="2473" spans="2:6">
      <c r="B2473" s="13" t="s">
        <v>2759</v>
      </c>
      <c r="C2473" s="13" t="s">
        <v>2760</v>
      </c>
      <c r="D2473" s="13">
        <v>5.7999999999999989</v>
      </c>
      <c r="E2473" s="13">
        <v>5</v>
      </c>
      <c r="F2473" s="13">
        <f t="shared" si="38"/>
        <v>1.1599999999999997</v>
      </c>
    </row>
    <row r="2474" spans="2:6">
      <c r="B2474" s="13" t="s">
        <v>2689</v>
      </c>
      <c r="C2474" s="13" t="s">
        <v>2692</v>
      </c>
      <c r="D2474" s="13">
        <v>1415.76</v>
      </c>
      <c r="E2474" s="13">
        <v>6</v>
      </c>
      <c r="F2474" s="13">
        <f t="shared" si="38"/>
        <v>235.96</v>
      </c>
    </row>
    <row r="2475" spans="2:6">
      <c r="B2475" s="13" t="s">
        <v>896</v>
      </c>
      <c r="C2475" s="13" t="s">
        <v>900</v>
      </c>
      <c r="D2475" s="13">
        <v>148.47999999999999</v>
      </c>
      <c r="E2475" s="13">
        <v>2</v>
      </c>
      <c r="F2475" s="13">
        <f t="shared" si="38"/>
        <v>74.239999999999995</v>
      </c>
    </row>
    <row r="2476" spans="2:6">
      <c r="B2476" s="13" t="s">
        <v>664</v>
      </c>
      <c r="C2476" s="13" t="s">
        <v>666</v>
      </c>
      <c r="D2476" s="13">
        <v>34.92</v>
      </c>
      <c r="E2476" s="13">
        <v>4</v>
      </c>
      <c r="F2476" s="13">
        <f t="shared" si="38"/>
        <v>8.73</v>
      </c>
    </row>
    <row r="2477" spans="2:6">
      <c r="B2477" s="13" t="s">
        <v>2761</v>
      </c>
      <c r="C2477" s="13" t="s">
        <v>597</v>
      </c>
      <c r="D2477" s="13">
        <v>2.48</v>
      </c>
      <c r="E2477" s="13">
        <v>1</v>
      </c>
      <c r="F2477" s="13">
        <f t="shared" si="38"/>
        <v>2.48</v>
      </c>
    </row>
    <row r="2478" spans="2:6">
      <c r="B2478" s="13" t="s">
        <v>2133</v>
      </c>
      <c r="C2478" s="13" t="s">
        <v>2134</v>
      </c>
      <c r="D2478" s="13">
        <v>25.9</v>
      </c>
      <c r="E2478" s="13">
        <v>5</v>
      </c>
      <c r="F2478" s="13">
        <f t="shared" si="38"/>
        <v>5.18</v>
      </c>
    </row>
    <row r="2479" spans="2:6">
      <c r="B2479" s="13" t="s">
        <v>636</v>
      </c>
      <c r="C2479" s="13" t="s">
        <v>640</v>
      </c>
      <c r="D2479" s="13">
        <v>12.96</v>
      </c>
      <c r="E2479" s="13">
        <v>2</v>
      </c>
      <c r="F2479" s="13">
        <f t="shared" si="38"/>
        <v>6.48</v>
      </c>
    </row>
    <row r="2480" spans="2:6">
      <c r="B2480" s="13" t="s">
        <v>2762</v>
      </c>
      <c r="C2480" s="13" t="s">
        <v>2767</v>
      </c>
      <c r="D2480" s="13">
        <v>119.94</v>
      </c>
      <c r="E2480" s="13">
        <v>6</v>
      </c>
      <c r="F2480" s="13">
        <f t="shared" si="38"/>
        <v>19.989999999999998</v>
      </c>
    </row>
    <row r="2481" spans="2:6">
      <c r="B2481" s="13" t="s">
        <v>1675</v>
      </c>
      <c r="C2481" s="13" t="s">
        <v>1678</v>
      </c>
      <c r="D2481" s="13">
        <v>10.272000000000002</v>
      </c>
      <c r="E2481" s="13">
        <v>3</v>
      </c>
      <c r="F2481" s="13">
        <f t="shared" si="38"/>
        <v>3.4240000000000008</v>
      </c>
    </row>
    <row r="2482" spans="2:6">
      <c r="B2482" s="13" t="s">
        <v>2763</v>
      </c>
      <c r="C2482" s="13" t="s">
        <v>2768</v>
      </c>
      <c r="D2482" s="13">
        <v>512.19000000000005</v>
      </c>
      <c r="E2482" s="13">
        <v>5</v>
      </c>
      <c r="F2482" s="13">
        <f t="shared" si="38"/>
        <v>102.43800000000002</v>
      </c>
    </row>
    <row r="2483" spans="2:6">
      <c r="B2483" s="13" t="s">
        <v>2245</v>
      </c>
      <c r="C2483" s="13" t="s">
        <v>2249</v>
      </c>
      <c r="D2483" s="13">
        <v>1.5559999999999996</v>
      </c>
      <c r="E2483" s="13">
        <v>2</v>
      </c>
      <c r="F2483" s="13">
        <f t="shared" si="38"/>
        <v>0.7779999999999998</v>
      </c>
    </row>
    <row r="2484" spans="2:6">
      <c r="B2484" s="13" t="s">
        <v>2175</v>
      </c>
      <c r="C2484" s="13" t="s">
        <v>2177</v>
      </c>
      <c r="D2484" s="13">
        <v>4.4479999999999995</v>
      </c>
      <c r="E2484" s="13">
        <v>2</v>
      </c>
      <c r="F2484" s="13">
        <f t="shared" si="38"/>
        <v>2.2239999999999998</v>
      </c>
    </row>
    <row r="2485" spans="2:6">
      <c r="B2485" s="13" t="s">
        <v>534</v>
      </c>
      <c r="C2485" s="13" t="s">
        <v>545</v>
      </c>
      <c r="D2485" s="13">
        <v>276.69</v>
      </c>
      <c r="E2485" s="13">
        <v>3</v>
      </c>
      <c r="F2485" s="13">
        <f t="shared" si="38"/>
        <v>92.23</v>
      </c>
    </row>
    <row r="2486" spans="2:6">
      <c r="B2486" s="13" t="s">
        <v>2764</v>
      </c>
      <c r="C2486" s="13" t="s">
        <v>2769</v>
      </c>
      <c r="D2486" s="13">
        <v>4.96</v>
      </c>
      <c r="E2486" s="13">
        <v>4</v>
      </c>
      <c r="F2486" s="13">
        <f t="shared" si="38"/>
        <v>1.24</v>
      </c>
    </row>
    <row r="2487" spans="2:6">
      <c r="B2487" s="13" t="s">
        <v>2765</v>
      </c>
      <c r="C2487" s="13" t="s">
        <v>2770</v>
      </c>
      <c r="D2487" s="13">
        <v>71.92</v>
      </c>
      <c r="E2487" s="13">
        <v>4</v>
      </c>
      <c r="F2487" s="13">
        <f t="shared" si="38"/>
        <v>17.98</v>
      </c>
    </row>
    <row r="2488" spans="2:6">
      <c r="B2488" s="13" t="s">
        <v>110</v>
      </c>
      <c r="C2488" s="13" t="s">
        <v>117</v>
      </c>
      <c r="D2488" s="13">
        <v>18.84</v>
      </c>
      <c r="E2488" s="13">
        <v>3</v>
      </c>
      <c r="F2488" s="13">
        <f t="shared" si="38"/>
        <v>6.28</v>
      </c>
    </row>
    <row r="2489" spans="2:6">
      <c r="B2489" s="13" t="s">
        <v>2766</v>
      </c>
      <c r="C2489" s="13" t="s">
        <v>2771</v>
      </c>
      <c r="D2489" s="13">
        <v>140.97</v>
      </c>
      <c r="E2489" s="13">
        <v>3</v>
      </c>
      <c r="F2489" s="13">
        <f t="shared" si="38"/>
        <v>46.99</v>
      </c>
    </row>
    <row r="2490" spans="2:6">
      <c r="B2490" s="13" t="s">
        <v>317</v>
      </c>
      <c r="C2490" s="13" t="s">
        <v>322</v>
      </c>
      <c r="D2490" s="13">
        <v>470.37600000000009</v>
      </c>
      <c r="E2490" s="13">
        <v>3</v>
      </c>
      <c r="F2490" s="13">
        <f t="shared" si="38"/>
        <v>156.79200000000003</v>
      </c>
    </row>
    <row r="2491" spans="2:6">
      <c r="B2491" s="13" t="s">
        <v>2611</v>
      </c>
      <c r="C2491" s="13" t="s">
        <v>2613</v>
      </c>
      <c r="D2491" s="13">
        <v>6.08</v>
      </c>
      <c r="E2491" s="13">
        <v>2</v>
      </c>
      <c r="F2491" s="13">
        <f t="shared" si="38"/>
        <v>3.04</v>
      </c>
    </row>
    <row r="2492" spans="2:6">
      <c r="B2492" s="13" t="s">
        <v>2668</v>
      </c>
      <c r="C2492" s="13" t="s">
        <v>2673</v>
      </c>
      <c r="D2492" s="13">
        <v>164.79200000000003</v>
      </c>
      <c r="E2492" s="13">
        <v>1</v>
      </c>
      <c r="F2492" s="13">
        <f t="shared" si="38"/>
        <v>164.79200000000003</v>
      </c>
    </row>
    <row r="2493" spans="2:6">
      <c r="B2493" s="13" t="s">
        <v>2383</v>
      </c>
      <c r="C2493" s="13" t="s">
        <v>2385</v>
      </c>
      <c r="D2493" s="13">
        <v>12.175999999999998</v>
      </c>
      <c r="E2493" s="13">
        <v>4</v>
      </c>
      <c r="F2493" s="13">
        <f t="shared" si="38"/>
        <v>3.0439999999999996</v>
      </c>
    </row>
    <row r="2494" spans="2:6">
      <c r="B2494" s="13" t="s">
        <v>2772</v>
      </c>
      <c r="C2494" s="13" t="s">
        <v>2776</v>
      </c>
      <c r="D2494" s="13">
        <v>9.2480000000000011</v>
      </c>
      <c r="E2494" s="13">
        <v>2</v>
      </c>
      <c r="F2494" s="13">
        <f t="shared" si="38"/>
        <v>4.6240000000000006</v>
      </c>
    </row>
    <row r="2495" spans="2:6">
      <c r="B2495" s="13" t="s">
        <v>2773</v>
      </c>
      <c r="C2495" s="13" t="s">
        <v>2777</v>
      </c>
      <c r="D2495" s="13">
        <v>1889.9459999999999</v>
      </c>
      <c r="E2495" s="13">
        <v>9</v>
      </c>
      <c r="F2495" s="13">
        <f t="shared" si="38"/>
        <v>209.994</v>
      </c>
    </row>
    <row r="2496" spans="2:6">
      <c r="B2496" s="13" t="s">
        <v>1254</v>
      </c>
      <c r="C2496" s="13" t="s">
        <v>1259</v>
      </c>
      <c r="D2496" s="13">
        <v>62.040000000000006</v>
      </c>
      <c r="E2496" s="13">
        <v>5</v>
      </c>
      <c r="F2496" s="13">
        <f t="shared" si="38"/>
        <v>12.408000000000001</v>
      </c>
    </row>
    <row r="2497" spans="2:6">
      <c r="B2497" s="13" t="s">
        <v>859</v>
      </c>
      <c r="C2497" s="13" t="s">
        <v>861</v>
      </c>
      <c r="D2497" s="13">
        <v>396.92000000000007</v>
      </c>
      <c r="E2497" s="13">
        <v>5</v>
      </c>
      <c r="F2497" s="13">
        <f t="shared" si="38"/>
        <v>79.384000000000015</v>
      </c>
    </row>
    <row r="2498" spans="2:6">
      <c r="B2498" s="13" t="s">
        <v>2253</v>
      </c>
      <c r="C2498" s="13" t="s">
        <v>2255</v>
      </c>
      <c r="D2498" s="13">
        <v>239.45599999999999</v>
      </c>
      <c r="E2498" s="13">
        <v>7</v>
      </c>
      <c r="F2498" s="13">
        <f t="shared" si="38"/>
        <v>34.207999999999998</v>
      </c>
    </row>
    <row r="2499" spans="2:6">
      <c r="B2499" s="13" t="s">
        <v>1759</v>
      </c>
      <c r="C2499" s="13" t="s">
        <v>1760</v>
      </c>
      <c r="D2499" s="13">
        <v>13.120000000000001</v>
      </c>
      <c r="E2499" s="13">
        <v>5</v>
      </c>
      <c r="F2499" s="13">
        <f t="shared" si="38"/>
        <v>2.6240000000000001</v>
      </c>
    </row>
    <row r="2500" spans="2:6">
      <c r="B2500" s="13" t="s">
        <v>2774</v>
      </c>
      <c r="C2500" s="13" t="s">
        <v>2778</v>
      </c>
      <c r="D2500" s="13">
        <v>29.36</v>
      </c>
      <c r="E2500" s="13">
        <v>2</v>
      </c>
      <c r="F2500" s="13">
        <f t="shared" ref="F2500:F2563" si="39">D2500/E2500</f>
        <v>14.68</v>
      </c>
    </row>
    <row r="2501" spans="2:6">
      <c r="B2501" s="13" t="s">
        <v>1393</v>
      </c>
      <c r="C2501" s="13" t="s">
        <v>1398</v>
      </c>
      <c r="D2501" s="13">
        <v>214.89999999999998</v>
      </c>
      <c r="E2501" s="13">
        <v>5</v>
      </c>
      <c r="F2501" s="13">
        <f t="shared" si="39"/>
        <v>42.98</v>
      </c>
    </row>
    <row r="2502" spans="2:6">
      <c r="B2502" s="13" t="s">
        <v>81</v>
      </c>
      <c r="C2502" s="13" t="s">
        <v>83</v>
      </c>
      <c r="D2502" s="13">
        <v>15.92</v>
      </c>
      <c r="E2502" s="13">
        <v>4</v>
      </c>
      <c r="F2502" s="13">
        <f t="shared" si="39"/>
        <v>3.98</v>
      </c>
    </row>
    <row r="2503" spans="2:6">
      <c r="B2503" s="13" t="s">
        <v>1149</v>
      </c>
      <c r="C2503" s="13" t="s">
        <v>1150</v>
      </c>
      <c r="D2503" s="13">
        <v>146.44999999999999</v>
      </c>
      <c r="E2503" s="13">
        <v>5</v>
      </c>
      <c r="F2503" s="13">
        <f t="shared" si="39"/>
        <v>29.29</v>
      </c>
    </row>
    <row r="2504" spans="2:6">
      <c r="B2504" s="13" t="s">
        <v>1729</v>
      </c>
      <c r="C2504" s="13" t="s">
        <v>1733</v>
      </c>
      <c r="D2504" s="13">
        <v>15.14</v>
      </c>
      <c r="E2504" s="13">
        <v>1</v>
      </c>
      <c r="F2504" s="13">
        <f t="shared" si="39"/>
        <v>15.14</v>
      </c>
    </row>
    <row r="2505" spans="2:6">
      <c r="B2505" s="13" t="s">
        <v>2775</v>
      </c>
      <c r="C2505" s="13" t="s">
        <v>2779</v>
      </c>
      <c r="D2505" s="13">
        <v>5.76</v>
      </c>
      <c r="E2505" s="13">
        <v>2</v>
      </c>
      <c r="F2505" s="13">
        <f t="shared" si="39"/>
        <v>2.88</v>
      </c>
    </row>
    <row r="2506" spans="2:6">
      <c r="B2506" s="13" t="s">
        <v>1636</v>
      </c>
      <c r="C2506" s="13" t="s">
        <v>1639</v>
      </c>
      <c r="D2506" s="13">
        <v>1399.98</v>
      </c>
      <c r="E2506" s="13">
        <v>2</v>
      </c>
      <c r="F2506" s="13">
        <f t="shared" si="39"/>
        <v>699.99</v>
      </c>
    </row>
    <row r="2507" spans="2:6">
      <c r="B2507" s="13" t="s">
        <v>2780</v>
      </c>
      <c r="C2507" s="13" t="s">
        <v>978</v>
      </c>
      <c r="D2507" s="13">
        <v>71.88</v>
      </c>
      <c r="E2507" s="13">
        <v>6</v>
      </c>
      <c r="F2507" s="13">
        <f t="shared" si="39"/>
        <v>11.979999999999999</v>
      </c>
    </row>
    <row r="2508" spans="2:6">
      <c r="B2508" s="13" t="s">
        <v>2398</v>
      </c>
      <c r="C2508" s="13" t="s">
        <v>2402</v>
      </c>
      <c r="D2508" s="13">
        <v>9.24</v>
      </c>
      <c r="E2508" s="13">
        <v>3</v>
      </c>
      <c r="F2508" s="13">
        <f t="shared" si="39"/>
        <v>3.08</v>
      </c>
    </row>
    <row r="2509" spans="2:6">
      <c r="B2509" s="13" t="s">
        <v>2626</v>
      </c>
      <c r="C2509" s="13" t="s">
        <v>2627</v>
      </c>
      <c r="D2509" s="13">
        <v>35.880000000000003</v>
      </c>
      <c r="E2509" s="13">
        <v>6</v>
      </c>
      <c r="F2509" s="13">
        <f t="shared" si="39"/>
        <v>5.98</v>
      </c>
    </row>
    <row r="2510" spans="2:6">
      <c r="B2510" s="13" t="s">
        <v>2781</v>
      </c>
      <c r="C2510" s="13" t="s">
        <v>2782</v>
      </c>
      <c r="D2510" s="13">
        <v>17.04</v>
      </c>
      <c r="E2510" s="13">
        <v>3</v>
      </c>
      <c r="F2510" s="13">
        <f t="shared" si="39"/>
        <v>5.68</v>
      </c>
    </row>
    <row r="2511" spans="2:6">
      <c r="B2511" s="13" t="s">
        <v>1618</v>
      </c>
      <c r="C2511" s="13" t="s">
        <v>1619</v>
      </c>
      <c r="D2511" s="13">
        <v>931.17600000000016</v>
      </c>
      <c r="E2511" s="13">
        <v>3</v>
      </c>
      <c r="F2511" s="13">
        <f t="shared" si="39"/>
        <v>310.39200000000005</v>
      </c>
    </row>
    <row r="2512" spans="2:6">
      <c r="B2512" s="13" t="s">
        <v>970</v>
      </c>
      <c r="C2512" s="13" t="s">
        <v>973</v>
      </c>
      <c r="D2512" s="13">
        <v>196.78399999999999</v>
      </c>
      <c r="E2512" s="13">
        <v>2</v>
      </c>
      <c r="F2512" s="13">
        <f t="shared" si="39"/>
        <v>98.391999999999996</v>
      </c>
    </row>
    <row r="2513" spans="2:6">
      <c r="B2513" s="13" t="s">
        <v>540</v>
      </c>
      <c r="C2513" s="13" t="s">
        <v>551</v>
      </c>
      <c r="D2513" s="13">
        <v>231.92000000000002</v>
      </c>
      <c r="E2513" s="13">
        <v>5</v>
      </c>
      <c r="F2513" s="13">
        <f t="shared" si="39"/>
        <v>46.384</v>
      </c>
    </row>
    <row r="2514" spans="2:6">
      <c r="B2514" s="13" t="s">
        <v>364</v>
      </c>
      <c r="C2514" s="13" t="s">
        <v>367</v>
      </c>
      <c r="D2514" s="13">
        <v>29.700000000000003</v>
      </c>
      <c r="E2514" s="13">
        <v>3</v>
      </c>
      <c r="F2514" s="13">
        <f t="shared" si="39"/>
        <v>9.9</v>
      </c>
    </row>
    <row r="2515" spans="2:6">
      <c r="B2515" s="13" t="s">
        <v>2757</v>
      </c>
      <c r="C2515" s="13" t="s">
        <v>2758</v>
      </c>
      <c r="D2515" s="13">
        <v>13.591999999999999</v>
      </c>
      <c r="E2515" s="13">
        <v>2</v>
      </c>
      <c r="F2515" s="13">
        <f t="shared" si="39"/>
        <v>6.7959999999999994</v>
      </c>
    </row>
    <row r="2516" spans="2:6">
      <c r="B2516" s="13" t="s">
        <v>857</v>
      </c>
      <c r="C2516" s="13" t="s">
        <v>858</v>
      </c>
      <c r="D2516" s="13">
        <v>114.28800000000001</v>
      </c>
      <c r="E2516" s="13">
        <v>1</v>
      </c>
      <c r="F2516" s="13">
        <f t="shared" si="39"/>
        <v>114.28800000000001</v>
      </c>
    </row>
    <row r="2517" spans="2:6">
      <c r="B2517" s="13" t="s">
        <v>2221</v>
      </c>
      <c r="C2517" s="13" t="s">
        <v>2224</v>
      </c>
      <c r="D2517" s="13">
        <v>36.624000000000002</v>
      </c>
      <c r="E2517" s="13">
        <v>8</v>
      </c>
      <c r="F2517" s="13">
        <f t="shared" si="39"/>
        <v>4.5780000000000003</v>
      </c>
    </row>
    <row r="2518" spans="2:6">
      <c r="B2518" s="13" t="s">
        <v>2010</v>
      </c>
      <c r="C2518" s="13" t="s">
        <v>2014</v>
      </c>
      <c r="D2518" s="13">
        <v>242.35200000000003</v>
      </c>
      <c r="E2518" s="13">
        <v>8</v>
      </c>
      <c r="F2518" s="13">
        <f t="shared" si="39"/>
        <v>30.294000000000004</v>
      </c>
    </row>
    <row r="2519" spans="2:6">
      <c r="B2519" s="13" t="s">
        <v>2783</v>
      </c>
      <c r="C2519" s="13" t="s">
        <v>2785</v>
      </c>
      <c r="D2519" s="13">
        <v>49.616000000000007</v>
      </c>
      <c r="E2519" s="13">
        <v>2</v>
      </c>
      <c r="F2519" s="13">
        <f t="shared" si="39"/>
        <v>24.808000000000003</v>
      </c>
    </row>
    <row r="2520" spans="2:6">
      <c r="B2520" s="13" t="s">
        <v>1521</v>
      </c>
      <c r="C2520" s="13" t="s">
        <v>1522</v>
      </c>
      <c r="D2520" s="13">
        <v>508.70400000000006</v>
      </c>
      <c r="E2520" s="13">
        <v>6</v>
      </c>
      <c r="F2520" s="13">
        <f t="shared" si="39"/>
        <v>84.784000000000006</v>
      </c>
    </row>
    <row r="2521" spans="2:6">
      <c r="B2521" s="13" t="s">
        <v>2784</v>
      </c>
      <c r="C2521" s="13" t="s">
        <v>2786</v>
      </c>
      <c r="D2521" s="13">
        <v>57.36</v>
      </c>
      <c r="E2521" s="13">
        <v>6</v>
      </c>
      <c r="F2521" s="13">
        <f t="shared" si="39"/>
        <v>9.56</v>
      </c>
    </row>
    <row r="2522" spans="2:6">
      <c r="B2522" s="13" t="s">
        <v>1084</v>
      </c>
      <c r="C2522" s="13" t="s">
        <v>1088</v>
      </c>
      <c r="D2522" s="13">
        <v>906.68000000000006</v>
      </c>
      <c r="E2522" s="13">
        <v>5</v>
      </c>
      <c r="F2522" s="13">
        <f t="shared" si="39"/>
        <v>181.33600000000001</v>
      </c>
    </row>
    <row r="2523" spans="2:6">
      <c r="B2523" s="13" t="s">
        <v>2787</v>
      </c>
      <c r="C2523" s="13" t="s">
        <v>2789</v>
      </c>
      <c r="D2523" s="13">
        <v>158.28</v>
      </c>
      <c r="E2523" s="13">
        <v>6</v>
      </c>
      <c r="F2523" s="13">
        <f t="shared" si="39"/>
        <v>26.38</v>
      </c>
    </row>
    <row r="2524" spans="2:6">
      <c r="B2524" s="13" t="s">
        <v>2788</v>
      </c>
      <c r="C2524" s="13" t="s">
        <v>2790</v>
      </c>
      <c r="D2524" s="13">
        <v>497.93999999999994</v>
      </c>
      <c r="E2524" s="13">
        <v>3</v>
      </c>
      <c r="F2524" s="13">
        <f t="shared" si="39"/>
        <v>165.98</v>
      </c>
    </row>
    <row r="2525" spans="2:6">
      <c r="B2525" s="13" t="s">
        <v>1716</v>
      </c>
      <c r="C2525" s="13" t="s">
        <v>1718</v>
      </c>
      <c r="D2525" s="13">
        <v>63.824000000000005</v>
      </c>
      <c r="E2525" s="13">
        <v>2</v>
      </c>
      <c r="F2525" s="13">
        <f t="shared" si="39"/>
        <v>31.912000000000003</v>
      </c>
    </row>
    <row r="2526" spans="2:6">
      <c r="B2526" s="13" t="s">
        <v>61</v>
      </c>
      <c r="C2526" s="13" t="s">
        <v>65</v>
      </c>
      <c r="D2526" s="13">
        <v>47.975999999999999</v>
      </c>
      <c r="E2526" s="13">
        <v>3</v>
      </c>
      <c r="F2526" s="13">
        <f t="shared" si="39"/>
        <v>15.991999999999999</v>
      </c>
    </row>
    <row r="2527" spans="2:6">
      <c r="B2527" s="13" t="s">
        <v>1550</v>
      </c>
      <c r="C2527" s="13" t="s">
        <v>1554</v>
      </c>
      <c r="D2527" s="13">
        <v>20.736000000000004</v>
      </c>
      <c r="E2527" s="13">
        <v>4</v>
      </c>
      <c r="F2527" s="13">
        <f t="shared" si="39"/>
        <v>5.1840000000000011</v>
      </c>
    </row>
    <row r="2528" spans="2:6">
      <c r="B2528" s="13" t="s">
        <v>1022</v>
      </c>
      <c r="C2528" s="13" t="s">
        <v>1043</v>
      </c>
      <c r="D2528" s="13">
        <v>17.309999999999999</v>
      </c>
      <c r="E2528" s="13">
        <v>3</v>
      </c>
      <c r="F2528" s="13">
        <f t="shared" si="39"/>
        <v>5.77</v>
      </c>
    </row>
    <row r="2529" spans="2:6">
      <c r="B2529" s="13" t="s">
        <v>2169</v>
      </c>
      <c r="C2529" s="13" t="s">
        <v>2171</v>
      </c>
      <c r="D2529" s="13">
        <v>146.86000000000001</v>
      </c>
      <c r="E2529" s="13">
        <v>7</v>
      </c>
      <c r="F2529" s="13">
        <f t="shared" si="39"/>
        <v>20.98</v>
      </c>
    </row>
    <row r="2530" spans="2:6">
      <c r="B2530" s="13" t="s">
        <v>430</v>
      </c>
      <c r="C2530" s="13" t="s">
        <v>436</v>
      </c>
      <c r="D2530" s="13">
        <v>36.56</v>
      </c>
      <c r="E2530" s="13">
        <v>4</v>
      </c>
      <c r="F2530" s="13">
        <f t="shared" si="39"/>
        <v>9.14</v>
      </c>
    </row>
    <row r="2531" spans="2:6">
      <c r="B2531" s="13" t="s">
        <v>351</v>
      </c>
      <c r="C2531" s="13" t="s">
        <v>355</v>
      </c>
      <c r="D2531" s="13">
        <v>264.32</v>
      </c>
      <c r="E2531" s="13">
        <v>2</v>
      </c>
      <c r="F2531" s="13">
        <f t="shared" si="39"/>
        <v>132.16</v>
      </c>
    </row>
    <row r="2532" spans="2:6">
      <c r="B2532" s="13" t="s">
        <v>1872</v>
      </c>
      <c r="C2532" s="13" t="s">
        <v>1874</v>
      </c>
      <c r="D2532" s="13">
        <v>25.92</v>
      </c>
      <c r="E2532" s="13">
        <v>4</v>
      </c>
      <c r="F2532" s="13">
        <f t="shared" si="39"/>
        <v>6.48</v>
      </c>
    </row>
    <row r="2533" spans="2:6">
      <c r="B2533" s="13" t="s">
        <v>2535</v>
      </c>
      <c r="C2533" s="13" t="s">
        <v>2540</v>
      </c>
      <c r="D2533" s="13">
        <v>22.959999999999997</v>
      </c>
      <c r="E2533" s="13">
        <v>7</v>
      </c>
      <c r="F2533" s="13">
        <f t="shared" si="39"/>
        <v>3.28</v>
      </c>
    </row>
    <row r="2534" spans="2:6">
      <c r="B2534" s="13" t="s">
        <v>247</v>
      </c>
      <c r="C2534" s="13" t="s">
        <v>249</v>
      </c>
      <c r="D2534" s="13">
        <v>189.57600000000002</v>
      </c>
      <c r="E2534" s="13">
        <v>1</v>
      </c>
      <c r="F2534" s="13">
        <f t="shared" si="39"/>
        <v>189.57600000000002</v>
      </c>
    </row>
    <row r="2535" spans="2:6">
      <c r="B2535" s="13" t="s">
        <v>2416</v>
      </c>
      <c r="C2535" s="13" t="s">
        <v>2417</v>
      </c>
      <c r="D2535" s="13">
        <v>71.959999999999994</v>
      </c>
      <c r="E2535" s="13">
        <v>5</v>
      </c>
      <c r="F2535" s="13">
        <f t="shared" si="39"/>
        <v>14.391999999999999</v>
      </c>
    </row>
    <row r="2536" spans="2:6">
      <c r="B2536" s="13" t="s">
        <v>952</v>
      </c>
      <c r="C2536" s="13" t="s">
        <v>956</v>
      </c>
      <c r="D2536" s="13">
        <v>1207.8399999999999</v>
      </c>
      <c r="E2536" s="13">
        <v>8</v>
      </c>
      <c r="F2536" s="13">
        <f t="shared" si="39"/>
        <v>150.97999999999999</v>
      </c>
    </row>
    <row r="2537" spans="2:6">
      <c r="B2537" s="13" t="s">
        <v>887</v>
      </c>
      <c r="C2537" s="13" t="s">
        <v>891</v>
      </c>
      <c r="D2537" s="13">
        <v>12.53</v>
      </c>
      <c r="E2537" s="13">
        <v>1</v>
      </c>
      <c r="F2537" s="13">
        <f t="shared" si="39"/>
        <v>12.53</v>
      </c>
    </row>
    <row r="2538" spans="2:6">
      <c r="B2538" s="13" t="s">
        <v>2791</v>
      </c>
      <c r="C2538" s="13" t="s">
        <v>2794</v>
      </c>
      <c r="D2538" s="13">
        <v>34.58</v>
      </c>
      <c r="E2538" s="13">
        <v>1</v>
      </c>
      <c r="F2538" s="13">
        <f t="shared" si="39"/>
        <v>34.58</v>
      </c>
    </row>
    <row r="2539" spans="2:6">
      <c r="B2539" s="13" t="s">
        <v>1587</v>
      </c>
      <c r="C2539" s="13" t="s">
        <v>1588</v>
      </c>
      <c r="D2539" s="13">
        <v>300.98</v>
      </c>
      <c r="E2539" s="13">
        <v>1</v>
      </c>
      <c r="F2539" s="13">
        <f t="shared" si="39"/>
        <v>300.98</v>
      </c>
    </row>
    <row r="2540" spans="2:6">
      <c r="B2540" s="13" t="s">
        <v>2792</v>
      </c>
      <c r="C2540" s="13" t="s">
        <v>2795</v>
      </c>
      <c r="D2540" s="13">
        <v>258.75</v>
      </c>
      <c r="E2540" s="13">
        <v>3</v>
      </c>
      <c r="F2540" s="13">
        <f t="shared" si="39"/>
        <v>86.25</v>
      </c>
    </row>
    <row r="2541" spans="2:6">
      <c r="B2541" s="13" t="s">
        <v>2753</v>
      </c>
      <c r="C2541" s="13" t="s">
        <v>2756</v>
      </c>
      <c r="D2541" s="13">
        <v>59.519999999999996</v>
      </c>
      <c r="E2541" s="13">
        <v>3</v>
      </c>
      <c r="F2541" s="13">
        <f t="shared" si="39"/>
        <v>19.84</v>
      </c>
    </row>
    <row r="2542" spans="2:6">
      <c r="B2542" s="13" t="s">
        <v>2793</v>
      </c>
      <c r="C2542" s="13" t="s">
        <v>978</v>
      </c>
      <c r="D2542" s="13">
        <v>57.959999999999994</v>
      </c>
      <c r="E2542" s="13">
        <v>7</v>
      </c>
      <c r="F2542" s="13">
        <f t="shared" si="39"/>
        <v>8.2799999999999994</v>
      </c>
    </row>
    <row r="2543" spans="2:6">
      <c r="B2543" s="13" t="s">
        <v>1568</v>
      </c>
      <c r="C2543" s="13" t="s">
        <v>1571</v>
      </c>
      <c r="D2543" s="13">
        <v>441.96</v>
      </c>
      <c r="E2543" s="13">
        <v>2</v>
      </c>
      <c r="F2543" s="13">
        <f t="shared" si="39"/>
        <v>220.98</v>
      </c>
    </row>
    <row r="2544" spans="2:6">
      <c r="B2544" s="13" t="s">
        <v>2422</v>
      </c>
      <c r="C2544" s="13" t="s">
        <v>46</v>
      </c>
      <c r="D2544" s="13">
        <v>68.039999999999992</v>
      </c>
      <c r="E2544" s="13">
        <v>6</v>
      </c>
      <c r="F2544" s="13">
        <f t="shared" si="39"/>
        <v>11.339999999999998</v>
      </c>
    </row>
    <row r="2545" spans="2:6">
      <c r="B2545" s="13" t="s">
        <v>1986</v>
      </c>
      <c r="C2545" s="13" t="s">
        <v>1988</v>
      </c>
      <c r="D2545" s="13">
        <v>119.44800000000001</v>
      </c>
      <c r="E2545" s="13">
        <v>3</v>
      </c>
      <c r="F2545" s="13">
        <f t="shared" si="39"/>
        <v>39.816000000000003</v>
      </c>
    </row>
    <row r="2546" spans="2:6">
      <c r="B2546" s="13" t="s">
        <v>136</v>
      </c>
      <c r="C2546" s="13" t="s">
        <v>140</v>
      </c>
      <c r="D2546" s="13">
        <v>118.16</v>
      </c>
      <c r="E2546" s="13">
        <v>2</v>
      </c>
      <c r="F2546" s="13">
        <f t="shared" si="39"/>
        <v>59.08</v>
      </c>
    </row>
    <row r="2547" spans="2:6">
      <c r="B2547" s="13" t="s">
        <v>2109</v>
      </c>
      <c r="C2547" s="13" t="s">
        <v>2114</v>
      </c>
      <c r="D2547" s="13">
        <v>76.77600000000001</v>
      </c>
      <c r="E2547" s="13">
        <v>4</v>
      </c>
      <c r="F2547" s="13">
        <f t="shared" si="39"/>
        <v>19.194000000000003</v>
      </c>
    </row>
    <row r="2548" spans="2:6">
      <c r="B2548" s="13" t="s">
        <v>2405</v>
      </c>
      <c r="C2548" s="13" t="s">
        <v>2408</v>
      </c>
      <c r="D2548" s="13">
        <v>53.9</v>
      </c>
      <c r="E2548" s="13">
        <v>5</v>
      </c>
      <c r="F2548" s="13">
        <f t="shared" si="39"/>
        <v>10.78</v>
      </c>
    </row>
    <row r="2549" spans="2:6">
      <c r="B2549" s="13" t="s">
        <v>2796</v>
      </c>
      <c r="C2549" s="13" t="s">
        <v>2797</v>
      </c>
      <c r="D2549" s="13">
        <v>99.2</v>
      </c>
      <c r="E2549" s="13">
        <v>5</v>
      </c>
      <c r="F2549" s="13">
        <f t="shared" si="39"/>
        <v>19.84</v>
      </c>
    </row>
    <row r="2550" spans="2:6">
      <c r="B2550" s="13" t="s">
        <v>493</v>
      </c>
      <c r="C2550" s="13" t="s">
        <v>498</v>
      </c>
      <c r="D2550" s="13">
        <v>15.920000000000002</v>
      </c>
      <c r="E2550" s="13">
        <v>5</v>
      </c>
      <c r="F2550" s="13">
        <f t="shared" si="39"/>
        <v>3.1840000000000002</v>
      </c>
    </row>
    <row r="2551" spans="2:6">
      <c r="B2551" s="13" t="s">
        <v>1597</v>
      </c>
      <c r="C2551" s="13" t="s">
        <v>1603</v>
      </c>
      <c r="D2551" s="13">
        <v>152.94</v>
      </c>
      <c r="E2551" s="13">
        <v>3</v>
      </c>
      <c r="F2551" s="13">
        <f t="shared" si="39"/>
        <v>50.98</v>
      </c>
    </row>
    <row r="2552" spans="2:6">
      <c r="B2552" s="13" t="s">
        <v>612</v>
      </c>
      <c r="C2552" s="13" t="s">
        <v>614</v>
      </c>
      <c r="D2552" s="13">
        <v>179.94</v>
      </c>
      <c r="E2552" s="13">
        <v>3</v>
      </c>
      <c r="F2552" s="13">
        <f t="shared" si="39"/>
        <v>59.98</v>
      </c>
    </row>
    <row r="2553" spans="2:6">
      <c r="B2553" s="13" t="s">
        <v>1816</v>
      </c>
      <c r="C2553" s="13" t="s">
        <v>1819</v>
      </c>
      <c r="D2553" s="13">
        <v>872.94</v>
      </c>
      <c r="E2553" s="13">
        <v>3</v>
      </c>
      <c r="F2553" s="13">
        <f t="shared" si="39"/>
        <v>290.98</v>
      </c>
    </row>
    <row r="2554" spans="2:6">
      <c r="B2554" s="13" t="s">
        <v>2798</v>
      </c>
      <c r="C2554" s="13" t="s">
        <v>2799</v>
      </c>
      <c r="D2554" s="13">
        <v>12.96</v>
      </c>
      <c r="E2554" s="13">
        <v>2</v>
      </c>
      <c r="F2554" s="13">
        <f t="shared" si="39"/>
        <v>6.48</v>
      </c>
    </row>
    <row r="2555" spans="2:6">
      <c r="B2555" s="13" t="s">
        <v>843</v>
      </c>
      <c r="C2555" s="13" t="s">
        <v>845</v>
      </c>
      <c r="D2555" s="13">
        <v>163.96</v>
      </c>
      <c r="E2555" s="13">
        <v>5</v>
      </c>
      <c r="F2555" s="13">
        <f t="shared" si="39"/>
        <v>32.792000000000002</v>
      </c>
    </row>
    <row r="2556" spans="2:6">
      <c r="B2556" s="13" t="s">
        <v>1606</v>
      </c>
      <c r="C2556" s="13" t="s">
        <v>1608</v>
      </c>
      <c r="D2556" s="13">
        <v>5.2319999999999984</v>
      </c>
      <c r="E2556" s="13">
        <v>4</v>
      </c>
      <c r="F2556" s="13">
        <f t="shared" si="39"/>
        <v>1.3079999999999996</v>
      </c>
    </row>
    <row r="2557" spans="2:6">
      <c r="B2557" s="13" t="s">
        <v>2723</v>
      </c>
      <c r="C2557" s="13" t="s">
        <v>2725</v>
      </c>
      <c r="D2557" s="13">
        <v>1199.98</v>
      </c>
      <c r="E2557" s="13">
        <v>2</v>
      </c>
      <c r="F2557" s="13">
        <f t="shared" si="39"/>
        <v>599.99</v>
      </c>
    </row>
    <row r="2558" spans="2:6">
      <c r="B2558" s="13" t="s">
        <v>136</v>
      </c>
      <c r="C2558" s="13" t="s">
        <v>140</v>
      </c>
      <c r="D2558" s="13">
        <v>73.849999999999994</v>
      </c>
      <c r="E2558" s="13">
        <v>1</v>
      </c>
      <c r="F2558" s="13">
        <f t="shared" si="39"/>
        <v>73.849999999999994</v>
      </c>
    </row>
    <row r="2559" spans="2:6">
      <c r="B2559" s="13" t="s">
        <v>2193</v>
      </c>
      <c r="C2559" s="13" t="s">
        <v>2194</v>
      </c>
      <c r="D2559" s="13">
        <v>25.71</v>
      </c>
      <c r="E2559" s="13">
        <v>3</v>
      </c>
      <c r="F2559" s="13">
        <f t="shared" si="39"/>
        <v>8.57</v>
      </c>
    </row>
    <row r="2560" spans="2:6">
      <c r="B2560" s="13" t="s">
        <v>2088</v>
      </c>
      <c r="C2560" s="13" t="s">
        <v>2093</v>
      </c>
      <c r="D2560" s="13">
        <v>17.28</v>
      </c>
      <c r="E2560" s="13">
        <v>6</v>
      </c>
      <c r="F2560" s="13">
        <f t="shared" si="39"/>
        <v>2.8800000000000003</v>
      </c>
    </row>
    <row r="2561" spans="2:6">
      <c r="B2561" s="13" t="s">
        <v>124</v>
      </c>
      <c r="C2561" s="13" t="s">
        <v>130</v>
      </c>
      <c r="D2561" s="13">
        <v>526.58199999999999</v>
      </c>
      <c r="E2561" s="13">
        <v>2</v>
      </c>
      <c r="F2561" s="13">
        <f t="shared" si="39"/>
        <v>263.291</v>
      </c>
    </row>
    <row r="2562" spans="2:6">
      <c r="B2562" s="13" t="s">
        <v>2800</v>
      </c>
      <c r="C2562" s="13" t="s">
        <v>2801</v>
      </c>
      <c r="D2562" s="13">
        <v>11.68</v>
      </c>
      <c r="E2562" s="13">
        <v>2</v>
      </c>
      <c r="F2562" s="13">
        <f t="shared" si="39"/>
        <v>5.84</v>
      </c>
    </row>
    <row r="2563" spans="2:6">
      <c r="B2563" s="13" t="s">
        <v>2489</v>
      </c>
      <c r="C2563" s="13" t="s">
        <v>2491</v>
      </c>
      <c r="D2563" s="13">
        <v>77.951999999999998</v>
      </c>
      <c r="E2563" s="13">
        <v>3</v>
      </c>
      <c r="F2563" s="13">
        <f t="shared" si="39"/>
        <v>25.983999999999998</v>
      </c>
    </row>
    <row r="2564" spans="2:6">
      <c r="B2564" s="13" t="s">
        <v>115</v>
      </c>
      <c r="C2564" s="13" t="s">
        <v>122</v>
      </c>
      <c r="D2564" s="13">
        <v>147.184</v>
      </c>
      <c r="E2564" s="13">
        <v>2</v>
      </c>
      <c r="F2564" s="13">
        <f t="shared" ref="F2564:F2627" si="40">D2564/E2564</f>
        <v>73.591999999999999</v>
      </c>
    </row>
    <row r="2565" spans="2:6">
      <c r="B2565" s="13" t="s">
        <v>2546</v>
      </c>
      <c r="C2565" s="13" t="s">
        <v>2550</v>
      </c>
      <c r="D2565" s="13">
        <v>47.952000000000005</v>
      </c>
      <c r="E2565" s="13">
        <v>3</v>
      </c>
      <c r="F2565" s="13">
        <f t="shared" si="40"/>
        <v>15.984000000000002</v>
      </c>
    </row>
    <row r="2566" spans="2:6">
      <c r="B2566" s="13" t="s">
        <v>2710</v>
      </c>
      <c r="C2566" s="13" t="s">
        <v>2711</v>
      </c>
      <c r="D2566" s="13">
        <v>40.775999999999996</v>
      </c>
      <c r="E2566" s="13">
        <v>3</v>
      </c>
      <c r="F2566" s="13">
        <f t="shared" si="40"/>
        <v>13.591999999999999</v>
      </c>
    </row>
    <row r="2567" spans="2:6">
      <c r="B2567" s="13" t="s">
        <v>1083</v>
      </c>
      <c r="C2567" s="13" t="s">
        <v>1087</v>
      </c>
      <c r="D2567" s="13">
        <v>159.96</v>
      </c>
      <c r="E2567" s="13">
        <v>4</v>
      </c>
      <c r="F2567" s="13">
        <f t="shared" si="40"/>
        <v>39.99</v>
      </c>
    </row>
    <row r="2568" spans="2:6">
      <c r="B2568" s="13" t="s">
        <v>2802</v>
      </c>
      <c r="C2568" s="13" t="s">
        <v>2803</v>
      </c>
      <c r="D2568" s="13">
        <v>40.74</v>
      </c>
      <c r="E2568" s="13">
        <v>3</v>
      </c>
      <c r="F2568" s="13">
        <f t="shared" si="40"/>
        <v>13.58</v>
      </c>
    </row>
    <row r="2569" spans="2:6">
      <c r="B2569" s="13" t="s">
        <v>1785</v>
      </c>
      <c r="C2569" s="13" t="s">
        <v>1786</v>
      </c>
      <c r="D2569" s="13">
        <v>291.13600000000002</v>
      </c>
      <c r="E2569" s="13">
        <v>4</v>
      </c>
      <c r="F2569" s="13">
        <f t="shared" si="40"/>
        <v>72.784000000000006</v>
      </c>
    </row>
    <row r="2570" spans="2:6">
      <c r="B2570" s="13" t="s">
        <v>2804</v>
      </c>
      <c r="C2570" s="13" t="s">
        <v>2805</v>
      </c>
      <c r="D2570" s="13">
        <v>114.84800000000001</v>
      </c>
      <c r="E2570" s="13">
        <v>4</v>
      </c>
      <c r="F2570" s="13">
        <f t="shared" si="40"/>
        <v>28.712000000000003</v>
      </c>
    </row>
    <row r="2571" spans="2:6">
      <c r="B2571" s="13" t="s">
        <v>2397</v>
      </c>
      <c r="C2571" s="13" t="s">
        <v>2401</v>
      </c>
      <c r="D2571" s="13">
        <v>10.688000000000001</v>
      </c>
      <c r="E2571" s="13">
        <v>2</v>
      </c>
      <c r="F2571" s="13">
        <f t="shared" si="40"/>
        <v>5.3440000000000003</v>
      </c>
    </row>
    <row r="2572" spans="2:6">
      <c r="B2572" s="13" t="s">
        <v>1299</v>
      </c>
      <c r="C2572" s="13" t="s">
        <v>1302</v>
      </c>
      <c r="D2572" s="13">
        <v>12.419999999999998</v>
      </c>
      <c r="E2572" s="13">
        <v>3</v>
      </c>
      <c r="F2572" s="13">
        <f t="shared" si="40"/>
        <v>4.1399999999999997</v>
      </c>
    </row>
    <row r="2573" spans="2:6">
      <c r="B2573" s="13" t="s">
        <v>1765</v>
      </c>
      <c r="C2573" s="13" t="s">
        <v>1767</v>
      </c>
      <c r="D2573" s="13">
        <v>12.672000000000001</v>
      </c>
      <c r="E2573" s="13">
        <v>9</v>
      </c>
      <c r="F2573" s="13">
        <f t="shared" si="40"/>
        <v>1.4080000000000001</v>
      </c>
    </row>
    <row r="2574" spans="2:6">
      <c r="B2574" s="13" t="s">
        <v>1556</v>
      </c>
      <c r="C2574" s="13" t="s">
        <v>1557</v>
      </c>
      <c r="D2574" s="13">
        <v>89.949999999999989</v>
      </c>
      <c r="E2574" s="13">
        <v>5</v>
      </c>
      <c r="F2574" s="13">
        <f t="shared" si="40"/>
        <v>17.989999999999998</v>
      </c>
    </row>
    <row r="2575" spans="2:6">
      <c r="B2575" s="13" t="s">
        <v>760</v>
      </c>
      <c r="C2575" s="13" t="s">
        <v>762</v>
      </c>
      <c r="D2575" s="13">
        <v>25.92</v>
      </c>
      <c r="E2575" s="13">
        <v>4</v>
      </c>
      <c r="F2575" s="13">
        <f t="shared" si="40"/>
        <v>6.48</v>
      </c>
    </row>
    <row r="2576" spans="2:6">
      <c r="B2576" s="13" t="s">
        <v>2806</v>
      </c>
      <c r="C2576" s="13" t="s">
        <v>2808</v>
      </c>
      <c r="D2576" s="13">
        <v>268.24</v>
      </c>
      <c r="E2576" s="13">
        <v>7</v>
      </c>
      <c r="F2576" s="13">
        <f t="shared" si="40"/>
        <v>38.32</v>
      </c>
    </row>
    <row r="2577" spans="2:6">
      <c r="B2577" s="13" t="s">
        <v>656</v>
      </c>
      <c r="C2577" s="13" t="s">
        <v>662</v>
      </c>
      <c r="D2577" s="13">
        <v>431.16000000000008</v>
      </c>
      <c r="E2577" s="13">
        <v>5</v>
      </c>
      <c r="F2577" s="13">
        <f t="shared" si="40"/>
        <v>86.232000000000014</v>
      </c>
    </row>
    <row r="2578" spans="2:6">
      <c r="B2578" s="13" t="s">
        <v>2736</v>
      </c>
      <c r="C2578" s="13" t="s">
        <v>2738</v>
      </c>
      <c r="D2578" s="13">
        <v>43.6</v>
      </c>
      <c r="E2578" s="13">
        <v>4</v>
      </c>
      <c r="F2578" s="13">
        <f t="shared" si="40"/>
        <v>10.9</v>
      </c>
    </row>
    <row r="2579" spans="2:6">
      <c r="B2579" s="13" t="s">
        <v>2807</v>
      </c>
      <c r="C2579" s="13" t="s">
        <v>2809</v>
      </c>
      <c r="D2579" s="13">
        <v>154.94999999999999</v>
      </c>
      <c r="E2579" s="13">
        <v>3</v>
      </c>
      <c r="F2579" s="13">
        <f t="shared" si="40"/>
        <v>51.65</v>
      </c>
    </row>
    <row r="2580" spans="2:6">
      <c r="B2580" s="13" t="s">
        <v>944</v>
      </c>
      <c r="C2580" s="13" t="s">
        <v>946</v>
      </c>
      <c r="D2580" s="13">
        <v>10.368000000000002</v>
      </c>
      <c r="E2580" s="13">
        <v>2</v>
      </c>
      <c r="F2580" s="13">
        <f t="shared" si="40"/>
        <v>5.1840000000000011</v>
      </c>
    </row>
    <row r="2581" spans="2:6">
      <c r="B2581" s="13" t="s">
        <v>2413</v>
      </c>
      <c r="C2581" s="13" t="s">
        <v>2415</v>
      </c>
      <c r="D2581" s="13">
        <v>2.2239999999999998</v>
      </c>
      <c r="E2581" s="13">
        <v>1</v>
      </c>
      <c r="F2581" s="13">
        <f t="shared" si="40"/>
        <v>2.2239999999999998</v>
      </c>
    </row>
    <row r="2582" spans="2:6">
      <c r="B2582" s="13" t="s">
        <v>1124</v>
      </c>
      <c r="C2582" s="13" t="s">
        <v>1126</v>
      </c>
      <c r="D2582" s="13">
        <v>17.52</v>
      </c>
      <c r="E2582" s="13">
        <v>3</v>
      </c>
      <c r="F2582" s="13">
        <f t="shared" si="40"/>
        <v>5.84</v>
      </c>
    </row>
    <row r="2583" spans="2:6">
      <c r="B2583" s="13" t="s">
        <v>2545</v>
      </c>
      <c r="C2583" s="13" t="s">
        <v>2549</v>
      </c>
      <c r="D2583" s="13">
        <v>1779.9</v>
      </c>
      <c r="E2583" s="13">
        <v>5</v>
      </c>
      <c r="F2583" s="13">
        <f t="shared" si="40"/>
        <v>355.98</v>
      </c>
    </row>
    <row r="2584" spans="2:6">
      <c r="B2584" s="13" t="s">
        <v>1994</v>
      </c>
      <c r="C2584" s="13" t="s">
        <v>2000</v>
      </c>
      <c r="D2584" s="13">
        <v>219.89999999999998</v>
      </c>
      <c r="E2584" s="13">
        <v>5</v>
      </c>
      <c r="F2584" s="13">
        <f t="shared" si="40"/>
        <v>43.98</v>
      </c>
    </row>
    <row r="2585" spans="2:6">
      <c r="B2585" s="13" t="s">
        <v>1693</v>
      </c>
      <c r="C2585" s="13" t="s">
        <v>1699</v>
      </c>
      <c r="D2585" s="13">
        <v>26.720000000000002</v>
      </c>
      <c r="E2585" s="13">
        <v>5</v>
      </c>
      <c r="F2585" s="13">
        <f t="shared" si="40"/>
        <v>5.3440000000000003</v>
      </c>
    </row>
    <row r="2586" spans="2:6">
      <c r="B2586" s="13" t="s">
        <v>2810</v>
      </c>
      <c r="C2586" s="13" t="s">
        <v>2811</v>
      </c>
      <c r="D2586" s="13">
        <v>4.8420000000000005</v>
      </c>
      <c r="E2586" s="13">
        <v>3</v>
      </c>
      <c r="F2586" s="13">
        <f t="shared" si="40"/>
        <v>1.6140000000000001</v>
      </c>
    </row>
    <row r="2587" spans="2:6">
      <c r="B2587" s="13" t="s">
        <v>2660</v>
      </c>
      <c r="C2587" s="13" t="s">
        <v>2665</v>
      </c>
      <c r="D2587" s="13">
        <v>39.984000000000002</v>
      </c>
      <c r="E2587" s="13">
        <v>2</v>
      </c>
      <c r="F2587" s="13">
        <f t="shared" si="40"/>
        <v>19.992000000000001</v>
      </c>
    </row>
    <row r="2588" spans="2:6">
      <c r="B2588" s="13" t="s">
        <v>1283</v>
      </c>
      <c r="C2588" s="13" t="s">
        <v>1286</v>
      </c>
      <c r="D2588" s="13">
        <v>47.01</v>
      </c>
      <c r="E2588" s="13">
        <v>3</v>
      </c>
      <c r="F2588" s="13">
        <f t="shared" si="40"/>
        <v>15.67</v>
      </c>
    </row>
    <row r="2589" spans="2:6">
      <c r="B2589" s="13" t="s">
        <v>2714</v>
      </c>
      <c r="C2589" s="13" t="s">
        <v>2715</v>
      </c>
      <c r="D2589" s="13">
        <v>469.99</v>
      </c>
      <c r="E2589" s="13">
        <v>1</v>
      </c>
      <c r="F2589" s="13">
        <f t="shared" si="40"/>
        <v>469.99</v>
      </c>
    </row>
    <row r="2590" spans="2:6">
      <c r="B2590" s="13" t="s">
        <v>242</v>
      </c>
      <c r="C2590" s="13" t="s">
        <v>244</v>
      </c>
      <c r="D2590" s="13">
        <v>207.84600000000003</v>
      </c>
      <c r="E2590" s="13">
        <v>3</v>
      </c>
      <c r="F2590" s="13">
        <f t="shared" si="40"/>
        <v>69.282000000000011</v>
      </c>
    </row>
    <row r="2591" spans="2:6">
      <c r="B2591" s="13" t="s">
        <v>2462</v>
      </c>
      <c r="C2591" s="13" t="s">
        <v>2463</v>
      </c>
      <c r="D2591" s="13">
        <v>324.74400000000003</v>
      </c>
      <c r="E2591" s="13">
        <v>3</v>
      </c>
      <c r="F2591" s="13">
        <f t="shared" si="40"/>
        <v>108.248</v>
      </c>
    </row>
    <row r="2592" spans="2:6">
      <c r="B2592" s="13" t="s">
        <v>2812</v>
      </c>
      <c r="C2592" s="13" t="s">
        <v>2814</v>
      </c>
      <c r="D2592" s="13">
        <v>1497.6659999999999</v>
      </c>
      <c r="E2592" s="13">
        <v>2</v>
      </c>
      <c r="F2592" s="13">
        <f t="shared" si="40"/>
        <v>748.83299999999997</v>
      </c>
    </row>
    <row r="2593" spans="2:6">
      <c r="B2593" s="13" t="s">
        <v>2813</v>
      </c>
      <c r="C2593" s="13" t="s">
        <v>2815</v>
      </c>
      <c r="D2593" s="13">
        <v>17.52</v>
      </c>
      <c r="E2593" s="13">
        <v>2</v>
      </c>
      <c r="F2593" s="13">
        <f t="shared" si="40"/>
        <v>8.76</v>
      </c>
    </row>
    <row r="2594" spans="2:6">
      <c r="B2594" s="13" t="s">
        <v>866</v>
      </c>
      <c r="C2594" s="13" t="s">
        <v>870</v>
      </c>
      <c r="D2594" s="13">
        <v>11.84</v>
      </c>
      <c r="E2594" s="13">
        <v>8</v>
      </c>
      <c r="F2594" s="13">
        <f t="shared" si="40"/>
        <v>1.48</v>
      </c>
    </row>
    <row r="2595" spans="2:6">
      <c r="B2595" s="13" t="s">
        <v>2816</v>
      </c>
      <c r="C2595" s="13" t="s">
        <v>2817</v>
      </c>
      <c r="D2595" s="13">
        <v>592.74</v>
      </c>
      <c r="E2595" s="13">
        <v>6</v>
      </c>
      <c r="F2595" s="13">
        <f t="shared" si="40"/>
        <v>98.79</v>
      </c>
    </row>
    <row r="2596" spans="2:6">
      <c r="B2596" s="13" t="s">
        <v>366</v>
      </c>
      <c r="C2596" s="13" t="s">
        <v>368</v>
      </c>
      <c r="D2596" s="13">
        <v>508.76800000000003</v>
      </c>
      <c r="E2596" s="13">
        <v>4</v>
      </c>
      <c r="F2596" s="13">
        <f t="shared" si="40"/>
        <v>127.19200000000001</v>
      </c>
    </row>
    <row r="2597" spans="2:6">
      <c r="B2597" s="13" t="s">
        <v>2818</v>
      </c>
      <c r="C2597" s="13" t="s">
        <v>2819</v>
      </c>
      <c r="D2597" s="13">
        <v>9.9120000000000008</v>
      </c>
      <c r="E2597" s="13">
        <v>3</v>
      </c>
      <c r="F2597" s="13">
        <f t="shared" si="40"/>
        <v>3.3040000000000003</v>
      </c>
    </row>
    <row r="2598" spans="2:6">
      <c r="B2598" s="13" t="s">
        <v>752</v>
      </c>
      <c r="C2598" s="13" t="s">
        <v>755</v>
      </c>
      <c r="D2598" s="13">
        <v>124.404</v>
      </c>
      <c r="E2598" s="13">
        <v>4</v>
      </c>
      <c r="F2598" s="13">
        <f t="shared" si="40"/>
        <v>31.100999999999999</v>
      </c>
    </row>
    <row r="2599" spans="2:6">
      <c r="B2599" s="13" t="s">
        <v>2744</v>
      </c>
      <c r="C2599" s="13" t="s">
        <v>2745</v>
      </c>
      <c r="D2599" s="13">
        <v>320.64</v>
      </c>
      <c r="E2599" s="13">
        <v>4</v>
      </c>
      <c r="F2599" s="13">
        <f t="shared" si="40"/>
        <v>80.16</v>
      </c>
    </row>
    <row r="2600" spans="2:6">
      <c r="B2600" s="13" t="s">
        <v>1105</v>
      </c>
      <c r="C2600" s="13" t="s">
        <v>1107</v>
      </c>
      <c r="D2600" s="13">
        <v>52</v>
      </c>
      <c r="E2600" s="13">
        <v>4</v>
      </c>
      <c r="F2600" s="13">
        <f t="shared" si="40"/>
        <v>13</v>
      </c>
    </row>
    <row r="2601" spans="2:6">
      <c r="B2601" s="13" t="s">
        <v>876</v>
      </c>
      <c r="C2601" s="13" t="s">
        <v>880</v>
      </c>
      <c r="D2601" s="13">
        <v>18.528000000000002</v>
      </c>
      <c r="E2601" s="13">
        <v>4</v>
      </c>
      <c r="F2601" s="13">
        <f t="shared" si="40"/>
        <v>4.6320000000000006</v>
      </c>
    </row>
    <row r="2602" spans="2:6">
      <c r="B2602" s="13" t="s">
        <v>2567</v>
      </c>
      <c r="C2602" s="13" t="s">
        <v>2568</v>
      </c>
      <c r="D2602" s="13">
        <v>24</v>
      </c>
      <c r="E2602" s="13">
        <v>2</v>
      </c>
      <c r="F2602" s="13">
        <f t="shared" si="40"/>
        <v>12</v>
      </c>
    </row>
    <row r="2603" spans="2:6">
      <c r="B2603" s="13" t="s">
        <v>458</v>
      </c>
      <c r="C2603" s="13" t="s">
        <v>465</v>
      </c>
      <c r="D2603" s="13">
        <v>24.448</v>
      </c>
      <c r="E2603" s="13">
        <v>4</v>
      </c>
      <c r="F2603" s="13">
        <f t="shared" si="40"/>
        <v>6.1120000000000001</v>
      </c>
    </row>
    <row r="2604" spans="2:6">
      <c r="B2604" s="13" t="s">
        <v>183</v>
      </c>
      <c r="C2604" s="13" t="s">
        <v>185</v>
      </c>
      <c r="D2604" s="13">
        <v>31.104000000000006</v>
      </c>
      <c r="E2604" s="13">
        <v>6</v>
      </c>
      <c r="F2604" s="13">
        <f t="shared" si="40"/>
        <v>5.1840000000000011</v>
      </c>
    </row>
    <row r="2605" spans="2:6">
      <c r="B2605" s="13" t="s">
        <v>2676</v>
      </c>
      <c r="C2605" s="13" t="s">
        <v>2679</v>
      </c>
      <c r="D2605" s="13">
        <v>11.176000000000002</v>
      </c>
      <c r="E2605" s="13">
        <v>1</v>
      </c>
      <c r="F2605" s="13">
        <f t="shared" si="40"/>
        <v>11.176000000000002</v>
      </c>
    </row>
    <row r="2606" spans="2:6">
      <c r="B2606" s="13" t="s">
        <v>1153</v>
      </c>
      <c r="C2606" s="13" t="s">
        <v>1155</v>
      </c>
      <c r="D2606" s="13">
        <v>13.343999999999998</v>
      </c>
      <c r="E2606" s="13">
        <v>6</v>
      </c>
      <c r="F2606" s="13">
        <f t="shared" si="40"/>
        <v>2.2239999999999998</v>
      </c>
    </row>
    <row r="2607" spans="2:6">
      <c r="B2607" s="13" t="s">
        <v>1955</v>
      </c>
      <c r="C2607" s="13" t="s">
        <v>1957</v>
      </c>
      <c r="D2607" s="13">
        <v>76.75200000000001</v>
      </c>
      <c r="E2607" s="13">
        <v>6</v>
      </c>
      <c r="F2607" s="13">
        <f t="shared" si="40"/>
        <v>12.792000000000002</v>
      </c>
    </row>
    <row r="2608" spans="2:6">
      <c r="B2608" s="13" t="s">
        <v>1955</v>
      </c>
      <c r="C2608" s="13" t="s">
        <v>1957</v>
      </c>
      <c r="D2608" s="13">
        <v>102.33600000000001</v>
      </c>
      <c r="E2608" s="13">
        <v>8</v>
      </c>
      <c r="F2608" s="13">
        <f t="shared" si="40"/>
        <v>12.792000000000002</v>
      </c>
    </row>
    <row r="2609" spans="2:6">
      <c r="B2609" s="13" t="s">
        <v>1690</v>
      </c>
      <c r="C2609" s="13" t="s">
        <v>1696</v>
      </c>
      <c r="D2609" s="13">
        <v>10.32</v>
      </c>
      <c r="E2609" s="13">
        <v>2</v>
      </c>
      <c r="F2609" s="13">
        <f t="shared" si="40"/>
        <v>5.16</v>
      </c>
    </row>
    <row r="2610" spans="2:6">
      <c r="B2610" s="13" t="s">
        <v>2820</v>
      </c>
      <c r="C2610" s="13" t="s">
        <v>2823</v>
      </c>
      <c r="D2610" s="13">
        <v>47.32</v>
      </c>
      <c r="E2610" s="13">
        <v>7</v>
      </c>
      <c r="F2610" s="13">
        <f t="shared" si="40"/>
        <v>6.76</v>
      </c>
    </row>
    <row r="2611" spans="2:6">
      <c r="B2611" s="13" t="s">
        <v>2821</v>
      </c>
      <c r="C2611" s="13" t="s">
        <v>549</v>
      </c>
      <c r="D2611" s="13">
        <v>23.376000000000001</v>
      </c>
      <c r="E2611" s="13">
        <v>3</v>
      </c>
      <c r="F2611" s="13">
        <f t="shared" si="40"/>
        <v>7.7920000000000007</v>
      </c>
    </row>
    <row r="2612" spans="2:6">
      <c r="B2612" s="13" t="s">
        <v>810</v>
      </c>
      <c r="C2612" s="13" t="s">
        <v>817</v>
      </c>
      <c r="D2612" s="13">
        <v>16.72</v>
      </c>
      <c r="E2612" s="13">
        <v>5</v>
      </c>
      <c r="F2612" s="13">
        <f t="shared" si="40"/>
        <v>3.3439999999999999</v>
      </c>
    </row>
    <row r="2613" spans="2:6">
      <c r="B2613" s="13" t="s">
        <v>2822</v>
      </c>
      <c r="C2613" s="13" t="s">
        <v>2824</v>
      </c>
      <c r="D2613" s="13">
        <v>16.192</v>
      </c>
      <c r="E2613" s="13">
        <v>1</v>
      </c>
      <c r="F2613" s="13">
        <f t="shared" si="40"/>
        <v>16.192</v>
      </c>
    </row>
    <row r="2614" spans="2:6">
      <c r="B2614" s="13" t="s">
        <v>2759</v>
      </c>
      <c r="C2614" s="13" t="s">
        <v>2760</v>
      </c>
      <c r="D2614" s="13">
        <v>13.919999999999998</v>
      </c>
      <c r="E2614" s="13">
        <v>3</v>
      </c>
      <c r="F2614" s="13">
        <f t="shared" si="40"/>
        <v>4.6399999999999997</v>
      </c>
    </row>
    <row r="2615" spans="2:6">
      <c r="B2615" s="13" t="s">
        <v>2825</v>
      </c>
      <c r="C2615" s="13" t="s">
        <v>2828</v>
      </c>
      <c r="D2615" s="13">
        <v>82.4</v>
      </c>
      <c r="E2615" s="13">
        <v>5</v>
      </c>
      <c r="F2615" s="13">
        <f t="shared" si="40"/>
        <v>16.48</v>
      </c>
    </row>
    <row r="2616" spans="2:6">
      <c r="B2616" s="13" t="s">
        <v>1108</v>
      </c>
      <c r="C2616" s="13" t="s">
        <v>1111</v>
      </c>
      <c r="D2616" s="13">
        <v>6.24</v>
      </c>
      <c r="E2616" s="13">
        <v>2</v>
      </c>
      <c r="F2616" s="13">
        <f t="shared" si="40"/>
        <v>3.12</v>
      </c>
    </row>
    <row r="2617" spans="2:6">
      <c r="B2617" s="13" t="s">
        <v>204</v>
      </c>
      <c r="C2617" s="13" t="s">
        <v>217</v>
      </c>
      <c r="D2617" s="13">
        <v>447.84</v>
      </c>
      <c r="E2617" s="13">
        <v>8</v>
      </c>
      <c r="F2617" s="13">
        <f t="shared" si="40"/>
        <v>55.98</v>
      </c>
    </row>
    <row r="2618" spans="2:6">
      <c r="B2618" s="13" t="s">
        <v>342</v>
      </c>
      <c r="C2618" s="13" t="s">
        <v>345</v>
      </c>
      <c r="D2618" s="13">
        <v>272.048</v>
      </c>
      <c r="E2618" s="13">
        <v>7</v>
      </c>
      <c r="F2618" s="13">
        <f t="shared" si="40"/>
        <v>38.863999999999997</v>
      </c>
    </row>
    <row r="2619" spans="2:6">
      <c r="B2619" s="13" t="s">
        <v>981</v>
      </c>
      <c r="C2619" s="13" t="s">
        <v>982</v>
      </c>
      <c r="D2619" s="13">
        <v>1614.5820000000003</v>
      </c>
      <c r="E2619" s="13">
        <v>6</v>
      </c>
      <c r="F2619" s="13">
        <f t="shared" si="40"/>
        <v>269.09700000000004</v>
      </c>
    </row>
    <row r="2620" spans="2:6">
      <c r="B2620" s="13" t="s">
        <v>1637</v>
      </c>
      <c r="C2620" s="13" t="s">
        <v>90</v>
      </c>
      <c r="D2620" s="13">
        <v>24.320000000000004</v>
      </c>
      <c r="E2620" s="13">
        <v>5</v>
      </c>
      <c r="F2620" s="13">
        <f t="shared" si="40"/>
        <v>4.8640000000000008</v>
      </c>
    </row>
    <row r="2621" spans="2:6">
      <c r="B2621" s="13" t="s">
        <v>1390</v>
      </c>
      <c r="C2621" s="13" t="s">
        <v>1395</v>
      </c>
      <c r="D2621" s="13">
        <v>1.5840000000000001</v>
      </c>
      <c r="E2621" s="13">
        <v>2</v>
      </c>
      <c r="F2621" s="13">
        <f t="shared" si="40"/>
        <v>0.79200000000000004</v>
      </c>
    </row>
    <row r="2622" spans="2:6">
      <c r="B2622" s="13" t="s">
        <v>2826</v>
      </c>
      <c r="C2622" s="13" t="s">
        <v>2829</v>
      </c>
      <c r="D2622" s="13">
        <v>31.983999999999998</v>
      </c>
      <c r="E2622" s="13">
        <v>1</v>
      </c>
      <c r="F2622" s="13">
        <f t="shared" si="40"/>
        <v>31.983999999999998</v>
      </c>
    </row>
    <row r="2623" spans="2:6">
      <c r="B2623" s="13" t="s">
        <v>2325</v>
      </c>
      <c r="C2623" s="13" t="s">
        <v>2331</v>
      </c>
      <c r="D2623" s="13">
        <v>14.76</v>
      </c>
      <c r="E2623" s="13">
        <v>5</v>
      </c>
      <c r="F2623" s="13">
        <f t="shared" si="40"/>
        <v>2.952</v>
      </c>
    </row>
    <row r="2624" spans="2:6">
      <c r="B2624" s="13" t="s">
        <v>2827</v>
      </c>
      <c r="C2624" s="13" t="s">
        <v>2830</v>
      </c>
      <c r="D2624" s="13">
        <v>423.64799999999997</v>
      </c>
      <c r="E2624" s="13">
        <v>2</v>
      </c>
      <c r="F2624" s="13">
        <f t="shared" si="40"/>
        <v>211.82399999999998</v>
      </c>
    </row>
    <row r="2625" spans="2:6">
      <c r="B2625" s="13" t="s">
        <v>2831</v>
      </c>
      <c r="C2625" s="13" t="s">
        <v>2833</v>
      </c>
      <c r="D2625" s="13">
        <v>25.695999999999998</v>
      </c>
      <c r="E2625" s="13">
        <v>2</v>
      </c>
      <c r="F2625" s="13">
        <f t="shared" si="40"/>
        <v>12.847999999999999</v>
      </c>
    </row>
    <row r="2626" spans="2:6">
      <c r="B2626" s="13" t="s">
        <v>2832</v>
      </c>
      <c r="C2626" s="13" t="s">
        <v>2834</v>
      </c>
      <c r="D2626" s="13">
        <v>3404.5</v>
      </c>
      <c r="E2626" s="13">
        <v>5</v>
      </c>
      <c r="F2626" s="13">
        <f t="shared" si="40"/>
        <v>680.9</v>
      </c>
    </row>
    <row r="2627" spans="2:6">
      <c r="B2627" s="13" t="s">
        <v>2290</v>
      </c>
      <c r="C2627" s="13" t="s">
        <v>2292</v>
      </c>
      <c r="D2627" s="13">
        <v>101.34</v>
      </c>
      <c r="E2627" s="13">
        <v>3</v>
      </c>
      <c r="F2627" s="13">
        <f t="shared" si="40"/>
        <v>33.78</v>
      </c>
    </row>
    <row r="2628" spans="2:6">
      <c r="B2628" s="13" t="s">
        <v>2537</v>
      </c>
      <c r="C2628" s="13" t="s">
        <v>2542</v>
      </c>
      <c r="D2628" s="13">
        <v>30.384</v>
      </c>
      <c r="E2628" s="13">
        <v>1</v>
      </c>
      <c r="F2628" s="13">
        <f t="shared" ref="F2628:F2691" si="41">D2628/E2628</f>
        <v>30.384</v>
      </c>
    </row>
    <row r="2629" spans="2:6">
      <c r="B2629" s="13" t="s">
        <v>2410</v>
      </c>
      <c r="C2629" s="13" t="s">
        <v>2411</v>
      </c>
      <c r="D2629" s="13">
        <v>38.619999999999997</v>
      </c>
      <c r="E2629" s="13">
        <v>2</v>
      </c>
      <c r="F2629" s="13">
        <f t="shared" si="41"/>
        <v>19.309999999999999</v>
      </c>
    </row>
    <row r="2630" spans="2:6">
      <c r="B2630" s="13" t="s">
        <v>2835</v>
      </c>
      <c r="C2630" s="13" t="s">
        <v>2836</v>
      </c>
      <c r="D2630" s="13">
        <v>59.98</v>
      </c>
      <c r="E2630" s="13">
        <v>2</v>
      </c>
      <c r="F2630" s="13">
        <f t="shared" si="41"/>
        <v>29.99</v>
      </c>
    </row>
    <row r="2631" spans="2:6">
      <c r="B2631" s="13" t="s">
        <v>696</v>
      </c>
      <c r="C2631" s="13" t="s">
        <v>699</v>
      </c>
      <c r="D2631" s="13">
        <v>174.3</v>
      </c>
      <c r="E2631" s="13">
        <v>3</v>
      </c>
      <c r="F2631" s="13">
        <f t="shared" si="41"/>
        <v>58.1</v>
      </c>
    </row>
    <row r="2632" spans="2:6">
      <c r="B2632" s="13" t="s">
        <v>1561</v>
      </c>
      <c r="C2632" s="13" t="s">
        <v>1565</v>
      </c>
      <c r="D2632" s="13">
        <v>383.96000000000004</v>
      </c>
      <c r="E2632" s="13">
        <v>5</v>
      </c>
      <c r="F2632" s="13">
        <f t="shared" si="41"/>
        <v>76.792000000000002</v>
      </c>
    </row>
    <row r="2633" spans="2:6">
      <c r="B2633" s="13" t="s">
        <v>2698</v>
      </c>
      <c r="C2633" s="13" t="s">
        <v>2699</v>
      </c>
      <c r="D2633" s="13">
        <v>15.570000000000004</v>
      </c>
      <c r="E2633" s="13">
        <v>3</v>
      </c>
      <c r="F2633" s="13">
        <f t="shared" si="41"/>
        <v>5.1900000000000013</v>
      </c>
    </row>
    <row r="2634" spans="2:6">
      <c r="B2634" s="13" t="s">
        <v>1400</v>
      </c>
      <c r="C2634" s="13" t="s">
        <v>1402</v>
      </c>
      <c r="D2634" s="13">
        <v>2.9699999999999998</v>
      </c>
      <c r="E2634" s="13">
        <v>3</v>
      </c>
      <c r="F2634" s="13">
        <f t="shared" si="41"/>
        <v>0.98999999999999988</v>
      </c>
    </row>
    <row r="2635" spans="2:6">
      <c r="B2635" s="13" t="s">
        <v>2426</v>
      </c>
      <c r="C2635" s="13" t="s">
        <v>2429</v>
      </c>
      <c r="D2635" s="13">
        <v>569.99</v>
      </c>
      <c r="E2635" s="13">
        <v>1</v>
      </c>
      <c r="F2635" s="13">
        <f t="shared" si="41"/>
        <v>569.99</v>
      </c>
    </row>
    <row r="2636" spans="2:6">
      <c r="B2636" s="13" t="s">
        <v>2757</v>
      </c>
      <c r="C2636" s="13" t="s">
        <v>2758</v>
      </c>
      <c r="D2636" s="13">
        <v>50.97</v>
      </c>
      <c r="E2636" s="13">
        <v>3</v>
      </c>
      <c r="F2636" s="13">
        <f t="shared" si="41"/>
        <v>16.989999999999998</v>
      </c>
    </row>
    <row r="2637" spans="2:6">
      <c r="B2637" s="13" t="s">
        <v>967</v>
      </c>
      <c r="C2637" s="13" t="s">
        <v>968</v>
      </c>
      <c r="D2637" s="13">
        <v>298.11599999999999</v>
      </c>
      <c r="E2637" s="13">
        <v>6</v>
      </c>
      <c r="F2637" s="13">
        <f t="shared" si="41"/>
        <v>49.686</v>
      </c>
    </row>
    <row r="2638" spans="2:6">
      <c r="B2638" s="13" t="s">
        <v>1130</v>
      </c>
      <c r="C2638" s="13" t="s">
        <v>978</v>
      </c>
      <c r="D2638" s="13">
        <v>23.36</v>
      </c>
      <c r="E2638" s="13">
        <v>2</v>
      </c>
      <c r="F2638" s="13">
        <f t="shared" si="41"/>
        <v>11.68</v>
      </c>
    </row>
    <row r="2639" spans="2:6">
      <c r="B2639" s="13" t="s">
        <v>771</v>
      </c>
      <c r="C2639" s="13" t="s">
        <v>774</v>
      </c>
      <c r="D2639" s="13">
        <v>71.975999999999999</v>
      </c>
      <c r="E2639" s="13">
        <v>3</v>
      </c>
      <c r="F2639" s="13">
        <f t="shared" si="41"/>
        <v>23.992000000000001</v>
      </c>
    </row>
    <row r="2640" spans="2:6">
      <c r="B2640" s="13" t="s">
        <v>921</v>
      </c>
      <c r="C2640" s="13" t="s">
        <v>924</v>
      </c>
      <c r="D2640" s="13">
        <v>8.56</v>
      </c>
      <c r="E2640" s="13">
        <v>2</v>
      </c>
      <c r="F2640" s="13">
        <f t="shared" si="41"/>
        <v>4.28</v>
      </c>
    </row>
    <row r="2641" spans="2:6">
      <c r="B2641" s="13" t="s">
        <v>1478</v>
      </c>
      <c r="C2641" s="13" t="s">
        <v>1484</v>
      </c>
      <c r="D2641" s="13">
        <v>13.919999999999998</v>
      </c>
      <c r="E2641" s="13">
        <v>3</v>
      </c>
      <c r="F2641" s="13">
        <f t="shared" si="41"/>
        <v>4.6399999999999997</v>
      </c>
    </row>
    <row r="2642" spans="2:6">
      <c r="B2642" s="13" t="s">
        <v>94</v>
      </c>
      <c r="C2642" s="13" t="s">
        <v>98</v>
      </c>
      <c r="D2642" s="13">
        <v>2518.29</v>
      </c>
      <c r="E2642" s="13">
        <v>9</v>
      </c>
      <c r="F2642" s="13">
        <f t="shared" si="41"/>
        <v>279.81</v>
      </c>
    </row>
    <row r="2643" spans="2:6">
      <c r="B2643" s="13" t="s">
        <v>2273</v>
      </c>
      <c r="C2643" s="13" t="s">
        <v>2275</v>
      </c>
      <c r="D2643" s="13">
        <v>540.56999999999994</v>
      </c>
      <c r="E2643" s="13">
        <v>3</v>
      </c>
      <c r="F2643" s="13">
        <f t="shared" si="41"/>
        <v>180.18999999999997</v>
      </c>
    </row>
    <row r="2644" spans="2:6">
      <c r="B2644" s="13" t="s">
        <v>1989</v>
      </c>
      <c r="C2644" s="13" t="s">
        <v>1990</v>
      </c>
      <c r="D2644" s="13">
        <v>221.05600000000001</v>
      </c>
      <c r="E2644" s="13">
        <v>8</v>
      </c>
      <c r="F2644" s="13">
        <f t="shared" si="41"/>
        <v>27.632000000000001</v>
      </c>
    </row>
    <row r="2645" spans="2:6">
      <c r="B2645" s="13" t="s">
        <v>510</v>
      </c>
      <c r="C2645" s="13" t="s">
        <v>516</v>
      </c>
      <c r="D2645" s="13">
        <v>39.581999999999987</v>
      </c>
      <c r="E2645" s="13">
        <v>9</v>
      </c>
      <c r="F2645" s="13">
        <f t="shared" si="41"/>
        <v>4.3979999999999988</v>
      </c>
    </row>
    <row r="2646" spans="2:6">
      <c r="B2646" s="13" t="s">
        <v>1431</v>
      </c>
      <c r="C2646" s="13" t="s">
        <v>609</v>
      </c>
      <c r="D2646" s="13">
        <v>44.688000000000002</v>
      </c>
      <c r="E2646" s="13">
        <v>7</v>
      </c>
      <c r="F2646" s="13">
        <f t="shared" si="41"/>
        <v>6.3840000000000003</v>
      </c>
    </row>
    <row r="2647" spans="2:6">
      <c r="B2647" s="13" t="s">
        <v>2753</v>
      </c>
      <c r="C2647" s="13" t="s">
        <v>2756</v>
      </c>
      <c r="D2647" s="13">
        <v>31.744</v>
      </c>
      <c r="E2647" s="13">
        <v>2</v>
      </c>
      <c r="F2647" s="13">
        <f t="shared" si="41"/>
        <v>15.872</v>
      </c>
    </row>
    <row r="2648" spans="2:6">
      <c r="B2648" s="13" t="s">
        <v>605</v>
      </c>
      <c r="C2648" s="13" t="s">
        <v>607</v>
      </c>
      <c r="D2648" s="13">
        <v>40.97999999999999</v>
      </c>
      <c r="E2648" s="13">
        <v>5</v>
      </c>
      <c r="F2648" s="13">
        <f t="shared" si="41"/>
        <v>8.195999999999998</v>
      </c>
    </row>
    <row r="2649" spans="2:6">
      <c r="B2649" s="13" t="s">
        <v>867</v>
      </c>
      <c r="C2649" s="13" t="s">
        <v>871</v>
      </c>
      <c r="D2649" s="13">
        <v>3.1679999999999993</v>
      </c>
      <c r="E2649" s="13">
        <v>3</v>
      </c>
      <c r="F2649" s="13">
        <f t="shared" si="41"/>
        <v>1.0559999999999998</v>
      </c>
    </row>
    <row r="2650" spans="2:6">
      <c r="B2650" s="13" t="s">
        <v>2837</v>
      </c>
      <c r="C2650" s="13" t="s">
        <v>2841</v>
      </c>
      <c r="D2650" s="13">
        <v>435.16800000000006</v>
      </c>
      <c r="E2650" s="13">
        <v>4</v>
      </c>
      <c r="F2650" s="13">
        <f t="shared" si="41"/>
        <v>108.79200000000002</v>
      </c>
    </row>
    <row r="2651" spans="2:6">
      <c r="B2651" s="13" t="s">
        <v>87</v>
      </c>
      <c r="C2651" s="13" t="s">
        <v>90</v>
      </c>
      <c r="D2651" s="13">
        <v>14.9</v>
      </c>
      <c r="E2651" s="13">
        <v>5</v>
      </c>
      <c r="F2651" s="13">
        <f t="shared" si="41"/>
        <v>2.98</v>
      </c>
    </row>
    <row r="2652" spans="2:6">
      <c r="B2652" s="13" t="s">
        <v>2838</v>
      </c>
      <c r="C2652" s="13" t="s">
        <v>2842</v>
      </c>
      <c r="D2652" s="13">
        <v>15.8</v>
      </c>
      <c r="E2652" s="13">
        <v>4</v>
      </c>
      <c r="F2652" s="13">
        <f t="shared" si="41"/>
        <v>3.95</v>
      </c>
    </row>
    <row r="2653" spans="2:6">
      <c r="B2653" s="13" t="s">
        <v>2839</v>
      </c>
      <c r="C2653" s="13" t="s">
        <v>2843</v>
      </c>
      <c r="D2653" s="13">
        <v>72.900000000000006</v>
      </c>
      <c r="E2653" s="13">
        <v>5</v>
      </c>
      <c r="F2653" s="13">
        <f t="shared" si="41"/>
        <v>14.580000000000002</v>
      </c>
    </row>
    <row r="2654" spans="2:6">
      <c r="B2654" s="13" t="s">
        <v>2719</v>
      </c>
      <c r="C2654" s="13" t="s">
        <v>1677</v>
      </c>
      <c r="D2654" s="13">
        <v>206.35200000000003</v>
      </c>
      <c r="E2654" s="13">
        <v>3</v>
      </c>
      <c r="F2654" s="13">
        <f t="shared" si="41"/>
        <v>68.784000000000006</v>
      </c>
    </row>
    <row r="2655" spans="2:6">
      <c r="B2655" s="13" t="s">
        <v>1228</v>
      </c>
      <c r="C2655" s="13" t="s">
        <v>1233</v>
      </c>
      <c r="D2655" s="13">
        <v>7.9920000000000009</v>
      </c>
      <c r="E2655" s="13">
        <v>1</v>
      </c>
      <c r="F2655" s="13">
        <f t="shared" si="41"/>
        <v>7.9920000000000009</v>
      </c>
    </row>
    <row r="2656" spans="2:6">
      <c r="B2656" s="13" t="s">
        <v>1621</v>
      </c>
      <c r="C2656" s="13" t="s">
        <v>1623</v>
      </c>
      <c r="D2656" s="13">
        <v>81.360000000000014</v>
      </c>
      <c r="E2656" s="13">
        <v>5</v>
      </c>
      <c r="F2656" s="13">
        <f t="shared" si="41"/>
        <v>16.272000000000002</v>
      </c>
    </row>
    <row r="2657" spans="2:6">
      <c r="B2657" s="13" t="s">
        <v>813</v>
      </c>
      <c r="C2657" s="13" t="s">
        <v>820</v>
      </c>
      <c r="D2657" s="13">
        <v>20.232000000000003</v>
      </c>
      <c r="E2657" s="13">
        <v>8</v>
      </c>
      <c r="F2657" s="13">
        <f t="shared" si="41"/>
        <v>2.5290000000000004</v>
      </c>
    </row>
    <row r="2658" spans="2:6">
      <c r="B2658" s="13" t="s">
        <v>99</v>
      </c>
      <c r="C2658" s="13" t="s">
        <v>100</v>
      </c>
      <c r="D2658" s="13">
        <v>389.05600000000004</v>
      </c>
      <c r="E2658" s="13">
        <v>4</v>
      </c>
      <c r="F2658" s="13">
        <f t="shared" si="41"/>
        <v>97.26400000000001</v>
      </c>
    </row>
    <row r="2659" spans="2:6">
      <c r="B2659" s="13" t="s">
        <v>2374</v>
      </c>
      <c r="C2659" s="13" t="s">
        <v>2378</v>
      </c>
      <c r="D2659" s="13">
        <v>20.736000000000004</v>
      </c>
      <c r="E2659" s="13">
        <v>4</v>
      </c>
      <c r="F2659" s="13">
        <f t="shared" si="41"/>
        <v>5.1840000000000011</v>
      </c>
    </row>
    <row r="2660" spans="2:6">
      <c r="B2660" s="13" t="s">
        <v>2840</v>
      </c>
      <c r="C2660" s="13" t="s">
        <v>2844</v>
      </c>
      <c r="D2660" s="13">
        <v>41.472000000000008</v>
      </c>
      <c r="E2660" s="13">
        <v>8</v>
      </c>
      <c r="F2660" s="13">
        <f t="shared" si="41"/>
        <v>5.1840000000000011</v>
      </c>
    </row>
    <row r="2661" spans="2:6">
      <c r="B2661" s="13" t="s">
        <v>1244</v>
      </c>
      <c r="C2661" s="13" t="s">
        <v>90</v>
      </c>
      <c r="D2661" s="13">
        <v>15.120000000000001</v>
      </c>
      <c r="E2661" s="13">
        <v>5</v>
      </c>
      <c r="F2661" s="13">
        <f t="shared" si="41"/>
        <v>3.024</v>
      </c>
    </row>
    <row r="2662" spans="2:6">
      <c r="B2662" s="13" t="s">
        <v>2100</v>
      </c>
      <c r="C2662" s="13" t="s">
        <v>2101</v>
      </c>
      <c r="D2662" s="13">
        <v>7.8719999999999999</v>
      </c>
      <c r="E2662" s="13">
        <v>3</v>
      </c>
      <c r="F2662" s="13">
        <f t="shared" si="41"/>
        <v>2.6240000000000001</v>
      </c>
    </row>
    <row r="2663" spans="2:6">
      <c r="B2663" s="13" t="s">
        <v>654</v>
      </c>
      <c r="C2663" s="13" t="s">
        <v>660</v>
      </c>
      <c r="D2663" s="13">
        <v>199.75</v>
      </c>
      <c r="E2663" s="13">
        <v>5</v>
      </c>
      <c r="F2663" s="13">
        <f t="shared" si="41"/>
        <v>39.950000000000003</v>
      </c>
    </row>
    <row r="2664" spans="2:6">
      <c r="B2664" s="13" t="s">
        <v>2040</v>
      </c>
      <c r="C2664" s="13" t="s">
        <v>2041</v>
      </c>
      <c r="D2664" s="13">
        <v>1673.1839999999997</v>
      </c>
      <c r="E2664" s="13">
        <v>12</v>
      </c>
      <c r="F2664" s="13">
        <f t="shared" si="41"/>
        <v>139.43199999999999</v>
      </c>
    </row>
    <row r="2665" spans="2:6">
      <c r="B2665" s="13" t="s">
        <v>2788</v>
      </c>
      <c r="C2665" s="13" t="s">
        <v>2790</v>
      </c>
      <c r="D2665" s="13">
        <v>663.92</v>
      </c>
      <c r="E2665" s="13">
        <v>5</v>
      </c>
      <c r="F2665" s="13">
        <f t="shared" si="41"/>
        <v>132.78399999999999</v>
      </c>
    </row>
    <row r="2666" spans="2:6">
      <c r="B2666" s="13" t="s">
        <v>2567</v>
      </c>
      <c r="C2666" s="13" t="s">
        <v>2568</v>
      </c>
      <c r="D2666" s="13">
        <v>120</v>
      </c>
      <c r="E2666" s="13">
        <v>8</v>
      </c>
      <c r="F2666" s="13">
        <f t="shared" si="41"/>
        <v>15</v>
      </c>
    </row>
    <row r="2667" spans="2:6">
      <c r="B2667" s="13" t="s">
        <v>1997</v>
      </c>
      <c r="C2667" s="13" t="s">
        <v>2002</v>
      </c>
      <c r="D2667" s="13">
        <v>3.29</v>
      </c>
      <c r="E2667" s="13">
        <v>1</v>
      </c>
      <c r="F2667" s="13">
        <f t="shared" si="41"/>
        <v>3.29</v>
      </c>
    </row>
    <row r="2668" spans="2:6">
      <c r="B2668" s="13" t="s">
        <v>2170</v>
      </c>
      <c r="C2668" s="13" t="s">
        <v>2172</v>
      </c>
      <c r="D2668" s="13">
        <v>18.84</v>
      </c>
      <c r="E2668" s="13">
        <v>3</v>
      </c>
      <c r="F2668" s="13">
        <f t="shared" si="41"/>
        <v>6.28</v>
      </c>
    </row>
    <row r="2669" spans="2:6">
      <c r="B2669" s="13" t="s">
        <v>113</v>
      </c>
      <c r="C2669" s="13" t="s">
        <v>120</v>
      </c>
      <c r="D2669" s="13">
        <v>52.792000000000002</v>
      </c>
      <c r="E2669" s="13">
        <v>1</v>
      </c>
      <c r="F2669" s="13">
        <f t="shared" si="41"/>
        <v>52.792000000000002</v>
      </c>
    </row>
    <row r="2670" spans="2:6">
      <c r="B2670" s="13" t="s">
        <v>1880</v>
      </c>
      <c r="C2670" s="13" t="s">
        <v>1881</v>
      </c>
      <c r="D2670" s="13">
        <v>83.9</v>
      </c>
      <c r="E2670" s="13">
        <v>10</v>
      </c>
      <c r="F2670" s="13">
        <f t="shared" si="41"/>
        <v>8.39</v>
      </c>
    </row>
    <row r="2671" spans="2:6">
      <c r="B2671" s="13" t="s">
        <v>792</v>
      </c>
      <c r="C2671" s="13" t="s">
        <v>795</v>
      </c>
      <c r="D2671" s="13">
        <v>11.76</v>
      </c>
      <c r="E2671" s="13">
        <v>2</v>
      </c>
      <c r="F2671" s="13">
        <f t="shared" si="41"/>
        <v>5.88</v>
      </c>
    </row>
    <row r="2672" spans="2:6">
      <c r="B2672" s="13" t="s">
        <v>2676</v>
      </c>
      <c r="C2672" s="13" t="s">
        <v>2679</v>
      </c>
      <c r="D2672" s="13">
        <v>41.910000000000004</v>
      </c>
      <c r="E2672" s="13">
        <v>3</v>
      </c>
      <c r="F2672" s="13">
        <f t="shared" si="41"/>
        <v>13.97</v>
      </c>
    </row>
    <row r="2673" spans="2:6">
      <c r="B2673" s="13" t="s">
        <v>2845</v>
      </c>
      <c r="C2673" s="13" t="s">
        <v>2848</v>
      </c>
      <c r="D2673" s="13">
        <v>435.99900000000002</v>
      </c>
      <c r="E2673" s="13">
        <v>3</v>
      </c>
      <c r="F2673" s="13">
        <f t="shared" si="41"/>
        <v>145.333</v>
      </c>
    </row>
    <row r="2674" spans="2:6">
      <c r="B2674" s="13" t="s">
        <v>2651</v>
      </c>
      <c r="C2674" s="13" t="s">
        <v>2653</v>
      </c>
      <c r="D2674" s="13">
        <v>388.70400000000006</v>
      </c>
      <c r="E2674" s="13">
        <v>6</v>
      </c>
      <c r="F2674" s="13">
        <f t="shared" si="41"/>
        <v>64.784000000000006</v>
      </c>
    </row>
    <row r="2675" spans="2:6">
      <c r="B2675" s="13" t="s">
        <v>1035</v>
      </c>
      <c r="C2675" s="13" t="s">
        <v>1056</v>
      </c>
      <c r="D2675" s="13">
        <v>572.58000000000004</v>
      </c>
      <c r="E2675" s="13">
        <v>6</v>
      </c>
      <c r="F2675" s="13">
        <f t="shared" si="41"/>
        <v>95.43</v>
      </c>
    </row>
    <row r="2676" spans="2:6">
      <c r="B2676" s="13" t="s">
        <v>2846</v>
      </c>
      <c r="C2676" s="13" t="s">
        <v>2849</v>
      </c>
      <c r="D2676" s="13">
        <v>33.18</v>
      </c>
      <c r="E2676" s="13">
        <v>2</v>
      </c>
      <c r="F2676" s="13">
        <f t="shared" si="41"/>
        <v>16.59</v>
      </c>
    </row>
    <row r="2677" spans="2:6">
      <c r="B2677" s="13" t="s">
        <v>521</v>
      </c>
      <c r="C2677" s="13" t="s">
        <v>523</v>
      </c>
      <c r="D2677" s="13">
        <v>63.88</v>
      </c>
      <c r="E2677" s="13">
        <v>4</v>
      </c>
      <c r="F2677" s="13">
        <f t="shared" si="41"/>
        <v>15.97</v>
      </c>
    </row>
    <row r="2678" spans="2:6">
      <c r="B2678" s="13" t="s">
        <v>2847</v>
      </c>
      <c r="C2678" s="13" t="s">
        <v>2850</v>
      </c>
      <c r="D2678" s="13">
        <v>26.72</v>
      </c>
      <c r="E2678" s="13">
        <v>1</v>
      </c>
      <c r="F2678" s="13">
        <f t="shared" si="41"/>
        <v>26.72</v>
      </c>
    </row>
    <row r="2679" spans="2:6">
      <c r="B2679" s="13" t="s">
        <v>2444</v>
      </c>
      <c r="C2679" s="13" t="s">
        <v>2445</v>
      </c>
      <c r="D2679" s="13">
        <v>295.05599999999998</v>
      </c>
      <c r="E2679" s="13">
        <v>9</v>
      </c>
      <c r="F2679" s="13">
        <f t="shared" si="41"/>
        <v>32.783999999999999</v>
      </c>
    </row>
    <row r="2680" spans="2:6">
      <c r="B2680" s="13" t="s">
        <v>1491</v>
      </c>
      <c r="C2680" s="13" t="s">
        <v>1495</v>
      </c>
      <c r="D2680" s="13">
        <v>16.272000000000002</v>
      </c>
      <c r="E2680" s="13">
        <v>3</v>
      </c>
      <c r="F2680" s="13">
        <f t="shared" si="41"/>
        <v>5.4240000000000004</v>
      </c>
    </row>
    <row r="2681" spans="2:6">
      <c r="B2681" s="13" t="s">
        <v>1099</v>
      </c>
      <c r="C2681" s="13" t="s">
        <v>1101</v>
      </c>
      <c r="D2681" s="13">
        <v>2.6550000000000002</v>
      </c>
      <c r="E2681" s="13">
        <v>1</v>
      </c>
      <c r="F2681" s="13">
        <f t="shared" si="41"/>
        <v>2.6550000000000002</v>
      </c>
    </row>
    <row r="2682" spans="2:6">
      <c r="B2682" s="13" t="s">
        <v>985</v>
      </c>
      <c r="C2682" s="13" t="s">
        <v>988</v>
      </c>
      <c r="D2682" s="13">
        <v>454.56000000000006</v>
      </c>
      <c r="E2682" s="13">
        <v>5</v>
      </c>
      <c r="F2682" s="13">
        <f t="shared" si="41"/>
        <v>90.912000000000006</v>
      </c>
    </row>
    <row r="2683" spans="2:6">
      <c r="B2683" s="13" t="s">
        <v>2851</v>
      </c>
      <c r="C2683" s="13" t="s">
        <v>2852</v>
      </c>
      <c r="D2683" s="13">
        <v>141.41999999999999</v>
      </c>
      <c r="E2683" s="13">
        <v>5</v>
      </c>
      <c r="F2683" s="13">
        <f t="shared" si="41"/>
        <v>28.283999999999999</v>
      </c>
    </row>
    <row r="2684" spans="2:6">
      <c r="B2684" s="13" t="s">
        <v>2496</v>
      </c>
      <c r="C2684" s="13" t="s">
        <v>2498</v>
      </c>
      <c r="D2684" s="13">
        <v>310.74399999999997</v>
      </c>
      <c r="E2684" s="13">
        <v>4</v>
      </c>
      <c r="F2684" s="13">
        <f t="shared" si="41"/>
        <v>77.685999999999993</v>
      </c>
    </row>
    <row r="2685" spans="2:6">
      <c r="B2685" s="13" t="s">
        <v>493</v>
      </c>
      <c r="C2685" s="13" t="s">
        <v>498</v>
      </c>
      <c r="D2685" s="13">
        <v>12.736000000000001</v>
      </c>
      <c r="E2685" s="13">
        <v>4</v>
      </c>
      <c r="F2685" s="13">
        <f t="shared" si="41"/>
        <v>3.1840000000000002</v>
      </c>
    </row>
    <row r="2686" spans="2:6">
      <c r="B2686" s="13" t="s">
        <v>432</v>
      </c>
      <c r="C2686" s="13" t="s">
        <v>438</v>
      </c>
      <c r="D2686" s="13">
        <v>6.469999999999998</v>
      </c>
      <c r="E2686" s="13">
        <v>5</v>
      </c>
      <c r="F2686" s="13">
        <f t="shared" si="41"/>
        <v>1.2939999999999996</v>
      </c>
    </row>
    <row r="2687" spans="2:6">
      <c r="B2687" s="13" t="s">
        <v>102</v>
      </c>
      <c r="C2687" s="13" t="s">
        <v>106</v>
      </c>
      <c r="D2687" s="13">
        <v>13.747999999999998</v>
      </c>
      <c r="E2687" s="13">
        <v>14</v>
      </c>
      <c r="F2687" s="13">
        <f t="shared" si="41"/>
        <v>0.98199999999999987</v>
      </c>
    </row>
    <row r="2688" spans="2:6">
      <c r="B2688" s="13" t="s">
        <v>1769</v>
      </c>
      <c r="C2688" s="13" t="s">
        <v>1771</v>
      </c>
      <c r="D2688" s="13">
        <v>15.223999999999997</v>
      </c>
      <c r="E2688" s="13">
        <v>2</v>
      </c>
      <c r="F2688" s="13">
        <f t="shared" si="41"/>
        <v>7.6119999999999983</v>
      </c>
    </row>
    <row r="2689" spans="2:6">
      <c r="B2689" s="13" t="s">
        <v>2208</v>
      </c>
      <c r="C2689" s="13" t="s">
        <v>2210</v>
      </c>
      <c r="D2689" s="13">
        <v>28.08</v>
      </c>
      <c r="E2689" s="13">
        <v>3</v>
      </c>
      <c r="F2689" s="13">
        <f t="shared" si="41"/>
        <v>9.36</v>
      </c>
    </row>
    <row r="2690" spans="2:6">
      <c r="B2690" s="13" t="s">
        <v>716</v>
      </c>
      <c r="C2690" s="13" t="s">
        <v>717</v>
      </c>
      <c r="D2690" s="13">
        <v>109.9</v>
      </c>
      <c r="E2690" s="13">
        <v>5</v>
      </c>
      <c r="F2690" s="13">
        <f t="shared" si="41"/>
        <v>21.98</v>
      </c>
    </row>
    <row r="2691" spans="2:6">
      <c r="B2691" s="13" t="s">
        <v>538</v>
      </c>
      <c r="C2691" s="13" t="s">
        <v>549</v>
      </c>
      <c r="D2691" s="13">
        <v>23.88</v>
      </c>
      <c r="E2691" s="13">
        <v>3</v>
      </c>
      <c r="F2691" s="13">
        <f t="shared" si="41"/>
        <v>7.96</v>
      </c>
    </row>
    <row r="2692" spans="2:6">
      <c r="B2692" s="13" t="s">
        <v>2853</v>
      </c>
      <c r="C2692" s="13" t="s">
        <v>2855</v>
      </c>
      <c r="D2692" s="13">
        <v>26.2</v>
      </c>
      <c r="E2692" s="13">
        <v>4</v>
      </c>
      <c r="F2692" s="13">
        <f t="shared" ref="F2692:F2755" si="42">D2692/E2692</f>
        <v>6.55</v>
      </c>
    </row>
    <row r="2693" spans="2:6">
      <c r="B2693" s="13" t="s">
        <v>1161</v>
      </c>
      <c r="C2693" s="13" t="s">
        <v>1164</v>
      </c>
      <c r="D2693" s="13">
        <v>12.96</v>
      </c>
      <c r="E2693" s="13">
        <v>2</v>
      </c>
      <c r="F2693" s="13">
        <f t="shared" si="42"/>
        <v>6.48</v>
      </c>
    </row>
    <row r="2694" spans="2:6">
      <c r="B2694" s="13" t="s">
        <v>2766</v>
      </c>
      <c r="C2694" s="13" t="s">
        <v>2771</v>
      </c>
      <c r="D2694" s="13">
        <v>234.95000000000002</v>
      </c>
      <c r="E2694" s="13">
        <v>5</v>
      </c>
      <c r="F2694" s="13">
        <f t="shared" si="42"/>
        <v>46.99</v>
      </c>
    </row>
    <row r="2695" spans="2:6">
      <c r="B2695" s="13" t="s">
        <v>2854</v>
      </c>
      <c r="C2695" s="13" t="s">
        <v>2856</v>
      </c>
      <c r="D2695" s="13">
        <v>118.25</v>
      </c>
      <c r="E2695" s="13">
        <v>5</v>
      </c>
      <c r="F2695" s="13">
        <f t="shared" si="42"/>
        <v>23.65</v>
      </c>
    </row>
    <row r="2696" spans="2:6">
      <c r="B2696" s="13" t="s">
        <v>1675</v>
      </c>
      <c r="C2696" s="13" t="s">
        <v>1678</v>
      </c>
      <c r="D2696" s="13">
        <v>4.28</v>
      </c>
      <c r="E2696" s="13">
        <v>1</v>
      </c>
      <c r="F2696" s="13">
        <f t="shared" si="42"/>
        <v>4.28</v>
      </c>
    </row>
    <row r="2697" spans="2:6">
      <c r="B2697" s="13" t="s">
        <v>2094</v>
      </c>
      <c r="C2697" s="13" t="s">
        <v>2096</v>
      </c>
      <c r="D2697" s="13">
        <v>89.066399999999987</v>
      </c>
      <c r="E2697" s="13">
        <v>1</v>
      </c>
      <c r="F2697" s="13">
        <f t="shared" si="42"/>
        <v>89.066399999999987</v>
      </c>
    </row>
    <row r="2698" spans="2:6">
      <c r="B2698" s="13" t="s">
        <v>2857</v>
      </c>
      <c r="C2698" s="13" t="s">
        <v>2858</v>
      </c>
      <c r="D2698" s="13">
        <v>175.44</v>
      </c>
      <c r="E2698" s="13">
        <v>6</v>
      </c>
      <c r="F2698" s="13">
        <f t="shared" si="42"/>
        <v>29.24</v>
      </c>
    </row>
    <row r="2699" spans="2:6">
      <c r="B2699" s="13" t="s">
        <v>1985</v>
      </c>
      <c r="C2699" s="13" t="s">
        <v>1987</v>
      </c>
      <c r="D2699" s="13">
        <v>438.33600000000001</v>
      </c>
      <c r="E2699" s="13">
        <v>4</v>
      </c>
      <c r="F2699" s="13">
        <f t="shared" si="42"/>
        <v>109.584</v>
      </c>
    </row>
    <row r="2700" spans="2:6">
      <c r="B2700" s="13" t="s">
        <v>242</v>
      </c>
      <c r="C2700" s="13" t="s">
        <v>244</v>
      </c>
      <c r="D2700" s="13">
        <v>215.54400000000001</v>
      </c>
      <c r="E2700" s="13">
        <v>4</v>
      </c>
      <c r="F2700" s="13">
        <f t="shared" si="42"/>
        <v>53.886000000000003</v>
      </c>
    </row>
    <row r="2701" spans="2:6">
      <c r="B2701" s="13" t="s">
        <v>2375</v>
      </c>
      <c r="C2701" s="13" t="s">
        <v>2231</v>
      </c>
      <c r="D2701" s="13">
        <v>55.584000000000003</v>
      </c>
      <c r="E2701" s="13">
        <v>6</v>
      </c>
      <c r="F2701" s="13">
        <f t="shared" si="42"/>
        <v>9.2640000000000011</v>
      </c>
    </row>
    <row r="2702" spans="2:6">
      <c r="B2702" s="13" t="s">
        <v>1471</v>
      </c>
      <c r="C2702" s="13" t="s">
        <v>1474</v>
      </c>
      <c r="D2702" s="13">
        <v>127.38599999999998</v>
      </c>
      <c r="E2702" s="13">
        <v>2</v>
      </c>
      <c r="F2702" s="13">
        <f t="shared" si="42"/>
        <v>63.692999999999991</v>
      </c>
    </row>
    <row r="2703" spans="2:6">
      <c r="B2703" s="13" t="s">
        <v>2859</v>
      </c>
      <c r="C2703" s="13" t="s">
        <v>2861</v>
      </c>
      <c r="D2703" s="13">
        <v>20.64</v>
      </c>
      <c r="E2703" s="13">
        <v>5</v>
      </c>
      <c r="F2703" s="13">
        <f t="shared" si="42"/>
        <v>4.1280000000000001</v>
      </c>
    </row>
    <row r="2704" spans="2:6">
      <c r="B2704" s="13" t="s">
        <v>2860</v>
      </c>
      <c r="C2704" s="13" t="s">
        <v>2862</v>
      </c>
      <c r="D2704" s="13">
        <v>148.02000000000001</v>
      </c>
      <c r="E2704" s="13">
        <v>3</v>
      </c>
      <c r="F2704" s="13">
        <f t="shared" si="42"/>
        <v>49.34</v>
      </c>
    </row>
    <row r="2705" spans="2:6">
      <c r="B2705" s="13" t="s">
        <v>2087</v>
      </c>
      <c r="C2705" s="13" t="s">
        <v>2092</v>
      </c>
      <c r="D2705" s="13">
        <v>33.29</v>
      </c>
      <c r="E2705" s="13">
        <v>1</v>
      </c>
      <c r="F2705" s="13">
        <f t="shared" si="42"/>
        <v>33.29</v>
      </c>
    </row>
    <row r="2706" spans="2:6">
      <c r="B2706" s="13" t="s">
        <v>1791</v>
      </c>
      <c r="C2706" s="13" t="s">
        <v>1794</v>
      </c>
      <c r="D2706" s="13">
        <v>204.95000000000002</v>
      </c>
      <c r="E2706" s="13">
        <v>5</v>
      </c>
      <c r="F2706" s="13">
        <f t="shared" si="42"/>
        <v>40.99</v>
      </c>
    </row>
    <row r="2707" spans="2:6">
      <c r="B2707" s="13" t="s">
        <v>301</v>
      </c>
      <c r="C2707" s="13" t="s">
        <v>310</v>
      </c>
      <c r="D2707" s="13">
        <v>526.34399999999994</v>
      </c>
      <c r="E2707" s="13">
        <v>4</v>
      </c>
      <c r="F2707" s="13">
        <f t="shared" si="42"/>
        <v>131.58599999999998</v>
      </c>
    </row>
    <row r="2708" spans="2:6">
      <c r="B2708" s="13" t="s">
        <v>652</v>
      </c>
      <c r="C2708" s="13" t="s">
        <v>658</v>
      </c>
      <c r="D2708" s="13">
        <v>161.56800000000001</v>
      </c>
      <c r="E2708" s="13">
        <v>2</v>
      </c>
      <c r="F2708" s="13">
        <f t="shared" si="42"/>
        <v>80.784000000000006</v>
      </c>
    </row>
    <row r="2709" spans="2:6">
      <c r="B2709" s="13" t="s">
        <v>2262</v>
      </c>
      <c r="C2709" s="13" t="s">
        <v>2263</v>
      </c>
      <c r="D2709" s="13">
        <v>64.959999999999994</v>
      </c>
      <c r="E2709" s="13">
        <v>5</v>
      </c>
      <c r="F2709" s="13">
        <f t="shared" si="42"/>
        <v>12.991999999999999</v>
      </c>
    </row>
    <row r="2710" spans="2:6">
      <c r="B2710" s="13" t="s">
        <v>45</v>
      </c>
      <c r="C2710" s="13" t="s">
        <v>46</v>
      </c>
      <c r="D2710" s="13">
        <v>49.12</v>
      </c>
      <c r="E2710" s="13">
        <v>4</v>
      </c>
      <c r="F2710" s="13">
        <f t="shared" si="42"/>
        <v>12.28</v>
      </c>
    </row>
    <row r="2711" spans="2:6">
      <c r="B2711" s="13" t="s">
        <v>2863</v>
      </c>
      <c r="C2711" s="13" t="s">
        <v>2864</v>
      </c>
      <c r="D2711" s="13">
        <v>32.479999999999997</v>
      </c>
      <c r="E2711" s="13">
        <v>2</v>
      </c>
      <c r="F2711" s="13">
        <f t="shared" si="42"/>
        <v>16.239999999999998</v>
      </c>
    </row>
    <row r="2712" spans="2:6">
      <c r="B2712" s="13" t="s">
        <v>286</v>
      </c>
      <c r="C2712" s="13" t="s">
        <v>288</v>
      </c>
      <c r="D2712" s="13">
        <v>20.04</v>
      </c>
      <c r="E2712" s="13">
        <v>3</v>
      </c>
      <c r="F2712" s="13">
        <f t="shared" si="42"/>
        <v>6.68</v>
      </c>
    </row>
    <row r="2713" spans="2:6">
      <c r="B2713" s="13" t="s">
        <v>1325</v>
      </c>
      <c r="C2713" s="13" t="s">
        <v>1330</v>
      </c>
      <c r="D2713" s="13">
        <v>13999.96</v>
      </c>
      <c r="E2713" s="13">
        <v>4</v>
      </c>
      <c r="F2713" s="13">
        <f t="shared" si="42"/>
        <v>3499.99</v>
      </c>
    </row>
    <row r="2714" spans="2:6">
      <c r="B2714" s="13" t="s">
        <v>1028</v>
      </c>
      <c r="C2714" s="13" t="s">
        <v>1049</v>
      </c>
      <c r="D2714" s="13">
        <v>238</v>
      </c>
      <c r="E2714" s="13">
        <v>2</v>
      </c>
      <c r="F2714" s="13">
        <f t="shared" si="42"/>
        <v>119</v>
      </c>
    </row>
    <row r="2715" spans="2:6">
      <c r="B2715" s="13" t="s">
        <v>2731</v>
      </c>
      <c r="C2715" s="13" t="s">
        <v>2732</v>
      </c>
      <c r="D2715" s="13">
        <v>61.96</v>
      </c>
      <c r="E2715" s="13">
        <v>2</v>
      </c>
      <c r="F2715" s="13">
        <f t="shared" si="42"/>
        <v>30.98</v>
      </c>
    </row>
    <row r="2716" spans="2:6">
      <c r="B2716" s="13" t="s">
        <v>2865</v>
      </c>
      <c r="C2716" s="13" t="s">
        <v>2866</v>
      </c>
      <c r="D2716" s="13">
        <v>16.032</v>
      </c>
      <c r="E2716" s="13">
        <v>3</v>
      </c>
      <c r="F2716" s="13">
        <f t="shared" si="42"/>
        <v>5.3440000000000003</v>
      </c>
    </row>
    <row r="2717" spans="2:6">
      <c r="B2717" s="13" t="s">
        <v>1816</v>
      </c>
      <c r="C2717" s="13" t="s">
        <v>1819</v>
      </c>
      <c r="D2717" s="13">
        <v>2036.8600000000001</v>
      </c>
      <c r="E2717" s="13">
        <v>7</v>
      </c>
      <c r="F2717" s="13">
        <f t="shared" si="42"/>
        <v>290.98</v>
      </c>
    </row>
    <row r="2718" spans="2:6">
      <c r="B2718" s="13" t="s">
        <v>738</v>
      </c>
      <c r="C2718" s="13" t="s">
        <v>746</v>
      </c>
      <c r="D2718" s="13">
        <v>449.56800000000004</v>
      </c>
      <c r="E2718" s="13">
        <v>2</v>
      </c>
      <c r="F2718" s="13">
        <f t="shared" si="42"/>
        <v>224.78400000000002</v>
      </c>
    </row>
    <row r="2719" spans="2:6">
      <c r="B2719" s="13" t="s">
        <v>1766</v>
      </c>
      <c r="C2719" s="13" t="s">
        <v>1768</v>
      </c>
      <c r="D2719" s="13">
        <v>108.96000000000001</v>
      </c>
      <c r="E2719" s="13">
        <v>3</v>
      </c>
      <c r="F2719" s="13">
        <f t="shared" si="42"/>
        <v>36.32</v>
      </c>
    </row>
    <row r="2720" spans="2:6">
      <c r="B2720" s="13" t="s">
        <v>1649</v>
      </c>
      <c r="C2720" s="13" t="s">
        <v>1656</v>
      </c>
      <c r="D2720" s="13">
        <v>474.95</v>
      </c>
      <c r="E2720" s="13">
        <v>5</v>
      </c>
      <c r="F2720" s="13">
        <f t="shared" si="42"/>
        <v>94.99</v>
      </c>
    </row>
    <row r="2721" spans="2:6">
      <c r="B2721" s="13" t="s">
        <v>951</v>
      </c>
      <c r="C2721" s="13" t="s">
        <v>955</v>
      </c>
      <c r="D2721" s="13">
        <v>22.608000000000001</v>
      </c>
      <c r="E2721" s="13">
        <v>3</v>
      </c>
      <c r="F2721" s="13">
        <f t="shared" si="42"/>
        <v>7.5360000000000005</v>
      </c>
    </row>
    <row r="2722" spans="2:6">
      <c r="B2722" s="13" t="s">
        <v>919</v>
      </c>
      <c r="C2722" s="13" t="s">
        <v>922</v>
      </c>
      <c r="D2722" s="13">
        <v>1.8920000000000003</v>
      </c>
      <c r="E2722" s="13">
        <v>1</v>
      </c>
      <c r="F2722" s="13">
        <f t="shared" si="42"/>
        <v>1.8920000000000003</v>
      </c>
    </row>
    <row r="2723" spans="2:6">
      <c r="B2723" s="13" t="s">
        <v>2787</v>
      </c>
      <c r="C2723" s="13" t="s">
        <v>2789</v>
      </c>
      <c r="D2723" s="13">
        <v>63.311999999999998</v>
      </c>
      <c r="E2723" s="13">
        <v>3</v>
      </c>
      <c r="F2723" s="13">
        <f t="shared" si="42"/>
        <v>21.103999999999999</v>
      </c>
    </row>
    <row r="2724" spans="2:6">
      <c r="B2724" s="13" t="s">
        <v>1735</v>
      </c>
      <c r="C2724" s="13" t="s">
        <v>1741</v>
      </c>
      <c r="D2724" s="13">
        <v>38.880000000000003</v>
      </c>
      <c r="E2724" s="13">
        <v>6</v>
      </c>
      <c r="F2724" s="13">
        <f t="shared" si="42"/>
        <v>6.48</v>
      </c>
    </row>
    <row r="2725" spans="2:6">
      <c r="B2725" s="13" t="s">
        <v>520</v>
      </c>
      <c r="C2725" s="13" t="s">
        <v>522</v>
      </c>
      <c r="D2725" s="13">
        <v>187.76</v>
      </c>
      <c r="E2725" s="13">
        <v>4</v>
      </c>
      <c r="F2725" s="13">
        <f t="shared" si="42"/>
        <v>46.94</v>
      </c>
    </row>
    <row r="2726" spans="2:6">
      <c r="B2726" s="13" t="s">
        <v>1580</v>
      </c>
      <c r="C2726" s="13" t="s">
        <v>1584</v>
      </c>
      <c r="D2726" s="13">
        <v>89.567999999999998</v>
      </c>
      <c r="E2726" s="13">
        <v>4</v>
      </c>
      <c r="F2726" s="13">
        <f t="shared" si="42"/>
        <v>22.391999999999999</v>
      </c>
    </row>
    <row r="2727" spans="2:6">
      <c r="B2727" s="13" t="s">
        <v>2867</v>
      </c>
      <c r="C2727" s="13" t="s">
        <v>2868</v>
      </c>
      <c r="D2727" s="13">
        <v>71.959999999999994</v>
      </c>
      <c r="E2727" s="13">
        <v>5</v>
      </c>
      <c r="F2727" s="13">
        <f t="shared" si="42"/>
        <v>14.391999999999999</v>
      </c>
    </row>
    <row r="2728" spans="2:6">
      <c r="B2728" s="13" t="s">
        <v>1499</v>
      </c>
      <c r="C2728" s="13" t="s">
        <v>1503</v>
      </c>
      <c r="D2728" s="13">
        <v>15.552000000000003</v>
      </c>
      <c r="E2728" s="13">
        <v>3</v>
      </c>
      <c r="F2728" s="13">
        <f t="shared" si="42"/>
        <v>5.1840000000000011</v>
      </c>
    </row>
    <row r="2729" spans="2:6">
      <c r="B2729" s="13" t="s">
        <v>1509</v>
      </c>
      <c r="C2729" s="13" t="s">
        <v>1510</v>
      </c>
      <c r="D2729" s="13">
        <v>10.429999999999996</v>
      </c>
      <c r="E2729" s="13">
        <v>5</v>
      </c>
      <c r="F2729" s="13">
        <f t="shared" si="42"/>
        <v>2.0859999999999994</v>
      </c>
    </row>
    <row r="2730" spans="2:6">
      <c r="B2730" s="13" t="s">
        <v>635</v>
      </c>
      <c r="C2730" s="13" t="s">
        <v>639</v>
      </c>
      <c r="D2730" s="13">
        <v>72.784000000000006</v>
      </c>
      <c r="E2730" s="13">
        <v>1</v>
      </c>
      <c r="F2730" s="13">
        <f t="shared" si="42"/>
        <v>72.784000000000006</v>
      </c>
    </row>
    <row r="2731" spans="2:6">
      <c r="B2731" s="13" t="s">
        <v>1597</v>
      </c>
      <c r="C2731" s="13" t="s">
        <v>1603</v>
      </c>
      <c r="D2731" s="13">
        <v>81.567999999999998</v>
      </c>
      <c r="E2731" s="13">
        <v>2</v>
      </c>
      <c r="F2731" s="13">
        <f t="shared" si="42"/>
        <v>40.783999999999999</v>
      </c>
    </row>
    <row r="2732" spans="2:6">
      <c r="B2732" s="13" t="s">
        <v>1096</v>
      </c>
      <c r="C2732" s="13" t="s">
        <v>1098</v>
      </c>
      <c r="D2732" s="13">
        <v>189.7</v>
      </c>
      <c r="E2732" s="13">
        <v>10</v>
      </c>
      <c r="F2732" s="13">
        <f t="shared" si="42"/>
        <v>18.97</v>
      </c>
    </row>
    <row r="2733" spans="2:6">
      <c r="B2733" s="13" t="s">
        <v>2377</v>
      </c>
      <c r="C2733" s="13" t="s">
        <v>2380</v>
      </c>
      <c r="D2733" s="13">
        <v>40.99</v>
      </c>
      <c r="E2733" s="13">
        <v>1</v>
      </c>
      <c r="F2733" s="13">
        <f t="shared" si="42"/>
        <v>40.99</v>
      </c>
    </row>
    <row r="2734" spans="2:6">
      <c r="B2734" s="13" t="s">
        <v>2869</v>
      </c>
      <c r="C2734" s="13" t="s">
        <v>2871</v>
      </c>
      <c r="D2734" s="13">
        <v>3.3280000000000003</v>
      </c>
      <c r="E2734" s="13">
        <v>2</v>
      </c>
      <c r="F2734" s="13">
        <f t="shared" si="42"/>
        <v>1.6640000000000001</v>
      </c>
    </row>
    <row r="2735" spans="2:6">
      <c r="B2735" s="13" t="s">
        <v>1023</v>
      </c>
      <c r="C2735" s="13" t="s">
        <v>1044</v>
      </c>
      <c r="D2735" s="13">
        <v>933.26200000000006</v>
      </c>
      <c r="E2735" s="13">
        <v>4</v>
      </c>
      <c r="F2735" s="13">
        <f t="shared" si="42"/>
        <v>233.31550000000001</v>
      </c>
    </row>
    <row r="2736" spans="2:6">
      <c r="B2736" s="13" t="s">
        <v>2733</v>
      </c>
      <c r="C2736" s="13" t="s">
        <v>2734</v>
      </c>
      <c r="D2736" s="13">
        <v>2803.92</v>
      </c>
      <c r="E2736" s="13">
        <v>5</v>
      </c>
      <c r="F2736" s="13">
        <f t="shared" si="42"/>
        <v>560.78399999999999</v>
      </c>
    </row>
    <row r="2737" spans="2:6">
      <c r="B2737" s="13" t="s">
        <v>2870</v>
      </c>
      <c r="C2737" s="13" t="s">
        <v>2872</v>
      </c>
      <c r="D2737" s="13">
        <v>4.7679999999999998</v>
      </c>
      <c r="E2737" s="13">
        <v>2</v>
      </c>
      <c r="F2737" s="13">
        <f t="shared" si="42"/>
        <v>2.3839999999999999</v>
      </c>
    </row>
    <row r="2738" spans="2:6">
      <c r="B2738" s="13" t="s">
        <v>1679</v>
      </c>
      <c r="C2738" s="13" t="s">
        <v>1683</v>
      </c>
      <c r="D2738" s="13">
        <v>6.6720000000000006</v>
      </c>
      <c r="E2738" s="13">
        <v>1</v>
      </c>
      <c r="F2738" s="13">
        <f t="shared" si="42"/>
        <v>6.6720000000000006</v>
      </c>
    </row>
    <row r="2739" spans="2:6">
      <c r="B2739" s="13" t="s">
        <v>2413</v>
      </c>
      <c r="C2739" s="13" t="s">
        <v>2415</v>
      </c>
      <c r="D2739" s="13">
        <v>4.4479999999999995</v>
      </c>
      <c r="E2739" s="13">
        <v>2</v>
      </c>
      <c r="F2739" s="13">
        <f t="shared" si="42"/>
        <v>2.2239999999999998</v>
      </c>
    </row>
    <row r="2740" spans="2:6">
      <c r="B2740" s="13" t="s">
        <v>1979</v>
      </c>
      <c r="C2740" s="13" t="s">
        <v>1980</v>
      </c>
      <c r="D2740" s="13">
        <v>43.936000000000007</v>
      </c>
      <c r="E2740" s="13">
        <v>4</v>
      </c>
      <c r="F2740" s="13">
        <f t="shared" si="42"/>
        <v>10.984000000000002</v>
      </c>
    </row>
    <row r="2741" spans="2:6">
      <c r="B2741" s="13" t="s">
        <v>1218</v>
      </c>
      <c r="C2741" s="13" t="s">
        <v>1221</v>
      </c>
      <c r="D2741" s="13">
        <v>299.99</v>
      </c>
      <c r="E2741" s="13">
        <v>1</v>
      </c>
      <c r="F2741" s="13">
        <f t="shared" si="42"/>
        <v>299.99</v>
      </c>
    </row>
    <row r="2742" spans="2:6">
      <c r="B2742" s="13" t="s">
        <v>2547</v>
      </c>
      <c r="C2742" s="13" t="s">
        <v>2551</v>
      </c>
      <c r="D2742" s="13">
        <v>192.16</v>
      </c>
      <c r="E2742" s="13">
        <v>4</v>
      </c>
      <c r="F2742" s="13">
        <f t="shared" si="42"/>
        <v>48.04</v>
      </c>
    </row>
    <row r="2743" spans="2:6">
      <c r="B2743" s="13" t="s">
        <v>332</v>
      </c>
      <c r="C2743" s="13" t="s">
        <v>339</v>
      </c>
      <c r="D2743" s="13">
        <v>242.624</v>
      </c>
      <c r="E2743" s="13">
        <v>8</v>
      </c>
      <c r="F2743" s="13">
        <f t="shared" si="42"/>
        <v>30.327999999999999</v>
      </c>
    </row>
    <row r="2744" spans="2:6">
      <c r="B2744" s="13" t="s">
        <v>1908</v>
      </c>
      <c r="C2744" s="13" t="s">
        <v>1910</v>
      </c>
      <c r="D2744" s="13">
        <v>46.74</v>
      </c>
      <c r="E2744" s="13">
        <v>3</v>
      </c>
      <c r="F2744" s="13">
        <f t="shared" si="42"/>
        <v>15.58</v>
      </c>
    </row>
    <row r="2745" spans="2:6">
      <c r="B2745" s="13" t="s">
        <v>2873</v>
      </c>
      <c r="C2745" s="13" t="s">
        <v>2875</v>
      </c>
      <c r="D2745" s="13">
        <v>174.95000000000002</v>
      </c>
      <c r="E2745" s="13">
        <v>5</v>
      </c>
      <c r="F2745" s="13">
        <f t="shared" si="42"/>
        <v>34.99</v>
      </c>
    </row>
    <row r="2746" spans="2:6">
      <c r="B2746" s="13" t="s">
        <v>2874</v>
      </c>
      <c r="C2746" s="13" t="s">
        <v>2876</v>
      </c>
      <c r="D2746" s="13">
        <v>100.70400000000001</v>
      </c>
      <c r="E2746" s="13">
        <v>6</v>
      </c>
      <c r="F2746" s="13">
        <f t="shared" si="42"/>
        <v>16.784000000000002</v>
      </c>
    </row>
    <row r="2747" spans="2:6">
      <c r="B2747" s="13" t="s">
        <v>2877</v>
      </c>
      <c r="C2747" s="13" t="s">
        <v>2878</v>
      </c>
      <c r="D2747" s="13">
        <v>69.375</v>
      </c>
      <c r="E2747" s="13">
        <v>1</v>
      </c>
      <c r="F2747" s="13">
        <f t="shared" si="42"/>
        <v>69.375</v>
      </c>
    </row>
    <row r="2748" spans="2:6">
      <c r="B2748" s="13" t="s">
        <v>364</v>
      </c>
      <c r="C2748" s="13" t="s">
        <v>367</v>
      </c>
      <c r="D2748" s="13">
        <v>31.680000000000003</v>
      </c>
      <c r="E2748" s="13">
        <v>4</v>
      </c>
      <c r="F2748" s="13">
        <f t="shared" si="42"/>
        <v>7.9200000000000008</v>
      </c>
    </row>
    <row r="2749" spans="2:6">
      <c r="B2749" s="13" t="s">
        <v>2212</v>
      </c>
      <c r="C2749" s="13" t="s">
        <v>2215</v>
      </c>
      <c r="D2749" s="13">
        <v>2003.1680000000001</v>
      </c>
      <c r="E2749" s="13">
        <v>4</v>
      </c>
      <c r="F2749" s="13">
        <f t="shared" si="42"/>
        <v>500.79200000000003</v>
      </c>
    </row>
    <row r="2750" spans="2:6">
      <c r="B2750" s="13" t="s">
        <v>143</v>
      </c>
      <c r="C2750" s="13" t="s">
        <v>144</v>
      </c>
      <c r="D2750" s="13">
        <v>9.3439999999999994</v>
      </c>
      <c r="E2750" s="13">
        <v>2</v>
      </c>
      <c r="F2750" s="13">
        <f t="shared" si="42"/>
        <v>4.6719999999999997</v>
      </c>
    </row>
    <row r="2751" spans="2:6">
      <c r="B2751" s="13" t="s">
        <v>2879</v>
      </c>
      <c r="C2751" s="13" t="s">
        <v>2880</v>
      </c>
      <c r="D2751" s="13">
        <v>1085.42</v>
      </c>
      <c r="E2751" s="13">
        <v>7</v>
      </c>
      <c r="F2751" s="13">
        <f t="shared" si="42"/>
        <v>155.06</v>
      </c>
    </row>
    <row r="2752" spans="2:6">
      <c r="B2752" s="13" t="s">
        <v>804</v>
      </c>
      <c r="C2752" s="13" t="s">
        <v>806</v>
      </c>
      <c r="D2752" s="13">
        <v>675.06000000000006</v>
      </c>
      <c r="E2752" s="13">
        <v>3</v>
      </c>
      <c r="F2752" s="13">
        <f t="shared" si="42"/>
        <v>225.02</v>
      </c>
    </row>
    <row r="2753" spans="2:6">
      <c r="B2753" s="13" t="s">
        <v>642</v>
      </c>
      <c r="C2753" s="13" t="s">
        <v>644</v>
      </c>
      <c r="D2753" s="13">
        <v>65.231999999999999</v>
      </c>
      <c r="E2753" s="13">
        <v>3</v>
      </c>
      <c r="F2753" s="13">
        <f t="shared" si="42"/>
        <v>21.744</v>
      </c>
    </row>
    <row r="2754" spans="2:6">
      <c r="B2754" s="13" t="s">
        <v>2792</v>
      </c>
      <c r="C2754" s="13" t="s">
        <v>2795</v>
      </c>
      <c r="D2754" s="13">
        <v>207</v>
      </c>
      <c r="E2754" s="13">
        <v>3</v>
      </c>
      <c r="F2754" s="13">
        <f t="shared" si="42"/>
        <v>69</v>
      </c>
    </row>
    <row r="2755" spans="2:6">
      <c r="B2755" s="13" t="s">
        <v>1706</v>
      </c>
      <c r="C2755" s="13" t="s">
        <v>1708</v>
      </c>
      <c r="D2755" s="13">
        <v>18.368000000000002</v>
      </c>
      <c r="E2755" s="13">
        <v>4</v>
      </c>
      <c r="F2755" s="13">
        <f t="shared" si="42"/>
        <v>4.5920000000000005</v>
      </c>
    </row>
    <row r="2756" spans="2:6">
      <c r="B2756" s="13" t="s">
        <v>2708</v>
      </c>
      <c r="C2756" s="13" t="s">
        <v>2709</v>
      </c>
      <c r="D2756" s="13">
        <v>299.89999999999998</v>
      </c>
      <c r="E2756" s="13">
        <v>2</v>
      </c>
      <c r="F2756" s="13">
        <f t="shared" ref="F2756:F2819" si="43">D2756/E2756</f>
        <v>149.94999999999999</v>
      </c>
    </row>
    <row r="2757" spans="2:6">
      <c r="B2757" s="13" t="s">
        <v>2881</v>
      </c>
      <c r="C2757" s="13" t="s">
        <v>2882</v>
      </c>
      <c r="D2757" s="13">
        <v>1649.95</v>
      </c>
      <c r="E2757" s="13">
        <v>5</v>
      </c>
      <c r="F2757" s="13">
        <f t="shared" si="43"/>
        <v>329.99</v>
      </c>
    </row>
    <row r="2758" spans="2:6">
      <c r="B2758" s="13" t="s">
        <v>459</v>
      </c>
      <c r="C2758" s="13" t="s">
        <v>466</v>
      </c>
      <c r="D2758" s="13">
        <v>362.35199999999998</v>
      </c>
      <c r="E2758" s="13">
        <v>3</v>
      </c>
      <c r="F2758" s="13">
        <f t="shared" si="43"/>
        <v>120.78399999999999</v>
      </c>
    </row>
    <row r="2759" spans="2:6">
      <c r="B2759" s="13" t="s">
        <v>2883</v>
      </c>
      <c r="C2759" s="13" t="s">
        <v>2884</v>
      </c>
      <c r="D2759" s="13">
        <v>486.36800000000005</v>
      </c>
      <c r="E2759" s="13">
        <v>4</v>
      </c>
      <c r="F2759" s="13">
        <f t="shared" si="43"/>
        <v>121.59200000000001</v>
      </c>
    </row>
    <row r="2760" spans="2:6">
      <c r="B2760" s="13" t="s">
        <v>2885</v>
      </c>
      <c r="C2760" s="13" t="s">
        <v>2886</v>
      </c>
      <c r="D2760" s="13">
        <v>62.72</v>
      </c>
      <c r="E2760" s="13">
        <v>4</v>
      </c>
      <c r="F2760" s="13">
        <f t="shared" si="43"/>
        <v>15.68</v>
      </c>
    </row>
    <row r="2761" spans="2:6">
      <c r="B2761" s="13" t="s">
        <v>1482</v>
      </c>
      <c r="C2761" s="13" t="s">
        <v>1488</v>
      </c>
      <c r="D2761" s="13">
        <v>2939.9300000000003</v>
      </c>
      <c r="E2761" s="13">
        <v>7</v>
      </c>
      <c r="F2761" s="13">
        <f t="shared" si="43"/>
        <v>419.99000000000007</v>
      </c>
    </row>
    <row r="2762" spans="2:6">
      <c r="B2762" s="13" t="s">
        <v>689</v>
      </c>
      <c r="C2762" s="13" t="s">
        <v>690</v>
      </c>
      <c r="D2762" s="13">
        <v>1.752</v>
      </c>
      <c r="E2762" s="13">
        <v>1</v>
      </c>
      <c r="F2762" s="13">
        <f t="shared" si="43"/>
        <v>1.752</v>
      </c>
    </row>
    <row r="2763" spans="2:6">
      <c r="B2763" s="13" t="s">
        <v>2887</v>
      </c>
      <c r="C2763" s="13" t="s">
        <v>2889</v>
      </c>
      <c r="D2763" s="13">
        <v>20.992000000000001</v>
      </c>
      <c r="E2763" s="13">
        <v>8</v>
      </c>
      <c r="F2763" s="13">
        <f t="shared" si="43"/>
        <v>2.6240000000000001</v>
      </c>
    </row>
    <row r="2764" spans="2:6">
      <c r="B2764" s="13" t="s">
        <v>2888</v>
      </c>
      <c r="C2764" s="13" t="s">
        <v>2890</v>
      </c>
      <c r="D2764" s="13">
        <v>11.21</v>
      </c>
      <c r="E2764" s="13">
        <v>1</v>
      </c>
      <c r="F2764" s="13">
        <f t="shared" si="43"/>
        <v>11.21</v>
      </c>
    </row>
    <row r="2765" spans="2:6">
      <c r="B2765" s="13" t="s">
        <v>2891</v>
      </c>
      <c r="C2765" s="13" t="s">
        <v>2895</v>
      </c>
      <c r="D2765" s="13">
        <v>61.68</v>
      </c>
      <c r="E2765" s="13">
        <v>5</v>
      </c>
      <c r="F2765" s="13">
        <f t="shared" si="43"/>
        <v>12.336</v>
      </c>
    </row>
    <row r="2766" spans="2:6">
      <c r="B2766" s="13" t="s">
        <v>2892</v>
      </c>
      <c r="C2766" s="13" t="s">
        <v>2896</v>
      </c>
      <c r="D2766" s="13">
        <v>158.376</v>
      </c>
      <c r="E2766" s="13">
        <v>3</v>
      </c>
      <c r="F2766" s="13">
        <f t="shared" si="43"/>
        <v>52.792000000000002</v>
      </c>
    </row>
    <row r="2767" spans="2:6">
      <c r="B2767" s="13" t="s">
        <v>1410</v>
      </c>
      <c r="C2767" s="13" t="s">
        <v>1413</v>
      </c>
      <c r="D2767" s="13">
        <v>2.8639999999999994</v>
      </c>
      <c r="E2767" s="13">
        <v>4</v>
      </c>
      <c r="F2767" s="13">
        <f t="shared" si="43"/>
        <v>0.71599999999999986</v>
      </c>
    </row>
    <row r="2768" spans="2:6">
      <c r="B2768" s="13" t="s">
        <v>2384</v>
      </c>
      <c r="C2768" s="13" t="s">
        <v>2386</v>
      </c>
      <c r="D2768" s="13">
        <v>94.191999999999979</v>
      </c>
      <c r="E2768" s="13">
        <v>7</v>
      </c>
      <c r="F2768" s="13">
        <f t="shared" si="43"/>
        <v>13.455999999999998</v>
      </c>
    </row>
    <row r="2769" spans="2:6">
      <c r="B2769" s="13" t="s">
        <v>2893</v>
      </c>
      <c r="C2769" s="13" t="s">
        <v>2897</v>
      </c>
      <c r="D2769" s="13">
        <v>143.69999999999999</v>
      </c>
      <c r="E2769" s="13">
        <v>3</v>
      </c>
      <c r="F2769" s="13">
        <f t="shared" si="43"/>
        <v>47.9</v>
      </c>
    </row>
    <row r="2770" spans="2:6">
      <c r="B2770" s="13" t="s">
        <v>1983</v>
      </c>
      <c r="C2770" s="13" t="s">
        <v>1984</v>
      </c>
      <c r="D2770" s="13">
        <v>6.48</v>
      </c>
      <c r="E2770" s="13">
        <v>1</v>
      </c>
      <c r="F2770" s="13">
        <f t="shared" si="43"/>
        <v>6.48</v>
      </c>
    </row>
    <row r="2771" spans="2:6">
      <c r="B2771" s="13" t="s">
        <v>2894</v>
      </c>
      <c r="C2771" s="13" t="s">
        <v>2898</v>
      </c>
      <c r="D2771" s="13">
        <v>7.88</v>
      </c>
      <c r="E2771" s="13">
        <v>4</v>
      </c>
      <c r="F2771" s="13">
        <f t="shared" si="43"/>
        <v>1.97</v>
      </c>
    </row>
    <row r="2772" spans="2:6">
      <c r="B2772" s="13" t="s">
        <v>1236</v>
      </c>
      <c r="C2772" s="13" t="s">
        <v>1237</v>
      </c>
      <c r="D2772" s="13">
        <v>299.52</v>
      </c>
      <c r="E2772" s="13">
        <v>9</v>
      </c>
      <c r="F2772" s="13">
        <f t="shared" si="43"/>
        <v>33.28</v>
      </c>
    </row>
    <row r="2773" spans="2:6">
      <c r="B2773" s="13" t="s">
        <v>1785</v>
      </c>
      <c r="C2773" s="13" t="s">
        <v>1786</v>
      </c>
      <c r="D2773" s="13">
        <v>436.70400000000006</v>
      </c>
      <c r="E2773" s="13">
        <v>6</v>
      </c>
      <c r="F2773" s="13">
        <f t="shared" si="43"/>
        <v>72.784000000000006</v>
      </c>
    </row>
    <row r="2774" spans="2:6">
      <c r="B2774" s="13" t="s">
        <v>372</v>
      </c>
      <c r="C2774" s="13" t="s">
        <v>382</v>
      </c>
      <c r="D2774" s="13">
        <v>61.44</v>
      </c>
      <c r="E2774" s="13">
        <v>3</v>
      </c>
      <c r="F2774" s="13">
        <f t="shared" si="43"/>
        <v>20.48</v>
      </c>
    </row>
    <row r="2775" spans="2:6">
      <c r="B2775" s="13" t="s">
        <v>2371</v>
      </c>
      <c r="C2775" s="13" t="s">
        <v>2373</v>
      </c>
      <c r="D2775" s="13">
        <v>32.448</v>
      </c>
      <c r="E2775" s="13">
        <v>2</v>
      </c>
      <c r="F2775" s="13">
        <f t="shared" si="43"/>
        <v>16.224</v>
      </c>
    </row>
    <row r="2776" spans="2:6">
      <c r="B2776" s="13" t="s">
        <v>510</v>
      </c>
      <c r="C2776" s="13" t="s">
        <v>516</v>
      </c>
      <c r="D2776" s="13">
        <v>26.388000000000002</v>
      </c>
      <c r="E2776" s="13">
        <v>4</v>
      </c>
      <c r="F2776" s="13">
        <f t="shared" si="43"/>
        <v>6.5970000000000004</v>
      </c>
    </row>
    <row r="2777" spans="2:6">
      <c r="B2777" s="13" t="s">
        <v>1963</v>
      </c>
      <c r="C2777" s="13" t="s">
        <v>1971</v>
      </c>
      <c r="D2777" s="13">
        <v>373.46999999999991</v>
      </c>
      <c r="E2777" s="13">
        <v>5</v>
      </c>
      <c r="F2777" s="13">
        <f t="shared" si="43"/>
        <v>74.693999999999988</v>
      </c>
    </row>
    <row r="2778" spans="2:6">
      <c r="B2778" s="13" t="s">
        <v>957</v>
      </c>
      <c r="C2778" s="13" t="s">
        <v>958</v>
      </c>
      <c r="D2778" s="13">
        <v>64.2</v>
      </c>
      <c r="E2778" s="13">
        <v>5</v>
      </c>
      <c r="F2778" s="13">
        <f t="shared" si="43"/>
        <v>12.84</v>
      </c>
    </row>
    <row r="2779" spans="2:6">
      <c r="B2779" s="13" t="s">
        <v>456</v>
      </c>
      <c r="C2779" s="13" t="s">
        <v>463</v>
      </c>
      <c r="D2779" s="13">
        <v>8</v>
      </c>
      <c r="E2779" s="13">
        <v>2</v>
      </c>
      <c r="F2779" s="13">
        <f t="shared" si="43"/>
        <v>4</v>
      </c>
    </row>
    <row r="2780" spans="2:6">
      <c r="B2780" s="13" t="s">
        <v>1180</v>
      </c>
      <c r="C2780" s="13" t="s">
        <v>1188</v>
      </c>
      <c r="D2780" s="13">
        <v>31.744</v>
      </c>
      <c r="E2780" s="13">
        <v>2</v>
      </c>
      <c r="F2780" s="13">
        <f t="shared" si="43"/>
        <v>15.872</v>
      </c>
    </row>
    <row r="2781" spans="2:6">
      <c r="B2781" s="13" t="s">
        <v>2802</v>
      </c>
      <c r="C2781" s="13" t="s">
        <v>2803</v>
      </c>
      <c r="D2781" s="13">
        <v>5.4319999999999986</v>
      </c>
      <c r="E2781" s="13">
        <v>2</v>
      </c>
      <c r="F2781" s="13">
        <f t="shared" si="43"/>
        <v>2.7159999999999993</v>
      </c>
    </row>
    <row r="2782" spans="2:6">
      <c r="B2782" s="13" t="s">
        <v>751</v>
      </c>
      <c r="C2782" s="13" t="s">
        <v>754</v>
      </c>
      <c r="D2782" s="13">
        <v>913.43000000000006</v>
      </c>
      <c r="E2782" s="13">
        <v>5</v>
      </c>
      <c r="F2782" s="13">
        <f t="shared" si="43"/>
        <v>182.68600000000001</v>
      </c>
    </row>
    <row r="2783" spans="2:6">
      <c r="B2783" s="13" t="s">
        <v>2879</v>
      </c>
      <c r="C2783" s="13" t="s">
        <v>2880</v>
      </c>
      <c r="D2783" s="13">
        <v>372.14400000000001</v>
      </c>
      <c r="E2783" s="13">
        <v>3</v>
      </c>
      <c r="F2783" s="13">
        <f t="shared" si="43"/>
        <v>124.048</v>
      </c>
    </row>
    <row r="2784" spans="2:6">
      <c r="B2784" s="13" t="s">
        <v>2714</v>
      </c>
      <c r="C2784" s="13" t="s">
        <v>2715</v>
      </c>
      <c r="D2784" s="13">
        <v>751.98400000000004</v>
      </c>
      <c r="E2784" s="13">
        <v>2</v>
      </c>
      <c r="F2784" s="13">
        <f t="shared" si="43"/>
        <v>375.99200000000002</v>
      </c>
    </row>
    <row r="2785" spans="2:6">
      <c r="B2785" s="13" t="s">
        <v>2899</v>
      </c>
      <c r="C2785" s="13" t="s">
        <v>2900</v>
      </c>
      <c r="D2785" s="13">
        <v>604.76800000000003</v>
      </c>
      <c r="E2785" s="13">
        <v>4</v>
      </c>
      <c r="F2785" s="13">
        <f t="shared" si="43"/>
        <v>151.19200000000001</v>
      </c>
    </row>
    <row r="2786" spans="2:6">
      <c r="B2786" s="13" t="s">
        <v>1665</v>
      </c>
      <c r="C2786" s="13" t="s">
        <v>1667</v>
      </c>
      <c r="D2786" s="13">
        <v>64.384</v>
      </c>
      <c r="E2786" s="13">
        <v>1</v>
      </c>
      <c r="F2786" s="13">
        <f t="shared" si="43"/>
        <v>64.384</v>
      </c>
    </row>
    <row r="2787" spans="2:6">
      <c r="B2787" s="13" t="s">
        <v>2525</v>
      </c>
      <c r="C2787" s="13" t="s">
        <v>2527</v>
      </c>
      <c r="D2787" s="13">
        <v>11.808</v>
      </c>
      <c r="E2787" s="13">
        <v>3</v>
      </c>
      <c r="F2787" s="13">
        <f t="shared" si="43"/>
        <v>3.9359999999999999</v>
      </c>
    </row>
    <row r="2788" spans="2:6">
      <c r="B2788" s="13" t="s">
        <v>792</v>
      </c>
      <c r="C2788" s="13" t="s">
        <v>795</v>
      </c>
      <c r="D2788" s="13">
        <v>11.76</v>
      </c>
      <c r="E2788" s="13">
        <v>2</v>
      </c>
      <c r="F2788" s="13">
        <f t="shared" si="43"/>
        <v>5.88</v>
      </c>
    </row>
    <row r="2789" spans="2:6">
      <c r="B2789" s="13" t="s">
        <v>1632</v>
      </c>
      <c r="C2789" s="13" t="s">
        <v>2403</v>
      </c>
      <c r="D2789" s="13">
        <v>27.46</v>
      </c>
      <c r="E2789" s="13">
        <v>2</v>
      </c>
      <c r="F2789" s="13">
        <f t="shared" si="43"/>
        <v>13.73</v>
      </c>
    </row>
    <row r="2790" spans="2:6">
      <c r="B2790" s="13" t="s">
        <v>1117</v>
      </c>
      <c r="C2790" s="13" t="s">
        <v>1119</v>
      </c>
      <c r="D2790" s="13">
        <v>155.37199999999999</v>
      </c>
      <c r="E2790" s="13">
        <v>2</v>
      </c>
      <c r="F2790" s="13">
        <f t="shared" si="43"/>
        <v>77.685999999999993</v>
      </c>
    </row>
    <row r="2791" spans="2:6">
      <c r="B2791" s="13" t="s">
        <v>1535</v>
      </c>
      <c r="C2791" s="13" t="s">
        <v>1539</v>
      </c>
      <c r="D2791" s="13">
        <v>83.92</v>
      </c>
      <c r="E2791" s="13">
        <v>4</v>
      </c>
      <c r="F2791" s="13">
        <f t="shared" si="43"/>
        <v>20.98</v>
      </c>
    </row>
    <row r="2792" spans="2:6">
      <c r="B2792" s="13" t="s">
        <v>1242</v>
      </c>
      <c r="C2792" s="13" t="s">
        <v>1245</v>
      </c>
      <c r="D2792" s="13">
        <v>141.9</v>
      </c>
      <c r="E2792" s="13">
        <v>5</v>
      </c>
      <c r="F2792" s="13">
        <f t="shared" si="43"/>
        <v>28.380000000000003</v>
      </c>
    </row>
    <row r="2793" spans="2:6">
      <c r="B2793" s="13" t="s">
        <v>2644</v>
      </c>
      <c r="C2793" s="13" t="s">
        <v>2648</v>
      </c>
      <c r="D2793" s="13">
        <v>39.979999999999997</v>
      </c>
      <c r="E2793" s="13">
        <v>2</v>
      </c>
      <c r="F2793" s="13">
        <f t="shared" si="43"/>
        <v>19.989999999999998</v>
      </c>
    </row>
    <row r="2794" spans="2:6">
      <c r="B2794" s="13" t="s">
        <v>824</v>
      </c>
      <c r="C2794" s="13" t="s">
        <v>826</v>
      </c>
      <c r="D2794" s="13">
        <v>28.91</v>
      </c>
      <c r="E2794" s="13">
        <v>7</v>
      </c>
      <c r="F2794" s="13">
        <f t="shared" si="43"/>
        <v>4.13</v>
      </c>
    </row>
    <row r="2795" spans="2:6">
      <c r="B2795" s="13" t="s">
        <v>2591</v>
      </c>
      <c r="C2795" s="13" t="s">
        <v>2593</v>
      </c>
      <c r="D2795" s="13">
        <v>174.95000000000002</v>
      </c>
      <c r="E2795" s="13">
        <v>5</v>
      </c>
      <c r="F2795" s="13">
        <f t="shared" si="43"/>
        <v>34.99</v>
      </c>
    </row>
    <row r="2796" spans="2:6">
      <c r="B2796" s="13" t="s">
        <v>2901</v>
      </c>
      <c r="C2796" s="13" t="s">
        <v>2902</v>
      </c>
      <c r="D2796" s="13">
        <v>933.40800000000002</v>
      </c>
      <c r="E2796" s="13">
        <v>4</v>
      </c>
      <c r="F2796" s="13">
        <f t="shared" si="43"/>
        <v>233.352</v>
      </c>
    </row>
    <row r="2797" spans="2:6">
      <c r="B2797" s="13" t="s">
        <v>365</v>
      </c>
      <c r="C2797" s="13" t="s">
        <v>46</v>
      </c>
      <c r="D2797" s="13">
        <v>106.32</v>
      </c>
      <c r="E2797" s="13">
        <v>3</v>
      </c>
      <c r="F2797" s="13">
        <f t="shared" si="43"/>
        <v>35.44</v>
      </c>
    </row>
    <row r="2798" spans="2:6">
      <c r="B2798" s="13" t="s">
        <v>874</v>
      </c>
      <c r="C2798" s="13" t="s">
        <v>878</v>
      </c>
      <c r="D2798" s="13">
        <v>147.91999999999999</v>
      </c>
      <c r="E2798" s="13">
        <v>5</v>
      </c>
      <c r="F2798" s="13">
        <f t="shared" si="43"/>
        <v>29.583999999999996</v>
      </c>
    </row>
    <row r="2799" spans="2:6">
      <c r="B2799" s="13" t="s">
        <v>541</v>
      </c>
      <c r="C2799" s="13" t="s">
        <v>552</v>
      </c>
      <c r="D2799" s="13">
        <v>104.28</v>
      </c>
      <c r="E2799" s="13">
        <v>3</v>
      </c>
      <c r="F2799" s="13">
        <f t="shared" si="43"/>
        <v>34.76</v>
      </c>
    </row>
    <row r="2800" spans="2:6">
      <c r="B2800" s="13" t="s">
        <v>536</v>
      </c>
      <c r="C2800" s="13" t="s">
        <v>547</v>
      </c>
      <c r="D2800" s="13">
        <v>286.85000000000002</v>
      </c>
      <c r="E2800" s="13">
        <v>1</v>
      </c>
      <c r="F2800" s="13">
        <f t="shared" si="43"/>
        <v>286.85000000000002</v>
      </c>
    </row>
    <row r="2801" spans="2:6">
      <c r="B2801" s="13" t="s">
        <v>2903</v>
      </c>
      <c r="C2801" s="13" t="s">
        <v>2905</v>
      </c>
      <c r="D2801" s="13">
        <v>66.959999999999994</v>
      </c>
      <c r="E2801" s="13">
        <v>4</v>
      </c>
      <c r="F2801" s="13">
        <f t="shared" si="43"/>
        <v>16.739999999999998</v>
      </c>
    </row>
    <row r="2802" spans="2:6">
      <c r="B2802" s="13" t="s">
        <v>1239</v>
      </c>
      <c r="C2802" s="13" t="s">
        <v>1241</v>
      </c>
      <c r="D2802" s="13">
        <v>199.98</v>
      </c>
      <c r="E2802" s="13">
        <v>2</v>
      </c>
      <c r="F2802" s="13">
        <f t="shared" si="43"/>
        <v>99.99</v>
      </c>
    </row>
    <row r="2803" spans="2:6">
      <c r="B2803" s="13" t="s">
        <v>2567</v>
      </c>
      <c r="C2803" s="13" t="s">
        <v>2568</v>
      </c>
      <c r="D2803" s="13">
        <v>45</v>
      </c>
      <c r="E2803" s="13">
        <v>3</v>
      </c>
      <c r="F2803" s="13">
        <f t="shared" si="43"/>
        <v>15</v>
      </c>
    </row>
    <row r="2804" spans="2:6">
      <c r="B2804" s="13" t="s">
        <v>2904</v>
      </c>
      <c r="C2804" s="13" t="s">
        <v>2906</v>
      </c>
      <c r="D2804" s="13">
        <v>17.899999999999999</v>
      </c>
      <c r="E2804" s="13">
        <v>5</v>
      </c>
      <c r="F2804" s="13">
        <f t="shared" si="43"/>
        <v>3.5799999999999996</v>
      </c>
    </row>
    <row r="2805" spans="2:6">
      <c r="B2805" s="13" t="s">
        <v>2822</v>
      </c>
      <c r="C2805" s="13" t="s">
        <v>2824</v>
      </c>
      <c r="D2805" s="13">
        <v>40.479999999999997</v>
      </c>
      <c r="E2805" s="13">
        <v>2</v>
      </c>
      <c r="F2805" s="13">
        <f t="shared" si="43"/>
        <v>20.239999999999998</v>
      </c>
    </row>
    <row r="2806" spans="2:6">
      <c r="B2806" s="13" t="s">
        <v>1348</v>
      </c>
      <c r="C2806" s="13" t="s">
        <v>1354</v>
      </c>
      <c r="D2806" s="13">
        <v>2154.9</v>
      </c>
      <c r="E2806" s="13">
        <v>5</v>
      </c>
      <c r="F2806" s="13">
        <f t="shared" si="43"/>
        <v>430.98</v>
      </c>
    </row>
    <row r="2807" spans="2:6">
      <c r="B2807" s="13" t="s">
        <v>608</v>
      </c>
      <c r="C2807" s="13" t="s">
        <v>609</v>
      </c>
      <c r="D2807" s="13">
        <v>4.3600000000000003</v>
      </c>
      <c r="E2807" s="13">
        <v>2</v>
      </c>
      <c r="F2807" s="13">
        <f t="shared" si="43"/>
        <v>2.1800000000000002</v>
      </c>
    </row>
    <row r="2808" spans="2:6">
      <c r="B2808" s="13" t="s">
        <v>1385</v>
      </c>
      <c r="C2808" s="13" t="s">
        <v>1387</v>
      </c>
      <c r="D2808" s="13">
        <v>62.352000000000004</v>
      </c>
      <c r="E2808" s="13">
        <v>6</v>
      </c>
      <c r="F2808" s="13">
        <f t="shared" si="43"/>
        <v>10.392000000000001</v>
      </c>
    </row>
    <row r="2809" spans="2:6">
      <c r="B2809" s="13" t="s">
        <v>680</v>
      </c>
      <c r="C2809" s="13" t="s">
        <v>684</v>
      </c>
      <c r="D2809" s="13">
        <v>274.20000000000005</v>
      </c>
      <c r="E2809" s="13">
        <v>10</v>
      </c>
      <c r="F2809" s="13">
        <f t="shared" si="43"/>
        <v>27.420000000000005</v>
      </c>
    </row>
    <row r="2810" spans="2:6">
      <c r="B2810" s="13" t="s">
        <v>2783</v>
      </c>
      <c r="C2810" s="13" t="s">
        <v>2785</v>
      </c>
      <c r="D2810" s="13">
        <v>49.616000000000007</v>
      </c>
      <c r="E2810" s="13">
        <v>2</v>
      </c>
      <c r="F2810" s="13">
        <f t="shared" si="43"/>
        <v>24.808000000000003</v>
      </c>
    </row>
    <row r="2811" spans="2:6">
      <c r="B2811" s="13" t="s">
        <v>1797</v>
      </c>
      <c r="C2811" s="13" t="s">
        <v>1798</v>
      </c>
      <c r="D2811" s="13">
        <v>84.415999999999997</v>
      </c>
      <c r="E2811" s="13">
        <v>4</v>
      </c>
      <c r="F2811" s="13">
        <f t="shared" si="43"/>
        <v>21.103999999999999</v>
      </c>
    </row>
    <row r="2812" spans="2:6">
      <c r="B2812" s="13" t="s">
        <v>1674</v>
      </c>
      <c r="C2812" s="13" t="s">
        <v>1677</v>
      </c>
      <c r="D2812" s="13">
        <v>240.744</v>
      </c>
      <c r="E2812" s="13">
        <v>4</v>
      </c>
      <c r="F2812" s="13">
        <f t="shared" si="43"/>
        <v>60.186</v>
      </c>
    </row>
    <row r="2813" spans="2:6">
      <c r="B2813" s="13" t="s">
        <v>1477</v>
      </c>
      <c r="C2813" s="13" t="s">
        <v>1483</v>
      </c>
      <c r="D2813" s="13">
        <v>35</v>
      </c>
      <c r="E2813" s="13">
        <v>4</v>
      </c>
      <c r="F2813" s="13">
        <f t="shared" si="43"/>
        <v>8.75</v>
      </c>
    </row>
    <row r="2814" spans="2:6">
      <c r="B2814" s="13" t="s">
        <v>2907</v>
      </c>
      <c r="C2814" s="13" t="s">
        <v>2908</v>
      </c>
      <c r="D2814" s="13">
        <v>210.68</v>
      </c>
      <c r="E2814" s="13">
        <v>2</v>
      </c>
      <c r="F2814" s="13">
        <f t="shared" si="43"/>
        <v>105.34</v>
      </c>
    </row>
    <row r="2815" spans="2:6">
      <c r="B2815" s="13" t="s">
        <v>187</v>
      </c>
      <c r="C2815" s="13" t="s">
        <v>188</v>
      </c>
      <c r="D2815" s="13">
        <v>637.89599999999996</v>
      </c>
      <c r="E2815" s="13">
        <v>3</v>
      </c>
      <c r="F2815" s="13">
        <f t="shared" si="43"/>
        <v>212.63199999999998</v>
      </c>
    </row>
    <row r="2816" spans="2:6">
      <c r="B2816" s="13" t="s">
        <v>200</v>
      </c>
      <c r="C2816" s="13" t="s">
        <v>213</v>
      </c>
      <c r="D2816" s="13">
        <v>43.44</v>
      </c>
      <c r="E2816" s="13">
        <v>8</v>
      </c>
      <c r="F2816" s="13">
        <f t="shared" si="43"/>
        <v>5.43</v>
      </c>
    </row>
    <row r="2817" spans="2:6">
      <c r="B2817" s="13" t="s">
        <v>1897</v>
      </c>
      <c r="C2817" s="13" t="s">
        <v>1900</v>
      </c>
      <c r="D2817" s="13">
        <v>2.2200000000000002</v>
      </c>
      <c r="E2817" s="13">
        <v>1</v>
      </c>
      <c r="F2817" s="13">
        <f t="shared" si="43"/>
        <v>2.2200000000000002</v>
      </c>
    </row>
    <row r="2818" spans="2:6">
      <c r="B2818" s="13" t="s">
        <v>1073</v>
      </c>
      <c r="C2818" s="13" t="s">
        <v>2625</v>
      </c>
      <c r="D2818" s="13">
        <v>106.869</v>
      </c>
      <c r="E2818" s="13">
        <v>3</v>
      </c>
      <c r="F2818" s="13">
        <f t="shared" si="43"/>
        <v>35.622999999999998</v>
      </c>
    </row>
    <row r="2819" spans="2:6">
      <c r="B2819" s="13" t="s">
        <v>764</v>
      </c>
      <c r="C2819" s="13" t="s">
        <v>313</v>
      </c>
      <c r="D2819" s="13">
        <v>3.5639999999999992</v>
      </c>
      <c r="E2819" s="13">
        <v>3</v>
      </c>
      <c r="F2819" s="13">
        <f t="shared" si="43"/>
        <v>1.1879999999999997</v>
      </c>
    </row>
    <row r="2820" spans="2:6">
      <c r="B2820" s="13" t="s">
        <v>205</v>
      </c>
      <c r="C2820" s="13" t="s">
        <v>218</v>
      </c>
      <c r="D2820" s="13">
        <v>387.13600000000002</v>
      </c>
      <c r="E2820" s="13">
        <v>4</v>
      </c>
      <c r="F2820" s="13">
        <f t="shared" ref="F2820:F2883" si="44">D2820/E2820</f>
        <v>96.784000000000006</v>
      </c>
    </row>
    <row r="2821" spans="2:6">
      <c r="B2821" s="13" t="s">
        <v>1242</v>
      </c>
      <c r="C2821" s="13" t="s">
        <v>1245</v>
      </c>
      <c r="D2821" s="13">
        <v>45.408000000000001</v>
      </c>
      <c r="E2821" s="13">
        <v>2</v>
      </c>
      <c r="F2821" s="13">
        <f t="shared" si="44"/>
        <v>22.704000000000001</v>
      </c>
    </row>
    <row r="2822" spans="2:6">
      <c r="B2822" s="13" t="s">
        <v>1653</v>
      </c>
      <c r="C2822" s="13" t="s">
        <v>1660</v>
      </c>
      <c r="D2822" s="13">
        <v>77.951999999999998</v>
      </c>
      <c r="E2822" s="13">
        <v>3</v>
      </c>
      <c r="F2822" s="13">
        <f t="shared" si="44"/>
        <v>25.983999999999998</v>
      </c>
    </row>
    <row r="2823" spans="2:6">
      <c r="B2823" s="13" t="s">
        <v>1251</v>
      </c>
      <c r="C2823" s="13" t="s">
        <v>1256</v>
      </c>
      <c r="D2823" s="13">
        <v>3</v>
      </c>
      <c r="E2823" s="13">
        <v>1</v>
      </c>
      <c r="F2823" s="13">
        <f t="shared" si="44"/>
        <v>3</v>
      </c>
    </row>
    <row r="2824" spans="2:6">
      <c r="B2824" s="13" t="s">
        <v>191</v>
      </c>
      <c r="C2824" s="13" t="s">
        <v>194</v>
      </c>
      <c r="D2824" s="13">
        <v>37.896000000000001</v>
      </c>
      <c r="E2824" s="13">
        <v>4</v>
      </c>
      <c r="F2824" s="13">
        <f t="shared" si="44"/>
        <v>9.4740000000000002</v>
      </c>
    </row>
    <row r="2825" spans="2:6">
      <c r="B2825" s="13" t="s">
        <v>2377</v>
      </c>
      <c r="C2825" s="13" t="s">
        <v>2380</v>
      </c>
      <c r="D2825" s="13">
        <v>65.584000000000003</v>
      </c>
      <c r="E2825" s="13">
        <v>2</v>
      </c>
      <c r="F2825" s="13">
        <f t="shared" si="44"/>
        <v>32.792000000000002</v>
      </c>
    </row>
    <row r="2826" spans="2:6">
      <c r="B2826" s="13" t="s">
        <v>2244</v>
      </c>
      <c r="C2826" s="13" t="s">
        <v>2248</v>
      </c>
      <c r="D2826" s="13">
        <v>44.783999999999999</v>
      </c>
      <c r="E2826" s="13">
        <v>1</v>
      </c>
      <c r="F2826" s="13">
        <f t="shared" si="44"/>
        <v>44.783999999999999</v>
      </c>
    </row>
    <row r="2827" spans="2:6">
      <c r="B2827" s="13" t="s">
        <v>2909</v>
      </c>
      <c r="C2827" s="13" t="s">
        <v>2910</v>
      </c>
      <c r="D2827" s="13">
        <v>5.76</v>
      </c>
      <c r="E2827" s="13">
        <v>2</v>
      </c>
      <c r="F2827" s="13">
        <f t="shared" si="44"/>
        <v>2.88</v>
      </c>
    </row>
    <row r="2828" spans="2:6">
      <c r="B2828" s="13" t="s">
        <v>302</v>
      </c>
      <c r="C2828" s="13" t="s">
        <v>311</v>
      </c>
      <c r="D2828" s="13">
        <v>20.7</v>
      </c>
      <c r="E2828" s="13">
        <v>2</v>
      </c>
      <c r="F2828" s="13">
        <f t="shared" si="44"/>
        <v>10.35</v>
      </c>
    </row>
    <row r="2829" spans="2:6">
      <c r="B2829" s="13" t="s">
        <v>369</v>
      </c>
      <c r="C2829" s="13" t="s">
        <v>378</v>
      </c>
      <c r="D2829" s="13">
        <v>199.8</v>
      </c>
      <c r="E2829" s="13">
        <v>10</v>
      </c>
      <c r="F2829" s="13">
        <f t="shared" si="44"/>
        <v>19.98</v>
      </c>
    </row>
    <row r="2830" spans="2:6">
      <c r="B2830" s="13" t="s">
        <v>1898</v>
      </c>
      <c r="C2830" s="13" t="s">
        <v>1901</v>
      </c>
      <c r="D2830" s="13">
        <v>45.68</v>
      </c>
      <c r="E2830" s="13">
        <v>2</v>
      </c>
      <c r="F2830" s="13">
        <f t="shared" si="44"/>
        <v>22.84</v>
      </c>
    </row>
    <row r="2831" spans="2:6">
      <c r="B2831" s="13" t="s">
        <v>1039</v>
      </c>
      <c r="C2831" s="13" t="s">
        <v>1060</v>
      </c>
      <c r="D2831" s="13">
        <v>110.96</v>
      </c>
      <c r="E2831" s="13">
        <v>2</v>
      </c>
      <c r="F2831" s="13">
        <f t="shared" si="44"/>
        <v>55.48</v>
      </c>
    </row>
    <row r="2832" spans="2:6">
      <c r="B2832" s="13" t="s">
        <v>2299</v>
      </c>
      <c r="C2832" s="13" t="s">
        <v>2300</v>
      </c>
      <c r="D2832" s="13">
        <v>11.94</v>
      </c>
      <c r="E2832" s="13">
        <v>3</v>
      </c>
      <c r="F2832" s="13">
        <f t="shared" si="44"/>
        <v>3.98</v>
      </c>
    </row>
    <row r="2833" spans="2:6">
      <c r="B2833" s="13" t="s">
        <v>2911</v>
      </c>
      <c r="C2833" s="13" t="s">
        <v>2912</v>
      </c>
      <c r="D2833" s="13">
        <v>5.9399999999999995</v>
      </c>
      <c r="E2833" s="13">
        <v>3</v>
      </c>
      <c r="F2833" s="13">
        <f t="shared" si="44"/>
        <v>1.9799999999999998</v>
      </c>
    </row>
    <row r="2834" spans="2:6">
      <c r="B2834" s="13" t="s">
        <v>1161</v>
      </c>
      <c r="C2834" s="13" t="s">
        <v>1164</v>
      </c>
      <c r="D2834" s="13">
        <v>20.736000000000004</v>
      </c>
      <c r="E2834" s="13">
        <v>4</v>
      </c>
      <c r="F2834" s="13">
        <f t="shared" si="44"/>
        <v>5.1840000000000011</v>
      </c>
    </row>
    <row r="2835" spans="2:6">
      <c r="B2835" s="13" t="s">
        <v>2131</v>
      </c>
      <c r="C2835" s="13" t="s">
        <v>2132</v>
      </c>
      <c r="D2835" s="13">
        <v>30.336000000000006</v>
      </c>
      <c r="E2835" s="13">
        <v>6</v>
      </c>
      <c r="F2835" s="13">
        <f t="shared" si="44"/>
        <v>5.0560000000000009</v>
      </c>
    </row>
    <row r="2836" spans="2:6">
      <c r="B2836" s="13" t="s">
        <v>2913</v>
      </c>
      <c r="C2836" s="13" t="s">
        <v>2914</v>
      </c>
      <c r="D2836" s="13">
        <v>12.99</v>
      </c>
      <c r="E2836" s="13">
        <v>1</v>
      </c>
      <c r="F2836" s="13">
        <f t="shared" si="44"/>
        <v>12.99</v>
      </c>
    </row>
    <row r="2837" spans="2:6">
      <c r="B2837" s="13" t="s">
        <v>1493</v>
      </c>
      <c r="C2837" s="13" t="s">
        <v>1497</v>
      </c>
      <c r="D2837" s="13">
        <v>182.22</v>
      </c>
      <c r="E2837" s="13">
        <v>3</v>
      </c>
      <c r="F2837" s="13">
        <f t="shared" si="44"/>
        <v>60.74</v>
      </c>
    </row>
    <row r="2838" spans="2:6">
      <c r="B2838" s="13" t="s">
        <v>652</v>
      </c>
      <c r="C2838" s="13" t="s">
        <v>658</v>
      </c>
      <c r="D2838" s="13">
        <v>302.94</v>
      </c>
      <c r="E2838" s="13">
        <v>3</v>
      </c>
      <c r="F2838" s="13">
        <f t="shared" si="44"/>
        <v>100.98</v>
      </c>
    </row>
    <row r="2839" spans="2:6">
      <c r="B2839" s="13" t="s">
        <v>1095</v>
      </c>
      <c r="C2839" s="13" t="s">
        <v>1097</v>
      </c>
      <c r="D2839" s="13">
        <v>55.86</v>
      </c>
      <c r="E2839" s="13">
        <v>7</v>
      </c>
      <c r="F2839" s="13">
        <f t="shared" si="44"/>
        <v>7.9799999999999995</v>
      </c>
    </row>
    <row r="2840" spans="2:6">
      <c r="B2840" s="13" t="s">
        <v>2915</v>
      </c>
      <c r="C2840" s="13" t="s">
        <v>2918</v>
      </c>
      <c r="D2840" s="13">
        <v>44.375999999999998</v>
      </c>
      <c r="E2840" s="13">
        <v>2</v>
      </c>
      <c r="F2840" s="13">
        <f t="shared" si="44"/>
        <v>22.187999999999999</v>
      </c>
    </row>
    <row r="2841" spans="2:6">
      <c r="B2841" s="13" t="s">
        <v>2916</v>
      </c>
      <c r="C2841" s="13" t="s">
        <v>2919</v>
      </c>
      <c r="D2841" s="13">
        <v>51.264000000000003</v>
      </c>
      <c r="E2841" s="13">
        <v>6</v>
      </c>
      <c r="F2841" s="13">
        <f t="shared" si="44"/>
        <v>8.5440000000000005</v>
      </c>
    </row>
    <row r="2842" spans="2:6">
      <c r="B2842" s="13" t="s">
        <v>631</v>
      </c>
      <c r="C2842" s="13" t="s">
        <v>633</v>
      </c>
      <c r="D2842" s="13">
        <v>5.1930000000000005</v>
      </c>
      <c r="E2842" s="13">
        <v>3</v>
      </c>
      <c r="F2842" s="13">
        <f t="shared" si="44"/>
        <v>1.7310000000000001</v>
      </c>
    </row>
    <row r="2843" spans="2:6">
      <c r="B2843" s="13" t="s">
        <v>1388</v>
      </c>
      <c r="C2843" s="13" t="s">
        <v>1389</v>
      </c>
      <c r="D2843" s="13">
        <v>159.98400000000001</v>
      </c>
      <c r="E2843" s="13">
        <v>2</v>
      </c>
      <c r="F2843" s="13">
        <f t="shared" si="44"/>
        <v>79.992000000000004</v>
      </c>
    </row>
    <row r="2844" spans="2:6">
      <c r="B2844" s="13" t="s">
        <v>1472</v>
      </c>
      <c r="C2844" s="13" t="s">
        <v>1475</v>
      </c>
      <c r="D2844" s="13">
        <v>54.224000000000004</v>
      </c>
      <c r="E2844" s="13">
        <v>2</v>
      </c>
      <c r="F2844" s="13">
        <f t="shared" si="44"/>
        <v>27.112000000000002</v>
      </c>
    </row>
    <row r="2845" spans="2:6">
      <c r="B2845" s="13" t="s">
        <v>2917</v>
      </c>
      <c r="C2845" s="13" t="s">
        <v>2920</v>
      </c>
      <c r="D2845" s="13">
        <v>241.42399999999998</v>
      </c>
      <c r="E2845" s="13">
        <v>2</v>
      </c>
      <c r="F2845" s="13">
        <f t="shared" si="44"/>
        <v>120.71199999999999</v>
      </c>
    </row>
    <row r="2846" spans="2:6">
      <c r="B2846" s="13" t="s">
        <v>1218</v>
      </c>
      <c r="C2846" s="13" t="s">
        <v>1221</v>
      </c>
      <c r="D2846" s="13">
        <v>479.98400000000004</v>
      </c>
      <c r="E2846" s="13">
        <v>2</v>
      </c>
      <c r="F2846" s="13">
        <f t="shared" si="44"/>
        <v>239.99200000000002</v>
      </c>
    </row>
    <row r="2847" spans="2:6">
      <c r="B2847" s="13" t="s">
        <v>433</v>
      </c>
      <c r="C2847" s="13" t="s">
        <v>439</v>
      </c>
      <c r="D2847" s="13">
        <v>30.84</v>
      </c>
      <c r="E2847" s="13">
        <v>5</v>
      </c>
      <c r="F2847" s="13">
        <f t="shared" si="44"/>
        <v>6.1680000000000001</v>
      </c>
    </row>
    <row r="2848" spans="2:6">
      <c r="B2848" s="13" t="s">
        <v>490</v>
      </c>
      <c r="C2848" s="13" t="s">
        <v>495</v>
      </c>
      <c r="D2848" s="13">
        <v>239.92</v>
      </c>
      <c r="E2848" s="13">
        <v>8</v>
      </c>
      <c r="F2848" s="13">
        <f t="shared" si="44"/>
        <v>29.99</v>
      </c>
    </row>
    <row r="2849" spans="2:6">
      <c r="B2849" s="13" t="s">
        <v>1664</v>
      </c>
      <c r="C2849" s="13" t="s">
        <v>1666</v>
      </c>
      <c r="D2849" s="13">
        <v>4.8420000000000005</v>
      </c>
      <c r="E2849" s="13">
        <v>3</v>
      </c>
      <c r="F2849" s="13">
        <f t="shared" si="44"/>
        <v>1.6140000000000001</v>
      </c>
    </row>
    <row r="2850" spans="2:6">
      <c r="B2850" s="13" t="s">
        <v>2921</v>
      </c>
      <c r="C2850" s="13" t="s">
        <v>2922</v>
      </c>
      <c r="D2850" s="13">
        <v>220.70400000000001</v>
      </c>
      <c r="E2850" s="13">
        <v>6</v>
      </c>
      <c r="F2850" s="13">
        <f t="shared" si="44"/>
        <v>36.783999999999999</v>
      </c>
    </row>
    <row r="2851" spans="2:6">
      <c r="B2851" s="13" t="s">
        <v>374</v>
      </c>
      <c r="C2851" s="13" t="s">
        <v>384</v>
      </c>
      <c r="D2851" s="13">
        <v>14.336000000000002</v>
      </c>
      <c r="E2851" s="13">
        <v>4</v>
      </c>
      <c r="F2851" s="13">
        <f t="shared" si="44"/>
        <v>3.5840000000000005</v>
      </c>
    </row>
    <row r="2852" spans="2:6">
      <c r="B2852" s="13" t="s">
        <v>2278</v>
      </c>
      <c r="C2852" s="13" t="s">
        <v>2281</v>
      </c>
      <c r="D2852" s="13">
        <v>102.3</v>
      </c>
      <c r="E2852" s="13">
        <v>1</v>
      </c>
      <c r="F2852" s="13">
        <f t="shared" si="44"/>
        <v>102.3</v>
      </c>
    </row>
    <row r="2853" spans="2:6">
      <c r="B2853" s="13" t="s">
        <v>187</v>
      </c>
      <c r="C2853" s="13" t="s">
        <v>188</v>
      </c>
      <c r="D2853" s="13">
        <v>607.52</v>
      </c>
      <c r="E2853" s="13">
        <v>2</v>
      </c>
      <c r="F2853" s="13">
        <f t="shared" si="44"/>
        <v>303.76</v>
      </c>
    </row>
    <row r="2854" spans="2:6">
      <c r="B2854" s="13" t="s">
        <v>1908</v>
      </c>
      <c r="C2854" s="13" t="s">
        <v>1910</v>
      </c>
      <c r="D2854" s="13">
        <v>31.16</v>
      </c>
      <c r="E2854" s="13">
        <v>2</v>
      </c>
      <c r="F2854" s="13">
        <f t="shared" si="44"/>
        <v>15.58</v>
      </c>
    </row>
    <row r="2855" spans="2:6">
      <c r="B2855" s="13" t="s">
        <v>867</v>
      </c>
      <c r="C2855" s="13" t="s">
        <v>871</v>
      </c>
      <c r="D2855" s="13">
        <v>11.088000000000003</v>
      </c>
      <c r="E2855" s="13">
        <v>7</v>
      </c>
      <c r="F2855" s="13">
        <f t="shared" si="44"/>
        <v>1.5840000000000003</v>
      </c>
    </row>
    <row r="2856" spans="2:6">
      <c r="B2856" s="13" t="s">
        <v>127</v>
      </c>
      <c r="C2856" s="13" t="s">
        <v>133</v>
      </c>
      <c r="D2856" s="13">
        <v>1287.45</v>
      </c>
      <c r="E2856" s="13">
        <v>5</v>
      </c>
      <c r="F2856" s="13">
        <f t="shared" si="44"/>
        <v>257.49</v>
      </c>
    </row>
    <row r="2857" spans="2:6">
      <c r="B2857" s="13" t="s">
        <v>1968</v>
      </c>
      <c r="C2857" s="13" t="s">
        <v>1976</v>
      </c>
      <c r="D2857" s="13">
        <v>168.1</v>
      </c>
      <c r="E2857" s="13">
        <v>5</v>
      </c>
      <c r="F2857" s="13">
        <f t="shared" si="44"/>
        <v>33.619999999999997</v>
      </c>
    </row>
    <row r="2858" spans="2:6">
      <c r="B2858" s="13" t="s">
        <v>1753</v>
      </c>
      <c r="C2858" s="13" t="s">
        <v>1756</v>
      </c>
      <c r="D2858" s="13">
        <v>4.7679999999999998</v>
      </c>
      <c r="E2858" s="13">
        <v>2</v>
      </c>
      <c r="F2858" s="13">
        <f t="shared" si="44"/>
        <v>2.3839999999999999</v>
      </c>
    </row>
    <row r="2859" spans="2:6">
      <c r="B2859" s="13" t="s">
        <v>2149</v>
      </c>
      <c r="C2859" s="13" t="s">
        <v>2153</v>
      </c>
      <c r="D2859" s="13">
        <v>7.98</v>
      </c>
      <c r="E2859" s="13">
        <v>3</v>
      </c>
      <c r="F2859" s="13">
        <f t="shared" si="44"/>
        <v>2.66</v>
      </c>
    </row>
    <row r="2860" spans="2:6">
      <c r="B2860" s="13" t="s">
        <v>1130</v>
      </c>
      <c r="C2860" s="13" t="s">
        <v>978</v>
      </c>
      <c r="D2860" s="13">
        <v>18.687999999999999</v>
      </c>
      <c r="E2860" s="13">
        <v>2</v>
      </c>
      <c r="F2860" s="13">
        <f t="shared" si="44"/>
        <v>9.3439999999999994</v>
      </c>
    </row>
    <row r="2861" spans="2:6">
      <c r="B2861" s="13" t="s">
        <v>2923</v>
      </c>
      <c r="C2861" s="13" t="s">
        <v>2925</v>
      </c>
      <c r="D2861" s="13">
        <v>11.664000000000001</v>
      </c>
      <c r="E2861" s="13">
        <v>3</v>
      </c>
      <c r="F2861" s="13">
        <f t="shared" si="44"/>
        <v>3.8880000000000003</v>
      </c>
    </row>
    <row r="2862" spans="2:6">
      <c r="B2862" s="13" t="s">
        <v>1851</v>
      </c>
      <c r="C2862" s="13" t="s">
        <v>1854</v>
      </c>
      <c r="D2862" s="13">
        <v>191.976</v>
      </c>
      <c r="E2862" s="13">
        <v>3</v>
      </c>
      <c r="F2862" s="13">
        <f t="shared" si="44"/>
        <v>63.991999999999997</v>
      </c>
    </row>
    <row r="2863" spans="2:6">
      <c r="B2863" s="13" t="s">
        <v>2924</v>
      </c>
      <c r="C2863" s="13" t="s">
        <v>2926</v>
      </c>
      <c r="D2863" s="13">
        <v>499.16800000000006</v>
      </c>
      <c r="E2863" s="13">
        <v>4</v>
      </c>
      <c r="F2863" s="13">
        <f t="shared" si="44"/>
        <v>124.79200000000002</v>
      </c>
    </row>
    <row r="2864" spans="2:6">
      <c r="B2864" s="13" t="s">
        <v>375</v>
      </c>
      <c r="C2864" s="13" t="s">
        <v>385</v>
      </c>
      <c r="D2864" s="13">
        <v>23.18</v>
      </c>
      <c r="E2864" s="13">
        <v>2</v>
      </c>
      <c r="F2864" s="13">
        <f t="shared" si="44"/>
        <v>11.59</v>
      </c>
    </row>
    <row r="2865" spans="2:6">
      <c r="B2865" s="13" t="s">
        <v>2846</v>
      </c>
      <c r="C2865" s="13" t="s">
        <v>2849</v>
      </c>
      <c r="D2865" s="13">
        <v>82.95</v>
      </c>
      <c r="E2865" s="13">
        <v>5</v>
      </c>
      <c r="F2865" s="13">
        <f t="shared" si="44"/>
        <v>16.59</v>
      </c>
    </row>
    <row r="2866" spans="2:6">
      <c r="B2866" s="13" t="s">
        <v>1525</v>
      </c>
      <c r="C2866" s="13" t="s">
        <v>1526</v>
      </c>
      <c r="D2866" s="13">
        <v>399.67200000000003</v>
      </c>
      <c r="E2866" s="13">
        <v>7</v>
      </c>
      <c r="F2866" s="13">
        <f t="shared" si="44"/>
        <v>57.096000000000004</v>
      </c>
    </row>
    <row r="2867" spans="2:6">
      <c r="B2867" s="13" t="s">
        <v>2387</v>
      </c>
      <c r="C2867" s="13" t="s">
        <v>2388</v>
      </c>
      <c r="D2867" s="13">
        <v>65.12</v>
      </c>
      <c r="E2867" s="13">
        <v>4</v>
      </c>
      <c r="F2867" s="13">
        <f t="shared" si="44"/>
        <v>16.28</v>
      </c>
    </row>
    <row r="2868" spans="2:6">
      <c r="B2868" s="13" t="s">
        <v>472</v>
      </c>
      <c r="C2868" s="13" t="s">
        <v>473</v>
      </c>
      <c r="D2868" s="13">
        <v>30.560000000000002</v>
      </c>
      <c r="E2868" s="13">
        <v>5</v>
      </c>
      <c r="F2868" s="13">
        <f t="shared" si="44"/>
        <v>6.1120000000000001</v>
      </c>
    </row>
    <row r="2869" spans="2:6">
      <c r="B2869" s="13" t="s">
        <v>319</v>
      </c>
      <c r="C2869" s="13" t="s">
        <v>324</v>
      </c>
      <c r="D2869" s="13">
        <v>20.768000000000001</v>
      </c>
      <c r="E2869" s="13">
        <v>2</v>
      </c>
      <c r="F2869" s="13">
        <f t="shared" si="44"/>
        <v>10.384</v>
      </c>
    </row>
    <row r="2870" spans="2:6">
      <c r="B2870" s="13" t="s">
        <v>2927</v>
      </c>
      <c r="C2870" s="13" t="s">
        <v>2928</v>
      </c>
      <c r="D2870" s="13">
        <v>130.97999999999999</v>
      </c>
      <c r="E2870" s="13">
        <v>2</v>
      </c>
      <c r="F2870" s="13">
        <f t="shared" si="44"/>
        <v>65.489999999999995</v>
      </c>
    </row>
    <row r="2871" spans="2:6">
      <c r="B2871" s="13" t="s">
        <v>2929</v>
      </c>
      <c r="C2871" s="13" t="s">
        <v>2930</v>
      </c>
      <c r="D2871" s="13">
        <v>139.58000000000001</v>
      </c>
      <c r="E2871" s="13">
        <v>7</v>
      </c>
      <c r="F2871" s="13">
        <f t="shared" si="44"/>
        <v>19.940000000000001</v>
      </c>
    </row>
    <row r="2872" spans="2:6">
      <c r="B2872" s="13" t="s">
        <v>2181</v>
      </c>
      <c r="C2872" s="13" t="s">
        <v>2182</v>
      </c>
      <c r="D2872" s="13">
        <v>399.95</v>
      </c>
      <c r="E2872" s="13">
        <v>5</v>
      </c>
      <c r="F2872" s="13">
        <f t="shared" si="44"/>
        <v>79.989999999999995</v>
      </c>
    </row>
    <row r="2873" spans="2:6">
      <c r="B2873" s="13" t="s">
        <v>2931</v>
      </c>
      <c r="C2873" s="13" t="s">
        <v>2932</v>
      </c>
      <c r="D2873" s="13">
        <v>760.97999999999979</v>
      </c>
      <c r="E2873" s="13">
        <v>5</v>
      </c>
      <c r="F2873" s="13">
        <f t="shared" si="44"/>
        <v>152.19599999999997</v>
      </c>
    </row>
    <row r="2874" spans="2:6">
      <c r="B2874" s="13" t="s">
        <v>2075</v>
      </c>
      <c r="C2874" s="13" t="s">
        <v>2077</v>
      </c>
      <c r="D2874" s="13">
        <v>67.860000000000014</v>
      </c>
      <c r="E2874" s="13">
        <v>6</v>
      </c>
      <c r="F2874" s="13">
        <f t="shared" si="44"/>
        <v>11.310000000000002</v>
      </c>
    </row>
    <row r="2875" spans="2:6">
      <c r="B2875" s="13" t="s">
        <v>904</v>
      </c>
      <c r="C2875" s="13" t="s">
        <v>906</v>
      </c>
      <c r="D2875" s="13">
        <v>723.92</v>
      </c>
      <c r="E2875" s="13">
        <v>5</v>
      </c>
      <c r="F2875" s="13">
        <f t="shared" si="44"/>
        <v>144.78399999999999</v>
      </c>
    </row>
    <row r="2876" spans="2:6">
      <c r="B2876" s="13" t="s">
        <v>951</v>
      </c>
      <c r="C2876" s="13" t="s">
        <v>955</v>
      </c>
      <c r="D2876" s="13">
        <v>94.2</v>
      </c>
      <c r="E2876" s="13">
        <v>5</v>
      </c>
      <c r="F2876" s="13">
        <f t="shared" si="44"/>
        <v>18.84</v>
      </c>
    </row>
    <row r="2877" spans="2:6">
      <c r="B2877" s="13" t="s">
        <v>1944</v>
      </c>
      <c r="C2877" s="13" t="s">
        <v>1945</v>
      </c>
      <c r="D2877" s="13">
        <v>18.368000000000002</v>
      </c>
      <c r="E2877" s="13">
        <v>2</v>
      </c>
      <c r="F2877" s="13">
        <f t="shared" si="44"/>
        <v>9.1840000000000011</v>
      </c>
    </row>
    <row r="2878" spans="2:6">
      <c r="B2878" s="13" t="s">
        <v>2933</v>
      </c>
      <c r="C2878" s="13" t="s">
        <v>2934</v>
      </c>
      <c r="D2878" s="13">
        <v>600.55799999999999</v>
      </c>
      <c r="E2878" s="13">
        <v>3</v>
      </c>
      <c r="F2878" s="13">
        <f t="shared" si="44"/>
        <v>200.18600000000001</v>
      </c>
    </row>
    <row r="2879" spans="2:6">
      <c r="B2879" s="13" t="s">
        <v>112</v>
      </c>
      <c r="C2879" s="13" t="s">
        <v>119</v>
      </c>
      <c r="D2879" s="13">
        <v>50.352000000000004</v>
      </c>
      <c r="E2879" s="13">
        <v>3</v>
      </c>
      <c r="F2879" s="13">
        <f t="shared" si="44"/>
        <v>16.784000000000002</v>
      </c>
    </row>
    <row r="2880" spans="2:6">
      <c r="B2880" s="13" t="s">
        <v>1124</v>
      </c>
      <c r="C2880" s="13" t="s">
        <v>1126</v>
      </c>
      <c r="D2880" s="13">
        <v>28.031999999999996</v>
      </c>
      <c r="E2880" s="13">
        <v>6</v>
      </c>
      <c r="F2880" s="13">
        <f t="shared" si="44"/>
        <v>4.6719999999999997</v>
      </c>
    </row>
    <row r="2881" spans="2:6">
      <c r="B2881" s="13" t="s">
        <v>810</v>
      </c>
      <c r="C2881" s="13" t="s">
        <v>2935</v>
      </c>
      <c r="D2881" s="13">
        <v>7.6920000000000002</v>
      </c>
      <c r="E2881" s="13">
        <v>1</v>
      </c>
      <c r="F2881" s="13">
        <f t="shared" si="44"/>
        <v>7.6920000000000002</v>
      </c>
    </row>
    <row r="2882" spans="2:6">
      <c r="B2882" s="13" t="s">
        <v>1100</v>
      </c>
      <c r="C2882" s="13" t="s">
        <v>1102</v>
      </c>
      <c r="D2882" s="13">
        <v>517.40500000000009</v>
      </c>
      <c r="E2882" s="13">
        <v>5</v>
      </c>
      <c r="F2882" s="13">
        <f t="shared" si="44"/>
        <v>103.48100000000002</v>
      </c>
    </row>
    <row r="2883" spans="2:6">
      <c r="B2883" s="13" t="s">
        <v>1739</v>
      </c>
      <c r="C2883" s="13" t="s">
        <v>1745</v>
      </c>
      <c r="D2883" s="13">
        <v>5.16</v>
      </c>
      <c r="E2883" s="13">
        <v>2</v>
      </c>
      <c r="F2883" s="13">
        <f t="shared" si="44"/>
        <v>2.58</v>
      </c>
    </row>
    <row r="2884" spans="2:6">
      <c r="B2884" s="13" t="s">
        <v>2831</v>
      </c>
      <c r="C2884" s="13" t="s">
        <v>2833</v>
      </c>
      <c r="D2884" s="13">
        <v>96.359999999999985</v>
      </c>
      <c r="E2884" s="13">
        <v>6</v>
      </c>
      <c r="F2884" s="13">
        <f t="shared" ref="F2884:F2947" si="45">D2884/E2884</f>
        <v>16.059999999999999</v>
      </c>
    </row>
    <row r="2885" spans="2:6">
      <c r="B2885" s="13" t="s">
        <v>124</v>
      </c>
      <c r="C2885" s="13" t="s">
        <v>130</v>
      </c>
      <c r="D2885" s="13">
        <v>300.904</v>
      </c>
      <c r="E2885" s="13">
        <v>1</v>
      </c>
      <c r="F2885" s="13">
        <f t="shared" si="45"/>
        <v>300.904</v>
      </c>
    </row>
    <row r="2886" spans="2:6">
      <c r="B2886" s="13" t="s">
        <v>2936</v>
      </c>
      <c r="C2886" s="13" t="s">
        <v>2939</v>
      </c>
      <c r="D2886" s="13">
        <v>239.976</v>
      </c>
      <c r="E2886" s="13">
        <v>3</v>
      </c>
      <c r="F2886" s="13">
        <f t="shared" si="45"/>
        <v>79.992000000000004</v>
      </c>
    </row>
    <row r="2887" spans="2:6">
      <c r="B2887" s="13" t="s">
        <v>2821</v>
      </c>
      <c r="C2887" s="13" t="s">
        <v>549</v>
      </c>
      <c r="D2887" s="13">
        <v>31.168000000000003</v>
      </c>
      <c r="E2887" s="13">
        <v>4</v>
      </c>
      <c r="F2887" s="13">
        <f t="shared" si="45"/>
        <v>7.7920000000000007</v>
      </c>
    </row>
    <row r="2888" spans="2:6">
      <c r="B2888" s="13" t="s">
        <v>2937</v>
      </c>
      <c r="C2888" s="13" t="s">
        <v>2940</v>
      </c>
      <c r="D2888" s="13">
        <v>120.96</v>
      </c>
      <c r="E2888" s="13">
        <v>2</v>
      </c>
      <c r="F2888" s="13">
        <f t="shared" si="45"/>
        <v>60.48</v>
      </c>
    </row>
    <row r="2889" spans="2:6">
      <c r="B2889" s="13" t="s">
        <v>2773</v>
      </c>
      <c r="C2889" s="13" t="s">
        <v>2777</v>
      </c>
      <c r="D2889" s="13">
        <v>2239.9360000000001</v>
      </c>
      <c r="E2889" s="13">
        <v>8</v>
      </c>
      <c r="F2889" s="13">
        <f t="shared" si="45"/>
        <v>279.99200000000002</v>
      </c>
    </row>
    <row r="2890" spans="2:6">
      <c r="B2890" s="13" t="s">
        <v>197</v>
      </c>
      <c r="C2890" s="13" t="s">
        <v>210</v>
      </c>
      <c r="D2890" s="13">
        <v>76.608000000000004</v>
      </c>
      <c r="E2890" s="13">
        <v>8</v>
      </c>
      <c r="F2890" s="13">
        <f t="shared" si="45"/>
        <v>9.5760000000000005</v>
      </c>
    </row>
    <row r="2891" spans="2:6">
      <c r="B2891" s="13" t="s">
        <v>709</v>
      </c>
      <c r="C2891" s="13" t="s">
        <v>713</v>
      </c>
      <c r="D2891" s="13">
        <v>142.77600000000001</v>
      </c>
      <c r="E2891" s="13">
        <v>1</v>
      </c>
      <c r="F2891" s="13">
        <f t="shared" si="45"/>
        <v>142.77600000000001</v>
      </c>
    </row>
    <row r="2892" spans="2:6">
      <c r="B2892" s="13" t="s">
        <v>2938</v>
      </c>
      <c r="C2892" s="13" t="s">
        <v>2941</v>
      </c>
      <c r="D2892" s="13">
        <v>91.360000000000014</v>
      </c>
      <c r="E2892" s="13">
        <v>5</v>
      </c>
      <c r="F2892" s="13">
        <f t="shared" si="45"/>
        <v>18.272000000000002</v>
      </c>
    </row>
    <row r="2893" spans="2:6">
      <c r="B2893" s="13" t="s">
        <v>2942</v>
      </c>
      <c r="C2893" s="13" t="s">
        <v>2943</v>
      </c>
      <c r="D2893" s="13">
        <v>71.951999999999998</v>
      </c>
      <c r="E2893" s="13">
        <v>6</v>
      </c>
      <c r="F2893" s="13">
        <f t="shared" si="45"/>
        <v>11.991999999999999</v>
      </c>
    </row>
    <row r="2894" spans="2:6">
      <c r="B2894" s="13" t="s">
        <v>807</v>
      </c>
      <c r="C2894" s="13" t="s">
        <v>808</v>
      </c>
      <c r="D2894" s="13">
        <v>29.800000000000004</v>
      </c>
      <c r="E2894" s="13">
        <v>5</v>
      </c>
      <c r="F2894" s="13">
        <f t="shared" si="45"/>
        <v>5.9600000000000009</v>
      </c>
    </row>
    <row r="2895" spans="2:6">
      <c r="B2895" s="13" t="s">
        <v>328</v>
      </c>
      <c r="C2895" s="13" t="s">
        <v>335</v>
      </c>
      <c r="D2895" s="13">
        <v>1.8240000000000003</v>
      </c>
      <c r="E2895" s="13">
        <v>1</v>
      </c>
      <c r="F2895" s="13">
        <f t="shared" si="45"/>
        <v>1.8240000000000003</v>
      </c>
    </row>
    <row r="2896" spans="2:6">
      <c r="B2896" s="13" t="s">
        <v>2944</v>
      </c>
      <c r="C2896" s="13" t="s">
        <v>2945</v>
      </c>
      <c r="D2896" s="13">
        <v>46.2</v>
      </c>
      <c r="E2896" s="13">
        <v>4</v>
      </c>
      <c r="F2896" s="13">
        <f t="shared" si="45"/>
        <v>11.55</v>
      </c>
    </row>
    <row r="2897" spans="2:6">
      <c r="B2897" s="13" t="s">
        <v>2667</v>
      </c>
      <c r="C2897" s="13" t="s">
        <v>2672</v>
      </c>
      <c r="D2897" s="13">
        <v>19.440000000000001</v>
      </c>
      <c r="E2897" s="13">
        <v>3</v>
      </c>
      <c r="F2897" s="13">
        <f t="shared" si="45"/>
        <v>6.48</v>
      </c>
    </row>
    <row r="2898" spans="2:6">
      <c r="B2898" s="13" t="s">
        <v>259</v>
      </c>
      <c r="C2898" s="13" t="s">
        <v>261</v>
      </c>
      <c r="D2898" s="13">
        <v>126.30000000000001</v>
      </c>
      <c r="E2898" s="13">
        <v>3</v>
      </c>
      <c r="F2898" s="13">
        <f t="shared" si="45"/>
        <v>42.1</v>
      </c>
    </row>
    <row r="2899" spans="2:6">
      <c r="B2899" s="13" t="s">
        <v>127</v>
      </c>
      <c r="C2899" s="13" t="s">
        <v>133</v>
      </c>
      <c r="D2899" s="13">
        <v>1287.45</v>
      </c>
      <c r="E2899" s="13">
        <v>5</v>
      </c>
      <c r="F2899" s="13">
        <f t="shared" si="45"/>
        <v>257.49</v>
      </c>
    </row>
    <row r="2900" spans="2:6">
      <c r="B2900" s="13" t="s">
        <v>610</v>
      </c>
      <c r="C2900" s="13" t="s">
        <v>611</v>
      </c>
      <c r="D2900" s="13">
        <v>8.1000000000000014</v>
      </c>
      <c r="E2900" s="13">
        <v>5</v>
      </c>
      <c r="F2900" s="13">
        <f t="shared" si="45"/>
        <v>1.6200000000000003</v>
      </c>
    </row>
    <row r="2901" spans="2:6">
      <c r="B2901" s="13" t="s">
        <v>1299</v>
      </c>
      <c r="C2901" s="13" t="s">
        <v>1302</v>
      </c>
      <c r="D2901" s="13">
        <v>13.247999999999999</v>
      </c>
      <c r="E2901" s="13">
        <v>4</v>
      </c>
      <c r="F2901" s="13">
        <f t="shared" si="45"/>
        <v>3.3119999999999998</v>
      </c>
    </row>
    <row r="2902" spans="2:6">
      <c r="B2902" s="13" t="s">
        <v>255</v>
      </c>
      <c r="C2902" s="13" t="s">
        <v>258</v>
      </c>
      <c r="D2902" s="13">
        <v>83.987999999999985</v>
      </c>
      <c r="E2902" s="13">
        <v>2</v>
      </c>
      <c r="F2902" s="13">
        <f t="shared" si="45"/>
        <v>41.993999999999993</v>
      </c>
    </row>
    <row r="2903" spans="2:6">
      <c r="B2903" s="13" t="s">
        <v>1145</v>
      </c>
      <c r="C2903" s="13" t="s">
        <v>1147</v>
      </c>
      <c r="D2903" s="13">
        <v>210.58</v>
      </c>
      <c r="E2903" s="13">
        <v>2</v>
      </c>
      <c r="F2903" s="13">
        <f t="shared" si="45"/>
        <v>105.29</v>
      </c>
    </row>
    <row r="2904" spans="2:6">
      <c r="B2904" s="13" t="s">
        <v>418</v>
      </c>
      <c r="C2904" s="13" t="s">
        <v>422</v>
      </c>
      <c r="D2904" s="13">
        <v>30.960000000000004</v>
      </c>
      <c r="E2904" s="13">
        <v>2</v>
      </c>
      <c r="F2904" s="13">
        <f t="shared" si="45"/>
        <v>15.480000000000002</v>
      </c>
    </row>
    <row r="2905" spans="2:6">
      <c r="B2905" s="13" t="s">
        <v>2347</v>
      </c>
      <c r="C2905" s="13" t="s">
        <v>2351</v>
      </c>
      <c r="D2905" s="13">
        <v>239.98400000000004</v>
      </c>
      <c r="E2905" s="13">
        <v>2</v>
      </c>
      <c r="F2905" s="13">
        <f t="shared" si="45"/>
        <v>119.99200000000002</v>
      </c>
    </row>
    <row r="2906" spans="2:6">
      <c r="B2906" s="13" t="s">
        <v>2511</v>
      </c>
      <c r="C2906" s="13" t="s">
        <v>2512</v>
      </c>
      <c r="D2906" s="13">
        <v>17.712</v>
      </c>
      <c r="E2906" s="13">
        <v>6</v>
      </c>
      <c r="F2906" s="13">
        <f t="shared" si="45"/>
        <v>2.952</v>
      </c>
    </row>
    <row r="2907" spans="2:6">
      <c r="B2907" s="13" t="s">
        <v>610</v>
      </c>
      <c r="C2907" s="13" t="s">
        <v>611</v>
      </c>
      <c r="D2907" s="13">
        <v>4.8600000000000012</v>
      </c>
      <c r="E2907" s="13">
        <v>3</v>
      </c>
      <c r="F2907" s="13">
        <f t="shared" si="45"/>
        <v>1.6200000000000003</v>
      </c>
    </row>
    <row r="2908" spans="2:6">
      <c r="B2908" s="13" t="s">
        <v>1509</v>
      </c>
      <c r="C2908" s="13" t="s">
        <v>1510</v>
      </c>
      <c r="D2908" s="13">
        <v>6.2580000000000009</v>
      </c>
      <c r="E2908" s="13">
        <v>2</v>
      </c>
      <c r="F2908" s="13">
        <f t="shared" si="45"/>
        <v>3.1290000000000004</v>
      </c>
    </row>
    <row r="2909" spans="2:6">
      <c r="B2909" s="13" t="s">
        <v>1065</v>
      </c>
      <c r="C2909" s="13" t="s">
        <v>1069</v>
      </c>
      <c r="D2909" s="13">
        <v>942.78400000000011</v>
      </c>
      <c r="E2909" s="13">
        <v>4</v>
      </c>
      <c r="F2909" s="13">
        <f t="shared" si="45"/>
        <v>235.69600000000003</v>
      </c>
    </row>
    <row r="2910" spans="2:6">
      <c r="B2910" s="13" t="s">
        <v>2731</v>
      </c>
      <c r="C2910" s="13" t="s">
        <v>2732</v>
      </c>
      <c r="D2910" s="13">
        <v>74.352000000000004</v>
      </c>
      <c r="E2910" s="13">
        <v>3</v>
      </c>
      <c r="F2910" s="13">
        <f t="shared" si="45"/>
        <v>24.784000000000002</v>
      </c>
    </row>
    <row r="2911" spans="2:6">
      <c r="B2911" s="13" t="s">
        <v>390</v>
      </c>
      <c r="C2911" s="13" t="s">
        <v>391</v>
      </c>
      <c r="D2911" s="13">
        <v>287.976</v>
      </c>
      <c r="E2911" s="13">
        <v>3</v>
      </c>
      <c r="F2911" s="13">
        <f t="shared" si="45"/>
        <v>95.992000000000004</v>
      </c>
    </row>
    <row r="2912" spans="2:6">
      <c r="B2912" s="13" t="s">
        <v>995</v>
      </c>
      <c r="C2912" s="13" t="s">
        <v>996</v>
      </c>
      <c r="D2912" s="13">
        <v>4.6079999999999997</v>
      </c>
      <c r="E2912" s="13">
        <v>2</v>
      </c>
      <c r="F2912" s="13">
        <f t="shared" si="45"/>
        <v>2.3039999999999998</v>
      </c>
    </row>
    <row r="2913" spans="2:6">
      <c r="B2913" s="13" t="s">
        <v>2517</v>
      </c>
      <c r="C2913" s="13" t="s">
        <v>2520</v>
      </c>
      <c r="D2913" s="13">
        <v>195.96000000000004</v>
      </c>
      <c r="E2913" s="13">
        <v>5</v>
      </c>
      <c r="F2913" s="13">
        <f t="shared" si="45"/>
        <v>39.192000000000007</v>
      </c>
    </row>
    <row r="2914" spans="2:6">
      <c r="B2914" s="13" t="s">
        <v>1550</v>
      </c>
      <c r="C2914" s="13" t="s">
        <v>1554</v>
      </c>
      <c r="D2914" s="13">
        <v>15.552000000000003</v>
      </c>
      <c r="E2914" s="13">
        <v>3</v>
      </c>
      <c r="F2914" s="13">
        <f t="shared" si="45"/>
        <v>5.1840000000000011</v>
      </c>
    </row>
    <row r="2915" spans="2:6">
      <c r="B2915" s="13" t="s">
        <v>1085</v>
      </c>
      <c r="C2915" s="13" t="s">
        <v>1089</v>
      </c>
      <c r="D2915" s="13">
        <v>271.96800000000002</v>
      </c>
      <c r="E2915" s="13">
        <v>4</v>
      </c>
      <c r="F2915" s="13">
        <f t="shared" si="45"/>
        <v>67.992000000000004</v>
      </c>
    </row>
    <row r="2916" spans="2:6">
      <c r="B2916" s="13" t="s">
        <v>779</v>
      </c>
      <c r="C2916" s="13" t="s">
        <v>781</v>
      </c>
      <c r="D2916" s="13">
        <v>698.35200000000009</v>
      </c>
      <c r="E2916" s="13">
        <v>3</v>
      </c>
      <c r="F2916" s="13">
        <f t="shared" si="45"/>
        <v>232.78400000000002</v>
      </c>
    </row>
    <row r="2917" spans="2:6">
      <c r="B2917" s="13" t="s">
        <v>1011</v>
      </c>
      <c r="C2917" s="13" t="s">
        <v>1015</v>
      </c>
      <c r="D2917" s="13">
        <v>77.728000000000009</v>
      </c>
      <c r="E2917" s="13">
        <v>2</v>
      </c>
      <c r="F2917" s="13">
        <f t="shared" si="45"/>
        <v>38.864000000000004</v>
      </c>
    </row>
    <row r="2918" spans="2:6">
      <c r="B2918" s="13" t="s">
        <v>461</v>
      </c>
      <c r="C2918" s="13" t="s">
        <v>468</v>
      </c>
      <c r="D2918" s="13">
        <v>537.54399999999998</v>
      </c>
      <c r="E2918" s="13">
        <v>7</v>
      </c>
      <c r="F2918" s="13">
        <f t="shared" si="45"/>
        <v>76.792000000000002</v>
      </c>
    </row>
    <row r="2919" spans="2:6">
      <c r="B2919" s="13" t="s">
        <v>2865</v>
      </c>
      <c r="C2919" s="13" t="s">
        <v>2866</v>
      </c>
      <c r="D2919" s="13">
        <v>10.688000000000001</v>
      </c>
      <c r="E2919" s="13">
        <v>2</v>
      </c>
      <c r="F2919" s="13">
        <f t="shared" si="45"/>
        <v>5.3440000000000003</v>
      </c>
    </row>
    <row r="2920" spans="2:6">
      <c r="B2920" s="13" t="s">
        <v>957</v>
      </c>
      <c r="C2920" s="13" t="s">
        <v>958</v>
      </c>
      <c r="D2920" s="13">
        <v>102.72</v>
      </c>
      <c r="E2920" s="13">
        <v>3</v>
      </c>
      <c r="F2920" s="13">
        <f t="shared" si="45"/>
        <v>34.24</v>
      </c>
    </row>
    <row r="2921" spans="2:6">
      <c r="B2921" s="13" t="s">
        <v>874</v>
      </c>
      <c r="C2921" s="13" t="s">
        <v>878</v>
      </c>
      <c r="D2921" s="13">
        <v>33.282000000000004</v>
      </c>
      <c r="E2921" s="13">
        <v>3</v>
      </c>
      <c r="F2921" s="13">
        <f t="shared" si="45"/>
        <v>11.094000000000001</v>
      </c>
    </row>
    <row r="2922" spans="2:6">
      <c r="B2922" s="13" t="s">
        <v>1307</v>
      </c>
      <c r="C2922" s="13" t="s">
        <v>1313</v>
      </c>
      <c r="D2922" s="13">
        <v>118.64999999999998</v>
      </c>
      <c r="E2922" s="13">
        <v>5</v>
      </c>
      <c r="F2922" s="13">
        <f t="shared" si="45"/>
        <v>23.729999999999997</v>
      </c>
    </row>
    <row r="2923" spans="2:6">
      <c r="B2923" s="13" t="s">
        <v>1321</v>
      </c>
      <c r="C2923" s="13" t="s">
        <v>1324</v>
      </c>
      <c r="D2923" s="13">
        <v>14.76</v>
      </c>
      <c r="E2923" s="13">
        <v>5</v>
      </c>
      <c r="F2923" s="13">
        <f t="shared" si="45"/>
        <v>2.952</v>
      </c>
    </row>
    <row r="2924" spans="2:6">
      <c r="B2924" s="13" t="s">
        <v>720</v>
      </c>
      <c r="C2924" s="13" t="s">
        <v>726</v>
      </c>
      <c r="D2924" s="13">
        <v>37.520000000000003</v>
      </c>
      <c r="E2924" s="13">
        <v>4</v>
      </c>
      <c r="F2924" s="13">
        <f t="shared" si="45"/>
        <v>9.3800000000000008</v>
      </c>
    </row>
    <row r="2925" spans="2:6">
      <c r="B2925" s="13" t="s">
        <v>265</v>
      </c>
      <c r="C2925" s="13" t="s">
        <v>271</v>
      </c>
      <c r="D2925" s="13">
        <v>959.98400000000004</v>
      </c>
      <c r="E2925" s="13">
        <v>2</v>
      </c>
      <c r="F2925" s="13">
        <f t="shared" si="45"/>
        <v>479.99200000000002</v>
      </c>
    </row>
    <row r="2926" spans="2:6">
      <c r="B2926" s="13" t="s">
        <v>1737</v>
      </c>
      <c r="C2926" s="13" t="s">
        <v>1743</v>
      </c>
      <c r="D2926" s="13">
        <v>4.0860000000000003</v>
      </c>
      <c r="E2926" s="13">
        <v>2</v>
      </c>
      <c r="F2926" s="13">
        <f t="shared" si="45"/>
        <v>2.0430000000000001</v>
      </c>
    </row>
    <row r="2927" spans="2:6">
      <c r="B2927" s="13" t="s">
        <v>2591</v>
      </c>
      <c r="C2927" s="13" t="s">
        <v>2593</v>
      </c>
      <c r="D2927" s="13">
        <v>55.984000000000009</v>
      </c>
      <c r="E2927" s="13">
        <v>2</v>
      </c>
      <c r="F2927" s="13">
        <f t="shared" si="45"/>
        <v>27.992000000000004</v>
      </c>
    </row>
    <row r="2928" spans="2:6">
      <c r="B2928" s="13" t="s">
        <v>2519</v>
      </c>
      <c r="C2928" s="13" t="s">
        <v>2522</v>
      </c>
      <c r="D2928" s="13">
        <v>10.688000000000001</v>
      </c>
      <c r="E2928" s="13">
        <v>2</v>
      </c>
      <c r="F2928" s="13">
        <f t="shared" si="45"/>
        <v>5.3440000000000003</v>
      </c>
    </row>
    <row r="2929" spans="2:6">
      <c r="B2929" s="13" t="s">
        <v>2325</v>
      </c>
      <c r="C2929" s="13" t="s">
        <v>2331</v>
      </c>
      <c r="D2929" s="13">
        <v>8.8559999999999999</v>
      </c>
      <c r="E2929" s="13">
        <v>3</v>
      </c>
      <c r="F2929" s="13">
        <f t="shared" si="45"/>
        <v>2.952</v>
      </c>
    </row>
    <row r="2930" spans="2:6">
      <c r="B2930" s="13" t="s">
        <v>798</v>
      </c>
      <c r="C2930" s="13" t="s">
        <v>2748</v>
      </c>
      <c r="D2930" s="13">
        <v>15.51</v>
      </c>
      <c r="E2930" s="13">
        <v>1</v>
      </c>
      <c r="F2930" s="13">
        <f t="shared" si="45"/>
        <v>15.51</v>
      </c>
    </row>
    <row r="2931" spans="2:6">
      <c r="B2931" s="13" t="s">
        <v>2438</v>
      </c>
      <c r="C2931" s="13" t="s">
        <v>2441</v>
      </c>
      <c r="D2931" s="13">
        <v>89.9</v>
      </c>
      <c r="E2931" s="13">
        <v>2</v>
      </c>
      <c r="F2931" s="13">
        <f t="shared" si="45"/>
        <v>44.95</v>
      </c>
    </row>
    <row r="2932" spans="2:6">
      <c r="B2932" s="13" t="s">
        <v>2362</v>
      </c>
      <c r="C2932" s="13" t="s">
        <v>2363</v>
      </c>
      <c r="D2932" s="13">
        <v>14.28</v>
      </c>
      <c r="E2932" s="13">
        <v>4</v>
      </c>
      <c r="F2932" s="13">
        <f t="shared" si="45"/>
        <v>3.57</v>
      </c>
    </row>
    <row r="2933" spans="2:6">
      <c r="B2933" s="13" t="s">
        <v>2946</v>
      </c>
      <c r="C2933" s="13" t="s">
        <v>2947</v>
      </c>
      <c r="D2933" s="13">
        <v>12.72</v>
      </c>
      <c r="E2933" s="13">
        <v>3</v>
      </c>
      <c r="F2933" s="13">
        <f t="shared" si="45"/>
        <v>4.24</v>
      </c>
    </row>
    <row r="2934" spans="2:6">
      <c r="B2934" s="13" t="s">
        <v>203</v>
      </c>
      <c r="C2934" s="13" t="s">
        <v>216</v>
      </c>
      <c r="D2934" s="13">
        <v>15.75</v>
      </c>
      <c r="E2934" s="13">
        <v>5</v>
      </c>
      <c r="F2934" s="13">
        <f t="shared" si="45"/>
        <v>3.15</v>
      </c>
    </row>
    <row r="2935" spans="2:6">
      <c r="B2935" s="13" t="s">
        <v>1889</v>
      </c>
      <c r="C2935" s="13" t="s">
        <v>1892</v>
      </c>
      <c r="D2935" s="13">
        <v>7.2359999999999998</v>
      </c>
      <c r="E2935" s="13">
        <v>3</v>
      </c>
      <c r="F2935" s="13">
        <f t="shared" si="45"/>
        <v>2.4119999999999999</v>
      </c>
    </row>
    <row r="2936" spans="2:6">
      <c r="B2936" s="13" t="s">
        <v>1441</v>
      </c>
      <c r="C2936" s="13" t="s">
        <v>1444</v>
      </c>
      <c r="D2936" s="13">
        <v>4.8239999999999998</v>
      </c>
      <c r="E2936" s="13">
        <v>3</v>
      </c>
      <c r="F2936" s="13">
        <f t="shared" si="45"/>
        <v>1.6079999999999999</v>
      </c>
    </row>
    <row r="2937" spans="2:6">
      <c r="B2937" s="13" t="s">
        <v>2948</v>
      </c>
      <c r="C2937" s="13" t="s">
        <v>2949</v>
      </c>
      <c r="D2937" s="13">
        <v>91.360000000000014</v>
      </c>
      <c r="E2937" s="13">
        <v>5</v>
      </c>
      <c r="F2937" s="13">
        <f t="shared" si="45"/>
        <v>18.272000000000002</v>
      </c>
    </row>
    <row r="2938" spans="2:6">
      <c r="B2938" s="13" t="s">
        <v>2247</v>
      </c>
      <c r="C2938" s="13" t="s">
        <v>2251</v>
      </c>
      <c r="D2938" s="13">
        <v>130.11199999999999</v>
      </c>
      <c r="E2938" s="13">
        <v>2</v>
      </c>
      <c r="F2938" s="13">
        <f t="shared" si="45"/>
        <v>65.055999999999997</v>
      </c>
    </row>
    <row r="2939" spans="2:6">
      <c r="B2939" s="13" t="s">
        <v>125</v>
      </c>
      <c r="C2939" s="13" t="s">
        <v>131</v>
      </c>
      <c r="D2939" s="13">
        <v>21.312000000000005</v>
      </c>
      <c r="E2939" s="13">
        <v>3</v>
      </c>
      <c r="F2939" s="13">
        <f t="shared" si="45"/>
        <v>7.1040000000000019</v>
      </c>
    </row>
    <row r="2940" spans="2:6">
      <c r="B2940" s="13" t="s">
        <v>2950</v>
      </c>
      <c r="C2940" s="13" t="s">
        <v>2952</v>
      </c>
      <c r="D2940" s="13">
        <v>209.94</v>
      </c>
      <c r="E2940" s="13">
        <v>6</v>
      </c>
      <c r="F2940" s="13">
        <f t="shared" si="45"/>
        <v>34.99</v>
      </c>
    </row>
    <row r="2941" spans="2:6">
      <c r="B2941" s="13" t="s">
        <v>2951</v>
      </c>
      <c r="C2941" s="13" t="s">
        <v>2953</v>
      </c>
      <c r="D2941" s="13">
        <v>31.983999999999998</v>
      </c>
      <c r="E2941" s="13">
        <v>2</v>
      </c>
      <c r="F2941" s="13">
        <f t="shared" si="45"/>
        <v>15.991999999999999</v>
      </c>
    </row>
    <row r="2942" spans="2:6">
      <c r="B2942" s="13" t="s">
        <v>1420</v>
      </c>
      <c r="C2942" s="13" t="s">
        <v>1422</v>
      </c>
      <c r="D2942" s="13">
        <v>5083.96</v>
      </c>
      <c r="E2942" s="13">
        <v>5</v>
      </c>
      <c r="F2942" s="13">
        <f t="shared" si="45"/>
        <v>1016.792</v>
      </c>
    </row>
    <row r="2943" spans="2:6">
      <c r="B2943" s="13" t="s">
        <v>2438</v>
      </c>
      <c r="C2943" s="13" t="s">
        <v>2441</v>
      </c>
      <c r="D2943" s="13">
        <v>35.96</v>
      </c>
      <c r="E2943" s="13">
        <v>1</v>
      </c>
      <c r="F2943" s="13">
        <f t="shared" si="45"/>
        <v>35.96</v>
      </c>
    </row>
    <row r="2944" spans="2:6">
      <c r="B2944" s="13" t="s">
        <v>1591</v>
      </c>
      <c r="C2944" s="13" t="s">
        <v>1592</v>
      </c>
      <c r="D2944" s="13">
        <v>15.920000000000002</v>
      </c>
      <c r="E2944" s="13">
        <v>5</v>
      </c>
      <c r="F2944" s="13">
        <f t="shared" si="45"/>
        <v>3.1840000000000002</v>
      </c>
    </row>
    <row r="2945" spans="2:6">
      <c r="B2945" s="13" t="s">
        <v>177</v>
      </c>
      <c r="C2945" s="13" t="s">
        <v>182</v>
      </c>
      <c r="D2945" s="13">
        <v>70.679999999999993</v>
      </c>
      <c r="E2945" s="13">
        <v>12</v>
      </c>
      <c r="F2945" s="13">
        <f t="shared" si="45"/>
        <v>5.89</v>
      </c>
    </row>
    <row r="2946" spans="2:6">
      <c r="B2946" s="13" t="s">
        <v>2462</v>
      </c>
      <c r="C2946" s="13" t="s">
        <v>2463</v>
      </c>
      <c r="D2946" s="13">
        <v>541.24</v>
      </c>
      <c r="E2946" s="13">
        <v>4</v>
      </c>
      <c r="F2946" s="13">
        <f t="shared" si="45"/>
        <v>135.31</v>
      </c>
    </row>
    <row r="2947" spans="2:6">
      <c r="B2947" s="13" t="s">
        <v>510</v>
      </c>
      <c r="C2947" s="13" t="s">
        <v>516</v>
      </c>
      <c r="D2947" s="13">
        <v>21.989999999999995</v>
      </c>
      <c r="E2947" s="13">
        <v>5</v>
      </c>
      <c r="F2947" s="13">
        <f t="shared" si="45"/>
        <v>4.3979999999999988</v>
      </c>
    </row>
    <row r="2948" spans="2:6">
      <c r="B2948" s="13" t="s">
        <v>2954</v>
      </c>
      <c r="C2948" s="13" t="s">
        <v>2955</v>
      </c>
      <c r="D2948" s="13">
        <v>480</v>
      </c>
      <c r="E2948" s="13">
        <v>4</v>
      </c>
      <c r="F2948" s="13">
        <f t="shared" ref="F2948:F3011" si="46">D2948/E2948</f>
        <v>120</v>
      </c>
    </row>
    <row r="2949" spans="2:6">
      <c r="B2949" s="13" t="s">
        <v>55</v>
      </c>
      <c r="C2949" s="13" t="s">
        <v>58</v>
      </c>
      <c r="D2949" s="13">
        <v>34.049999999999997</v>
      </c>
      <c r="E2949" s="13">
        <v>3</v>
      </c>
      <c r="F2949" s="13">
        <f t="shared" si="46"/>
        <v>11.35</v>
      </c>
    </row>
    <row r="2950" spans="2:6">
      <c r="B2950" s="13" t="s">
        <v>1959</v>
      </c>
      <c r="C2950" s="13" t="s">
        <v>1960</v>
      </c>
      <c r="D2950" s="13">
        <v>15.984000000000002</v>
      </c>
      <c r="E2950" s="13">
        <v>2</v>
      </c>
      <c r="F2950" s="13">
        <f t="shared" si="46"/>
        <v>7.9920000000000009</v>
      </c>
    </row>
    <row r="2951" spans="2:6">
      <c r="B2951" s="13" t="s">
        <v>267</v>
      </c>
      <c r="C2951" s="13" t="s">
        <v>273</v>
      </c>
      <c r="D2951" s="13">
        <v>14.352000000000002</v>
      </c>
      <c r="E2951" s="13">
        <v>3</v>
      </c>
      <c r="F2951" s="13">
        <f t="shared" si="46"/>
        <v>4.7840000000000007</v>
      </c>
    </row>
    <row r="2952" spans="2:6">
      <c r="B2952" s="13" t="s">
        <v>2578</v>
      </c>
      <c r="C2952" s="13" t="s">
        <v>2583</v>
      </c>
      <c r="D2952" s="13">
        <v>629.64</v>
      </c>
      <c r="E2952" s="13">
        <v>9</v>
      </c>
      <c r="F2952" s="13">
        <f t="shared" si="46"/>
        <v>69.959999999999994</v>
      </c>
    </row>
    <row r="2953" spans="2:6">
      <c r="B2953" s="13" t="s">
        <v>1916</v>
      </c>
      <c r="C2953" s="13" t="s">
        <v>1921</v>
      </c>
      <c r="D2953" s="13">
        <v>21.93</v>
      </c>
      <c r="E2953" s="13">
        <v>3</v>
      </c>
      <c r="F2953" s="13">
        <f t="shared" si="46"/>
        <v>7.31</v>
      </c>
    </row>
    <row r="2954" spans="2:6">
      <c r="B2954" s="13" t="s">
        <v>2288</v>
      </c>
      <c r="C2954" s="13" t="s">
        <v>2289</v>
      </c>
      <c r="D2954" s="13">
        <v>95.976000000000013</v>
      </c>
      <c r="E2954" s="13">
        <v>3</v>
      </c>
      <c r="F2954" s="13">
        <f t="shared" si="46"/>
        <v>31.992000000000004</v>
      </c>
    </row>
    <row r="2955" spans="2:6">
      <c r="B2955" s="13" t="s">
        <v>2497</v>
      </c>
      <c r="C2955" s="13" t="s">
        <v>2499</v>
      </c>
      <c r="D2955" s="13">
        <v>143.928</v>
      </c>
      <c r="E2955" s="13">
        <v>9</v>
      </c>
      <c r="F2955" s="13">
        <f t="shared" si="46"/>
        <v>15.991999999999999</v>
      </c>
    </row>
    <row r="2956" spans="2:6">
      <c r="B2956" s="13" t="s">
        <v>764</v>
      </c>
      <c r="C2956" s="13" t="s">
        <v>313</v>
      </c>
      <c r="D2956" s="13">
        <v>3.5640000000000009</v>
      </c>
      <c r="E2956" s="13">
        <v>2</v>
      </c>
      <c r="F2956" s="13">
        <f t="shared" si="46"/>
        <v>1.7820000000000005</v>
      </c>
    </row>
    <row r="2957" spans="2:6">
      <c r="B2957" s="13" t="s">
        <v>2536</v>
      </c>
      <c r="C2957" s="13" t="s">
        <v>2541</v>
      </c>
      <c r="D2957" s="13">
        <v>4.9280000000000008</v>
      </c>
      <c r="E2957" s="13">
        <v>2</v>
      </c>
      <c r="F2957" s="13">
        <f t="shared" si="46"/>
        <v>2.4640000000000004</v>
      </c>
    </row>
    <row r="2958" spans="2:6">
      <c r="B2958" s="13" t="s">
        <v>2098</v>
      </c>
      <c r="C2958" s="13" t="s">
        <v>2099</v>
      </c>
      <c r="D2958" s="13">
        <v>4.572000000000001</v>
      </c>
      <c r="E2958" s="13">
        <v>4</v>
      </c>
      <c r="F2958" s="13">
        <f t="shared" si="46"/>
        <v>1.1430000000000002</v>
      </c>
    </row>
    <row r="2959" spans="2:6">
      <c r="B2959" s="13" t="s">
        <v>2644</v>
      </c>
      <c r="C2959" s="13" t="s">
        <v>2648</v>
      </c>
      <c r="D2959" s="13">
        <v>99.949999999999989</v>
      </c>
      <c r="E2959" s="13">
        <v>5</v>
      </c>
      <c r="F2959" s="13">
        <f t="shared" si="46"/>
        <v>19.989999999999998</v>
      </c>
    </row>
    <row r="2960" spans="2:6">
      <c r="B2960" s="13" t="s">
        <v>1849</v>
      </c>
      <c r="C2960" s="13" t="s">
        <v>1852</v>
      </c>
      <c r="D2960" s="13">
        <v>29.339999999999996</v>
      </c>
      <c r="E2960" s="13">
        <v>3</v>
      </c>
      <c r="F2960" s="13">
        <f t="shared" si="46"/>
        <v>9.7799999999999994</v>
      </c>
    </row>
    <row r="2961" spans="2:6">
      <c r="B2961" s="13" t="s">
        <v>2956</v>
      </c>
      <c r="C2961" s="13" t="s">
        <v>2957</v>
      </c>
      <c r="D2961" s="13">
        <v>12.672000000000001</v>
      </c>
      <c r="E2961" s="13">
        <v>3</v>
      </c>
      <c r="F2961" s="13">
        <f t="shared" si="46"/>
        <v>4.2240000000000002</v>
      </c>
    </row>
    <row r="2962" spans="2:6">
      <c r="B2962" s="13" t="s">
        <v>1002</v>
      </c>
      <c r="C2962" s="13" t="s">
        <v>1004</v>
      </c>
      <c r="D2962" s="13">
        <v>1119.8880000000001</v>
      </c>
      <c r="E2962" s="13">
        <v>14</v>
      </c>
      <c r="F2962" s="13">
        <f t="shared" si="46"/>
        <v>79.992000000000004</v>
      </c>
    </row>
    <row r="2963" spans="2:6">
      <c r="B2963" s="13" t="s">
        <v>2368</v>
      </c>
      <c r="C2963" s="13" t="s">
        <v>2369</v>
      </c>
      <c r="D2963" s="13">
        <v>239.358</v>
      </c>
      <c r="E2963" s="13">
        <v>3</v>
      </c>
      <c r="F2963" s="13">
        <f t="shared" si="46"/>
        <v>79.786000000000001</v>
      </c>
    </row>
    <row r="2964" spans="2:6">
      <c r="B2964" s="13" t="s">
        <v>1006</v>
      </c>
      <c r="C2964" s="13" t="s">
        <v>1009</v>
      </c>
      <c r="D2964" s="13">
        <v>19.440000000000001</v>
      </c>
      <c r="E2964" s="13">
        <v>3</v>
      </c>
      <c r="F2964" s="13">
        <f t="shared" si="46"/>
        <v>6.48</v>
      </c>
    </row>
    <row r="2965" spans="2:6">
      <c r="B2965" s="13" t="s">
        <v>2958</v>
      </c>
      <c r="C2965" s="13" t="s">
        <v>2959</v>
      </c>
      <c r="D2965" s="13">
        <v>12.3</v>
      </c>
      <c r="E2965" s="13">
        <v>5</v>
      </c>
      <c r="F2965" s="13">
        <f t="shared" si="46"/>
        <v>2.46</v>
      </c>
    </row>
    <row r="2966" spans="2:6">
      <c r="B2966" s="13" t="s">
        <v>2960</v>
      </c>
      <c r="C2966" s="13" t="s">
        <v>2962</v>
      </c>
      <c r="D2966" s="13">
        <v>934.9559999999999</v>
      </c>
      <c r="E2966" s="13">
        <v>6</v>
      </c>
      <c r="F2966" s="13">
        <f t="shared" si="46"/>
        <v>155.82599999999999</v>
      </c>
    </row>
    <row r="2967" spans="2:6">
      <c r="B2967" s="13" t="s">
        <v>1149</v>
      </c>
      <c r="C2967" s="13" t="s">
        <v>1150</v>
      </c>
      <c r="D2967" s="13">
        <v>46.864000000000004</v>
      </c>
      <c r="E2967" s="13">
        <v>2</v>
      </c>
      <c r="F2967" s="13">
        <f t="shared" si="46"/>
        <v>23.432000000000002</v>
      </c>
    </row>
    <row r="2968" spans="2:6">
      <c r="B2968" s="13" t="s">
        <v>230</v>
      </c>
      <c r="C2968" s="13" t="s">
        <v>235</v>
      </c>
      <c r="D2968" s="13">
        <v>26.160000000000004</v>
      </c>
      <c r="E2968" s="13">
        <v>3</v>
      </c>
      <c r="F2968" s="13">
        <f t="shared" si="46"/>
        <v>8.7200000000000006</v>
      </c>
    </row>
    <row r="2969" spans="2:6">
      <c r="B2969" s="13" t="s">
        <v>824</v>
      </c>
      <c r="C2969" s="13" t="s">
        <v>826</v>
      </c>
      <c r="D2969" s="13">
        <v>23.128</v>
      </c>
      <c r="E2969" s="13">
        <v>7</v>
      </c>
      <c r="F2969" s="13">
        <f t="shared" si="46"/>
        <v>3.3039999999999998</v>
      </c>
    </row>
    <row r="2970" spans="2:6">
      <c r="B2970" s="13" t="s">
        <v>2961</v>
      </c>
      <c r="C2970" s="13" t="s">
        <v>2963</v>
      </c>
      <c r="D2970" s="13">
        <v>59.24</v>
      </c>
      <c r="E2970" s="13">
        <v>5</v>
      </c>
      <c r="F2970" s="13">
        <f t="shared" si="46"/>
        <v>11.848000000000001</v>
      </c>
    </row>
    <row r="2971" spans="2:6">
      <c r="B2971" s="13" t="s">
        <v>1477</v>
      </c>
      <c r="C2971" s="13" t="s">
        <v>1483</v>
      </c>
      <c r="D2971" s="13">
        <v>21</v>
      </c>
      <c r="E2971" s="13">
        <v>3</v>
      </c>
      <c r="F2971" s="13">
        <f t="shared" si="46"/>
        <v>7</v>
      </c>
    </row>
    <row r="2972" spans="2:6">
      <c r="B2972" s="13" t="s">
        <v>2954</v>
      </c>
      <c r="C2972" s="13" t="s">
        <v>2955</v>
      </c>
      <c r="D2972" s="13">
        <v>120</v>
      </c>
      <c r="E2972" s="13">
        <v>2</v>
      </c>
      <c r="F2972" s="13">
        <f t="shared" si="46"/>
        <v>60</v>
      </c>
    </row>
    <row r="2973" spans="2:6">
      <c r="B2973" s="13" t="s">
        <v>2143</v>
      </c>
      <c r="C2973" s="13" t="s">
        <v>2147</v>
      </c>
      <c r="D2973" s="13">
        <v>299.95999999999998</v>
      </c>
      <c r="E2973" s="13">
        <v>5</v>
      </c>
      <c r="F2973" s="13">
        <f t="shared" si="46"/>
        <v>59.991999999999997</v>
      </c>
    </row>
    <row r="2974" spans="2:6">
      <c r="B2974" s="13" t="s">
        <v>1655</v>
      </c>
      <c r="C2974" s="13" t="s">
        <v>1662</v>
      </c>
      <c r="D2974" s="13">
        <v>67.839999999999989</v>
      </c>
      <c r="E2974" s="13">
        <v>5</v>
      </c>
      <c r="F2974" s="13">
        <f t="shared" si="46"/>
        <v>13.567999999999998</v>
      </c>
    </row>
    <row r="2975" spans="2:6">
      <c r="B2975" s="13" t="s">
        <v>2964</v>
      </c>
      <c r="C2975" s="13" t="s">
        <v>2965</v>
      </c>
      <c r="D2975" s="13">
        <v>853.92999999999984</v>
      </c>
      <c r="E2975" s="13">
        <v>5</v>
      </c>
      <c r="F2975" s="13">
        <f t="shared" si="46"/>
        <v>170.78599999999997</v>
      </c>
    </row>
    <row r="2976" spans="2:6">
      <c r="B2976" s="13" t="s">
        <v>2800</v>
      </c>
      <c r="C2976" s="13" t="s">
        <v>2801</v>
      </c>
      <c r="D2976" s="13">
        <v>18.687999999999999</v>
      </c>
      <c r="E2976" s="13">
        <v>4</v>
      </c>
      <c r="F2976" s="13">
        <f t="shared" si="46"/>
        <v>4.6719999999999997</v>
      </c>
    </row>
    <row r="2977" spans="2:6">
      <c r="B2977" s="13" t="s">
        <v>1108</v>
      </c>
      <c r="C2977" s="13" t="s">
        <v>1111</v>
      </c>
      <c r="D2977" s="13">
        <v>1.2479999999999998</v>
      </c>
      <c r="E2977" s="13">
        <v>2</v>
      </c>
      <c r="F2977" s="13">
        <f t="shared" si="46"/>
        <v>0.62399999999999989</v>
      </c>
    </row>
    <row r="2978" spans="2:6">
      <c r="B2978" s="13" t="s">
        <v>2966</v>
      </c>
      <c r="C2978" s="13" t="s">
        <v>2967</v>
      </c>
      <c r="D2978" s="13">
        <v>19.728000000000002</v>
      </c>
      <c r="E2978" s="13">
        <v>9</v>
      </c>
      <c r="F2978" s="13">
        <f t="shared" si="46"/>
        <v>2.1920000000000002</v>
      </c>
    </row>
    <row r="2979" spans="2:6">
      <c r="B2979" s="13" t="s">
        <v>1548</v>
      </c>
      <c r="C2979" s="13" t="s">
        <v>2968</v>
      </c>
      <c r="D2979" s="13">
        <v>151.18799999999999</v>
      </c>
      <c r="E2979" s="13">
        <v>2</v>
      </c>
      <c r="F2979" s="13">
        <f t="shared" si="46"/>
        <v>75.593999999999994</v>
      </c>
    </row>
    <row r="2980" spans="2:6">
      <c r="B2980" s="13" t="s">
        <v>459</v>
      </c>
      <c r="C2980" s="13" t="s">
        <v>466</v>
      </c>
      <c r="D2980" s="13">
        <v>271.76400000000001</v>
      </c>
      <c r="E2980" s="13">
        <v>2</v>
      </c>
      <c r="F2980" s="13">
        <f t="shared" si="46"/>
        <v>135.88200000000001</v>
      </c>
    </row>
    <row r="2981" spans="2:6">
      <c r="B2981" s="13" t="s">
        <v>540</v>
      </c>
      <c r="C2981" s="13" t="s">
        <v>551</v>
      </c>
      <c r="D2981" s="13">
        <v>344.98099999999994</v>
      </c>
      <c r="E2981" s="13">
        <v>7</v>
      </c>
      <c r="F2981" s="13">
        <f t="shared" si="46"/>
        <v>49.282999999999994</v>
      </c>
    </row>
    <row r="2982" spans="2:6">
      <c r="B2982" s="13" t="s">
        <v>2969</v>
      </c>
      <c r="C2982" s="13" t="s">
        <v>2970</v>
      </c>
      <c r="D2982" s="13">
        <v>36.288000000000011</v>
      </c>
      <c r="E2982" s="13">
        <v>7</v>
      </c>
      <c r="F2982" s="13">
        <f t="shared" si="46"/>
        <v>5.1840000000000019</v>
      </c>
    </row>
    <row r="2983" spans="2:6">
      <c r="B2983" s="13" t="s">
        <v>2086</v>
      </c>
      <c r="C2983" s="13" t="s">
        <v>2091</v>
      </c>
      <c r="D2983" s="13">
        <v>78.304000000000002</v>
      </c>
      <c r="E2983" s="13">
        <v>2</v>
      </c>
      <c r="F2983" s="13">
        <f t="shared" si="46"/>
        <v>39.152000000000001</v>
      </c>
    </row>
    <row r="2984" spans="2:6">
      <c r="B2984" s="13" t="s">
        <v>2166</v>
      </c>
      <c r="C2984" s="13" t="s">
        <v>2168</v>
      </c>
      <c r="D2984" s="13">
        <v>127.785</v>
      </c>
      <c r="E2984" s="13">
        <v>1</v>
      </c>
      <c r="F2984" s="13">
        <f t="shared" si="46"/>
        <v>127.785</v>
      </c>
    </row>
    <row r="2985" spans="2:6">
      <c r="B2985" s="13" t="s">
        <v>2221</v>
      </c>
      <c r="C2985" s="13" t="s">
        <v>2224</v>
      </c>
      <c r="D2985" s="13">
        <v>6.1039999999999983</v>
      </c>
      <c r="E2985" s="13">
        <v>2</v>
      </c>
      <c r="F2985" s="13">
        <f t="shared" si="46"/>
        <v>3.0519999999999992</v>
      </c>
    </row>
    <row r="2986" spans="2:6">
      <c r="B2986" s="13" t="s">
        <v>2322</v>
      </c>
      <c r="C2986" s="13" t="s">
        <v>2328</v>
      </c>
      <c r="D2986" s="13">
        <v>104.75</v>
      </c>
      <c r="E2986" s="13">
        <v>5</v>
      </c>
      <c r="F2986" s="13">
        <f t="shared" si="46"/>
        <v>20.95</v>
      </c>
    </row>
    <row r="2987" spans="2:6">
      <c r="B2987" s="13" t="s">
        <v>73</v>
      </c>
      <c r="C2987" s="13" t="s">
        <v>76</v>
      </c>
      <c r="D2987" s="13">
        <v>18.528000000000002</v>
      </c>
      <c r="E2987" s="13">
        <v>2</v>
      </c>
      <c r="F2987" s="13">
        <f t="shared" si="46"/>
        <v>9.2640000000000011</v>
      </c>
    </row>
    <row r="2988" spans="2:6">
      <c r="B2988" s="13" t="s">
        <v>1172</v>
      </c>
      <c r="C2988" s="13" t="s">
        <v>1176</v>
      </c>
      <c r="D2988" s="13">
        <v>1875.258</v>
      </c>
      <c r="E2988" s="13">
        <v>7</v>
      </c>
      <c r="F2988" s="13">
        <f t="shared" si="46"/>
        <v>267.89400000000001</v>
      </c>
    </row>
    <row r="2989" spans="2:6">
      <c r="B2989" s="13" t="s">
        <v>1548</v>
      </c>
      <c r="C2989" s="13" t="s">
        <v>1552</v>
      </c>
      <c r="D2989" s="13">
        <v>35.183999999999997</v>
      </c>
      <c r="E2989" s="13">
        <v>2</v>
      </c>
      <c r="F2989" s="13">
        <f t="shared" si="46"/>
        <v>17.591999999999999</v>
      </c>
    </row>
    <row r="2990" spans="2:6">
      <c r="B2990" s="13" t="s">
        <v>365</v>
      </c>
      <c r="C2990" s="13" t="s">
        <v>46</v>
      </c>
      <c r="D2990" s="13">
        <v>56.704000000000001</v>
      </c>
      <c r="E2990" s="13">
        <v>2</v>
      </c>
      <c r="F2990" s="13">
        <f t="shared" si="46"/>
        <v>28.352</v>
      </c>
    </row>
    <row r="2991" spans="2:6">
      <c r="B2991" s="13" t="s">
        <v>86</v>
      </c>
      <c r="C2991" s="13" t="s">
        <v>89</v>
      </c>
      <c r="D2991" s="13">
        <v>274.06400000000002</v>
      </c>
      <c r="E2991" s="13">
        <v>7</v>
      </c>
      <c r="F2991" s="13">
        <f t="shared" si="46"/>
        <v>39.152000000000001</v>
      </c>
    </row>
    <row r="2992" spans="2:6">
      <c r="B2992" s="13" t="s">
        <v>2115</v>
      </c>
      <c r="C2992" s="13" t="s">
        <v>2116</v>
      </c>
      <c r="D2992" s="13">
        <v>458.42999999999995</v>
      </c>
      <c r="E2992" s="13">
        <v>5</v>
      </c>
      <c r="F2992" s="13">
        <f t="shared" si="46"/>
        <v>91.685999999999993</v>
      </c>
    </row>
    <row r="2993" spans="2:6">
      <c r="B2993" s="13" t="s">
        <v>2891</v>
      </c>
      <c r="C2993" s="13" t="s">
        <v>2895</v>
      </c>
      <c r="D2993" s="13">
        <v>92.52</v>
      </c>
      <c r="E2993" s="13">
        <v>6</v>
      </c>
      <c r="F2993" s="13">
        <f t="shared" si="46"/>
        <v>15.42</v>
      </c>
    </row>
    <row r="2994" spans="2:6">
      <c r="B2994" s="13" t="s">
        <v>2437</v>
      </c>
      <c r="C2994" s="13" t="s">
        <v>2440</v>
      </c>
      <c r="D2994" s="13">
        <v>37.76</v>
      </c>
      <c r="E2994" s="13">
        <v>1</v>
      </c>
      <c r="F2994" s="13">
        <f t="shared" si="46"/>
        <v>37.76</v>
      </c>
    </row>
    <row r="2995" spans="2:6">
      <c r="B2995" s="13" t="s">
        <v>2971</v>
      </c>
      <c r="C2995" s="13" t="s">
        <v>2972</v>
      </c>
      <c r="D2995" s="13">
        <v>7.38</v>
      </c>
      <c r="E2995" s="13">
        <v>2</v>
      </c>
      <c r="F2995" s="13">
        <f t="shared" si="46"/>
        <v>3.69</v>
      </c>
    </row>
    <row r="2996" spans="2:6">
      <c r="B2996" s="13" t="s">
        <v>245</v>
      </c>
      <c r="C2996" s="13" t="s">
        <v>246</v>
      </c>
      <c r="D2996" s="13">
        <v>5.82</v>
      </c>
      <c r="E2996" s="13">
        <v>2</v>
      </c>
      <c r="F2996" s="13">
        <f t="shared" si="46"/>
        <v>2.91</v>
      </c>
    </row>
    <row r="2997" spans="2:6">
      <c r="B2997" s="13" t="s">
        <v>1446</v>
      </c>
      <c r="C2997" s="13" t="s">
        <v>1448</v>
      </c>
      <c r="D2997" s="13">
        <v>3.8159999999999998</v>
      </c>
      <c r="E2997" s="13">
        <v>1</v>
      </c>
      <c r="F2997" s="13">
        <f t="shared" si="46"/>
        <v>3.8159999999999998</v>
      </c>
    </row>
    <row r="2998" spans="2:6">
      <c r="B2998" s="13" t="s">
        <v>1606</v>
      </c>
      <c r="C2998" s="13" t="s">
        <v>1608</v>
      </c>
      <c r="D2998" s="13">
        <v>26.16</v>
      </c>
      <c r="E2998" s="13">
        <v>4</v>
      </c>
      <c r="F2998" s="13">
        <f t="shared" si="46"/>
        <v>6.54</v>
      </c>
    </row>
    <row r="2999" spans="2:6">
      <c r="B2999" s="13" t="s">
        <v>2973</v>
      </c>
      <c r="C2999" s="13" t="s">
        <v>2415</v>
      </c>
      <c r="D2999" s="13">
        <v>13.899999999999999</v>
      </c>
      <c r="E2999" s="13">
        <v>5</v>
      </c>
      <c r="F2999" s="13">
        <f t="shared" si="46"/>
        <v>2.78</v>
      </c>
    </row>
    <row r="3000" spans="2:6">
      <c r="B3000" s="13" t="s">
        <v>2974</v>
      </c>
      <c r="C3000" s="13" t="s">
        <v>2975</v>
      </c>
      <c r="D3000" s="13">
        <v>19.399999999999999</v>
      </c>
      <c r="E3000" s="13">
        <v>5</v>
      </c>
      <c r="F3000" s="13">
        <f t="shared" si="46"/>
        <v>3.88</v>
      </c>
    </row>
    <row r="3001" spans="2:6">
      <c r="B3001" s="13" t="s">
        <v>2976</v>
      </c>
      <c r="C3001" s="13" t="s">
        <v>2977</v>
      </c>
      <c r="D3001" s="13">
        <v>314.60000000000002</v>
      </c>
      <c r="E3001" s="13">
        <v>4</v>
      </c>
      <c r="F3001" s="13">
        <f t="shared" si="46"/>
        <v>78.650000000000006</v>
      </c>
    </row>
    <row r="3002" spans="2:6">
      <c r="B3002" s="13" t="s">
        <v>1965</v>
      </c>
      <c r="C3002" s="13" t="s">
        <v>1973</v>
      </c>
      <c r="D3002" s="13">
        <v>283.56</v>
      </c>
      <c r="E3002" s="13">
        <v>4</v>
      </c>
      <c r="F3002" s="13">
        <f t="shared" si="46"/>
        <v>70.89</v>
      </c>
    </row>
    <row r="3003" spans="2:6">
      <c r="B3003" s="13" t="s">
        <v>2150</v>
      </c>
      <c r="C3003" s="13" t="s">
        <v>2154</v>
      </c>
      <c r="D3003" s="13">
        <v>487.96</v>
      </c>
      <c r="E3003" s="13">
        <v>2</v>
      </c>
      <c r="F3003" s="13">
        <f t="shared" si="46"/>
        <v>243.98</v>
      </c>
    </row>
    <row r="3004" spans="2:6">
      <c r="B3004" s="13" t="s">
        <v>568</v>
      </c>
      <c r="C3004" s="13" t="s">
        <v>571</v>
      </c>
      <c r="D3004" s="13">
        <v>55.176000000000002</v>
      </c>
      <c r="E3004" s="13">
        <v>3</v>
      </c>
      <c r="F3004" s="13">
        <f t="shared" si="46"/>
        <v>18.391999999999999</v>
      </c>
    </row>
    <row r="3005" spans="2:6">
      <c r="B3005" s="13" t="s">
        <v>1329</v>
      </c>
      <c r="C3005" s="13" t="s">
        <v>1334</v>
      </c>
      <c r="D3005" s="13">
        <v>5.9840000000000009</v>
      </c>
      <c r="E3005" s="13">
        <v>2</v>
      </c>
      <c r="F3005" s="13">
        <f t="shared" si="46"/>
        <v>2.9920000000000004</v>
      </c>
    </row>
    <row r="3006" spans="2:6">
      <c r="B3006" s="13" t="s">
        <v>1193</v>
      </c>
      <c r="C3006" s="13" t="s">
        <v>1194</v>
      </c>
      <c r="D3006" s="13">
        <v>189.95000000000002</v>
      </c>
      <c r="E3006" s="13">
        <v>5</v>
      </c>
      <c r="F3006" s="13">
        <f t="shared" si="46"/>
        <v>37.99</v>
      </c>
    </row>
    <row r="3007" spans="2:6">
      <c r="B3007" s="13" t="s">
        <v>2621</v>
      </c>
      <c r="C3007" s="13" t="s">
        <v>2623</v>
      </c>
      <c r="D3007" s="13">
        <v>149.94999999999999</v>
      </c>
      <c r="E3007" s="13">
        <v>5</v>
      </c>
      <c r="F3007" s="13">
        <f t="shared" si="46"/>
        <v>29.99</v>
      </c>
    </row>
    <row r="3008" spans="2:6">
      <c r="B3008" s="13" t="s">
        <v>581</v>
      </c>
      <c r="C3008" s="13" t="s">
        <v>583</v>
      </c>
      <c r="D3008" s="13">
        <v>29.950000000000003</v>
      </c>
      <c r="E3008" s="13">
        <v>5</v>
      </c>
      <c r="F3008" s="13">
        <f t="shared" si="46"/>
        <v>5.99</v>
      </c>
    </row>
    <row r="3009" spans="2:6">
      <c r="B3009" s="13" t="s">
        <v>2595</v>
      </c>
      <c r="C3009" s="13" t="s">
        <v>2596</v>
      </c>
      <c r="D3009" s="13">
        <v>44.400000000000006</v>
      </c>
      <c r="E3009" s="13">
        <v>3</v>
      </c>
      <c r="F3009" s="13">
        <f t="shared" si="46"/>
        <v>14.800000000000002</v>
      </c>
    </row>
    <row r="3010" spans="2:6">
      <c r="B3010" s="13" t="s">
        <v>2450</v>
      </c>
      <c r="C3010" s="13" t="s">
        <v>2451</v>
      </c>
      <c r="D3010" s="13">
        <v>21.96</v>
      </c>
      <c r="E3010" s="13">
        <v>2</v>
      </c>
      <c r="F3010" s="13">
        <f t="shared" si="46"/>
        <v>10.98</v>
      </c>
    </row>
    <row r="3011" spans="2:6">
      <c r="B3011" s="13" t="s">
        <v>1792</v>
      </c>
      <c r="C3011" s="13" t="s">
        <v>1795</v>
      </c>
      <c r="D3011" s="13">
        <v>23.08</v>
      </c>
      <c r="E3011" s="13">
        <v>2</v>
      </c>
      <c r="F3011" s="13">
        <f t="shared" si="46"/>
        <v>11.54</v>
      </c>
    </row>
    <row r="3012" spans="2:6">
      <c r="B3012" s="13" t="s">
        <v>919</v>
      </c>
      <c r="C3012" s="13" t="s">
        <v>922</v>
      </c>
      <c r="D3012" s="13">
        <v>11.352000000000002</v>
      </c>
      <c r="E3012" s="13">
        <v>3</v>
      </c>
      <c r="F3012" s="13">
        <f t="shared" ref="F3012:F3075" si="47">D3012/E3012</f>
        <v>3.7840000000000007</v>
      </c>
    </row>
    <row r="3013" spans="2:6">
      <c r="B3013" s="13" t="s">
        <v>771</v>
      </c>
      <c r="C3013" s="13" t="s">
        <v>774</v>
      </c>
      <c r="D3013" s="13">
        <v>143.952</v>
      </c>
      <c r="E3013" s="13">
        <v>6</v>
      </c>
      <c r="F3013" s="13">
        <f t="shared" si="47"/>
        <v>23.992000000000001</v>
      </c>
    </row>
    <row r="3014" spans="2:6">
      <c r="B3014" s="13" t="s">
        <v>2526</v>
      </c>
      <c r="C3014" s="13" t="s">
        <v>2528</v>
      </c>
      <c r="D3014" s="13">
        <v>19.440000000000001</v>
      </c>
      <c r="E3014" s="13">
        <v>3</v>
      </c>
      <c r="F3014" s="13">
        <f t="shared" si="47"/>
        <v>6.48</v>
      </c>
    </row>
    <row r="3015" spans="2:6">
      <c r="B3015" s="13" t="s">
        <v>1222</v>
      </c>
      <c r="C3015" s="13" t="s">
        <v>1225</v>
      </c>
      <c r="D3015" s="13">
        <v>5.56</v>
      </c>
      <c r="E3015" s="13">
        <v>2</v>
      </c>
      <c r="F3015" s="13">
        <f t="shared" si="47"/>
        <v>2.78</v>
      </c>
    </row>
    <row r="3016" spans="2:6">
      <c r="B3016" s="13" t="s">
        <v>82</v>
      </c>
      <c r="C3016" s="13" t="s">
        <v>84</v>
      </c>
      <c r="D3016" s="13">
        <v>348.56</v>
      </c>
      <c r="E3016" s="13">
        <v>8</v>
      </c>
      <c r="F3016" s="13">
        <f t="shared" si="47"/>
        <v>43.57</v>
      </c>
    </row>
    <row r="3017" spans="2:6">
      <c r="B3017" s="13" t="s">
        <v>462</v>
      </c>
      <c r="C3017" s="13" t="s">
        <v>469</v>
      </c>
      <c r="D3017" s="13">
        <v>369.54399999999998</v>
      </c>
      <c r="E3017" s="13">
        <v>7</v>
      </c>
      <c r="F3017" s="13">
        <f t="shared" si="47"/>
        <v>52.791999999999994</v>
      </c>
    </row>
    <row r="3018" spans="2:6">
      <c r="B3018" s="13" t="s">
        <v>353</v>
      </c>
      <c r="C3018" s="13" t="s">
        <v>358</v>
      </c>
      <c r="D3018" s="13">
        <v>10.368000000000002</v>
      </c>
      <c r="E3018" s="13">
        <v>2</v>
      </c>
      <c r="F3018" s="13">
        <f t="shared" si="47"/>
        <v>5.1840000000000011</v>
      </c>
    </row>
    <row r="3019" spans="2:6">
      <c r="B3019" s="13" t="s">
        <v>2364</v>
      </c>
      <c r="C3019" s="13" t="s">
        <v>2365</v>
      </c>
      <c r="D3019" s="13">
        <v>791.87999999999988</v>
      </c>
      <c r="E3019" s="13">
        <v>3</v>
      </c>
      <c r="F3019" s="13">
        <f t="shared" si="47"/>
        <v>263.95999999999998</v>
      </c>
    </row>
    <row r="3020" spans="2:6">
      <c r="B3020" s="13" t="s">
        <v>1138</v>
      </c>
      <c r="C3020" s="13" t="s">
        <v>1140</v>
      </c>
      <c r="D3020" s="13">
        <v>429.59999999999997</v>
      </c>
      <c r="E3020" s="13">
        <v>2</v>
      </c>
      <c r="F3020" s="13">
        <f t="shared" si="47"/>
        <v>214.79999999999998</v>
      </c>
    </row>
    <row r="3021" spans="2:6">
      <c r="B3021" s="13" t="s">
        <v>369</v>
      </c>
      <c r="C3021" s="13" t="s">
        <v>378</v>
      </c>
      <c r="D3021" s="13">
        <v>31.968000000000004</v>
      </c>
      <c r="E3021" s="13">
        <v>2</v>
      </c>
      <c r="F3021" s="13">
        <f t="shared" si="47"/>
        <v>15.984000000000002</v>
      </c>
    </row>
    <row r="3022" spans="2:6">
      <c r="B3022" s="13" t="s">
        <v>2978</v>
      </c>
      <c r="C3022" s="13" t="s">
        <v>2979</v>
      </c>
      <c r="D3022" s="13">
        <v>887.27099999999984</v>
      </c>
      <c r="E3022" s="13">
        <v>3</v>
      </c>
      <c r="F3022" s="13">
        <f t="shared" si="47"/>
        <v>295.75699999999995</v>
      </c>
    </row>
    <row r="3023" spans="2:6">
      <c r="B3023" s="13" t="s">
        <v>1491</v>
      </c>
      <c r="C3023" s="13" t="s">
        <v>1495</v>
      </c>
      <c r="D3023" s="13">
        <v>21.696000000000002</v>
      </c>
      <c r="E3023" s="13">
        <v>4</v>
      </c>
      <c r="F3023" s="13">
        <f t="shared" si="47"/>
        <v>5.4240000000000004</v>
      </c>
    </row>
    <row r="3024" spans="2:6">
      <c r="B3024" s="13" t="s">
        <v>319</v>
      </c>
      <c r="C3024" s="13" t="s">
        <v>324</v>
      </c>
      <c r="D3024" s="13">
        <v>90.86</v>
      </c>
      <c r="E3024" s="13">
        <v>7</v>
      </c>
      <c r="F3024" s="13">
        <f t="shared" si="47"/>
        <v>12.98</v>
      </c>
    </row>
    <row r="3025" spans="2:6">
      <c r="B3025" s="13" t="s">
        <v>373</v>
      </c>
      <c r="C3025" s="13" t="s">
        <v>383</v>
      </c>
      <c r="D3025" s="13">
        <v>7.78</v>
      </c>
      <c r="E3025" s="13">
        <v>1</v>
      </c>
      <c r="F3025" s="13">
        <f t="shared" si="47"/>
        <v>7.78</v>
      </c>
    </row>
    <row r="3026" spans="2:6">
      <c r="B3026" s="13" t="s">
        <v>2356</v>
      </c>
      <c r="C3026" s="13" t="s">
        <v>2358</v>
      </c>
      <c r="D3026" s="13">
        <v>50.135999999999996</v>
      </c>
      <c r="E3026" s="13">
        <v>3</v>
      </c>
      <c r="F3026" s="13">
        <f t="shared" si="47"/>
        <v>16.712</v>
      </c>
    </row>
    <row r="3027" spans="2:6">
      <c r="B3027" s="13" t="s">
        <v>2980</v>
      </c>
      <c r="C3027" s="13" t="s">
        <v>2981</v>
      </c>
      <c r="D3027" s="13">
        <v>88.074000000000012</v>
      </c>
      <c r="E3027" s="13">
        <v>7</v>
      </c>
      <c r="F3027" s="13">
        <f t="shared" si="47"/>
        <v>12.582000000000003</v>
      </c>
    </row>
    <row r="3028" spans="2:6">
      <c r="B3028" s="13" t="s">
        <v>1632</v>
      </c>
      <c r="C3028" s="13" t="s">
        <v>2403</v>
      </c>
      <c r="D3028" s="13">
        <v>27.46</v>
      </c>
      <c r="E3028" s="13">
        <v>2</v>
      </c>
      <c r="F3028" s="13">
        <f t="shared" si="47"/>
        <v>13.73</v>
      </c>
    </row>
    <row r="3029" spans="2:6">
      <c r="B3029" s="13" t="s">
        <v>2982</v>
      </c>
      <c r="C3029" s="13" t="s">
        <v>2983</v>
      </c>
      <c r="D3029" s="13">
        <v>125.13</v>
      </c>
      <c r="E3029" s="13">
        <v>3</v>
      </c>
      <c r="F3029" s="13">
        <f t="shared" si="47"/>
        <v>41.71</v>
      </c>
    </row>
    <row r="3030" spans="2:6">
      <c r="B3030" s="13" t="s">
        <v>452</v>
      </c>
      <c r="C3030" s="13" t="s">
        <v>454</v>
      </c>
      <c r="D3030" s="13">
        <v>159.97999999999999</v>
      </c>
      <c r="E3030" s="13">
        <v>2</v>
      </c>
      <c r="F3030" s="13">
        <f t="shared" si="47"/>
        <v>79.989999999999995</v>
      </c>
    </row>
    <row r="3031" spans="2:6">
      <c r="B3031" s="13" t="s">
        <v>2133</v>
      </c>
      <c r="C3031" s="13" t="s">
        <v>2134</v>
      </c>
      <c r="D3031" s="13">
        <v>8.2880000000000003</v>
      </c>
      <c r="E3031" s="13">
        <v>2</v>
      </c>
      <c r="F3031" s="13">
        <f t="shared" si="47"/>
        <v>4.1440000000000001</v>
      </c>
    </row>
    <row r="3032" spans="2:6">
      <c r="B3032" s="13" t="s">
        <v>2924</v>
      </c>
      <c r="C3032" s="13" t="s">
        <v>2926</v>
      </c>
      <c r="D3032" s="13">
        <v>1123.1280000000002</v>
      </c>
      <c r="E3032" s="13">
        <v>9</v>
      </c>
      <c r="F3032" s="13">
        <f t="shared" si="47"/>
        <v>124.79200000000002</v>
      </c>
    </row>
    <row r="3033" spans="2:6">
      <c r="B3033" s="13" t="s">
        <v>319</v>
      </c>
      <c r="C3033" s="13" t="s">
        <v>324</v>
      </c>
      <c r="D3033" s="13">
        <v>64.900000000000006</v>
      </c>
      <c r="E3033" s="13">
        <v>5</v>
      </c>
      <c r="F3033" s="13">
        <f t="shared" si="47"/>
        <v>12.98</v>
      </c>
    </row>
    <row r="3034" spans="2:6">
      <c r="B3034" s="13" t="s">
        <v>771</v>
      </c>
      <c r="C3034" s="13" t="s">
        <v>774</v>
      </c>
      <c r="D3034" s="13">
        <v>71.975999999999999</v>
      </c>
      <c r="E3034" s="13">
        <v>3</v>
      </c>
      <c r="F3034" s="13">
        <f t="shared" si="47"/>
        <v>23.992000000000001</v>
      </c>
    </row>
    <row r="3035" spans="2:6">
      <c r="B3035" s="13" t="s">
        <v>760</v>
      </c>
      <c r="C3035" s="13" t="s">
        <v>762</v>
      </c>
      <c r="D3035" s="13">
        <v>19.440000000000001</v>
      </c>
      <c r="E3035" s="13">
        <v>3</v>
      </c>
      <c r="F3035" s="13">
        <f t="shared" si="47"/>
        <v>6.48</v>
      </c>
    </row>
    <row r="3036" spans="2:6">
      <c r="B3036" s="13" t="s">
        <v>2689</v>
      </c>
      <c r="C3036" s="13" t="s">
        <v>2692</v>
      </c>
      <c r="D3036" s="13">
        <v>707.88</v>
      </c>
      <c r="E3036" s="13">
        <v>3</v>
      </c>
      <c r="F3036" s="13">
        <f t="shared" si="47"/>
        <v>235.96</v>
      </c>
    </row>
    <row r="3037" spans="2:6">
      <c r="B3037" s="13" t="s">
        <v>1514</v>
      </c>
      <c r="C3037" s="13" t="s">
        <v>1517</v>
      </c>
      <c r="D3037" s="13">
        <v>11.952000000000002</v>
      </c>
      <c r="E3037" s="13">
        <v>3</v>
      </c>
      <c r="F3037" s="13">
        <f t="shared" si="47"/>
        <v>3.9840000000000004</v>
      </c>
    </row>
    <row r="3038" spans="2:6">
      <c r="B3038" s="13" t="s">
        <v>1956</v>
      </c>
      <c r="C3038" s="13" t="s">
        <v>1958</v>
      </c>
      <c r="D3038" s="13">
        <v>31.128000000000004</v>
      </c>
      <c r="E3038" s="13">
        <v>3</v>
      </c>
      <c r="F3038" s="13">
        <f t="shared" si="47"/>
        <v>10.376000000000001</v>
      </c>
    </row>
    <row r="3039" spans="2:6">
      <c r="B3039" s="13" t="s">
        <v>2984</v>
      </c>
      <c r="C3039" s="13" t="s">
        <v>2986</v>
      </c>
      <c r="D3039" s="13">
        <v>55.76</v>
      </c>
      <c r="E3039" s="13">
        <v>4</v>
      </c>
      <c r="F3039" s="13">
        <f t="shared" si="47"/>
        <v>13.94</v>
      </c>
    </row>
    <row r="3040" spans="2:6">
      <c r="B3040" s="13" t="s">
        <v>204</v>
      </c>
      <c r="C3040" s="13" t="s">
        <v>1784</v>
      </c>
      <c r="D3040" s="13">
        <v>24.56</v>
      </c>
      <c r="E3040" s="13">
        <v>2</v>
      </c>
      <c r="F3040" s="13">
        <f t="shared" si="47"/>
        <v>12.28</v>
      </c>
    </row>
    <row r="3041" spans="2:6">
      <c r="B3041" s="13" t="s">
        <v>588</v>
      </c>
      <c r="C3041" s="13" t="s">
        <v>590</v>
      </c>
      <c r="D3041" s="13">
        <v>51.75</v>
      </c>
      <c r="E3041" s="13">
        <v>1</v>
      </c>
      <c r="F3041" s="13">
        <f t="shared" si="47"/>
        <v>51.75</v>
      </c>
    </row>
    <row r="3042" spans="2:6">
      <c r="B3042" s="13" t="s">
        <v>2985</v>
      </c>
      <c r="C3042" s="13" t="s">
        <v>2987</v>
      </c>
      <c r="D3042" s="13">
        <v>207.18400000000003</v>
      </c>
      <c r="E3042" s="13">
        <v>1</v>
      </c>
      <c r="F3042" s="13">
        <f t="shared" si="47"/>
        <v>207.18400000000003</v>
      </c>
    </row>
    <row r="3043" spans="2:6">
      <c r="B3043" s="13" t="s">
        <v>1065</v>
      </c>
      <c r="C3043" s="13" t="s">
        <v>1069</v>
      </c>
      <c r="D3043" s="13">
        <v>1473.1</v>
      </c>
      <c r="E3043" s="13">
        <v>5</v>
      </c>
      <c r="F3043" s="13">
        <f t="shared" si="47"/>
        <v>294.62</v>
      </c>
    </row>
    <row r="3044" spans="2:6">
      <c r="B3044" s="13" t="s">
        <v>2846</v>
      </c>
      <c r="C3044" s="13" t="s">
        <v>2849</v>
      </c>
      <c r="D3044" s="13">
        <v>39.816000000000003</v>
      </c>
      <c r="E3044" s="13">
        <v>3</v>
      </c>
      <c r="F3044" s="13">
        <f t="shared" si="47"/>
        <v>13.272</v>
      </c>
    </row>
    <row r="3045" spans="2:6">
      <c r="B3045" s="13" t="s">
        <v>2831</v>
      </c>
      <c r="C3045" s="13" t="s">
        <v>2833</v>
      </c>
      <c r="D3045" s="13">
        <v>16.059999999999999</v>
      </c>
      <c r="E3045" s="13">
        <v>1</v>
      </c>
      <c r="F3045" s="13">
        <f t="shared" si="47"/>
        <v>16.059999999999999</v>
      </c>
    </row>
    <row r="3046" spans="2:6">
      <c r="B3046" s="13" t="s">
        <v>2988</v>
      </c>
      <c r="C3046" s="13" t="s">
        <v>2989</v>
      </c>
      <c r="D3046" s="13">
        <v>7.28</v>
      </c>
      <c r="E3046" s="13">
        <v>1</v>
      </c>
      <c r="F3046" s="13">
        <f t="shared" si="47"/>
        <v>7.28</v>
      </c>
    </row>
    <row r="3047" spans="2:6">
      <c r="B3047" s="13" t="s">
        <v>569</v>
      </c>
      <c r="C3047" s="13" t="s">
        <v>572</v>
      </c>
      <c r="D3047" s="13">
        <v>5.4</v>
      </c>
      <c r="E3047" s="13">
        <v>3</v>
      </c>
      <c r="F3047" s="13">
        <f t="shared" si="47"/>
        <v>1.8</v>
      </c>
    </row>
    <row r="3048" spans="2:6">
      <c r="B3048" s="13" t="s">
        <v>2990</v>
      </c>
      <c r="C3048" s="13" t="s">
        <v>2991</v>
      </c>
      <c r="D3048" s="13">
        <v>20.664000000000001</v>
      </c>
      <c r="E3048" s="13">
        <v>7</v>
      </c>
      <c r="F3048" s="13">
        <f t="shared" si="47"/>
        <v>2.9520000000000004</v>
      </c>
    </row>
    <row r="3049" spans="2:6">
      <c r="B3049" s="13" t="s">
        <v>2188</v>
      </c>
      <c r="C3049" s="13" t="s">
        <v>2191</v>
      </c>
      <c r="D3049" s="13">
        <v>13.761999999999997</v>
      </c>
      <c r="E3049" s="13">
        <v>1</v>
      </c>
      <c r="F3049" s="13">
        <f t="shared" si="47"/>
        <v>13.761999999999997</v>
      </c>
    </row>
    <row r="3050" spans="2:6">
      <c r="B3050" s="13" t="s">
        <v>458</v>
      </c>
      <c r="C3050" s="13" t="s">
        <v>465</v>
      </c>
      <c r="D3050" s="13">
        <v>15.28</v>
      </c>
      <c r="E3050" s="13">
        <v>2</v>
      </c>
      <c r="F3050" s="13">
        <f t="shared" si="47"/>
        <v>7.64</v>
      </c>
    </row>
    <row r="3051" spans="2:6">
      <c r="B3051" s="13" t="s">
        <v>2992</v>
      </c>
      <c r="C3051" s="13" t="s">
        <v>2994</v>
      </c>
      <c r="D3051" s="13">
        <v>11.07</v>
      </c>
      <c r="E3051" s="13">
        <v>3</v>
      </c>
      <c r="F3051" s="13">
        <f t="shared" si="47"/>
        <v>3.69</v>
      </c>
    </row>
    <row r="3052" spans="2:6">
      <c r="B3052" s="13" t="s">
        <v>124</v>
      </c>
      <c r="C3052" s="13" t="s">
        <v>130</v>
      </c>
      <c r="D3052" s="13">
        <v>1504.52</v>
      </c>
      <c r="E3052" s="13">
        <v>4</v>
      </c>
      <c r="F3052" s="13">
        <f t="shared" si="47"/>
        <v>376.13</v>
      </c>
    </row>
    <row r="3053" spans="2:6">
      <c r="B3053" s="13" t="s">
        <v>915</v>
      </c>
      <c r="C3053" s="13" t="s">
        <v>917</v>
      </c>
      <c r="D3053" s="13">
        <v>25.92</v>
      </c>
      <c r="E3053" s="13">
        <v>4</v>
      </c>
      <c r="F3053" s="13">
        <f t="shared" si="47"/>
        <v>6.48</v>
      </c>
    </row>
    <row r="3054" spans="2:6">
      <c r="B3054" s="13" t="s">
        <v>1297</v>
      </c>
      <c r="C3054" s="13" t="s">
        <v>1300</v>
      </c>
      <c r="D3054" s="13">
        <v>7.5359999999999987</v>
      </c>
      <c r="E3054" s="13">
        <v>6</v>
      </c>
      <c r="F3054" s="13">
        <f t="shared" si="47"/>
        <v>1.2559999999999998</v>
      </c>
    </row>
    <row r="3055" spans="2:6">
      <c r="B3055" s="13" t="s">
        <v>2993</v>
      </c>
      <c r="C3055" s="13" t="s">
        <v>2995</v>
      </c>
      <c r="D3055" s="13">
        <v>1.4079999999999997</v>
      </c>
      <c r="E3055" s="13">
        <v>2</v>
      </c>
      <c r="F3055" s="13">
        <f t="shared" si="47"/>
        <v>0.70399999999999985</v>
      </c>
    </row>
    <row r="3056" spans="2:6">
      <c r="B3056" s="13" t="s">
        <v>2133</v>
      </c>
      <c r="C3056" s="13" t="s">
        <v>2134</v>
      </c>
      <c r="D3056" s="13">
        <v>4.1439999999999992</v>
      </c>
      <c r="E3056" s="13">
        <v>4</v>
      </c>
      <c r="F3056" s="13">
        <f t="shared" si="47"/>
        <v>1.0359999999999998</v>
      </c>
    </row>
    <row r="3057" spans="2:6">
      <c r="B3057" s="13" t="s">
        <v>2488</v>
      </c>
      <c r="C3057" s="13" t="s">
        <v>2490</v>
      </c>
      <c r="D3057" s="13">
        <v>52.751999999999995</v>
      </c>
      <c r="E3057" s="13">
        <v>3</v>
      </c>
      <c r="F3057" s="13">
        <f t="shared" si="47"/>
        <v>17.584</v>
      </c>
    </row>
    <row r="3058" spans="2:6">
      <c r="B3058" s="13" t="s">
        <v>1362</v>
      </c>
      <c r="C3058" s="13" t="s">
        <v>1363</v>
      </c>
      <c r="D3058" s="13">
        <v>381.35999999999996</v>
      </c>
      <c r="E3058" s="13">
        <v>7</v>
      </c>
      <c r="F3058" s="13">
        <f t="shared" si="47"/>
        <v>54.48</v>
      </c>
    </row>
    <row r="3059" spans="2:6">
      <c r="B3059" s="13" t="s">
        <v>1736</v>
      </c>
      <c r="C3059" s="13" t="s">
        <v>1742</v>
      </c>
      <c r="D3059" s="13">
        <v>15.192</v>
      </c>
      <c r="E3059" s="13">
        <v>3</v>
      </c>
      <c r="F3059" s="13">
        <f t="shared" si="47"/>
        <v>5.0640000000000001</v>
      </c>
    </row>
    <row r="3060" spans="2:6">
      <c r="B3060" s="13" t="s">
        <v>2996</v>
      </c>
      <c r="C3060" s="13" t="s">
        <v>2997</v>
      </c>
      <c r="D3060" s="13">
        <v>58.320000000000007</v>
      </c>
      <c r="E3060" s="13">
        <v>9</v>
      </c>
      <c r="F3060" s="13">
        <f t="shared" si="47"/>
        <v>6.48</v>
      </c>
    </row>
    <row r="3061" spans="2:6">
      <c r="B3061" s="13" t="s">
        <v>534</v>
      </c>
      <c r="C3061" s="13" t="s">
        <v>545</v>
      </c>
      <c r="D3061" s="13">
        <v>147.56800000000001</v>
      </c>
      <c r="E3061" s="13">
        <v>2</v>
      </c>
      <c r="F3061" s="13">
        <f t="shared" si="47"/>
        <v>73.784000000000006</v>
      </c>
    </row>
    <row r="3062" spans="2:6">
      <c r="B3062" s="13" t="s">
        <v>1663</v>
      </c>
      <c r="C3062" s="13" t="s">
        <v>46</v>
      </c>
      <c r="D3062" s="13">
        <v>56.783999999999999</v>
      </c>
      <c r="E3062" s="13">
        <v>7</v>
      </c>
      <c r="F3062" s="13">
        <f t="shared" si="47"/>
        <v>8.1120000000000001</v>
      </c>
    </row>
    <row r="3063" spans="2:6">
      <c r="B3063" s="13" t="s">
        <v>604</v>
      </c>
      <c r="C3063" s="13" t="s">
        <v>606</v>
      </c>
      <c r="D3063" s="13">
        <v>5.6070000000000011</v>
      </c>
      <c r="E3063" s="13">
        <v>3</v>
      </c>
      <c r="F3063" s="13">
        <f t="shared" si="47"/>
        <v>1.8690000000000004</v>
      </c>
    </row>
    <row r="3064" spans="2:6">
      <c r="B3064" s="13" t="s">
        <v>2966</v>
      </c>
      <c r="C3064" s="13" t="s">
        <v>2967</v>
      </c>
      <c r="D3064" s="13">
        <v>6.5760000000000005</v>
      </c>
      <c r="E3064" s="13">
        <v>3</v>
      </c>
      <c r="F3064" s="13">
        <f t="shared" si="47"/>
        <v>2.1920000000000002</v>
      </c>
    </row>
    <row r="3065" spans="2:6">
      <c r="B3065" s="13" t="s">
        <v>2535</v>
      </c>
      <c r="C3065" s="13" t="s">
        <v>2540</v>
      </c>
      <c r="D3065" s="13">
        <v>9.84</v>
      </c>
      <c r="E3065" s="13">
        <v>3</v>
      </c>
      <c r="F3065" s="13">
        <f t="shared" si="47"/>
        <v>3.28</v>
      </c>
    </row>
    <row r="3066" spans="2:6">
      <c r="B3066" s="13" t="s">
        <v>176</v>
      </c>
      <c r="C3066" s="13" t="s">
        <v>181</v>
      </c>
      <c r="D3066" s="13">
        <v>2.78</v>
      </c>
      <c r="E3066" s="13">
        <v>1</v>
      </c>
      <c r="F3066" s="13">
        <f t="shared" si="47"/>
        <v>2.78</v>
      </c>
    </row>
    <row r="3067" spans="2:6">
      <c r="B3067" s="13" t="s">
        <v>2384</v>
      </c>
      <c r="C3067" s="13" t="s">
        <v>2386</v>
      </c>
      <c r="D3067" s="13">
        <v>107.64800000000001</v>
      </c>
      <c r="E3067" s="13">
        <v>2</v>
      </c>
      <c r="F3067" s="13">
        <f t="shared" si="47"/>
        <v>53.824000000000005</v>
      </c>
    </row>
    <row r="3068" spans="2:6">
      <c r="B3068" s="13" t="s">
        <v>1083</v>
      </c>
      <c r="C3068" s="13" t="s">
        <v>1087</v>
      </c>
      <c r="D3068" s="13">
        <v>199.95000000000002</v>
      </c>
      <c r="E3068" s="13">
        <v>5</v>
      </c>
      <c r="F3068" s="13">
        <f t="shared" si="47"/>
        <v>39.99</v>
      </c>
    </row>
    <row r="3069" spans="2:6">
      <c r="B3069" s="13" t="s">
        <v>1515</v>
      </c>
      <c r="C3069" s="13" t="s">
        <v>1518</v>
      </c>
      <c r="D3069" s="13">
        <v>12.96</v>
      </c>
      <c r="E3069" s="13">
        <v>2</v>
      </c>
      <c r="F3069" s="13">
        <f t="shared" si="47"/>
        <v>6.48</v>
      </c>
    </row>
    <row r="3070" spans="2:6">
      <c r="B3070" s="13" t="s">
        <v>2605</v>
      </c>
      <c r="C3070" s="13" t="s">
        <v>2608</v>
      </c>
      <c r="D3070" s="13">
        <v>25.5</v>
      </c>
      <c r="E3070" s="13">
        <v>3</v>
      </c>
      <c r="F3070" s="13">
        <f t="shared" si="47"/>
        <v>8.5</v>
      </c>
    </row>
    <row r="3071" spans="2:6">
      <c r="B3071" s="13" t="s">
        <v>898</v>
      </c>
      <c r="C3071" s="13" t="s">
        <v>902</v>
      </c>
      <c r="D3071" s="13">
        <v>215.976</v>
      </c>
      <c r="E3071" s="13">
        <v>3</v>
      </c>
      <c r="F3071" s="13">
        <f t="shared" si="47"/>
        <v>71.992000000000004</v>
      </c>
    </row>
    <row r="3072" spans="2:6">
      <c r="B3072" s="13" t="s">
        <v>1956</v>
      </c>
      <c r="C3072" s="13" t="s">
        <v>1958</v>
      </c>
      <c r="D3072" s="13">
        <v>11.673000000000002</v>
      </c>
      <c r="E3072" s="13">
        <v>3</v>
      </c>
      <c r="F3072" s="13">
        <f t="shared" si="47"/>
        <v>3.8910000000000005</v>
      </c>
    </row>
    <row r="3073" spans="2:6">
      <c r="B3073" s="13" t="s">
        <v>2228</v>
      </c>
      <c r="C3073" s="13" t="s">
        <v>2231</v>
      </c>
      <c r="D3073" s="13">
        <v>64.848000000000013</v>
      </c>
      <c r="E3073" s="13">
        <v>7</v>
      </c>
      <c r="F3073" s="13">
        <f t="shared" si="47"/>
        <v>9.2640000000000011</v>
      </c>
    </row>
    <row r="3074" spans="2:6">
      <c r="B3074" s="13" t="s">
        <v>1724</v>
      </c>
      <c r="C3074" s="13" t="s">
        <v>1726</v>
      </c>
      <c r="D3074" s="13">
        <v>32.088000000000001</v>
      </c>
      <c r="E3074" s="13">
        <v>7</v>
      </c>
      <c r="F3074" s="13">
        <f t="shared" si="47"/>
        <v>4.5840000000000005</v>
      </c>
    </row>
    <row r="3075" spans="2:6">
      <c r="B3075" s="13" t="s">
        <v>981</v>
      </c>
      <c r="C3075" s="13" t="s">
        <v>982</v>
      </c>
      <c r="D3075" s="13">
        <v>4305.5520000000006</v>
      </c>
      <c r="E3075" s="13">
        <v>6</v>
      </c>
      <c r="F3075" s="13">
        <f t="shared" si="47"/>
        <v>717.5920000000001</v>
      </c>
    </row>
    <row r="3076" spans="2:6">
      <c r="B3076" s="13" t="s">
        <v>1747</v>
      </c>
      <c r="C3076" s="13" t="s">
        <v>1748</v>
      </c>
      <c r="D3076" s="13">
        <v>1577.94</v>
      </c>
      <c r="E3076" s="13">
        <v>3</v>
      </c>
      <c r="F3076" s="13">
        <f t="shared" ref="F3076:F3139" si="48">D3076/E3076</f>
        <v>525.98</v>
      </c>
    </row>
    <row r="3077" spans="2:6">
      <c r="B3077" s="13" t="s">
        <v>2105</v>
      </c>
      <c r="C3077" s="13" t="s">
        <v>2110</v>
      </c>
      <c r="D3077" s="13">
        <v>15.936000000000002</v>
      </c>
      <c r="E3077" s="13">
        <v>4</v>
      </c>
      <c r="F3077" s="13">
        <f t="shared" si="48"/>
        <v>3.9840000000000004</v>
      </c>
    </row>
    <row r="3078" spans="2:6">
      <c r="B3078" s="13" t="s">
        <v>823</v>
      </c>
      <c r="C3078" s="13" t="s">
        <v>825</v>
      </c>
      <c r="D3078" s="13">
        <v>8.0010000000000012</v>
      </c>
      <c r="E3078" s="13">
        <v>7</v>
      </c>
      <c r="F3078" s="13">
        <f t="shared" si="48"/>
        <v>1.1430000000000002</v>
      </c>
    </row>
    <row r="3079" spans="2:6">
      <c r="B3079" s="13" t="s">
        <v>277</v>
      </c>
      <c r="C3079" s="13" t="s">
        <v>279</v>
      </c>
      <c r="D3079" s="13">
        <v>398.97199999999998</v>
      </c>
      <c r="E3079" s="13">
        <v>2</v>
      </c>
      <c r="F3079" s="13">
        <f t="shared" si="48"/>
        <v>199.48599999999999</v>
      </c>
    </row>
    <row r="3080" spans="2:6">
      <c r="B3080" s="13" t="s">
        <v>2802</v>
      </c>
      <c r="C3080" s="13" t="s">
        <v>2803</v>
      </c>
      <c r="D3080" s="13">
        <v>67.900000000000006</v>
      </c>
      <c r="E3080" s="13">
        <v>5</v>
      </c>
      <c r="F3080" s="13">
        <f t="shared" si="48"/>
        <v>13.580000000000002</v>
      </c>
    </row>
    <row r="3081" spans="2:6">
      <c r="B3081" s="13" t="s">
        <v>1916</v>
      </c>
      <c r="C3081" s="13" t="s">
        <v>1921</v>
      </c>
      <c r="D3081" s="13">
        <v>11.696</v>
      </c>
      <c r="E3081" s="13">
        <v>2</v>
      </c>
      <c r="F3081" s="13">
        <f t="shared" si="48"/>
        <v>5.8479999999999999</v>
      </c>
    </row>
    <row r="3082" spans="2:6">
      <c r="B3082" s="13" t="s">
        <v>1391</v>
      </c>
      <c r="C3082" s="13" t="s">
        <v>1396</v>
      </c>
      <c r="D3082" s="13">
        <v>6.8879999999999981</v>
      </c>
      <c r="E3082" s="13">
        <v>3</v>
      </c>
      <c r="F3082" s="13">
        <f t="shared" si="48"/>
        <v>2.2959999999999994</v>
      </c>
    </row>
    <row r="3083" spans="2:6">
      <c r="B3083" s="13" t="s">
        <v>370</v>
      </c>
      <c r="C3083" s="13" t="s">
        <v>379</v>
      </c>
      <c r="D3083" s="13">
        <v>457.4849999999999</v>
      </c>
      <c r="E3083" s="13">
        <v>3</v>
      </c>
      <c r="F3083" s="13">
        <f t="shared" si="48"/>
        <v>152.49499999999998</v>
      </c>
    </row>
    <row r="3084" spans="2:6">
      <c r="B3084" s="13" t="s">
        <v>998</v>
      </c>
      <c r="C3084" s="13" t="s">
        <v>1000</v>
      </c>
      <c r="D3084" s="13">
        <v>1079.316</v>
      </c>
      <c r="E3084" s="13">
        <v>6</v>
      </c>
      <c r="F3084" s="13">
        <f t="shared" si="48"/>
        <v>179.886</v>
      </c>
    </row>
    <row r="3085" spans="2:6">
      <c r="B3085" s="13" t="s">
        <v>2175</v>
      </c>
      <c r="C3085" s="13" t="s">
        <v>2177</v>
      </c>
      <c r="D3085" s="13">
        <v>0.55599999999999983</v>
      </c>
      <c r="E3085" s="13">
        <v>1</v>
      </c>
      <c r="F3085" s="13">
        <f t="shared" si="48"/>
        <v>0.55599999999999983</v>
      </c>
    </row>
    <row r="3086" spans="2:6">
      <c r="B3086" s="13" t="s">
        <v>189</v>
      </c>
      <c r="C3086" s="13" t="s">
        <v>190</v>
      </c>
      <c r="D3086" s="13">
        <v>43.8</v>
      </c>
      <c r="E3086" s="13">
        <v>6</v>
      </c>
      <c r="F3086" s="13">
        <f t="shared" si="48"/>
        <v>7.3</v>
      </c>
    </row>
    <row r="3087" spans="2:6">
      <c r="B3087" s="13" t="s">
        <v>1209</v>
      </c>
      <c r="C3087" s="13" t="s">
        <v>1210</v>
      </c>
      <c r="D3087" s="13">
        <v>13.872000000000002</v>
      </c>
      <c r="E3087" s="13">
        <v>3</v>
      </c>
      <c r="F3087" s="13">
        <f t="shared" si="48"/>
        <v>4.6240000000000006</v>
      </c>
    </row>
    <row r="3088" spans="2:6">
      <c r="B3088" s="13" t="s">
        <v>540</v>
      </c>
      <c r="C3088" s="13" t="s">
        <v>551</v>
      </c>
      <c r="D3088" s="13">
        <v>115.96</v>
      </c>
      <c r="E3088" s="13">
        <v>4</v>
      </c>
      <c r="F3088" s="13">
        <f t="shared" si="48"/>
        <v>28.99</v>
      </c>
    </row>
    <row r="3089" spans="2:6">
      <c r="B3089" s="13" t="s">
        <v>62</v>
      </c>
      <c r="C3089" s="13" t="s">
        <v>66</v>
      </c>
      <c r="D3089" s="13">
        <v>4.9280000000000008</v>
      </c>
      <c r="E3089" s="13">
        <v>2</v>
      </c>
      <c r="F3089" s="13">
        <f t="shared" si="48"/>
        <v>2.4640000000000004</v>
      </c>
    </row>
    <row r="3090" spans="2:6">
      <c r="B3090" s="13" t="s">
        <v>1430</v>
      </c>
      <c r="C3090" s="13" t="s">
        <v>1436</v>
      </c>
      <c r="D3090" s="13">
        <v>63.488</v>
      </c>
      <c r="E3090" s="13">
        <v>4</v>
      </c>
      <c r="F3090" s="13">
        <f t="shared" si="48"/>
        <v>15.872</v>
      </c>
    </row>
    <row r="3091" spans="2:6">
      <c r="B3091" s="13" t="s">
        <v>2998</v>
      </c>
      <c r="C3091" s="13" t="s">
        <v>3000</v>
      </c>
      <c r="D3091" s="13">
        <v>47.904000000000003</v>
      </c>
      <c r="E3091" s="13">
        <v>1</v>
      </c>
      <c r="F3091" s="13">
        <f t="shared" si="48"/>
        <v>47.904000000000003</v>
      </c>
    </row>
    <row r="3092" spans="2:6">
      <c r="B3092" s="13" t="s">
        <v>2397</v>
      </c>
      <c r="C3092" s="13" t="s">
        <v>2401</v>
      </c>
      <c r="D3092" s="13">
        <v>13.36</v>
      </c>
      <c r="E3092" s="13">
        <v>2</v>
      </c>
      <c r="F3092" s="13">
        <f t="shared" si="48"/>
        <v>6.68</v>
      </c>
    </row>
    <row r="3093" spans="2:6">
      <c r="B3093" s="13" t="s">
        <v>2999</v>
      </c>
      <c r="C3093" s="13" t="s">
        <v>3001</v>
      </c>
      <c r="D3093" s="13">
        <v>163.76400000000001</v>
      </c>
      <c r="E3093" s="13">
        <v>2</v>
      </c>
      <c r="F3093" s="13">
        <f t="shared" si="48"/>
        <v>81.882000000000005</v>
      </c>
    </row>
    <row r="3094" spans="2:6">
      <c r="B3094" s="13" t="s">
        <v>2921</v>
      </c>
      <c r="C3094" s="13" t="s">
        <v>2922</v>
      </c>
      <c r="D3094" s="13">
        <v>183.92</v>
      </c>
      <c r="E3094" s="13">
        <v>4</v>
      </c>
      <c r="F3094" s="13">
        <f t="shared" si="48"/>
        <v>45.98</v>
      </c>
    </row>
    <row r="3095" spans="2:6">
      <c r="B3095" s="13" t="s">
        <v>2787</v>
      </c>
      <c r="C3095" s="13" t="s">
        <v>2789</v>
      </c>
      <c r="D3095" s="13">
        <v>211.04</v>
      </c>
      <c r="E3095" s="13">
        <v>8</v>
      </c>
      <c r="F3095" s="13">
        <f t="shared" si="48"/>
        <v>26.38</v>
      </c>
    </row>
    <row r="3096" spans="2:6">
      <c r="B3096" s="13" t="s">
        <v>647</v>
      </c>
      <c r="C3096" s="13" t="s">
        <v>650</v>
      </c>
      <c r="D3096" s="13">
        <v>594.81600000000003</v>
      </c>
      <c r="E3096" s="13">
        <v>2</v>
      </c>
      <c r="F3096" s="13">
        <f t="shared" si="48"/>
        <v>297.40800000000002</v>
      </c>
    </row>
    <row r="3097" spans="2:6">
      <c r="B3097" s="13" t="s">
        <v>775</v>
      </c>
      <c r="C3097" s="13" t="s">
        <v>777</v>
      </c>
      <c r="D3097" s="13">
        <v>72.960000000000008</v>
      </c>
      <c r="E3097" s="13">
        <v>3</v>
      </c>
      <c r="F3097" s="13">
        <f t="shared" si="48"/>
        <v>24.320000000000004</v>
      </c>
    </row>
    <row r="3098" spans="2:6">
      <c r="B3098" s="13" t="s">
        <v>2822</v>
      </c>
      <c r="C3098" s="13" t="s">
        <v>2824</v>
      </c>
      <c r="D3098" s="13">
        <v>80.959999999999994</v>
      </c>
      <c r="E3098" s="13">
        <v>4</v>
      </c>
      <c r="F3098" s="13">
        <f t="shared" si="48"/>
        <v>20.239999999999998</v>
      </c>
    </row>
    <row r="3099" spans="2:6">
      <c r="B3099" s="13" t="s">
        <v>3002</v>
      </c>
      <c r="C3099" s="13" t="s">
        <v>3003</v>
      </c>
      <c r="D3099" s="13">
        <v>455.71199999999999</v>
      </c>
      <c r="E3099" s="13">
        <v>2</v>
      </c>
      <c r="F3099" s="13">
        <f t="shared" si="48"/>
        <v>227.85599999999999</v>
      </c>
    </row>
    <row r="3100" spans="2:6">
      <c r="B3100" s="13" t="s">
        <v>1593</v>
      </c>
      <c r="C3100" s="13" t="s">
        <v>1599</v>
      </c>
      <c r="D3100" s="13">
        <v>25.98</v>
      </c>
      <c r="E3100" s="13">
        <v>1</v>
      </c>
      <c r="F3100" s="13">
        <f t="shared" si="48"/>
        <v>25.98</v>
      </c>
    </row>
    <row r="3101" spans="2:6">
      <c r="B3101" s="13" t="s">
        <v>1255</v>
      </c>
      <c r="C3101" s="13" t="s">
        <v>1260</v>
      </c>
      <c r="D3101" s="13">
        <v>195.68</v>
      </c>
      <c r="E3101" s="13">
        <v>4</v>
      </c>
      <c r="F3101" s="13">
        <f t="shared" si="48"/>
        <v>48.92</v>
      </c>
    </row>
    <row r="3102" spans="2:6">
      <c r="B3102" s="13" t="s">
        <v>3004</v>
      </c>
      <c r="C3102" s="13" t="s">
        <v>3005</v>
      </c>
      <c r="D3102" s="13">
        <v>14.2</v>
      </c>
      <c r="E3102" s="13">
        <v>4</v>
      </c>
      <c r="F3102" s="13">
        <f t="shared" si="48"/>
        <v>3.55</v>
      </c>
    </row>
    <row r="3103" spans="2:6">
      <c r="B3103" s="13" t="s">
        <v>2927</v>
      </c>
      <c r="C3103" s="13" t="s">
        <v>2928</v>
      </c>
      <c r="D3103" s="13">
        <v>314.35199999999998</v>
      </c>
      <c r="E3103" s="13">
        <v>3</v>
      </c>
      <c r="F3103" s="13">
        <f t="shared" si="48"/>
        <v>104.78399999999999</v>
      </c>
    </row>
    <row r="3104" spans="2:6">
      <c r="B3104" s="13" t="s">
        <v>2775</v>
      </c>
      <c r="C3104" s="13" t="s">
        <v>2779</v>
      </c>
      <c r="D3104" s="13">
        <v>4.6079999999999997</v>
      </c>
      <c r="E3104" s="13">
        <v>2</v>
      </c>
      <c r="F3104" s="13">
        <f t="shared" si="48"/>
        <v>2.3039999999999998</v>
      </c>
    </row>
    <row r="3105" spans="2:6">
      <c r="B3105" s="13" t="s">
        <v>2904</v>
      </c>
      <c r="C3105" s="13" t="s">
        <v>2906</v>
      </c>
      <c r="D3105" s="13">
        <v>17.899999999999999</v>
      </c>
      <c r="E3105" s="13">
        <v>5</v>
      </c>
      <c r="F3105" s="13">
        <f t="shared" si="48"/>
        <v>3.5799999999999996</v>
      </c>
    </row>
    <row r="3106" spans="2:6">
      <c r="B3106" s="13" t="s">
        <v>2883</v>
      </c>
      <c r="C3106" s="13" t="s">
        <v>2884</v>
      </c>
      <c r="D3106" s="13">
        <v>455.97</v>
      </c>
      <c r="E3106" s="13">
        <v>5</v>
      </c>
      <c r="F3106" s="13">
        <f t="shared" si="48"/>
        <v>91.194000000000003</v>
      </c>
    </row>
    <row r="3107" spans="2:6">
      <c r="B3107" s="13" t="s">
        <v>2098</v>
      </c>
      <c r="C3107" s="13" t="s">
        <v>2099</v>
      </c>
      <c r="D3107" s="13">
        <v>5.7150000000000016</v>
      </c>
      <c r="E3107" s="13">
        <v>5</v>
      </c>
      <c r="F3107" s="13">
        <f t="shared" si="48"/>
        <v>1.1430000000000002</v>
      </c>
    </row>
    <row r="3108" spans="2:6">
      <c r="B3108" s="13" t="s">
        <v>1561</v>
      </c>
      <c r="C3108" s="13" t="s">
        <v>1565</v>
      </c>
      <c r="D3108" s="13">
        <v>57.593999999999994</v>
      </c>
      <c r="E3108" s="13">
        <v>1</v>
      </c>
      <c r="F3108" s="13">
        <f t="shared" si="48"/>
        <v>57.593999999999994</v>
      </c>
    </row>
    <row r="3109" spans="2:6">
      <c r="B3109" s="13" t="s">
        <v>951</v>
      </c>
      <c r="C3109" s="13" t="s">
        <v>955</v>
      </c>
      <c r="D3109" s="13">
        <v>30.144000000000002</v>
      </c>
      <c r="E3109" s="13">
        <v>2</v>
      </c>
      <c r="F3109" s="13">
        <f t="shared" si="48"/>
        <v>15.072000000000001</v>
      </c>
    </row>
    <row r="3110" spans="2:6">
      <c r="B3110" s="13" t="s">
        <v>998</v>
      </c>
      <c r="C3110" s="13" t="s">
        <v>1000</v>
      </c>
      <c r="D3110" s="13">
        <v>899.43</v>
      </c>
      <c r="E3110" s="13">
        <v>5</v>
      </c>
      <c r="F3110" s="13">
        <f t="shared" si="48"/>
        <v>179.886</v>
      </c>
    </row>
    <row r="3111" spans="2:6">
      <c r="B3111" s="13" t="s">
        <v>647</v>
      </c>
      <c r="C3111" s="13" t="s">
        <v>650</v>
      </c>
      <c r="D3111" s="13">
        <v>520.46399999999994</v>
      </c>
      <c r="E3111" s="13">
        <v>2</v>
      </c>
      <c r="F3111" s="13">
        <f t="shared" si="48"/>
        <v>260.23199999999997</v>
      </c>
    </row>
    <row r="3112" spans="2:6">
      <c r="B3112" s="13" t="s">
        <v>3006</v>
      </c>
      <c r="C3112" s="13" t="s">
        <v>3007</v>
      </c>
      <c r="D3112" s="13">
        <v>11.423999999999999</v>
      </c>
      <c r="E3112" s="13">
        <v>3</v>
      </c>
      <c r="F3112" s="13">
        <f t="shared" si="48"/>
        <v>3.8079999999999998</v>
      </c>
    </row>
    <row r="3113" spans="2:6">
      <c r="B3113" s="13" t="s">
        <v>3008</v>
      </c>
      <c r="C3113" s="13" t="s">
        <v>3009</v>
      </c>
      <c r="D3113" s="13">
        <v>30.576000000000001</v>
      </c>
      <c r="E3113" s="13">
        <v>6</v>
      </c>
      <c r="F3113" s="13">
        <f t="shared" si="48"/>
        <v>5.0960000000000001</v>
      </c>
    </row>
    <row r="3114" spans="2:6">
      <c r="B3114" s="13" t="s">
        <v>2065</v>
      </c>
      <c r="C3114" s="13" t="s">
        <v>2070</v>
      </c>
      <c r="D3114" s="13">
        <v>13.020000000000001</v>
      </c>
      <c r="E3114" s="13">
        <v>7</v>
      </c>
      <c r="F3114" s="13">
        <f t="shared" si="48"/>
        <v>1.86</v>
      </c>
    </row>
    <row r="3115" spans="2:6">
      <c r="B3115" s="13" t="s">
        <v>2264</v>
      </c>
      <c r="C3115" s="13" t="s">
        <v>2267</v>
      </c>
      <c r="D3115" s="13">
        <v>22.14</v>
      </c>
      <c r="E3115" s="13">
        <v>3</v>
      </c>
      <c r="F3115" s="13">
        <f t="shared" si="48"/>
        <v>7.38</v>
      </c>
    </row>
    <row r="3116" spans="2:6">
      <c r="B3116" s="13" t="s">
        <v>1181</v>
      </c>
      <c r="C3116" s="13" t="s">
        <v>1189</v>
      </c>
      <c r="D3116" s="13">
        <v>359.32</v>
      </c>
      <c r="E3116" s="13">
        <v>4</v>
      </c>
      <c r="F3116" s="13">
        <f t="shared" si="48"/>
        <v>89.83</v>
      </c>
    </row>
    <row r="3117" spans="2:6">
      <c r="B3117" s="13" t="s">
        <v>1471</v>
      </c>
      <c r="C3117" s="13" t="s">
        <v>1474</v>
      </c>
      <c r="D3117" s="13">
        <v>272.96999999999997</v>
      </c>
      <c r="E3117" s="13">
        <v>3</v>
      </c>
      <c r="F3117" s="13">
        <f t="shared" si="48"/>
        <v>90.99</v>
      </c>
    </row>
    <row r="3118" spans="2:6">
      <c r="B3118" s="13" t="s">
        <v>2143</v>
      </c>
      <c r="C3118" s="13" t="s">
        <v>2147</v>
      </c>
      <c r="D3118" s="13">
        <v>419.94399999999996</v>
      </c>
      <c r="E3118" s="13">
        <v>7</v>
      </c>
      <c r="F3118" s="13">
        <f t="shared" si="48"/>
        <v>59.991999999999997</v>
      </c>
    </row>
    <row r="3119" spans="2:6">
      <c r="B3119" s="13" t="s">
        <v>3010</v>
      </c>
      <c r="C3119" s="13" t="s">
        <v>3011</v>
      </c>
      <c r="D3119" s="13">
        <v>31.799999999999997</v>
      </c>
      <c r="E3119" s="13">
        <v>3</v>
      </c>
      <c r="F3119" s="13">
        <f t="shared" si="48"/>
        <v>10.6</v>
      </c>
    </row>
    <row r="3120" spans="2:6">
      <c r="B3120" s="13" t="s">
        <v>2387</v>
      </c>
      <c r="C3120" s="13" t="s">
        <v>2388</v>
      </c>
      <c r="D3120" s="13">
        <v>32.56</v>
      </c>
      <c r="E3120" s="13">
        <v>2</v>
      </c>
      <c r="F3120" s="13">
        <f t="shared" si="48"/>
        <v>16.28</v>
      </c>
    </row>
    <row r="3121" spans="2:6">
      <c r="B3121" s="13" t="s">
        <v>1682</v>
      </c>
      <c r="C3121" s="13" t="s">
        <v>1686</v>
      </c>
      <c r="D3121" s="13">
        <v>25.92</v>
      </c>
      <c r="E3121" s="13">
        <v>4</v>
      </c>
      <c r="F3121" s="13">
        <f t="shared" si="48"/>
        <v>6.48</v>
      </c>
    </row>
    <row r="3122" spans="2:6">
      <c r="B3122" s="13" t="s">
        <v>951</v>
      </c>
      <c r="C3122" s="13" t="s">
        <v>955</v>
      </c>
      <c r="D3122" s="13">
        <v>120.57600000000001</v>
      </c>
      <c r="E3122" s="13">
        <v>8</v>
      </c>
      <c r="F3122" s="13">
        <f t="shared" si="48"/>
        <v>15.072000000000001</v>
      </c>
    </row>
    <row r="3123" spans="2:6">
      <c r="B3123" s="13" t="s">
        <v>207</v>
      </c>
      <c r="C3123" s="13" t="s">
        <v>220</v>
      </c>
      <c r="D3123" s="13">
        <v>79.92</v>
      </c>
      <c r="E3123" s="13">
        <v>4</v>
      </c>
      <c r="F3123" s="13">
        <f t="shared" si="48"/>
        <v>19.98</v>
      </c>
    </row>
    <row r="3124" spans="2:6">
      <c r="B3124" s="13" t="s">
        <v>204</v>
      </c>
      <c r="C3124" s="13" t="s">
        <v>1784</v>
      </c>
      <c r="D3124" s="13">
        <v>12.28</v>
      </c>
      <c r="E3124" s="13">
        <v>1</v>
      </c>
      <c r="F3124" s="13">
        <f t="shared" si="48"/>
        <v>12.28</v>
      </c>
    </row>
    <row r="3125" spans="2:6">
      <c r="B3125" s="13" t="s">
        <v>1511</v>
      </c>
      <c r="C3125" s="13" t="s">
        <v>1512</v>
      </c>
      <c r="D3125" s="13">
        <v>542.93999999999994</v>
      </c>
      <c r="E3125" s="13">
        <v>3</v>
      </c>
      <c r="F3125" s="13">
        <f t="shared" si="48"/>
        <v>180.98</v>
      </c>
    </row>
    <row r="3126" spans="2:6">
      <c r="B3126" s="13" t="s">
        <v>1918</v>
      </c>
      <c r="C3126" s="13" t="s">
        <v>1923</v>
      </c>
      <c r="D3126" s="13">
        <v>2.04</v>
      </c>
      <c r="E3126" s="13">
        <v>1</v>
      </c>
      <c r="F3126" s="13">
        <f t="shared" si="48"/>
        <v>2.04</v>
      </c>
    </row>
    <row r="3127" spans="2:6">
      <c r="B3127" s="13" t="s">
        <v>1605</v>
      </c>
      <c r="C3127" s="13" t="s">
        <v>1607</v>
      </c>
      <c r="D3127" s="13">
        <v>7.9920000000000009</v>
      </c>
      <c r="E3127" s="13">
        <v>1</v>
      </c>
      <c r="F3127" s="13">
        <f t="shared" si="48"/>
        <v>7.9920000000000009</v>
      </c>
    </row>
    <row r="3128" spans="2:6">
      <c r="B3128" s="13" t="s">
        <v>3012</v>
      </c>
      <c r="C3128" s="13" t="s">
        <v>3013</v>
      </c>
      <c r="D3128" s="13">
        <v>7.92</v>
      </c>
      <c r="E3128" s="13">
        <v>5</v>
      </c>
      <c r="F3128" s="13">
        <f t="shared" si="48"/>
        <v>1.5840000000000001</v>
      </c>
    </row>
    <row r="3129" spans="2:6">
      <c r="B3129" s="13" t="s">
        <v>1028</v>
      </c>
      <c r="C3129" s="13" t="s">
        <v>1049</v>
      </c>
      <c r="D3129" s="13">
        <v>1071</v>
      </c>
      <c r="E3129" s="13">
        <v>9</v>
      </c>
      <c r="F3129" s="13">
        <f t="shared" si="48"/>
        <v>119</v>
      </c>
    </row>
    <row r="3130" spans="2:6">
      <c r="B3130" s="13" t="s">
        <v>2265</v>
      </c>
      <c r="C3130" s="13" t="s">
        <v>2268</v>
      </c>
      <c r="D3130" s="13">
        <v>12.07</v>
      </c>
      <c r="E3130" s="13">
        <v>1</v>
      </c>
      <c r="F3130" s="13">
        <f t="shared" si="48"/>
        <v>12.07</v>
      </c>
    </row>
    <row r="3131" spans="2:6">
      <c r="B3131" s="13" t="s">
        <v>442</v>
      </c>
      <c r="C3131" s="13" t="s">
        <v>443</v>
      </c>
      <c r="D3131" s="13">
        <v>3.2730000000000006</v>
      </c>
      <c r="E3131" s="13">
        <v>1</v>
      </c>
      <c r="F3131" s="13">
        <f t="shared" si="48"/>
        <v>3.2730000000000006</v>
      </c>
    </row>
    <row r="3132" spans="2:6">
      <c r="B3132" s="13" t="s">
        <v>315</v>
      </c>
      <c r="C3132" s="13" t="s">
        <v>316</v>
      </c>
      <c r="D3132" s="13">
        <v>87.92</v>
      </c>
      <c r="E3132" s="13">
        <v>5</v>
      </c>
      <c r="F3132" s="13">
        <f t="shared" si="48"/>
        <v>17.584</v>
      </c>
    </row>
    <row r="3133" spans="2:6">
      <c r="B3133" s="13" t="s">
        <v>1769</v>
      </c>
      <c r="C3133" s="13" t="s">
        <v>1771</v>
      </c>
      <c r="D3133" s="13">
        <v>15.223999999999997</v>
      </c>
      <c r="E3133" s="13">
        <v>2</v>
      </c>
      <c r="F3133" s="13">
        <f t="shared" si="48"/>
        <v>7.6119999999999983</v>
      </c>
    </row>
    <row r="3134" spans="2:6">
      <c r="B3134" s="13" t="s">
        <v>1728</v>
      </c>
      <c r="C3134" s="13" t="s">
        <v>1732</v>
      </c>
      <c r="D3134" s="13">
        <v>21.983999999999995</v>
      </c>
      <c r="E3134" s="13">
        <v>6</v>
      </c>
      <c r="F3134" s="13">
        <f t="shared" si="48"/>
        <v>3.6639999999999993</v>
      </c>
    </row>
    <row r="3135" spans="2:6">
      <c r="B3135" s="13" t="s">
        <v>1412</v>
      </c>
      <c r="C3135" s="13" t="s">
        <v>1415</v>
      </c>
      <c r="D3135" s="13">
        <v>12.96</v>
      </c>
      <c r="E3135" s="13">
        <v>2</v>
      </c>
      <c r="F3135" s="13">
        <f t="shared" si="48"/>
        <v>6.48</v>
      </c>
    </row>
    <row r="3136" spans="2:6">
      <c r="B3136" s="13" t="s">
        <v>3014</v>
      </c>
      <c r="C3136" s="13" t="s">
        <v>3015</v>
      </c>
      <c r="D3136" s="13">
        <v>285.57599999999996</v>
      </c>
      <c r="E3136" s="13">
        <v>4</v>
      </c>
      <c r="F3136" s="13">
        <f t="shared" si="48"/>
        <v>71.393999999999991</v>
      </c>
    </row>
    <row r="3137" spans="2:6">
      <c r="B3137" s="13" t="s">
        <v>3016</v>
      </c>
      <c r="C3137" s="13" t="s">
        <v>3017</v>
      </c>
      <c r="D3137" s="13">
        <v>16.256</v>
      </c>
      <c r="E3137" s="13">
        <v>2</v>
      </c>
      <c r="F3137" s="13">
        <f t="shared" si="48"/>
        <v>8.1280000000000001</v>
      </c>
    </row>
    <row r="3138" spans="2:6">
      <c r="B3138" s="13" t="s">
        <v>1262</v>
      </c>
      <c r="C3138" s="13" t="s">
        <v>1268</v>
      </c>
      <c r="D3138" s="13">
        <v>219.18400000000003</v>
      </c>
      <c r="E3138" s="13">
        <v>2</v>
      </c>
      <c r="F3138" s="13">
        <f t="shared" si="48"/>
        <v>109.59200000000001</v>
      </c>
    </row>
    <row r="3139" spans="2:6">
      <c r="B3139" s="13" t="s">
        <v>3018</v>
      </c>
      <c r="C3139" s="13" t="s">
        <v>3019</v>
      </c>
      <c r="D3139" s="13">
        <v>477.29999999999995</v>
      </c>
      <c r="E3139" s="13">
        <v>5</v>
      </c>
      <c r="F3139" s="13">
        <f t="shared" si="48"/>
        <v>95.46</v>
      </c>
    </row>
    <row r="3140" spans="2:6">
      <c r="B3140" s="13" t="s">
        <v>1729</v>
      </c>
      <c r="C3140" s="13" t="s">
        <v>1733</v>
      </c>
      <c r="D3140" s="13">
        <v>136.26</v>
      </c>
      <c r="E3140" s="13">
        <v>9</v>
      </c>
      <c r="F3140" s="13">
        <f t="shared" ref="F3140:F3203" si="49">D3140/E3140</f>
        <v>15.139999999999999</v>
      </c>
    </row>
    <row r="3141" spans="2:6">
      <c r="B3141" s="13" t="s">
        <v>3020</v>
      </c>
      <c r="C3141" s="13" t="s">
        <v>3021</v>
      </c>
      <c r="D3141" s="13">
        <v>27.192</v>
      </c>
      <c r="E3141" s="13">
        <v>3</v>
      </c>
      <c r="F3141" s="13">
        <f t="shared" si="49"/>
        <v>9.0640000000000001</v>
      </c>
    </row>
    <row r="3142" spans="2:6">
      <c r="B3142" s="13" t="s">
        <v>1889</v>
      </c>
      <c r="C3142" s="13" t="s">
        <v>1892</v>
      </c>
      <c r="D3142" s="13">
        <v>12.059999999999999</v>
      </c>
      <c r="E3142" s="13">
        <v>5</v>
      </c>
      <c r="F3142" s="13">
        <f t="shared" si="49"/>
        <v>2.4119999999999999</v>
      </c>
    </row>
    <row r="3143" spans="2:6">
      <c r="B3143" s="13" t="s">
        <v>2513</v>
      </c>
      <c r="C3143" s="13" t="s">
        <v>2514</v>
      </c>
      <c r="D3143" s="13">
        <v>701.96</v>
      </c>
      <c r="E3143" s="13">
        <v>2</v>
      </c>
      <c r="F3143" s="13">
        <f t="shared" si="49"/>
        <v>350.98</v>
      </c>
    </row>
    <row r="3144" spans="2:6">
      <c r="B3144" s="13" t="s">
        <v>1128</v>
      </c>
      <c r="C3144" s="13" t="s">
        <v>1129</v>
      </c>
      <c r="D3144" s="13">
        <v>164.68800000000002</v>
      </c>
      <c r="E3144" s="13">
        <v>6</v>
      </c>
      <c r="F3144" s="13">
        <f t="shared" si="49"/>
        <v>27.448000000000004</v>
      </c>
    </row>
    <row r="3145" spans="2:6">
      <c r="B3145" s="13" t="s">
        <v>2877</v>
      </c>
      <c r="C3145" s="13" t="s">
        <v>2878</v>
      </c>
      <c r="D3145" s="13">
        <v>166.5</v>
      </c>
      <c r="E3145" s="13">
        <v>2</v>
      </c>
      <c r="F3145" s="13">
        <f t="shared" si="49"/>
        <v>83.25</v>
      </c>
    </row>
    <row r="3146" spans="2:6">
      <c r="B3146" s="13" t="s">
        <v>3022</v>
      </c>
      <c r="C3146" s="13" t="s">
        <v>3024</v>
      </c>
      <c r="D3146" s="13">
        <v>12.96</v>
      </c>
      <c r="E3146" s="13">
        <v>2</v>
      </c>
      <c r="F3146" s="13">
        <f t="shared" si="49"/>
        <v>6.48</v>
      </c>
    </row>
    <row r="3147" spans="2:6">
      <c r="B3147" s="13" t="s">
        <v>1005</v>
      </c>
      <c r="C3147" s="13" t="s">
        <v>1008</v>
      </c>
      <c r="D3147" s="13">
        <v>110.96</v>
      </c>
      <c r="E3147" s="13">
        <v>2</v>
      </c>
      <c r="F3147" s="13">
        <f t="shared" si="49"/>
        <v>55.48</v>
      </c>
    </row>
    <row r="3148" spans="2:6">
      <c r="B3148" s="13" t="s">
        <v>2505</v>
      </c>
      <c r="C3148" s="13" t="s">
        <v>2508</v>
      </c>
      <c r="D3148" s="13">
        <v>99.98</v>
      </c>
      <c r="E3148" s="13">
        <v>2</v>
      </c>
      <c r="F3148" s="13">
        <f t="shared" si="49"/>
        <v>49.99</v>
      </c>
    </row>
    <row r="3149" spans="2:6">
      <c r="B3149" s="13" t="s">
        <v>3023</v>
      </c>
      <c r="C3149" s="13" t="s">
        <v>3025</v>
      </c>
      <c r="D3149" s="13">
        <v>11.423999999999999</v>
      </c>
      <c r="E3149" s="13">
        <v>1</v>
      </c>
      <c r="F3149" s="13">
        <f t="shared" si="49"/>
        <v>11.423999999999999</v>
      </c>
    </row>
    <row r="3150" spans="2:6">
      <c r="B3150" s="13" t="s">
        <v>1480</v>
      </c>
      <c r="C3150" s="13" t="s">
        <v>1486</v>
      </c>
      <c r="D3150" s="13">
        <v>128.12400000000002</v>
      </c>
      <c r="E3150" s="13">
        <v>2</v>
      </c>
      <c r="F3150" s="13">
        <f t="shared" si="49"/>
        <v>64.062000000000012</v>
      </c>
    </row>
    <row r="3151" spans="2:6">
      <c r="B3151" s="13" t="s">
        <v>2371</v>
      </c>
      <c r="C3151" s="13" t="s">
        <v>2373</v>
      </c>
      <c r="D3151" s="13">
        <v>101.4</v>
      </c>
      <c r="E3151" s="13">
        <v>5</v>
      </c>
      <c r="F3151" s="13">
        <f t="shared" si="49"/>
        <v>20.28</v>
      </c>
    </row>
    <row r="3152" spans="2:6">
      <c r="B3152" s="13" t="s">
        <v>55</v>
      </c>
      <c r="C3152" s="13" t="s">
        <v>58</v>
      </c>
      <c r="D3152" s="13">
        <v>18.16</v>
      </c>
      <c r="E3152" s="13">
        <v>2</v>
      </c>
      <c r="F3152" s="13">
        <f t="shared" si="49"/>
        <v>9.08</v>
      </c>
    </row>
    <row r="3153" spans="2:6">
      <c r="B3153" s="13" t="s">
        <v>1841</v>
      </c>
      <c r="C3153" s="13" t="s">
        <v>1843</v>
      </c>
      <c r="D3153" s="13">
        <v>673.34399999999994</v>
      </c>
      <c r="E3153" s="13">
        <v>3</v>
      </c>
      <c r="F3153" s="13">
        <f t="shared" si="49"/>
        <v>224.44799999999998</v>
      </c>
    </row>
    <row r="3154" spans="2:6">
      <c r="B3154" s="13" t="s">
        <v>2659</v>
      </c>
      <c r="C3154" s="13" t="s">
        <v>2664</v>
      </c>
      <c r="D3154" s="13">
        <v>6.5400000000000009</v>
      </c>
      <c r="E3154" s="13">
        <v>3</v>
      </c>
      <c r="F3154" s="13">
        <f t="shared" si="49"/>
        <v>2.1800000000000002</v>
      </c>
    </row>
    <row r="3155" spans="2:6">
      <c r="B3155" s="13" t="s">
        <v>1558</v>
      </c>
      <c r="C3155" s="13" t="s">
        <v>1562</v>
      </c>
      <c r="D3155" s="13">
        <v>2022.2720000000002</v>
      </c>
      <c r="E3155" s="13">
        <v>8</v>
      </c>
      <c r="F3155" s="13">
        <f t="shared" si="49"/>
        <v>252.78400000000002</v>
      </c>
    </row>
    <row r="3156" spans="2:6">
      <c r="B3156" s="13" t="s">
        <v>2611</v>
      </c>
      <c r="C3156" s="13" t="s">
        <v>2613</v>
      </c>
      <c r="D3156" s="13">
        <v>9.120000000000001</v>
      </c>
      <c r="E3156" s="13">
        <v>3</v>
      </c>
      <c r="F3156" s="13">
        <f t="shared" si="49"/>
        <v>3.0400000000000005</v>
      </c>
    </row>
    <row r="3157" spans="2:6">
      <c r="B3157" s="13" t="s">
        <v>1926</v>
      </c>
      <c r="C3157" s="13" t="s">
        <v>1929</v>
      </c>
      <c r="D3157" s="13">
        <v>38.160000000000004</v>
      </c>
      <c r="E3157" s="13">
        <v>9</v>
      </c>
      <c r="F3157" s="13">
        <f t="shared" si="49"/>
        <v>4.24</v>
      </c>
    </row>
    <row r="3158" spans="2:6">
      <c r="B3158" s="13" t="s">
        <v>151</v>
      </c>
      <c r="C3158" s="13" t="s">
        <v>157</v>
      </c>
      <c r="D3158" s="13">
        <v>4.41</v>
      </c>
      <c r="E3158" s="13">
        <v>1</v>
      </c>
      <c r="F3158" s="13">
        <f t="shared" si="49"/>
        <v>4.41</v>
      </c>
    </row>
    <row r="3159" spans="2:6">
      <c r="B3159" s="13" t="s">
        <v>3026</v>
      </c>
      <c r="C3159" s="13" t="s">
        <v>46</v>
      </c>
      <c r="D3159" s="13">
        <v>167.94</v>
      </c>
      <c r="E3159" s="13">
        <v>3</v>
      </c>
      <c r="F3159" s="13">
        <f t="shared" si="49"/>
        <v>55.98</v>
      </c>
    </row>
    <row r="3160" spans="2:6">
      <c r="B3160" s="13" t="s">
        <v>1491</v>
      </c>
      <c r="C3160" s="13" t="s">
        <v>1495</v>
      </c>
      <c r="D3160" s="13">
        <v>67.8</v>
      </c>
      <c r="E3160" s="13">
        <v>10</v>
      </c>
      <c r="F3160" s="13">
        <f t="shared" si="49"/>
        <v>6.7799999999999994</v>
      </c>
    </row>
    <row r="3161" spans="2:6">
      <c r="B3161" s="13" t="s">
        <v>1594</v>
      </c>
      <c r="C3161" s="13" t="s">
        <v>1600</v>
      </c>
      <c r="D3161" s="13">
        <v>204.66639999999998</v>
      </c>
      <c r="E3161" s="13">
        <v>1</v>
      </c>
      <c r="F3161" s="13">
        <f t="shared" si="49"/>
        <v>204.66639999999998</v>
      </c>
    </row>
    <row r="3162" spans="2:6">
      <c r="B3162" s="13" t="s">
        <v>3027</v>
      </c>
      <c r="C3162" s="13" t="s">
        <v>3028</v>
      </c>
      <c r="D3162" s="13">
        <v>81.08</v>
      </c>
      <c r="E3162" s="13">
        <v>4</v>
      </c>
      <c r="F3162" s="13">
        <f t="shared" si="49"/>
        <v>20.27</v>
      </c>
    </row>
    <row r="3163" spans="2:6">
      <c r="B3163" s="13" t="s">
        <v>1261</v>
      </c>
      <c r="C3163" s="13" t="s">
        <v>1267</v>
      </c>
      <c r="D3163" s="13">
        <v>83.920000000000016</v>
      </c>
      <c r="E3163" s="13">
        <v>5</v>
      </c>
      <c r="F3163" s="13">
        <f t="shared" si="49"/>
        <v>16.784000000000002</v>
      </c>
    </row>
    <row r="3164" spans="2:6">
      <c r="B3164" s="13" t="s">
        <v>2826</v>
      </c>
      <c r="C3164" s="13" t="s">
        <v>2829</v>
      </c>
      <c r="D3164" s="13">
        <v>199.89999999999998</v>
      </c>
      <c r="E3164" s="13">
        <v>5</v>
      </c>
      <c r="F3164" s="13">
        <f t="shared" si="49"/>
        <v>39.979999999999997</v>
      </c>
    </row>
    <row r="3165" spans="2:6">
      <c r="B3165" s="13" t="s">
        <v>1723</v>
      </c>
      <c r="C3165" s="13" t="s">
        <v>1725</v>
      </c>
      <c r="D3165" s="13">
        <v>31.176000000000002</v>
      </c>
      <c r="E3165" s="13">
        <v>3</v>
      </c>
      <c r="F3165" s="13">
        <f t="shared" si="49"/>
        <v>10.392000000000001</v>
      </c>
    </row>
    <row r="3166" spans="2:6">
      <c r="B3166" s="13" t="s">
        <v>233</v>
      </c>
      <c r="C3166" s="13" t="s">
        <v>238</v>
      </c>
      <c r="D3166" s="13">
        <v>172.75200000000001</v>
      </c>
      <c r="E3166" s="13">
        <v>6</v>
      </c>
      <c r="F3166" s="13">
        <f t="shared" si="49"/>
        <v>28.792000000000002</v>
      </c>
    </row>
    <row r="3167" spans="2:6">
      <c r="B3167" s="13" t="s">
        <v>708</v>
      </c>
      <c r="C3167" s="13" t="s">
        <v>712</v>
      </c>
      <c r="D3167" s="13">
        <v>9.2959999999999994</v>
      </c>
      <c r="E3167" s="13">
        <v>2</v>
      </c>
      <c r="F3167" s="13">
        <f t="shared" si="49"/>
        <v>4.6479999999999997</v>
      </c>
    </row>
    <row r="3168" spans="2:6">
      <c r="B3168" s="13" t="s">
        <v>637</v>
      </c>
      <c r="C3168" s="13" t="s">
        <v>641</v>
      </c>
      <c r="D3168" s="13">
        <v>12.768000000000001</v>
      </c>
      <c r="E3168" s="13">
        <v>2</v>
      </c>
      <c r="F3168" s="13">
        <f t="shared" si="49"/>
        <v>6.3840000000000003</v>
      </c>
    </row>
    <row r="3169" spans="2:6">
      <c r="B3169" s="13" t="s">
        <v>1532</v>
      </c>
      <c r="C3169" s="13" t="s">
        <v>46</v>
      </c>
      <c r="D3169" s="13">
        <v>52.76</v>
      </c>
      <c r="E3169" s="13">
        <v>2</v>
      </c>
      <c r="F3169" s="13">
        <f t="shared" si="49"/>
        <v>26.38</v>
      </c>
    </row>
    <row r="3170" spans="2:6">
      <c r="B3170" s="13" t="s">
        <v>1770</v>
      </c>
      <c r="C3170" s="13" t="s">
        <v>1772</v>
      </c>
      <c r="D3170" s="13">
        <v>55.616</v>
      </c>
      <c r="E3170" s="13">
        <v>2</v>
      </c>
      <c r="F3170" s="13">
        <f t="shared" si="49"/>
        <v>27.808</v>
      </c>
    </row>
    <row r="3171" spans="2:6">
      <c r="B3171" s="13" t="s">
        <v>2264</v>
      </c>
      <c r="C3171" s="13" t="s">
        <v>2267</v>
      </c>
      <c r="D3171" s="13">
        <v>8.8559999999999999</v>
      </c>
      <c r="E3171" s="13">
        <v>3</v>
      </c>
      <c r="F3171" s="13">
        <f t="shared" si="49"/>
        <v>2.952</v>
      </c>
    </row>
    <row r="3172" spans="2:6">
      <c r="B3172" s="13" t="s">
        <v>711</v>
      </c>
      <c r="C3172" s="13" t="s">
        <v>715</v>
      </c>
      <c r="D3172" s="13">
        <v>16.899999999999999</v>
      </c>
      <c r="E3172" s="13">
        <v>5</v>
      </c>
      <c r="F3172" s="13">
        <f t="shared" si="49"/>
        <v>3.38</v>
      </c>
    </row>
    <row r="3173" spans="2:6">
      <c r="B3173" s="13" t="s">
        <v>207</v>
      </c>
      <c r="C3173" s="13" t="s">
        <v>220</v>
      </c>
      <c r="D3173" s="13">
        <v>39.96</v>
      </c>
      <c r="E3173" s="13">
        <v>2</v>
      </c>
      <c r="F3173" s="13">
        <f t="shared" si="49"/>
        <v>19.98</v>
      </c>
    </row>
    <row r="3174" spans="2:6">
      <c r="B3174" s="13" t="s">
        <v>85</v>
      </c>
      <c r="C3174" s="13" t="s">
        <v>88</v>
      </c>
      <c r="D3174" s="13">
        <v>79.959999999999994</v>
      </c>
      <c r="E3174" s="13">
        <v>4</v>
      </c>
      <c r="F3174" s="13">
        <f t="shared" si="49"/>
        <v>19.989999999999998</v>
      </c>
    </row>
    <row r="3175" spans="2:6">
      <c r="B3175" s="13" t="s">
        <v>685</v>
      </c>
      <c r="C3175" s="13" t="s">
        <v>686</v>
      </c>
      <c r="D3175" s="13">
        <v>1079.8499999999999</v>
      </c>
      <c r="E3175" s="13">
        <v>3</v>
      </c>
      <c r="F3175" s="13">
        <f t="shared" si="49"/>
        <v>359.95</v>
      </c>
    </row>
    <row r="3176" spans="2:6">
      <c r="B3176" s="13" t="s">
        <v>1776</v>
      </c>
      <c r="C3176" s="13" t="s">
        <v>1780</v>
      </c>
      <c r="D3176" s="13">
        <v>70.98</v>
      </c>
      <c r="E3176" s="13">
        <v>1</v>
      </c>
      <c r="F3176" s="13">
        <f t="shared" si="49"/>
        <v>70.98</v>
      </c>
    </row>
    <row r="3177" spans="2:6">
      <c r="B3177" s="13" t="s">
        <v>581</v>
      </c>
      <c r="C3177" s="13" t="s">
        <v>583</v>
      </c>
      <c r="D3177" s="13">
        <v>29.950000000000003</v>
      </c>
      <c r="E3177" s="13">
        <v>5</v>
      </c>
      <c r="F3177" s="13">
        <f t="shared" si="49"/>
        <v>5.99</v>
      </c>
    </row>
    <row r="3178" spans="2:6">
      <c r="B3178" s="13" t="s">
        <v>2056</v>
      </c>
      <c r="C3178" s="13" t="s">
        <v>2057</v>
      </c>
      <c r="D3178" s="13">
        <v>589.41</v>
      </c>
      <c r="E3178" s="13">
        <v>5</v>
      </c>
      <c r="F3178" s="13">
        <f t="shared" si="49"/>
        <v>117.88199999999999</v>
      </c>
    </row>
    <row r="3179" spans="2:6">
      <c r="B3179" s="13" t="s">
        <v>2197</v>
      </c>
      <c r="C3179" s="13" t="s">
        <v>3029</v>
      </c>
      <c r="D3179" s="13">
        <v>400.78400000000005</v>
      </c>
      <c r="E3179" s="13">
        <v>1</v>
      </c>
      <c r="F3179" s="13">
        <f t="shared" si="49"/>
        <v>400.78400000000005</v>
      </c>
    </row>
    <row r="3180" spans="2:6">
      <c r="B3180" s="13" t="s">
        <v>827</v>
      </c>
      <c r="C3180" s="13" t="s">
        <v>828</v>
      </c>
      <c r="D3180" s="13">
        <v>53.72</v>
      </c>
      <c r="E3180" s="13">
        <v>4</v>
      </c>
      <c r="F3180" s="13">
        <f t="shared" si="49"/>
        <v>13.43</v>
      </c>
    </row>
    <row r="3181" spans="2:6">
      <c r="B3181" s="13" t="s">
        <v>2137</v>
      </c>
      <c r="C3181" s="13" t="s">
        <v>2138</v>
      </c>
      <c r="D3181" s="13">
        <v>195.136</v>
      </c>
      <c r="E3181" s="13">
        <v>4</v>
      </c>
      <c r="F3181" s="13">
        <f t="shared" si="49"/>
        <v>48.783999999999999</v>
      </c>
    </row>
    <row r="3182" spans="2:6">
      <c r="B3182" s="13" t="s">
        <v>2537</v>
      </c>
      <c r="C3182" s="13" t="s">
        <v>2542</v>
      </c>
      <c r="D3182" s="13">
        <v>121.536</v>
      </c>
      <c r="E3182" s="13">
        <v>4</v>
      </c>
      <c r="F3182" s="13">
        <f t="shared" si="49"/>
        <v>30.384</v>
      </c>
    </row>
    <row r="3183" spans="2:6">
      <c r="B3183" s="13" t="s">
        <v>1572</v>
      </c>
      <c r="C3183" s="13" t="s">
        <v>1573</v>
      </c>
      <c r="D3183" s="13">
        <v>8.56</v>
      </c>
      <c r="E3183" s="13">
        <v>2</v>
      </c>
      <c r="F3183" s="13">
        <f t="shared" si="49"/>
        <v>4.28</v>
      </c>
    </row>
    <row r="3184" spans="2:6">
      <c r="B3184" s="13" t="s">
        <v>223</v>
      </c>
      <c r="C3184" s="13" t="s">
        <v>226</v>
      </c>
      <c r="D3184" s="13">
        <v>11.56</v>
      </c>
      <c r="E3184" s="13">
        <v>2</v>
      </c>
      <c r="F3184" s="13">
        <f t="shared" si="49"/>
        <v>5.78</v>
      </c>
    </row>
    <row r="3185" spans="2:6">
      <c r="B3185" s="13" t="s">
        <v>1154</v>
      </c>
      <c r="C3185" s="13" t="s">
        <v>1156</v>
      </c>
      <c r="D3185" s="13">
        <v>25.86</v>
      </c>
      <c r="E3185" s="13">
        <v>3</v>
      </c>
      <c r="F3185" s="13">
        <f t="shared" si="49"/>
        <v>8.6199999999999992</v>
      </c>
    </row>
    <row r="3186" spans="2:6">
      <c r="B3186" s="13" t="s">
        <v>1831</v>
      </c>
      <c r="C3186" s="13" t="s">
        <v>1833</v>
      </c>
      <c r="D3186" s="13">
        <v>276.78400000000005</v>
      </c>
      <c r="E3186" s="13">
        <v>2</v>
      </c>
      <c r="F3186" s="13">
        <f t="shared" si="49"/>
        <v>138.39200000000002</v>
      </c>
    </row>
    <row r="3187" spans="2:6">
      <c r="B3187" s="13" t="s">
        <v>2729</v>
      </c>
      <c r="C3187" s="13" t="s">
        <v>2730</v>
      </c>
      <c r="D3187" s="13">
        <v>110.352</v>
      </c>
      <c r="E3187" s="13">
        <v>3</v>
      </c>
      <c r="F3187" s="13">
        <f t="shared" si="49"/>
        <v>36.783999999999999</v>
      </c>
    </row>
    <row r="3188" spans="2:6">
      <c r="B3188" s="13" t="s">
        <v>2667</v>
      </c>
      <c r="C3188" s="13" t="s">
        <v>2672</v>
      </c>
      <c r="D3188" s="13">
        <v>41.472000000000008</v>
      </c>
      <c r="E3188" s="13">
        <v>8</v>
      </c>
      <c r="F3188" s="13">
        <f t="shared" si="49"/>
        <v>5.1840000000000011</v>
      </c>
    </row>
    <row r="3189" spans="2:6">
      <c r="B3189" s="13" t="s">
        <v>1370</v>
      </c>
      <c r="C3189" s="13" t="s">
        <v>1373</v>
      </c>
      <c r="D3189" s="13">
        <v>70.720000000000013</v>
      </c>
      <c r="E3189" s="13">
        <v>4</v>
      </c>
      <c r="F3189" s="13">
        <f t="shared" si="49"/>
        <v>17.680000000000003</v>
      </c>
    </row>
    <row r="3190" spans="2:6">
      <c r="B3190" s="13" t="s">
        <v>1915</v>
      </c>
      <c r="C3190" s="13" t="s">
        <v>1920</v>
      </c>
      <c r="D3190" s="13">
        <v>194.35200000000003</v>
      </c>
      <c r="E3190" s="13">
        <v>3</v>
      </c>
      <c r="F3190" s="13">
        <f t="shared" si="49"/>
        <v>64.784000000000006</v>
      </c>
    </row>
    <row r="3191" spans="2:6">
      <c r="B3191" s="13" t="s">
        <v>1740</v>
      </c>
      <c r="C3191" s="13" t="s">
        <v>1746</v>
      </c>
      <c r="D3191" s="13">
        <v>21.6</v>
      </c>
      <c r="E3191" s="13">
        <v>6</v>
      </c>
      <c r="F3191" s="13">
        <f t="shared" si="49"/>
        <v>3.6</v>
      </c>
    </row>
    <row r="3192" spans="2:6">
      <c r="B3192" s="13" t="s">
        <v>2992</v>
      </c>
      <c r="C3192" s="13" t="s">
        <v>2994</v>
      </c>
      <c r="D3192" s="13">
        <v>11.07</v>
      </c>
      <c r="E3192" s="13">
        <v>3</v>
      </c>
      <c r="F3192" s="13">
        <f t="shared" si="49"/>
        <v>3.69</v>
      </c>
    </row>
    <row r="3193" spans="2:6">
      <c r="B3193" s="13" t="s">
        <v>3030</v>
      </c>
      <c r="C3193" s="13" t="s">
        <v>90</v>
      </c>
      <c r="D3193" s="13">
        <v>11.68</v>
      </c>
      <c r="E3193" s="13">
        <v>4</v>
      </c>
      <c r="F3193" s="13">
        <f t="shared" si="49"/>
        <v>2.92</v>
      </c>
    </row>
    <row r="3194" spans="2:6">
      <c r="B3194" s="13" t="s">
        <v>3031</v>
      </c>
      <c r="C3194" s="13" t="s">
        <v>3032</v>
      </c>
      <c r="D3194" s="13">
        <v>899.98199999999997</v>
      </c>
      <c r="E3194" s="13">
        <v>3</v>
      </c>
      <c r="F3194" s="13">
        <f t="shared" si="49"/>
        <v>299.99399999999997</v>
      </c>
    </row>
    <row r="3195" spans="2:6">
      <c r="B3195" s="13" t="s">
        <v>2507</v>
      </c>
      <c r="C3195" s="13" t="s">
        <v>2510</v>
      </c>
      <c r="D3195" s="13">
        <v>86.352000000000004</v>
      </c>
      <c r="E3195" s="13">
        <v>3</v>
      </c>
      <c r="F3195" s="13">
        <f t="shared" si="49"/>
        <v>28.784000000000002</v>
      </c>
    </row>
    <row r="3196" spans="2:6">
      <c r="B3196" s="13" t="s">
        <v>2950</v>
      </c>
      <c r="C3196" s="13" t="s">
        <v>2952</v>
      </c>
      <c r="D3196" s="13">
        <v>139.96000000000004</v>
      </c>
      <c r="E3196" s="13">
        <v>5</v>
      </c>
      <c r="F3196" s="13">
        <f t="shared" si="49"/>
        <v>27.992000000000008</v>
      </c>
    </row>
    <row r="3197" spans="2:6">
      <c r="B3197" s="13" t="s">
        <v>3033</v>
      </c>
      <c r="C3197" s="13" t="s">
        <v>3035</v>
      </c>
      <c r="D3197" s="13">
        <v>21.391999999999992</v>
      </c>
      <c r="E3197" s="13">
        <v>2</v>
      </c>
      <c r="F3197" s="13">
        <f t="shared" si="49"/>
        <v>10.695999999999996</v>
      </c>
    </row>
    <row r="3198" spans="2:6">
      <c r="B3198" s="13" t="s">
        <v>2763</v>
      </c>
      <c r="C3198" s="13" t="s">
        <v>2768</v>
      </c>
      <c r="D3198" s="13">
        <v>307.31400000000002</v>
      </c>
      <c r="E3198" s="13">
        <v>3</v>
      </c>
      <c r="F3198" s="13">
        <f t="shared" si="49"/>
        <v>102.438</v>
      </c>
    </row>
    <row r="3199" spans="2:6">
      <c r="B3199" s="13" t="s">
        <v>2027</v>
      </c>
      <c r="C3199" s="13" t="s">
        <v>2034</v>
      </c>
      <c r="D3199" s="13">
        <v>409.99919999999997</v>
      </c>
      <c r="E3199" s="13">
        <v>3</v>
      </c>
      <c r="F3199" s="13">
        <f t="shared" si="49"/>
        <v>136.66639999999998</v>
      </c>
    </row>
    <row r="3200" spans="2:6">
      <c r="B3200" s="13" t="s">
        <v>3034</v>
      </c>
      <c r="C3200" s="13" t="s">
        <v>3036</v>
      </c>
      <c r="D3200" s="13">
        <v>9.2480000000000011</v>
      </c>
      <c r="E3200" s="13">
        <v>2</v>
      </c>
      <c r="F3200" s="13">
        <f t="shared" si="49"/>
        <v>4.6240000000000006</v>
      </c>
    </row>
    <row r="3201" spans="2:6">
      <c r="B3201" s="13" t="s">
        <v>1030</v>
      </c>
      <c r="C3201" s="13" t="s">
        <v>1051</v>
      </c>
      <c r="D3201" s="13">
        <v>90.64</v>
      </c>
      <c r="E3201" s="13">
        <v>8</v>
      </c>
      <c r="F3201" s="13">
        <f t="shared" si="49"/>
        <v>11.33</v>
      </c>
    </row>
    <row r="3202" spans="2:6">
      <c r="B3202" s="13" t="s">
        <v>3034</v>
      </c>
      <c r="C3202" s="13" t="s">
        <v>3036</v>
      </c>
      <c r="D3202" s="13">
        <v>11.56</v>
      </c>
      <c r="E3202" s="13">
        <v>2</v>
      </c>
      <c r="F3202" s="13">
        <f t="shared" si="49"/>
        <v>5.78</v>
      </c>
    </row>
    <row r="3203" spans="2:6">
      <c r="B3203" s="13" t="s">
        <v>1955</v>
      </c>
      <c r="C3203" s="13" t="s">
        <v>1957</v>
      </c>
      <c r="D3203" s="13">
        <v>89.544000000000011</v>
      </c>
      <c r="E3203" s="13">
        <v>7</v>
      </c>
      <c r="F3203" s="13">
        <f t="shared" si="49"/>
        <v>12.792000000000002</v>
      </c>
    </row>
    <row r="3204" spans="2:6">
      <c r="B3204" s="13" t="s">
        <v>2488</v>
      </c>
      <c r="C3204" s="13" t="s">
        <v>2490</v>
      </c>
      <c r="D3204" s="13">
        <v>35.167999999999999</v>
      </c>
      <c r="E3204" s="13">
        <v>2</v>
      </c>
      <c r="F3204" s="13">
        <f t="shared" ref="F3204:F3267" si="50">D3204/E3204</f>
        <v>17.584</v>
      </c>
    </row>
    <row r="3205" spans="2:6">
      <c r="B3205" s="13" t="s">
        <v>1953</v>
      </c>
      <c r="C3205" s="13" t="s">
        <v>1954</v>
      </c>
      <c r="D3205" s="13">
        <v>72.588000000000008</v>
      </c>
      <c r="E3205" s="13">
        <v>2</v>
      </c>
      <c r="F3205" s="13">
        <f t="shared" si="50"/>
        <v>36.294000000000004</v>
      </c>
    </row>
    <row r="3206" spans="2:6">
      <c r="B3206" s="13" t="s">
        <v>3037</v>
      </c>
      <c r="C3206" s="13" t="s">
        <v>3039</v>
      </c>
      <c r="D3206" s="13">
        <v>95.984000000000009</v>
      </c>
      <c r="E3206" s="13">
        <v>2</v>
      </c>
      <c r="F3206" s="13">
        <f t="shared" si="50"/>
        <v>47.992000000000004</v>
      </c>
    </row>
    <row r="3207" spans="2:6">
      <c r="B3207" s="13" t="s">
        <v>3038</v>
      </c>
      <c r="C3207" s="13" t="s">
        <v>3040</v>
      </c>
      <c r="D3207" s="13">
        <v>4.9380000000000006</v>
      </c>
      <c r="E3207" s="13">
        <v>2</v>
      </c>
      <c r="F3207" s="13">
        <f t="shared" si="50"/>
        <v>2.4690000000000003</v>
      </c>
    </row>
    <row r="3208" spans="2:6">
      <c r="B3208" s="13" t="s">
        <v>1465</v>
      </c>
      <c r="C3208" s="13" t="s">
        <v>1466</v>
      </c>
      <c r="D3208" s="13">
        <v>193.95000000000002</v>
      </c>
      <c r="E3208" s="13">
        <v>3</v>
      </c>
      <c r="F3208" s="13">
        <f t="shared" si="50"/>
        <v>64.650000000000006</v>
      </c>
    </row>
    <row r="3209" spans="2:6">
      <c r="B3209" s="13" t="s">
        <v>2826</v>
      </c>
      <c r="C3209" s="13" t="s">
        <v>2829</v>
      </c>
      <c r="D3209" s="13">
        <v>119.94</v>
      </c>
      <c r="E3209" s="13">
        <v>3</v>
      </c>
      <c r="F3209" s="13">
        <f t="shared" si="50"/>
        <v>39.979999999999997</v>
      </c>
    </row>
    <row r="3210" spans="2:6">
      <c r="B3210" s="13" t="s">
        <v>2324</v>
      </c>
      <c r="C3210" s="13" t="s">
        <v>2330</v>
      </c>
      <c r="D3210" s="13">
        <v>12.419999999999998</v>
      </c>
      <c r="E3210" s="13">
        <v>3</v>
      </c>
      <c r="F3210" s="13">
        <f t="shared" si="50"/>
        <v>4.1399999999999997</v>
      </c>
    </row>
    <row r="3211" spans="2:6">
      <c r="B3211" s="13" t="s">
        <v>574</v>
      </c>
      <c r="C3211" s="13" t="s">
        <v>577</v>
      </c>
      <c r="D3211" s="13">
        <v>14.940000000000001</v>
      </c>
      <c r="E3211" s="13">
        <v>3</v>
      </c>
      <c r="F3211" s="13">
        <f t="shared" si="50"/>
        <v>4.9800000000000004</v>
      </c>
    </row>
    <row r="3212" spans="2:6">
      <c r="B3212" s="13" t="s">
        <v>910</v>
      </c>
      <c r="C3212" s="13" t="s">
        <v>913</v>
      </c>
      <c r="D3212" s="13">
        <v>22</v>
      </c>
      <c r="E3212" s="13">
        <v>5</v>
      </c>
      <c r="F3212" s="13">
        <f t="shared" si="50"/>
        <v>4.4000000000000004</v>
      </c>
    </row>
    <row r="3213" spans="2:6">
      <c r="B3213" s="13" t="s">
        <v>2569</v>
      </c>
      <c r="C3213" s="13" t="s">
        <v>2572</v>
      </c>
      <c r="D3213" s="13">
        <v>8.64</v>
      </c>
      <c r="E3213" s="13">
        <v>3</v>
      </c>
      <c r="F3213" s="13">
        <f t="shared" si="50"/>
        <v>2.8800000000000003</v>
      </c>
    </row>
    <row r="3214" spans="2:6">
      <c r="B3214" s="13" t="s">
        <v>636</v>
      </c>
      <c r="C3214" s="13" t="s">
        <v>640</v>
      </c>
      <c r="D3214" s="13">
        <v>38.880000000000003</v>
      </c>
      <c r="E3214" s="13">
        <v>6</v>
      </c>
      <c r="F3214" s="13">
        <f t="shared" si="50"/>
        <v>6.48</v>
      </c>
    </row>
    <row r="3215" spans="2:6">
      <c r="B3215" s="13" t="s">
        <v>1632</v>
      </c>
      <c r="C3215" s="13" t="s">
        <v>1634</v>
      </c>
      <c r="D3215" s="13">
        <v>201.04</v>
      </c>
      <c r="E3215" s="13">
        <v>8</v>
      </c>
      <c r="F3215" s="13">
        <f t="shared" si="50"/>
        <v>25.13</v>
      </c>
    </row>
    <row r="3216" spans="2:6">
      <c r="B3216" s="13" t="s">
        <v>1946</v>
      </c>
      <c r="C3216" s="13" t="s">
        <v>1947</v>
      </c>
      <c r="D3216" s="13">
        <v>12.96</v>
      </c>
      <c r="E3216" s="13">
        <v>2</v>
      </c>
      <c r="F3216" s="13">
        <f t="shared" si="50"/>
        <v>6.48</v>
      </c>
    </row>
    <row r="3217" spans="2:6">
      <c r="B3217" s="13" t="s">
        <v>2846</v>
      </c>
      <c r="C3217" s="13" t="s">
        <v>2849</v>
      </c>
      <c r="D3217" s="13">
        <v>16.59</v>
      </c>
      <c r="E3217" s="13">
        <v>1</v>
      </c>
      <c r="F3217" s="13">
        <f t="shared" si="50"/>
        <v>16.59</v>
      </c>
    </row>
    <row r="3218" spans="2:6">
      <c r="B3218" s="13" t="s">
        <v>3041</v>
      </c>
      <c r="C3218" s="13" t="s">
        <v>3043</v>
      </c>
      <c r="D3218" s="13">
        <v>35.099999999999994</v>
      </c>
      <c r="E3218" s="13">
        <v>6</v>
      </c>
      <c r="F3218" s="13">
        <f t="shared" si="50"/>
        <v>5.8499999999999988</v>
      </c>
    </row>
    <row r="3219" spans="2:6">
      <c r="B3219" s="13" t="s">
        <v>432</v>
      </c>
      <c r="C3219" s="13" t="s">
        <v>438</v>
      </c>
      <c r="D3219" s="13">
        <v>11.645999999999997</v>
      </c>
      <c r="E3219" s="13">
        <v>9</v>
      </c>
      <c r="F3219" s="13">
        <f t="shared" si="50"/>
        <v>1.2939999999999996</v>
      </c>
    </row>
    <row r="3220" spans="2:6">
      <c r="B3220" s="13" t="s">
        <v>1550</v>
      </c>
      <c r="C3220" s="13" t="s">
        <v>1554</v>
      </c>
      <c r="D3220" s="13">
        <v>32.400000000000006</v>
      </c>
      <c r="E3220" s="13">
        <v>5</v>
      </c>
      <c r="F3220" s="13">
        <f t="shared" si="50"/>
        <v>6.4800000000000013</v>
      </c>
    </row>
    <row r="3221" spans="2:6">
      <c r="B3221" s="13" t="s">
        <v>3042</v>
      </c>
      <c r="C3221" s="13" t="s">
        <v>3044</v>
      </c>
      <c r="D3221" s="13">
        <v>503.96</v>
      </c>
      <c r="E3221" s="13">
        <v>4</v>
      </c>
      <c r="F3221" s="13">
        <f t="shared" si="50"/>
        <v>125.99</v>
      </c>
    </row>
    <row r="3222" spans="2:6">
      <c r="B3222" s="13" t="s">
        <v>2296</v>
      </c>
      <c r="C3222" s="13" t="s">
        <v>2298</v>
      </c>
      <c r="D3222" s="13">
        <v>7.04</v>
      </c>
      <c r="E3222" s="13">
        <v>4</v>
      </c>
      <c r="F3222" s="13">
        <f t="shared" si="50"/>
        <v>1.76</v>
      </c>
    </row>
    <row r="3223" spans="2:6">
      <c r="B3223" s="13" t="s">
        <v>3045</v>
      </c>
      <c r="C3223" s="13" t="s">
        <v>3047</v>
      </c>
      <c r="D3223" s="13">
        <v>31.08</v>
      </c>
      <c r="E3223" s="13">
        <v>6</v>
      </c>
      <c r="F3223" s="13">
        <f t="shared" si="50"/>
        <v>5.18</v>
      </c>
    </row>
    <row r="3224" spans="2:6">
      <c r="B3224" s="13" t="s">
        <v>3046</v>
      </c>
      <c r="C3224" s="13" t="s">
        <v>3048</v>
      </c>
      <c r="D3224" s="13">
        <v>7.3</v>
      </c>
      <c r="E3224" s="13">
        <v>2</v>
      </c>
      <c r="F3224" s="13">
        <f t="shared" si="50"/>
        <v>3.65</v>
      </c>
    </row>
    <row r="3225" spans="2:6">
      <c r="B3225" s="13" t="s">
        <v>474</v>
      </c>
      <c r="C3225" s="13" t="s">
        <v>476</v>
      </c>
      <c r="D3225" s="13">
        <v>22.830000000000002</v>
      </c>
      <c r="E3225" s="13">
        <v>3</v>
      </c>
      <c r="F3225" s="13">
        <f t="shared" si="50"/>
        <v>7.61</v>
      </c>
    </row>
    <row r="3226" spans="2:6">
      <c r="B3226" s="13" t="s">
        <v>2802</v>
      </c>
      <c r="C3226" s="13" t="s">
        <v>2803</v>
      </c>
      <c r="D3226" s="13">
        <v>54.32</v>
      </c>
      <c r="E3226" s="13">
        <v>4</v>
      </c>
      <c r="F3226" s="13">
        <f t="shared" si="50"/>
        <v>13.58</v>
      </c>
    </row>
    <row r="3227" spans="2:6">
      <c r="B3227" s="13" t="s">
        <v>1289</v>
      </c>
      <c r="C3227" s="13" t="s">
        <v>1290</v>
      </c>
      <c r="D3227" s="13">
        <v>196.77600000000001</v>
      </c>
      <c r="E3227" s="13">
        <v>3</v>
      </c>
      <c r="F3227" s="13">
        <f t="shared" si="50"/>
        <v>65.591999999999999</v>
      </c>
    </row>
    <row r="3228" spans="2:6">
      <c r="B3228" s="13" t="s">
        <v>3049</v>
      </c>
      <c r="C3228" s="13" t="s">
        <v>3051</v>
      </c>
      <c r="D3228" s="13">
        <v>11.54</v>
      </c>
      <c r="E3228" s="13">
        <v>1</v>
      </c>
      <c r="F3228" s="13">
        <f t="shared" si="50"/>
        <v>11.54</v>
      </c>
    </row>
    <row r="3229" spans="2:6">
      <c r="B3229" s="13" t="s">
        <v>1681</v>
      </c>
      <c r="C3229" s="13" t="s">
        <v>1685</v>
      </c>
      <c r="D3229" s="13">
        <v>849.95</v>
      </c>
      <c r="E3229" s="13">
        <v>5</v>
      </c>
      <c r="F3229" s="13">
        <f t="shared" si="50"/>
        <v>169.99</v>
      </c>
    </row>
    <row r="3230" spans="2:6">
      <c r="B3230" s="13" t="s">
        <v>2724</v>
      </c>
      <c r="C3230" s="13" t="s">
        <v>2726</v>
      </c>
      <c r="D3230" s="13">
        <v>11.01</v>
      </c>
      <c r="E3230" s="13">
        <v>3</v>
      </c>
      <c r="F3230" s="13">
        <f t="shared" si="50"/>
        <v>3.67</v>
      </c>
    </row>
    <row r="3231" spans="2:6">
      <c r="B3231" s="13" t="s">
        <v>3050</v>
      </c>
      <c r="C3231" s="13" t="s">
        <v>3052</v>
      </c>
      <c r="D3231" s="13">
        <v>39.624000000000009</v>
      </c>
      <c r="E3231" s="13">
        <v>3</v>
      </c>
      <c r="F3231" s="13">
        <f t="shared" si="50"/>
        <v>13.208000000000004</v>
      </c>
    </row>
    <row r="3232" spans="2:6">
      <c r="B3232" s="13" t="s">
        <v>1894</v>
      </c>
      <c r="C3232" s="13" t="s">
        <v>1895</v>
      </c>
      <c r="D3232" s="13">
        <v>221.024</v>
      </c>
      <c r="E3232" s="13">
        <v>2</v>
      </c>
      <c r="F3232" s="13">
        <f t="shared" si="50"/>
        <v>110.512</v>
      </c>
    </row>
    <row r="3233" spans="2:6">
      <c r="B3233" s="13" t="s">
        <v>1705</v>
      </c>
      <c r="C3233" s="13" t="s">
        <v>1707</v>
      </c>
      <c r="D3233" s="13">
        <v>89.97</v>
      </c>
      <c r="E3233" s="13">
        <v>3</v>
      </c>
      <c r="F3233" s="13">
        <f t="shared" si="50"/>
        <v>29.99</v>
      </c>
    </row>
    <row r="3234" spans="2:6">
      <c r="B3234" s="13" t="s">
        <v>3053</v>
      </c>
      <c r="C3234" s="13" t="s">
        <v>3054</v>
      </c>
      <c r="D3234" s="13">
        <v>286.85999999999996</v>
      </c>
      <c r="E3234" s="13">
        <v>7</v>
      </c>
      <c r="F3234" s="13">
        <f t="shared" si="50"/>
        <v>40.98</v>
      </c>
    </row>
    <row r="3235" spans="2:6">
      <c r="B3235" s="13" t="s">
        <v>317</v>
      </c>
      <c r="C3235" s="13" t="s">
        <v>322</v>
      </c>
      <c r="D3235" s="13">
        <v>979.95</v>
      </c>
      <c r="E3235" s="13">
        <v>5</v>
      </c>
      <c r="F3235" s="13">
        <f t="shared" si="50"/>
        <v>195.99</v>
      </c>
    </row>
    <row r="3236" spans="2:6">
      <c r="B3236" s="13" t="s">
        <v>608</v>
      </c>
      <c r="C3236" s="13" t="s">
        <v>609</v>
      </c>
      <c r="D3236" s="13">
        <v>4.3600000000000003</v>
      </c>
      <c r="E3236" s="13">
        <v>2</v>
      </c>
      <c r="F3236" s="13">
        <f t="shared" si="50"/>
        <v>2.1800000000000002</v>
      </c>
    </row>
    <row r="3237" spans="2:6">
      <c r="B3237" s="13" t="s">
        <v>844</v>
      </c>
      <c r="C3237" s="13" t="s">
        <v>846</v>
      </c>
      <c r="D3237" s="13">
        <v>34.24</v>
      </c>
      <c r="E3237" s="13">
        <v>8</v>
      </c>
      <c r="F3237" s="13">
        <f t="shared" si="50"/>
        <v>4.28</v>
      </c>
    </row>
    <row r="3238" spans="2:6">
      <c r="B3238" s="13" t="s">
        <v>2879</v>
      </c>
      <c r="C3238" s="13" t="s">
        <v>2880</v>
      </c>
      <c r="D3238" s="13">
        <v>310.12</v>
      </c>
      <c r="E3238" s="13">
        <v>2</v>
      </c>
      <c r="F3238" s="13">
        <f t="shared" si="50"/>
        <v>155.06</v>
      </c>
    </row>
    <row r="3239" spans="2:6">
      <c r="B3239" s="13" t="s">
        <v>2774</v>
      </c>
      <c r="C3239" s="13" t="s">
        <v>2778</v>
      </c>
      <c r="D3239" s="13">
        <v>70.463999999999999</v>
      </c>
      <c r="E3239" s="13">
        <v>6</v>
      </c>
      <c r="F3239" s="13">
        <f t="shared" si="50"/>
        <v>11.744</v>
      </c>
    </row>
    <row r="3240" spans="2:6">
      <c r="B3240" s="13" t="s">
        <v>2525</v>
      </c>
      <c r="C3240" s="13" t="s">
        <v>2527</v>
      </c>
      <c r="D3240" s="13">
        <v>19.68</v>
      </c>
      <c r="E3240" s="13">
        <v>5</v>
      </c>
      <c r="F3240" s="13">
        <f t="shared" si="50"/>
        <v>3.9359999999999999</v>
      </c>
    </row>
    <row r="3241" spans="2:6">
      <c r="B3241" s="13" t="s">
        <v>393</v>
      </c>
      <c r="C3241" s="13" t="s">
        <v>397</v>
      </c>
      <c r="D3241" s="13">
        <v>140.67000000000002</v>
      </c>
      <c r="E3241" s="13">
        <v>3</v>
      </c>
      <c r="F3241" s="13">
        <f t="shared" si="50"/>
        <v>46.890000000000008</v>
      </c>
    </row>
    <row r="3242" spans="2:6">
      <c r="B3242" s="13" t="s">
        <v>3055</v>
      </c>
      <c r="C3242" s="13" t="s">
        <v>3056</v>
      </c>
      <c r="D3242" s="13">
        <v>62.65</v>
      </c>
      <c r="E3242" s="13">
        <v>5</v>
      </c>
      <c r="F3242" s="13">
        <f t="shared" si="50"/>
        <v>12.53</v>
      </c>
    </row>
    <row r="3243" spans="2:6">
      <c r="B3243" s="13" t="s">
        <v>3057</v>
      </c>
      <c r="C3243" s="13" t="s">
        <v>3058</v>
      </c>
      <c r="D3243" s="13">
        <v>268.57600000000002</v>
      </c>
      <c r="E3243" s="13">
        <v>4</v>
      </c>
      <c r="F3243" s="13">
        <f t="shared" si="50"/>
        <v>67.144000000000005</v>
      </c>
    </row>
    <row r="3244" spans="2:6">
      <c r="B3244" s="13" t="s">
        <v>1277</v>
      </c>
      <c r="C3244" s="13" t="s">
        <v>1281</v>
      </c>
      <c r="D3244" s="13">
        <v>364.08000000000004</v>
      </c>
      <c r="E3244" s="13">
        <v>2</v>
      </c>
      <c r="F3244" s="13">
        <f t="shared" si="50"/>
        <v>182.04000000000002</v>
      </c>
    </row>
    <row r="3245" spans="2:6">
      <c r="B3245" s="13" t="s">
        <v>752</v>
      </c>
      <c r="C3245" s="13" t="s">
        <v>755</v>
      </c>
      <c r="D3245" s="13">
        <v>71.088000000000008</v>
      </c>
      <c r="E3245" s="13">
        <v>2</v>
      </c>
      <c r="F3245" s="13">
        <f t="shared" si="50"/>
        <v>35.544000000000004</v>
      </c>
    </row>
    <row r="3246" spans="2:6">
      <c r="B3246" s="13" t="s">
        <v>3059</v>
      </c>
      <c r="C3246" s="13" t="s">
        <v>3060</v>
      </c>
      <c r="D3246" s="13">
        <v>8.26</v>
      </c>
      <c r="E3246" s="13">
        <v>2</v>
      </c>
      <c r="F3246" s="13">
        <f t="shared" si="50"/>
        <v>4.13</v>
      </c>
    </row>
    <row r="3247" spans="2:6">
      <c r="B3247" s="13" t="s">
        <v>125</v>
      </c>
      <c r="C3247" s="13" t="s">
        <v>131</v>
      </c>
      <c r="D3247" s="13">
        <v>17.760000000000002</v>
      </c>
      <c r="E3247" s="13">
        <v>2</v>
      </c>
      <c r="F3247" s="13">
        <f t="shared" si="50"/>
        <v>8.8800000000000008</v>
      </c>
    </row>
    <row r="3248" spans="2:6">
      <c r="B3248" s="13" t="s">
        <v>1680</v>
      </c>
      <c r="C3248" s="13" t="s">
        <v>1684</v>
      </c>
      <c r="D3248" s="13">
        <v>332.94</v>
      </c>
      <c r="E3248" s="13">
        <v>3</v>
      </c>
      <c r="F3248" s="13">
        <f t="shared" si="50"/>
        <v>110.98</v>
      </c>
    </row>
    <row r="3249" spans="2:6">
      <c r="B3249" s="13" t="s">
        <v>163</v>
      </c>
      <c r="C3249" s="13" t="s">
        <v>164</v>
      </c>
      <c r="D3249" s="13">
        <v>292.10000000000002</v>
      </c>
      <c r="E3249" s="13">
        <v>2</v>
      </c>
      <c r="F3249" s="13">
        <f t="shared" si="50"/>
        <v>146.05000000000001</v>
      </c>
    </row>
    <row r="3250" spans="2:6">
      <c r="B3250" s="13" t="s">
        <v>2530</v>
      </c>
      <c r="C3250" s="13" t="s">
        <v>2533</v>
      </c>
      <c r="D3250" s="13">
        <v>206.1</v>
      </c>
      <c r="E3250" s="13">
        <v>5</v>
      </c>
      <c r="F3250" s="13">
        <f t="shared" si="50"/>
        <v>41.22</v>
      </c>
    </row>
    <row r="3251" spans="2:6">
      <c r="B3251" s="13" t="s">
        <v>151</v>
      </c>
      <c r="C3251" s="13" t="s">
        <v>157</v>
      </c>
      <c r="D3251" s="13">
        <v>17.64</v>
      </c>
      <c r="E3251" s="13">
        <v>4</v>
      </c>
      <c r="F3251" s="13">
        <f t="shared" si="50"/>
        <v>4.41</v>
      </c>
    </row>
    <row r="3252" spans="2:6">
      <c r="B3252" s="13" t="s">
        <v>1996</v>
      </c>
      <c r="C3252" s="13" t="s">
        <v>2001</v>
      </c>
      <c r="D3252" s="13">
        <v>4.3</v>
      </c>
      <c r="E3252" s="13">
        <v>2</v>
      </c>
      <c r="F3252" s="13">
        <f t="shared" si="50"/>
        <v>2.15</v>
      </c>
    </row>
    <row r="3253" spans="2:6">
      <c r="B3253" s="13" t="s">
        <v>2525</v>
      </c>
      <c r="C3253" s="13" t="s">
        <v>2527</v>
      </c>
      <c r="D3253" s="13">
        <v>9.84</v>
      </c>
      <c r="E3253" s="13">
        <v>2</v>
      </c>
      <c r="F3253" s="13">
        <f t="shared" si="50"/>
        <v>4.92</v>
      </c>
    </row>
    <row r="3254" spans="2:6">
      <c r="B3254" s="13" t="s">
        <v>373</v>
      </c>
      <c r="C3254" s="13" t="s">
        <v>383</v>
      </c>
      <c r="D3254" s="13">
        <v>7.78</v>
      </c>
      <c r="E3254" s="13">
        <v>1</v>
      </c>
      <c r="F3254" s="13">
        <f t="shared" si="50"/>
        <v>7.78</v>
      </c>
    </row>
    <row r="3255" spans="2:6">
      <c r="B3255" s="13" t="s">
        <v>1294</v>
      </c>
      <c r="C3255" s="13" t="s">
        <v>1296</v>
      </c>
      <c r="D3255" s="13">
        <v>54.900000000000006</v>
      </c>
      <c r="E3255" s="13">
        <v>5</v>
      </c>
      <c r="F3255" s="13">
        <f t="shared" si="50"/>
        <v>10.98</v>
      </c>
    </row>
    <row r="3256" spans="2:6">
      <c r="B3256" s="13" t="s">
        <v>1679</v>
      </c>
      <c r="C3256" s="13" t="s">
        <v>1683</v>
      </c>
      <c r="D3256" s="13">
        <v>50.04</v>
      </c>
      <c r="E3256" s="13">
        <v>6</v>
      </c>
      <c r="F3256" s="13">
        <f t="shared" si="50"/>
        <v>8.34</v>
      </c>
    </row>
    <row r="3257" spans="2:6">
      <c r="B3257" s="13" t="s">
        <v>1594</v>
      </c>
      <c r="C3257" s="13" t="s">
        <v>1600</v>
      </c>
      <c r="D3257" s="13">
        <v>1023.3319999999999</v>
      </c>
      <c r="E3257" s="13">
        <v>5</v>
      </c>
      <c r="F3257" s="13">
        <f t="shared" si="50"/>
        <v>204.66639999999998</v>
      </c>
    </row>
    <row r="3258" spans="2:6">
      <c r="B3258" s="13" t="s">
        <v>2933</v>
      </c>
      <c r="C3258" s="13" t="s">
        <v>2934</v>
      </c>
      <c r="D3258" s="13">
        <v>600.55799999999999</v>
      </c>
      <c r="E3258" s="13">
        <v>3</v>
      </c>
      <c r="F3258" s="13">
        <f t="shared" si="50"/>
        <v>200.18600000000001</v>
      </c>
    </row>
    <row r="3259" spans="2:6">
      <c r="B3259" s="13" t="s">
        <v>3061</v>
      </c>
      <c r="C3259" s="13" t="s">
        <v>3062</v>
      </c>
      <c r="D3259" s="13">
        <v>39.992000000000004</v>
      </c>
      <c r="E3259" s="13">
        <v>1</v>
      </c>
      <c r="F3259" s="13">
        <f t="shared" si="50"/>
        <v>39.992000000000004</v>
      </c>
    </row>
    <row r="3260" spans="2:6">
      <c r="B3260" s="13" t="s">
        <v>2917</v>
      </c>
      <c r="C3260" s="13" t="s">
        <v>2920</v>
      </c>
      <c r="D3260" s="13">
        <v>211.24599999999998</v>
      </c>
      <c r="E3260" s="13">
        <v>2</v>
      </c>
      <c r="F3260" s="13">
        <f t="shared" si="50"/>
        <v>105.62299999999999</v>
      </c>
    </row>
    <row r="3261" spans="2:6">
      <c r="B3261" s="13" t="s">
        <v>1038</v>
      </c>
      <c r="C3261" s="13" t="s">
        <v>1059</v>
      </c>
      <c r="D3261" s="13">
        <v>97.3</v>
      </c>
      <c r="E3261" s="13">
        <v>7</v>
      </c>
      <c r="F3261" s="13">
        <f t="shared" si="50"/>
        <v>13.9</v>
      </c>
    </row>
    <row r="3262" spans="2:6">
      <c r="B3262" s="13" t="s">
        <v>1073</v>
      </c>
      <c r="C3262" s="13" t="s">
        <v>1076</v>
      </c>
      <c r="D3262" s="13">
        <v>194.84800000000001</v>
      </c>
      <c r="E3262" s="13">
        <v>4</v>
      </c>
      <c r="F3262" s="13">
        <f t="shared" si="50"/>
        <v>48.712000000000003</v>
      </c>
    </row>
    <row r="3263" spans="2:6">
      <c r="B3263" s="13" t="s">
        <v>867</v>
      </c>
      <c r="C3263" s="13" t="s">
        <v>871</v>
      </c>
      <c r="D3263" s="13">
        <v>2.1119999999999997</v>
      </c>
      <c r="E3263" s="13">
        <v>2</v>
      </c>
      <c r="F3263" s="13">
        <f t="shared" si="50"/>
        <v>1.0559999999999998</v>
      </c>
    </row>
    <row r="3264" spans="2:6">
      <c r="B3264" s="13" t="s">
        <v>1465</v>
      </c>
      <c r="C3264" s="13" t="s">
        <v>1466</v>
      </c>
      <c r="D3264" s="13">
        <v>129.30000000000001</v>
      </c>
      <c r="E3264" s="13">
        <v>2</v>
      </c>
      <c r="F3264" s="13">
        <f t="shared" si="50"/>
        <v>64.650000000000006</v>
      </c>
    </row>
    <row r="3265" spans="2:6">
      <c r="B3265" s="13" t="s">
        <v>1598</v>
      </c>
      <c r="C3265" s="13" t="s">
        <v>1604</v>
      </c>
      <c r="D3265" s="13">
        <v>11.568000000000001</v>
      </c>
      <c r="E3265" s="13">
        <v>3</v>
      </c>
      <c r="F3265" s="13">
        <f t="shared" si="50"/>
        <v>3.8560000000000003</v>
      </c>
    </row>
    <row r="3266" spans="2:6">
      <c r="B3266" s="13" t="s">
        <v>1857</v>
      </c>
      <c r="C3266" s="13" t="s">
        <v>1863</v>
      </c>
      <c r="D3266" s="13">
        <v>242.35200000000003</v>
      </c>
      <c r="E3266" s="13">
        <v>3</v>
      </c>
      <c r="F3266" s="13">
        <f t="shared" si="50"/>
        <v>80.784000000000006</v>
      </c>
    </row>
    <row r="3267" spans="2:6">
      <c r="B3267" s="13" t="s">
        <v>2195</v>
      </c>
      <c r="C3267" s="13" t="s">
        <v>2196</v>
      </c>
      <c r="D3267" s="13">
        <v>895.94400000000019</v>
      </c>
      <c r="E3267" s="13">
        <v>7</v>
      </c>
      <c r="F3267" s="13">
        <f t="shared" si="50"/>
        <v>127.99200000000003</v>
      </c>
    </row>
    <row r="3268" spans="2:6">
      <c r="B3268" s="13" t="s">
        <v>1154</v>
      </c>
      <c r="C3268" s="13" t="s">
        <v>1156</v>
      </c>
      <c r="D3268" s="13">
        <v>43.099999999999994</v>
      </c>
      <c r="E3268" s="13">
        <v>5</v>
      </c>
      <c r="F3268" s="13">
        <f t="shared" ref="F3268:F3314" si="51">D3268/E3268</f>
        <v>8.6199999999999992</v>
      </c>
    </row>
    <row r="3269" spans="2:6">
      <c r="B3269" s="13" t="s">
        <v>2278</v>
      </c>
      <c r="C3269" s="13" t="s">
        <v>2281</v>
      </c>
      <c r="D3269" s="13">
        <v>511.5</v>
      </c>
      <c r="E3269" s="13">
        <v>5</v>
      </c>
      <c r="F3269" s="13">
        <f t="shared" si="51"/>
        <v>102.3</v>
      </c>
    </row>
    <row r="3270" spans="2:6">
      <c r="B3270" s="13" t="s">
        <v>874</v>
      </c>
      <c r="C3270" s="13" t="s">
        <v>878</v>
      </c>
      <c r="D3270" s="13">
        <v>147.91999999999999</v>
      </c>
      <c r="E3270" s="13">
        <v>5</v>
      </c>
      <c r="F3270" s="13">
        <f t="shared" si="51"/>
        <v>29.583999999999996</v>
      </c>
    </row>
    <row r="3271" spans="2:6">
      <c r="B3271" s="13" t="s">
        <v>2343</v>
      </c>
      <c r="C3271" s="13" t="s">
        <v>2345</v>
      </c>
      <c r="D3271" s="13">
        <v>50.32</v>
      </c>
      <c r="E3271" s="13">
        <v>4</v>
      </c>
      <c r="F3271" s="13">
        <f t="shared" si="51"/>
        <v>12.58</v>
      </c>
    </row>
    <row r="3272" spans="2:6">
      <c r="B3272" s="13" t="s">
        <v>1574</v>
      </c>
      <c r="C3272" s="13" t="s">
        <v>1576</v>
      </c>
      <c r="D3272" s="13">
        <v>24.56</v>
      </c>
      <c r="E3272" s="13">
        <v>2</v>
      </c>
      <c r="F3272" s="13">
        <f t="shared" si="51"/>
        <v>12.28</v>
      </c>
    </row>
    <row r="3273" spans="2:6">
      <c r="B3273" s="13" t="s">
        <v>2342</v>
      </c>
      <c r="C3273" s="13" t="s">
        <v>2344</v>
      </c>
      <c r="D3273" s="13">
        <v>67.400000000000006</v>
      </c>
      <c r="E3273" s="13">
        <v>5</v>
      </c>
      <c r="F3273" s="13">
        <f t="shared" si="51"/>
        <v>13.48</v>
      </c>
    </row>
    <row r="3274" spans="2:6">
      <c r="B3274" s="13" t="s">
        <v>2199</v>
      </c>
      <c r="C3274" s="13" t="s">
        <v>2200</v>
      </c>
      <c r="D3274" s="13">
        <v>2.52</v>
      </c>
      <c r="E3274" s="13">
        <v>2</v>
      </c>
      <c r="F3274" s="13">
        <f t="shared" si="51"/>
        <v>1.26</v>
      </c>
    </row>
    <row r="3275" spans="2:6">
      <c r="B3275" s="13" t="s">
        <v>3063</v>
      </c>
      <c r="C3275" s="13" t="s">
        <v>3066</v>
      </c>
      <c r="D3275" s="13">
        <v>67.8</v>
      </c>
      <c r="E3275" s="13">
        <v>4</v>
      </c>
      <c r="F3275" s="13">
        <f t="shared" si="51"/>
        <v>16.95</v>
      </c>
    </row>
    <row r="3276" spans="2:6">
      <c r="B3276" s="13" t="s">
        <v>3064</v>
      </c>
      <c r="C3276" s="13" t="s">
        <v>2681</v>
      </c>
      <c r="D3276" s="13">
        <v>18.760000000000002</v>
      </c>
      <c r="E3276" s="13">
        <v>2</v>
      </c>
      <c r="F3276" s="13">
        <f t="shared" si="51"/>
        <v>9.3800000000000008</v>
      </c>
    </row>
    <row r="3277" spans="2:6">
      <c r="B3277" s="13" t="s">
        <v>3065</v>
      </c>
      <c r="C3277" s="13" t="s">
        <v>3067</v>
      </c>
      <c r="D3277" s="13">
        <v>12.12</v>
      </c>
      <c r="E3277" s="13">
        <v>4</v>
      </c>
      <c r="F3277" s="13">
        <f t="shared" si="51"/>
        <v>3.03</v>
      </c>
    </row>
    <row r="3278" spans="2:6">
      <c r="B3278" s="13" t="s">
        <v>2560</v>
      </c>
      <c r="C3278" s="13" t="s">
        <v>2564</v>
      </c>
      <c r="D3278" s="13">
        <v>11.34</v>
      </c>
      <c r="E3278" s="13">
        <v>1</v>
      </c>
      <c r="F3278" s="13">
        <f t="shared" si="51"/>
        <v>11.34</v>
      </c>
    </row>
    <row r="3279" spans="2:6">
      <c r="B3279" s="13" t="s">
        <v>654</v>
      </c>
      <c r="C3279" s="13" t="s">
        <v>660</v>
      </c>
      <c r="D3279" s="13">
        <v>159.80000000000001</v>
      </c>
      <c r="E3279" s="13">
        <v>4</v>
      </c>
      <c r="F3279" s="13">
        <f t="shared" si="51"/>
        <v>39.950000000000003</v>
      </c>
    </row>
    <row r="3280" spans="2:6">
      <c r="B3280" s="13" t="s">
        <v>989</v>
      </c>
      <c r="C3280" s="13" t="s">
        <v>990</v>
      </c>
      <c r="D3280" s="13">
        <v>18.96</v>
      </c>
      <c r="E3280" s="13">
        <v>2</v>
      </c>
      <c r="F3280" s="13">
        <f t="shared" si="51"/>
        <v>9.48</v>
      </c>
    </row>
    <row r="3281" spans="2:6">
      <c r="B3281" s="13" t="s">
        <v>147</v>
      </c>
      <c r="C3281" s="13" t="s">
        <v>150</v>
      </c>
      <c r="D3281" s="13">
        <v>290.33600000000001</v>
      </c>
      <c r="E3281" s="13">
        <v>2</v>
      </c>
      <c r="F3281" s="13">
        <f t="shared" si="51"/>
        <v>145.16800000000001</v>
      </c>
    </row>
    <row r="3282" spans="2:6">
      <c r="B3282" s="13" t="s">
        <v>595</v>
      </c>
      <c r="C3282" s="13" t="s">
        <v>597</v>
      </c>
      <c r="D3282" s="13">
        <v>19.152000000000001</v>
      </c>
      <c r="E3282" s="13">
        <v>2</v>
      </c>
      <c r="F3282" s="13">
        <f t="shared" si="51"/>
        <v>9.5760000000000005</v>
      </c>
    </row>
    <row r="3283" spans="2:6">
      <c r="B3283" s="13" t="s">
        <v>1310</v>
      </c>
      <c r="C3283" s="13" t="s">
        <v>1316</v>
      </c>
      <c r="D3283" s="13">
        <v>848.5440000000001</v>
      </c>
      <c r="E3283" s="13">
        <v>4</v>
      </c>
      <c r="F3283" s="13">
        <f t="shared" si="51"/>
        <v>212.13600000000002</v>
      </c>
    </row>
    <row r="3284" spans="2:6">
      <c r="B3284" s="13" t="s">
        <v>1478</v>
      </c>
      <c r="C3284" s="13" t="s">
        <v>1484</v>
      </c>
      <c r="D3284" s="13">
        <v>8.7000000000000011</v>
      </c>
      <c r="E3284" s="13">
        <v>5</v>
      </c>
      <c r="F3284" s="13">
        <f t="shared" si="51"/>
        <v>1.7400000000000002</v>
      </c>
    </row>
    <row r="3285" spans="2:6">
      <c r="B3285" s="13" t="s">
        <v>3068</v>
      </c>
      <c r="C3285" s="13" t="s">
        <v>3069</v>
      </c>
      <c r="D3285" s="13">
        <v>122.38199999999999</v>
      </c>
      <c r="E3285" s="13">
        <v>3</v>
      </c>
      <c r="F3285" s="13">
        <f t="shared" si="51"/>
        <v>40.793999999999997</v>
      </c>
    </row>
    <row r="3286" spans="2:6">
      <c r="B3286" s="13" t="s">
        <v>2969</v>
      </c>
      <c r="C3286" s="13" t="s">
        <v>3070</v>
      </c>
      <c r="D3286" s="13">
        <v>9.9600000000000009</v>
      </c>
      <c r="E3286" s="13">
        <v>2</v>
      </c>
      <c r="F3286" s="13">
        <f t="shared" si="51"/>
        <v>4.9800000000000004</v>
      </c>
    </row>
    <row r="3287" spans="2:6">
      <c r="B3287" s="13" t="s">
        <v>3071</v>
      </c>
      <c r="C3287" s="13" t="s">
        <v>3072</v>
      </c>
      <c r="D3287" s="13">
        <v>8.94</v>
      </c>
      <c r="E3287" s="13">
        <v>3</v>
      </c>
      <c r="F3287" s="13">
        <f t="shared" si="51"/>
        <v>2.98</v>
      </c>
    </row>
    <row r="3288" spans="2:6">
      <c r="B3288" s="13" t="s">
        <v>2816</v>
      </c>
      <c r="C3288" s="13" t="s">
        <v>2817</v>
      </c>
      <c r="D3288" s="13">
        <v>237.09600000000003</v>
      </c>
      <c r="E3288" s="13">
        <v>3</v>
      </c>
      <c r="F3288" s="13">
        <f t="shared" si="51"/>
        <v>79.032000000000011</v>
      </c>
    </row>
    <row r="3289" spans="2:6">
      <c r="B3289" s="13" t="s">
        <v>989</v>
      </c>
      <c r="C3289" s="13" t="s">
        <v>990</v>
      </c>
      <c r="D3289" s="13">
        <v>22.752000000000002</v>
      </c>
      <c r="E3289" s="13">
        <v>3</v>
      </c>
      <c r="F3289" s="13">
        <f t="shared" si="51"/>
        <v>7.5840000000000005</v>
      </c>
    </row>
    <row r="3290" spans="2:6">
      <c r="B3290" s="13" t="s">
        <v>3073</v>
      </c>
      <c r="C3290" s="13" t="s">
        <v>3074</v>
      </c>
      <c r="D3290" s="13">
        <v>6.6720000000000006</v>
      </c>
      <c r="E3290" s="13">
        <v>1</v>
      </c>
      <c r="F3290" s="13">
        <f t="shared" si="51"/>
        <v>6.6720000000000006</v>
      </c>
    </row>
    <row r="3291" spans="2:6">
      <c r="B3291" s="13" t="s">
        <v>2667</v>
      </c>
      <c r="C3291" s="13" t="s">
        <v>2672</v>
      </c>
      <c r="D3291" s="13">
        <v>12.96</v>
      </c>
      <c r="E3291" s="13">
        <v>2</v>
      </c>
      <c r="F3291" s="13">
        <f t="shared" si="51"/>
        <v>6.48</v>
      </c>
    </row>
    <row r="3292" spans="2:6">
      <c r="B3292" s="13" t="s">
        <v>2242</v>
      </c>
      <c r="C3292" s="13" t="s">
        <v>2243</v>
      </c>
      <c r="D3292" s="13">
        <v>94.85</v>
      </c>
      <c r="E3292" s="13">
        <v>5</v>
      </c>
      <c r="F3292" s="13">
        <f t="shared" si="51"/>
        <v>18.97</v>
      </c>
    </row>
    <row r="3293" spans="2:6">
      <c r="B3293" s="13" t="s">
        <v>2342</v>
      </c>
      <c r="C3293" s="13" t="s">
        <v>2344</v>
      </c>
      <c r="D3293" s="13">
        <v>13.48</v>
      </c>
      <c r="E3293" s="13">
        <v>1</v>
      </c>
      <c r="F3293" s="13">
        <f t="shared" si="51"/>
        <v>13.48</v>
      </c>
    </row>
    <row r="3294" spans="2:6">
      <c r="B3294" s="13" t="s">
        <v>330</v>
      </c>
      <c r="C3294" s="13" t="s">
        <v>337</v>
      </c>
      <c r="D3294" s="13">
        <v>14.91</v>
      </c>
      <c r="E3294" s="13">
        <v>3</v>
      </c>
      <c r="F3294" s="13">
        <f t="shared" si="51"/>
        <v>4.97</v>
      </c>
    </row>
    <row r="3295" spans="2:6">
      <c r="B3295" s="13" t="s">
        <v>1709</v>
      </c>
      <c r="C3295" s="13" t="s">
        <v>1710</v>
      </c>
      <c r="D3295" s="13">
        <v>191.96800000000002</v>
      </c>
      <c r="E3295" s="13">
        <v>4</v>
      </c>
      <c r="F3295" s="13">
        <f t="shared" si="51"/>
        <v>47.992000000000004</v>
      </c>
    </row>
    <row r="3296" spans="2:6">
      <c r="B3296" s="13" t="s">
        <v>1128</v>
      </c>
      <c r="C3296" s="13" t="s">
        <v>1129</v>
      </c>
      <c r="D3296" s="13">
        <v>102.93</v>
      </c>
      <c r="E3296" s="13">
        <v>3</v>
      </c>
      <c r="F3296" s="13">
        <f t="shared" si="51"/>
        <v>34.31</v>
      </c>
    </row>
    <row r="3297" spans="2:6">
      <c r="B3297" s="13" t="s">
        <v>521</v>
      </c>
      <c r="C3297" s="13" t="s">
        <v>523</v>
      </c>
      <c r="D3297" s="13">
        <v>223.58</v>
      </c>
      <c r="E3297" s="13">
        <v>14</v>
      </c>
      <c r="F3297" s="13">
        <f t="shared" si="51"/>
        <v>15.97</v>
      </c>
    </row>
    <row r="3298" spans="2:6">
      <c r="B3298" s="13" t="s">
        <v>3075</v>
      </c>
      <c r="C3298" s="13" t="s">
        <v>3076</v>
      </c>
      <c r="D3298" s="13">
        <v>1925.88</v>
      </c>
      <c r="E3298" s="13">
        <v>6</v>
      </c>
      <c r="F3298" s="13">
        <f t="shared" si="51"/>
        <v>320.98</v>
      </c>
    </row>
    <row r="3299" spans="2:6">
      <c r="B3299" s="13" t="s">
        <v>1394</v>
      </c>
      <c r="C3299" s="13" t="s">
        <v>1399</v>
      </c>
      <c r="D3299" s="13">
        <v>2405.1999999999998</v>
      </c>
      <c r="E3299" s="13">
        <v>8</v>
      </c>
      <c r="F3299" s="13">
        <f t="shared" si="51"/>
        <v>300.64999999999998</v>
      </c>
    </row>
    <row r="3300" spans="2:6">
      <c r="B3300" s="13" t="s">
        <v>1580</v>
      </c>
      <c r="C3300" s="13" t="s">
        <v>1584</v>
      </c>
      <c r="D3300" s="13">
        <v>83.97</v>
      </c>
      <c r="E3300" s="13">
        <v>3</v>
      </c>
      <c r="F3300" s="13">
        <f t="shared" si="51"/>
        <v>27.99</v>
      </c>
    </row>
    <row r="3301" spans="2:6">
      <c r="B3301" s="13" t="s">
        <v>1716</v>
      </c>
      <c r="C3301" s="13" t="s">
        <v>1718</v>
      </c>
      <c r="D3301" s="13">
        <v>39.89</v>
      </c>
      <c r="E3301" s="13">
        <v>1</v>
      </c>
      <c r="F3301" s="13">
        <f t="shared" si="51"/>
        <v>39.89</v>
      </c>
    </row>
    <row r="3302" spans="2:6">
      <c r="B3302" s="13" t="s">
        <v>875</v>
      </c>
      <c r="C3302" s="13" t="s">
        <v>879</v>
      </c>
      <c r="D3302" s="13">
        <v>17.38</v>
      </c>
      <c r="E3302" s="13">
        <v>2</v>
      </c>
      <c r="F3302" s="13">
        <f t="shared" si="51"/>
        <v>8.69</v>
      </c>
    </row>
    <row r="3303" spans="2:6">
      <c r="B3303" s="13" t="s">
        <v>2800</v>
      </c>
      <c r="C3303" s="13" t="s">
        <v>2801</v>
      </c>
      <c r="D3303" s="13">
        <v>9.3439999999999994</v>
      </c>
      <c r="E3303" s="13">
        <v>2</v>
      </c>
      <c r="F3303" s="13">
        <f t="shared" si="51"/>
        <v>4.6719999999999997</v>
      </c>
    </row>
    <row r="3304" spans="2:6">
      <c r="B3304" s="13" t="s">
        <v>1711</v>
      </c>
      <c r="C3304" s="13" t="s">
        <v>1713</v>
      </c>
      <c r="D3304" s="13">
        <v>18</v>
      </c>
      <c r="E3304" s="13">
        <v>1</v>
      </c>
      <c r="F3304" s="13">
        <f t="shared" si="51"/>
        <v>18</v>
      </c>
    </row>
    <row r="3305" spans="2:6">
      <c r="B3305" s="13" t="s">
        <v>1889</v>
      </c>
      <c r="C3305" s="13" t="s">
        <v>1892</v>
      </c>
      <c r="D3305" s="13">
        <v>40.199999999999996</v>
      </c>
      <c r="E3305" s="13">
        <v>5</v>
      </c>
      <c r="F3305" s="13">
        <f t="shared" si="51"/>
        <v>8.0399999999999991</v>
      </c>
    </row>
    <row r="3306" spans="2:6">
      <c r="B3306" s="13" t="s">
        <v>1589</v>
      </c>
      <c r="C3306" s="13" t="s">
        <v>1590</v>
      </c>
      <c r="D3306" s="13">
        <v>735.98</v>
      </c>
      <c r="E3306" s="13">
        <v>2</v>
      </c>
      <c r="F3306" s="13">
        <f t="shared" si="51"/>
        <v>367.99</v>
      </c>
    </row>
    <row r="3307" spans="2:6">
      <c r="B3307" s="13" t="s">
        <v>2557</v>
      </c>
      <c r="C3307" s="13" t="s">
        <v>2561</v>
      </c>
      <c r="D3307" s="13">
        <v>22.75</v>
      </c>
      <c r="E3307" s="13">
        <v>7</v>
      </c>
      <c r="F3307" s="13">
        <f t="shared" si="51"/>
        <v>3.25</v>
      </c>
    </row>
    <row r="3308" spans="2:6">
      <c r="B3308" s="13" t="s">
        <v>428</v>
      </c>
      <c r="C3308" s="13" t="s">
        <v>429</v>
      </c>
      <c r="D3308" s="13">
        <v>16.520000000000003</v>
      </c>
      <c r="E3308" s="13">
        <v>5</v>
      </c>
      <c r="F3308" s="13">
        <f t="shared" si="51"/>
        <v>3.3040000000000007</v>
      </c>
    </row>
    <row r="3309" spans="2:6">
      <c r="B3309" s="13" t="s">
        <v>1927</v>
      </c>
      <c r="C3309" s="13" t="s">
        <v>1930</v>
      </c>
      <c r="D3309" s="13">
        <v>79.989999999999995</v>
      </c>
      <c r="E3309" s="13">
        <v>1</v>
      </c>
      <c r="F3309" s="13">
        <f t="shared" si="51"/>
        <v>79.989999999999995</v>
      </c>
    </row>
    <row r="3310" spans="2:6">
      <c r="B3310" s="13" t="s">
        <v>2530</v>
      </c>
      <c r="C3310" s="13" t="s">
        <v>2533</v>
      </c>
      <c r="D3310" s="13">
        <v>206.1</v>
      </c>
      <c r="E3310" s="13">
        <v>5</v>
      </c>
      <c r="F3310" s="13">
        <f t="shared" si="51"/>
        <v>41.22</v>
      </c>
    </row>
    <row r="3311" spans="2:6">
      <c r="B3311" s="13" t="s">
        <v>2921</v>
      </c>
      <c r="C3311" s="13" t="s">
        <v>2922</v>
      </c>
      <c r="D3311" s="13">
        <v>91.96</v>
      </c>
      <c r="E3311" s="13">
        <v>2</v>
      </c>
      <c r="F3311" s="13">
        <f t="shared" si="51"/>
        <v>45.98</v>
      </c>
    </row>
    <row r="3312" spans="2:6">
      <c r="B3312" s="13" t="s">
        <v>1132</v>
      </c>
      <c r="C3312" s="13" t="s">
        <v>1134</v>
      </c>
      <c r="D3312" s="13">
        <v>258.57600000000002</v>
      </c>
      <c r="E3312" s="13">
        <v>2</v>
      </c>
      <c r="F3312" s="13">
        <f t="shared" si="51"/>
        <v>129.28800000000001</v>
      </c>
    </row>
    <row r="3313" spans="2:6">
      <c r="B3313" s="13" t="s">
        <v>733</v>
      </c>
      <c r="C3313" s="13" t="s">
        <v>741</v>
      </c>
      <c r="D3313" s="13">
        <v>29.6</v>
      </c>
      <c r="E3313" s="13">
        <v>4</v>
      </c>
      <c r="F3313" s="13">
        <f t="shared" si="51"/>
        <v>7.4</v>
      </c>
    </row>
    <row r="3314" spans="2:6">
      <c r="B3314" s="13" t="s">
        <v>99</v>
      </c>
      <c r="C3314" s="13" t="s">
        <v>100</v>
      </c>
      <c r="D3314" s="13">
        <v>243.16</v>
      </c>
      <c r="E3314" s="13">
        <v>2</v>
      </c>
      <c r="F3314" s="13">
        <f t="shared" si="51"/>
        <v>121.58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316"/>
  <sheetViews>
    <sheetView topLeftCell="C1" workbookViewId="0">
      <selection activeCell="S17" sqref="S17"/>
    </sheetView>
  </sheetViews>
  <sheetFormatPr defaultRowHeight="14.4"/>
  <cols>
    <col min="2" max="2" width="13.44140625" style="13" bestFit="1" customWidth="1"/>
    <col min="3" max="3" width="8.88671875" style="13"/>
    <col min="4" max="4" width="10.33203125" bestFit="1" customWidth="1"/>
    <col min="5" max="5" width="11.109375" bestFit="1" customWidth="1"/>
    <col min="14" max="14" width="8.109375" bestFit="1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15.6">
      <c r="B2" s="14" t="s">
        <v>3113</v>
      </c>
      <c r="C2" s="14" t="s">
        <v>0</v>
      </c>
      <c r="H2" s="15" t="s">
        <v>3134</v>
      </c>
      <c r="I2" s="15" t="s">
        <v>2</v>
      </c>
      <c r="J2" s="15" t="s">
        <v>0</v>
      </c>
    </row>
    <row r="3" spans="1:14">
      <c r="B3" s="13" t="s">
        <v>3114</v>
      </c>
      <c r="C3" s="13">
        <v>15.552000000000003</v>
      </c>
      <c r="H3" t="s">
        <v>3135</v>
      </c>
      <c r="I3" t="s">
        <v>5</v>
      </c>
      <c r="J3">
        <v>15.552000000000003</v>
      </c>
    </row>
    <row r="4" spans="1:14">
      <c r="B4" s="13" t="s">
        <v>3115</v>
      </c>
      <c r="C4" s="13">
        <v>71.371999999999986</v>
      </c>
      <c r="E4" t="s">
        <v>3131</v>
      </c>
      <c r="F4">
        <f>COUNTIF(C2:C3314,"&gt;500")</f>
        <v>357</v>
      </c>
      <c r="H4" t="s">
        <v>3136</v>
      </c>
      <c r="I4" t="s">
        <v>3</v>
      </c>
      <c r="J4">
        <v>71.371999999999986</v>
      </c>
    </row>
    <row r="5" spans="1:14">
      <c r="B5" s="13" t="s">
        <v>3114</v>
      </c>
      <c r="C5" s="13">
        <v>29.472000000000001</v>
      </c>
      <c r="E5" t="s">
        <v>3132</v>
      </c>
      <c r="F5">
        <f>SUMIF(B2:B3314,"Phones",C2:C3314)</f>
        <v>105340.516</v>
      </c>
      <c r="H5" t="s">
        <v>3137</v>
      </c>
      <c r="I5" t="s">
        <v>5</v>
      </c>
      <c r="J5">
        <v>29.472000000000001</v>
      </c>
      <c r="M5" t="s">
        <v>3139</v>
      </c>
      <c r="N5">
        <f>COUNTIFS(I3:I3314,I3289,H3:H3314,H3296)</f>
        <v>197</v>
      </c>
    </row>
    <row r="6" spans="1:14">
      <c r="B6" s="13" t="s">
        <v>3116</v>
      </c>
      <c r="C6" s="13">
        <v>147.16800000000001</v>
      </c>
      <c r="E6" t="s">
        <v>3133</v>
      </c>
      <c r="F6">
        <f>AVERAGEIF(B2:B3314,"Paper",C2:C3314)</f>
        <v>60.337076252723222</v>
      </c>
      <c r="H6" t="s">
        <v>3137</v>
      </c>
      <c r="I6" t="s">
        <v>4</v>
      </c>
      <c r="J6">
        <v>147.16800000000001</v>
      </c>
      <c r="M6" t="s">
        <v>3140</v>
      </c>
      <c r="N6">
        <f>SUMIFS(J3:J3314,I3:I3314,I6,H3:H3314,H3295)</f>
        <v>43805.313000000009</v>
      </c>
    </row>
    <row r="7" spans="1:14">
      <c r="B7" s="13" t="s">
        <v>3117</v>
      </c>
      <c r="C7" s="13">
        <v>95.616</v>
      </c>
      <c r="H7" t="s">
        <v>3135</v>
      </c>
      <c r="I7" t="s">
        <v>5</v>
      </c>
      <c r="J7">
        <v>95.616</v>
      </c>
    </row>
    <row r="8" spans="1:14">
      <c r="B8" s="13" t="s">
        <v>3114</v>
      </c>
      <c r="C8" s="13">
        <v>19.049999999999997</v>
      </c>
      <c r="H8" t="s">
        <v>3137</v>
      </c>
      <c r="I8" t="s">
        <v>5</v>
      </c>
      <c r="J8">
        <v>19.049999999999997</v>
      </c>
    </row>
    <row r="9" spans="1:14">
      <c r="B9" s="13" t="s">
        <v>3118</v>
      </c>
      <c r="C9" s="13">
        <v>1.2479999999999998</v>
      </c>
      <c r="H9" t="s">
        <v>3137</v>
      </c>
      <c r="I9" t="s">
        <v>5</v>
      </c>
      <c r="J9">
        <v>1.2479999999999998</v>
      </c>
    </row>
    <row r="10" spans="1:14">
      <c r="B10" s="13" t="s">
        <v>3119</v>
      </c>
      <c r="C10" s="13">
        <v>9.7080000000000002</v>
      </c>
      <c r="H10" t="s">
        <v>3137</v>
      </c>
      <c r="I10" t="s">
        <v>3</v>
      </c>
      <c r="J10">
        <v>9.7080000000000002</v>
      </c>
      <c r="M10" s="6" t="s">
        <v>3151</v>
      </c>
    </row>
    <row r="11" spans="1:14">
      <c r="B11" s="13" t="s">
        <v>3117</v>
      </c>
      <c r="C11" s="13">
        <v>27.240000000000002</v>
      </c>
      <c r="H11" t="s">
        <v>3137</v>
      </c>
      <c r="I11" t="s">
        <v>5</v>
      </c>
      <c r="J11">
        <v>27.240000000000002</v>
      </c>
      <c r="M11" s="8"/>
    </row>
    <row r="12" spans="1:14">
      <c r="B12" s="13" t="s">
        <v>3117</v>
      </c>
      <c r="C12" s="13">
        <v>230.376</v>
      </c>
      <c r="H12" t="s">
        <v>3137</v>
      </c>
      <c r="I12" t="s">
        <v>5</v>
      </c>
      <c r="J12">
        <v>230.376</v>
      </c>
      <c r="M12" s="9" t="s">
        <v>3152</v>
      </c>
    </row>
    <row r="13" spans="1:14">
      <c r="B13" s="13" t="s">
        <v>3115</v>
      </c>
      <c r="C13" s="13">
        <v>301.95999999999998</v>
      </c>
      <c r="H13" t="s">
        <v>3135</v>
      </c>
      <c r="I13" t="s">
        <v>3</v>
      </c>
      <c r="J13">
        <v>301.95999999999998</v>
      </c>
      <c r="M13" s="9" t="s">
        <v>3153</v>
      </c>
    </row>
    <row r="14" spans="1:14">
      <c r="B14" s="13" t="s">
        <v>3120</v>
      </c>
      <c r="C14" s="13">
        <v>19.989999999999998</v>
      </c>
      <c r="H14" t="s">
        <v>3137</v>
      </c>
      <c r="I14" t="s">
        <v>4</v>
      </c>
      <c r="J14">
        <v>19.989999999999998</v>
      </c>
      <c r="M14" s="9" t="s">
        <v>3154</v>
      </c>
    </row>
    <row r="15" spans="1:14">
      <c r="B15" s="13" t="s">
        <v>3121</v>
      </c>
      <c r="C15" s="13">
        <v>6.16</v>
      </c>
      <c r="H15" t="s">
        <v>3137</v>
      </c>
      <c r="I15" t="s">
        <v>5</v>
      </c>
      <c r="J15">
        <v>6.16</v>
      </c>
      <c r="M15" s="9" t="s">
        <v>3155</v>
      </c>
    </row>
    <row r="16" spans="1:14">
      <c r="B16" s="13" t="s">
        <v>3118</v>
      </c>
      <c r="C16" s="13">
        <v>5.6820000000000013</v>
      </c>
      <c r="H16" t="s">
        <v>3138</v>
      </c>
      <c r="I16" t="s">
        <v>5</v>
      </c>
      <c r="J16">
        <v>5.6820000000000013</v>
      </c>
    </row>
    <row r="17" spans="2:10">
      <c r="B17" s="13" t="s">
        <v>3119</v>
      </c>
      <c r="C17" s="13">
        <v>96.53</v>
      </c>
      <c r="H17" t="s">
        <v>3136</v>
      </c>
      <c r="I17" t="s">
        <v>3</v>
      </c>
      <c r="J17">
        <v>96.53</v>
      </c>
    </row>
    <row r="18" spans="2:10">
      <c r="B18" s="13" t="s">
        <v>3118</v>
      </c>
      <c r="C18" s="13">
        <v>51.311999999999998</v>
      </c>
      <c r="H18" t="s">
        <v>3138</v>
      </c>
      <c r="I18" t="s">
        <v>5</v>
      </c>
      <c r="J18">
        <v>51.311999999999998</v>
      </c>
    </row>
    <row r="19" spans="2:10">
      <c r="B19" s="13" t="s">
        <v>3120</v>
      </c>
      <c r="C19" s="13">
        <v>74.112000000000009</v>
      </c>
      <c r="H19" t="s">
        <v>3135</v>
      </c>
      <c r="I19" t="s">
        <v>4</v>
      </c>
      <c r="J19">
        <v>74.112000000000009</v>
      </c>
    </row>
    <row r="20" spans="2:10">
      <c r="B20" s="13" t="s">
        <v>3116</v>
      </c>
      <c r="C20" s="13">
        <v>27.992000000000004</v>
      </c>
      <c r="H20" t="s">
        <v>3135</v>
      </c>
      <c r="I20" t="s">
        <v>4</v>
      </c>
      <c r="J20">
        <v>27.992000000000004</v>
      </c>
    </row>
    <row r="21" spans="2:10">
      <c r="B21" s="13" t="s">
        <v>3122</v>
      </c>
      <c r="C21" s="13">
        <v>3.3040000000000003</v>
      </c>
      <c r="H21" t="s">
        <v>3135</v>
      </c>
      <c r="I21" t="s">
        <v>5</v>
      </c>
      <c r="J21">
        <v>3.3040000000000003</v>
      </c>
    </row>
    <row r="22" spans="2:10">
      <c r="B22" s="13" t="s">
        <v>3119</v>
      </c>
      <c r="C22" s="13">
        <v>41.96</v>
      </c>
      <c r="H22" t="s">
        <v>3136</v>
      </c>
      <c r="I22" t="s">
        <v>3</v>
      </c>
      <c r="J22">
        <v>41.96</v>
      </c>
    </row>
    <row r="23" spans="2:10">
      <c r="B23" s="13" t="s">
        <v>3118</v>
      </c>
      <c r="C23" s="13">
        <v>2.3880000000000003</v>
      </c>
      <c r="H23" t="s">
        <v>3138</v>
      </c>
      <c r="I23" t="s">
        <v>5</v>
      </c>
      <c r="J23">
        <v>2.3880000000000003</v>
      </c>
    </row>
    <row r="24" spans="2:10">
      <c r="B24" s="13" t="s">
        <v>3117</v>
      </c>
      <c r="C24" s="13">
        <v>243.99200000000002</v>
      </c>
      <c r="H24" t="s">
        <v>3138</v>
      </c>
      <c r="I24" t="s">
        <v>5</v>
      </c>
      <c r="J24">
        <v>243.99200000000002</v>
      </c>
    </row>
    <row r="25" spans="2:10">
      <c r="B25" s="13" t="s">
        <v>3116</v>
      </c>
      <c r="C25" s="13">
        <v>59.969999999999992</v>
      </c>
      <c r="H25" t="s">
        <v>3136</v>
      </c>
      <c r="I25" t="s">
        <v>4</v>
      </c>
      <c r="J25">
        <v>59.969999999999992</v>
      </c>
    </row>
    <row r="26" spans="2:10">
      <c r="B26" s="13" t="s">
        <v>3114</v>
      </c>
      <c r="C26" s="13">
        <v>78.304000000000002</v>
      </c>
      <c r="H26" t="s">
        <v>3136</v>
      </c>
      <c r="I26" t="s">
        <v>5</v>
      </c>
      <c r="J26">
        <v>78.304000000000002</v>
      </c>
    </row>
    <row r="27" spans="2:10">
      <c r="B27" s="13" t="s">
        <v>3123</v>
      </c>
      <c r="C27" s="13">
        <v>21.456</v>
      </c>
      <c r="H27" t="s">
        <v>3136</v>
      </c>
      <c r="I27" t="s">
        <v>5</v>
      </c>
      <c r="J27">
        <v>21.456</v>
      </c>
    </row>
    <row r="28" spans="2:10">
      <c r="B28" s="13" t="s">
        <v>3122</v>
      </c>
      <c r="C28" s="13">
        <v>8.82</v>
      </c>
      <c r="H28" t="s">
        <v>3138</v>
      </c>
      <c r="I28" t="s">
        <v>5</v>
      </c>
      <c r="J28">
        <v>8.82</v>
      </c>
    </row>
    <row r="29" spans="2:10">
      <c r="B29" s="13" t="s">
        <v>3124</v>
      </c>
      <c r="C29" s="13">
        <v>10.86</v>
      </c>
      <c r="H29" t="s">
        <v>3138</v>
      </c>
      <c r="I29" t="s">
        <v>5</v>
      </c>
      <c r="J29">
        <v>10.86</v>
      </c>
    </row>
    <row r="30" spans="2:10">
      <c r="B30" s="13" t="s">
        <v>3114</v>
      </c>
      <c r="C30" s="13">
        <v>143.69999999999999</v>
      </c>
      <c r="H30" t="s">
        <v>3138</v>
      </c>
      <c r="I30" t="s">
        <v>5</v>
      </c>
      <c r="J30">
        <v>143.69999999999999</v>
      </c>
    </row>
    <row r="31" spans="2:10">
      <c r="B31" s="13" t="s">
        <v>3125</v>
      </c>
      <c r="C31" s="13">
        <v>839.43000000000006</v>
      </c>
      <c r="H31" t="s">
        <v>3137</v>
      </c>
      <c r="I31" t="s">
        <v>5</v>
      </c>
      <c r="J31">
        <v>839.43000000000006</v>
      </c>
    </row>
    <row r="32" spans="2:10">
      <c r="B32" s="13" t="s">
        <v>3125</v>
      </c>
      <c r="C32" s="13">
        <v>97.263999999999982</v>
      </c>
      <c r="H32" t="s">
        <v>3137</v>
      </c>
      <c r="I32" t="s">
        <v>5</v>
      </c>
      <c r="J32">
        <v>97.263999999999982</v>
      </c>
    </row>
    <row r="33" spans="2:10">
      <c r="B33" s="13" t="s">
        <v>3117</v>
      </c>
      <c r="C33" s="13">
        <v>46.26</v>
      </c>
      <c r="H33" t="s">
        <v>3136</v>
      </c>
      <c r="I33" t="s">
        <v>5</v>
      </c>
      <c r="J33">
        <v>46.26</v>
      </c>
    </row>
    <row r="34" spans="2:10">
      <c r="B34" s="13" t="s">
        <v>3118</v>
      </c>
      <c r="C34" s="13">
        <v>2.9460000000000006</v>
      </c>
      <c r="H34" t="s">
        <v>3136</v>
      </c>
      <c r="I34" t="s">
        <v>5</v>
      </c>
      <c r="J34">
        <v>2.9460000000000006</v>
      </c>
    </row>
    <row r="35" spans="2:10">
      <c r="B35" s="13" t="s">
        <v>3114</v>
      </c>
      <c r="C35" s="13">
        <v>16.056000000000001</v>
      </c>
      <c r="H35" t="s">
        <v>3136</v>
      </c>
      <c r="I35" t="s">
        <v>5</v>
      </c>
      <c r="J35">
        <v>16.056000000000001</v>
      </c>
    </row>
    <row r="36" spans="2:10">
      <c r="B36" s="13" t="s">
        <v>3114</v>
      </c>
      <c r="C36" s="13">
        <v>21.744000000000003</v>
      </c>
      <c r="H36" t="s">
        <v>3136</v>
      </c>
      <c r="I36" t="s">
        <v>5</v>
      </c>
      <c r="J36">
        <v>21.744000000000003</v>
      </c>
    </row>
    <row r="37" spans="2:10">
      <c r="B37" s="13" t="s">
        <v>3125</v>
      </c>
      <c r="C37" s="13">
        <v>66.283999999999992</v>
      </c>
      <c r="H37" t="s">
        <v>3137</v>
      </c>
      <c r="I37" t="s">
        <v>5</v>
      </c>
      <c r="J37">
        <v>66.283999999999992</v>
      </c>
    </row>
    <row r="38" spans="2:10">
      <c r="B38" s="13" t="s">
        <v>3119</v>
      </c>
      <c r="C38" s="13">
        <v>35.168000000000006</v>
      </c>
      <c r="H38" t="s">
        <v>3135</v>
      </c>
      <c r="I38" t="s">
        <v>3</v>
      </c>
      <c r="J38">
        <v>35.168000000000006</v>
      </c>
    </row>
    <row r="39" spans="2:10">
      <c r="B39" s="13" t="s">
        <v>3116</v>
      </c>
      <c r="C39" s="13">
        <v>444.76800000000003</v>
      </c>
      <c r="H39" t="s">
        <v>3138</v>
      </c>
      <c r="I39" t="s">
        <v>4</v>
      </c>
      <c r="J39">
        <v>444.76800000000003</v>
      </c>
    </row>
    <row r="40" spans="2:10">
      <c r="B40" s="13" t="s">
        <v>3117</v>
      </c>
      <c r="C40" s="13">
        <v>83.92</v>
      </c>
      <c r="H40" t="s">
        <v>3137</v>
      </c>
      <c r="I40" t="s">
        <v>5</v>
      </c>
      <c r="J40">
        <v>83.92</v>
      </c>
    </row>
    <row r="41" spans="2:10">
      <c r="B41" s="13" t="s">
        <v>3116</v>
      </c>
      <c r="C41" s="13">
        <v>131.97999999999999</v>
      </c>
      <c r="H41" t="s">
        <v>3137</v>
      </c>
      <c r="I41" t="s">
        <v>4</v>
      </c>
      <c r="J41">
        <v>131.97999999999999</v>
      </c>
    </row>
    <row r="42" spans="2:10">
      <c r="B42" s="13" t="s">
        <v>3118</v>
      </c>
      <c r="C42" s="13">
        <v>15.92</v>
      </c>
      <c r="H42" t="s">
        <v>3137</v>
      </c>
      <c r="I42" t="s">
        <v>5</v>
      </c>
      <c r="J42">
        <v>15.92</v>
      </c>
    </row>
    <row r="43" spans="2:10">
      <c r="B43" s="13" t="s">
        <v>3123</v>
      </c>
      <c r="C43" s="13">
        <v>52.29</v>
      </c>
      <c r="H43" t="s">
        <v>3137</v>
      </c>
      <c r="I43" t="s">
        <v>5</v>
      </c>
      <c r="J43">
        <v>52.29</v>
      </c>
    </row>
    <row r="44" spans="2:10">
      <c r="B44" s="13" t="s">
        <v>3117</v>
      </c>
      <c r="C44" s="13">
        <v>91.99</v>
      </c>
      <c r="H44" t="s">
        <v>3137</v>
      </c>
      <c r="I44" t="s">
        <v>5</v>
      </c>
      <c r="J44">
        <v>91.99</v>
      </c>
    </row>
    <row r="45" spans="2:10">
      <c r="B45" s="13" t="s">
        <v>3126</v>
      </c>
      <c r="C45" s="13">
        <v>233.86</v>
      </c>
      <c r="H45" t="s">
        <v>3135</v>
      </c>
      <c r="I45" t="s">
        <v>3</v>
      </c>
      <c r="J45">
        <v>233.86</v>
      </c>
    </row>
    <row r="46" spans="2:10">
      <c r="B46" s="13" t="s">
        <v>3126</v>
      </c>
      <c r="C46" s="13">
        <v>620.61450000000013</v>
      </c>
      <c r="H46" t="s">
        <v>3135</v>
      </c>
      <c r="I46" t="s">
        <v>3</v>
      </c>
      <c r="J46">
        <v>620.61450000000013</v>
      </c>
    </row>
    <row r="47" spans="2:10">
      <c r="B47" s="13" t="s">
        <v>3118</v>
      </c>
      <c r="C47" s="13">
        <v>5.3280000000000012</v>
      </c>
      <c r="H47" t="s">
        <v>3135</v>
      </c>
      <c r="I47" t="s">
        <v>5</v>
      </c>
      <c r="J47">
        <v>5.3280000000000012</v>
      </c>
    </row>
    <row r="48" spans="2:10">
      <c r="B48" s="13" t="s">
        <v>3119</v>
      </c>
      <c r="C48" s="13">
        <v>258.072</v>
      </c>
      <c r="H48" t="s">
        <v>3135</v>
      </c>
      <c r="I48" t="s">
        <v>3</v>
      </c>
      <c r="J48">
        <v>258.072</v>
      </c>
    </row>
    <row r="49" spans="2:10">
      <c r="B49" s="13" t="s">
        <v>3120</v>
      </c>
      <c r="C49" s="13">
        <v>617.97600000000011</v>
      </c>
      <c r="H49" t="s">
        <v>3135</v>
      </c>
      <c r="I49" t="s">
        <v>4</v>
      </c>
      <c r="J49">
        <v>617.97600000000011</v>
      </c>
    </row>
    <row r="50" spans="2:10">
      <c r="B50" s="13" t="s">
        <v>3114</v>
      </c>
      <c r="C50" s="13">
        <v>10.56</v>
      </c>
      <c r="H50" t="s">
        <v>3138</v>
      </c>
      <c r="I50" t="s">
        <v>5</v>
      </c>
      <c r="J50">
        <v>10.56</v>
      </c>
    </row>
    <row r="51" spans="2:10">
      <c r="B51" s="13" t="s">
        <v>3120</v>
      </c>
      <c r="C51" s="13">
        <v>20.37</v>
      </c>
      <c r="H51" t="s">
        <v>3136</v>
      </c>
      <c r="I51" t="s">
        <v>4</v>
      </c>
      <c r="J51">
        <v>20.37</v>
      </c>
    </row>
    <row r="52" spans="2:10">
      <c r="B52" s="13" t="s">
        <v>3117</v>
      </c>
      <c r="C52" s="13">
        <v>221.54999999999998</v>
      </c>
      <c r="H52" t="s">
        <v>3136</v>
      </c>
      <c r="I52" t="s">
        <v>5</v>
      </c>
      <c r="J52">
        <v>221.54999999999998</v>
      </c>
    </row>
    <row r="53" spans="2:10">
      <c r="B53" s="13" t="s">
        <v>3118</v>
      </c>
      <c r="C53" s="13">
        <v>17.52</v>
      </c>
      <c r="H53" t="s">
        <v>3136</v>
      </c>
      <c r="I53" t="s">
        <v>5</v>
      </c>
      <c r="J53">
        <v>17.52</v>
      </c>
    </row>
    <row r="54" spans="2:10">
      <c r="B54" s="13" t="s">
        <v>3125</v>
      </c>
      <c r="C54" s="13">
        <v>1.6239999999999994</v>
      </c>
      <c r="H54" t="s">
        <v>3137</v>
      </c>
      <c r="I54" t="s">
        <v>5</v>
      </c>
      <c r="J54">
        <v>1.6239999999999994</v>
      </c>
    </row>
    <row r="55" spans="2:10">
      <c r="B55" s="13" t="s">
        <v>3122</v>
      </c>
      <c r="C55" s="13">
        <v>14.015999999999998</v>
      </c>
      <c r="H55" t="s">
        <v>3135</v>
      </c>
      <c r="I55" t="s">
        <v>5</v>
      </c>
      <c r="J55">
        <v>14.015999999999998</v>
      </c>
    </row>
    <row r="56" spans="2:10">
      <c r="B56" s="13" t="s">
        <v>3117</v>
      </c>
      <c r="C56" s="13">
        <v>37.207999999999998</v>
      </c>
      <c r="H56" t="s">
        <v>3136</v>
      </c>
      <c r="I56" t="s">
        <v>5</v>
      </c>
      <c r="J56">
        <v>37.207999999999998</v>
      </c>
    </row>
    <row r="57" spans="2:10">
      <c r="B57" s="13" t="s">
        <v>3124</v>
      </c>
      <c r="C57" s="13">
        <v>57.576000000000001</v>
      </c>
      <c r="H57" t="s">
        <v>3136</v>
      </c>
      <c r="I57" t="s">
        <v>5</v>
      </c>
      <c r="J57">
        <v>57.576000000000001</v>
      </c>
    </row>
    <row r="58" spans="2:10">
      <c r="B58" s="13" t="s">
        <v>3117</v>
      </c>
      <c r="C58" s="13">
        <v>725.84</v>
      </c>
      <c r="H58" t="s">
        <v>3138</v>
      </c>
      <c r="I58" t="s">
        <v>5</v>
      </c>
      <c r="J58">
        <v>725.84</v>
      </c>
    </row>
    <row r="59" spans="2:10">
      <c r="B59" s="13" t="s">
        <v>3114</v>
      </c>
      <c r="C59" s="13">
        <v>8.82</v>
      </c>
      <c r="H59" t="s">
        <v>3138</v>
      </c>
      <c r="I59" t="s">
        <v>5</v>
      </c>
      <c r="J59">
        <v>8.82</v>
      </c>
    </row>
    <row r="60" spans="2:10">
      <c r="B60" s="13" t="s">
        <v>3122</v>
      </c>
      <c r="C60" s="13">
        <v>5.98</v>
      </c>
      <c r="H60" t="s">
        <v>3138</v>
      </c>
      <c r="I60" t="s">
        <v>5</v>
      </c>
      <c r="J60">
        <v>5.98</v>
      </c>
    </row>
    <row r="61" spans="2:10">
      <c r="B61" s="13" t="s">
        <v>3114</v>
      </c>
      <c r="C61" s="13">
        <v>11.648000000000001</v>
      </c>
      <c r="H61" t="s">
        <v>3136</v>
      </c>
      <c r="I61" t="s">
        <v>5</v>
      </c>
      <c r="J61">
        <v>11.648000000000001</v>
      </c>
    </row>
    <row r="62" spans="2:10">
      <c r="B62" s="13" t="s">
        <v>3114</v>
      </c>
      <c r="C62" s="13">
        <v>18.175999999999998</v>
      </c>
      <c r="H62" t="s">
        <v>3136</v>
      </c>
      <c r="I62" t="s">
        <v>5</v>
      </c>
      <c r="J62">
        <v>18.175999999999998</v>
      </c>
    </row>
    <row r="63" spans="2:10">
      <c r="B63" s="13" t="s">
        <v>3117</v>
      </c>
      <c r="C63" s="13">
        <v>59.712000000000003</v>
      </c>
      <c r="H63" t="s">
        <v>3136</v>
      </c>
      <c r="I63" t="s">
        <v>5</v>
      </c>
      <c r="J63">
        <v>59.712000000000003</v>
      </c>
    </row>
    <row r="64" spans="2:10">
      <c r="B64" s="13" t="s">
        <v>3121</v>
      </c>
      <c r="C64" s="13">
        <v>24.839999999999996</v>
      </c>
      <c r="H64" t="s">
        <v>3136</v>
      </c>
      <c r="I64" t="s">
        <v>5</v>
      </c>
      <c r="J64">
        <v>24.839999999999996</v>
      </c>
    </row>
    <row r="65" spans="2:10">
      <c r="B65" s="13" t="s">
        <v>3126</v>
      </c>
      <c r="C65" s="13">
        <v>219.07500000000002</v>
      </c>
      <c r="H65" t="s">
        <v>3137</v>
      </c>
      <c r="I65" t="s">
        <v>3</v>
      </c>
      <c r="J65">
        <v>219.07500000000002</v>
      </c>
    </row>
    <row r="66" spans="2:10">
      <c r="B66" s="13" t="s">
        <v>3122</v>
      </c>
      <c r="C66" s="13">
        <v>4.8899999999999997</v>
      </c>
      <c r="H66" t="s">
        <v>3135</v>
      </c>
      <c r="I66" t="s">
        <v>5</v>
      </c>
      <c r="J66">
        <v>4.8899999999999997</v>
      </c>
    </row>
    <row r="67" spans="2:10">
      <c r="B67" s="13" t="s">
        <v>3119</v>
      </c>
      <c r="C67" s="13">
        <v>15.991999999999999</v>
      </c>
      <c r="H67" t="s">
        <v>3135</v>
      </c>
      <c r="I67" t="s">
        <v>3</v>
      </c>
      <c r="J67">
        <v>15.991999999999999</v>
      </c>
    </row>
    <row r="68" spans="2:10">
      <c r="B68" s="13" t="s">
        <v>3116</v>
      </c>
      <c r="C68" s="13">
        <v>47.975999999999999</v>
      </c>
      <c r="H68" t="s">
        <v>3138</v>
      </c>
      <c r="I68" t="s">
        <v>4</v>
      </c>
      <c r="J68">
        <v>47.975999999999999</v>
      </c>
    </row>
    <row r="69" spans="2:10">
      <c r="B69" s="13" t="s">
        <v>3122</v>
      </c>
      <c r="C69" s="13">
        <v>7.5600000000000005</v>
      </c>
      <c r="H69" t="s">
        <v>3136</v>
      </c>
      <c r="I69" t="s">
        <v>5</v>
      </c>
      <c r="J69">
        <v>7.5600000000000005</v>
      </c>
    </row>
    <row r="70" spans="2:10">
      <c r="B70" s="13" t="s">
        <v>3114</v>
      </c>
      <c r="C70" s="13">
        <v>24.56</v>
      </c>
      <c r="H70" t="s">
        <v>3136</v>
      </c>
      <c r="I70" t="s">
        <v>5</v>
      </c>
      <c r="J70">
        <v>24.56</v>
      </c>
    </row>
    <row r="71" spans="2:10">
      <c r="B71" s="13" t="s">
        <v>3122</v>
      </c>
      <c r="C71" s="13">
        <v>12.96</v>
      </c>
      <c r="H71" t="s">
        <v>3136</v>
      </c>
      <c r="I71" t="s">
        <v>5</v>
      </c>
      <c r="J71">
        <v>12.96</v>
      </c>
    </row>
    <row r="72" spans="2:10">
      <c r="B72" s="13" t="s">
        <v>3125</v>
      </c>
      <c r="C72" s="13">
        <v>647.84</v>
      </c>
      <c r="H72" t="s">
        <v>3135</v>
      </c>
      <c r="I72" t="s">
        <v>5</v>
      </c>
      <c r="J72">
        <v>647.84</v>
      </c>
    </row>
    <row r="73" spans="2:10">
      <c r="B73" s="13" t="s">
        <v>3121</v>
      </c>
      <c r="C73" s="13">
        <v>20.7</v>
      </c>
      <c r="H73" t="s">
        <v>3135</v>
      </c>
      <c r="I73" t="s">
        <v>5</v>
      </c>
      <c r="J73">
        <v>20.7</v>
      </c>
    </row>
    <row r="74" spans="2:10">
      <c r="B74" s="13" t="s">
        <v>3121</v>
      </c>
      <c r="C74" s="13">
        <v>20.7</v>
      </c>
      <c r="H74" t="s">
        <v>3136</v>
      </c>
      <c r="I74" t="s">
        <v>5</v>
      </c>
      <c r="J74">
        <v>20.7</v>
      </c>
    </row>
    <row r="75" spans="2:10">
      <c r="B75" s="13" t="s">
        <v>3115</v>
      </c>
      <c r="C75" s="13">
        <v>488.64600000000002</v>
      </c>
      <c r="H75" t="s">
        <v>3136</v>
      </c>
      <c r="I75" t="s">
        <v>3</v>
      </c>
      <c r="J75">
        <v>488.64600000000002</v>
      </c>
    </row>
    <row r="76" spans="2:10">
      <c r="B76" s="13" t="s">
        <v>3122</v>
      </c>
      <c r="C76" s="13">
        <v>5.56</v>
      </c>
      <c r="H76" t="s">
        <v>3136</v>
      </c>
      <c r="I76" t="s">
        <v>5</v>
      </c>
      <c r="J76">
        <v>5.56</v>
      </c>
    </row>
    <row r="77" spans="2:10">
      <c r="B77" s="13" t="s">
        <v>3119</v>
      </c>
      <c r="C77" s="13">
        <v>47.12</v>
      </c>
      <c r="H77" t="s">
        <v>3136</v>
      </c>
      <c r="I77" t="s">
        <v>3</v>
      </c>
      <c r="J77">
        <v>47.12</v>
      </c>
    </row>
    <row r="78" spans="2:10">
      <c r="B78" s="13" t="s">
        <v>3114</v>
      </c>
      <c r="C78" s="13">
        <v>25.920000000000005</v>
      </c>
      <c r="H78" t="s">
        <v>3137</v>
      </c>
      <c r="I78" t="s">
        <v>5</v>
      </c>
      <c r="J78">
        <v>25.920000000000005</v>
      </c>
    </row>
    <row r="79" spans="2:10">
      <c r="B79" s="13" t="s">
        <v>3117</v>
      </c>
      <c r="C79" s="13">
        <v>53.424000000000007</v>
      </c>
      <c r="H79" t="s">
        <v>3137</v>
      </c>
      <c r="I79" t="s">
        <v>5</v>
      </c>
      <c r="J79">
        <v>53.424000000000007</v>
      </c>
    </row>
    <row r="80" spans="2:10">
      <c r="B80" s="13" t="s">
        <v>3126</v>
      </c>
      <c r="C80" s="13">
        <v>1488.4239999999998</v>
      </c>
      <c r="H80" t="s">
        <v>3136</v>
      </c>
      <c r="I80" t="s">
        <v>3</v>
      </c>
      <c r="J80">
        <v>1488.4239999999998</v>
      </c>
    </row>
    <row r="81" spans="2:10">
      <c r="B81" s="13" t="s">
        <v>3118</v>
      </c>
      <c r="C81" s="13">
        <v>23.36</v>
      </c>
      <c r="H81" t="s">
        <v>3136</v>
      </c>
      <c r="I81" t="s">
        <v>5</v>
      </c>
      <c r="J81">
        <v>23.36</v>
      </c>
    </row>
    <row r="82" spans="2:10">
      <c r="B82" s="13" t="s">
        <v>3120</v>
      </c>
      <c r="C82" s="13">
        <v>39.979999999999997</v>
      </c>
      <c r="H82" t="s">
        <v>3136</v>
      </c>
      <c r="I82" t="s">
        <v>4</v>
      </c>
      <c r="J82">
        <v>39.979999999999997</v>
      </c>
    </row>
    <row r="83" spans="2:10">
      <c r="B83" s="13" t="s">
        <v>3118</v>
      </c>
      <c r="C83" s="13">
        <v>75.792000000000002</v>
      </c>
      <c r="H83" t="s">
        <v>3138</v>
      </c>
      <c r="I83" t="s">
        <v>5</v>
      </c>
      <c r="J83">
        <v>75.792000000000002</v>
      </c>
    </row>
    <row r="84" spans="2:10">
      <c r="B84" s="13" t="s">
        <v>3117</v>
      </c>
      <c r="C84" s="13">
        <v>49.96</v>
      </c>
      <c r="H84" t="s">
        <v>3136</v>
      </c>
      <c r="I84" t="s">
        <v>5</v>
      </c>
      <c r="J84">
        <v>49.96</v>
      </c>
    </row>
    <row r="85" spans="2:10">
      <c r="B85" s="13" t="s">
        <v>3114</v>
      </c>
      <c r="C85" s="13">
        <v>12.96</v>
      </c>
      <c r="H85" t="s">
        <v>3136</v>
      </c>
      <c r="I85" t="s">
        <v>5</v>
      </c>
      <c r="J85">
        <v>12.96</v>
      </c>
    </row>
    <row r="86" spans="2:10">
      <c r="B86" s="13" t="s">
        <v>3125</v>
      </c>
      <c r="C86" s="13">
        <v>35.910000000000004</v>
      </c>
      <c r="H86" t="s">
        <v>3136</v>
      </c>
      <c r="I86" t="s">
        <v>5</v>
      </c>
      <c r="J86">
        <v>35.910000000000004</v>
      </c>
    </row>
    <row r="87" spans="2:10">
      <c r="B87" s="13" t="s">
        <v>3120</v>
      </c>
      <c r="C87" s="13">
        <v>179.95000000000002</v>
      </c>
      <c r="H87" t="s">
        <v>3138</v>
      </c>
      <c r="I87" t="s">
        <v>4</v>
      </c>
      <c r="J87">
        <v>179.95000000000002</v>
      </c>
    </row>
    <row r="88" spans="2:10">
      <c r="B88" s="13" t="s">
        <v>3127</v>
      </c>
      <c r="C88" s="13">
        <v>1199.9760000000001</v>
      </c>
      <c r="H88" t="s">
        <v>3138</v>
      </c>
      <c r="I88" t="s">
        <v>4</v>
      </c>
      <c r="J88">
        <v>1199.9760000000001</v>
      </c>
    </row>
    <row r="89" spans="2:10">
      <c r="B89" s="13" t="s">
        <v>3114</v>
      </c>
      <c r="C89" s="13">
        <v>27.15</v>
      </c>
      <c r="H89" t="s">
        <v>3138</v>
      </c>
      <c r="I89" t="s">
        <v>5</v>
      </c>
      <c r="J89">
        <v>27.15</v>
      </c>
    </row>
    <row r="90" spans="2:10">
      <c r="B90" s="13" t="s">
        <v>3126</v>
      </c>
      <c r="C90" s="13">
        <v>1004.0239999999999</v>
      </c>
      <c r="H90" t="s">
        <v>3138</v>
      </c>
      <c r="I90" t="s">
        <v>3</v>
      </c>
      <c r="J90">
        <v>1004.0239999999999</v>
      </c>
    </row>
    <row r="91" spans="2:10">
      <c r="B91" s="13" t="s">
        <v>3114</v>
      </c>
      <c r="C91" s="13">
        <v>9.68</v>
      </c>
      <c r="H91" t="s">
        <v>3138</v>
      </c>
      <c r="I91" t="s">
        <v>5</v>
      </c>
      <c r="J91">
        <v>9.68</v>
      </c>
    </row>
    <row r="92" spans="2:10">
      <c r="B92" s="13" t="s">
        <v>3121</v>
      </c>
      <c r="C92" s="13">
        <v>28.349999999999998</v>
      </c>
      <c r="H92" t="s">
        <v>3138</v>
      </c>
      <c r="I92" t="s">
        <v>5</v>
      </c>
      <c r="J92">
        <v>28.349999999999998</v>
      </c>
    </row>
    <row r="93" spans="2:10">
      <c r="B93" s="13" t="s">
        <v>3114</v>
      </c>
      <c r="C93" s="13">
        <v>55.98</v>
      </c>
      <c r="H93" t="s">
        <v>3138</v>
      </c>
      <c r="I93" t="s">
        <v>5</v>
      </c>
      <c r="J93">
        <v>55.98</v>
      </c>
    </row>
    <row r="94" spans="2:10">
      <c r="B94" s="13" t="s">
        <v>3128</v>
      </c>
      <c r="C94" s="13">
        <v>1336.829</v>
      </c>
      <c r="H94" t="s">
        <v>3138</v>
      </c>
      <c r="I94" t="s">
        <v>3</v>
      </c>
      <c r="J94">
        <v>1336.829</v>
      </c>
    </row>
    <row r="95" spans="2:10">
      <c r="B95" s="13" t="s">
        <v>3115</v>
      </c>
      <c r="C95" s="13">
        <v>113.56800000000001</v>
      </c>
      <c r="H95" t="s">
        <v>3138</v>
      </c>
      <c r="I95" t="s">
        <v>3</v>
      </c>
      <c r="J95">
        <v>113.56800000000001</v>
      </c>
    </row>
    <row r="96" spans="2:10">
      <c r="B96" s="13" t="s">
        <v>3114</v>
      </c>
      <c r="C96" s="13">
        <v>139.86000000000001</v>
      </c>
      <c r="H96" t="s">
        <v>3138</v>
      </c>
      <c r="I96" t="s">
        <v>5</v>
      </c>
      <c r="J96">
        <v>139.86000000000001</v>
      </c>
    </row>
    <row r="97" spans="2:10">
      <c r="B97" s="13" t="s">
        <v>3115</v>
      </c>
      <c r="C97" s="13">
        <v>307.13600000000002</v>
      </c>
      <c r="H97" t="s">
        <v>3138</v>
      </c>
      <c r="I97" t="s">
        <v>3</v>
      </c>
      <c r="J97">
        <v>307.13600000000002</v>
      </c>
    </row>
    <row r="98" spans="2:10">
      <c r="B98" s="13" t="s">
        <v>3122</v>
      </c>
      <c r="C98" s="13">
        <v>95.92</v>
      </c>
      <c r="H98" t="s">
        <v>3138</v>
      </c>
      <c r="I98" t="s">
        <v>5</v>
      </c>
      <c r="J98">
        <v>95.92</v>
      </c>
    </row>
    <row r="99" spans="2:10">
      <c r="B99" s="13" t="s">
        <v>3114</v>
      </c>
      <c r="C99" s="13">
        <v>5.78</v>
      </c>
      <c r="H99" t="s">
        <v>3135</v>
      </c>
      <c r="I99" t="s">
        <v>5</v>
      </c>
      <c r="J99">
        <v>5.78</v>
      </c>
    </row>
    <row r="100" spans="2:10">
      <c r="B100" s="13" t="s">
        <v>3122</v>
      </c>
      <c r="C100" s="13">
        <v>9.32</v>
      </c>
      <c r="H100" t="s">
        <v>3138</v>
      </c>
      <c r="I100" t="s">
        <v>5</v>
      </c>
      <c r="J100">
        <v>9.32</v>
      </c>
    </row>
    <row r="101" spans="2:10">
      <c r="B101" s="13" t="s">
        <v>3124</v>
      </c>
      <c r="C101" s="13">
        <v>15.25</v>
      </c>
      <c r="H101" t="s">
        <v>3138</v>
      </c>
      <c r="I101" t="s">
        <v>5</v>
      </c>
      <c r="J101">
        <v>15.25</v>
      </c>
    </row>
    <row r="102" spans="2:10">
      <c r="B102" s="13" t="s">
        <v>3119</v>
      </c>
      <c r="C102" s="13">
        <v>56.56</v>
      </c>
      <c r="H102" t="s">
        <v>3136</v>
      </c>
      <c r="I102" t="s">
        <v>3</v>
      </c>
      <c r="J102">
        <v>56.56</v>
      </c>
    </row>
    <row r="103" spans="2:10">
      <c r="B103" s="13" t="s">
        <v>3117</v>
      </c>
      <c r="C103" s="13">
        <v>32.700000000000003</v>
      </c>
      <c r="H103" t="s">
        <v>3136</v>
      </c>
      <c r="I103" t="s">
        <v>5</v>
      </c>
      <c r="J103">
        <v>32.700000000000003</v>
      </c>
    </row>
    <row r="104" spans="2:10">
      <c r="B104" s="13" t="s">
        <v>3115</v>
      </c>
      <c r="C104" s="13">
        <v>866.4</v>
      </c>
      <c r="H104" t="s">
        <v>3135</v>
      </c>
      <c r="I104" t="s">
        <v>3</v>
      </c>
      <c r="J104">
        <v>866.4</v>
      </c>
    </row>
    <row r="105" spans="2:10">
      <c r="B105" s="13" t="s">
        <v>3119</v>
      </c>
      <c r="C105" s="13">
        <v>28.4</v>
      </c>
      <c r="H105" t="s">
        <v>3137</v>
      </c>
      <c r="I105" t="s">
        <v>3</v>
      </c>
      <c r="J105">
        <v>28.4</v>
      </c>
    </row>
    <row r="106" spans="2:10">
      <c r="B106" s="13" t="s">
        <v>3118</v>
      </c>
      <c r="C106" s="13">
        <v>287.92</v>
      </c>
      <c r="H106" t="s">
        <v>3137</v>
      </c>
      <c r="I106" t="s">
        <v>5</v>
      </c>
      <c r="J106">
        <v>287.92</v>
      </c>
    </row>
    <row r="107" spans="2:10">
      <c r="B107" s="13" t="s">
        <v>3122</v>
      </c>
      <c r="C107" s="13">
        <v>6.6719999999999988</v>
      </c>
      <c r="H107" t="s">
        <v>3137</v>
      </c>
      <c r="I107" t="s">
        <v>5</v>
      </c>
      <c r="J107">
        <v>6.6719999999999988</v>
      </c>
    </row>
    <row r="108" spans="2:10">
      <c r="B108" s="13" t="s">
        <v>3114</v>
      </c>
      <c r="C108" s="13">
        <v>31.872000000000003</v>
      </c>
      <c r="H108" t="s">
        <v>3137</v>
      </c>
      <c r="I108" t="s">
        <v>5</v>
      </c>
      <c r="J108">
        <v>31.872000000000003</v>
      </c>
    </row>
    <row r="109" spans="2:10">
      <c r="B109" s="13" t="s">
        <v>3115</v>
      </c>
      <c r="C109" s="13">
        <v>207.84600000000003</v>
      </c>
      <c r="H109" t="s">
        <v>3136</v>
      </c>
      <c r="I109" t="s">
        <v>3</v>
      </c>
      <c r="J109">
        <v>207.84600000000003</v>
      </c>
    </row>
    <row r="110" spans="2:10">
      <c r="B110" s="13" t="s">
        <v>3119</v>
      </c>
      <c r="C110" s="13">
        <v>2.91</v>
      </c>
      <c r="H110" t="s">
        <v>3137</v>
      </c>
      <c r="I110" t="s">
        <v>3</v>
      </c>
      <c r="J110">
        <v>2.91</v>
      </c>
    </row>
    <row r="111" spans="2:10">
      <c r="B111" s="13" t="s">
        <v>3126</v>
      </c>
      <c r="C111" s="13">
        <v>284.36399999999998</v>
      </c>
      <c r="H111" t="s">
        <v>3136</v>
      </c>
      <c r="I111" t="s">
        <v>3</v>
      </c>
      <c r="J111">
        <v>284.36399999999998</v>
      </c>
    </row>
    <row r="112" spans="2:10">
      <c r="B112" s="13" t="s">
        <v>3117</v>
      </c>
      <c r="C112" s="13">
        <v>665.40800000000002</v>
      </c>
      <c r="H112" t="s">
        <v>3136</v>
      </c>
      <c r="I112" t="s">
        <v>5</v>
      </c>
      <c r="J112">
        <v>665.40800000000002</v>
      </c>
    </row>
    <row r="113" spans="2:10">
      <c r="B113" s="13" t="s">
        <v>3128</v>
      </c>
      <c r="C113" s="13">
        <v>205.33279999999996</v>
      </c>
      <c r="H113" t="s">
        <v>3137</v>
      </c>
      <c r="I113" t="s">
        <v>3</v>
      </c>
      <c r="J113">
        <v>205.33279999999996</v>
      </c>
    </row>
    <row r="114" spans="2:10">
      <c r="B114" s="13" t="s">
        <v>3121</v>
      </c>
      <c r="C114" s="13">
        <v>29.6</v>
      </c>
      <c r="H114" t="s">
        <v>3138</v>
      </c>
      <c r="I114" t="s">
        <v>5</v>
      </c>
      <c r="J114">
        <v>29.6</v>
      </c>
    </row>
    <row r="115" spans="2:10">
      <c r="B115" s="13" t="s">
        <v>3128</v>
      </c>
      <c r="C115" s="13">
        <v>514.16499999999996</v>
      </c>
      <c r="H115" t="s">
        <v>3138</v>
      </c>
      <c r="I115" t="s">
        <v>3</v>
      </c>
      <c r="J115">
        <v>514.16499999999996</v>
      </c>
    </row>
    <row r="116" spans="2:10">
      <c r="B116" s="13" t="s">
        <v>3116</v>
      </c>
      <c r="C116" s="13">
        <v>279.95999999999998</v>
      </c>
      <c r="H116" t="s">
        <v>3138</v>
      </c>
      <c r="I116" t="s">
        <v>4</v>
      </c>
      <c r="J116">
        <v>279.95999999999998</v>
      </c>
    </row>
    <row r="117" spans="2:10">
      <c r="B117" s="13" t="s">
        <v>3118</v>
      </c>
      <c r="C117" s="13">
        <v>15.920000000000002</v>
      </c>
      <c r="H117" t="s">
        <v>3136</v>
      </c>
      <c r="I117" t="s">
        <v>5</v>
      </c>
      <c r="J117">
        <v>15.920000000000002</v>
      </c>
    </row>
    <row r="118" spans="2:10">
      <c r="B118" s="13" t="s">
        <v>3119</v>
      </c>
      <c r="C118" s="13">
        <v>126.30000000000001</v>
      </c>
      <c r="H118" t="s">
        <v>3137</v>
      </c>
      <c r="I118" t="s">
        <v>3</v>
      </c>
      <c r="J118">
        <v>126.30000000000001</v>
      </c>
    </row>
    <row r="119" spans="2:10">
      <c r="B119" s="13" t="s">
        <v>3120</v>
      </c>
      <c r="C119" s="13">
        <v>38.04</v>
      </c>
      <c r="H119" t="s">
        <v>3137</v>
      </c>
      <c r="I119" t="s">
        <v>4</v>
      </c>
      <c r="J119">
        <v>38.04</v>
      </c>
    </row>
    <row r="120" spans="2:10">
      <c r="B120" s="13" t="s">
        <v>3122</v>
      </c>
      <c r="C120" s="13">
        <v>6.63</v>
      </c>
      <c r="H120" t="s">
        <v>3138</v>
      </c>
      <c r="I120" t="s">
        <v>5</v>
      </c>
      <c r="J120">
        <v>6.63</v>
      </c>
    </row>
    <row r="121" spans="2:10">
      <c r="B121" s="13" t="s">
        <v>3122</v>
      </c>
      <c r="C121" s="13">
        <v>5.88</v>
      </c>
      <c r="H121" t="s">
        <v>3138</v>
      </c>
      <c r="I121" t="s">
        <v>5</v>
      </c>
      <c r="J121">
        <v>5.88</v>
      </c>
    </row>
    <row r="122" spans="2:10">
      <c r="B122" s="13" t="s">
        <v>3127</v>
      </c>
      <c r="C122" s="13">
        <v>2999.95</v>
      </c>
      <c r="H122" t="s">
        <v>3138</v>
      </c>
      <c r="I122" t="s">
        <v>4</v>
      </c>
      <c r="J122">
        <v>2999.95</v>
      </c>
    </row>
    <row r="123" spans="2:10">
      <c r="B123" s="13" t="s">
        <v>3117</v>
      </c>
      <c r="C123" s="13">
        <v>51.449999999999996</v>
      </c>
      <c r="H123" t="s">
        <v>3138</v>
      </c>
      <c r="I123" t="s">
        <v>5</v>
      </c>
      <c r="J123">
        <v>51.449999999999996</v>
      </c>
    </row>
    <row r="124" spans="2:10">
      <c r="B124" s="13" t="s">
        <v>3114</v>
      </c>
      <c r="C124" s="13">
        <v>11.96</v>
      </c>
      <c r="H124" t="s">
        <v>3138</v>
      </c>
      <c r="I124" t="s">
        <v>5</v>
      </c>
      <c r="J124">
        <v>11.96</v>
      </c>
    </row>
    <row r="125" spans="2:10">
      <c r="B125" s="13" t="s">
        <v>3117</v>
      </c>
      <c r="C125" s="13">
        <v>1126.02</v>
      </c>
      <c r="H125" t="s">
        <v>3138</v>
      </c>
      <c r="I125" t="s">
        <v>5</v>
      </c>
      <c r="J125">
        <v>1126.02</v>
      </c>
    </row>
    <row r="126" spans="2:10">
      <c r="B126" s="13" t="s">
        <v>3126</v>
      </c>
      <c r="C126" s="13">
        <v>210.98</v>
      </c>
      <c r="H126" t="s">
        <v>3137</v>
      </c>
      <c r="I126" t="s">
        <v>3</v>
      </c>
      <c r="J126">
        <v>210.98</v>
      </c>
    </row>
    <row r="127" spans="2:10">
      <c r="B127" s="13" t="s">
        <v>3115</v>
      </c>
      <c r="C127" s="13">
        <v>683.95200000000011</v>
      </c>
      <c r="H127" t="s">
        <v>3135</v>
      </c>
      <c r="I127" t="s">
        <v>3</v>
      </c>
      <c r="J127">
        <v>683.95200000000011</v>
      </c>
    </row>
    <row r="128" spans="2:10">
      <c r="B128" s="13" t="s">
        <v>3119</v>
      </c>
      <c r="C128" s="13">
        <v>45.695999999999998</v>
      </c>
      <c r="H128" t="s">
        <v>3135</v>
      </c>
      <c r="I128" t="s">
        <v>3</v>
      </c>
      <c r="J128">
        <v>45.695999999999998</v>
      </c>
    </row>
    <row r="129" spans="2:10">
      <c r="B129" s="13" t="s">
        <v>3119</v>
      </c>
      <c r="C129" s="13">
        <v>47.94</v>
      </c>
      <c r="H129" t="s">
        <v>3138</v>
      </c>
      <c r="I129" t="s">
        <v>3</v>
      </c>
      <c r="J129">
        <v>47.94</v>
      </c>
    </row>
    <row r="130" spans="2:10">
      <c r="B130" s="13" t="s">
        <v>3118</v>
      </c>
      <c r="C130" s="13">
        <v>42.615999999999993</v>
      </c>
      <c r="H130" t="s">
        <v>3137</v>
      </c>
      <c r="I130" t="s">
        <v>5</v>
      </c>
      <c r="J130">
        <v>42.615999999999993</v>
      </c>
    </row>
    <row r="131" spans="2:10">
      <c r="B131" s="13" t="s">
        <v>3118</v>
      </c>
      <c r="C131" s="13">
        <v>41.28</v>
      </c>
      <c r="H131" t="s">
        <v>3136</v>
      </c>
      <c r="I131" t="s">
        <v>5</v>
      </c>
      <c r="J131">
        <v>41.28</v>
      </c>
    </row>
    <row r="132" spans="2:10">
      <c r="B132" s="13" t="s">
        <v>3114</v>
      </c>
      <c r="C132" s="13">
        <v>13.36</v>
      </c>
      <c r="H132" t="s">
        <v>3136</v>
      </c>
      <c r="I132" t="s">
        <v>5</v>
      </c>
      <c r="J132">
        <v>13.36</v>
      </c>
    </row>
    <row r="133" spans="2:10">
      <c r="B133" s="13" t="s">
        <v>3119</v>
      </c>
      <c r="C133" s="13">
        <v>34.504000000000005</v>
      </c>
      <c r="H133" t="s">
        <v>3135</v>
      </c>
      <c r="I133" t="s">
        <v>3</v>
      </c>
      <c r="J133">
        <v>34.504000000000005</v>
      </c>
    </row>
    <row r="134" spans="2:10">
      <c r="B134" s="13" t="s">
        <v>3123</v>
      </c>
      <c r="C134" s="13">
        <v>10.824</v>
      </c>
      <c r="H134" t="s">
        <v>3137</v>
      </c>
      <c r="I134" t="s">
        <v>5</v>
      </c>
      <c r="J134">
        <v>10.824</v>
      </c>
    </row>
    <row r="135" spans="2:10">
      <c r="B135" s="13" t="s">
        <v>3117</v>
      </c>
      <c r="C135" s="13">
        <v>1295.78</v>
      </c>
      <c r="H135" t="s">
        <v>3138</v>
      </c>
      <c r="I135" t="s">
        <v>5</v>
      </c>
      <c r="J135">
        <v>1295.78</v>
      </c>
    </row>
    <row r="136" spans="2:10">
      <c r="B136" s="13" t="s">
        <v>3119</v>
      </c>
      <c r="C136" s="13">
        <v>42.599999999999994</v>
      </c>
      <c r="H136" t="s">
        <v>3138</v>
      </c>
      <c r="I136" t="s">
        <v>3</v>
      </c>
      <c r="J136">
        <v>42.599999999999994</v>
      </c>
    </row>
    <row r="137" spans="2:10">
      <c r="B137" s="13" t="s">
        <v>3118</v>
      </c>
      <c r="C137" s="13">
        <v>84.056000000000012</v>
      </c>
      <c r="H137" t="s">
        <v>3138</v>
      </c>
      <c r="I137" t="s">
        <v>5</v>
      </c>
      <c r="J137">
        <v>84.056000000000012</v>
      </c>
    </row>
    <row r="138" spans="2:10">
      <c r="B138" s="13" t="s">
        <v>3116</v>
      </c>
      <c r="C138" s="13">
        <v>374.37600000000003</v>
      </c>
      <c r="H138" t="s">
        <v>3138</v>
      </c>
      <c r="I138" t="s">
        <v>4</v>
      </c>
      <c r="J138">
        <v>374.37600000000003</v>
      </c>
    </row>
    <row r="139" spans="2:10">
      <c r="B139" s="13" t="s">
        <v>3114</v>
      </c>
      <c r="C139" s="13">
        <v>91.84</v>
      </c>
      <c r="H139" t="s">
        <v>3138</v>
      </c>
      <c r="I139" t="s">
        <v>5</v>
      </c>
      <c r="J139">
        <v>91.84</v>
      </c>
    </row>
    <row r="140" spans="2:10">
      <c r="B140" s="13" t="s">
        <v>3118</v>
      </c>
      <c r="C140" s="13">
        <v>81.088000000000008</v>
      </c>
      <c r="H140" t="s">
        <v>3138</v>
      </c>
      <c r="I140" t="s">
        <v>5</v>
      </c>
      <c r="J140">
        <v>81.088000000000008</v>
      </c>
    </row>
    <row r="141" spans="2:10">
      <c r="B141" s="13" t="s">
        <v>3114</v>
      </c>
      <c r="C141" s="13">
        <v>19.440000000000001</v>
      </c>
      <c r="H141" t="s">
        <v>3138</v>
      </c>
      <c r="I141" t="s">
        <v>5</v>
      </c>
      <c r="J141">
        <v>19.440000000000001</v>
      </c>
    </row>
    <row r="142" spans="2:10">
      <c r="B142" s="13" t="s">
        <v>3115</v>
      </c>
      <c r="C142" s="13">
        <v>451.15199999999993</v>
      </c>
      <c r="H142" t="s">
        <v>3138</v>
      </c>
      <c r="I142" t="s">
        <v>3</v>
      </c>
      <c r="J142">
        <v>451.15199999999993</v>
      </c>
    </row>
    <row r="143" spans="2:10">
      <c r="B143" s="13" t="s">
        <v>3121</v>
      </c>
      <c r="C143" s="13">
        <v>72.45</v>
      </c>
      <c r="H143" t="s">
        <v>3136</v>
      </c>
      <c r="I143" t="s">
        <v>5</v>
      </c>
      <c r="J143">
        <v>72.45</v>
      </c>
    </row>
    <row r="144" spans="2:10">
      <c r="B144" s="13" t="s">
        <v>3123</v>
      </c>
      <c r="C144" s="13">
        <v>13.96</v>
      </c>
      <c r="H144" t="s">
        <v>3136</v>
      </c>
      <c r="I144" t="s">
        <v>5</v>
      </c>
      <c r="J144">
        <v>13.96</v>
      </c>
    </row>
    <row r="145" spans="2:10">
      <c r="B145" s="13" t="s">
        <v>3118</v>
      </c>
      <c r="C145" s="13">
        <v>33.264000000000003</v>
      </c>
      <c r="H145" t="s">
        <v>3136</v>
      </c>
      <c r="I145" t="s">
        <v>5</v>
      </c>
      <c r="J145">
        <v>33.264000000000003</v>
      </c>
    </row>
    <row r="146" spans="2:10">
      <c r="B146" s="13" t="s">
        <v>3116</v>
      </c>
      <c r="C146" s="13">
        <v>14.850000000000001</v>
      </c>
      <c r="H146" t="s">
        <v>3136</v>
      </c>
      <c r="I146" t="s">
        <v>4</v>
      </c>
      <c r="J146">
        <v>14.850000000000001</v>
      </c>
    </row>
    <row r="147" spans="2:10">
      <c r="B147" s="13" t="s">
        <v>3117</v>
      </c>
      <c r="C147" s="13">
        <v>69.712000000000003</v>
      </c>
      <c r="H147" t="s">
        <v>3137</v>
      </c>
      <c r="I147" t="s">
        <v>5</v>
      </c>
      <c r="J147">
        <v>69.712000000000003</v>
      </c>
    </row>
    <row r="148" spans="2:10">
      <c r="B148" s="13" t="s">
        <v>3119</v>
      </c>
      <c r="C148" s="13">
        <v>8.7919999999999998</v>
      </c>
      <c r="H148" t="s">
        <v>3137</v>
      </c>
      <c r="I148" t="s">
        <v>3</v>
      </c>
      <c r="J148">
        <v>8.7919999999999998</v>
      </c>
    </row>
    <row r="149" spans="2:10">
      <c r="B149" s="13" t="s">
        <v>3116</v>
      </c>
      <c r="C149" s="13">
        <v>470.37600000000009</v>
      </c>
      <c r="H149" t="s">
        <v>3138</v>
      </c>
      <c r="I149" t="s">
        <v>4</v>
      </c>
      <c r="J149">
        <v>470.37600000000009</v>
      </c>
    </row>
    <row r="150" spans="2:10">
      <c r="B150" s="13" t="s">
        <v>3116</v>
      </c>
      <c r="C150" s="13">
        <v>105.584</v>
      </c>
      <c r="H150" t="s">
        <v>3138</v>
      </c>
      <c r="I150" t="s">
        <v>4</v>
      </c>
      <c r="J150">
        <v>105.584</v>
      </c>
    </row>
    <row r="151" spans="2:10">
      <c r="B151" s="13" t="s">
        <v>3125</v>
      </c>
      <c r="C151" s="13">
        <v>31.152000000000001</v>
      </c>
      <c r="H151" t="s">
        <v>3138</v>
      </c>
      <c r="I151" t="s">
        <v>5</v>
      </c>
      <c r="J151">
        <v>31.152000000000001</v>
      </c>
    </row>
    <row r="152" spans="2:10">
      <c r="B152" s="13" t="s">
        <v>3118</v>
      </c>
      <c r="C152" s="13">
        <v>6.7830000000000004</v>
      </c>
      <c r="H152" t="s">
        <v>3138</v>
      </c>
      <c r="I152" t="s">
        <v>5</v>
      </c>
      <c r="J152">
        <v>6.7830000000000004</v>
      </c>
    </row>
    <row r="153" spans="2:10">
      <c r="B153" s="13" t="s">
        <v>3116</v>
      </c>
      <c r="C153" s="13">
        <v>406.36799999999999</v>
      </c>
      <c r="H153" t="s">
        <v>3138</v>
      </c>
      <c r="I153" t="s">
        <v>4</v>
      </c>
      <c r="J153">
        <v>406.36799999999999</v>
      </c>
    </row>
    <row r="154" spans="2:10">
      <c r="B154" s="13" t="s">
        <v>3116</v>
      </c>
      <c r="C154" s="13">
        <v>119.93999999999998</v>
      </c>
      <c r="H154" t="s">
        <v>3136</v>
      </c>
      <c r="I154" t="s">
        <v>4</v>
      </c>
      <c r="J154">
        <v>119.93999999999998</v>
      </c>
    </row>
    <row r="155" spans="2:10">
      <c r="B155" s="13" t="s">
        <v>3118</v>
      </c>
      <c r="C155" s="13">
        <v>3.6480000000000006</v>
      </c>
      <c r="H155" t="s">
        <v>3136</v>
      </c>
      <c r="I155" t="s">
        <v>5</v>
      </c>
      <c r="J155">
        <v>3.6480000000000006</v>
      </c>
    </row>
    <row r="156" spans="2:10">
      <c r="B156" s="13" t="s">
        <v>3119</v>
      </c>
      <c r="C156" s="13">
        <v>40.479999999999997</v>
      </c>
      <c r="H156" t="s">
        <v>3136</v>
      </c>
      <c r="I156" t="s">
        <v>3</v>
      </c>
      <c r="J156">
        <v>40.479999999999997</v>
      </c>
    </row>
    <row r="157" spans="2:10">
      <c r="B157" s="13" t="s">
        <v>3119</v>
      </c>
      <c r="C157" s="13">
        <v>9.94</v>
      </c>
      <c r="H157" t="s">
        <v>3136</v>
      </c>
      <c r="I157" t="s">
        <v>3</v>
      </c>
      <c r="J157">
        <v>9.94</v>
      </c>
    </row>
    <row r="158" spans="2:10">
      <c r="B158" s="13" t="s">
        <v>3118</v>
      </c>
      <c r="C158" s="13">
        <v>107.42400000000001</v>
      </c>
      <c r="H158" t="s">
        <v>3136</v>
      </c>
      <c r="I158" t="s">
        <v>5</v>
      </c>
      <c r="J158">
        <v>107.42400000000001</v>
      </c>
    </row>
    <row r="159" spans="2:10">
      <c r="B159" s="13" t="s">
        <v>3116</v>
      </c>
      <c r="C159" s="13">
        <v>37.909999999999997</v>
      </c>
      <c r="H159" t="s">
        <v>3136</v>
      </c>
      <c r="I159" t="s">
        <v>4</v>
      </c>
      <c r="J159">
        <v>37.909999999999997</v>
      </c>
    </row>
    <row r="160" spans="2:10">
      <c r="B160" s="13" t="s">
        <v>3119</v>
      </c>
      <c r="C160" s="13">
        <v>88.02</v>
      </c>
      <c r="H160" t="s">
        <v>3136</v>
      </c>
      <c r="I160" t="s">
        <v>3</v>
      </c>
      <c r="J160">
        <v>88.02</v>
      </c>
    </row>
    <row r="161" spans="2:10">
      <c r="B161" s="13" t="s">
        <v>3119</v>
      </c>
      <c r="C161" s="13">
        <v>35.56</v>
      </c>
      <c r="H161" t="s">
        <v>3136</v>
      </c>
      <c r="I161" t="s">
        <v>3</v>
      </c>
      <c r="J161">
        <v>35.56</v>
      </c>
    </row>
    <row r="162" spans="2:10">
      <c r="B162" s="13" t="s">
        <v>3125</v>
      </c>
      <c r="C162" s="13">
        <v>97.16</v>
      </c>
      <c r="H162" t="s">
        <v>3138</v>
      </c>
      <c r="I162" t="s">
        <v>5</v>
      </c>
      <c r="J162">
        <v>97.16</v>
      </c>
    </row>
    <row r="163" spans="2:10">
      <c r="B163" s="13" t="s">
        <v>3118</v>
      </c>
      <c r="C163" s="13">
        <v>15.24</v>
      </c>
      <c r="H163" t="s">
        <v>3138</v>
      </c>
      <c r="I163" t="s">
        <v>5</v>
      </c>
      <c r="J163">
        <v>15.24</v>
      </c>
    </row>
    <row r="164" spans="2:10">
      <c r="B164" s="13" t="s">
        <v>3114</v>
      </c>
      <c r="C164" s="13">
        <v>13.23</v>
      </c>
      <c r="H164" t="s">
        <v>3138</v>
      </c>
      <c r="I164" t="s">
        <v>5</v>
      </c>
      <c r="J164">
        <v>13.23</v>
      </c>
    </row>
    <row r="165" spans="2:10">
      <c r="B165" s="13" t="s">
        <v>3120</v>
      </c>
      <c r="C165" s="13">
        <v>17.880000000000003</v>
      </c>
      <c r="H165" t="s">
        <v>3135</v>
      </c>
      <c r="I165" t="s">
        <v>4</v>
      </c>
      <c r="J165">
        <v>17.880000000000003</v>
      </c>
    </row>
    <row r="166" spans="2:10">
      <c r="B166" s="13" t="s">
        <v>3121</v>
      </c>
      <c r="C166" s="13">
        <v>235.94400000000002</v>
      </c>
      <c r="H166" t="s">
        <v>3135</v>
      </c>
      <c r="I166" t="s">
        <v>5</v>
      </c>
      <c r="J166">
        <v>235.94400000000002</v>
      </c>
    </row>
    <row r="167" spans="2:10">
      <c r="B167" s="13" t="s">
        <v>3117</v>
      </c>
      <c r="C167" s="13">
        <v>330.4</v>
      </c>
      <c r="H167" t="s">
        <v>3138</v>
      </c>
      <c r="I167" t="s">
        <v>5</v>
      </c>
      <c r="J167">
        <v>330.4</v>
      </c>
    </row>
    <row r="168" spans="2:10">
      <c r="B168" s="13" t="s">
        <v>3121</v>
      </c>
      <c r="C168" s="13">
        <v>26.25</v>
      </c>
      <c r="H168" t="s">
        <v>3138</v>
      </c>
      <c r="I168" t="s">
        <v>5</v>
      </c>
      <c r="J168">
        <v>26.25</v>
      </c>
    </row>
    <row r="169" spans="2:10">
      <c r="B169" s="13" t="s">
        <v>3120</v>
      </c>
      <c r="C169" s="13">
        <v>132.52000000000001</v>
      </c>
      <c r="H169" t="s">
        <v>3137</v>
      </c>
      <c r="I169" t="s">
        <v>4</v>
      </c>
      <c r="J169">
        <v>132.52000000000001</v>
      </c>
    </row>
    <row r="170" spans="2:10">
      <c r="B170" s="13" t="s">
        <v>3114</v>
      </c>
      <c r="C170" s="13">
        <v>6.48</v>
      </c>
      <c r="H170" t="s">
        <v>3136</v>
      </c>
      <c r="I170" t="s">
        <v>5</v>
      </c>
      <c r="J170">
        <v>6.48</v>
      </c>
    </row>
    <row r="171" spans="2:10">
      <c r="B171" s="13" t="s">
        <v>3125</v>
      </c>
      <c r="C171" s="13">
        <v>209.3</v>
      </c>
      <c r="H171" t="s">
        <v>3137</v>
      </c>
      <c r="I171" t="s">
        <v>5</v>
      </c>
      <c r="J171">
        <v>209.3</v>
      </c>
    </row>
    <row r="172" spans="2:10">
      <c r="B172" s="13" t="s">
        <v>3114</v>
      </c>
      <c r="C172" s="13">
        <v>97.82</v>
      </c>
      <c r="H172" t="s">
        <v>3136</v>
      </c>
      <c r="I172" t="s">
        <v>5</v>
      </c>
      <c r="J172">
        <v>97.82</v>
      </c>
    </row>
    <row r="173" spans="2:10">
      <c r="B173" s="13" t="s">
        <v>3120</v>
      </c>
      <c r="C173" s="13">
        <v>103.12</v>
      </c>
      <c r="H173" t="s">
        <v>3136</v>
      </c>
      <c r="I173" t="s">
        <v>4</v>
      </c>
      <c r="J173">
        <v>103.12</v>
      </c>
    </row>
    <row r="174" spans="2:10">
      <c r="B174" s="13" t="s">
        <v>3129</v>
      </c>
      <c r="C174" s="13">
        <v>23.76</v>
      </c>
      <c r="H174" t="s">
        <v>3137</v>
      </c>
      <c r="I174" t="s">
        <v>5</v>
      </c>
      <c r="J174">
        <v>23.76</v>
      </c>
    </row>
    <row r="175" spans="2:10">
      <c r="B175" s="13" t="s">
        <v>3114</v>
      </c>
      <c r="C175" s="13">
        <v>85.055999999999997</v>
      </c>
      <c r="H175" t="s">
        <v>3137</v>
      </c>
      <c r="I175" t="s">
        <v>5</v>
      </c>
      <c r="J175">
        <v>85.055999999999997</v>
      </c>
    </row>
    <row r="176" spans="2:10">
      <c r="B176" s="13" t="s">
        <v>3116</v>
      </c>
      <c r="C176" s="13">
        <v>381.57600000000002</v>
      </c>
      <c r="H176" t="s">
        <v>3137</v>
      </c>
      <c r="I176" t="s">
        <v>4</v>
      </c>
      <c r="J176">
        <v>381.57600000000002</v>
      </c>
    </row>
    <row r="177" spans="2:10">
      <c r="B177" s="13" t="s">
        <v>3119</v>
      </c>
      <c r="C177" s="13">
        <v>23.976000000000003</v>
      </c>
      <c r="H177" t="s">
        <v>3137</v>
      </c>
      <c r="I177" t="s">
        <v>3</v>
      </c>
      <c r="J177">
        <v>23.976000000000003</v>
      </c>
    </row>
    <row r="178" spans="2:10">
      <c r="B178" s="13" t="s">
        <v>3126</v>
      </c>
      <c r="C178" s="13">
        <v>108.925</v>
      </c>
      <c r="H178" t="s">
        <v>3137</v>
      </c>
      <c r="I178" t="s">
        <v>3</v>
      </c>
      <c r="J178">
        <v>108.925</v>
      </c>
    </row>
    <row r="179" spans="2:10">
      <c r="B179" s="13" t="s">
        <v>3114</v>
      </c>
      <c r="C179" s="13">
        <v>36.351999999999997</v>
      </c>
      <c r="H179" t="s">
        <v>3137</v>
      </c>
      <c r="I179" t="s">
        <v>5</v>
      </c>
      <c r="J179">
        <v>36.351999999999997</v>
      </c>
    </row>
    <row r="180" spans="2:10">
      <c r="B180" s="13" t="s">
        <v>3122</v>
      </c>
      <c r="C180" s="13">
        <v>19.559999999999999</v>
      </c>
      <c r="H180" t="s">
        <v>3137</v>
      </c>
      <c r="I180" t="s">
        <v>5</v>
      </c>
      <c r="J180">
        <v>19.559999999999999</v>
      </c>
    </row>
    <row r="181" spans="2:10">
      <c r="B181" s="13" t="s">
        <v>3125</v>
      </c>
      <c r="C181" s="13">
        <v>61.44</v>
      </c>
      <c r="H181" t="s">
        <v>3137</v>
      </c>
      <c r="I181" t="s">
        <v>5</v>
      </c>
      <c r="J181">
        <v>61.44</v>
      </c>
    </row>
    <row r="182" spans="2:10">
      <c r="B182" s="13" t="s">
        <v>3114</v>
      </c>
      <c r="C182" s="13">
        <v>38.9</v>
      </c>
      <c r="H182" t="s">
        <v>3137</v>
      </c>
      <c r="I182" t="s">
        <v>5</v>
      </c>
      <c r="J182">
        <v>38.9</v>
      </c>
    </row>
    <row r="183" spans="2:10">
      <c r="B183" s="13" t="s">
        <v>3120</v>
      </c>
      <c r="C183" s="13">
        <v>99.390000000000015</v>
      </c>
      <c r="H183" t="s">
        <v>3137</v>
      </c>
      <c r="I183" t="s">
        <v>4</v>
      </c>
      <c r="J183">
        <v>99.390000000000015</v>
      </c>
    </row>
    <row r="184" spans="2:10">
      <c r="B184" s="13" t="s">
        <v>3125</v>
      </c>
      <c r="C184" s="13">
        <v>2.6879999999999997</v>
      </c>
      <c r="H184" t="s">
        <v>3137</v>
      </c>
      <c r="I184" t="s">
        <v>5</v>
      </c>
      <c r="J184">
        <v>2.6879999999999997</v>
      </c>
    </row>
    <row r="185" spans="2:10">
      <c r="B185" s="13" t="s">
        <v>3120</v>
      </c>
      <c r="C185" s="13">
        <v>27.816000000000003</v>
      </c>
      <c r="H185" t="s">
        <v>3137</v>
      </c>
      <c r="I185" t="s">
        <v>4</v>
      </c>
      <c r="J185">
        <v>27.816000000000003</v>
      </c>
    </row>
    <row r="186" spans="2:10">
      <c r="B186" s="13" t="s">
        <v>3119</v>
      </c>
      <c r="C186" s="13">
        <v>82.524000000000001</v>
      </c>
      <c r="H186" t="s">
        <v>3137</v>
      </c>
      <c r="I186" t="s">
        <v>3</v>
      </c>
      <c r="J186">
        <v>82.524000000000001</v>
      </c>
    </row>
    <row r="187" spans="2:10">
      <c r="B187" s="13" t="s">
        <v>3118</v>
      </c>
      <c r="C187" s="13">
        <v>182.99399999999997</v>
      </c>
      <c r="H187" t="s">
        <v>3137</v>
      </c>
      <c r="I187" t="s">
        <v>5</v>
      </c>
      <c r="J187">
        <v>182.99399999999997</v>
      </c>
    </row>
    <row r="188" spans="2:10">
      <c r="B188" s="13" t="s">
        <v>3130</v>
      </c>
      <c r="C188" s="13">
        <v>7999.98</v>
      </c>
      <c r="H188" t="s">
        <v>3135</v>
      </c>
      <c r="I188" t="s">
        <v>4</v>
      </c>
      <c r="J188">
        <v>7999.98</v>
      </c>
    </row>
    <row r="189" spans="2:10">
      <c r="B189" s="13" t="s">
        <v>3125</v>
      </c>
      <c r="C189" s="13">
        <v>167.44000000000003</v>
      </c>
      <c r="H189" t="s">
        <v>3135</v>
      </c>
      <c r="I189" t="s">
        <v>5</v>
      </c>
      <c r="J189">
        <v>167.44000000000003</v>
      </c>
    </row>
    <row r="190" spans="2:10">
      <c r="B190" s="13" t="s">
        <v>3128</v>
      </c>
      <c r="C190" s="13">
        <v>191.98400000000001</v>
      </c>
      <c r="H190" t="s">
        <v>3136</v>
      </c>
      <c r="I190" t="s">
        <v>3</v>
      </c>
      <c r="J190">
        <v>191.98400000000001</v>
      </c>
    </row>
    <row r="191" spans="2:10">
      <c r="B191" s="13" t="s">
        <v>3119</v>
      </c>
      <c r="C191" s="13">
        <v>15.072000000000003</v>
      </c>
      <c r="H191" t="s">
        <v>3136</v>
      </c>
      <c r="I191" t="s">
        <v>3</v>
      </c>
      <c r="J191">
        <v>15.072000000000003</v>
      </c>
    </row>
    <row r="192" spans="2:10">
      <c r="B192" s="13" t="s">
        <v>3124</v>
      </c>
      <c r="C192" s="13">
        <v>24.448</v>
      </c>
      <c r="H192" t="s">
        <v>3135</v>
      </c>
      <c r="I192" t="s">
        <v>5</v>
      </c>
      <c r="J192">
        <v>24.448</v>
      </c>
    </row>
    <row r="193" spans="2:10">
      <c r="B193" s="13" t="s">
        <v>3125</v>
      </c>
      <c r="C193" s="13">
        <v>281.34000000000003</v>
      </c>
      <c r="H193" t="s">
        <v>3136</v>
      </c>
      <c r="I193" t="s">
        <v>5</v>
      </c>
      <c r="J193">
        <v>281.34000000000003</v>
      </c>
    </row>
    <row r="194" spans="2:10">
      <c r="B194" s="13" t="s">
        <v>3116</v>
      </c>
      <c r="C194" s="13">
        <v>307.98</v>
      </c>
      <c r="H194" t="s">
        <v>3136</v>
      </c>
      <c r="I194" t="s">
        <v>4</v>
      </c>
      <c r="J194">
        <v>307.98</v>
      </c>
    </row>
    <row r="195" spans="2:10">
      <c r="B195" s="13" t="s">
        <v>3120</v>
      </c>
      <c r="C195" s="13">
        <v>299.96999999999997</v>
      </c>
      <c r="H195" t="s">
        <v>3136</v>
      </c>
      <c r="I195" t="s">
        <v>4</v>
      </c>
      <c r="J195">
        <v>299.96999999999997</v>
      </c>
    </row>
    <row r="196" spans="2:10">
      <c r="B196" s="13" t="s">
        <v>3119</v>
      </c>
      <c r="C196" s="13">
        <v>103.05599999999998</v>
      </c>
      <c r="H196" t="s">
        <v>3136</v>
      </c>
      <c r="I196" t="s">
        <v>3</v>
      </c>
      <c r="J196">
        <v>103.05599999999998</v>
      </c>
    </row>
    <row r="197" spans="2:10">
      <c r="B197" s="13" t="s">
        <v>3124</v>
      </c>
      <c r="C197" s="13">
        <v>17.568000000000001</v>
      </c>
      <c r="H197" t="s">
        <v>3137</v>
      </c>
      <c r="I197" t="s">
        <v>5</v>
      </c>
      <c r="J197">
        <v>17.568000000000001</v>
      </c>
    </row>
    <row r="198" spans="2:10">
      <c r="B198" s="13" t="s">
        <v>3116</v>
      </c>
      <c r="C198" s="13">
        <v>55.991999999999997</v>
      </c>
      <c r="H198" t="s">
        <v>3137</v>
      </c>
      <c r="I198" t="s">
        <v>4</v>
      </c>
      <c r="J198">
        <v>55.991999999999997</v>
      </c>
    </row>
    <row r="199" spans="2:10">
      <c r="B199" s="13" t="s">
        <v>3117</v>
      </c>
      <c r="C199" s="13">
        <v>242.94</v>
      </c>
      <c r="H199" t="s">
        <v>3138</v>
      </c>
      <c r="I199" t="s">
        <v>5</v>
      </c>
      <c r="J199">
        <v>242.94</v>
      </c>
    </row>
    <row r="200" spans="2:10">
      <c r="B200" s="13" t="s">
        <v>3120</v>
      </c>
      <c r="C200" s="13">
        <v>179.97</v>
      </c>
      <c r="H200" t="s">
        <v>3138</v>
      </c>
      <c r="I200" t="s">
        <v>4</v>
      </c>
      <c r="J200">
        <v>179.97</v>
      </c>
    </row>
    <row r="201" spans="2:10">
      <c r="B201" s="13" t="s">
        <v>3118</v>
      </c>
      <c r="C201" s="13">
        <v>99.695999999999998</v>
      </c>
      <c r="H201" t="s">
        <v>3138</v>
      </c>
      <c r="I201" t="s">
        <v>5</v>
      </c>
      <c r="J201">
        <v>99.695999999999998</v>
      </c>
    </row>
    <row r="202" spans="2:10">
      <c r="B202" s="13" t="s">
        <v>3118</v>
      </c>
      <c r="C202" s="13">
        <v>27.936000000000003</v>
      </c>
      <c r="H202" t="s">
        <v>3138</v>
      </c>
      <c r="I202" t="s">
        <v>5</v>
      </c>
      <c r="J202">
        <v>27.936000000000003</v>
      </c>
    </row>
    <row r="203" spans="2:10">
      <c r="B203" s="13" t="s">
        <v>3128</v>
      </c>
      <c r="C203" s="13">
        <v>84.98</v>
      </c>
      <c r="H203" t="s">
        <v>3138</v>
      </c>
      <c r="I203" t="s">
        <v>3</v>
      </c>
      <c r="J203">
        <v>84.98</v>
      </c>
    </row>
    <row r="204" spans="2:10">
      <c r="B204" s="13" t="s">
        <v>3118</v>
      </c>
      <c r="C204" s="13">
        <v>18.72</v>
      </c>
      <c r="H204" t="s">
        <v>3138</v>
      </c>
      <c r="I204" t="s">
        <v>5</v>
      </c>
      <c r="J204">
        <v>18.72</v>
      </c>
    </row>
    <row r="205" spans="2:10">
      <c r="B205" s="13" t="s">
        <v>3118</v>
      </c>
      <c r="C205" s="13">
        <v>58.050000000000004</v>
      </c>
      <c r="H205" t="s">
        <v>3137</v>
      </c>
      <c r="I205" t="s">
        <v>5</v>
      </c>
      <c r="J205">
        <v>58.050000000000004</v>
      </c>
    </row>
    <row r="206" spans="2:10">
      <c r="B206" s="13" t="s">
        <v>3119</v>
      </c>
      <c r="C206" s="13">
        <v>157.74</v>
      </c>
      <c r="H206" t="s">
        <v>3137</v>
      </c>
      <c r="I206" t="s">
        <v>3</v>
      </c>
      <c r="J206">
        <v>157.74</v>
      </c>
    </row>
    <row r="207" spans="2:10">
      <c r="B207" s="13" t="s">
        <v>3122</v>
      </c>
      <c r="C207" s="13">
        <v>56.980000000000004</v>
      </c>
      <c r="H207" t="s">
        <v>3137</v>
      </c>
      <c r="I207" t="s">
        <v>5</v>
      </c>
      <c r="J207">
        <v>56.980000000000004</v>
      </c>
    </row>
    <row r="208" spans="2:10">
      <c r="B208" s="13" t="s">
        <v>3118</v>
      </c>
      <c r="C208" s="13">
        <v>2.88</v>
      </c>
      <c r="H208" t="s">
        <v>3137</v>
      </c>
      <c r="I208" t="s">
        <v>5</v>
      </c>
      <c r="J208">
        <v>2.88</v>
      </c>
    </row>
    <row r="209" spans="2:10">
      <c r="B209" s="13" t="s">
        <v>3118</v>
      </c>
      <c r="C209" s="13">
        <v>13.128</v>
      </c>
      <c r="H209" t="s">
        <v>3136</v>
      </c>
      <c r="I209" t="s">
        <v>5</v>
      </c>
      <c r="J209">
        <v>13.128</v>
      </c>
    </row>
    <row r="210" spans="2:10">
      <c r="B210" s="13" t="s">
        <v>3114</v>
      </c>
      <c r="C210" s="13">
        <v>22.72</v>
      </c>
      <c r="H210" t="s">
        <v>3137</v>
      </c>
      <c r="I210" t="s">
        <v>5</v>
      </c>
      <c r="J210">
        <v>22.72</v>
      </c>
    </row>
    <row r="211" spans="2:10">
      <c r="B211" s="13" t="s">
        <v>3121</v>
      </c>
      <c r="C211" s="13">
        <v>12.39</v>
      </c>
      <c r="H211" t="s">
        <v>3135</v>
      </c>
      <c r="I211" t="s">
        <v>5</v>
      </c>
      <c r="J211">
        <v>12.39</v>
      </c>
    </row>
    <row r="212" spans="2:10">
      <c r="B212" s="13" t="s">
        <v>3118</v>
      </c>
      <c r="C212" s="13">
        <v>18.28</v>
      </c>
      <c r="H212" t="s">
        <v>3137</v>
      </c>
      <c r="I212" t="s">
        <v>5</v>
      </c>
      <c r="J212">
        <v>18.28</v>
      </c>
    </row>
    <row r="213" spans="2:10">
      <c r="B213" s="13" t="s">
        <v>3116</v>
      </c>
      <c r="C213" s="13">
        <v>207</v>
      </c>
      <c r="H213" t="s">
        <v>3137</v>
      </c>
      <c r="I213" t="s">
        <v>4</v>
      </c>
      <c r="J213">
        <v>207</v>
      </c>
    </row>
    <row r="214" spans="2:10">
      <c r="B214" s="13" t="s">
        <v>3118</v>
      </c>
      <c r="C214" s="13">
        <v>32.35</v>
      </c>
      <c r="H214" t="s">
        <v>3137</v>
      </c>
      <c r="I214" t="s">
        <v>5</v>
      </c>
      <c r="J214">
        <v>32.35</v>
      </c>
    </row>
    <row r="215" spans="2:10">
      <c r="B215" s="13" t="s">
        <v>3118</v>
      </c>
      <c r="C215" s="13">
        <v>7.71</v>
      </c>
      <c r="H215" t="s">
        <v>3137</v>
      </c>
      <c r="I215" t="s">
        <v>5</v>
      </c>
      <c r="J215">
        <v>7.71</v>
      </c>
    </row>
    <row r="216" spans="2:10">
      <c r="B216" s="13" t="s">
        <v>3122</v>
      </c>
      <c r="C216" s="13">
        <v>40.299999999999997</v>
      </c>
      <c r="H216" t="s">
        <v>3137</v>
      </c>
      <c r="I216" t="s">
        <v>5</v>
      </c>
      <c r="J216">
        <v>40.299999999999997</v>
      </c>
    </row>
    <row r="217" spans="2:10">
      <c r="B217" s="13" t="s">
        <v>3119</v>
      </c>
      <c r="C217" s="13">
        <v>34.580000000000005</v>
      </c>
      <c r="H217" t="s">
        <v>3137</v>
      </c>
      <c r="I217" t="s">
        <v>3</v>
      </c>
      <c r="J217">
        <v>34.580000000000005</v>
      </c>
    </row>
    <row r="218" spans="2:10">
      <c r="B218" s="13" t="s">
        <v>3118</v>
      </c>
      <c r="C218" s="13">
        <v>17.456</v>
      </c>
      <c r="H218" t="s">
        <v>3138</v>
      </c>
      <c r="I218" t="s">
        <v>5</v>
      </c>
      <c r="J218">
        <v>17.456</v>
      </c>
    </row>
    <row r="219" spans="2:10">
      <c r="B219" s="13" t="s">
        <v>3118</v>
      </c>
      <c r="C219" s="13">
        <v>20.16</v>
      </c>
      <c r="H219" t="s">
        <v>3137</v>
      </c>
      <c r="I219" t="s">
        <v>5</v>
      </c>
      <c r="J219">
        <v>20.16</v>
      </c>
    </row>
    <row r="220" spans="2:10">
      <c r="B220" s="13" t="s">
        <v>3119</v>
      </c>
      <c r="C220" s="13">
        <v>22.23</v>
      </c>
      <c r="H220" t="s">
        <v>3138</v>
      </c>
      <c r="I220" t="s">
        <v>3</v>
      </c>
      <c r="J220">
        <v>22.23</v>
      </c>
    </row>
    <row r="221" spans="2:10">
      <c r="B221" s="13" t="s">
        <v>3116</v>
      </c>
      <c r="C221" s="13">
        <v>215.96799999999999</v>
      </c>
      <c r="H221" t="s">
        <v>3138</v>
      </c>
      <c r="I221" t="s">
        <v>4</v>
      </c>
      <c r="J221">
        <v>215.96799999999999</v>
      </c>
    </row>
    <row r="222" spans="2:10">
      <c r="B222" s="13" t="s">
        <v>3119</v>
      </c>
      <c r="C222" s="13">
        <v>18.28</v>
      </c>
      <c r="H222" t="s">
        <v>3138</v>
      </c>
      <c r="I222" t="s">
        <v>3</v>
      </c>
      <c r="J222">
        <v>18.28</v>
      </c>
    </row>
    <row r="223" spans="2:10">
      <c r="B223" s="13" t="s">
        <v>3119</v>
      </c>
      <c r="C223" s="13">
        <v>18.28</v>
      </c>
      <c r="H223" t="s">
        <v>3138</v>
      </c>
      <c r="I223" t="s">
        <v>3</v>
      </c>
      <c r="J223">
        <v>18.28</v>
      </c>
    </row>
    <row r="224" spans="2:10">
      <c r="B224" s="13" t="s">
        <v>3120</v>
      </c>
      <c r="C224" s="13">
        <v>1399.93</v>
      </c>
      <c r="H224" t="s">
        <v>3138</v>
      </c>
      <c r="I224" t="s">
        <v>4</v>
      </c>
      <c r="J224">
        <v>1399.93</v>
      </c>
    </row>
    <row r="225" spans="2:10">
      <c r="B225" s="13" t="s">
        <v>3120</v>
      </c>
      <c r="C225" s="13">
        <v>239.96999999999997</v>
      </c>
      <c r="H225" t="s">
        <v>3136</v>
      </c>
      <c r="I225" t="s">
        <v>4</v>
      </c>
      <c r="J225">
        <v>239.96999999999997</v>
      </c>
    </row>
    <row r="226" spans="2:10">
      <c r="B226" s="13" t="s">
        <v>3121</v>
      </c>
      <c r="C226" s="13">
        <v>9.82</v>
      </c>
      <c r="H226" t="s">
        <v>3136</v>
      </c>
      <c r="I226" t="s">
        <v>5</v>
      </c>
      <c r="J226">
        <v>9.82</v>
      </c>
    </row>
    <row r="227" spans="2:10">
      <c r="B227" s="13" t="s">
        <v>3123</v>
      </c>
      <c r="C227" s="13">
        <v>35</v>
      </c>
      <c r="H227" t="s">
        <v>3137</v>
      </c>
      <c r="I227" t="s">
        <v>5</v>
      </c>
      <c r="J227">
        <v>35</v>
      </c>
    </row>
    <row r="228" spans="2:10">
      <c r="B228" s="13" t="s">
        <v>3129</v>
      </c>
      <c r="C228" s="13">
        <v>37.24</v>
      </c>
      <c r="H228" t="s">
        <v>3137</v>
      </c>
      <c r="I228" t="s">
        <v>5</v>
      </c>
      <c r="J228">
        <v>37.24</v>
      </c>
    </row>
    <row r="229" spans="2:10">
      <c r="B229" s="13" t="s">
        <v>3124</v>
      </c>
      <c r="C229" s="13">
        <v>15.28</v>
      </c>
      <c r="H229" t="s">
        <v>3137</v>
      </c>
      <c r="I229" t="s">
        <v>5</v>
      </c>
      <c r="J229">
        <v>15.28</v>
      </c>
    </row>
    <row r="230" spans="2:10">
      <c r="B230" s="13" t="s">
        <v>3115</v>
      </c>
      <c r="C230" s="13">
        <v>301.95999999999998</v>
      </c>
      <c r="H230" t="s">
        <v>3135</v>
      </c>
      <c r="I230" t="s">
        <v>3</v>
      </c>
      <c r="J230">
        <v>301.95999999999998</v>
      </c>
    </row>
    <row r="231" spans="2:10">
      <c r="B231" s="13" t="s">
        <v>3125</v>
      </c>
      <c r="C231" s="13">
        <v>180.66</v>
      </c>
      <c r="H231" t="s">
        <v>3135</v>
      </c>
      <c r="I231" t="s">
        <v>5</v>
      </c>
      <c r="J231">
        <v>180.66</v>
      </c>
    </row>
    <row r="232" spans="2:10">
      <c r="B232" s="13" t="s">
        <v>3116</v>
      </c>
      <c r="C232" s="13">
        <v>191.98</v>
      </c>
      <c r="H232" t="s">
        <v>3135</v>
      </c>
      <c r="I232" t="s">
        <v>4</v>
      </c>
      <c r="J232">
        <v>191.98</v>
      </c>
    </row>
    <row r="233" spans="2:10">
      <c r="B233" s="13" t="s">
        <v>3116</v>
      </c>
      <c r="C233" s="13">
        <v>65.989999999999995</v>
      </c>
      <c r="H233" t="s">
        <v>3135</v>
      </c>
      <c r="I233" t="s">
        <v>4</v>
      </c>
      <c r="J233">
        <v>65.989999999999995</v>
      </c>
    </row>
    <row r="234" spans="2:10">
      <c r="B234" s="13" t="s">
        <v>3114</v>
      </c>
      <c r="C234" s="13">
        <v>9.6640000000000015</v>
      </c>
      <c r="H234" t="s">
        <v>3135</v>
      </c>
      <c r="I234" t="s">
        <v>5</v>
      </c>
      <c r="J234">
        <v>9.6640000000000015</v>
      </c>
    </row>
    <row r="235" spans="2:10">
      <c r="B235" s="13" t="s">
        <v>3119</v>
      </c>
      <c r="C235" s="13">
        <v>48.896000000000001</v>
      </c>
      <c r="H235" t="s">
        <v>3136</v>
      </c>
      <c r="I235" t="s">
        <v>3</v>
      </c>
      <c r="J235">
        <v>48.896000000000001</v>
      </c>
    </row>
    <row r="236" spans="2:10">
      <c r="B236" s="13" t="s">
        <v>3114</v>
      </c>
      <c r="C236" s="13">
        <v>7.61</v>
      </c>
      <c r="H236" t="s">
        <v>3136</v>
      </c>
      <c r="I236" t="s">
        <v>5</v>
      </c>
      <c r="J236">
        <v>7.61</v>
      </c>
    </row>
    <row r="237" spans="2:10">
      <c r="B237" s="13" t="s">
        <v>3123</v>
      </c>
      <c r="C237" s="13">
        <v>7.16</v>
      </c>
      <c r="H237" t="s">
        <v>3136</v>
      </c>
      <c r="I237" t="s">
        <v>5</v>
      </c>
      <c r="J237">
        <v>7.16</v>
      </c>
    </row>
    <row r="238" spans="2:10">
      <c r="B238" s="13" t="s">
        <v>3114</v>
      </c>
      <c r="C238" s="13">
        <v>192.16000000000003</v>
      </c>
      <c r="H238" t="s">
        <v>3135</v>
      </c>
      <c r="I238" t="s">
        <v>5</v>
      </c>
      <c r="J238">
        <v>192.16000000000003</v>
      </c>
    </row>
    <row r="239" spans="2:10">
      <c r="B239" s="13" t="s">
        <v>3118</v>
      </c>
      <c r="C239" s="13">
        <v>68.472000000000008</v>
      </c>
      <c r="H239" t="s">
        <v>3136</v>
      </c>
      <c r="I239" t="s">
        <v>5</v>
      </c>
      <c r="J239">
        <v>68.472000000000008</v>
      </c>
    </row>
    <row r="240" spans="2:10">
      <c r="B240" s="13" t="s">
        <v>3115</v>
      </c>
      <c r="C240" s="13">
        <v>1242.8999999999999</v>
      </c>
      <c r="H240" t="s">
        <v>3136</v>
      </c>
      <c r="I240" t="s">
        <v>3</v>
      </c>
      <c r="J240">
        <v>1242.8999999999999</v>
      </c>
    </row>
    <row r="241" spans="2:10">
      <c r="B241" s="13" t="s">
        <v>3122</v>
      </c>
      <c r="C241" s="13">
        <v>13.48</v>
      </c>
      <c r="H241" t="s">
        <v>3138</v>
      </c>
      <c r="I241" t="s">
        <v>5</v>
      </c>
      <c r="J241">
        <v>13.48</v>
      </c>
    </row>
    <row r="242" spans="2:10">
      <c r="B242" s="13" t="s">
        <v>3117</v>
      </c>
      <c r="C242" s="13">
        <v>83.76</v>
      </c>
      <c r="H242" t="s">
        <v>3138</v>
      </c>
      <c r="I242" t="s">
        <v>5</v>
      </c>
      <c r="J242">
        <v>83.76</v>
      </c>
    </row>
    <row r="243" spans="2:10">
      <c r="B243" s="13" t="s">
        <v>3118</v>
      </c>
      <c r="C243" s="13">
        <v>37.659999999999997</v>
      </c>
      <c r="H243" t="s">
        <v>3136</v>
      </c>
      <c r="I243" t="s">
        <v>5</v>
      </c>
      <c r="J243">
        <v>37.659999999999997</v>
      </c>
    </row>
    <row r="244" spans="2:10">
      <c r="B244" s="13" t="s">
        <v>3120</v>
      </c>
      <c r="C244" s="13">
        <v>149.94999999999999</v>
      </c>
      <c r="H244" t="s">
        <v>3136</v>
      </c>
      <c r="I244" t="s">
        <v>4</v>
      </c>
      <c r="J244">
        <v>149.94999999999999</v>
      </c>
    </row>
    <row r="245" spans="2:10">
      <c r="B245" s="13" t="s">
        <v>3118</v>
      </c>
      <c r="C245" s="13">
        <v>51.311999999999998</v>
      </c>
      <c r="H245" t="s">
        <v>3136</v>
      </c>
      <c r="I245" t="s">
        <v>5</v>
      </c>
      <c r="J245">
        <v>51.311999999999998</v>
      </c>
    </row>
    <row r="246" spans="2:10">
      <c r="B246" s="13" t="s">
        <v>3114</v>
      </c>
      <c r="C246" s="13">
        <v>4.54</v>
      </c>
      <c r="H246" t="s">
        <v>3137</v>
      </c>
      <c r="I246" t="s">
        <v>5</v>
      </c>
      <c r="J246">
        <v>4.54</v>
      </c>
    </row>
    <row r="247" spans="2:10">
      <c r="B247" s="13" t="s">
        <v>3122</v>
      </c>
      <c r="C247" s="13">
        <v>15.92</v>
      </c>
      <c r="H247" t="s">
        <v>3137</v>
      </c>
      <c r="I247" t="s">
        <v>5</v>
      </c>
      <c r="J247">
        <v>15.92</v>
      </c>
    </row>
    <row r="248" spans="2:10">
      <c r="B248" s="13" t="s">
        <v>3116</v>
      </c>
      <c r="C248" s="13">
        <v>543.91999999999996</v>
      </c>
      <c r="H248" t="s">
        <v>3137</v>
      </c>
      <c r="I248" t="s">
        <v>4</v>
      </c>
      <c r="J248">
        <v>543.91999999999996</v>
      </c>
    </row>
    <row r="249" spans="2:10">
      <c r="B249" s="13" t="s">
        <v>3114</v>
      </c>
      <c r="C249" s="13">
        <v>46.96</v>
      </c>
      <c r="H249" t="s">
        <v>3136</v>
      </c>
      <c r="I249" t="s">
        <v>5</v>
      </c>
      <c r="J249">
        <v>46.96</v>
      </c>
    </row>
    <row r="250" spans="2:10">
      <c r="B250" s="13" t="s">
        <v>3121</v>
      </c>
      <c r="C250" s="13">
        <v>10.440000000000001</v>
      </c>
      <c r="H250" t="s">
        <v>3137</v>
      </c>
      <c r="I250" t="s">
        <v>5</v>
      </c>
      <c r="J250">
        <v>10.440000000000001</v>
      </c>
    </row>
    <row r="251" spans="2:10">
      <c r="B251" s="13" t="s">
        <v>3118</v>
      </c>
      <c r="C251" s="13">
        <v>18.335999999999999</v>
      </c>
      <c r="H251" t="s">
        <v>3137</v>
      </c>
      <c r="I251" t="s">
        <v>5</v>
      </c>
      <c r="J251">
        <v>18.335999999999999</v>
      </c>
    </row>
    <row r="252" spans="2:10">
      <c r="B252" s="13" t="s">
        <v>3116</v>
      </c>
      <c r="C252" s="13">
        <v>323.97600000000006</v>
      </c>
      <c r="H252" t="s">
        <v>3137</v>
      </c>
      <c r="I252" t="s">
        <v>4</v>
      </c>
      <c r="J252">
        <v>323.97600000000006</v>
      </c>
    </row>
    <row r="253" spans="2:10">
      <c r="B253" s="13" t="s">
        <v>3128</v>
      </c>
      <c r="C253" s="13">
        <v>323.13600000000002</v>
      </c>
      <c r="H253" t="s">
        <v>3136</v>
      </c>
      <c r="I253" t="s">
        <v>3</v>
      </c>
      <c r="J253">
        <v>323.13600000000002</v>
      </c>
    </row>
    <row r="254" spans="2:10">
      <c r="B254" s="13" t="s">
        <v>3116</v>
      </c>
      <c r="C254" s="13">
        <v>90.93</v>
      </c>
      <c r="H254" t="s">
        <v>3136</v>
      </c>
      <c r="I254" t="s">
        <v>4</v>
      </c>
      <c r="J254">
        <v>90.93</v>
      </c>
    </row>
    <row r="255" spans="2:10">
      <c r="B255" s="13" t="s">
        <v>3118</v>
      </c>
      <c r="C255" s="13">
        <v>52.775999999999996</v>
      </c>
      <c r="H255" t="s">
        <v>3136</v>
      </c>
      <c r="I255" t="s">
        <v>5</v>
      </c>
      <c r="J255">
        <v>52.775999999999996</v>
      </c>
    </row>
    <row r="256" spans="2:10">
      <c r="B256" s="13" t="s">
        <v>3116</v>
      </c>
      <c r="C256" s="13">
        <v>1199.8</v>
      </c>
      <c r="H256" t="s">
        <v>3137</v>
      </c>
      <c r="I256" t="s">
        <v>4</v>
      </c>
      <c r="J256">
        <v>1199.8</v>
      </c>
    </row>
    <row r="257" spans="2:10">
      <c r="B257" s="13" t="s">
        <v>3120</v>
      </c>
      <c r="C257" s="13">
        <v>1928.7800000000002</v>
      </c>
      <c r="H257" t="s">
        <v>3137</v>
      </c>
      <c r="I257" t="s">
        <v>4</v>
      </c>
      <c r="J257">
        <v>1928.7800000000002</v>
      </c>
    </row>
    <row r="258" spans="2:10">
      <c r="B258" s="13" t="s">
        <v>3117</v>
      </c>
      <c r="C258" s="13">
        <v>352.38</v>
      </c>
      <c r="H258" t="s">
        <v>3137</v>
      </c>
      <c r="I258" t="s">
        <v>5</v>
      </c>
      <c r="J258">
        <v>352.38</v>
      </c>
    </row>
    <row r="259" spans="2:10">
      <c r="B259" s="13" t="s">
        <v>3119</v>
      </c>
      <c r="C259" s="13">
        <v>46.94</v>
      </c>
      <c r="H259" t="s">
        <v>3137</v>
      </c>
      <c r="I259" t="s">
        <v>3</v>
      </c>
      <c r="J259">
        <v>46.94</v>
      </c>
    </row>
    <row r="260" spans="2:10">
      <c r="B260" s="13" t="s">
        <v>3120</v>
      </c>
      <c r="C260" s="13">
        <v>143.73000000000002</v>
      </c>
      <c r="H260" t="s">
        <v>3137</v>
      </c>
      <c r="I260" t="s">
        <v>4</v>
      </c>
      <c r="J260">
        <v>143.73000000000002</v>
      </c>
    </row>
    <row r="261" spans="2:10">
      <c r="B261" s="13" t="s">
        <v>3122</v>
      </c>
      <c r="C261" s="13">
        <v>14.592000000000002</v>
      </c>
      <c r="H261" t="s">
        <v>3136</v>
      </c>
      <c r="I261" t="s">
        <v>5</v>
      </c>
      <c r="J261">
        <v>14.592000000000002</v>
      </c>
    </row>
    <row r="262" spans="2:10">
      <c r="B262" s="13" t="s">
        <v>3122</v>
      </c>
      <c r="C262" s="13">
        <v>89.855999999999995</v>
      </c>
      <c r="H262" t="s">
        <v>3136</v>
      </c>
      <c r="I262" t="s">
        <v>5</v>
      </c>
      <c r="J262">
        <v>89.855999999999995</v>
      </c>
    </row>
    <row r="263" spans="2:10">
      <c r="B263" s="13" t="s">
        <v>3114</v>
      </c>
      <c r="C263" s="13">
        <v>13.872000000000002</v>
      </c>
      <c r="H263" t="s">
        <v>3136</v>
      </c>
      <c r="I263" t="s">
        <v>5</v>
      </c>
      <c r="J263">
        <v>13.872000000000002</v>
      </c>
    </row>
    <row r="264" spans="2:10">
      <c r="B264" s="13" t="s">
        <v>3114</v>
      </c>
      <c r="C264" s="13">
        <v>12.192</v>
      </c>
      <c r="H264" t="s">
        <v>3136</v>
      </c>
      <c r="I264" t="s">
        <v>5</v>
      </c>
      <c r="J264">
        <v>12.192</v>
      </c>
    </row>
    <row r="265" spans="2:10">
      <c r="B265" s="13" t="s">
        <v>3120</v>
      </c>
      <c r="C265" s="13">
        <v>159.99</v>
      </c>
      <c r="H265" t="s">
        <v>3138</v>
      </c>
      <c r="I265" t="s">
        <v>4</v>
      </c>
      <c r="J265">
        <v>159.99</v>
      </c>
    </row>
    <row r="266" spans="2:10">
      <c r="B266" s="13" t="s">
        <v>3119</v>
      </c>
      <c r="C266" s="13">
        <v>516.48800000000006</v>
      </c>
      <c r="H266" t="s">
        <v>3136</v>
      </c>
      <c r="I266" t="s">
        <v>3</v>
      </c>
      <c r="J266">
        <v>516.48800000000006</v>
      </c>
    </row>
    <row r="267" spans="2:10">
      <c r="B267" s="13" t="s">
        <v>3119</v>
      </c>
      <c r="C267" s="13">
        <v>1007.2320000000001</v>
      </c>
      <c r="H267" t="s">
        <v>3136</v>
      </c>
      <c r="I267" t="s">
        <v>3</v>
      </c>
      <c r="J267">
        <v>1007.2320000000001</v>
      </c>
    </row>
    <row r="268" spans="2:10">
      <c r="B268" s="13" t="s">
        <v>3126</v>
      </c>
      <c r="C268" s="13">
        <v>2065.3200000000002</v>
      </c>
      <c r="H268" t="s">
        <v>3136</v>
      </c>
      <c r="I268" t="s">
        <v>3</v>
      </c>
      <c r="J268">
        <v>2065.3200000000002</v>
      </c>
    </row>
    <row r="269" spans="2:10">
      <c r="B269" s="13" t="s">
        <v>3114</v>
      </c>
      <c r="C269" s="13">
        <v>15.552000000000003</v>
      </c>
      <c r="H269" t="s">
        <v>3136</v>
      </c>
      <c r="I269" t="s">
        <v>5</v>
      </c>
      <c r="J269">
        <v>15.552000000000003</v>
      </c>
    </row>
    <row r="270" spans="2:10">
      <c r="B270" s="13" t="s">
        <v>3114</v>
      </c>
      <c r="C270" s="13">
        <v>25.344000000000001</v>
      </c>
      <c r="H270" t="s">
        <v>3136</v>
      </c>
      <c r="I270" t="s">
        <v>5</v>
      </c>
      <c r="J270">
        <v>25.344000000000001</v>
      </c>
    </row>
    <row r="271" spans="2:10">
      <c r="B271" s="13" t="s">
        <v>3119</v>
      </c>
      <c r="C271" s="13">
        <v>25.472000000000001</v>
      </c>
      <c r="H271" t="s">
        <v>3136</v>
      </c>
      <c r="I271" t="s">
        <v>3</v>
      </c>
      <c r="J271">
        <v>25.472000000000001</v>
      </c>
    </row>
    <row r="272" spans="2:10">
      <c r="B272" s="13" t="s">
        <v>3122</v>
      </c>
      <c r="C272" s="13">
        <v>27.168000000000003</v>
      </c>
      <c r="H272" t="s">
        <v>3137</v>
      </c>
      <c r="I272" t="s">
        <v>5</v>
      </c>
      <c r="J272">
        <v>27.168000000000003</v>
      </c>
    </row>
    <row r="273" spans="2:10">
      <c r="B273" s="13" t="s">
        <v>3128</v>
      </c>
      <c r="C273" s="13">
        <v>78.852799999999988</v>
      </c>
      <c r="H273" t="s">
        <v>3137</v>
      </c>
      <c r="I273" t="s">
        <v>3</v>
      </c>
      <c r="J273">
        <v>78.852799999999988</v>
      </c>
    </row>
    <row r="274" spans="2:10">
      <c r="B274" s="13" t="s">
        <v>3117</v>
      </c>
      <c r="C274" s="13">
        <v>173.79999999999998</v>
      </c>
      <c r="H274" t="s">
        <v>3135</v>
      </c>
      <c r="I274" t="s">
        <v>5</v>
      </c>
      <c r="J274">
        <v>173.79999999999998</v>
      </c>
    </row>
    <row r="275" spans="2:10">
      <c r="B275" s="13" t="s">
        <v>3116</v>
      </c>
      <c r="C275" s="13">
        <v>29.592000000000002</v>
      </c>
      <c r="H275" t="s">
        <v>3138</v>
      </c>
      <c r="I275" t="s">
        <v>4</v>
      </c>
      <c r="J275">
        <v>29.592000000000002</v>
      </c>
    </row>
    <row r="276" spans="2:10">
      <c r="B276" s="13" t="s">
        <v>3118</v>
      </c>
      <c r="C276" s="13">
        <v>4.7520000000000007</v>
      </c>
      <c r="H276" t="s">
        <v>3138</v>
      </c>
      <c r="I276" t="s">
        <v>5</v>
      </c>
      <c r="J276">
        <v>4.7520000000000007</v>
      </c>
    </row>
    <row r="277" spans="2:10">
      <c r="B277" s="13" t="s">
        <v>3114</v>
      </c>
      <c r="C277" s="13">
        <v>15.552000000000003</v>
      </c>
      <c r="H277" t="s">
        <v>3138</v>
      </c>
      <c r="I277" t="s">
        <v>5</v>
      </c>
      <c r="J277">
        <v>15.552000000000003</v>
      </c>
    </row>
    <row r="278" spans="2:10">
      <c r="B278" s="13" t="s">
        <v>3115</v>
      </c>
      <c r="C278" s="13">
        <v>321.56799999999998</v>
      </c>
      <c r="H278" t="s">
        <v>3138</v>
      </c>
      <c r="I278" t="s">
        <v>3</v>
      </c>
      <c r="J278">
        <v>321.56799999999998</v>
      </c>
    </row>
    <row r="279" spans="2:10">
      <c r="B279" s="13" t="s">
        <v>3121</v>
      </c>
      <c r="C279" s="13">
        <v>9.82</v>
      </c>
      <c r="H279" t="s">
        <v>3136</v>
      </c>
      <c r="I279" t="s">
        <v>5</v>
      </c>
      <c r="J279">
        <v>9.82</v>
      </c>
    </row>
    <row r="280" spans="2:10">
      <c r="B280" s="13" t="s">
        <v>3122</v>
      </c>
      <c r="C280" s="13">
        <v>35.97</v>
      </c>
      <c r="H280" t="s">
        <v>3136</v>
      </c>
      <c r="I280" t="s">
        <v>5</v>
      </c>
      <c r="J280">
        <v>35.97</v>
      </c>
    </row>
    <row r="281" spans="2:10">
      <c r="B281" s="13" t="s">
        <v>3114</v>
      </c>
      <c r="C281" s="13">
        <v>12.96</v>
      </c>
      <c r="H281" t="s">
        <v>3136</v>
      </c>
      <c r="I281" t="s">
        <v>5</v>
      </c>
      <c r="J281">
        <v>12.96</v>
      </c>
    </row>
    <row r="282" spans="2:10">
      <c r="B282" s="13" t="s">
        <v>3114</v>
      </c>
      <c r="C282" s="13">
        <v>191.6</v>
      </c>
      <c r="H282" t="s">
        <v>3136</v>
      </c>
      <c r="I282" t="s">
        <v>5</v>
      </c>
      <c r="J282">
        <v>191.6</v>
      </c>
    </row>
    <row r="283" spans="2:10">
      <c r="B283" s="13" t="s">
        <v>3121</v>
      </c>
      <c r="C283" s="13">
        <v>8.64</v>
      </c>
      <c r="H283" t="s">
        <v>3136</v>
      </c>
      <c r="I283" t="s">
        <v>5</v>
      </c>
      <c r="J283">
        <v>8.64</v>
      </c>
    </row>
    <row r="284" spans="2:10">
      <c r="B284" s="13" t="s">
        <v>3117</v>
      </c>
      <c r="C284" s="13">
        <v>501.81000000000006</v>
      </c>
      <c r="H284" t="s">
        <v>3136</v>
      </c>
      <c r="I284" t="s">
        <v>5</v>
      </c>
      <c r="J284">
        <v>501.81000000000006</v>
      </c>
    </row>
    <row r="285" spans="2:10">
      <c r="B285" s="13" t="s">
        <v>3116</v>
      </c>
      <c r="C285" s="13">
        <v>160.92999999999998</v>
      </c>
      <c r="H285" t="s">
        <v>3136</v>
      </c>
      <c r="I285" t="s">
        <v>4</v>
      </c>
      <c r="J285">
        <v>160.92999999999998</v>
      </c>
    </row>
    <row r="286" spans="2:10">
      <c r="B286" s="13" t="s">
        <v>3118</v>
      </c>
      <c r="C286" s="13">
        <v>75.792000000000002</v>
      </c>
      <c r="H286" t="s">
        <v>3136</v>
      </c>
      <c r="I286" t="s">
        <v>5</v>
      </c>
      <c r="J286">
        <v>75.792000000000002</v>
      </c>
    </row>
    <row r="287" spans="2:10">
      <c r="B287" s="13" t="s">
        <v>3118</v>
      </c>
      <c r="C287" s="13">
        <v>1.0800000000000003</v>
      </c>
      <c r="H287" t="s">
        <v>3138</v>
      </c>
      <c r="I287" t="s">
        <v>5</v>
      </c>
      <c r="J287">
        <v>1.0800000000000003</v>
      </c>
    </row>
    <row r="288" spans="2:10">
      <c r="B288" s="13" t="s">
        <v>3130</v>
      </c>
      <c r="C288" s="13">
        <v>3059.982</v>
      </c>
      <c r="H288" t="s">
        <v>3137</v>
      </c>
      <c r="I288" t="s">
        <v>4</v>
      </c>
      <c r="J288">
        <v>3059.982</v>
      </c>
    </row>
    <row r="289" spans="2:10">
      <c r="B289" s="13" t="s">
        <v>3121</v>
      </c>
      <c r="C289" s="13">
        <v>7.9680000000000009</v>
      </c>
      <c r="H289" t="s">
        <v>3137</v>
      </c>
      <c r="I289" t="s">
        <v>5</v>
      </c>
      <c r="J289">
        <v>7.9680000000000009</v>
      </c>
    </row>
    <row r="290" spans="2:10">
      <c r="B290" s="13" t="s">
        <v>3124</v>
      </c>
      <c r="C290" s="13">
        <v>27.968000000000004</v>
      </c>
      <c r="H290" t="s">
        <v>3137</v>
      </c>
      <c r="I290" t="s">
        <v>5</v>
      </c>
      <c r="J290">
        <v>27.968000000000004</v>
      </c>
    </row>
    <row r="291" spans="2:10">
      <c r="B291" s="13" t="s">
        <v>3130</v>
      </c>
      <c r="C291" s="13">
        <v>336.51</v>
      </c>
      <c r="H291" t="s">
        <v>3137</v>
      </c>
      <c r="I291" t="s">
        <v>4</v>
      </c>
      <c r="J291">
        <v>336.51</v>
      </c>
    </row>
    <row r="292" spans="2:10">
      <c r="B292" s="13" t="s">
        <v>3119</v>
      </c>
      <c r="C292" s="13">
        <v>520.05000000000007</v>
      </c>
      <c r="H292" t="s">
        <v>3136</v>
      </c>
      <c r="I292" t="s">
        <v>3</v>
      </c>
      <c r="J292">
        <v>520.05000000000007</v>
      </c>
    </row>
    <row r="293" spans="2:10">
      <c r="B293" s="13" t="s">
        <v>3122</v>
      </c>
      <c r="C293" s="13">
        <v>17.97</v>
      </c>
      <c r="H293" t="s">
        <v>3136</v>
      </c>
      <c r="I293" t="s">
        <v>5</v>
      </c>
      <c r="J293">
        <v>17.97</v>
      </c>
    </row>
    <row r="294" spans="2:10">
      <c r="B294" s="13" t="s">
        <v>3114</v>
      </c>
      <c r="C294" s="13">
        <v>44.75</v>
      </c>
      <c r="H294" t="s">
        <v>3137</v>
      </c>
      <c r="I294" t="s">
        <v>5</v>
      </c>
      <c r="J294">
        <v>44.75</v>
      </c>
    </row>
    <row r="295" spans="2:10">
      <c r="B295" s="13" t="s">
        <v>3116</v>
      </c>
      <c r="C295" s="13">
        <v>95.984000000000009</v>
      </c>
      <c r="H295" t="s">
        <v>3137</v>
      </c>
      <c r="I295" t="s">
        <v>4</v>
      </c>
      <c r="J295">
        <v>95.984000000000009</v>
      </c>
    </row>
    <row r="296" spans="2:10">
      <c r="B296" s="13" t="s">
        <v>3119</v>
      </c>
      <c r="C296" s="13">
        <v>155.25</v>
      </c>
      <c r="H296" t="s">
        <v>3138</v>
      </c>
      <c r="I296" t="s">
        <v>3</v>
      </c>
      <c r="J296">
        <v>155.25</v>
      </c>
    </row>
    <row r="297" spans="2:10">
      <c r="B297" s="13" t="s">
        <v>3117</v>
      </c>
      <c r="C297" s="13">
        <v>14.03</v>
      </c>
      <c r="H297" t="s">
        <v>3138</v>
      </c>
      <c r="I297" t="s">
        <v>5</v>
      </c>
      <c r="J297">
        <v>14.03</v>
      </c>
    </row>
    <row r="298" spans="2:10">
      <c r="B298" s="13" t="s">
        <v>3118</v>
      </c>
      <c r="C298" s="13">
        <v>11.808</v>
      </c>
      <c r="H298" t="s">
        <v>3138</v>
      </c>
      <c r="I298" t="s">
        <v>5</v>
      </c>
      <c r="J298">
        <v>11.808</v>
      </c>
    </row>
    <row r="299" spans="2:10">
      <c r="B299" s="13" t="s">
        <v>3122</v>
      </c>
      <c r="C299" s="13">
        <v>23.968000000000004</v>
      </c>
      <c r="H299" t="s">
        <v>3135</v>
      </c>
      <c r="I299" t="s">
        <v>5</v>
      </c>
      <c r="J299">
        <v>23.968000000000004</v>
      </c>
    </row>
    <row r="300" spans="2:10">
      <c r="B300" s="13" t="s">
        <v>3122</v>
      </c>
      <c r="C300" s="13">
        <v>28.728000000000002</v>
      </c>
      <c r="H300" t="s">
        <v>3135</v>
      </c>
      <c r="I300" t="s">
        <v>5</v>
      </c>
      <c r="J300">
        <v>28.728000000000002</v>
      </c>
    </row>
    <row r="301" spans="2:10">
      <c r="B301" s="13" t="s">
        <v>3122</v>
      </c>
      <c r="C301" s="13">
        <v>8.84</v>
      </c>
      <c r="H301" t="s">
        <v>3137</v>
      </c>
      <c r="I301" t="s">
        <v>5</v>
      </c>
      <c r="J301">
        <v>8.84</v>
      </c>
    </row>
    <row r="302" spans="2:10">
      <c r="B302" s="13" t="s">
        <v>3125</v>
      </c>
      <c r="C302" s="13">
        <v>58.463999999999977</v>
      </c>
      <c r="H302" t="s">
        <v>3137</v>
      </c>
      <c r="I302" t="s">
        <v>5</v>
      </c>
      <c r="J302">
        <v>58.463999999999977</v>
      </c>
    </row>
    <row r="303" spans="2:10">
      <c r="B303" s="13" t="s">
        <v>3115</v>
      </c>
      <c r="C303" s="13">
        <v>254.60399999999998</v>
      </c>
      <c r="H303" t="s">
        <v>3137</v>
      </c>
      <c r="I303" t="s">
        <v>3</v>
      </c>
      <c r="J303">
        <v>254.60399999999998</v>
      </c>
    </row>
    <row r="304" spans="2:10">
      <c r="B304" s="13" t="s">
        <v>3118</v>
      </c>
      <c r="C304" s="13">
        <v>19.936000000000003</v>
      </c>
      <c r="H304" t="s">
        <v>3138</v>
      </c>
      <c r="I304" t="s">
        <v>5</v>
      </c>
      <c r="J304">
        <v>19.936000000000003</v>
      </c>
    </row>
    <row r="305" spans="2:10">
      <c r="B305" s="13" t="s">
        <v>3118</v>
      </c>
      <c r="C305" s="13">
        <v>65.567999999999998</v>
      </c>
      <c r="H305" t="s">
        <v>3138</v>
      </c>
      <c r="I305" t="s">
        <v>5</v>
      </c>
      <c r="J305">
        <v>65.567999999999998</v>
      </c>
    </row>
    <row r="306" spans="2:10">
      <c r="B306" s="13" t="s">
        <v>3129</v>
      </c>
      <c r="C306" s="13">
        <v>1.7440000000000002</v>
      </c>
      <c r="H306" t="s">
        <v>3137</v>
      </c>
      <c r="I306" t="s">
        <v>5</v>
      </c>
      <c r="J306">
        <v>1.7440000000000002</v>
      </c>
    </row>
    <row r="307" spans="2:10">
      <c r="B307" s="13" t="s">
        <v>3118</v>
      </c>
      <c r="C307" s="13">
        <v>8.64</v>
      </c>
      <c r="H307" t="s">
        <v>3136</v>
      </c>
      <c r="I307" t="s">
        <v>5</v>
      </c>
      <c r="J307">
        <v>8.64</v>
      </c>
    </row>
    <row r="308" spans="2:10">
      <c r="B308" s="13" t="s">
        <v>3125</v>
      </c>
      <c r="C308" s="13">
        <v>119.96</v>
      </c>
      <c r="H308" t="s">
        <v>3138</v>
      </c>
      <c r="I308" t="s">
        <v>5</v>
      </c>
      <c r="J308">
        <v>119.96</v>
      </c>
    </row>
    <row r="309" spans="2:10">
      <c r="B309" s="13" t="s">
        <v>3117</v>
      </c>
      <c r="C309" s="13">
        <v>31.44</v>
      </c>
      <c r="H309" t="s">
        <v>3138</v>
      </c>
      <c r="I309" t="s">
        <v>5</v>
      </c>
      <c r="J309">
        <v>31.44</v>
      </c>
    </row>
    <row r="310" spans="2:10">
      <c r="B310" s="13" t="s">
        <v>3118</v>
      </c>
      <c r="C310" s="13">
        <v>6.88</v>
      </c>
      <c r="H310" t="s">
        <v>3138</v>
      </c>
      <c r="I310" t="s">
        <v>5</v>
      </c>
      <c r="J310">
        <v>6.88</v>
      </c>
    </row>
    <row r="311" spans="2:10">
      <c r="B311" s="13" t="s">
        <v>3119</v>
      </c>
      <c r="C311" s="13">
        <v>31.983999999999998</v>
      </c>
      <c r="H311" t="s">
        <v>3135</v>
      </c>
      <c r="I311" t="s">
        <v>3</v>
      </c>
      <c r="J311">
        <v>31.983999999999998</v>
      </c>
    </row>
    <row r="312" spans="2:10">
      <c r="B312" s="13" t="s">
        <v>3116</v>
      </c>
      <c r="C312" s="13">
        <v>71.984000000000009</v>
      </c>
      <c r="H312" t="s">
        <v>3135</v>
      </c>
      <c r="I312" t="s">
        <v>4</v>
      </c>
      <c r="J312">
        <v>71.984000000000009</v>
      </c>
    </row>
    <row r="313" spans="2:10">
      <c r="B313" s="13" t="s">
        <v>3117</v>
      </c>
      <c r="C313" s="13">
        <v>348.20799999999997</v>
      </c>
      <c r="H313" t="s">
        <v>3135</v>
      </c>
      <c r="I313" t="s">
        <v>5</v>
      </c>
      <c r="J313">
        <v>348.20799999999997</v>
      </c>
    </row>
    <row r="314" spans="2:10">
      <c r="B314" s="13" t="s">
        <v>3118</v>
      </c>
      <c r="C314" s="13">
        <v>35.783999999999999</v>
      </c>
      <c r="H314" t="s">
        <v>3135</v>
      </c>
      <c r="I314" t="s">
        <v>5</v>
      </c>
      <c r="J314">
        <v>35.783999999999999</v>
      </c>
    </row>
    <row r="315" spans="2:10">
      <c r="B315" s="13" t="s">
        <v>3118</v>
      </c>
      <c r="C315" s="13">
        <v>2.6939999999999995</v>
      </c>
      <c r="H315" t="s">
        <v>3137</v>
      </c>
      <c r="I315" t="s">
        <v>5</v>
      </c>
      <c r="J315">
        <v>2.6939999999999995</v>
      </c>
    </row>
    <row r="316" spans="2:10">
      <c r="B316" s="13" t="s">
        <v>3118</v>
      </c>
      <c r="C316" s="13">
        <v>2.9339999999999993</v>
      </c>
      <c r="H316" t="s">
        <v>3137</v>
      </c>
      <c r="I316" t="s">
        <v>5</v>
      </c>
      <c r="J316">
        <v>2.9339999999999993</v>
      </c>
    </row>
    <row r="317" spans="2:10">
      <c r="B317" s="13" t="s">
        <v>3118</v>
      </c>
      <c r="C317" s="13">
        <v>46.672000000000004</v>
      </c>
      <c r="H317" t="s">
        <v>3138</v>
      </c>
      <c r="I317" t="s">
        <v>5</v>
      </c>
      <c r="J317">
        <v>46.672000000000004</v>
      </c>
    </row>
    <row r="318" spans="2:10">
      <c r="B318" s="13" t="s">
        <v>3128</v>
      </c>
      <c r="C318" s="13">
        <v>119.83299999999998</v>
      </c>
      <c r="H318" t="s">
        <v>3138</v>
      </c>
      <c r="I318" t="s">
        <v>3</v>
      </c>
      <c r="J318">
        <v>119.83299999999998</v>
      </c>
    </row>
    <row r="319" spans="2:10">
      <c r="B319" s="13" t="s">
        <v>3120</v>
      </c>
      <c r="C319" s="13">
        <v>119.98</v>
      </c>
      <c r="H319" t="s">
        <v>3138</v>
      </c>
      <c r="I319" t="s">
        <v>4</v>
      </c>
      <c r="J319">
        <v>119.98</v>
      </c>
    </row>
    <row r="320" spans="2:10">
      <c r="B320" s="13" t="s">
        <v>3125</v>
      </c>
      <c r="C320" s="13">
        <v>362.94</v>
      </c>
      <c r="H320" t="s">
        <v>3137</v>
      </c>
      <c r="I320" t="s">
        <v>5</v>
      </c>
      <c r="J320">
        <v>362.94</v>
      </c>
    </row>
    <row r="321" spans="2:10">
      <c r="B321" s="13" t="s">
        <v>3118</v>
      </c>
      <c r="C321" s="13">
        <v>11.54</v>
      </c>
      <c r="H321" t="s">
        <v>3137</v>
      </c>
      <c r="I321" t="s">
        <v>5</v>
      </c>
      <c r="J321">
        <v>11.54</v>
      </c>
    </row>
    <row r="322" spans="2:10">
      <c r="B322" s="13" t="s">
        <v>3119</v>
      </c>
      <c r="C322" s="13">
        <v>109.48</v>
      </c>
      <c r="H322" t="s">
        <v>3136</v>
      </c>
      <c r="I322" t="s">
        <v>3</v>
      </c>
      <c r="J322">
        <v>109.48</v>
      </c>
    </row>
    <row r="323" spans="2:10">
      <c r="B323" s="13" t="s">
        <v>3117</v>
      </c>
      <c r="C323" s="13">
        <v>272.94</v>
      </c>
      <c r="H323" t="s">
        <v>3136</v>
      </c>
      <c r="I323" t="s">
        <v>5</v>
      </c>
      <c r="J323">
        <v>272.94</v>
      </c>
    </row>
    <row r="324" spans="2:10">
      <c r="B324" s="13" t="s">
        <v>3114</v>
      </c>
      <c r="C324" s="13">
        <v>19.440000000000001</v>
      </c>
      <c r="H324" t="s">
        <v>3136</v>
      </c>
      <c r="I324" t="s">
        <v>5</v>
      </c>
      <c r="J324">
        <v>19.440000000000001</v>
      </c>
    </row>
    <row r="325" spans="2:10">
      <c r="B325" s="13" t="s">
        <v>3117</v>
      </c>
      <c r="C325" s="13">
        <v>31.92</v>
      </c>
      <c r="H325" t="s">
        <v>3136</v>
      </c>
      <c r="I325" t="s">
        <v>5</v>
      </c>
      <c r="J325">
        <v>31.92</v>
      </c>
    </row>
    <row r="326" spans="2:10">
      <c r="B326" s="13" t="s">
        <v>3124</v>
      </c>
      <c r="C326" s="13">
        <v>21.744</v>
      </c>
      <c r="H326" t="s">
        <v>3135</v>
      </c>
      <c r="I326" t="s">
        <v>5</v>
      </c>
      <c r="J326">
        <v>21.744</v>
      </c>
    </row>
    <row r="327" spans="2:10">
      <c r="B327" s="13" t="s">
        <v>3116</v>
      </c>
      <c r="C327" s="13">
        <v>7.92</v>
      </c>
      <c r="H327" t="s">
        <v>3135</v>
      </c>
      <c r="I327" t="s">
        <v>4</v>
      </c>
      <c r="J327">
        <v>7.92</v>
      </c>
    </row>
    <row r="328" spans="2:10">
      <c r="B328" s="13" t="s">
        <v>3125</v>
      </c>
      <c r="C328" s="13">
        <v>81.92</v>
      </c>
      <c r="H328" t="s">
        <v>3138</v>
      </c>
      <c r="I328" t="s">
        <v>5</v>
      </c>
      <c r="J328">
        <v>81.92</v>
      </c>
    </row>
    <row r="329" spans="2:10">
      <c r="B329" s="13" t="s">
        <v>3116</v>
      </c>
      <c r="C329" s="13">
        <v>889.53600000000006</v>
      </c>
      <c r="H329" t="s">
        <v>3138</v>
      </c>
      <c r="I329" t="s">
        <v>4</v>
      </c>
      <c r="J329">
        <v>889.53600000000006</v>
      </c>
    </row>
    <row r="330" spans="2:10">
      <c r="B330" s="13" t="s">
        <v>3115</v>
      </c>
      <c r="C330" s="13">
        <v>892.22400000000005</v>
      </c>
      <c r="H330" t="s">
        <v>3138</v>
      </c>
      <c r="I330" t="s">
        <v>3</v>
      </c>
      <c r="J330">
        <v>892.22400000000005</v>
      </c>
    </row>
    <row r="331" spans="2:10">
      <c r="B331" s="13" t="s">
        <v>3114</v>
      </c>
      <c r="C331" s="13">
        <v>223.92</v>
      </c>
      <c r="H331" t="s">
        <v>3138</v>
      </c>
      <c r="I331" t="s">
        <v>5</v>
      </c>
      <c r="J331">
        <v>223.92</v>
      </c>
    </row>
    <row r="332" spans="2:10">
      <c r="B332" s="13" t="s">
        <v>3114</v>
      </c>
      <c r="C332" s="13">
        <v>23.12</v>
      </c>
      <c r="H332" t="s">
        <v>3138</v>
      </c>
      <c r="I332" t="s">
        <v>5</v>
      </c>
      <c r="J332">
        <v>23.12</v>
      </c>
    </row>
    <row r="333" spans="2:10">
      <c r="B333" s="13" t="s">
        <v>3116</v>
      </c>
      <c r="C333" s="13">
        <v>271.95999999999998</v>
      </c>
      <c r="H333" t="s">
        <v>3135</v>
      </c>
      <c r="I333" t="s">
        <v>4</v>
      </c>
      <c r="J333">
        <v>271.95999999999998</v>
      </c>
    </row>
    <row r="334" spans="2:10">
      <c r="B334" s="13" t="s">
        <v>3115</v>
      </c>
      <c r="C334" s="13">
        <v>141.37199999999999</v>
      </c>
      <c r="H334" t="s">
        <v>3136</v>
      </c>
      <c r="I334" t="s">
        <v>3</v>
      </c>
      <c r="J334">
        <v>141.37199999999999</v>
      </c>
    </row>
    <row r="335" spans="2:10">
      <c r="B335" s="13" t="s">
        <v>3118</v>
      </c>
      <c r="C335" s="13">
        <v>3.036</v>
      </c>
      <c r="H335" t="s">
        <v>3136</v>
      </c>
      <c r="I335" t="s">
        <v>5</v>
      </c>
      <c r="J335">
        <v>3.036</v>
      </c>
    </row>
    <row r="336" spans="2:10">
      <c r="B336" s="13" t="s">
        <v>3118</v>
      </c>
      <c r="C336" s="13">
        <v>4.503000000000001</v>
      </c>
      <c r="H336" t="s">
        <v>3136</v>
      </c>
      <c r="I336" t="s">
        <v>5</v>
      </c>
      <c r="J336">
        <v>4.503000000000001</v>
      </c>
    </row>
    <row r="337" spans="2:10">
      <c r="B337" s="13" t="s">
        <v>3122</v>
      </c>
      <c r="C337" s="13">
        <v>4.6719999999999997</v>
      </c>
      <c r="H337" t="s">
        <v>3136</v>
      </c>
      <c r="I337" t="s">
        <v>5</v>
      </c>
      <c r="J337">
        <v>4.6719999999999997</v>
      </c>
    </row>
    <row r="338" spans="2:10">
      <c r="B338" s="13" t="s">
        <v>3120</v>
      </c>
      <c r="C338" s="13">
        <v>95.88000000000001</v>
      </c>
      <c r="H338" t="s">
        <v>3136</v>
      </c>
      <c r="I338" t="s">
        <v>4</v>
      </c>
      <c r="J338">
        <v>95.88000000000001</v>
      </c>
    </row>
    <row r="339" spans="2:10">
      <c r="B339" s="13" t="s">
        <v>3119</v>
      </c>
      <c r="C339" s="13">
        <v>17.024000000000001</v>
      </c>
      <c r="H339" t="s">
        <v>3136</v>
      </c>
      <c r="I339" t="s">
        <v>3</v>
      </c>
      <c r="J339">
        <v>17.024000000000001</v>
      </c>
    </row>
    <row r="340" spans="2:10">
      <c r="B340" s="13" t="s">
        <v>3120</v>
      </c>
      <c r="C340" s="13">
        <v>258.69600000000003</v>
      </c>
      <c r="H340" t="s">
        <v>3136</v>
      </c>
      <c r="I340" t="s">
        <v>4</v>
      </c>
      <c r="J340">
        <v>258.69600000000003</v>
      </c>
    </row>
    <row r="341" spans="2:10">
      <c r="B341" s="13" t="s">
        <v>3116</v>
      </c>
      <c r="C341" s="13">
        <v>1931.9579999999999</v>
      </c>
      <c r="H341" t="s">
        <v>3136</v>
      </c>
      <c r="I341" t="s">
        <v>4</v>
      </c>
      <c r="J341">
        <v>1931.9579999999999</v>
      </c>
    </row>
    <row r="342" spans="2:10">
      <c r="B342" s="13" t="s">
        <v>3124</v>
      </c>
      <c r="C342" s="13">
        <v>15.28</v>
      </c>
      <c r="H342" t="s">
        <v>3138</v>
      </c>
      <c r="I342" t="s">
        <v>5</v>
      </c>
      <c r="J342">
        <v>15.28</v>
      </c>
    </row>
    <row r="343" spans="2:10">
      <c r="B343" s="13" t="s">
        <v>3119</v>
      </c>
      <c r="C343" s="13">
        <v>8.73</v>
      </c>
      <c r="H343" t="s">
        <v>3138</v>
      </c>
      <c r="I343" t="s">
        <v>3</v>
      </c>
      <c r="J343">
        <v>8.73</v>
      </c>
    </row>
    <row r="344" spans="2:10">
      <c r="B344" s="13" t="s">
        <v>3122</v>
      </c>
      <c r="C344" s="13">
        <v>5.68</v>
      </c>
      <c r="H344" t="s">
        <v>3138</v>
      </c>
      <c r="I344" t="s">
        <v>5</v>
      </c>
      <c r="J344">
        <v>5.68</v>
      </c>
    </row>
    <row r="345" spans="2:10">
      <c r="B345" s="13" t="s">
        <v>3124</v>
      </c>
      <c r="C345" s="13">
        <v>48.69</v>
      </c>
      <c r="H345" t="s">
        <v>3135</v>
      </c>
      <c r="I345" t="s">
        <v>5</v>
      </c>
      <c r="J345">
        <v>48.69</v>
      </c>
    </row>
    <row r="346" spans="2:10">
      <c r="B346" s="13" t="s">
        <v>3122</v>
      </c>
      <c r="C346" s="13">
        <v>38.82</v>
      </c>
      <c r="H346" t="s">
        <v>3136</v>
      </c>
      <c r="I346" t="s">
        <v>5</v>
      </c>
      <c r="J346">
        <v>38.82</v>
      </c>
    </row>
    <row r="347" spans="2:10">
      <c r="B347" s="13" t="s">
        <v>3115</v>
      </c>
      <c r="C347" s="13">
        <v>1141.9379999999999</v>
      </c>
      <c r="H347" t="s">
        <v>3136</v>
      </c>
      <c r="I347" t="s">
        <v>3</v>
      </c>
      <c r="J347">
        <v>1141.9379999999999</v>
      </c>
    </row>
    <row r="348" spans="2:10">
      <c r="B348" s="13" t="s">
        <v>3125</v>
      </c>
      <c r="C348" s="13">
        <v>1704.56</v>
      </c>
      <c r="H348" t="s">
        <v>3136</v>
      </c>
      <c r="I348" t="s">
        <v>5</v>
      </c>
      <c r="J348">
        <v>1704.56</v>
      </c>
    </row>
    <row r="349" spans="2:10">
      <c r="B349" s="13" t="s">
        <v>3122</v>
      </c>
      <c r="C349" s="13">
        <v>3.2</v>
      </c>
      <c r="H349" t="s">
        <v>3136</v>
      </c>
      <c r="I349" t="s">
        <v>5</v>
      </c>
      <c r="J349">
        <v>3.2</v>
      </c>
    </row>
    <row r="350" spans="2:10">
      <c r="B350" s="13" t="s">
        <v>3122</v>
      </c>
      <c r="C350" s="13">
        <v>5.2480000000000002</v>
      </c>
      <c r="H350" t="s">
        <v>3136</v>
      </c>
      <c r="I350" t="s">
        <v>5</v>
      </c>
      <c r="J350">
        <v>5.2480000000000002</v>
      </c>
    </row>
    <row r="351" spans="2:10">
      <c r="B351" s="13" t="s">
        <v>3116</v>
      </c>
      <c r="C351" s="13">
        <v>35.909999999999997</v>
      </c>
      <c r="H351" t="s">
        <v>3136</v>
      </c>
      <c r="I351" t="s">
        <v>4</v>
      </c>
      <c r="J351">
        <v>35.909999999999997</v>
      </c>
    </row>
    <row r="352" spans="2:10">
      <c r="B352" s="13" t="s">
        <v>3119</v>
      </c>
      <c r="C352" s="13">
        <v>6.6959999999999997</v>
      </c>
      <c r="H352" t="s">
        <v>3136</v>
      </c>
      <c r="I352" t="s">
        <v>3</v>
      </c>
      <c r="J352">
        <v>6.6959999999999997</v>
      </c>
    </row>
    <row r="353" spans="2:10">
      <c r="B353" s="13" t="s">
        <v>3119</v>
      </c>
      <c r="C353" s="13">
        <v>43.872000000000007</v>
      </c>
      <c r="H353" t="s">
        <v>3136</v>
      </c>
      <c r="I353" t="s">
        <v>3</v>
      </c>
      <c r="J353">
        <v>43.872000000000007</v>
      </c>
    </row>
    <row r="354" spans="2:10">
      <c r="B354" s="13" t="s">
        <v>3116</v>
      </c>
      <c r="C354" s="13">
        <v>863.87999999999988</v>
      </c>
      <c r="H354" t="s">
        <v>3135</v>
      </c>
      <c r="I354" t="s">
        <v>4</v>
      </c>
      <c r="J354">
        <v>863.87999999999988</v>
      </c>
    </row>
    <row r="355" spans="2:10">
      <c r="B355" s="13" t="s">
        <v>3118</v>
      </c>
      <c r="C355" s="13">
        <v>17.472000000000001</v>
      </c>
      <c r="H355" t="s">
        <v>3136</v>
      </c>
      <c r="I355" t="s">
        <v>5</v>
      </c>
      <c r="J355">
        <v>17.472000000000001</v>
      </c>
    </row>
    <row r="356" spans="2:10">
      <c r="B356" s="13" t="s">
        <v>3122</v>
      </c>
      <c r="C356" s="13">
        <v>6.57</v>
      </c>
      <c r="H356" t="s">
        <v>3138</v>
      </c>
      <c r="I356" t="s">
        <v>5</v>
      </c>
      <c r="J356">
        <v>6.57</v>
      </c>
    </row>
    <row r="357" spans="2:10">
      <c r="B357" s="13" t="s">
        <v>3119</v>
      </c>
      <c r="C357" s="13">
        <v>29.328000000000003</v>
      </c>
      <c r="H357" t="s">
        <v>3138</v>
      </c>
      <c r="I357" t="s">
        <v>3</v>
      </c>
      <c r="J357">
        <v>29.328000000000003</v>
      </c>
    </row>
    <row r="358" spans="2:10">
      <c r="B358" s="13" t="s">
        <v>3114</v>
      </c>
      <c r="C358" s="13">
        <v>12.48</v>
      </c>
      <c r="H358" t="s">
        <v>3135</v>
      </c>
      <c r="I358" t="s">
        <v>5</v>
      </c>
      <c r="J358">
        <v>12.48</v>
      </c>
    </row>
    <row r="359" spans="2:10">
      <c r="B359" s="13" t="s">
        <v>3121</v>
      </c>
      <c r="C359" s="13">
        <v>15.120000000000001</v>
      </c>
      <c r="H359" t="s">
        <v>3135</v>
      </c>
      <c r="I359" t="s">
        <v>5</v>
      </c>
      <c r="J359">
        <v>15.120000000000001</v>
      </c>
    </row>
    <row r="360" spans="2:10">
      <c r="B360" s="13" t="s">
        <v>3118</v>
      </c>
      <c r="C360" s="13">
        <v>17.430000000000003</v>
      </c>
      <c r="H360" t="s">
        <v>3135</v>
      </c>
      <c r="I360" t="s">
        <v>5</v>
      </c>
      <c r="J360">
        <v>17.430000000000003</v>
      </c>
    </row>
    <row r="361" spans="2:10">
      <c r="B361" s="13" t="s">
        <v>3114</v>
      </c>
      <c r="C361" s="13">
        <v>251.64</v>
      </c>
      <c r="H361" t="s">
        <v>3135</v>
      </c>
      <c r="I361" t="s">
        <v>5</v>
      </c>
      <c r="J361">
        <v>251.64</v>
      </c>
    </row>
    <row r="362" spans="2:10">
      <c r="B362" s="13" t="s">
        <v>3118</v>
      </c>
      <c r="C362" s="13">
        <v>13.904</v>
      </c>
      <c r="H362" t="s">
        <v>3138</v>
      </c>
      <c r="I362" t="s">
        <v>5</v>
      </c>
      <c r="J362">
        <v>13.904</v>
      </c>
    </row>
    <row r="363" spans="2:10">
      <c r="B363" s="13" t="s">
        <v>3118</v>
      </c>
      <c r="C363" s="13">
        <v>20.72</v>
      </c>
      <c r="H363" t="s">
        <v>3138</v>
      </c>
      <c r="I363" t="s">
        <v>5</v>
      </c>
      <c r="J363">
        <v>20.72</v>
      </c>
    </row>
    <row r="364" spans="2:10">
      <c r="B364" s="13" t="s">
        <v>3119</v>
      </c>
      <c r="C364" s="13">
        <v>23.99</v>
      </c>
      <c r="H364" t="s">
        <v>3135</v>
      </c>
      <c r="I364" t="s">
        <v>3</v>
      </c>
      <c r="J364">
        <v>23.99</v>
      </c>
    </row>
    <row r="365" spans="2:10">
      <c r="B365" s="13" t="s">
        <v>3116</v>
      </c>
      <c r="C365" s="13">
        <v>287.96999999999997</v>
      </c>
      <c r="H365" t="s">
        <v>3135</v>
      </c>
      <c r="I365" t="s">
        <v>4</v>
      </c>
      <c r="J365">
        <v>287.96999999999997</v>
      </c>
    </row>
    <row r="366" spans="2:10">
      <c r="B366" s="13" t="s">
        <v>3120</v>
      </c>
      <c r="C366" s="13">
        <v>14.200000000000001</v>
      </c>
      <c r="H366" t="s">
        <v>3136</v>
      </c>
      <c r="I366" t="s">
        <v>4</v>
      </c>
      <c r="J366">
        <v>14.200000000000001</v>
      </c>
    </row>
    <row r="367" spans="2:10">
      <c r="B367" s="13" t="s">
        <v>3118</v>
      </c>
      <c r="C367" s="13">
        <v>5.2290000000000001</v>
      </c>
      <c r="H367" t="s">
        <v>3136</v>
      </c>
      <c r="I367" t="s">
        <v>5</v>
      </c>
      <c r="J367">
        <v>5.2290000000000001</v>
      </c>
    </row>
    <row r="368" spans="2:10">
      <c r="B368" s="13" t="s">
        <v>3117</v>
      </c>
      <c r="C368" s="13">
        <v>285.55200000000002</v>
      </c>
      <c r="H368" t="s">
        <v>3136</v>
      </c>
      <c r="I368" t="s">
        <v>5</v>
      </c>
      <c r="J368">
        <v>285.55200000000002</v>
      </c>
    </row>
    <row r="369" spans="2:10">
      <c r="B369" s="13" t="s">
        <v>3125</v>
      </c>
      <c r="C369" s="13">
        <v>72.8</v>
      </c>
      <c r="H369" t="s">
        <v>3135</v>
      </c>
      <c r="I369" t="s">
        <v>5</v>
      </c>
      <c r="J369">
        <v>72.8</v>
      </c>
    </row>
    <row r="370" spans="2:10">
      <c r="B370" s="13" t="s">
        <v>3114</v>
      </c>
      <c r="C370" s="13">
        <v>10.816000000000001</v>
      </c>
      <c r="H370" t="s">
        <v>3135</v>
      </c>
      <c r="I370" t="s">
        <v>5</v>
      </c>
      <c r="J370">
        <v>10.816000000000001</v>
      </c>
    </row>
    <row r="371" spans="2:10">
      <c r="B371" s="13" t="s">
        <v>3122</v>
      </c>
      <c r="C371" s="13">
        <v>87.92</v>
      </c>
      <c r="H371" t="s">
        <v>3138</v>
      </c>
      <c r="I371" t="s">
        <v>5</v>
      </c>
      <c r="J371">
        <v>87.92</v>
      </c>
    </row>
    <row r="372" spans="2:10">
      <c r="B372" s="13" t="s">
        <v>3116</v>
      </c>
      <c r="C372" s="13">
        <v>2.97</v>
      </c>
      <c r="H372" t="s">
        <v>3136</v>
      </c>
      <c r="I372" t="s">
        <v>4</v>
      </c>
      <c r="J372">
        <v>2.97</v>
      </c>
    </row>
    <row r="373" spans="2:10">
      <c r="B373" s="13" t="s">
        <v>3117</v>
      </c>
      <c r="C373" s="13">
        <v>27.439999999999998</v>
      </c>
      <c r="H373" t="s">
        <v>3136</v>
      </c>
      <c r="I373" t="s">
        <v>5</v>
      </c>
      <c r="J373">
        <v>27.439999999999998</v>
      </c>
    </row>
    <row r="374" spans="2:10">
      <c r="B374" s="13" t="s">
        <v>3119</v>
      </c>
      <c r="C374" s="13">
        <v>25.11</v>
      </c>
      <c r="H374" t="s">
        <v>3138</v>
      </c>
      <c r="I374" t="s">
        <v>3</v>
      </c>
      <c r="J374">
        <v>25.11</v>
      </c>
    </row>
    <row r="375" spans="2:10">
      <c r="B375" s="13" t="s">
        <v>3119</v>
      </c>
      <c r="C375" s="13">
        <v>29.78</v>
      </c>
      <c r="H375" t="s">
        <v>3136</v>
      </c>
      <c r="I375" t="s">
        <v>3</v>
      </c>
      <c r="J375">
        <v>29.78</v>
      </c>
    </row>
    <row r="376" spans="2:10">
      <c r="B376" s="13" t="s">
        <v>3116</v>
      </c>
      <c r="C376" s="13">
        <v>677.58</v>
      </c>
      <c r="H376" t="s">
        <v>3136</v>
      </c>
      <c r="I376" t="s">
        <v>4</v>
      </c>
      <c r="J376">
        <v>677.58</v>
      </c>
    </row>
    <row r="377" spans="2:10">
      <c r="B377" s="13" t="s">
        <v>3114</v>
      </c>
      <c r="C377" s="13">
        <v>75.040000000000006</v>
      </c>
      <c r="H377" t="s">
        <v>3136</v>
      </c>
      <c r="I377" t="s">
        <v>5</v>
      </c>
      <c r="J377">
        <v>75.040000000000006</v>
      </c>
    </row>
    <row r="378" spans="2:10">
      <c r="B378" s="13" t="s">
        <v>3130</v>
      </c>
      <c r="C378" s="13">
        <v>695.7</v>
      </c>
      <c r="H378" t="s">
        <v>3135</v>
      </c>
      <c r="I378" t="s">
        <v>4</v>
      </c>
      <c r="J378">
        <v>695.7</v>
      </c>
    </row>
    <row r="379" spans="2:10">
      <c r="B379" s="13" t="s">
        <v>3118</v>
      </c>
      <c r="C379" s="13">
        <v>15.66</v>
      </c>
      <c r="H379" t="s">
        <v>3135</v>
      </c>
      <c r="I379" t="s">
        <v>5</v>
      </c>
      <c r="J379">
        <v>15.66</v>
      </c>
    </row>
    <row r="380" spans="2:10">
      <c r="B380" s="13" t="s">
        <v>3118</v>
      </c>
      <c r="C380" s="13">
        <v>28.854000000000006</v>
      </c>
      <c r="H380" t="s">
        <v>3135</v>
      </c>
      <c r="I380" t="s">
        <v>5</v>
      </c>
      <c r="J380">
        <v>28.854000000000006</v>
      </c>
    </row>
    <row r="381" spans="2:10">
      <c r="B381" s="13" t="s">
        <v>3116</v>
      </c>
      <c r="C381" s="13">
        <v>183.96</v>
      </c>
      <c r="H381" t="s">
        <v>3138</v>
      </c>
      <c r="I381" t="s">
        <v>4</v>
      </c>
      <c r="J381">
        <v>183.96</v>
      </c>
    </row>
    <row r="382" spans="2:10">
      <c r="B382" s="13" t="s">
        <v>3114</v>
      </c>
      <c r="C382" s="13">
        <v>17.61</v>
      </c>
      <c r="H382" t="s">
        <v>3138</v>
      </c>
      <c r="I382" t="s">
        <v>5</v>
      </c>
      <c r="J382">
        <v>17.61</v>
      </c>
    </row>
    <row r="383" spans="2:10">
      <c r="B383" s="13" t="s">
        <v>3126</v>
      </c>
      <c r="C383" s="13">
        <v>300.904</v>
      </c>
      <c r="H383" t="s">
        <v>3138</v>
      </c>
      <c r="I383" t="s">
        <v>3</v>
      </c>
      <c r="J383">
        <v>300.904</v>
      </c>
    </row>
    <row r="384" spans="2:10">
      <c r="B384" s="13" t="s">
        <v>3119</v>
      </c>
      <c r="C384" s="13">
        <v>1.988</v>
      </c>
      <c r="H384" t="s">
        <v>3137</v>
      </c>
      <c r="I384" t="s">
        <v>3</v>
      </c>
      <c r="J384">
        <v>1.988</v>
      </c>
    </row>
    <row r="385" spans="2:10">
      <c r="B385" s="13" t="s">
        <v>3122</v>
      </c>
      <c r="C385" s="13">
        <v>123.256</v>
      </c>
      <c r="H385" t="s">
        <v>3136</v>
      </c>
      <c r="I385" t="s">
        <v>5</v>
      </c>
      <c r="J385">
        <v>123.256</v>
      </c>
    </row>
    <row r="386" spans="2:10">
      <c r="B386" s="13" t="s">
        <v>3114</v>
      </c>
      <c r="C386" s="13">
        <v>23.680000000000003</v>
      </c>
      <c r="H386" t="s">
        <v>3136</v>
      </c>
      <c r="I386" t="s">
        <v>5</v>
      </c>
      <c r="J386">
        <v>23.680000000000003</v>
      </c>
    </row>
    <row r="387" spans="2:10">
      <c r="B387" s="13" t="s">
        <v>3116</v>
      </c>
      <c r="C387" s="13">
        <v>309.57600000000002</v>
      </c>
      <c r="H387" t="s">
        <v>3136</v>
      </c>
      <c r="I387" t="s">
        <v>4</v>
      </c>
      <c r="J387">
        <v>309.57600000000002</v>
      </c>
    </row>
    <row r="388" spans="2:10">
      <c r="B388" s="13" t="s">
        <v>3118</v>
      </c>
      <c r="C388" s="13">
        <v>38.388000000000005</v>
      </c>
      <c r="H388" t="s">
        <v>3138</v>
      </c>
      <c r="I388" t="s">
        <v>5</v>
      </c>
      <c r="J388">
        <v>38.388000000000005</v>
      </c>
    </row>
    <row r="389" spans="2:10">
      <c r="B389" s="13" t="s">
        <v>3130</v>
      </c>
      <c r="C389" s="13">
        <v>95.994000000000014</v>
      </c>
      <c r="H389" t="s">
        <v>3138</v>
      </c>
      <c r="I389" t="s">
        <v>4</v>
      </c>
      <c r="J389">
        <v>95.994000000000014</v>
      </c>
    </row>
    <row r="390" spans="2:10">
      <c r="B390" s="13" t="s">
        <v>3120</v>
      </c>
      <c r="C390" s="13">
        <v>239.95200000000003</v>
      </c>
      <c r="H390" t="s">
        <v>3138</v>
      </c>
      <c r="I390" t="s">
        <v>4</v>
      </c>
      <c r="J390">
        <v>239.95200000000003</v>
      </c>
    </row>
    <row r="391" spans="2:10">
      <c r="B391" s="13" t="s">
        <v>3116</v>
      </c>
      <c r="C391" s="13">
        <v>201.584</v>
      </c>
      <c r="H391" t="s">
        <v>3138</v>
      </c>
      <c r="I391" t="s">
        <v>4</v>
      </c>
      <c r="J391">
        <v>201.584</v>
      </c>
    </row>
    <row r="392" spans="2:10">
      <c r="B392" s="13" t="s">
        <v>3115</v>
      </c>
      <c r="C392" s="13">
        <v>899.13600000000008</v>
      </c>
      <c r="H392" t="s">
        <v>3138</v>
      </c>
      <c r="I392" t="s">
        <v>3</v>
      </c>
      <c r="J392">
        <v>899.13600000000008</v>
      </c>
    </row>
    <row r="393" spans="2:10">
      <c r="B393" s="13" t="s">
        <v>3119</v>
      </c>
      <c r="C393" s="13">
        <v>145.9</v>
      </c>
      <c r="H393" t="s">
        <v>3138</v>
      </c>
      <c r="I393" t="s">
        <v>3</v>
      </c>
      <c r="J393">
        <v>145.9</v>
      </c>
    </row>
    <row r="394" spans="2:10">
      <c r="B394" s="13" t="s">
        <v>3120</v>
      </c>
      <c r="C394" s="13">
        <v>49.08</v>
      </c>
      <c r="H394" t="s">
        <v>3136</v>
      </c>
      <c r="I394" t="s">
        <v>4</v>
      </c>
      <c r="J394">
        <v>49.08</v>
      </c>
    </row>
    <row r="395" spans="2:10">
      <c r="B395" s="13" t="s">
        <v>3122</v>
      </c>
      <c r="C395" s="13">
        <v>9.5519999999999996</v>
      </c>
      <c r="H395" t="s">
        <v>3135</v>
      </c>
      <c r="I395" t="s">
        <v>5</v>
      </c>
      <c r="J395">
        <v>9.5519999999999996</v>
      </c>
    </row>
    <row r="396" spans="2:10">
      <c r="B396" s="13" t="s">
        <v>3126</v>
      </c>
      <c r="C396" s="13">
        <v>652.45000000000005</v>
      </c>
      <c r="H396" t="s">
        <v>3137</v>
      </c>
      <c r="I396" t="s">
        <v>3</v>
      </c>
      <c r="J396">
        <v>652.45000000000005</v>
      </c>
    </row>
    <row r="397" spans="2:10">
      <c r="B397" s="13" t="s">
        <v>3126</v>
      </c>
      <c r="C397" s="13">
        <v>66.644999999999996</v>
      </c>
      <c r="H397" t="s">
        <v>3137</v>
      </c>
      <c r="I397" t="s">
        <v>3</v>
      </c>
      <c r="J397">
        <v>66.644999999999996</v>
      </c>
    </row>
    <row r="398" spans="2:10">
      <c r="B398" s="13" t="s">
        <v>3121</v>
      </c>
      <c r="C398" s="13">
        <v>23.680000000000003</v>
      </c>
      <c r="H398" t="s">
        <v>3137</v>
      </c>
      <c r="I398" t="s">
        <v>5</v>
      </c>
      <c r="J398">
        <v>23.680000000000003</v>
      </c>
    </row>
    <row r="399" spans="2:10">
      <c r="B399" s="13" t="s">
        <v>3120</v>
      </c>
      <c r="C399" s="13">
        <v>239.96999999999997</v>
      </c>
      <c r="H399" t="s">
        <v>3138</v>
      </c>
      <c r="I399" t="s">
        <v>4</v>
      </c>
      <c r="J399">
        <v>239.96999999999997</v>
      </c>
    </row>
    <row r="400" spans="2:10">
      <c r="B400" s="13" t="s">
        <v>3119</v>
      </c>
      <c r="C400" s="13">
        <v>37.74</v>
      </c>
      <c r="H400" t="s">
        <v>3138</v>
      </c>
      <c r="I400" t="s">
        <v>3</v>
      </c>
      <c r="J400">
        <v>37.74</v>
      </c>
    </row>
    <row r="401" spans="2:10">
      <c r="B401" s="13" t="s">
        <v>3116</v>
      </c>
      <c r="C401" s="13">
        <v>220.75200000000001</v>
      </c>
      <c r="H401" t="s">
        <v>3136</v>
      </c>
      <c r="I401" t="s">
        <v>4</v>
      </c>
      <c r="J401">
        <v>220.75200000000001</v>
      </c>
    </row>
    <row r="402" spans="2:10">
      <c r="B402" s="13" t="s">
        <v>3114</v>
      </c>
      <c r="C402" s="13">
        <v>31.104000000000006</v>
      </c>
      <c r="H402" t="s">
        <v>3136</v>
      </c>
      <c r="I402" t="s">
        <v>5</v>
      </c>
      <c r="J402">
        <v>31.104000000000006</v>
      </c>
    </row>
    <row r="403" spans="2:10">
      <c r="B403" s="13" t="s">
        <v>3122</v>
      </c>
      <c r="C403" s="13">
        <v>5.2480000000000002</v>
      </c>
      <c r="H403" t="s">
        <v>3136</v>
      </c>
      <c r="I403" t="s">
        <v>5</v>
      </c>
      <c r="J403">
        <v>5.2480000000000002</v>
      </c>
    </row>
    <row r="404" spans="2:10">
      <c r="B404" s="13" t="s">
        <v>3118</v>
      </c>
      <c r="C404" s="13">
        <v>29.700000000000003</v>
      </c>
      <c r="H404" t="s">
        <v>3136</v>
      </c>
      <c r="I404" t="s">
        <v>5</v>
      </c>
      <c r="J404">
        <v>29.700000000000003</v>
      </c>
    </row>
    <row r="405" spans="2:10">
      <c r="B405" s="13" t="s">
        <v>3114</v>
      </c>
      <c r="C405" s="13">
        <v>39.96</v>
      </c>
      <c r="H405" t="s">
        <v>3136</v>
      </c>
      <c r="I405" t="s">
        <v>5</v>
      </c>
      <c r="J405">
        <v>39.96</v>
      </c>
    </row>
    <row r="406" spans="2:10">
      <c r="B406" s="13" t="s">
        <v>3118</v>
      </c>
      <c r="C406" s="13">
        <v>36.672000000000004</v>
      </c>
      <c r="H406" t="s">
        <v>3138</v>
      </c>
      <c r="I406" t="s">
        <v>5</v>
      </c>
      <c r="J406">
        <v>36.672000000000004</v>
      </c>
    </row>
    <row r="407" spans="2:10">
      <c r="B407" s="13" t="s">
        <v>3114</v>
      </c>
      <c r="C407" s="13">
        <v>13.76</v>
      </c>
      <c r="H407" t="s">
        <v>3135</v>
      </c>
      <c r="I407" t="s">
        <v>5</v>
      </c>
      <c r="J407">
        <v>13.76</v>
      </c>
    </row>
    <row r="408" spans="2:10">
      <c r="B408" s="13" t="s">
        <v>3117</v>
      </c>
      <c r="C408" s="13">
        <v>164.73599999999999</v>
      </c>
      <c r="H408" t="s">
        <v>3137</v>
      </c>
      <c r="I408" t="s">
        <v>5</v>
      </c>
      <c r="J408">
        <v>164.73599999999999</v>
      </c>
    </row>
    <row r="409" spans="2:10">
      <c r="B409" s="13" t="s">
        <v>3115</v>
      </c>
      <c r="C409" s="13">
        <v>470.30199999999996</v>
      </c>
      <c r="H409" t="s">
        <v>3137</v>
      </c>
      <c r="I409" t="s">
        <v>3</v>
      </c>
      <c r="J409">
        <v>470.30199999999996</v>
      </c>
    </row>
    <row r="410" spans="2:10">
      <c r="B410" s="13" t="s">
        <v>3116</v>
      </c>
      <c r="C410" s="13">
        <v>47.984000000000002</v>
      </c>
      <c r="H410" t="s">
        <v>3137</v>
      </c>
      <c r="I410" t="s">
        <v>4</v>
      </c>
      <c r="J410">
        <v>47.984000000000002</v>
      </c>
    </row>
    <row r="411" spans="2:10">
      <c r="B411" s="13" t="s">
        <v>3118</v>
      </c>
      <c r="C411" s="13">
        <v>91.199999999999989</v>
      </c>
      <c r="H411" t="s">
        <v>3135</v>
      </c>
      <c r="I411" t="s">
        <v>5</v>
      </c>
      <c r="J411">
        <v>91.199999999999989</v>
      </c>
    </row>
    <row r="412" spans="2:10">
      <c r="B412" s="13" t="s">
        <v>3126</v>
      </c>
      <c r="C412" s="13">
        <v>452.93999999999994</v>
      </c>
      <c r="H412" t="s">
        <v>3135</v>
      </c>
      <c r="I412" t="s">
        <v>3</v>
      </c>
      <c r="J412">
        <v>452.93999999999994</v>
      </c>
    </row>
    <row r="413" spans="2:10">
      <c r="B413" s="13" t="s">
        <v>3115</v>
      </c>
      <c r="C413" s="13">
        <v>872.94</v>
      </c>
      <c r="H413" t="s">
        <v>3137</v>
      </c>
      <c r="I413" t="s">
        <v>3</v>
      </c>
      <c r="J413">
        <v>872.94</v>
      </c>
    </row>
    <row r="414" spans="2:10">
      <c r="B414" s="13" t="s">
        <v>3118</v>
      </c>
      <c r="C414" s="13">
        <v>41.54</v>
      </c>
      <c r="H414" t="s">
        <v>3137</v>
      </c>
      <c r="I414" t="s">
        <v>5</v>
      </c>
      <c r="J414">
        <v>41.54</v>
      </c>
    </row>
    <row r="415" spans="2:10">
      <c r="B415" s="13" t="s">
        <v>3114</v>
      </c>
      <c r="C415" s="13">
        <v>12.96</v>
      </c>
      <c r="H415" t="s">
        <v>3137</v>
      </c>
      <c r="I415" t="s">
        <v>5</v>
      </c>
      <c r="J415">
        <v>12.96</v>
      </c>
    </row>
    <row r="416" spans="2:10">
      <c r="B416" s="13" t="s">
        <v>3121</v>
      </c>
      <c r="C416" s="13">
        <v>8.67</v>
      </c>
      <c r="H416" t="s">
        <v>3138</v>
      </c>
      <c r="I416" t="s">
        <v>5</v>
      </c>
      <c r="J416">
        <v>8.67</v>
      </c>
    </row>
    <row r="417" spans="2:10">
      <c r="B417" s="13" t="s">
        <v>3121</v>
      </c>
      <c r="C417" s="13">
        <v>28.91</v>
      </c>
      <c r="H417" t="s">
        <v>3136</v>
      </c>
      <c r="I417" t="s">
        <v>5</v>
      </c>
      <c r="J417">
        <v>28.91</v>
      </c>
    </row>
    <row r="418" spans="2:10">
      <c r="B418" s="13" t="s">
        <v>3116</v>
      </c>
      <c r="C418" s="13">
        <v>31.968000000000004</v>
      </c>
      <c r="H418" t="s">
        <v>3138</v>
      </c>
      <c r="I418" t="s">
        <v>4</v>
      </c>
      <c r="J418">
        <v>31.968000000000004</v>
      </c>
    </row>
    <row r="419" spans="2:10">
      <c r="B419" s="13" t="s">
        <v>3122</v>
      </c>
      <c r="C419" s="13">
        <v>9.7280000000000015</v>
      </c>
      <c r="H419" t="s">
        <v>3135</v>
      </c>
      <c r="I419" t="s">
        <v>5</v>
      </c>
      <c r="J419">
        <v>9.7280000000000015</v>
      </c>
    </row>
    <row r="420" spans="2:10">
      <c r="B420" s="13" t="s">
        <v>3114</v>
      </c>
      <c r="C420" s="13">
        <v>3.4240000000000004</v>
      </c>
      <c r="H420" t="s">
        <v>3135</v>
      </c>
      <c r="I420" t="s">
        <v>5</v>
      </c>
      <c r="J420">
        <v>3.4240000000000004</v>
      </c>
    </row>
    <row r="421" spans="2:10">
      <c r="B421" s="13" t="s">
        <v>3124</v>
      </c>
      <c r="C421" s="13">
        <v>62.96</v>
      </c>
      <c r="H421" t="s">
        <v>3136</v>
      </c>
      <c r="I421" t="s">
        <v>5</v>
      </c>
      <c r="J421">
        <v>62.96</v>
      </c>
    </row>
    <row r="422" spans="2:10">
      <c r="B422" s="13" t="s">
        <v>3114</v>
      </c>
      <c r="C422" s="13">
        <v>5.88</v>
      </c>
      <c r="H422" t="s">
        <v>3136</v>
      </c>
      <c r="I422" t="s">
        <v>5</v>
      </c>
      <c r="J422">
        <v>5.88</v>
      </c>
    </row>
    <row r="423" spans="2:10">
      <c r="B423" s="13" t="s">
        <v>3115</v>
      </c>
      <c r="C423" s="13">
        <v>977.29200000000003</v>
      </c>
      <c r="H423" t="s">
        <v>3136</v>
      </c>
      <c r="I423" t="s">
        <v>3</v>
      </c>
      <c r="J423">
        <v>977.29200000000003</v>
      </c>
    </row>
    <row r="424" spans="2:10">
      <c r="B424" s="13" t="s">
        <v>3119</v>
      </c>
      <c r="C424" s="13">
        <v>9.64</v>
      </c>
      <c r="H424" t="s">
        <v>3138</v>
      </c>
      <c r="I424" t="s">
        <v>3</v>
      </c>
      <c r="J424">
        <v>9.64</v>
      </c>
    </row>
    <row r="425" spans="2:10">
      <c r="B425" s="13" t="s">
        <v>3122</v>
      </c>
      <c r="C425" s="13">
        <v>10.192000000000002</v>
      </c>
      <c r="H425" t="s">
        <v>3137</v>
      </c>
      <c r="I425" t="s">
        <v>5</v>
      </c>
      <c r="J425">
        <v>10.192000000000002</v>
      </c>
    </row>
    <row r="426" spans="2:10">
      <c r="B426" s="13" t="s">
        <v>3117</v>
      </c>
      <c r="C426" s="13">
        <v>16.784000000000002</v>
      </c>
      <c r="H426" t="s">
        <v>3137</v>
      </c>
      <c r="I426" t="s">
        <v>5</v>
      </c>
      <c r="J426">
        <v>16.784000000000002</v>
      </c>
    </row>
    <row r="427" spans="2:10">
      <c r="B427" s="13" t="s">
        <v>3122</v>
      </c>
      <c r="C427" s="13">
        <v>13.120000000000001</v>
      </c>
      <c r="H427" t="s">
        <v>3137</v>
      </c>
      <c r="I427" t="s">
        <v>5</v>
      </c>
      <c r="J427">
        <v>13.120000000000001</v>
      </c>
    </row>
    <row r="428" spans="2:10">
      <c r="B428" s="13" t="s">
        <v>3114</v>
      </c>
      <c r="C428" s="13">
        <v>16.056000000000001</v>
      </c>
      <c r="H428" t="s">
        <v>3137</v>
      </c>
      <c r="I428" t="s">
        <v>5</v>
      </c>
      <c r="J428">
        <v>16.056000000000001</v>
      </c>
    </row>
    <row r="429" spans="2:10">
      <c r="B429" s="13" t="s">
        <v>3114</v>
      </c>
      <c r="C429" s="13">
        <v>223.05600000000001</v>
      </c>
      <c r="H429" t="s">
        <v>3137</v>
      </c>
      <c r="I429" t="s">
        <v>5</v>
      </c>
      <c r="J429">
        <v>223.05600000000001</v>
      </c>
    </row>
    <row r="430" spans="2:10">
      <c r="B430" s="13" t="s">
        <v>3117</v>
      </c>
      <c r="C430" s="13">
        <v>540.048</v>
      </c>
      <c r="H430" t="s">
        <v>3137</v>
      </c>
      <c r="I430" t="s">
        <v>5</v>
      </c>
      <c r="J430">
        <v>540.048</v>
      </c>
    </row>
    <row r="431" spans="2:10">
      <c r="B431" s="13" t="s">
        <v>3118</v>
      </c>
      <c r="C431" s="13">
        <v>17.880000000000003</v>
      </c>
      <c r="H431" t="s">
        <v>3136</v>
      </c>
      <c r="I431" t="s">
        <v>5</v>
      </c>
      <c r="J431">
        <v>17.880000000000003</v>
      </c>
    </row>
    <row r="432" spans="2:10">
      <c r="B432" s="13" t="s">
        <v>3118</v>
      </c>
      <c r="C432" s="13">
        <v>34.5</v>
      </c>
      <c r="H432" t="s">
        <v>3137</v>
      </c>
      <c r="I432" t="s">
        <v>5</v>
      </c>
      <c r="J432">
        <v>34.5</v>
      </c>
    </row>
    <row r="433" spans="2:10">
      <c r="B433" s="13" t="s">
        <v>3119</v>
      </c>
      <c r="C433" s="13">
        <v>8.36</v>
      </c>
      <c r="H433" t="s">
        <v>3138</v>
      </c>
      <c r="I433" t="s">
        <v>3</v>
      </c>
      <c r="J433">
        <v>8.36</v>
      </c>
    </row>
    <row r="434" spans="2:10">
      <c r="B434" s="13" t="s">
        <v>3122</v>
      </c>
      <c r="C434" s="13">
        <v>385.6</v>
      </c>
      <c r="H434" t="s">
        <v>3138</v>
      </c>
      <c r="I434" t="s">
        <v>5</v>
      </c>
      <c r="J434">
        <v>385.6</v>
      </c>
    </row>
    <row r="435" spans="2:10">
      <c r="B435" s="13" t="s">
        <v>3122</v>
      </c>
      <c r="C435" s="13">
        <v>35.82</v>
      </c>
      <c r="H435" t="s">
        <v>3138</v>
      </c>
      <c r="I435" t="s">
        <v>5</v>
      </c>
      <c r="J435">
        <v>35.82</v>
      </c>
    </row>
    <row r="436" spans="2:10">
      <c r="B436" s="13" t="s">
        <v>3117</v>
      </c>
      <c r="C436" s="13">
        <v>200.06400000000002</v>
      </c>
      <c r="H436" t="s">
        <v>3137</v>
      </c>
      <c r="I436" t="s">
        <v>5</v>
      </c>
      <c r="J436">
        <v>200.06400000000002</v>
      </c>
    </row>
    <row r="437" spans="2:10">
      <c r="B437" s="13" t="s">
        <v>3118</v>
      </c>
      <c r="C437" s="13">
        <v>21.379999999999995</v>
      </c>
      <c r="H437" t="s">
        <v>3137</v>
      </c>
      <c r="I437" t="s">
        <v>5</v>
      </c>
      <c r="J437">
        <v>21.379999999999995</v>
      </c>
    </row>
    <row r="438" spans="2:10">
      <c r="B438" s="13" t="s">
        <v>3118</v>
      </c>
      <c r="C438" s="13">
        <v>6.743999999999998</v>
      </c>
      <c r="H438" t="s">
        <v>3137</v>
      </c>
      <c r="I438" t="s">
        <v>5</v>
      </c>
      <c r="J438">
        <v>6.743999999999998</v>
      </c>
    </row>
    <row r="439" spans="2:10">
      <c r="B439" s="13" t="s">
        <v>3115</v>
      </c>
      <c r="C439" s="13">
        <v>63.686</v>
      </c>
      <c r="H439" t="s">
        <v>3136</v>
      </c>
      <c r="I439" t="s">
        <v>3</v>
      </c>
      <c r="J439">
        <v>63.686</v>
      </c>
    </row>
    <row r="440" spans="2:10">
      <c r="B440" s="13" t="s">
        <v>3126</v>
      </c>
      <c r="C440" s="13">
        <v>1669.6</v>
      </c>
      <c r="H440" t="s">
        <v>3138</v>
      </c>
      <c r="I440" t="s">
        <v>3</v>
      </c>
      <c r="J440">
        <v>1669.6</v>
      </c>
    </row>
    <row r="441" spans="2:10">
      <c r="B441" s="13" t="s">
        <v>3118</v>
      </c>
      <c r="C441" s="13">
        <v>21.335999999999999</v>
      </c>
      <c r="H441" t="s">
        <v>3138</v>
      </c>
      <c r="I441" t="s">
        <v>5</v>
      </c>
      <c r="J441">
        <v>21.335999999999999</v>
      </c>
    </row>
    <row r="442" spans="2:10">
      <c r="B442" s="13" t="s">
        <v>3122</v>
      </c>
      <c r="C442" s="13">
        <v>16.520000000000003</v>
      </c>
      <c r="H442" t="s">
        <v>3137</v>
      </c>
      <c r="I442" t="s">
        <v>5</v>
      </c>
      <c r="J442">
        <v>16.520000000000003</v>
      </c>
    </row>
    <row r="443" spans="2:10">
      <c r="B443" s="13" t="s">
        <v>3117</v>
      </c>
      <c r="C443" s="13">
        <v>10.744</v>
      </c>
      <c r="H443" t="s">
        <v>3138</v>
      </c>
      <c r="I443" t="s">
        <v>5</v>
      </c>
      <c r="J443">
        <v>10.744</v>
      </c>
    </row>
    <row r="444" spans="2:10">
      <c r="B444" s="13" t="s">
        <v>3123</v>
      </c>
      <c r="C444" s="13">
        <v>8.3760000000000012</v>
      </c>
      <c r="H444" t="s">
        <v>3138</v>
      </c>
      <c r="I444" t="s">
        <v>5</v>
      </c>
      <c r="J444">
        <v>8.3760000000000012</v>
      </c>
    </row>
    <row r="445" spans="2:10">
      <c r="B445" s="13" t="s">
        <v>3128</v>
      </c>
      <c r="C445" s="13">
        <v>203.98299999999998</v>
      </c>
      <c r="H445" t="s">
        <v>3138</v>
      </c>
      <c r="I445" t="s">
        <v>3</v>
      </c>
      <c r="J445">
        <v>203.98299999999998</v>
      </c>
    </row>
    <row r="446" spans="2:10">
      <c r="B446" s="13" t="s">
        <v>3116</v>
      </c>
      <c r="C446" s="13">
        <v>39.99</v>
      </c>
      <c r="H446" t="s">
        <v>3136</v>
      </c>
      <c r="I446" t="s">
        <v>4</v>
      </c>
      <c r="J446">
        <v>39.99</v>
      </c>
    </row>
    <row r="447" spans="2:10">
      <c r="B447" s="13" t="s">
        <v>3122</v>
      </c>
      <c r="C447" s="13">
        <v>16.28</v>
      </c>
      <c r="H447" t="s">
        <v>3136</v>
      </c>
      <c r="I447" t="s">
        <v>5</v>
      </c>
      <c r="J447">
        <v>16.28</v>
      </c>
    </row>
    <row r="448" spans="2:10">
      <c r="B448" s="13" t="s">
        <v>3128</v>
      </c>
      <c r="C448" s="13">
        <v>782.94</v>
      </c>
      <c r="H448" t="s">
        <v>3136</v>
      </c>
      <c r="I448" t="s">
        <v>3</v>
      </c>
      <c r="J448">
        <v>782.94</v>
      </c>
    </row>
    <row r="449" spans="2:10">
      <c r="B449" s="13" t="s">
        <v>3118</v>
      </c>
      <c r="C449" s="13">
        <v>242.48000000000002</v>
      </c>
      <c r="H449" t="s">
        <v>3136</v>
      </c>
      <c r="I449" t="s">
        <v>5</v>
      </c>
      <c r="J449">
        <v>242.48000000000002</v>
      </c>
    </row>
    <row r="450" spans="2:10">
      <c r="B450" s="13" t="s">
        <v>3125</v>
      </c>
      <c r="C450" s="13">
        <v>9.3239999999999981</v>
      </c>
      <c r="H450" t="s">
        <v>3137</v>
      </c>
      <c r="I450" t="s">
        <v>5</v>
      </c>
      <c r="J450">
        <v>9.3239999999999981</v>
      </c>
    </row>
    <row r="451" spans="2:10">
      <c r="B451" s="13" t="s">
        <v>3118</v>
      </c>
      <c r="C451" s="13">
        <v>124.75</v>
      </c>
      <c r="H451" t="s">
        <v>3135</v>
      </c>
      <c r="I451" t="s">
        <v>5</v>
      </c>
      <c r="J451">
        <v>124.75</v>
      </c>
    </row>
    <row r="452" spans="2:10">
      <c r="B452" s="13" t="s">
        <v>3120</v>
      </c>
      <c r="C452" s="13">
        <v>91.96</v>
      </c>
      <c r="H452" t="s">
        <v>3136</v>
      </c>
      <c r="I452" t="s">
        <v>4</v>
      </c>
      <c r="J452">
        <v>91.96</v>
      </c>
    </row>
    <row r="453" spans="2:10">
      <c r="B453" s="13" t="s">
        <v>3122</v>
      </c>
      <c r="C453" s="13">
        <v>2.78</v>
      </c>
      <c r="H453" t="s">
        <v>3138</v>
      </c>
      <c r="I453" t="s">
        <v>5</v>
      </c>
      <c r="J453">
        <v>2.78</v>
      </c>
    </row>
    <row r="454" spans="2:10">
      <c r="B454" s="13" t="s">
        <v>3126</v>
      </c>
      <c r="C454" s="13">
        <v>1044.6299999999999</v>
      </c>
      <c r="H454" t="s">
        <v>3136</v>
      </c>
      <c r="I454" t="s">
        <v>3</v>
      </c>
      <c r="J454">
        <v>1044.6299999999999</v>
      </c>
    </row>
    <row r="455" spans="2:10">
      <c r="B455" s="13" t="s">
        <v>3114</v>
      </c>
      <c r="C455" s="13">
        <v>122.97</v>
      </c>
      <c r="H455" t="s">
        <v>3138</v>
      </c>
      <c r="I455" t="s">
        <v>5</v>
      </c>
      <c r="J455">
        <v>122.97</v>
      </c>
    </row>
    <row r="456" spans="2:10">
      <c r="B456" s="13" t="s">
        <v>3122</v>
      </c>
      <c r="C456" s="13">
        <v>12.84</v>
      </c>
      <c r="H456" t="s">
        <v>3135</v>
      </c>
      <c r="I456" t="s">
        <v>5</v>
      </c>
      <c r="J456">
        <v>12.84</v>
      </c>
    </row>
    <row r="457" spans="2:10">
      <c r="B457" s="13" t="s">
        <v>3115</v>
      </c>
      <c r="C457" s="13">
        <v>47.991999999999997</v>
      </c>
      <c r="H457" t="s">
        <v>3136</v>
      </c>
      <c r="I457" t="s">
        <v>3</v>
      </c>
      <c r="J457">
        <v>47.991999999999997</v>
      </c>
    </row>
    <row r="458" spans="2:10">
      <c r="B458" s="13" t="s">
        <v>3119</v>
      </c>
      <c r="C458" s="13">
        <v>547.30000000000007</v>
      </c>
      <c r="H458" t="s">
        <v>3136</v>
      </c>
      <c r="I458" t="s">
        <v>3</v>
      </c>
      <c r="J458">
        <v>547.30000000000007</v>
      </c>
    </row>
    <row r="459" spans="2:10">
      <c r="B459" s="13" t="s">
        <v>3114</v>
      </c>
      <c r="C459" s="13">
        <v>16.896000000000001</v>
      </c>
      <c r="H459" t="s">
        <v>3137</v>
      </c>
      <c r="I459" t="s">
        <v>5</v>
      </c>
      <c r="J459">
        <v>16.896000000000001</v>
      </c>
    </row>
    <row r="460" spans="2:10">
      <c r="B460" s="13" t="s">
        <v>3129</v>
      </c>
      <c r="C460" s="13">
        <v>6.6720000000000006</v>
      </c>
      <c r="H460" t="s">
        <v>3137</v>
      </c>
      <c r="I460" t="s">
        <v>5</v>
      </c>
      <c r="J460">
        <v>6.6720000000000006</v>
      </c>
    </row>
    <row r="461" spans="2:10">
      <c r="B461" s="13" t="s">
        <v>3122</v>
      </c>
      <c r="C461" s="13">
        <v>99.13600000000001</v>
      </c>
      <c r="H461" t="s">
        <v>3137</v>
      </c>
      <c r="I461" t="s">
        <v>5</v>
      </c>
      <c r="J461">
        <v>99.13600000000001</v>
      </c>
    </row>
    <row r="462" spans="2:10">
      <c r="B462" s="13" t="s">
        <v>3119</v>
      </c>
      <c r="C462" s="13">
        <v>15.991999999999999</v>
      </c>
      <c r="H462" t="s">
        <v>3137</v>
      </c>
      <c r="I462" t="s">
        <v>3</v>
      </c>
      <c r="J462">
        <v>15.991999999999999</v>
      </c>
    </row>
    <row r="463" spans="2:10">
      <c r="B463" s="13" t="s">
        <v>3122</v>
      </c>
      <c r="C463" s="13">
        <v>155.94</v>
      </c>
      <c r="H463" t="s">
        <v>3136</v>
      </c>
      <c r="I463" t="s">
        <v>5</v>
      </c>
      <c r="J463">
        <v>155.94</v>
      </c>
    </row>
    <row r="464" spans="2:10">
      <c r="B464" s="13" t="s">
        <v>3117</v>
      </c>
      <c r="C464" s="13">
        <v>1000.0200000000001</v>
      </c>
      <c r="H464" t="s">
        <v>3138</v>
      </c>
      <c r="I464" t="s">
        <v>5</v>
      </c>
      <c r="J464">
        <v>1000.0200000000001</v>
      </c>
    </row>
    <row r="465" spans="2:10">
      <c r="B465" s="13" t="s">
        <v>3119</v>
      </c>
      <c r="C465" s="13">
        <v>198.46</v>
      </c>
      <c r="H465" t="s">
        <v>3138</v>
      </c>
      <c r="I465" t="s">
        <v>3</v>
      </c>
      <c r="J465">
        <v>198.46</v>
      </c>
    </row>
    <row r="466" spans="2:10">
      <c r="B466" s="13" t="s">
        <v>3121</v>
      </c>
      <c r="C466" s="13">
        <v>786.48</v>
      </c>
      <c r="H466" t="s">
        <v>3138</v>
      </c>
      <c r="I466" t="s">
        <v>5</v>
      </c>
      <c r="J466">
        <v>786.48</v>
      </c>
    </row>
    <row r="467" spans="2:10">
      <c r="B467" s="13" t="s">
        <v>3118</v>
      </c>
      <c r="C467" s="13">
        <v>23.168000000000003</v>
      </c>
      <c r="H467" t="s">
        <v>3138</v>
      </c>
      <c r="I467" t="s">
        <v>5</v>
      </c>
      <c r="J467">
        <v>23.168000000000003</v>
      </c>
    </row>
    <row r="468" spans="2:10">
      <c r="B468" s="13" t="s">
        <v>3120</v>
      </c>
      <c r="C468" s="13">
        <v>50</v>
      </c>
      <c r="H468" t="s">
        <v>3138</v>
      </c>
      <c r="I468" t="s">
        <v>4</v>
      </c>
      <c r="J468">
        <v>50</v>
      </c>
    </row>
    <row r="469" spans="2:10">
      <c r="B469" s="13" t="s">
        <v>3119</v>
      </c>
      <c r="C469" s="13">
        <v>17.920000000000002</v>
      </c>
      <c r="H469" t="s">
        <v>3136</v>
      </c>
      <c r="I469" t="s">
        <v>3</v>
      </c>
      <c r="J469">
        <v>17.920000000000002</v>
      </c>
    </row>
    <row r="470" spans="2:10">
      <c r="B470" s="13" t="s">
        <v>3118</v>
      </c>
      <c r="C470" s="13">
        <v>41.256000000000007</v>
      </c>
      <c r="H470" t="s">
        <v>3136</v>
      </c>
      <c r="I470" t="s">
        <v>5</v>
      </c>
      <c r="J470">
        <v>41.256000000000007</v>
      </c>
    </row>
    <row r="471" spans="2:10">
      <c r="B471" s="13" t="s">
        <v>3117</v>
      </c>
      <c r="C471" s="13">
        <v>169.68</v>
      </c>
      <c r="H471" t="s">
        <v>3138</v>
      </c>
      <c r="I471" t="s">
        <v>5</v>
      </c>
      <c r="J471">
        <v>169.68</v>
      </c>
    </row>
    <row r="472" spans="2:10">
      <c r="B472" s="13" t="s">
        <v>3120</v>
      </c>
      <c r="C472" s="13">
        <v>132.52000000000001</v>
      </c>
      <c r="H472" t="s">
        <v>3138</v>
      </c>
      <c r="I472" t="s">
        <v>4</v>
      </c>
      <c r="J472">
        <v>132.52000000000001</v>
      </c>
    </row>
    <row r="473" spans="2:10">
      <c r="B473" s="13" t="s">
        <v>3123</v>
      </c>
      <c r="C473" s="13">
        <v>2.96</v>
      </c>
      <c r="H473" t="s">
        <v>3138</v>
      </c>
      <c r="I473" t="s">
        <v>5</v>
      </c>
      <c r="J473">
        <v>2.96</v>
      </c>
    </row>
    <row r="474" spans="2:10">
      <c r="B474" s="13" t="s">
        <v>3118</v>
      </c>
      <c r="C474" s="13">
        <v>8.4480000000000004</v>
      </c>
      <c r="H474" t="s">
        <v>3138</v>
      </c>
      <c r="I474" t="s">
        <v>5</v>
      </c>
      <c r="J474">
        <v>8.4480000000000004</v>
      </c>
    </row>
    <row r="475" spans="2:10">
      <c r="B475" s="13" t="s">
        <v>3117</v>
      </c>
      <c r="C475" s="13">
        <v>95.94</v>
      </c>
      <c r="H475" t="s">
        <v>3138</v>
      </c>
      <c r="I475" t="s">
        <v>5</v>
      </c>
      <c r="J475">
        <v>95.94</v>
      </c>
    </row>
    <row r="476" spans="2:10">
      <c r="B476" s="13" t="s">
        <v>3116</v>
      </c>
      <c r="C476" s="13">
        <v>160.77600000000001</v>
      </c>
      <c r="H476" t="s">
        <v>3138</v>
      </c>
      <c r="I476" t="s">
        <v>4</v>
      </c>
      <c r="J476">
        <v>160.77600000000001</v>
      </c>
    </row>
    <row r="477" spans="2:10">
      <c r="B477" s="13" t="s">
        <v>3118</v>
      </c>
      <c r="C477" s="13">
        <v>88.751999999999995</v>
      </c>
      <c r="H477" t="s">
        <v>3138</v>
      </c>
      <c r="I477" t="s">
        <v>5</v>
      </c>
      <c r="J477">
        <v>88.751999999999995</v>
      </c>
    </row>
    <row r="478" spans="2:10">
      <c r="B478" s="13" t="s">
        <v>3118</v>
      </c>
      <c r="C478" s="13">
        <v>13.904</v>
      </c>
      <c r="H478" t="s">
        <v>3138</v>
      </c>
      <c r="I478" t="s">
        <v>5</v>
      </c>
      <c r="J478">
        <v>13.904</v>
      </c>
    </row>
    <row r="479" spans="2:10">
      <c r="B479" s="13" t="s">
        <v>3116</v>
      </c>
      <c r="C479" s="13">
        <v>677.57999999999993</v>
      </c>
      <c r="H479" t="s">
        <v>3136</v>
      </c>
      <c r="I479" t="s">
        <v>4</v>
      </c>
      <c r="J479">
        <v>677.57999999999993</v>
      </c>
    </row>
    <row r="480" spans="2:10">
      <c r="B480" s="13" t="s">
        <v>3118</v>
      </c>
      <c r="C480" s="13">
        <v>13.896000000000001</v>
      </c>
      <c r="H480" t="s">
        <v>3136</v>
      </c>
      <c r="I480" t="s">
        <v>5</v>
      </c>
      <c r="J480">
        <v>13.896000000000001</v>
      </c>
    </row>
    <row r="481" spans="2:10">
      <c r="B481" s="13" t="s">
        <v>3116</v>
      </c>
      <c r="C481" s="13">
        <v>16.68</v>
      </c>
      <c r="H481" t="s">
        <v>3137</v>
      </c>
      <c r="I481" t="s">
        <v>4</v>
      </c>
      <c r="J481">
        <v>16.68</v>
      </c>
    </row>
    <row r="482" spans="2:10">
      <c r="B482" s="13" t="s">
        <v>3116</v>
      </c>
      <c r="C482" s="13">
        <v>167.96800000000002</v>
      </c>
      <c r="H482" t="s">
        <v>3137</v>
      </c>
      <c r="I482" t="s">
        <v>4</v>
      </c>
      <c r="J482">
        <v>167.96800000000002</v>
      </c>
    </row>
    <row r="483" spans="2:10">
      <c r="B483" s="13" t="s">
        <v>3125</v>
      </c>
      <c r="C483" s="13">
        <v>99.28</v>
      </c>
      <c r="H483" t="s">
        <v>3136</v>
      </c>
      <c r="I483" t="s">
        <v>5</v>
      </c>
      <c r="J483">
        <v>99.28</v>
      </c>
    </row>
    <row r="484" spans="2:10">
      <c r="B484" s="13" t="s">
        <v>3118</v>
      </c>
      <c r="C484" s="13">
        <v>1.1880000000000002</v>
      </c>
      <c r="H484" t="s">
        <v>3136</v>
      </c>
      <c r="I484" t="s">
        <v>5</v>
      </c>
      <c r="J484">
        <v>1.1880000000000002</v>
      </c>
    </row>
    <row r="485" spans="2:10">
      <c r="B485" s="13" t="s">
        <v>3118</v>
      </c>
      <c r="C485" s="13">
        <v>7.5180000000000007</v>
      </c>
      <c r="H485" t="s">
        <v>3136</v>
      </c>
      <c r="I485" t="s">
        <v>5</v>
      </c>
      <c r="J485">
        <v>7.5180000000000007</v>
      </c>
    </row>
    <row r="486" spans="2:10">
      <c r="B486" s="13" t="s">
        <v>3114</v>
      </c>
      <c r="C486" s="13">
        <v>10.368000000000002</v>
      </c>
      <c r="H486" t="s">
        <v>3136</v>
      </c>
      <c r="I486" t="s">
        <v>5</v>
      </c>
      <c r="J486">
        <v>10.368000000000002</v>
      </c>
    </row>
    <row r="487" spans="2:10">
      <c r="B487" s="13" t="s">
        <v>3119</v>
      </c>
      <c r="C487" s="13">
        <v>310.88000000000005</v>
      </c>
      <c r="H487" t="s">
        <v>3136</v>
      </c>
      <c r="I487" t="s">
        <v>3</v>
      </c>
      <c r="J487">
        <v>310.88000000000005</v>
      </c>
    </row>
    <row r="488" spans="2:10">
      <c r="B488" s="13" t="s">
        <v>3114</v>
      </c>
      <c r="C488" s="13">
        <v>33.450000000000003</v>
      </c>
      <c r="H488" t="s">
        <v>3137</v>
      </c>
      <c r="I488" t="s">
        <v>5</v>
      </c>
      <c r="J488">
        <v>33.450000000000003</v>
      </c>
    </row>
    <row r="489" spans="2:10">
      <c r="B489" s="13" t="s">
        <v>3118</v>
      </c>
      <c r="C489" s="13">
        <v>10.4</v>
      </c>
      <c r="H489" t="s">
        <v>3137</v>
      </c>
      <c r="I489" t="s">
        <v>5</v>
      </c>
      <c r="J489">
        <v>10.4</v>
      </c>
    </row>
    <row r="490" spans="2:10">
      <c r="B490" s="13" t="s">
        <v>3121</v>
      </c>
      <c r="C490" s="13">
        <v>43.86</v>
      </c>
      <c r="H490" t="s">
        <v>3138</v>
      </c>
      <c r="I490" t="s">
        <v>5</v>
      </c>
      <c r="J490">
        <v>43.86</v>
      </c>
    </row>
    <row r="491" spans="2:10">
      <c r="B491" s="13" t="s">
        <v>3116</v>
      </c>
      <c r="C491" s="13">
        <v>148.47999999999999</v>
      </c>
      <c r="H491" t="s">
        <v>3138</v>
      </c>
      <c r="I491" t="s">
        <v>4</v>
      </c>
      <c r="J491">
        <v>148.47999999999999</v>
      </c>
    </row>
    <row r="492" spans="2:10">
      <c r="B492" s="13" t="s">
        <v>3114</v>
      </c>
      <c r="C492" s="13">
        <v>7.42</v>
      </c>
      <c r="H492" t="s">
        <v>3138</v>
      </c>
      <c r="I492" t="s">
        <v>5</v>
      </c>
      <c r="J492">
        <v>7.42</v>
      </c>
    </row>
    <row r="493" spans="2:10">
      <c r="B493" s="13" t="s">
        <v>3115</v>
      </c>
      <c r="C493" s="13">
        <v>71.992000000000004</v>
      </c>
      <c r="H493" t="s">
        <v>3138</v>
      </c>
      <c r="I493" t="s">
        <v>3</v>
      </c>
      <c r="J493">
        <v>71.992000000000004</v>
      </c>
    </row>
    <row r="494" spans="2:10">
      <c r="B494" s="13" t="s">
        <v>3122</v>
      </c>
      <c r="C494" s="13">
        <v>19.899999999999999</v>
      </c>
      <c r="H494" t="s">
        <v>3138</v>
      </c>
      <c r="I494" t="s">
        <v>5</v>
      </c>
      <c r="J494">
        <v>19.899999999999999</v>
      </c>
    </row>
    <row r="495" spans="2:10">
      <c r="B495" s="13" t="s">
        <v>3125</v>
      </c>
      <c r="C495" s="13">
        <v>1702.12</v>
      </c>
      <c r="H495" t="s">
        <v>3138</v>
      </c>
      <c r="I495" t="s">
        <v>5</v>
      </c>
      <c r="J495">
        <v>1702.12</v>
      </c>
    </row>
    <row r="496" spans="2:10">
      <c r="B496" s="13" t="s">
        <v>3126</v>
      </c>
      <c r="C496" s="13">
        <v>765.625</v>
      </c>
      <c r="H496" t="s">
        <v>3137</v>
      </c>
      <c r="I496" t="s">
        <v>3</v>
      </c>
      <c r="J496">
        <v>765.625</v>
      </c>
    </row>
    <row r="497" spans="2:10">
      <c r="B497" s="13" t="s">
        <v>3128</v>
      </c>
      <c r="C497" s="13">
        <v>307.666</v>
      </c>
      <c r="H497" t="s">
        <v>3138</v>
      </c>
      <c r="I497" t="s">
        <v>3</v>
      </c>
      <c r="J497">
        <v>307.666</v>
      </c>
    </row>
    <row r="498" spans="2:10">
      <c r="B498" s="13" t="s">
        <v>3126</v>
      </c>
      <c r="C498" s="13">
        <v>1048.3499999999999</v>
      </c>
      <c r="H498" t="s">
        <v>3136</v>
      </c>
      <c r="I498" t="s">
        <v>3</v>
      </c>
      <c r="J498">
        <v>1048.3499999999999</v>
      </c>
    </row>
    <row r="499" spans="2:10">
      <c r="B499" s="13" t="s">
        <v>3125</v>
      </c>
      <c r="C499" s="13">
        <v>34.848000000000006</v>
      </c>
      <c r="H499" t="s">
        <v>3135</v>
      </c>
      <c r="I499" t="s">
        <v>5</v>
      </c>
      <c r="J499">
        <v>34.848000000000006</v>
      </c>
    </row>
    <row r="500" spans="2:10">
      <c r="B500" s="13" t="s">
        <v>3116</v>
      </c>
      <c r="C500" s="13">
        <v>22</v>
      </c>
      <c r="H500" t="s">
        <v>3135</v>
      </c>
      <c r="I500" t="s">
        <v>4</v>
      </c>
      <c r="J500">
        <v>22</v>
      </c>
    </row>
    <row r="501" spans="2:10">
      <c r="B501" s="13" t="s">
        <v>3122</v>
      </c>
      <c r="C501" s="13">
        <v>4.3680000000000003</v>
      </c>
      <c r="H501" t="s">
        <v>3135</v>
      </c>
      <c r="I501" t="s">
        <v>5</v>
      </c>
      <c r="J501">
        <v>4.3680000000000003</v>
      </c>
    </row>
    <row r="502" spans="2:10">
      <c r="B502" s="13" t="s">
        <v>3114</v>
      </c>
      <c r="C502" s="13">
        <v>20.736000000000004</v>
      </c>
      <c r="H502" t="s">
        <v>3136</v>
      </c>
      <c r="I502" t="s">
        <v>5</v>
      </c>
      <c r="J502">
        <v>20.736000000000004</v>
      </c>
    </row>
    <row r="503" spans="2:10">
      <c r="B503" s="13" t="s">
        <v>3119</v>
      </c>
      <c r="C503" s="13">
        <v>7.168000000000001</v>
      </c>
      <c r="H503" t="s">
        <v>3136</v>
      </c>
      <c r="I503" t="s">
        <v>3</v>
      </c>
      <c r="J503">
        <v>7.168000000000001</v>
      </c>
    </row>
    <row r="504" spans="2:10">
      <c r="B504" s="13" t="s">
        <v>3117</v>
      </c>
      <c r="C504" s="13">
        <v>11.168000000000001</v>
      </c>
      <c r="H504" t="s">
        <v>3136</v>
      </c>
      <c r="I504" t="s">
        <v>5</v>
      </c>
      <c r="J504">
        <v>11.168000000000001</v>
      </c>
    </row>
    <row r="505" spans="2:10">
      <c r="B505" s="13" t="s">
        <v>3120</v>
      </c>
      <c r="C505" s="13">
        <v>442.40000000000003</v>
      </c>
      <c r="H505" t="s">
        <v>3136</v>
      </c>
      <c r="I505" t="s">
        <v>4</v>
      </c>
      <c r="J505">
        <v>442.40000000000003</v>
      </c>
    </row>
    <row r="506" spans="2:10">
      <c r="B506" s="13" t="s">
        <v>3119</v>
      </c>
      <c r="C506" s="13">
        <v>9.4600000000000009</v>
      </c>
      <c r="H506" t="s">
        <v>3138</v>
      </c>
      <c r="I506" t="s">
        <v>3</v>
      </c>
      <c r="J506">
        <v>9.4600000000000009</v>
      </c>
    </row>
    <row r="507" spans="2:10">
      <c r="B507" s="13" t="s">
        <v>3117</v>
      </c>
      <c r="C507" s="13">
        <v>559.62</v>
      </c>
      <c r="H507" t="s">
        <v>3138</v>
      </c>
      <c r="I507" t="s">
        <v>5</v>
      </c>
      <c r="J507">
        <v>559.62</v>
      </c>
    </row>
    <row r="508" spans="2:10">
      <c r="B508" s="13" t="s">
        <v>3114</v>
      </c>
      <c r="C508" s="13">
        <v>109.92</v>
      </c>
      <c r="H508" t="s">
        <v>3138</v>
      </c>
      <c r="I508" t="s">
        <v>5</v>
      </c>
      <c r="J508">
        <v>109.92</v>
      </c>
    </row>
    <row r="509" spans="2:10">
      <c r="B509" s="13" t="s">
        <v>3114</v>
      </c>
      <c r="C509" s="13">
        <v>8.56</v>
      </c>
      <c r="H509" t="s">
        <v>3138</v>
      </c>
      <c r="I509" t="s">
        <v>5</v>
      </c>
      <c r="J509">
        <v>8.56</v>
      </c>
    </row>
    <row r="510" spans="2:10">
      <c r="B510" s="13" t="s">
        <v>3129</v>
      </c>
      <c r="C510" s="13">
        <v>6.9760000000000009</v>
      </c>
      <c r="H510" t="s">
        <v>3137</v>
      </c>
      <c r="I510" t="s">
        <v>5</v>
      </c>
      <c r="J510">
        <v>6.9760000000000009</v>
      </c>
    </row>
    <row r="511" spans="2:10">
      <c r="B511" s="13" t="s">
        <v>3118</v>
      </c>
      <c r="C511" s="13">
        <v>12.221999999999998</v>
      </c>
      <c r="H511" t="s">
        <v>3137</v>
      </c>
      <c r="I511" t="s">
        <v>5</v>
      </c>
      <c r="J511">
        <v>12.221999999999998</v>
      </c>
    </row>
    <row r="512" spans="2:10">
      <c r="B512" s="13" t="s">
        <v>3114</v>
      </c>
      <c r="C512" s="13">
        <v>219.84</v>
      </c>
      <c r="H512" t="s">
        <v>3137</v>
      </c>
      <c r="I512" t="s">
        <v>5</v>
      </c>
      <c r="J512">
        <v>219.84</v>
      </c>
    </row>
    <row r="513" spans="2:10">
      <c r="B513" s="13" t="s">
        <v>3120</v>
      </c>
      <c r="C513" s="13">
        <v>98.16</v>
      </c>
      <c r="H513" t="s">
        <v>3137</v>
      </c>
      <c r="I513" t="s">
        <v>4</v>
      </c>
      <c r="J513">
        <v>98.16</v>
      </c>
    </row>
    <row r="514" spans="2:10">
      <c r="B514" s="13" t="s">
        <v>3118</v>
      </c>
      <c r="C514" s="13">
        <v>33.04</v>
      </c>
      <c r="H514" t="s">
        <v>3137</v>
      </c>
      <c r="I514" t="s">
        <v>5</v>
      </c>
      <c r="J514">
        <v>33.04</v>
      </c>
    </row>
    <row r="515" spans="2:10">
      <c r="B515" s="13" t="s">
        <v>3116</v>
      </c>
      <c r="C515" s="13">
        <v>86.97</v>
      </c>
      <c r="H515" t="s">
        <v>3137</v>
      </c>
      <c r="I515" t="s">
        <v>4</v>
      </c>
      <c r="J515">
        <v>86.97</v>
      </c>
    </row>
    <row r="516" spans="2:10">
      <c r="B516" s="13" t="s">
        <v>3117</v>
      </c>
      <c r="C516" s="13">
        <v>63.84</v>
      </c>
      <c r="H516" t="s">
        <v>3136</v>
      </c>
      <c r="I516" t="s">
        <v>5</v>
      </c>
      <c r="J516">
        <v>63.84</v>
      </c>
    </row>
    <row r="517" spans="2:10">
      <c r="B517" s="13" t="s">
        <v>3116</v>
      </c>
      <c r="C517" s="13">
        <v>347.96999999999997</v>
      </c>
      <c r="H517" t="s">
        <v>3136</v>
      </c>
      <c r="I517" t="s">
        <v>4</v>
      </c>
      <c r="J517">
        <v>347.96999999999997</v>
      </c>
    </row>
    <row r="518" spans="2:10">
      <c r="B518" s="13" t="s">
        <v>3118</v>
      </c>
      <c r="C518" s="13">
        <v>37.008000000000003</v>
      </c>
      <c r="H518" t="s">
        <v>3136</v>
      </c>
      <c r="I518" t="s">
        <v>5</v>
      </c>
      <c r="J518">
        <v>37.008000000000003</v>
      </c>
    </row>
    <row r="519" spans="2:10">
      <c r="B519" s="13" t="s">
        <v>3118</v>
      </c>
      <c r="C519" s="13">
        <v>5.6070000000000011</v>
      </c>
      <c r="H519" t="s">
        <v>3136</v>
      </c>
      <c r="I519" t="s">
        <v>5</v>
      </c>
      <c r="J519">
        <v>5.6070000000000011</v>
      </c>
    </row>
    <row r="520" spans="2:10">
      <c r="B520" s="13" t="s">
        <v>3129</v>
      </c>
      <c r="C520" s="13">
        <v>4663.7360000000008</v>
      </c>
      <c r="H520" t="s">
        <v>3136</v>
      </c>
      <c r="I520" t="s">
        <v>5</v>
      </c>
      <c r="J520">
        <v>4663.7360000000008</v>
      </c>
    </row>
    <row r="521" spans="2:10">
      <c r="B521" s="13" t="s">
        <v>3120</v>
      </c>
      <c r="C521" s="13">
        <v>79.984000000000009</v>
      </c>
      <c r="H521" t="s">
        <v>3136</v>
      </c>
      <c r="I521" t="s">
        <v>4</v>
      </c>
      <c r="J521">
        <v>79.984000000000009</v>
      </c>
    </row>
    <row r="522" spans="2:10">
      <c r="B522" s="13" t="s">
        <v>3119</v>
      </c>
      <c r="C522" s="13">
        <v>77.599999999999994</v>
      </c>
      <c r="H522" t="s">
        <v>3136</v>
      </c>
      <c r="I522" t="s">
        <v>3</v>
      </c>
      <c r="J522">
        <v>77.599999999999994</v>
      </c>
    </row>
    <row r="523" spans="2:10">
      <c r="B523" s="13" t="s">
        <v>3119</v>
      </c>
      <c r="C523" s="13">
        <v>4.6560000000000006</v>
      </c>
      <c r="H523" t="s">
        <v>3136</v>
      </c>
      <c r="I523" t="s">
        <v>3</v>
      </c>
      <c r="J523">
        <v>4.6560000000000006</v>
      </c>
    </row>
    <row r="524" spans="2:10">
      <c r="B524" s="13" t="s">
        <v>3116</v>
      </c>
      <c r="C524" s="13">
        <v>1439.92</v>
      </c>
      <c r="H524" t="s">
        <v>3137</v>
      </c>
      <c r="I524" t="s">
        <v>4</v>
      </c>
      <c r="J524">
        <v>1439.92</v>
      </c>
    </row>
    <row r="525" spans="2:10">
      <c r="B525" s="13" t="s">
        <v>3126</v>
      </c>
      <c r="C525" s="13">
        <v>262.11</v>
      </c>
      <c r="H525" t="s">
        <v>3137</v>
      </c>
      <c r="I525" t="s">
        <v>3</v>
      </c>
      <c r="J525">
        <v>262.11</v>
      </c>
    </row>
    <row r="526" spans="2:10">
      <c r="B526" s="13" t="s">
        <v>3130</v>
      </c>
      <c r="C526" s="13">
        <v>1439.982</v>
      </c>
      <c r="H526" t="s">
        <v>3137</v>
      </c>
      <c r="I526" t="s">
        <v>4</v>
      </c>
      <c r="J526">
        <v>1439.982</v>
      </c>
    </row>
    <row r="527" spans="2:10">
      <c r="B527" s="13" t="s">
        <v>3114</v>
      </c>
      <c r="C527" s="13">
        <v>36.288000000000011</v>
      </c>
      <c r="H527" t="s">
        <v>3137</v>
      </c>
      <c r="I527" t="s">
        <v>5</v>
      </c>
      <c r="J527">
        <v>36.288000000000011</v>
      </c>
    </row>
    <row r="528" spans="2:10">
      <c r="B528" s="13" t="s">
        <v>3125</v>
      </c>
      <c r="C528" s="13">
        <v>1245.8599999999999</v>
      </c>
      <c r="H528" t="s">
        <v>3135</v>
      </c>
      <c r="I528" t="s">
        <v>5</v>
      </c>
      <c r="J528">
        <v>1245.8599999999999</v>
      </c>
    </row>
    <row r="529" spans="2:10">
      <c r="B529" s="13" t="s">
        <v>3120</v>
      </c>
      <c r="C529" s="13">
        <v>90.570000000000007</v>
      </c>
      <c r="H529" t="s">
        <v>3138</v>
      </c>
      <c r="I529" t="s">
        <v>4</v>
      </c>
      <c r="J529">
        <v>90.570000000000007</v>
      </c>
    </row>
    <row r="530" spans="2:10">
      <c r="B530" s="13" t="s">
        <v>3114</v>
      </c>
      <c r="C530" s="13">
        <v>40.08</v>
      </c>
      <c r="H530" t="s">
        <v>3136</v>
      </c>
      <c r="I530" t="s">
        <v>5</v>
      </c>
      <c r="J530">
        <v>40.08</v>
      </c>
    </row>
    <row r="531" spans="2:10">
      <c r="B531" s="13" t="s">
        <v>3119</v>
      </c>
      <c r="C531" s="13">
        <v>37.68</v>
      </c>
      <c r="H531" t="s">
        <v>3136</v>
      </c>
      <c r="I531" t="s">
        <v>3</v>
      </c>
      <c r="J531">
        <v>37.68</v>
      </c>
    </row>
    <row r="532" spans="2:10">
      <c r="B532" s="13" t="s">
        <v>3115</v>
      </c>
      <c r="C532" s="13">
        <v>362.35199999999998</v>
      </c>
      <c r="H532" t="s">
        <v>3138</v>
      </c>
      <c r="I532" t="s">
        <v>3</v>
      </c>
      <c r="J532">
        <v>362.35199999999998</v>
      </c>
    </row>
    <row r="533" spans="2:10">
      <c r="B533" s="13" t="s">
        <v>3118</v>
      </c>
      <c r="C533" s="13">
        <v>7.1840000000000011</v>
      </c>
      <c r="H533" t="s">
        <v>3138</v>
      </c>
      <c r="I533" t="s">
        <v>5</v>
      </c>
      <c r="J533">
        <v>7.1840000000000011</v>
      </c>
    </row>
    <row r="534" spans="2:10">
      <c r="B534" s="13" t="s">
        <v>3117</v>
      </c>
      <c r="C534" s="13">
        <v>127.92000000000002</v>
      </c>
      <c r="H534" t="s">
        <v>3137</v>
      </c>
      <c r="I534" t="s">
        <v>5</v>
      </c>
      <c r="J534">
        <v>127.92000000000002</v>
      </c>
    </row>
    <row r="535" spans="2:10">
      <c r="B535" s="13" t="s">
        <v>3118</v>
      </c>
      <c r="C535" s="13">
        <v>34.239999999999988</v>
      </c>
      <c r="H535" t="s">
        <v>3137</v>
      </c>
      <c r="I535" t="s">
        <v>5</v>
      </c>
      <c r="J535">
        <v>34.239999999999988</v>
      </c>
    </row>
    <row r="536" spans="2:10">
      <c r="B536" s="13" t="s">
        <v>3128</v>
      </c>
      <c r="C536" s="13">
        <v>257.56799999999998</v>
      </c>
      <c r="H536" t="s">
        <v>3136</v>
      </c>
      <c r="I536" t="s">
        <v>3</v>
      </c>
      <c r="J536">
        <v>257.56799999999998</v>
      </c>
    </row>
    <row r="537" spans="2:10">
      <c r="B537" s="13" t="s">
        <v>3116</v>
      </c>
      <c r="C537" s="13">
        <v>119.96</v>
      </c>
      <c r="H537" t="s">
        <v>3136</v>
      </c>
      <c r="I537" t="s">
        <v>4</v>
      </c>
      <c r="J537">
        <v>119.96</v>
      </c>
    </row>
    <row r="538" spans="2:10">
      <c r="B538" s="13" t="s">
        <v>3116</v>
      </c>
      <c r="C538" s="13">
        <v>370.78199999999998</v>
      </c>
      <c r="H538" t="s">
        <v>3136</v>
      </c>
      <c r="I538" t="s">
        <v>4</v>
      </c>
      <c r="J538">
        <v>370.78199999999998</v>
      </c>
    </row>
    <row r="539" spans="2:10">
      <c r="B539" s="13" t="s">
        <v>3119</v>
      </c>
      <c r="C539" s="13">
        <v>196.45</v>
      </c>
      <c r="H539" t="s">
        <v>3138</v>
      </c>
      <c r="I539" t="s">
        <v>3</v>
      </c>
      <c r="J539">
        <v>196.45</v>
      </c>
    </row>
    <row r="540" spans="2:10">
      <c r="B540" s="13" t="s">
        <v>3126</v>
      </c>
      <c r="C540" s="13">
        <v>70.98</v>
      </c>
      <c r="H540" t="s">
        <v>3138</v>
      </c>
      <c r="I540" t="s">
        <v>3</v>
      </c>
      <c r="J540">
        <v>70.98</v>
      </c>
    </row>
    <row r="541" spans="2:10">
      <c r="B541" s="13" t="s">
        <v>3116</v>
      </c>
      <c r="C541" s="13">
        <v>470.37600000000009</v>
      </c>
      <c r="H541" t="s">
        <v>3137</v>
      </c>
      <c r="I541" t="s">
        <v>4</v>
      </c>
      <c r="J541">
        <v>470.37600000000009</v>
      </c>
    </row>
    <row r="542" spans="2:10">
      <c r="B542" s="13" t="s">
        <v>3115</v>
      </c>
      <c r="C542" s="13">
        <v>393.56799999999998</v>
      </c>
      <c r="H542" t="s">
        <v>3138</v>
      </c>
      <c r="I542" t="s">
        <v>3</v>
      </c>
      <c r="J542">
        <v>393.56799999999998</v>
      </c>
    </row>
    <row r="543" spans="2:10">
      <c r="B543" s="13" t="s">
        <v>3116</v>
      </c>
      <c r="C543" s="13">
        <v>302.37599999999998</v>
      </c>
      <c r="H543" t="s">
        <v>3138</v>
      </c>
      <c r="I543" t="s">
        <v>4</v>
      </c>
      <c r="J543">
        <v>302.37599999999998</v>
      </c>
    </row>
    <row r="544" spans="2:10">
      <c r="B544" s="13" t="s">
        <v>3118</v>
      </c>
      <c r="C544" s="13">
        <v>68.742000000000019</v>
      </c>
      <c r="H544" t="s">
        <v>3135</v>
      </c>
      <c r="I544" t="s">
        <v>5</v>
      </c>
      <c r="J544">
        <v>68.742000000000019</v>
      </c>
    </row>
    <row r="545" spans="2:10">
      <c r="B545" s="13" t="s">
        <v>3121</v>
      </c>
      <c r="C545" s="13">
        <v>6</v>
      </c>
      <c r="H545" t="s">
        <v>3137</v>
      </c>
      <c r="I545" t="s">
        <v>5</v>
      </c>
      <c r="J545">
        <v>6</v>
      </c>
    </row>
    <row r="546" spans="2:10">
      <c r="B546" s="13" t="s">
        <v>3124</v>
      </c>
      <c r="C546" s="13">
        <v>7.8239999999999998</v>
      </c>
      <c r="H546" t="s">
        <v>3135</v>
      </c>
      <c r="I546" t="s">
        <v>5</v>
      </c>
      <c r="J546">
        <v>7.8239999999999998</v>
      </c>
    </row>
    <row r="547" spans="2:10">
      <c r="B547" s="13" t="s">
        <v>3122</v>
      </c>
      <c r="C547" s="13">
        <v>34.650000000000006</v>
      </c>
      <c r="H547" t="s">
        <v>3135</v>
      </c>
      <c r="I547" t="s">
        <v>5</v>
      </c>
      <c r="J547">
        <v>34.650000000000006</v>
      </c>
    </row>
    <row r="548" spans="2:10">
      <c r="B548" s="13" t="s">
        <v>3118</v>
      </c>
      <c r="C548" s="13">
        <v>1793.98</v>
      </c>
      <c r="H548" t="s">
        <v>3137</v>
      </c>
      <c r="I548" t="s">
        <v>5</v>
      </c>
      <c r="J548">
        <v>1793.98</v>
      </c>
    </row>
    <row r="549" spans="2:10">
      <c r="B549" s="13" t="s">
        <v>3114</v>
      </c>
      <c r="C549" s="13">
        <v>5.1840000000000011</v>
      </c>
      <c r="H549" t="s">
        <v>3138</v>
      </c>
      <c r="I549" t="s">
        <v>5</v>
      </c>
      <c r="J549">
        <v>5.1840000000000011</v>
      </c>
    </row>
    <row r="550" spans="2:10">
      <c r="B550" s="13" t="s">
        <v>3115</v>
      </c>
      <c r="C550" s="13">
        <v>478.48</v>
      </c>
      <c r="H550" t="s">
        <v>3138</v>
      </c>
      <c r="I550" t="s">
        <v>3</v>
      </c>
      <c r="J550">
        <v>478.48</v>
      </c>
    </row>
    <row r="551" spans="2:10">
      <c r="B551" s="13" t="s">
        <v>3120</v>
      </c>
      <c r="C551" s="13">
        <v>28.400000000000002</v>
      </c>
      <c r="H551" t="s">
        <v>3138</v>
      </c>
      <c r="I551" t="s">
        <v>4</v>
      </c>
      <c r="J551">
        <v>28.400000000000002</v>
      </c>
    </row>
    <row r="552" spans="2:10">
      <c r="B552" s="13" t="s">
        <v>3117</v>
      </c>
      <c r="C552" s="13">
        <v>909.12</v>
      </c>
      <c r="H552" t="s">
        <v>3137</v>
      </c>
      <c r="I552" t="s">
        <v>5</v>
      </c>
      <c r="J552">
        <v>909.12</v>
      </c>
    </row>
    <row r="553" spans="2:10">
      <c r="B553" s="13" t="s">
        <v>3119</v>
      </c>
      <c r="C553" s="13">
        <v>18.96</v>
      </c>
      <c r="H553" t="s">
        <v>3136</v>
      </c>
      <c r="I553" t="s">
        <v>3</v>
      </c>
      <c r="J553">
        <v>18.96</v>
      </c>
    </row>
    <row r="554" spans="2:10">
      <c r="B554" s="13" t="s">
        <v>3114</v>
      </c>
      <c r="C554" s="13">
        <v>273.89600000000002</v>
      </c>
      <c r="H554" t="s">
        <v>3137</v>
      </c>
      <c r="I554" t="s">
        <v>5</v>
      </c>
      <c r="J554">
        <v>273.89600000000002</v>
      </c>
    </row>
    <row r="555" spans="2:10">
      <c r="B555" s="13" t="s">
        <v>3130</v>
      </c>
      <c r="C555" s="13">
        <v>597.13200000000006</v>
      </c>
      <c r="H555" t="s">
        <v>3137</v>
      </c>
      <c r="I555" t="s">
        <v>4</v>
      </c>
      <c r="J555">
        <v>597.13200000000006</v>
      </c>
    </row>
    <row r="556" spans="2:10">
      <c r="B556" s="13" t="s">
        <v>3121</v>
      </c>
      <c r="C556" s="13">
        <v>4.6079999999999997</v>
      </c>
      <c r="H556" t="s">
        <v>3135</v>
      </c>
      <c r="I556" t="s">
        <v>5</v>
      </c>
      <c r="J556">
        <v>4.6079999999999997</v>
      </c>
    </row>
    <row r="557" spans="2:10">
      <c r="B557" s="13" t="s">
        <v>3122</v>
      </c>
      <c r="C557" s="13">
        <v>15.528</v>
      </c>
      <c r="H557" t="s">
        <v>3135</v>
      </c>
      <c r="I557" t="s">
        <v>5</v>
      </c>
      <c r="J557">
        <v>15.528</v>
      </c>
    </row>
    <row r="558" spans="2:10">
      <c r="B558" s="13" t="s">
        <v>3121</v>
      </c>
      <c r="C558" s="13">
        <v>11.952000000000002</v>
      </c>
      <c r="H558" t="s">
        <v>3135</v>
      </c>
      <c r="I558" t="s">
        <v>5</v>
      </c>
      <c r="J558">
        <v>11.952000000000002</v>
      </c>
    </row>
    <row r="559" spans="2:10">
      <c r="B559" s="13" t="s">
        <v>3118</v>
      </c>
      <c r="C559" s="13">
        <v>895.92</v>
      </c>
      <c r="H559" t="s">
        <v>3136</v>
      </c>
      <c r="I559" t="s">
        <v>5</v>
      </c>
      <c r="J559">
        <v>895.92</v>
      </c>
    </row>
    <row r="560" spans="2:10">
      <c r="B560" s="13" t="s">
        <v>3115</v>
      </c>
      <c r="C560" s="13">
        <v>462.56400000000002</v>
      </c>
      <c r="H560" t="s">
        <v>3136</v>
      </c>
      <c r="I560" t="s">
        <v>3</v>
      </c>
      <c r="J560">
        <v>462.56400000000002</v>
      </c>
    </row>
    <row r="561" spans="2:10">
      <c r="B561" s="13" t="s">
        <v>3114</v>
      </c>
      <c r="C561" s="13">
        <v>92.94</v>
      </c>
      <c r="H561" t="s">
        <v>3138</v>
      </c>
      <c r="I561" t="s">
        <v>5</v>
      </c>
      <c r="J561">
        <v>92.94</v>
      </c>
    </row>
    <row r="562" spans="2:10">
      <c r="B562" s="13" t="s">
        <v>3120</v>
      </c>
      <c r="C562" s="13">
        <v>199.98</v>
      </c>
      <c r="H562" t="s">
        <v>3138</v>
      </c>
      <c r="I562" t="s">
        <v>4</v>
      </c>
      <c r="J562">
        <v>199.98</v>
      </c>
    </row>
    <row r="563" spans="2:10">
      <c r="B563" s="13" t="s">
        <v>3114</v>
      </c>
      <c r="C563" s="13">
        <v>88.768000000000001</v>
      </c>
      <c r="H563" t="s">
        <v>3138</v>
      </c>
      <c r="I563" t="s">
        <v>5</v>
      </c>
      <c r="J563">
        <v>88.768000000000001</v>
      </c>
    </row>
    <row r="564" spans="2:10">
      <c r="B564" s="13" t="s">
        <v>3114</v>
      </c>
      <c r="C564" s="13">
        <v>6.48</v>
      </c>
      <c r="H564" t="s">
        <v>3138</v>
      </c>
      <c r="I564" t="s">
        <v>5</v>
      </c>
      <c r="J564">
        <v>6.48</v>
      </c>
    </row>
    <row r="565" spans="2:10">
      <c r="B565" s="13" t="s">
        <v>3117</v>
      </c>
      <c r="C565" s="13">
        <v>46.51</v>
      </c>
      <c r="H565" t="s">
        <v>3138</v>
      </c>
      <c r="I565" t="s">
        <v>5</v>
      </c>
      <c r="J565">
        <v>46.51</v>
      </c>
    </row>
    <row r="566" spans="2:10">
      <c r="B566" s="13" t="s">
        <v>3116</v>
      </c>
      <c r="C566" s="13">
        <v>659.97600000000011</v>
      </c>
      <c r="H566" t="s">
        <v>3138</v>
      </c>
      <c r="I566" t="s">
        <v>4</v>
      </c>
      <c r="J566">
        <v>659.97600000000011</v>
      </c>
    </row>
    <row r="567" spans="2:10">
      <c r="B567" s="13" t="s">
        <v>3128</v>
      </c>
      <c r="C567" s="13">
        <v>145.74</v>
      </c>
      <c r="H567" t="s">
        <v>3135</v>
      </c>
      <c r="I567" t="s">
        <v>3</v>
      </c>
      <c r="J567">
        <v>145.74</v>
      </c>
    </row>
    <row r="568" spans="2:10">
      <c r="B568" s="13" t="s">
        <v>3119</v>
      </c>
      <c r="C568" s="13">
        <v>15.4</v>
      </c>
      <c r="H568" t="s">
        <v>3135</v>
      </c>
      <c r="I568" t="s">
        <v>3</v>
      </c>
      <c r="J568">
        <v>15.4</v>
      </c>
    </row>
    <row r="569" spans="2:10">
      <c r="B569" s="13" t="s">
        <v>3114</v>
      </c>
      <c r="C569" s="13">
        <v>244.54999999999998</v>
      </c>
      <c r="H569" t="s">
        <v>3138</v>
      </c>
      <c r="I569" t="s">
        <v>5</v>
      </c>
      <c r="J569">
        <v>244.54999999999998</v>
      </c>
    </row>
    <row r="570" spans="2:10">
      <c r="B570" s="13" t="s">
        <v>3120</v>
      </c>
      <c r="C570" s="13">
        <v>166.16</v>
      </c>
      <c r="H570" t="s">
        <v>3138</v>
      </c>
      <c r="I570" t="s">
        <v>4</v>
      </c>
      <c r="J570">
        <v>166.16</v>
      </c>
    </row>
    <row r="571" spans="2:10">
      <c r="B571" s="13" t="s">
        <v>3121</v>
      </c>
      <c r="C571" s="13">
        <v>47.360000000000007</v>
      </c>
      <c r="H571" t="s">
        <v>3137</v>
      </c>
      <c r="I571" t="s">
        <v>5</v>
      </c>
      <c r="J571">
        <v>47.360000000000007</v>
      </c>
    </row>
    <row r="572" spans="2:10">
      <c r="B572" s="13" t="s">
        <v>3117</v>
      </c>
      <c r="C572" s="13">
        <v>27.439999999999998</v>
      </c>
      <c r="H572" t="s">
        <v>3137</v>
      </c>
      <c r="I572" t="s">
        <v>5</v>
      </c>
      <c r="J572">
        <v>27.439999999999998</v>
      </c>
    </row>
    <row r="573" spans="2:10">
      <c r="B573" s="13" t="s">
        <v>3118</v>
      </c>
      <c r="C573" s="13">
        <v>3.2399999999999993</v>
      </c>
      <c r="H573" t="s">
        <v>3137</v>
      </c>
      <c r="I573" t="s">
        <v>5</v>
      </c>
      <c r="J573">
        <v>3.2399999999999993</v>
      </c>
    </row>
    <row r="574" spans="2:10">
      <c r="B574" s="13" t="s">
        <v>3122</v>
      </c>
      <c r="C574" s="13">
        <v>23.1</v>
      </c>
      <c r="H574" t="s">
        <v>3136</v>
      </c>
      <c r="I574" t="s">
        <v>5</v>
      </c>
      <c r="J574">
        <v>23.1</v>
      </c>
    </row>
    <row r="575" spans="2:10">
      <c r="B575" s="13" t="s">
        <v>3119</v>
      </c>
      <c r="C575" s="13">
        <v>11.54</v>
      </c>
      <c r="H575" t="s">
        <v>3136</v>
      </c>
      <c r="I575" t="s">
        <v>3</v>
      </c>
      <c r="J575">
        <v>11.54</v>
      </c>
    </row>
    <row r="576" spans="2:10">
      <c r="B576" s="13" t="s">
        <v>3126</v>
      </c>
      <c r="C576" s="13">
        <v>254.52599999999998</v>
      </c>
      <c r="H576" t="s">
        <v>3136</v>
      </c>
      <c r="I576" t="s">
        <v>3</v>
      </c>
      <c r="J576">
        <v>254.52599999999998</v>
      </c>
    </row>
    <row r="577" spans="2:10">
      <c r="B577" s="13" t="s">
        <v>3125</v>
      </c>
      <c r="C577" s="13">
        <v>12.98</v>
      </c>
      <c r="H577" t="s">
        <v>3136</v>
      </c>
      <c r="I577" t="s">
        <v>5</v>
      </c>
      <c r="J577">
        <v>12.98</v>
      </c>
    </row>
    <row r="578" spans="2:10">
      <c r="B578" s="13" t="s">
        <v>3118</v>
      </c>
      <c r="C578" s="13">
        <v>26.432000000000002</v>
      </c>
      <c r="H578" t="s">
        <v>3136</v>
      </c>
      <c r="I578" t="s">
        <v>5</v>
      </c>
      <c r="J578">
        <v>26.432000000000002</v>
      </c>
    </row>
    <row r="579" spans="2:10">
      <c r="B579" s="13" t="s">
        <v>3116</v>
      </c>
      <c r="C579" s="13">
        <v>197.96999999999997</v>
      </c>
      <c r="H579" t="s">
        <v>3136</v>
      </c>
      <c r="I579" t="s">
        <v>4</v>
      </c>
      <c r="J579">
        <v>197.96999999999997</v>
      </c>
    </row>
    <row r="580" spans="2:10">
      <c r="B580" s="13" t="s">
        <v>3121</v>
      </c>
      <c r="C580" s="13">
        <v>18.899999999999999</v>
      </c>
      <c r="H580" t="s">
        <v>3136</v>
      </c>
      <c r="I580" t="s">
        <v>5</v>
      </c>
      <c r="J580">
        <v>18.899999999999999</v>
      </c>
    </row>
    <row r="581" spans="2:10">
      <c r="B581" s="13" t="s">
        <v>3115</v>
      </c>
      <c r="C581" s="13">
        <v>1282.4100000000001</v>
      </c>
      <c r="H581" t="s">
        <v>3136</v>
      </c>
      <c r="I581" t="s">
        <v>3</v>
      </c>
      <c r="J581">
        <v>1282.4100000000001</v>
      </c>
    </row>
    <row r="582" spans="2:10">
      <c r="B582" s="13" t="s">
        <v>3122</v>
      </c>
      <c r="C582" s="13">
        <v>4.92</v>
      </c>
      <c r="H582" t="s">
        <v>3136</v>
      </c>
      <c r="I582" t="s">
        <v>5</v>
      </c>
      <c r="J582">
        <v>4.92</v>
      </c>
    </row>
    <row r="583" spans="2:10">
      <c r="B583" s="13" t="s">
        <v>3120</v>
      </c>
      <c r="C583" s="13">
        <v>238</v>
      </c>
      <c r="H583" t="s">
        <v>3136</v>
      </c>
      <c r="I583" t="s">
        <v>4</v>
      </c>
      <c r="J583">
        <v>238</v>
      </c>
    </row>
    <row r="584" spans="2:10">
      <c r="B584" s="13" t="s">
        <v>3120</v>
      </c>
      <c r="C584" s="13">
        <v>167.97</v>
      </c>
      <c r="H584" t="s">
        <v>3136</v>
      </c>
      <c r="I584" t="s">
        <v>4</v>
      </c>
      <c r="J584">
        <v>167.97</v>
      </c>
    </row>
    <row r="585" spans="2:10">
      <c r="B585" s="13" t="s">
        <v>3114</v>
      </c>
      <c r="C585" s="13">
        <v>17.12</v>
      </c>
      <c r="H585" t="s">
        <v>3136</v>
      </c>
      <c r="I585" t="s">
        <v>5</v>
      </c>
      <c r="J585">
        <v>17.12</v>
      </c>
    </row>
    <row r="586" spans="2:10">
      <c r="B586" s="13" t="s">
        <v>3118</v>
      </c>
      <c r="C586" s="13">
        <v>16.200000000000003</v>
      </c>
      <c r="H586" t="s">
        <v>3137</v>
      </c>
      <c r="I586" t="s">
        <v>5</v>
      </c>
      <c r="J586">
        <v>16.200000000000003</v>
      </c>
    </row>
    <row r="587" spans="2:10">
      <c r="B587" s="13" t="s">
        <v>3125</v>
      </c>
      <c r="C587" s="13">
        <v>33.99</v>
      </c>
      <c r="H587" t="s">
        <v>3137</v>
      </c>
      <c r="I587" t="s">
        <v>5</v>
      </c>
      <c r="J587">
        <v>33.99</v>
      </c>
    </row>
    <row r="588" spans="2:10">
      <c r="B588" s="13" t="s">
        <v>3120</v>
      </c>
      <c r="C588" s="13">
        <v>296.84999999999997</v>
      </c>
      <c r="H588" t="s">
        <v>3137</v>
      </c>
      <c r="I588" t="s">
        <v>4</v>
      </c>
      <c r="J588">
        <v>296.84999999999997</v>
      </c>
    </row>
    <row r="589" spans="2:10">
      <c r="B589" s="13" t="s">
        <v>3120</v>
      </c>
      <c r="C589" s="13">
        <v>112.80000000000001</v>
      </c>
      <c r="H589" t="s">
        <v>3137</v>
      </c>
      <c r="I589" t="s">
        <v>4</v>
      </c>
      <c r="J589">
        <v>112.80000000000001</v>
      </c>
    </row>
    <row r="590" spans="2:10">
      <c r="B590" s="13" t="s">
        <v>3118</v>
      </c>
      <c r="C590" s="13">
        <v>13.71</v>
      </c>
      <c r="H590" t="s">
        <v>3137</v>
      </c>
      <c r="I590" t="s">
        <v>5</v>
      </c>
      <c r="J590">
        <v>13.71</v>
      </c>
    </row>
    <row r="591" spans="2:10">
      <c r="B591" s="13" t="s">
        <v>3114</v>
      </c>
      <c r="C591" s="13">
        <v>24.900000000000002</v>
      </c>
      <c r="H591" t="s">
        <v>3137</v>
      </c>
      <c r="I591" t="s">
        <v>5</v>
      </c>
      <c r="J591">
        <v>24.900000000000002</v>
      </c>
    </row>
    <row r="592" spans="2:10">
      <c r="B592" s="13" t="s">
        <v>3117</v>
      </c>
      <c r="C592" s="13">
        <v>286.29000000000002</v>
      </c>
      <c r="H592" t="s">
        <v>3137</v>
      </c>
      <c r="I592" t="s">
        <v>5</v>
      </c>
      <c r="J592">
        <v>286.29000000000002</v>
      </c>
    </row>
    <row r="593" spans="2:10">
      <c r="B593" s="13" t="s">
        <v>3125</v>
      </c>
      <c r="C593" s="13">
        <v>24.18</v>
      </c>
      <c r="H593" t="s">
        <v>3137</v>
      </c>
      <c r="I593" t="s">
        <v>5</v>
      </c>
      <c r="J593">
        <v>24.18</v>
      </c>
    </row>
    <row r="594" spans="2:10">
      <c r="B594" s="13" t="s">
        <v>3116</v>
      </c>
      <c r="C594" s="13">
        <v>281.96999999999997</v>
      </c>
      <c r="H594" t="s">
        <v>3136</v>
      </c>
      <c r="I594" t="s">
        <v>4</v>
      </c>
      <c r="J594">
        <v>281.96999999999997</v>
      </c>
    </row>
    <row r="595" spans="2:10">
      <c r="B595" s="13" t="s">
        <v>3129</v>
      </c>
      <c r="C595" s="13">
        <v>69.5</v>
      </c>
      <c r="H595" t="s">
        <v>3136</v>
      </c>
      <c r="I595" t="s">
        <v>5</v>
      </c>
      <c r="J595">
        <v>69.5</v>
      </c>
    </row>
    <row r="596" spans="2:10">
      <c r="B596" s="13" t="s">
        <v>3114</v>
      </c>
      <c r="C596" s="13">
        <v>166.44</v>
      </c>
      <c r="H596" t="s">
        <v>3136</v>
      </c>
      <c r="I596" t="s">
        <v>5</v>
      </c>
      <c r="J596">
        <v>166.44</v>
      </c>
    </row>
    <row r="597" spans="2:10">
      <c r="B597" s="13" t="s">
        <v>3120</v>
      </c>
      <c r="C597" s="13">
        <v>291.95999999999998</v>
      </c>
      <c r="H597" t="s">
        <v>3137</v>
      </c>
      <c r="I597" t="s">
        <v>4</v>
      </c>
      <c r="J597">
        <v>291.95999999999998</v>
      </c>
    </row>
    <row r="598" spans="2:10">
      <c r="B598" s="13" t="s">
        <v>3122</v>
      </c>
      <c r="C598" s="13">
        <v>6.4080000000000004</v>
      </c>
      <c r="H598" t="s">
        <v>3137</v>
      </c>
      <c r="I598" t="s">
        <v>5</v>
      </c>
      <c r="J598">
        <v>6.4080000000000004</v>
      </c>
    </row>
    <row r="599" spans="2:10">
      <c r="B599" s="13" t="s">
        <v>3120</v>
      </c>
      <c r="C599" s="13">
        <v>408.74399999999997</v>
      </c>
      <c r="H599" t="s">
        <v>3137</v>
      </c>
      <c r="I599" t="s">
        <v>4</v>
      </c>
      <c r="J599">
        <v>408.74399999999997</v>
      </c>
    </row>
    <row r="600" spans="2:10">
      <c r="B600" s="13" t="s">
        <v>3118</v>
      </c>
      <c r="C600" s="13">
        <v>4.9560000000000004</v>
      </c>
      <c r="H600" t="s">
        <v>3136</v>
      </c>
      <c r="I600" t="s">
        <v>5</v>
      </c>
      <c r="J600">
        <v>4.9560000000000004</v>
      </c>
    </row>
    <row r="601" spans="2:10">
      <c r="B601" s="13" t="s">
        <v>3121</v>
      </c>
      <c r="C601" s="13">
        <v>71.040000000000006</v>
      </c>
      <c r="H601" t="s">
        <v>3138</v>
      </c>
      <c r="I601" t="s">
        <v>5</v>
      </c>
      <c r="J601">
        <v>71.040000000000006</v>
      </c>
    </row>
    <row r="602" spans="2:10">
      <c r="B602" s="13" t="s">
        <v>3122</v>
      </c>
      <c r="C602" s="13">
        <v>5.3440000000000003</v>
      </c>
      <c r="H602" t="s">
        <v>3138</v>
      </c>
      <c r="I602" t="s">
        <v>5</v>
      </c>
      <c r="J602">
        <v>5.3440000000000003</v>
      </c>
    </row>
    <row r="603" spans="2:10">
      <c r="B603" s="13" t="s">
        <v>3123</v>
      </c>
      <c r="C603" s="13">
        <v>11.304</v>
      </c>
      <c r="H603" t="s">
        <v>3138</v>
      </c>
      <c r="I603" t="s">
        <v>5</v>
      </c>
      <c r="J603">
        <v>11.304</v>
      </c>
    </row>
    <row r="604" spans="2:10">
      <c r="B604" s="13" t="s">
        <v>3125</v>
      </c>
      <c r="C604" s="13">
        <v>294.61999999999995</v>
      </c>
      <c r="H604" t="s">
        <v>3137</v>
      </c>
      <c r="I604" t="s">
        <v>5</v>
      </c>
      <c r="J604">
        <v>294.61999999999995</v>
      </c>
    </row>
    <row r="605" spans="2:10">
      <c r="B605" s="13" t="s">
        <v>3119</v>
      </c>
      <c r="C605" s="13">
        <v>8.7520000000000007</v>
      </c>
      <c r="H605" t="s">
        <v>3137</v>
      </c>
      <c r="I605" t="s">
        <v>3</v>
      </c>
      <c r="J605">
        <v>8.7520000000000007</v>
      </c>
    </row>
    <row r="606" spans="2:10">
      <c r="B606" s="13" t="s">
        <v>3120</v>
      </c>
      <c r="C606" s="13">
        <v>199.95000000000002</v>
      </c>
      <c r="H606" t="s">
        <v>3138</v>
      </c>
      <c r="I606" t="s">
        <v>4</v>
      </c>
      <c r="J606">
        <v>199.95000000000002</v>
      </c>
    </row>
    <row r="607" spans="2:10">
      <c r="B607" s="13" t="s">
        <v>3122</v>
      </c>
      <c r="C607" s="13">
        <v>41.86</v>
      </c>
      <c r="H607" t="s">
        <v>3138</v>
      </c>
      <c r="I607" t="s">
        <v>5</v>
      </c>
      <c r="J607">
        <v>41.86</v>
      </c>
    </row>
    <row r="608" spans="2:10">
      <c r="B608" s="13" t="s">
        <v>3117</v>
      </c>
      <c r="C608" s="13">
        <v>95.94</v>
      </c>
      <c r="H608" t="s">
        <v>3135</v>
      </c>
      <c r="I608" t="s">
        <v>5</v>
      </c>
      <c r="J608">
        <v>95.94</v>
      </c>
    </row>
    <row r="609" spans="2:10">
      <c r="B609" s="13" t="s">
        <v>3115</v>
      </c>
      <c r="C609" s="13">
        <v>304.45</v>
      </c>
      <c r="H609" t="s">
        <v>3135</v>
      </c>
      <c r="I609" t="s">
        <v>3</v>
      </c>
      <c r="J609">
        <v>304.45</v>
      </c>
    </row>
    <row r="610" spans="2:10">
      <c r="B610" s="13" t="s">
        <v>3118</v>
      </c>
      <c r="C610" s="13">
        <v>11.363999999999997</v>
      </c>
      <c r="H610" t="s">
        <v>3137</v>
      </c>
      <c r="I610" t="s">
        <v>5</v>
      </c>
      <c r="J610">
        <v>11.363999999999997</v>
      </c>
    </row>
    <row r="611" spans="2:10">
      <c r="B611" s="13" t="s">
        <v>3128</v>
      </c>
      <c r="C611" s="13">
        <v>183.37199999999999</v>
      </c>
      <c r="H611" t="s">
        <v>3137</v>
      </c>
      <c r="I611" t="s">
        <v>3</v>
      </c>
      <c r="J611">
        <v>183.37199999999999</v>
      </c>
    </row>
    <row r="612" spans="2:10">
      <c r="B612" s="13" t="s">
        <v>3118</v>
      </c>
      <c r="C612" s="13">
        <v>239.12000000000003</v>
      </c>
      <c r="H612" t="s">
        <v>3138</v>
      </c>
      <c r="I612" t="s">
        <v>5</v>
      </c>
      <c r="J612">
        <v>239.12000000000003</v>
      </c>
    </row>
    <row r="613" spans="2:10">
      <c r="B613" s="13" t="s">
        <v>3118</v>
      </c>
      <c r="C613" s="13">
        <v>8.26</v>
      </c>
      <c r="H613" t="s">
        <v>3137</v>
      </c>
      <c r="I613" t="s">
        <v>5</v>
      </c>
      <c r="J613">
        <v>8.26</v>
      </c>
    </row>
    <row r="614" spans="2:10">
      <c r="B614" s="13" t="s">
        <v>3115</v>
      </c>
      <c r="C614" s="13">
        <v>269.96999999999997</v>
      </c>
      <c r="H614" t="s">
        <v>3137</v>
      </c>
      <c r="I614" t="s">
        <v>3</v>
      </c>
      <c r="J614">
        <v>269.96999999999997</v>
      </c>
    </row>
    <row r="615" spans="2:10">
      <c r="B615" s="13" t="s">
        <v>3122</v>
      </c>
      <c r="C615" s="13">
        <v>38.864000000000004</v>
      </c>
      <c r="H615" t="s">
        <v>3136</v>
      </c>
      <c r="I615" t="s">
        <v>5</v>
      </c>
      <c r="J615">
        <v>38.864000000000004</v>
      </c>
    </row>
    <row r="616" spans="2:10">
      <c r="B616" s="13" t="s">
        <v>3120</v>
      </c>
      <c r="C616" s="13">
        <v>199.95000000000002</v>
      </c>
      <c r="H616" t="s">
        <v>3137</v>
      </c>
      <c r="I616" t="s">
        <v>4</v>
      </c>
      <c r="J616">
        <v>199.95000000000002</v>
      </c>
    </row>
    <row r="617" spans="2:10">
      <c r="B617" s="13" t="s">
        <v>3115</v>
      </c>
      <c r="C617" s="13">
        <v>1586.6899999999998</v>
      </c>
      <c r="H617" t="s">
        <v>3137</v>
      </c>
      <c r="I617" t="s">
        <v>3</v>
      </c>
      <c r="J617">
        <v>1586.6899999999998</v>
      </c>
    </row>
    <row r="618" spans="2:10">
      <c r="B618" s="13" t="s">
        <v>3120</v>
      </c>
      <c r="C618" s="13">
        <v>84.99</v>
      </c>
      <c r="H618" t="s">
        <v>3137</v>
      </c>
      <c r="I618" t="s">
        <v>4</v>
      </c>
      <c r="J618">
        <v>84.99</v>
      </c>
    </row>
    <row r="619" spans="2:10">
      <c r="B619" s="13" t="s">
        <v>3126</v>
      </c>
      <c r="C619" s="13">
        <v>411.8</v>
      </c>
      <c r="H619" t="s">
        <v>3137</v>
      </c>
      <c r="I619" t="s">
        <v>3</v>
      </c>
      <c r="J619">
        <v>411.8</v>
      </c>
    </row>
    <row r="620" spans="2:10">
      <c r="B620" s="13" t="s">
        <v>3115</v>
      </c>
      <c r="C620" s="13">
        <v>283.92</v>
      </c>
      <c r="H620" t="s">
        <v>3138</v>
      </c>
      <c r="I620" t="s">
        <v>3</v>
      </c>
      <c r="J620">
        <v>283.92</v>
      </c>
    </row>
    <row r="621" spans="2:10">
      <c r="B621" s="13" t="s">
        <v>3120</v>
      </c>
      <c r="C621" s="13">
        <v>59.97</v>
      </c>
      <c r="H621" t="s">
        <v>3138</v>
      </c>
      <c r="I621" t="s">
        <v>4</v>
      </c>
      <c r="J621">
        <v>59.97</v>
      </c>
    </row>
    <row r="622" spans="2:10">
      <c r="B622" s="13" t="s">
        <v>3116</v>
      </c>
      <c r="C622" s="13">
        <v>761.5440000000001</v>
      </c>
      <c r="H622" t="s">
        <v>3138</v>
      </c>
      <c r="I622" t="s">
        <v>4</v>
      </c>
      <c r="J622">
        <v>761.5440000000001</v>
      </c>
    </row>
    <row r="623" spans="2:10">
      <c r="B623" s="13" t="s">
        <v>3114</v>
      </c>
      <c r="C623" s="13">
        <v>39.900000000000006</v>
      </c>
      <c r="H623" t="s">
        <v>3136</v>
      </c>
      <c r="I623" t="s">
        <v>5</v>
      </c>
      <c r="J623">
        <v>39.900000000000006</v>
      </c>
    </row>
    <row r="624" spans="2:10">
      <c r="B624" s="13" t="s">
        <v>3125</v>
      </c>
      <c r="C624" s="13">
        <v>90.86</v>
      </c>
      <c r="H624" t="s">
        <v>3136</v>
      </c>
      <c r="I624" t="s">
        <v>5</v>
      </c>
      <c r="J624">
        <v>90.86</v>
      </c>
    </row>
    <row r="625" spans="2:10">
      <c r="B625" s="13" t="s">
        <v>3114</v>
      </c>
      <c r="C625" s="13">
        <v>94.85</v>
      </c>
      <c r="H625" t="s">
        <v>3136</v>
      </c>
      <c r="I625" t="s">
        <v>5</v>
      </c>
      <c r="J625">
        <v>94.85</v>
      </c>
    </row>
    <row r="626" spans="2:10">
      <c r="B626" s="13" t="s">
        <v>3114</v>
      </c>
      <c r="C626" s="13">
        <v>37.44</v>
      </c>
      <c r="H626" t="s">
        <v>3138</v>
      </c>
      <c r="I626" t="s">
        <v>5</v>
      </c>
      <c r="J626">
        <v>37.44</v>
      </c>
    </row>
    <row r="627" spans="2:10">
      <c r="B627" s="13" t="s">
        <v>3118</v>
      </c>
      <c r="C627" s="13">
        <v>26.549999999999997</v>
      </c>
      <c r="H627" t="s">
        <v>3136</v>
      </c>
      <c r="I627" t="s">
        <v>5</v>
      </c>
      <c r="J627">
        <v>26.549999999999997</v>
      </c>
    </row>
    <row r="628" spans="2:10">
      <c r="B628" s="13" t="s">
        <v>3126</v>
      </c>
      <c r="C628" s="13">
        <v>310.44300000000004</v>
      </c>
      <c r="H628" t="s">
        <v>3136</v>
      </c>
      <c r="I628" t="s">
        <v>3</v>
      </c>
      <c r="J628">
        <v>310.44300000000004</v>
      </c>
    </row>
    <row r="629" spans="2:10">
      <c r="B629" s="13" t="s">
        <v>3117</v>
      </c>
      <c r="C629" s="13">
        <v>37.68</v>
      </c>
      <c r="H629" t="s">
        <v>3138</v>
      </c>
      <c r="I629" t="s">
        <v>5</v>
      </c>
      <c r="J629">
        <v>37.68</v>
      </c>
    </row>
    <row r="630" spans="2:10">
      <c r="B630" s="13" t="s">
        <v>3120</v>
      </c>
      <c r="C630" s="13">
        <v>279.94400000000002</v>
      </c>
      <c r="H630" t="s">
        <v>3138</v>
      </c>
      <c r="I630" t="s">
        <v>4</v>
      </c>
      <c r="J630">
        <v>279.94400000000002</v>
      </c>
    </row>
    <row r="631" spans="2:10">
      <c r="B631" s="13" t="s">
        <v>3114</v>
      </c>
      <c r="C631" s="13">
        <v>221.92</v>
      </c>
      <c r="H631" t="s">
        <v>3136</v>
      </c>
      <c r="I631" t="s">
        <v>5</v>
      </c>
      <c r="J631">
        <v>221.92</v>
      </c>
    </row>
    <row r="632" spans="2:10">
      <c r="B632" s="13" t="s">
        <v>3120</v>
      </c>
      <c r="C632" s="13">
        <v>26</v>
      </c>
      <c r="H632" t="s">
        <v>3136</v>
      </c>
      <c r="I632" t="s">
        <v>4</v>
      </c>
      <c r="J632">
        <v>26</v>
      </c>
    </row>
    <row r="633" spans="2:10">
      <c r="B633" s="13" t="s">
        <v>3114</v>
      </c>
      <c r="C633" s="13">
        <v>5.28</v>
      </c>
      <c r="H633" t="s">
        <v>3138</v>
      </c>
      <c r="I633" t="s">
        <v>5</v>
      </c>
      <c r="J633">
        <v>5.28</v>
      </c>
    </row>
    <row r="634" spans="2:10">
      <c r="B634" s="13" t="s">
        <v>3118</v>
      </c>
      <c r="C634" s="13">
        <v>895.92</v>
      </c>
      <c r="H634" t="s">
        <v>3138</v>
      </c>
      <c r="I634" t="s">
        <v>5</v>
      </c>
      <c r="J634">
        <v>895.92</v>
      </c>
    </row>
    <row r="635" spans="2:10">
      <c r="B635" s="13" t="s">
        <v>3118</v>
      </c>
      <c r="C635" s="13">
        <v>2.8080000000000007</v>
      </c>
      <c r="H635" t="s">
        <v>3135</v>
      </c>
      <c r="I635" t="s">
        <v>5</v>
      </c>
      <c r="J635">
        <v>2.8080000000000007</v>
      </c>
    </row>
    <row r="636" spans="2:10">
      <c r="B636" s="13" t="s">
        <v>3115</v>
      </c>
      <c r="C636" s="13">
        <v>215.976</v>
      </c>
      <c r="H636" t="s">
        <v>3138</v>
      </c>
      <c r="I636" t="s">
        <v>3</v>
      </c>
      <c r="J636">
        <v>215.976</v>
      </c>
    </row>
    <row r="637" spans="2:10">
      <c r="B637" s="13" t="s">
        <v>3128</v>
      </c>
      <c r="C637" s="13">
        <v>241.96</v>
      </c>
      <c r="H637" t="s">
        <v>3137</v>
      </c>
      <c r="I637" t="s">
        <v>3</v>
      </c>
      <c r="J637">
        <v>241.96</v>
      </c>
    </row>
    <row r="638" spans="2:10">
      <c r="B638" s="13" t="s">
        <v>3121</v>
      </c>
      <c r="C638" s="13">
        <v>27.72</v>
      </c>
      <c r="H638" t="s">
        <v>3137</v>
      </c>
      <c r="I638" t="s">
        <v>5</v>
      </c>
      <c r="J638">
        <v>27.72</v>
      </c>
    </row>
    <row r="639" spans="2:10">
      <c r="B639" s="13" t="s">
        <v>3124</v>
      </c>
      <c r="C639" s="13">
        <v>104.68000000000002</v>
      </c>
      <c r="H639" t="s">
        <v>3136</v>
      </c>
      <c r="I639" t="s">
        <v>5</v>
      </c>
      <c r="J639">
        <v>104.68000000000002</v>
      </c>
    </row>
    <row r="640" spans="2:10">
      <c r="B640" s="13" t="s">
        <v>3116</v>
      </c>
      <c r="C640" s="13">
        <v>62.957999999999998</v>
      </c>
      <c r="H640" t="s">
        <v>3136</v>
      </c>
      <c r="I640" t="s">
        <v>4</v>
      </c>
      <c r="J640">
        <v>62.957999999999998</v>
      </c>
    </row>
    <row r="641" spans="2:10">
      <c r="B641" s="13" t="s">
        <v>3114</v>
      </c>
      <c r="C641" s="13">
        <v>146.82</v>
      </c>
      <c r="H641" t="s">
        <v>3136</v>
      </c>
      <c r="I641" t="s">
        <v>5</v>
      </c>
      <c r="J641">
        <v>146.82</v>
      </c>
    </row>
    <row r="642" spans="2:10">
      <c r="B642" s="13" t="s">
        <v>3116</v>
      </c>
      <c r="C642" s="13">
        <v>84.949999999999989</v>
      </c>
      <c r="H642" t="s">
        <v>3136</v>
      </c>
      <c r="I642" t="s">
        <v>4</v>
      </c>
      <c r="J642">
        <v>84.949999999999989</v>
      </c>
    </row>
    <row r="643" spans="2:10">
      <c r="B643" s="13" t="s">
        <v>3115</v>
      </c>
      <c r="C643" s="13">
        <v>233.05799999999999</v>
      </c>
      <c r="H643" t="s">
        <v>3137</v>
      </c>
      <c r="I643" t="s">
        <v>3</v>
      </c>
      <c r="J643">
        <v>233.05799999999999</v>
      </c>
    </row>
    <row r="644" spans="2:10">
      <c r="B644" s="13" t="s">
        <v>3122</v>
      </c>
      <c r="C644" s="13">
        <v>17.856000000000002</v>
      </c>
      <c r="H644" t="s">
        <v>3135</v>
      </c>
      <c r="I644" t="s">
        <v>5</v>
      </c>
      <c r="J644">
        <v>17.856000000000002</v>
      </c>
    </row>
    <row r="645" spans="2:10">
      <c r="B645" s="13" t="s">
        <v>3114</v>
      </c>
      <c r="C645" s="13">
        <v>314.54999999999995</v>
      </c>
      <c r="H645" t="s">
        <v>3138</v>
      </c>
      <c r="I645" t="s">
        <v>5</v>
      </c>
      <c r="J645">
        <v>314.54999999999995</v>
      </c>
    </row>
    <row r="646" spans="2:10">
      <c r="B646" s="13" t="s">
        <v>3122</v>
      </c>
      <c r="C646" s="13">
        <v>14.015999999999998</v>
      </c>
      <c r="H646" t="s">
        <v>3136</v>
      </c>
      <c r="I646" t="s">
        <v>5</v>
      </c>
      <c r="J646">
        <v>14.015999999999998</v>
      </c>
    </row>
    <row r="647" spans="2:10">
      <c r="B647" s="13" t="s">
        <v>3120</v>
      </c>
      <c r="C647" s="13">
        <v>71.975999999999999</v>
      </c>
      <c r="H647" t="s">
        <v>3136</v>
      </c>
      <c r="I647" t="s">
        <v>4</v>
      </c>
      <c r="J647">
        <v>71.975999999999999</v>
      </c>
    </row>
    <row r="648" spans="2:10">
      <c r="B648" s="13" t="s">
        <v>3116</v>
      </c>
      <c r="C648" s="13">
        <v>107.982</v>
      </c>
      <c r="H648" t="s">
        <v>3136</v>
      </c>
      <c r="I648" t="s">
        <v>4</v>
      </c>
      <c r="J648">
        <v>107.982</v>
      </c>
    </row>
    <row r="649" spans="2:10">
      <c r="B649" s="13" t="s">
        <v>3115</v>
      </c>
      <c r="C649" s="13">
        <v>305.31200000000001</v>
      </c>
      <c r="H649" t="s">
        <v>3137</v>
      </c>
      <c r="I649" t="s">
        <v>3</v>
      </c>
      <c r="J649">
        <v>305.31200000000001</v>
      </c>
    </row>
    <row r="650" spans="2:10">
      <c r="B650" s="13" t="s">
        <v>3118</v>
      </c>
      <c r="C650" s="13">
        <v>54.896000000000008</v>
      </c>
      <c r="H650" t="s">
        <v>3138</v>
      </c>
      <c r="I650" t="s">
        <v>5</v>
      </c>
      <c r="J650">
        <v>54.896000000000008</v>
      </c>
    </row>
    <row r="651" spans="2:10">
      <c r="B651" s="13" t="s">
        <v>3124</v>
      </c>
      <c r="C651" s="13">
        <v>70.08</v>
      </c>
      <c r="H651" t="s">
        <v>3137</v>
      </c>
      <c r="I651" t="s">
        <v>5</v>
      </c>
      <c r="J651">
        <v>70.08</v>
      </c>
    </row>
    <row r="652" spans="2:10">
      <c r="B652" s="13" t="s">
        <v>3119</v>
      </c>
      <c r="C652" s="13">
        <v>121.3</v>
      </c>
      <c r="H652" t="s">
        <v>3137</v>
      </c>
      <c r="I652" t="s">
        <v>3</v>
      </c>
      <c r="J652">
        <v>121.3</v>
      </c>
    </row>
    <row r="653" spans="2:10">
      <c r="B653" s="13" t="s">
        <v>3116</v>
      </c>
      <c r="C653" s="13">
        <v>1454.4900000000002</v>
      </c>
      <c r="H653" t="s">
        <v>3137</v>
      </c>
      <c r="I653" t="s">
        <v>4</v>
      </c>
      <c r="J653">
        <v>1454.4900000000002</v>
      </c>
    </row>
    <row r="654" spans="2:10">
      <c r="B654" s="13" t="s">
        <v>3119</v>
      </c>
      <c r="C654" s="13">
        <v>27.42</v>
      </c>
      <c r="H654" t="s">
        <v>3136</v>
      </c>
      <c r="I654" t="s">
        <v>3</v>
      </c>
      <c r="J654">
        <v>27.42</v>
      </c>
    </row>
    <row r="655" spans="2:10">
      <c r="B655" s="13" t="s">
        <v>3118</v>
      </c>
      <c r="C655" s="13">
        <v>1.4400000000000002</v>
      </c>
      <c r="H655" t="s">
        <v>3138</v>
      </c>
      <c r="I655" t="s">
        <v>5</v>
      </c>
      <c r="J655">
        <v>1.4400000000000002</v>
      </c>
    </row>
    <row r="656" spans="2:10">
      <c r="B656" s="13" t="s">
        <v>3118</v>
      </c>
      <c r="C656" s="13">
        <v>61.77600000000001</v>
      </c>
      <c r="H656" t="s">
        <v>3138</v>
      </c>
      <c r="I656" t="s">
        <v>5</v>
      </c>
      <c r="J656">
        <v>61.77600000000001</v>
      </c>
    </row>
    <row r="657" spans="2:10">
      <c r="B657" s="13" t="s">
        <v>3125</v>
      </c>
      <c r="C657" s="13">
        <v>241.96</v>
      </c>
      <c r="H657" t="s">
        <v>3138</v>
      </c>
      <c r="I657" t="s">
        <v>5</v>
      </c>
      <c r="J657">
        <v>241.96</v>
      </c>
    </row>
    <row r="658" spans="2:10">
      <c r="B658" s="13" t="s">
        <v>3115</v>
      </c>
      <c r="C658" s="13">
        <v>108.608</v>
      </c>
      <c r="H658" t="s">
        <v>3138</v>
      </c>
      <c r="I658" t="s">
        <v>3</v>
      </c>
      <c r="J658">
        <v>108.608</v>
      </c>
    </row>
    <row r="659" spans="2:10">
      <c r="B659" s="13" t="s">
        <v>3118</v>
      </c>
      <c r="C659" s="13">
        <v>9.9840000000000018</v>
      </c>
      <c r="H659" t="s">
        <v>3138</v>
      </c>
      <c r="I659" t="s">
        <v>5</v>
      </c>
      <c r="J659">
        <v>9.9840000000000018</v>
      </c>
    </row>
    <row r="660" spans="2:10">
      <c r="B660" s="13" t="s">
        <v>3117</v>
      </c>
      <c r="C660" s="13">
        <v>14.98</v>
      </c>
      <c r="H660" t="s">
        <v>3138</v>
      </c>
      <c r="I660" t="s">
        <v>5</v>
      </c>
      <c r="J660">
        <v>14.98</v>
      </c>
    </row>
    <row r="661" spans="2:10">
      <c r="B661" s="13" t="s">
        <v>3116</v>
      </c>
      <c r="C661" s="13">
        <v>1145.6000000000001</v>
      </c>
      <c r="H661" t="s">
        <v>3138</v>
      </c>
      <c r="I661" t="s">
        <v>4</v>
      </c>
      <c r="J661">
        <v>1145.6000000000001</v>
      </c>
    </row>
    <row r="662" spans="2:10">
      <c r="B662" s="13" t="s">
        <v>3114</v>
      </c>
      <c r="C662" s="13">
        <v>54.816000000000003</v>
      </c>
      <c r="H662" t="s">
        <v>3136</v>
      </c>
      <c r="I662" t="s">
        <v>5</v>
      </c>
      <c r="J662">
        <v>54.816000000000003</v>
      </c>
    </row>
    <row r="663" spans="2:10">
      <c r="B663" s="13" t="s">
        <v>3123</v>
      </c>
      <c r="C663" s="13">
        <v>2.8960000000000004</v>
      </c>
      <c r="H663" t="s">
        <v>3137</v>
      </c>
      <c r="I663" t="s">
        <v>5</v>
      </c>
      <c r="J663">
        <v>2.8960000000000004</v>
      </c>
    </row>
    <row r="664" spans="2:10">
      <c r="B664" s="13" t="s">
        <v>3116</v>
      </c>
      <c r="C664" s="13">
        <v>124.79200000000002</v>
      </c>
      <c r="H664" t="s">
        <v>3137</v>
      </c>
      <c r="I664" t="s">
        <v>4</v>
      </c>
      <c r="J664">
        <v>124.79200000000002</v>
      </c>
    </row>
    <row r="665" spans="2:10">
      <c r="B665" s="13" t="s">
        <v>3119</v>
      </c>
      <c r="C665" s="13">
        <v>526.45000000000005</v>
      </c>
      <c r="H665" t="s">
        <v>3137</v>
      </c>
      <c r="I665" t="s">
        <v>3</v>
      </c>
      <c r="J665">
        <v>526.45000000000005</v>
      </c>
    </row>
    <row r="666" spans="2:10">
      <c r="B666" s="13" t="s">
        <v>3117</v>
      </c>
      <c r="C666" s="13">
        <v>228.92</v>
      </c>
      <c r="H666" t="s">
        <v>3137</v>
      </c>
      <c r="I666" t="s">
        <v>5</v>
      </c>
      <c r="J666">
        <v>228.92</v>
      </c>
    </row>
    <row r="667" spans="2:10">
      <c r="B667" s="13" t="s">
        <v>3120</v>
      </c>
      <c r="C667" s="13">
        <v>205.03</v>
      </c>
      <c r="H667" t="s">
        <v>3136</v>
      </c>
      <c r="I667" t="s">
        <v>4</v>
      </c>
      <c r="J667">
        <v>205.03</v>
      </c>
    </row>
    <row r="668" spans="2:10">
      <c r="B668" s="13" t="s">
        <v>3119</v>
      </c>
      <c r="C668" s="13">
        <v>44.400000000000006</v>
      </c>
      <c r="H668" t="s">
        <v>3137</v>
      </c>
      <c r="I668" t="s">
        <v>3</v>
      </c>
      <c r="J668">
        <v>44.400000000000006</v>
      </c>
    </row>
    <row r="669" spans="2:10">
      <c r="B669" s="13" t="s">
        <v>3117</v>
      </c>
      <c r="C669" s="13">
        <v>56.56</v>
      </c>
      <c r="H669" t="s">
        <v>3138</v>
      </c>
      <c r="I669" t="s">
        <v>5</v>
      </c>
      <c r="J669">
        <v>56.56</v>
      </c>
    </row>
    <row r="670" spans="2:10">
      <c r="B670" s="13" t="s">
        <v>3122</v>
      </c>
      <c r="C670" s="13">
        <v>5.56</v>
      </c>
      <c r="H670" t="s">
        <v>3138</v>
      </c>
      <c r="I670" t="s">
        <v>5</v>
      </c>
      <c r="J670">
        <v>5.56</v>
      </c>
    </row>
    <row r="671" spans="2:10">
      <c r="B671" s="13" t="s">
        <v>3123</v>
      </c>
      <c r="C671" s="13">
        <v>9.02</v>
      </c>
      <c r="H671" t="s">
        <v>3138</v>
      </c>
      <c r="I671" t="s">
        <v>5</v>
      </c>
      <c r="J671">
        <v>9.02</v>
      </c>
    </row>
    <row r="672" spans="2:10">
      <c r="B672" s="13" t="s">
        <v>3125</v>
      </c>
      <c r="C672" s="13">
        <v>8.6199999999999992</v>
      </c>
      <c r="H672" t="s">
        <v>3138</v>
      </c>
      <c r="I672" t="s">
        <v>5</v>
      </c>
      <c r="J672">
        <v>8.6199999999999992</v>
      </c>
    </row>
    <row r="673" spans="2:10">
      <c r="B673" s="13" t="s">
        <v>3116</v>
      </c>
      <c r="C673" s="13">
        <v>659.97600000000011</v>
      </c>
      <c r="H673" t="s">
        <v>3138</v>
      </c>
      <c r="I673" t="s">
        <v>4</v>
      </c>
      <c r="J673">
        <v>659.97600000000011</v>
      </c>
    </row>
    <row r="674" spans="2:10">
      <c r="B674" s="13" t="s">
        <v>3115</v>
      </c>
      <c r="C674" s="13">
        <v>1212.96</v>
      </c>
      <c r="H674" t="s">
        <v>3138</v>
      </c>
      <c r="I674" t="s">
        <v>3</v>
      </c>
      <c r="J674">
        <v>1212.96</v>
      </c>
    </row>
    <row r="675" spans="2:10">
      <c r="B675" s="13" t="s">
        <v>3114</v>
      </c>
      <c r="C675" s="13">
        <v>18.54</v>
      </c>
      <c r="H675" t="s">
        <v>3138</v>
      </c>
      <c r="I675" t="s">
        <v>5</v>
      </c>
      <c r="J675">
        <v>18.54</v>
      </c>
    </row>
    <row r="676" spans="2:10">
      <c r="B676" s="13" t="s">
        <v>3128</v>
      </c>
      <c r="C676" s="13">
        <v>359.96999999999997</v>
      </c>
      <c r="H676" t="s">
        <v>3135</v>
      </c>
      <c r="I676" t="s">
        <v>3</v>
      </c>
      <c r="J676">
        <v>359.96999999999997</v>
      </c>
    </row>
    <row r="677" spans="2:10">
      <c r="B677" s="13" t="s">
        <v>3114</v>
      </c>
      <c r="C677" s="13">
        <v>7.9680000000000009</v>
      </c>
      <c r="H677" t="s">
        <v>3135</v>
      </c>
      <c r="I677" t="s">
        <v>5</v>
      </c>
      <c r="J677">
        <v>7.9680000000000009</v>
      </c>
    </row>
    <row r="678" spans="2:10">
      <c r="B678" s="13" t="s">
        <v>3114</v>
      </c>
      <c r="C678" s="13">
        <v>12.96</v>
      </c>
      <c r="H678" t="s">
        <v>3138</v>
      </c>
      <c r="I678" t="s">
        <v>5</v>
      </c>
      <c r="J678">
        <v>12.96</v>
      </c>
    </row>
    <row r="679" spans="2:10">
      <c r="B679" s="13" t="s">
        <v>3114</v>
      </c>
      <c r="C679" s="13">
        <v>6.48</v>
      </c>
      <c r="H679" t="s">
        <v>3136</v>
      </c>
      <c r="I679" t="s">
        <v>5</v>
      </c>
      <c r="J679">
        <v>6.48</v>
      </c>
    </row>
    <row r="680" spans="2:10">
      <c r="B680" s="13" t="s">
        <v>3118</v>
      </c>
      <c r="C680" s="13">
        <v>6.9840000000000009</v>
      </c>
      <c r="H680" t="s">
        <v>3136</v>
      </c>
      <c r="I680" t="s">
        <v>5</v>
      </c>
      <c r="J680">
        <v>6.9840000000000009</v>
      </c>
    </row>
    <row r="681" spans="2:10">
      <c r="B681" s="13" t="s">
        <v>3122</v>
      </c>
      <c r="C681" s="13">
        <v>47.96</v>
      </c>
      <c r="H681" t="s">
        <v>3135</v>
      </c>
      <c r="I681" t="s">
        <v>5</v>
      </c>
      <c r="J681">
        <v>47.96</v>
      </c>
    </row>
    <row r="682" spans="2:10">
      <c r="B682" s="13" t="s">
        <v>3115</v>
      </c>
      <c r="C682" s="13">
        <v>97.567999999999998</v>
      </c>
      <c r="H682" t="s">
        <v>3138</v>
      </c>
      <c r="I682" t="s">
        <v>3</v>
      </c>
      <c r="J682">
        <v>97.567999999999998</v>
      </c>
    </row>
    <row r="683" spans="2:10">
      <c r="B683" s="13" t="s">
        <v>3115</v>
      </c>
      <c r="C683" s="13">
        <v>614.27200000000005</v>
      </c>
      <c r="H683" t="s">
        <v>3138</v>
      </c>
      <c r="I683" t="s">
        <v>3</v>
      </c>
      <c r="J683">
        <v>614.27200000000005</v>
      </c>
    </row>
    <row r="684" spans="2:10">
      <c r="B684" s="13" t="s">
        <v>3128</v>
      </c>
      <c r="C684" s="13">
        <v>199.98</v>
      </c>
      <c r="H684" t="s">
        <v>3138</v>
      </c>
      <c r="I684" t="s">
        <v>3</v>
      </c>
      <c r="J684">
        <v>199.98</v>
      </c>
    </row>
    <row r="685" spans="2:10">
      <c r="B685" s="13" t="s">
        <v>3125</v>
      </c>
      <c r="C685" s="13">
        <v>35.04</v>
      </c>
      <c r="H685" t="s">
        <v>3135</v>
      </c>
      <c r="I685" t="s">
        <v>5</v>
      </c>
      <c r="J685">
        <v>35.04</v>
      </c>
    </row>
    <row r="686" spans="2:10">
      <c r="B686" s="13" t="s">
        <v>3125</v>
      </c>
      <c r="C686" s="13">
        <v>17.480000000000004</v>
      </c>
      <c r="H686" t="s">
        <v>3136</v>
      </c>
      <c r="I686" t="s">
        <v>5</v>
      </c>
      <c r="J686">
        <v>17.480000000000004</v>
      </c>
    </row>
    <row r="687" spans="2:10">
      <c r="B687" s="13" t="s">
        <v>3122</v>
      </c>
      <c r="C687" s="13">
        <v>16.399999999999999</v>
      </c>
      <c r="H687" t="s">
        <v>3138</v>
      </c>
      <c r="I687" t="s">
        <v>5</v>
      </c>
      <c r="J687">
        <v>16.399999999999999</v>
      </c>
    </row>
    <row r="688" spans="2:10">
      <c r="B688" s="13" t="s">
        <v>3126</v>
      </c>
      <c r="C688" s="13">
        <v>892.98</v>
      </c>
      <c r="H688" t="s">
        <v>3138</v>
      </c>
      <c r="I688" t="s">
        <v>3</v>
      </c>
      <c r="J688">
        <v>892.98</v>
      </c>
    </row>
    <row r="689" spans="2:10">
      <c r="B689" s="13" t="s">
        <v>3119</v>
      </c>
      <c r="C689" s="13">
        <v>181.95</v>
      </c>
      <c r="H689" t="s">
        <v>3136</v>
      </c>
      <c r="I689" t="s">
        <v>3</v>
      </c>
      <c r="J689">
        <v>181.95</v>
      </c>
    </row>
    <row r="690" spans="2:10">
      <c r="B690" s="13" t="s">
        <v>3115</v>
      </c>
      <c r="C690" s="13">
        <v>723.92</v>
      </c>
      <c r="H690" t="s">
        <v>3135</v>
      </c>
      <c r="I690" t="s">
        <v>3</v>
      </c>
      <c r="J690">
        <v>723.92</v>
      </c>
    </row>
    <row r="691" spans="2:10">
      <c r="B691" s="13" t="s">
        <v>3114</v>
      </c>
      <c r="C691" s="13">
        <v>106.32</v>
      </c>
      <c r="H691" t="s">
        <v>3135</v>
      </c>
      <c r="I691" t="s">
        <v>5</v>
      </c>
      <c r="J691">
        <v>106.32</v>
      </c>
    </row>
    <row r="692" spans="2:10">
      <c r="B692" s="13" t="s">
        <v>3120</v>
      </c>
      <c r="C692" s="13">
        <v>390.75</v>
      </c>
      <c r="H692" t="s">
        <v>3136</v>
      </c>
      <c r="I692" t="s">
        <v>4</v>
      </c>
      <c r="J692">
        <v>390.75</v>
      </c>
    </row>
    <row r="693" spans="2:10">
      <c r="B693" s="13" t="s">
        <v>3115</v>
      </c>
      <c r="C693" s="13">
        <v>280.79200000000003</v>
      </c>
      <c r="H693" t="s">
        <v>3138</v>
      </c>
      <c r="I693" t="s">
        <v>3</v>
      </c>
      <c r="J693">
        <v>280.79200000000003</v>
      </c>
    </row>
    <row r="694" spans="2:10">
      <c r="B694" s="13" t="s">
        <v>3117</v>
      </c>
      <c r="C694" s="13">
        <v>68.448000000000008</v>
      </c>
      <c r="H694" t="s">
        <v>3138</v>
      </c>
      <c r="I694" t="s">
        <v>5</v>
      </c>
      <c r="J694">
        <v>68.448000000000008</v>
      </c>
    </row>
    <row r="695" spans="2:10">
      <c r="B695" s="13" t="s">
        <v>3122</v>
      </c>
      <c r="C695" s="13">
        <v>88.04</v>
      </c>
      <c r="H695" t="s">
        <v>3138</v>
      </c>
      <c r="I695" t="s">
        <v>5</v>
      </c>
      <c r="J695">
        <v>88.04</v>
      </c>
    </row>
    <row r="696" spans="2:10">
      <c r="B696" s="13" t="s">
        <v>3122</v>
      </c>
      <c r="C696" s="13">
        <v>15.872</v>
      </c>
      <c r="H696" t="s">
        <v>3138</v>
      </c>
      <c r="I696" t="s">
        <v>5</v>
      </c>
      <c r="J696">
        <v>15.872</v>
      </c>
    </row>
    <row r="697" spans="2:10">
      <c r="B697" s="13" t="s">
        <v>3117</v>
      </c>
      <c r="C697" s="13">
        <v>215.59200000000001</v>
      </c>
      <c r="H697" t="s">
        <v>3138</v>
      </c>
      <c r="I697" t="s">
        <v>5</v>
      </c>
      <c r="J697">
        <v>215.59200000000001</v>
      </c>
    </row>
    <row r="698" spans="2:10">
      <c r="B698" s="13" t="s">
        <v>3121</v>
      </c>
      <c r="C698" s="13">
        <v>14.62</v>
      </c>
      <c r="H698" t="s">
        <v>3137</v>
      </c>
      <c r="I698" t="s">
        <v>5</v>
      </c>
      <c r="J698">
        <v>14.62</v>
      </c>
    </row>
    <row r="699" spans="2:10">
      <c r="B699" s="13" t="s">
        <v>3125</v>
      </c>
      <c r="C699" s="13">
        <v>416.32</v>
      </c>
      <c r="H699" t="s">
        <v>3137</v>
      </c>
      <c r="I699" t="s">
        <v>5</v>
      </c>
      <c r="J699">
        <v>416.32</v>
      </c>
    </row>
    <row r="700" spans="2:10">
      <c r="B700" s="13" t="s">
        <v>3118</v>
      </c>
      <c r="C700" s="13">
        <v>43</v>
      </c>
      <c r="H700" t="s">
        <v>3137</v>
      </c>
      <c r="I700" t="s">
        <v>5</v>
      </c>
      <c r="J700">
        <v>43</v>
      </c>
    </row>
    <row r="701" spans="2:10">
      <c r="B701" s="13" t="s">
        <v>3115</v>
      </c>
      <c r="C701" s="13">
        <v>182.94</v>
      </c>
      <c r="H701" t="s">
        <v>3137</v>
      </c>
      <c r="I701" t="s">
        <v>3</v>
      </c>
      <c r="J701">
        <v>182.94</v>
      </c>
    </row>
    <row r="702" spans="2:10">
      <c r="B702" s="13" t="s">
        <v>3118</v>
      </c>
      <c r="C702" s="13">
        <v>60.83</v>
      </c>
      <c r="H702" t="s">
        <v>3137</v>
      </c>
      <c r="I702" t="s">
        <v>5</v>
      </c>
      <c r="J702">
        <v>60.83</v>
      </c>
    </row>
    <row r="703" spans="2:10">
      <c r="B703" s="13" t="s">
        <v>3120</v>
      </c>
      <c r="C703" s="13">
        <v>389.97</v>
      </c>
      <c r="H703" t="s">
        <v>3137</v>
      </c>
      <c r="I703" t="s">
        <v>4</v>
      </c>
      <c r="J703">
        <v>389.97</v>
      </c>
    </row>
    <row r="704" spans="2:10">
      <c r="B704" s="13" t="s">
        <v>3120</v>
      </c>
      <c r="C704" s="13">
        <v>265.93</v>
      </c>
      <c r="H704" t="s">
        <v>3138</v>
      </c>
      <c r="I704" t="s">
        <v>4</v>
      </c>
      <c r="J704">
        <v>265.93</v>
      </c>
    </row>
    <row r="705" spans="2:10">
      <c r="B705" s="13" t="s">
        <v>3124</v>
      </c>
      <c r="C705" s="13">
        <v>14.352000000000002</v>
      </c>
      <c r="H705" t="s">
        <v>3138</v>
      </c>
      <c r="I705" t="s">
        <v>5</v>
      </c>
      <c r="J705">
        <v>14.352000000000002</v>
      </c>
    </row>
    <row r="706" spans="2:10">
      <c r="B706" s="13" t="s">
        <v>3114</v>
      </c>
      <c r="C706" s="13">
        <v>277.39999999999998</v>
      </c>
      <c r="H706" t="s">
        <v>3137</v>
      </c>
      <c r="I706" t="s">
        <v>5</v>
      </c>
      <c r="J706">
        <v>277.39999999999998</v>
      </c>
    </row>
    <row r="707" spans="2:10">
      <c r="B707" s="13" t="s">
        <v>3114</v>
      </c>
      <c r="C707" s="13">
        <v>5.78</v>
      </c>
      <c r="H707" t="s">
        <v>3137</v>
      </c>
      <c r="I707" t="s">
        <v>5</v>
      </c>
      <c r="J707">
        <v>5.78</v>
      </c>
    </row>
    <row r="708" spans="2:10">
      <c r="B708" s="13" t="s">
        <v>3124</v>
      </c>
      <c r="C708" s="13">
        <v>10.86</v>
      </c>
      <c r="H708" t="s">
        <v>3136</v>
      </c>
      <c r="I708" t="s">
        <v>5</v>
      </c>
      <c r="J708">
        <v>10.86</v>
      </c>
    </row>
    <row r="709" spans="2:10">
      <c r="B709" s="13" t="s">
        <v>3125</v>
      </c>
      <c r="C709" s="13">
        <v>426.78999999999996</v>
      </c>
      <c r="H709" t="s">
        <v>3136</v>
      </c>
      <c r="I709" t="s">
        <v>5</v>
      </c>
      <c r="J709">
        <v>426.78999999999996</v>
      </c>
    </row>
    <row r="710" spans="2:10">
      <c r="B710" s="13" t="s">
        <v>3118</v>
      </c>
      <c r="C710" s="13">
        <v>9.0240000000000009</v>
      </c>
      <c r="H710" t="s">
        <v>3138</v>
      </c>
      <c r="I710" t="s">
        <v>5</v>
      </c>
      <c r="J710">
        <v>9.0240000000000009</v>
      </c>
    </row>
    <row r="711" spans="2:10">
      <c r="B711" s="13" t="s">
        <v>3118</v>
      </c>
      <c r="C711" s="13">
        <v>69.456000000000003</v>
      </c>
      <c r="H711" t="s">
        <v>3138</v>
      </c>
      <c r="I711" t="s">
        <v>5</v>
      </c>
      <c r="J711">
        <v>69.456000000000003</v>
      </c>
    </row>
    <row r="712" spans="2:10">
      <c r="B712" s="13" t="s">
        <v>3114</v>
      </c>
      <c r="C712" s="13">
        <v>10.86</v>
      </c>
      <c r="H712" t="s">
        <v>3138</v>
      </c>
      <c r="I712" t="s">
        <v>5</v>
      </c>
      <c r="J712">
        <v>10.86</v>
      </c>
    </row>
    <row r="713" spans="2:10">
      <c r="B713" s="13" t="s">
        <v>3125</v>
      </c>
      <c r="C713" s="13">
        <v>79.47</v>
      </c>
      <c r="H713" t="s">
        <v>3138</v>
      </c>
      <c r="I713" t="s">
        <v>5</v>
      </c>
      <c r="J713">
        <v>79.47</v>
      </c>
    </row>
    <row r="714" spans="2:10">
      <c r="B714" s="13" t="s">
        <v>3122</v>
      </c>
      <c r="C714" s="13">
        <v>10.08</v>
      </c>
      <c r="H714" t="s">
        <v>3138</v>
      </c>
      <c r="I714" t="s">
        <v>5</v>
      </c>
      <c r="J714">
        <v>10.08</v>
      </c>
    </row>
    <row r="715" spans="2:10">
      <c r="B715" s="13" t="s">
        <v>3118</v>
      </c>
      <c r="C715" s="13">
        <v>13.710000000000003</v>
      </c>
      <c r="H715" t="s">
        <v>3136</v>
      </c>
      <c r="I715" t="s">
        <v>5</v>
      </c>
      <c r="J715">
        <v>13.710000000000003</v>
      </c>
    </row>
    <row r="716" spans="2:10">
      <c r="B716" s="13" t="s">
        <v>3114</v>
      </c>
      <c r="C716" s="13">
        <v>23.12</v>
      </c>
      <c r="H716" t="s">
        <v>3136</v>
      </c>
      <c r="I716" t="s">
        <v>5</v>
      </c>
      <c r="J716">
        <v>23.12</v>
      </c>
    </row>
    <row r="717" spans="2:10">
      <c r="B717" s="13" t="s">
        <v>3120</v>
      </c>
      <c r="C717" s="13">
        <v>252</v>
      </c>
      <c r="H717" t="s">
        <v>3136</v>
      </c>
      <c r="I717" t="s">
        <v>4</v>
      </c>
      <c r="J717">
        <v>252</v>
      </c>
    </row>
    <row r="718" spans="2:10">
      <c r="B718" s="13" t="s">
        <v>3123</v>
      </c>
      <c r="C718" s="13">
        <v>5.67</v>
      </c>
      <c r="H718" t="s">
        <v>3135</v>
      </c>
      <c r="I718" t="s">
        <v>5</v>
      </c>
      <c r="J718">
        <v>5.67</v>
      </c>
    </row>
    <row r="719" spans="2:10">
      <c r="B719" s="13" t="s">
        <v>3125</v>
      </c>
      <c r="C719" s="13">
        <v>176.04</v>
      </c>
      <c r="H719" t="s">
        <v>3138</v>
      </c>
      <c r="I719" t="s">
        <v>5</v>
      </c>
      <c r="J719">
        <v>176.04</v>
      </c>
    </row>
    <row r="720" spans="2:10">
      <c r="B720" s="13" t="s">
        <v>3122</v>
      </c>
      <c r="C720" s="13">
        <v>16.02</v>
      </c>
      <c r="H720" t="s">
        <v>3138</v>
      </c>
      <c r="I720" t="s">
        <v>5</v>
      </c>
      <c r="J720">
        <v>16.02</v>
      </c>
    </row>
    <row r="721" spans="2:10">
      <c r="B721" s="13" t="s">
        <v>3118</v>
      </c>
      <c r="C721" s="13">
        <v>185.92000000000002</v>
      </c>
      <c r="H721" t="s">
        <v>3138</v>
      </c>
      <c r="I721" t="s">
        <v>5</v>
      </c>
      <c r="J721">
        <v>185.92000000000002</v>
      </c>
    </row>
    <row r="722" spans="2:10">
      <c r="B722" s="13" t="s">
        <v>3116</v>
      </c>
      <c r="C722" s="13">
        <v>211.16800000000001</v>
      </c>
      <c r="H722" t="s">
        <v>3138</v>
      </c>
      <c r="I722" t="s">
        <v>4</v>
      </c>
      <c r="J722">
        <v>211.16800000000001</v>
      </c>
    </row>
    <row r="723" spans="2:10">
      <c r="B723" s="13" t="s">
        <v>3127</v>
      </c>
      <c r="C723" s="13">
        <v>479.98400000000004</v>
      </c>
      <c r="H723" t="s">
        <v>3138</v>
      </c>
      <c r="I723" t="s">
        <v>4</v>
      </c>
      <c r="J723">
        <v>479.98400000000004</v>
      </c>
    </row>
    <row r="724" spans="2:10">
      <c r="B724" s="13" t="s">
        <v>3121</v>
      </c>
      <c r="C724" s="13">
        <v>5.76</v>
      </c>
      <c r="H724" t="s">
        <v>3138</v>
      </c>
      <c r="I724" t="s">
        <v>5</v>
      </c>
      <c r="J724">
        <v>5.76</v>
      </c>
    </row>
    <row r="725" spans="2:10">
      <c r="B725" s="13" t="s">
        <v>3122</v>
      </c>
      <c r="C725" s="13">
        <v>16.68</v>
      </c>
      <c r="H725" t="s">
        <v>3138</v>
      </c>
      <c r="I725" t="s">
        <v>5</v>
      </c>
      <c r="J725">
        <v>16.68</v>
      </c>
    </row>
    <row r="726" spans="2:10">
      <c r="B726" s="13" t="s">
        <v>3117</v>
      </c>
      <c r="C726" s="13">
        <v>628.80999999999995</v>
      </c>
      <c r="H726" t="s">
        <v>3135</v>
      </c>
      <c r="I726" t="s">
        <v>5</v>
      </c>
      <c r="J726">
        <v>628.80999999999995</v>
      </c>
    </row>
    <row r="727" spans="2:10">
      <c r="B727" s="13" t="s">
        <v>3117</v>
      </c>
      <c r="C727" s="13">
        <v>56.449999999999996</v>
      </c>
      <c r="H727" t="s">
        <v>3135</v>
      </c>
      <c r="I727" t="s">
        <v>5</v>
      </c>
      <c r="J727">
        <v>56.449999999999996</v>
      </c>
    </row>
    <row r="728" spans="2:10">
      <c r="B728" s="13" t="s">
        <v>3117</v>
      </c>
      <c r="C728" s="13">
        <v>94.199999999999989</v>
      </c>
      <c r="H728" t="s">
        <v>3137</v>
      </c>
      <c r="I728" t="s">
        <v>5</v>
      </c>
      <c r="J728">
        <v>94.199999999999989</v>
      </c>
    </row>
    <row r="729" spans="2:10">
      <c r="B729" s="13" t="s">
        <v>3124</v>
      </c>
      <c r="C729" s="13">
        <v>28.4</v>
      </c>
      <c r="H729" t="s">
        <v>3137</v>
      </c>
      <c r="I729" t="s">
        <v>5</v>
      </c>
      <c r="J729">
        <v>28.4</v>
      </c>
    </row>
    <row r="730" spans="2:10">
      <c r="B730" s="13" t="s">
        <v>3120</v>
      </c>
      <c r="C730" s="13">
        <v>1115.9099999999999</v>
      </c>
      <c r="H730" t="s">
        <v>3138</v>
      </c>
      <c r="I730" t="s">
        <v>4</v>
      </c>
      <c r="J730">
        <v>1115.9099999999999</v>
      </c>
    </row>
    <row r="731" spans="2:10">
      <c r="B731" s="13" t="s">
        <v>3116</v>
      </c>
      <c r="C731" s="13">
        <v>128.744</v>
      </c>
      <c r="H731" t="s">
        <v>3138</v>
      </c>
      <c r="I731" t="s">
        <v>4</v>
      </c>
      <c r="J731">
        <v>128.744</v>
      </c>
    </row>
    <row r="732" spans="2:10">
      <c r="B732" s="13" t="s">
        <v>3116</v>
      </c>
      <c r="C732" s="13">
        <v>79.920000000000016</v>
      </c>
      <c r="H732" t="s">
        <v>3138</v>
      </c>
      <c r="I732" t="s">
        <v>4</v>
      </c>
      <c r="J732">
        <v>79.920000000000016</v>
      </c>
    </row>
    <row r="733" spans="2:10">
      <c r="B733" s="13" t="s">
        <v>3122</v>
      </c>
      <c r="C733" s="13">
        <v>24.2</v>
      </c>
      <c r="H733" t="s">
        <v>3138</v>
      </c>
      <c r="I733" t="s">
        <v>5</v>
      </c>
      <c r="J733">
        <v>24.2</v>
      </c>
    </row>
    <row r="734" spans="2:10">
      <c r="B734" s="13" t="s">
        <v>3116</v>
      </c>
      <c r="C734" s="13">
        <v>359.97600000000006</v>
      </c>
      <c r="H734" t="s">
        <v>3138</v>
      </c>
      <c r="I734" t="s">
        <v>4</v>
      </c>
      <c r="J734">
        <v>359.97600000000006</v>
      </c>
    </row>
    <row r="735" spans="2:10">
      <c r="B735" s="13" t="s">
        <v>3119</v>
      </c>
      <c r="C735" s="13">
        <v>211.84</v>
      </c>
      <c r="H735" t="s">
        <v>3138</v>
      </c>
      <c r="I735" t="s">
        <v>3</v>
      </c>
      <c r="J735">
        <v>211.84</v>
      </c>
    </row>
    <row r="736" spans="2:10">
      <c r="B736" s="13" t="s">
        <v>3120</v>
      </c>
      <c r="C736" s="13">
        <v>595</v>
      </c>
      <c r="H736" t="s">
        <v>3138</v>
      </c>
      <c r="I736" t="s">
        <v>4</v>
      </c>
      <c r="J736">
        <v>595</v>
      </c>
    </row>
    <row r="737" spans="2:10">
      <c r="B737" s="13" t="s">
        <v>3118</v>
      </c>
      <c r="C737" s="13">
        <v>79.872000000000014</v>
      </c>
      <c r="H737" t="s">
        <v>3138</v>
      </c>
      <c r="I737" t="s">
        <v>5</v>
      </c>
      <c r="J737">
        <v>79.872000000000014</v>
      </c>
    </row>
    <row r="738" spans="2:10">
      <c r="B738" s="13" t="s">
        <v>3117</v>
      </c>
      <c r="C738" s="13">
        <v>63.56</v>
      </c>
      <c r="H738" t="s">
        <v>3138</v>
      </c>
      <c r="I738" t="s">
        <v>5</v>
      </c>
      <c r="J738">
        <v>63.56</v>
      </c>
    </row>
    <row r="739" spans="2:10">
      <c r="B739" s="13" t="s">
        <v>3120</v>
      </c>
      <c r="C739" s="13">
        <v>99.99</v>
      </c>
      <c r="H739" t="s">
        <v>3138</v>
      </c>
      <c r="I739" t="s">
        <v>4</v>
      </c>
      <c r="J739">
        <v>99.99</v>
      </c>
    </row>
    <row r="740" spans="2:10">
      <c r="B740" s="13" t="s">
        <v>3120</v>
      </c>
      <c r="C740" s="13">
        <v>158.928</v>
      </c>
      <c r="H740" t="s">
        <v>3136</v>
      </c>
      <c r="I740" t="s">
        <v>4</v>
      </c>
      <c r="J740">
        <v>158.928</v>
      </c>
    </row>
    <row r="741" spans="2:10">
      <c r="B741" s="13" t="s">
        <v>3118</v>
      </c>
      <c r="C741" s="13">
        <v>13.023000000000001</v>
      </c>
      <c r="H741" t="s">
        <v>3136</v>
      </c>
      <c r="I741" t="s">
        <v>5</v>
      </c>
      <c r="J741">
        <v>13.023000000000001</v>
      </c>
    </row>
    <row r="742" spans="2:10">
      <c r="B742" s="13" t="s">
        <v>3126</v>
      </c>
      <c r="C742" s="13">
        <v>273.06</v>
      </c>
      <c r="H742" t="s">
        <v>3136</v>
      </c>
      <c r="I742" t="s">
        <v>3</v>
      </c>
      <c r="J742">
        <v>273.06</v>
      </c>
    </row>
    <row r="743" spans="2:10">
      <c r="B743" s="13" t="s">
        <v>3123</v>
      </c>
      <c r="C743" s="13">
        <v>39.311999999999998</v>
      </c>
      <c r="H743" t="s">
        <v>3136</v>
      </c>
      <c r="I743" t="s">
        <v>5</v>
      </c>
      <c r="J743">
        <v>39.311999999999998</v>
      </c>
    </row>
    <row r="744" spans="2:10">
      <c r="B744" s="13" t="s">
        <v>3121</v>
      </c>
      <c r="C744" s="13">
        <v>58.48</v>
      </c>
      <c r="H744" t="s">
        <v>3138</v>
      </c>
      <c r="I744" t="s">
        <v>5</v>
      </c>
      <c r="J744">
        <v>58.48</v>
      </c>
    </row>
    <row r="745" spans="2:10">
      <c r="B745" s="13" t="s">
        <v>3119</v>
      </c>
      <c r="C745" s="13">
        <v>7.4</v>
      </c>
      <c r="H745" t="s">
        <v>3138</v>
      </c>
      <c r="I745" t="s">
        <v>3</v>
      </c>
      <c r="J745">
        <v>7.4</v>
      </c>
    </row>
    <row r="746" spans="2:10">
      <c r="B746" s="13" t="s">
        <v>3116</v>
      </c>
      <c r="C746" s="13">
        <v>54.367999999999995</v>
      </c>
      <c r="H746" t="s">
        <v>3137</v>
      </c>
      <c r="I746" t="s">
        <v>4</v>
      </c>
      <c r="J746">
        <v>54.367999999999995</v>
      </c>
    </row>
    <row r="747" spans="2:10">
      <c r="B747" s="13" t="s">
        <v>3119</v>
      </c>
      <c r="C747" s="13">
        <v>545.85</v>
      </c>
      <c r="H747" t="s">
        <v>3138</v>
      </c>
      <c r="I747" t="s">
        <v>3</v>
      </c>
      <c r="J747">
        <v>545.85</v>
      </c>
    </row>
    <row r="748" spans="2:10">
      <c r="B748" s="13" t="s">
        <v>3119</v>
      </c>
      <c r="C748" s="13">
        <v>7.9040000000000008</v>
      </c>
      <c r="H748" t="s">
        <v>3135</v>
      </c>
      <c r="I748" t="s">
        <v>3</v>
      </c>
      <c r="J748">
        <v>7.9040000000000008</v>
      </c>
    </row>
    <row r="749" spans="2:10">
      <c r="B749" s="13" t="s">
        <v>3121</v>
      </c>
      <c r="C749" s="13">
        <v>18.75</v>
      </c>
      <c r="H749" t="s">
        <v>3136</v>
      </c>
      <c r="I749" t="s">
        <v>5</v>
      </c>
      <c r="J749">
        <v>18.75</v>
      </c>
    </row>
    <row r="750" spans="2:10">
      <c r="B750" s="13" t="s">
        <v>3116</v>
      </c>
      <c r="C750" s="13">
        <v>119.69999999999999</v>
      </c>
      <c r="H750" t="s">
        <v>3136</v>
      </c>
      <c r="I750" t="s">
        <v>4</v>
      </c>
      <c r="J750">
        <v>119.69999999999999</v>
      </c>
    </row>
    <row r="751" spans="2:10">
      <c r="B751" s="13" t="s">
        <v>3118</v>
      </c>
      <c r="C751" s="13">
        <v>9.1440000000000001</v>
      </c>
      <c r="H751" t="s">
        <v>3136</v>
      </c>
      <c r="I751" t="s">
        <v>5</v>
      </c>
      <c r="J751">
        <v>9.1440000000000001</v>
      </c>
    </row>
    <row r="752" spans="2:10">
      <c r="B752" s="13" t="s">
        <v>3120</v>
      </c>
      <c r="C752" s="13">
        <v>57.06</v>
      </c>
      <c r="H752" t="s">
        <v>3136</v>
      </c>
      <c r="I752" t="s">
        <v>4</v>
      </c>
      <c r="J752">
        <v>57.06</v>
      </c>
    </row>
    <row r="753" spans="2:10">
      <c r="B753" s="13" t="s">
        <v>3120</v>
      </c>
      <c r="C753" s="13">
        <v>71.599999999999994</v>
      </c>
      <c r="H753" t="s">
        <v>3136</v>
      </c>
      <c r="I753" t="s">
        <v>4</v>
      </c>
      <c r="J753">
        <v>71.599999999999994</v>
      </c>
    </row>
    <row r="754" spans="2:10">
      <c r="B754" s="13" t="s">
        <v>3117</v>
      </c>
      <c r="C754" s="13">
        <v>107.44</v>
      </c>
      <c r="H754" t="s">
        <v>3136</v>
      </c>
      <c r="I754" t="s">
        <v>5</v>
      </c>
      <c r="J754">
        <v>107.44</v>
      </c>
    </row>
    <row r="755" spans="2:10">
      <c r="B755" s="13" t="s">
        <v>3121</v>
      </c>
      <c r="C755" s="13">
        <v>7.31</v>
      </c>
      <c r="H755" t="s">
        <v>3136</v>
      </c>
      <c r="I755" t="s">
        <v>5</v>
      </c>
      <c r="J755">
        <v>7.31</v>
      </c>
    </row>
    <row r="756" spans="2:10">
      <c r="B756" s="13" t="s">
        <v>3122</v>
      </c>
      <c r="C756" s="13">
        <v>59.099999999999994</v>
      </c>
      <c r="H756" t="s">
        <v>3136</v>
      </c>
      <c r="I756" t="s">
        <v>5</v>
      </c>
      <c r="J756">
        <v>59.099999999999994</v>
      </c>
    </row>
    <row r="757" spans="2:10">
      <c r="B757" s="13" t="s">
        <v>3117</v>
      </c>
      <c r="C757" s="13">
        <v>46.53</v>
      </c>
      <c r="H757" t="s">
        <v>3136</v>
      </c>
      <c r="I757" t="s">
        <v>5</v>
      </c>
      <c r="J757">
        <v>46.53</v>
      </c>
    </row>
    <row r="758" spans="2:10">
      <c r="B758" s="13" t="s">
        <v>3125</v>
      </c>
      <c r="C758" s="13">
        <v>97.84</v>
      </c>
      <c r="H758" t="s">
        <v>3136</v>
      </c>
      <c r="I758" t="s">
        <v>5</v>
      </c>
      <c r="J758">
        <v>97.84</v>
      </c>
    </row>
    <row r="759" spans="2:10">
      <c r="B759" s="13" t="s">
        <v>3118</v>
      </c>
      <c r="C759" s="13">
        <v>83.920000000000016</v>
      </c>
      <c r="H759" t="s">
        <v>3136</v>
      </c>
      <c r="I759" t="s">
        <v>5</v>
      </c>
      <c r="J759">
        <v>83.920000000000016</v>
      </c>
    </row>
    <row r="760" spans="2:10">
      <c r="B760" s="13" t="s">
        <v>3118</v>
      </c>
      <c r="C760" s="13">
        <v>14.624000000000002</v>
      </c>
      <c r="H760" t="s">
        <v>3136</v>
      </c>
      <c r="I760" t="s">
        <v>5</v>
      </c>
      <c r="J760">
        <v>14.624000000000002</v>
      </c>
    </row>
    <row r="761" spans="2:10">
      <c r="B761" s="13" t="s">
        <v>3116</v>
      </c>
      <c r="C761" s="13">
        <v>136.99</v>
      </c>
      <c r="H761" t="s">
        <v>3136</v>
      </c>
      <c r="I761" t="s">
        <v>4</v>
      </c>
      <c r="J761">
        <v>136.99</v>
      </c>
    </row>
    <row r="762" spans="2:10">
      <c r="B762" s="13" t="s">
        <v>3121</v>
      </c>
      <c r="C762" s="13">
        <v>3.15</v>
      </c>
      <c r="H762" t="s">
        <v>3136</v>
      </c>
      <c r="I762" t="s">
        <v>5</v>
      </c>
      <c r="J762">
        <v>3.15</v>
      </c>
    </row>
    <row r="763" spans="2:10">
      <c r="B763" s="13" t="s">
        <v>3114</v>
      </c>
      <c r="C763" s="13">
        <v>9.11</v>
      </c>
      <c r="H763" t="s">
        <v>3135</v>
      </c>
      <c r="I763" t="s">
        <v>5</v>
      </c>
      <c r="J763">
        <v>9.11</v>
      </c>
    </row>
    <row r="764" spans="2:10">
      <c r="B764" s="13" t="s">
        <v>3117</v>
      </c>
      <c r="C764" s="13">
        <v>571.44000000000005</v>
      </c>
      <c r="H764" t="s">
        <v>3135</v>
      </c>
      <c r="I764" t="s">
        <v>5</v>
      </c>
      <c r="J764">
        <v>571.44000000000005</v>
      </c>
    </row>
    <row r="765" spans="2:10">
      <c r="B765" s="13" t="s">
        <v>3114</v>
      </c>
      <c r="C765" s="13">
        <v>32.400000000000006</v>
      </c>
      <c r="H765" t="s">
        <v>3135</v>
      </c>
      <c r="I765" t="s">
        <v>5</v>
      </c>
      <c r="J765">
        <v>32.400000000000006</v>
      </c>
    </row>
    <row r="766" spans="2:10">
      <c r="B766" s="13" t="s">
        <v>3117</v>
      </c>
      <c r="C766" s="13">
        <v>16.91</v>
      </c>
      <c r="H766" t="s">
        <v>3135</v>
      </c>
      <c r="I766" t="s">
        <v>5</v>
      </c>
      <c r="J766">
        <v>16.91</v>
      </c>
    </row>
    <row r="767" spans="2:10">
      <c r="B767" s="13" t="s">
        <v>3126</v>
      </c>
      <c r="C767" s="13">
        <v>1322.3520000000001</v>
      </c>
      <c r="H767" t="s">
        <v>3138</v>
      </c>
      <c r="I767" t="s">
        <v>3</v>
      </c>
      <c r="J767">
        <v>1322.3520000000001</v>
      </c>
    </row>
    <row r="768" spans="2:10">
      <c r="B768" s="13" t="s">
        <v>3129</v>
      </c>
      <c r="C768" s="13">
        <v>11.184000000000001</v>
      </c>
      <c r="H768" t="s">
        <v>3137</v>
      </c>
      <c r="I768" t="s">
        <v>5</v>
      </c>
      <c r="J768">
        <v>11.184000000000001</v>
      </c>
    </row>
    <row r="769" spans="2:10">
      <c r="B769" s="13" t="s">
        <v>3117</v>
      </c>
      <c r="C769" s="13">
        <v>153.584</v>
      </c>
      <c r="H769" t="s">
        <v>3137</v>
      </c>
      <c r="I769" t="s">
        <v>5</v>
      </c>
      <c r="J769">
        <v>153.584</v>
      </c>
    </row>
    <row r="770" spans="2:10">
      <c r="B770" s="13" t="s">
        <v>3117</v>
      </c>
      <c r="C770" s="13">
        <v>1003.6200000000001</v>
      </c>
      <c r="H770" t="s">
        <v>3138</v>
      </c>
      <c r="I770" t="s">
        <v>5</v>
      </c>
      <c r="J770">
        <v>1003.6200000000001</v>
      </c>
    </row>
    <row r="771" spans="2:10">
      <c r="B771" s="13" t="s">
        <v>3116</v>
      </c>
      <c r="C771" s="13">
        <v>35.167999999999999</v>
      </c>
      <c r="H771" t="s">
        <v>3138</v>
      </c>
      <c r="I771" t="s">
        <v>4</v>
      </c>
      <c r="J771">
        <v>35.167999999999999</v>
      </c>
    </row>
    <row r="772" spans="2:10">
      <c r="B772" s="13" t="s">
        <v>3126</v>
      </c>
      <c r="C772" s="13">
        <v>1137.75</v>
      </c>
      <c r="H772" t="s">
        <v>3138</v>
      </c>
      <c r="I772" t="s">
        <v>3</v>
      </c>
      <c r="J772">
        <v>1137.75</v>
      </c>
    </row>
    <row r="773" spans="2:10">
      <c r="B773" s="13" t="s">
        <v>3118</v>
      </c>
      <c r="C773" s="13">
        <v>99.680000000000021</v>
      </c>
      <c r="H773" t="s">
        <v>3138</v>
      </c>
      <c r="I773" t="s">
        <v>5</v>
      </c>
      <c r="J773">
        <v>99.680000000000021</v>
      </c>
    </row>
    <row r="774" spans="2:10">
      <c r="B774" s="13" t="s">
        <v>3122</v>
      </c>
      <c r="C774" s="13">
        <v>5.56</v>
      </c>
      <c r="H774" t="s">
        <v>3138</v>
      </c>
      <c r="I774" t="s">
        <v>5</v>
      </c>
      <c r="J774">
        <v>5.56</v>
      </c>
    </row>
    <row r="775" spans="2:10">
      <c r="B775" s="13" t="s">
        <v>3124</v>
      </c>
      <c r="C775" s="13">
        <v>37.608000000000004</v>
      </c>
      <c r="H775" t="s">
        <v>3135</v>
      </c>
      <c r="I775" t="s">
        <v>5</v>
      </c>
      <c r="J775">
        <v>37.608000000000004</v>
      </c>
    </row>
    <row r="776" spans="2:10">
      <c r="B776" s="13" t="s">
        <v>3114</v>
      </c>
      <c r="C776" s="13">
        <v>12.224</v>
      </c>
      <c r="H776" t="s">
        <v>3137</v>
      </c>
      <c r="I776" t="s">
        <v>5</v>
      </c>
      <c r="J776">
        <v>12.224</v>
      </c>
    </row>
    <row r="777" spans="2:10">
      <c r="B777" s="13" t="s">
        <v>3118</v>
      </c>
      <c r="C777" s="13">
        <v>2.3039999999999994</v>
      </c>
      <c r="H777" t="s">
        <v>3137</v>
      </c>
      <c r="I777" t="s">
        <v>5</v>
      </c>
      <c r="J777">
        <v>2.3039999999999994</v>
      </c>
    </row>
    <row r="778" spans="2:10">
      <c r="B778" s="13" t="s">
        <v>3118</v>
      </c>
      <c r="C778" s="13">
        <v>9.3599999999999977</v>
      </c>
      <c r="H778" t="s">
        <v>3137</v>
      </c>
      <c r="I778" t="s">
        <v>5</v>
      </c>
      <c r="J778">
        <v>9.3599999999999977</v>
      </c>
    </row>
    <row r="779" spans="2:10">
      <c r="B779" s="13" t="s">
        <v>3116</v>
      </c>
      <c r="C779" s="13">
        <v>196.77600000000001</v>
      </c>
      <c r="H779" t="s">
        <v>3138</v>
      </c>
      <c r="I779" t="s">
        <v>4</v>
      </c>
      <c r="J779">
        <v>196.77600000000001</v>
      </c>
    </row>
    <row r="780" spans="2:10">
      <c r="B780" s="13" t="s">
        <v>3120</v>
      </c>
      <c r="C780" s="13">
        <v>479.93999999999994</v>
      </c>
      <c r="H780" t="s">
        <v>3138</v>
      </c>
      <c r="I780" t="s">
        <v>4</v>
      </c>
      <c r="J780">
        <v>479.93999999999994</v>
      </c>
    </row>
    <row r="781" spans="2:10">
      <c r="B781" s="13" t="s">
        <v>3118</v>
      </c>
      <c r="C781" s="13">
        <v>45.660000000000011</v>
      </c>
      <c r="H781" t="s">
        <v>3135</v>
      </c>
      <c r="I781" t="s">
        <v>5</v>
      </c>
      <c r="J781">
        <v>45.660000000000011</v>
      </c>
    </row>
    <row r="782" spans="2:10">
      <c r="B782" s="13" t="s">
        <v>3119</v>
      </c>
      <c r="C782" s="13">
        <v>129.93</v>
      </c>
      <c r="H782" t="s">
        <v>3136</v>
      </c>
      <c r="I782" t="s">
        <v>3</v>
      </c>
      <c r="J782">
        <v>129.93</v>
      </c>
    </row>
    <row r="783" spans="2:10">
      <c r="B783" s="13" t="s">
        <v>3117</v>
      </c>
      <c r="C783" s="13">
        <v>1801.6320000000001</v>
      </c>
      <c r="H783" t="s">
        <v>3136</v>
      </c>
      <c r="I783" t="s">
        <v>5</v>
      </c>
      <c r="J783">
        <v>1801.6320000000001</v>
      </c>
    </row>
    <row r="784" spans="2:10">
      <c r="B784" s="13" t="s">
        <v>3117</v>
      </c>
      <c r="C784" s="13">
        <v>205.92</v>
      </c>
      <c r="H784" t="s">
        <v>3138</v>
      </c>
      <c r="I784" t="s">
        <v>5</v>
      </c>
      <c r="J784">
        <v>205.92</v>
      </c>
    </row>
    <row r="785" spans="2:10">
      <c r="B785" s="13" t="s">
        <v>3128</v>
      </c>
      <c r="C785" s="13">
        <v>102.833</v>
      </c>
      <c r="H785" t="s">
        <v>3138</v>
      </c>
      <c r="I785" t="s">
        <v>3</v>
      </c>
      <c r="J785">
        <v>102.833</v>
      </c>
    </row>
    <row r="786" spans="2:10">
      <c r="B786" s="13" t="s">
        <v>3119</v>
      </c>
      <c r="C786" s="13">
        <v>821.87999999999988</v>
      </c>
      <c r="H786" t="s">
        <v>3135</v>
      </c>
      <c r="I786" t="s">
        <v>3</v>
      </c>
      <c r="J786">
        <v>821.87999999999988</v>
      </c>
    </row>
    <row r="787" spans="2:10">
      <c r="B787" s="13" t="s">
        <v>3118</v>
      </c>
      <c r="C787" s="13">
        <v>21.96</v>
      </c>
      <c r="H787" t="s">
        <v>3135</v>
      </c>
      <c r="I787" t="s">
        <v>5</v>
      </c>
      <c r="J787">
        <v>21.96</v>
      </c>
    </row>
    <row r="788" spans="2:10">
      <c r="B788" s="13" t="s">
        <v>3120</v>
      </c>
      <c r="C788" s="13">
        <v>71</v>
      </c>
      <c r="H788" t="s">
        <v>3135</v>
      </c>
      <c r="I788" t="s">
        <v>4</v>
      </c>
      <c r="J788">
        <v>71</v>
      </c>
    </row>
    <row r="789" spans="2:10">
      <c r="B789" s="13" t="s">
        <v>3118</v>
      </c>
      <c r="C789" s="13">
        <v>25.120000000000005</v>
      </c>
      <c r="H789" t="s">
        <v>3138</v>
      </c>
      <c r="I789" t="s">
        <v>5</v>
      </c>
      <c r="J789">
        <v>25.120000000000005</v>
      </c>
    </row>
    <row r="790" spans="2:10">
      <c r="B790" s="13" t="s">
        <v>3126</v>
      </c>
      <c r="C790" s="13">
        <v>2665.62</v>
      </c>
      <c r="H790" t="s">
        <v>3138</v>
      </c>
      <c r="I790" t="s">
        <v>3</v>
      </c>
      <c r="J790">
        <v>2665.62</v>
      </c>
    </row>
    <row r="791" spans="2:10">
      <c r="B791" s="13" t="s">
        <v>3117</v>
      </c>
      <c r="C791" s="13">
        <v>478.08</v>
      </c>
      <c r="H791" t="s">
        <v>3136</v>
      </c>
      <c r="I791" t="s">
        <v>5</v>
      </c>
      <c r="J791">
        <v>478.08</v>
      </c>
    </row>
    <row r="792" spans="2:10">
      <c r="B792" s="13" t="s">
        <v>3116</v>
      </c>
      <c r="C792" s="13">
        <v>164.38800000000001</v>
      </c>
      <c r="H792" t="s">
        <v>3136</v>
      </c>
      <c r="I792" t="s">
        <v>4</v>
      </c>
      <c r="J792">
        <v>164.38800000000001</v>
      </c>
    </row>
    <row r="793" spans="2:10">
      <c r="B793" s="13" t="s">
        <v>3122</v>
      </c>
      <c r="C793" s="13">
        <v>13.247999999999999</v>
      </c>
      <c r="H793" t="s">
        <v>3136</v>
      </c>
      <c r="I793" t="s">
        <v>5</v>
      </c>
      <c r="J793">
        <v>13.247999999999999</v>
      </c>
    </row>
    <row r="794" spans="2:10">
      <c r="B794" s="13" t="s">
        <v>3122</v>
      </c>
      <c r="C794" s="13">
        <v>2.9120000000000004</v>
      </c>
      <c r="H794" t="s">
        <v>3137</v>
      </c>
      <c r="I794" t="s">
        <v>5</v>
      </c>
      <c r="J794">
        <v>2.9120000000000004</v>
      </c>
    </row>
    <row r="795" spans="2:10">
      <c r="B795" s="13" t="s">
        <v>3119</v>
      </c>
      <c r="C795" s="13">
        <v>526.45000000000005</v>
      </c>
      <c r="H795" t="s">
        <v>3137</v>
      </c>
      <c r="I795" t="s">
        <v>3</v>
      </c>
      <c r="J795">
        <v>526.45000000000005</v>
      </c>
    </row>
    <row r="796" spans="2:10">
      <c r="B796" s="13" t="s">
        <v>3117</v>
      </c>
      <c r="C796" s="13">
        <v>248.57</v>
      </c>
      <c r="H796" t="s">
        <v>3136</v>
      </c>
      <c r="I796" t="s">
        <v>5</v>
      </c>
      <c r="J796">
        <v>248.57</v>
      </c>
    </row>
    <row r="797" spans="2:10">
      <c r="B797" s="13" t="s">
        <v>3119</v>
      </c>
      <c r="C797" s="13">
        <v>22.23</v>
      </c>
      <c r="H797" t="s">
        <v>3136</v>
      </c>
      <c r="I797" t="s">
        <v>3</v>
      </c>
      <c r="J797">
        <v>22.23</v>
      </c>
    </row>
    <row r="798" spans="2:10">
      <c r="B798" s="13" t="s">
        <v>3116</v>
      </c>
      <c r="C798" s="13">
        <v>79.099999999999994</v>
      </c>
      <c r="H798" t="s">
        <v>3135</v>
      </c>
      <c r="I798" t="s">
        <v>4</v>
      </c>
      <c r="J798">
        <v>79.099999999999994</v>
      </c>
    </row>
    <row r="799" spans="2:10">
      <c r="B799" s="13" t="s">
        <v>3118</v>
      </c>
      <c r="C799" s="13">
        <v>327.84</v>
      </c>
      <c r="H799" t="s">
        <v>3135</v>
      </c>
      <c r="I799" t="s">
        <v>5</v>
      </c>
      <c r="J799">
        <v>327.84</v>
      </c>
    </row>
    <row r="800" spans="2:10">
      <c r="B800" s="13" t="s">
        <v>3124</v>
      </c>
      <c r="C800" s="13">
        <v>180.96</v>
      </c>
      <c r="H800" t="s">
        <v>3137</v>
      </c>
      <c r="I800" t="s">
        <v>5</v>
      </c>
      <c r="J800">
        <v>180.96</v>
      </c>
    </row>
    <row r="801" spans="2:10">
      <c r="B801" s="13" t="s">
        <v>3118</v>
      </c>
      <c r="C801" s="13">
        <v>914.97</v>
      </c>
      <c r="H801" t="s">
        <v>3137</v>
      </c>
      <c r="I801" t="s">
        <v>5</v>
      </c>
      <c r="J801">
        <v>914.97</v>
      </c>
    </row>
    <row r="802" spans="2:10">
      <c r="B802" s="13" t="s">
        <v>3116</v>
      </c>
      <c r="C802" s="13">
        <v>587.97</v>
      </c>
      <c r="H802" t="s">
        <v>3137</v>
      </c>
      <c r="I802" t="s">
        <v>4</v>
      </c>
      <c r="J802">
        <v>587.97</v>
      </c>
    </row>
    <row r="803" spans="2:10">
      <c r="B803" s="13" t="s">
        <v>3117</v>
      </c>
      <c r="C803" s="13">
        <v>530.34</v>
      </c>
      <c r="H803" t="s">
        <v>3137</v>
      </c>
      <c r="I803" t="s">
        <v>5</v>
      </c>
      <c r="J803">
        <v>530.34</v>
      </c>
    </row>
    <row r="804" spans="2:10">
      <c r="B804" s="13" t="s">
        <v>3114</v>
      </c>
      <c r="C804" s="13">
        <v>14.940000000000001</v>
      </c>
      <c r="H804" t="s">
        <v>3137</v>
      </c>
      <c r="I804" t="s">
        <v>5</v>
      </c>
      <c r="J804">
        <v>14.940000000000001</v>
      </c>
    </row>
    <row r="805" spans="2:10">
      <c r="B805" s="13" t="s">
        <v>3125</v>
      </c>
      <c r="C805" s="13">
        <v>121.94</v>
      </c>
      <c r="H805" t="s">
        <v>3136</v>
      </c>
      <c r="I805" t="s">
        <v>5</v>
      </c>
      <c r="J805">
        <v>121.94</v>
      </c>
    </row>
    <row r="806" spans="2:10">
      <c r="B806" s="13" t="s">
        <v>3129</v>
      </c>
      <c r="C806" s="13">
        <v>122.71000000000001</v>
      </c>
      <c r="H806" t="s">
        <v>3136</v>
      </c>
      <c r="I806" t="s">
        <v>5</v>
      </c>
      <c r="J806">
        <v>122.71000000000001</v>
      </c>
    </row>
    <row r="807" spans="2:10">
      <c r="B807" s="13" t="s">
        <v>3121</v>
      </c>
      <c r="C807" s="13">
        <v>5.78</v>
      </c>
      <c r="H807" t="s">
        <v>3138</v>
      </c>
      <c r="I807" t="s">
        <v>5</v>
      </c>
      <c r="J807">
        <v>5.78</v>
      </c>
    </row>
    <row r="808" spans="2:10">
      <c r="B808" s="13" t="s">
        <v>3118</v>
      </c>
      <c r="C808" s="13">
        <v>121.67999999999999</v>
      </c>
      <c r="H808" t="s">
        <v>3138</v>
      </c>
      <c r="I808" t="s">
        <v>5</v>
      </c>
      <c r="J808">
        <v>121.67999999999999</v>
      </c>
    </row>
    <row r="809" spans="2:10">
      <c r="B809" s="13" t="s">
        <v>3122</v>
      </c>
      <c r="C809" s="13">
        <v>4.17</v>
      </c>
      <c r="H809" t="s">
        <v>3138</v>
      </c>
      <c r="I809" t="s">
        <v>5</v>
      </c>
      <c r="J809">
        <v>4.17</v>
      </c>
    </row>
    <row r="810" spans="2:10">
      <c r="B810" s="13" t="s">
        <v>3116</v>
      </c>
      <c r="C810" s="13">
        <v>67.040000000000006</v>
      </c>
      <c r="H810" t="s">
        <v>3138</v>
      </c>
      <c r="I810" t="s">
        <v>4</v>
      </c>
      <c r="J810">
        <v>67.040000000000006</v>
      </c>
    </row>
    <row r="811" spans="2:10">
      <c r="B811" s="13" t="s">
        <v>3117</v>
      </c>
      <c r="C811" s="13">
        <v>37.32</v>
      </c>
      <c r="H811" t="s">
        <v>3138</v>
      </c>
      <c r="I811" t="s">
        <v>5</v>
      </c>
      <c r="J811">
        <v>37.32</v>
      </c>
    </row>
    <row r="812" spans="2:10">
      <c r="B812" s="13" t="s">
        <v>3121</v>
      </c>
      <c r="C812" s="13">
        <v>18.45</v>
      </c>
      <c r="H812" t="s">
        <v>3138</v>
      </c>
      <c r="I812" t="s">
        <v>5</v>
      </c>
      <c r="J812">
        <v>18.45</v>
      </c>
    </row>
    <row r="813" spans="2:10">
      <c r="B813" s="13" t="s">
        <v>3127</v>
      </c>
      <c r="C813" s="13">
        <v>11199.968000000001</v>
      </c>
      <c r="H813" t="s">
        <v>3136</v>
      </c>
      <c r="I813" t="s">
        <v>4</v>
      </c>
      <c r="J813">
        <v>11199.968000000001</v>
      </c>
    </row>
    <row r="814" spans="2:10">
      <c r="B814" s="13" t="s">
        <v>3116</v>
      </c>
      <c r="C814" s="13">
        <v>2399.6</v>
      </c>
      <c r="H814" t="s">
        <v>3136</v>
      </c>
      <c r="I814" t="s">
        <v>4</v>
      </c>
      <c r="J814">
        <v>2399.6</v>
      </c>
    </row>
    <row r="815" spans="2:10">
      <c r="B815" s="13" t="s">
        <v>3124</v>
      </c>
      <c r="C815" s="13">
        <v>63.9</v>
      </c>
      <c r="H815" t="s">
        <v>3136</v>
      </c>
      <c r="I815" t="s">
        <v>5</v>
      </c>
      <c r="J815">
        <v>63.9</v>
      </c>
    </row>
    <row r="816" spans="2:10">
      <c r="B816" s="13" t="s">
        <v>3116</v>
      </c>
      <c r="C816" s="13">
        <v>52.99</v>
      </c>
      <c r="H816" t="s">
        <v>3136</v>
      </c>
      <c r="I816" t="s">
        <v>4</v>
      </c>
      <c r="J816">
        <v>52.99</v>
      </c>
    </row>
    <row r="817" spans="2:10">
      <c r="B817" s="13" t="s">
        <v>3120</v>
      </c>
      <c r="C817" s="13">
        <v>60.864000000000004</v>
      </c>
      <c r="H817" t="s">
        <v>3136</v>
      </c>
      <c r="I817" t="s">
        <v>4</v>
      </c>
      <c r="J817">
        <v>60.864000000000004</v>
      </c>
    </row>
    <row r="818" spans="2:10">
      <c r="B818" s="13" t="s">
        <v>3130</v>
      </c>
      <c r="C818" s="13">
        <v>652.99500000000012</v>
      </c>
      <c r="H818" t="s">
        <v>3136</v>
      </c>
      <c r="I818" t="s">
        <v>4</v>
      </c>
      <c r="J818">
        <v>652.99500000000012</v>
      </c>
    </row>
    <row r="819" spans="2:10">
      <c r="B819" s="13" t="s">
        <v>3118</v>
      </c>
      <c r="C819" s="13">
        <v>11.220000000000002</v>
      </c>
      <c r="H819" t="s">
        <v>3136</v>
      </c>
      <c r="I819" t="s">
        <v>5</v>
      </c>
      <c r="J819">
        <v>11.220000000000002</v>
      </c>
    </row>
    <row r="820" spans="2:10">
      <c r="B820" s="13" t="s">
        <v>3119</v>
      </c>
      <c r="C820" s="13">
        <v>39.96</v>
      </c>
      <c r="H820" t="s">
        <v>3138</v>
      </c>
      <c r="I820" t="s">
        <v>3</v>
      </c>
      <c r="J820">
        <v>39.96</v>
      </c>
    </row>
    <row r="821" spans="2:10">
      <c r="B821" s="13" t="s">
        <v>3115</v>
      </c>
      <c r="C821" s="13">
        <v>42.624000000000002</v>
      </c>
      <c r="H821" t="s">
        <v>3138</v>
      </c>
      <c r="I821" t="s">
        <v>3</v>
      </c>
      <c r="J821">
        <v>42.624000000000002</v>
      </c>
    </row>
    <row r="822" spans="2:10">
      <c r="B822" s="13" t="s">
        <v>3115</v>
      </c>
      <c r="C822" s="13">
        <v>220.96</v>
      </c>
      <c r="H822" t="s">
        <v>3138</v>
      </c>
      <c r="I822" t="s">
        <v>3</v>
      </c>
      <c r="J822">
        <v>220.96</v>
      </c>
    </row>
    <row r="823" spans="2:10">
      <c r="B823" s="13" t="s">
        <v>3114</v>
      </c>
      <c r="C823" s="13">
        <v>19.04</v>
      </c>
      <c r="H823" t="s">
        <v>3136</v>
      </c>
      <c r="I823" t="s">
        <v>5</v>
      </c>
      <c r="J823">
        <v>19.04</v>
      </c>
    </row>
    <row r="824" spans="2:10">
      <c r="B824" s="13" t="s">
        <v>3118</v>
      </c>
      <c r="C824" s="13">
        <v>13.128</v>
      </c>
      <c r="H824" t="s">
        <v>3136</v>
      </c>
      <c r="I824" t="s">
        <v>5</v>
      </c>
      <c r="J824">
        <v>13.128</v>
      </c>
    </row>
    <row r="825" spans="2:10">
      <c r="B825" s="13" t="s">
        <v>3122</v>
      </c>
      <c r="C825" s="13">
        <v>64.14</v>
      </c>
      <c r="H825" t="s">
        <v>3136</v>
      </c>
      <c r="I825" t="s">
        <v>5</v>
      </c>
      <c r="J825">
        <v>64.14</v>
      </c>
    </row>
    <row r="826" spans="2:10">
      <c r="B826" s="13" t="s">
        <v>3115</v>
      </c>
      <c r="C826" s="13">
        <v>858.24</v>
      </c>
      <c r="H826" t="s">
        <v>3136</v>
      </c>
      <c r="I826" t="s">
        <v>3</v>
      </c>
      <c r="J826">
        <v>858.24</v>
      </c>
    </row>
    <row r="827" spans="2:10">
      <c r="B827" s="13" t="s">
        <v>3118</v>
      </c>
      <c r="C827" s="13">
        <v>10.776000000000002</v>
      </c>
      <c r="H827" t="s">
        <v>3138</v>
      </c>
      <c r="I827" t="s">
        <v>5</v>
      </c>
      <c r="J827">
        <v>10.776000000000002</v>
      </c>
    </row>
    <row r="828" spans="2:10">
      <c r="B828" s="13" t="s">
        <v>3118</v>
      </c>
      <c r="C828" s="13">
        <v>11.784000000000001</v>
      </c>
      <c r="H828" t="s">
        <v>3138</v>
      </c>
      <c r="I828" t="s">
        <v>5</v>
      </c>
      <c r="J828">
        <v>11.784000000000001</v>
      </c>
    </row>
    <row r="829" spans="2:10">
      <c r="B829" s="13" t="s">
        <v>3114</v>
      </c>
      <c r="C829" s="13">
        <v>164.88</v>
      </c>
      <c r="H829" t="s">
        <v>3138</v>
      </c>
      <c r="I829" t="s">
        <v>5</v>
      </c>
      <c r="J829">
        <v>164.88</v>
      </c>
    </row>
    <row r="830" spans="2:10">
      <c r="B830" s="13" t="s">
        <v>3128</v>
      </c>
      <c r="C830" s="13">
        <v>1292.94</v>
      </c>
      <c r="H830" t="s">
        <v>3138</v>
      </c>
      <c r="I830" t="s">
        <v>3</v>
      </c>
      <c r="J830">
        <v>1292.94</v>
      </c>
    </row>
    <row r="831" spans="2:10">
      <c r="B831" s="13" t="s">
        <v>3118</v>
      </c>
      <c r="C831" s="13">
        <v>25.584000000000003</v>
      </c>
      <c r="H831" t="s">
        <v>3138</v>
      </c>
      <c r="I831" t="s">
        <v>5</v>
      </c>
      <c r="J831">
        <v>25.584000000000003</v>
      </c>
    </row>
    <row r="832" spans="2:10">
      <c r="B832" s="13" t="s">
        <v>3117</v>
      </c>
      <c r="C832" s="13">
        <v>261.74</v>
      </c>
      <c r="H832" t="s">
        <v>3138</v>
      </c>
      <c r="I832" t="s">
        <v>5</v>
      </c>
      <c r="J832">
        <v>261.74</v>
      </c>
    </row>
    <row r="833" spans="2:10">
      <c r="B833" s="13" t="s">
        <v>3121</v>
      </c>
      <c r="C833" s="13">
        <v>14.399999999999999</v>
      </c>
      <c r="H833" t="s">
        <v>3138</v>
      </c>
      <c r="I833" t="s">
        <v>5</v>
      </c>
      <c r="J833">
        <v>14.399999999999999</v>
      </c>
    </row>
    <row r="834" spans="2:10">
      <c r="B834" s="13" t="s">
        <v>3116</v>
      </c>
      <c r="C834" s="13">
        <v>1979.89</v>
      </c>
      <c r="H834" t="s">
        <v>3136</v>
      </c>
      <c r="I834" t="s">
        <v>4</v>
      </c>
      <c r="J834">
        <v>1979.89</v>
      </c>
    </row>
    <row r="835" spans="2:10">
      <c r="B835" s="13" t="s">
        <v>3124</v>
      </c>
      <c r="C835" s="13">
        <v>79.959999999999994</v>
      </c>
      <c r="H835" t="s">
        <v>3136</v>
      </c>
      <c r="I835" t="s">
        <v>5</v>
      </c>
      <c r="J835">
        <v>79.959999999999994</v>
      </c>
    </row>
    <row r="836" spans="2:10">
      <c r="B836" s="13" t="s">
        <v>3118</v>
      </c>
      <c r="C836" s="13">
        <v>8.76</v>
      </c>
      <c r="H836" t="s">
        <v>3137</v>
      </c>
      <c r="I836" t="s">
        <v>5</v>
      </c>
      <c r="J836">
        <v>8.76</v>
      </c>
    </row>
    <row r="837" spans="2:10">
      <c r="B837" s="13" t="s">
        <v>3114</v>
      </c>
      <c r="C837" s="13">
        <v>166.44</v>
      </c>
      <c r="H837" t="s">
        <v>3138</v>
      </c>
      <c r="I837" t="s">
        <v>5</v>
      </c>
      <c r="J837">
        <v>166.44</v>
      </c>
    </row>
    <row r="838" spans="2:10">
      <c r="B838" s="13" t="s">
        <v>3122</v>
      </c>
      <c r="C838" s="13">
        <v>8.76</v>
      </c>
      <c r="H838" t="s">
        <v>3135</v>
      </c>
      <c r="I838" t="s">
        <v>5</v>
      </c>
      <c r="J838">
        <v>8.76</v>
      </c>
    </row>
    <row r="839" spans="2:10">
      <c r="B839" s="13" t="s">
        <v>3125</v>
      </c>
      <c r="C839" s="13">
        <v>43.584000000000003</v>
      </c>
      <c r="H839" t="s">
        <v>3135</v>
      </c>
      <c r="I839" t="s">
        <v>5</v>
      </c>
      <c r="J839">
        <v>43.584000000000003</v>
      </c>
    </row>
    <row r="840" spans="2:10">
      <c r="B840" s="13" t="s">
        <v>3118</v>
      </c>
      <c r="C840" s="13">
        <v>14.399999999999999</v>
      </c>
      <c r="H840" t="s">
        <v>3137</v>
      </c>
      <c r="I840" t="s">
        <v>5</v>
      </c>
      <c r="J840">
        <v>14.399999999999999</v>
      </c>
    </row>
    <row r="841" spans="2:10">
      <c r="B841" s="13" t="s">
        <v>3120</v>
      </c>
      <c r="C841" s="13">
        <v>619.94999999999993</v>
      </c>
      <c r="H841" t="s">
        <v>3137</v>
      </c>
      <c r="I841" t="s">
        <v>4</v>
      </c>
      <c r="J841">
        <v>619.94999999999993</v>
      </c>
    </row>
    <row r="842" spans="2:10">
      <c r="B842" s="13" t="s">
        <v>3118</v>
      </c>
      <c r="C842" s="13">
        <v>89.52</v>
      </c>
      <c r="H842" t="s">
        <v>3137</v>
      </c>
      <c r="I842" t="s">
        <v>5</v>
      </c>
      <c r="J842">
        <v>89.52</v>
      </c>
    </row>
    <row r="843" spans="2:10">
      <c r="B843" s="13" t="s">
        <v>3130</v>
      </c>
      <c r="C843" s="13">
        <v>350.97300000000007</v>
      </c>
      <c r="H843" t="s">
        <v>3137</v>
      </c>
      <c r="I843" t="s">
        <v>4</v>
      </c>
      <c r="J843">
        <v>350.97300000000007</v>
      </c>
    </row>
    <row r="844" spans="2:10">
      <c r="B844" s="13" t="s">
        <v>3116</v>
      </c>
      <c r="C844" s="13">
        <v>164.99</v>
      </c>
      <c r="H844" t="s">
        <v>3137</v>
      </c>
      <c r="I844" t="s">
        <v>4</v>
      </c>
      <c r="J844">
        <v>164.99</v>
      </c>
    </row>
    <row r="845" spans="2:10">
      <c r="B845" s="13" t="s">
        <v>3118</v>
      </c>
      <c r="C845" s="13">
        <v>312.55200000000002</v>
      </c>
      <c r="H845" t="s">
        <v>3138</v>
      </c>
      <c r="I845" t="s">
        <v>5</v>
      </c>
      <c r="J845">
        <v>312.55200000000002</v>
      </c>
    </row>
    <row r="846" spans="2:10">
      <c r="B846" s="13" t="s">
        <v>3118</v>
      </c>
      <c r="C846" s="13">
        <v>5.3460000000000019</v>
      </c>
      <c r="H846" t="s">
        <v>3136</v>
      </c>
      <c r="I846" t="s">
        <v>5</v>
      </c>
      <c r="J846">
        <v>5.3460000000000019</v>
      </c>
    </row>
    <row r="847" spans="2:10">
      <c r="B847" s="13" t="s">
        <v>3120</v>
      </c>
      <c r="C847" s="13">
        <v>132.60000000000002</v>
      </c>
      <c r="H847" t="s">
        <v>3136</v>
      </c>
      <c r="I847" t="s">
        <v>4</v>
      </c>
      <c r="J847">
        <v>132.60000000000002</v>
      </c>
    </row>
    <row r="848" spans="2:10">
      <c r="B848" s="13" t="s">
        <v>3129</v>
      </c>
      <c r="C848" s="13">
        <v>16.68</v>
      </c>
      <c r="H848" t="s">
        <v>3138</v>
      </c>
      <c r="I848" t="s">
        <v>5</v>
      </c>
      <c r="J848">
        <v>16.68</v>
      </c>
    </row>
    <row r="849" spans="2:10">
      <c r="B849" s="13" t="s">
        <v>3114</v>
      </c>
      <c r="C849" s="13">
        <v>19.440000000000001</v>
      </c>
      <c r="H849" t="s">
        <v>3138</v>
      </c>
      <c r="I849" t="s">
        <v>5</v>
      </c>
      <c r="J849">
        <v>19.440000000000001</v>
      </c>
    </row>
    <row r="850" spans="2:10">
      <c r="B850" s="13" t="s">
        <v>3114</v>
      </c>
      <c r="C850" s="13">
        <v>192.16</v>
      </c>
      <c r="H850" t="s">
        <v>3138</v>
      </c>
      <c r="I850" t="s">
        <v>5</v>
      </c>
      <c r="J850">
        <v>192.16</v>
      </c>
    </row>
    <row r="851" spans="2:10">
      <c r="B851" s="13" t="s">
        <v>3119</v>
      </c>
      <c r="C851" s="13">
        <v>45.888000000000005</v>
      </c>
      <c r="H851" t="s">
        <v>3136</v>
      </c>
      <c r="I851" t="s">
        <v>3</v>
      </c>
      <c r="J851">
        <v>45.888000000000005</v>
      </c>
    </row>
    <row r="852" spans="2:10">
      <c r="B852" s="13" t="s">
        <v>3122</v>
      </c>
      <c r="C852" s="13">
        <v>60.12</v>
      </c>
      <c r="H852" t="s">
        <v>3136</v>
      </c>
      <c r="I852" t="s">
        <v>5</v>
      </c>
      <c r="J852">
        <v>60.12</v>
      </c>
    </row>
    <row r="853" spans="2:10">
      <c r="B853" s="13" t="s">
        <v>3120</v>
      </c>
      <c r="C853" s="13">
        <v>71.98</v>
      </c>
      <c r="H853" t="s">
        <v>3135</v>
      </c>
      <c r="I853" t="s">
        <v>4</v>
      </c>
      <c r="J853">
        <v>71.98</v>
      </c>
    </row>
    <row r="854" spans="2:10">
      <c r="B854" s="13" t="s">
        <v>3117</v>
      </c>
      <c r="C854" s="13">
        <v>124.36</v>
      </c>
      <c r="H854" t="s">
        <v>3138</v>
      </c>
      <c r="I854" t="s">
        <v>5</v>
      </c>
      <c r="J854">
        <v>124.36</v>
      </c>
    </row>
    <row r="855" spans="2:10">
      <c r="B855" s="13" t="s">
        <v>3116</v>
      </c>
      <c r="C855" s="13">
        <v>359.97</v>
      </c>
      <c r="H855" t="s">
        <v>3136</v>
      </c>
      <c r="I855" t="s">
        <v>4</v>
      </c>
      <c r="J855">
        <v>359.97</v>
      </c>
    </row>
    <row r="856" spans="2:10">
      <c r="B856" s="13" t="s">
        <v>3126</v>
      </c>
      <c r="C856" s="13">
        <v>350.35199999999998</v>
      </c>
      <c r="H856" t="s">
        <v>3136</v>
      </c>
      <c r="I856" t="s">
        <v>3</v>
      </c>
      <c r="J856">
        <v>350.35199999999998</v>
      </c>
    </row>
    <row r="857" spans="2:10">
      <c r="B857" s="13" t="s">
        <v>3118</v>
      </c>
      <c r="C857" s="13">
        <v>1.6410000000000002</v>
      </c>
      <c r="H857" t="s">
        <v>3136</v>
      </c>
      <c r="I857" t="s">
        <v>5</v>
      </c>
      <c r="J857">
        <v>1.6410000000000002</v>
      </c>
    </row>
    <row r="858" spans="2:10">
      <c r="B858" s="13" t="s">
        <v>3116</v>
      </c>
      <c r="C858" s="13">
        <v>629.95799999999997</v>
      </c>
      <c r="H858" t="s">
        <v>3136</v>
      </c>
      <c r="I858" t="s">
        <v>4</v>
      </c>
      <c r="J858">
        <v>629.95799999999997</v>
      </c>
    </row>
    <row r="859" spans="2:10">
      <c r="B859" s="13" t="s">
        <v>3122</v>
      </c>
      <c r="C859" s="13">
        <v>6.63</v>
      </c>
      <c r="H859" t="s">
        <v>3138</v>
      </c>
      <c r="I859" t="s">
        <v>5</v>
      </c>
      <c r="J859">
        <v>6.63</v>
      </c>
    </row>
    <row r="860" spans="2:10">
      <c r="B860" s="13" t="s">
        <v>3120</v>
      </c>
      <c r="C860" s="13">
        <v>799.96</v>
      </c>
      <c r="H860" t="s">
        <v>3138</v>
      </c>
      <c r="I860" t="s">
        <v>4</v>
      </c>
      <c r="J860">
        <v>799.96</v>
      </c>
    </row>
    <row r="861" spans="2:10">
      <c r="B861" s="13" t="s">
        <v>3119</v>
      </c>
      <c r="C861" s="13">
        <v>107.53</v>
      </c>
      <c r="H861" t="s">
        <v>3138</v>
      </c>
      <c r="I861" t="s">
        <v>3</v>
      </c>
      <c r="J861">
        <v>107.53</v>
      </c>
    </row>
    <row r="862" spans="2:10">
      <c r="B862" s="13" t="s">
        <v>3129</v>
      </c>
      <c r="C862" s="13">
        <v>477.24</v>
      </c>
      <c r="H862" t="s">
        <v>3135</v>
      </c>
      <c r="I862" t="s">
        <v>5</v>
      </c>
      <c r="J862">
        <v>477.24</v>
      </c>
    </row>
    <row r="863" spans="2:10">
      <c r="B863" s="13" t="s">
        <v>3120</v>
      </c>
      <c r="C863" s="13">
        <v>25.98</v>
      </c>
      <c r="H863" t="s">
        <v>3135</v>
      </c>
      <c r="I863" t="s">
        <v>4</v>
      </c>
      <c r="J863">
        <v>25.98</v>
      </c>
    </row>
    <row r="864" spans="2:10">
      <c r="B864" s="13" t="s">
        <v>3120</v>
      </c>
      <c r="C864" s="13">
        <v>79.992000000000004</v>
      </c>
      <c r="H864" t="s">
        <v>3135</v>
      </c>
      <c r="I864" t="s">
        <v>4</v>
      </c>
      <c r="J864">
        <v>79.992000000000004</v>
      </c>
    </row>
    <row r="865" spans="2:10">
      <c r="B865" s="13" t="s">
        <v>3120</v>
      </c>
      <c r="C865" s="13">
        <v>0.99</v>
      </c>
      <c r="H865" t="s">
        <v>3138</v>
      </c>
      <c r="I865" t="s">
        <v>4</v>
      </c>
      <c r="J865">
        <v>0.99</v>
      </c>
    </row>
    <row r="866" spans="2:10">
      <c r="B866" s="13" t="s">
        <v>3118</v>
      </c>
      <c r="C866" s="13">
        <v>101.84</v>
      </c>
      <c r="H866" t="s">
        <v>3138</v>
      </c>
      <c r="I866" t="s">
        <v>5</v>
      </c>
      <c r="J866">
        <v>101.84</v>
      </c>
    </row>
    <row r="867" spans="2:10">
      <c r="B867" s="13" t="s">
        <v>3118</v>
      </c>
      <c r="C867" s="13">
        <v>10.332000000000003</v>
      </c>
      <c r="H867" t="s">
        <v>3136</v>
      </c>
      <c r="I867" t="s">
        <v>5</v>
      </c>
      <c r="J867">
        <v>10.332000000000003</v>
      </c>
    </row>
    <row r="868" spans="2:10">
      <c r="B868" s="13" t="s">
        <v>3118</v>
      </c>
      <c r="C868" s="13">
        <v>31.155000000000005</v>
      </c>
      <c r="H868" t="s">
        <v>3136</v>
      </c>
      <c r="I868" t="s">
        <v>5</v>
      </c>
      <c r="J868">
        <v>31.155000000000005</v>
      </c>
    </row>
    <row r="869" spans="2:10">
      <c r="B869" s="13" t="s">
        <v>3117</v>
      </c>
      <c r="C869" s="13">
        <v>8.9280000000000008</v>
      </c>
      <c r="H869" t="s">
        <v>3136</v>
      </c>
      <c r="I869" t="s">
        <v>5</v>
      </c>
      <c r="J869">
        <v>8.9280000000000008</v>
      </c>
    </row>
    <row r="870" spans="2:10">
      <c r="B870" s="13" t="s">
        <v>3125</v>
      </c>
      <c r="C870" s="13">
        <v>34.384</v>
      </c>
      <c r="H870" t="s">
        <v>3136</v>
      </c>
      <c r="I870" t="s">
        <v>5</v>
      </c>
      <c r="J870">
        <v>34.384</v>
      </c>
    </row>
    <row r="871" spans="2:10">
      <c r="B871" s="13" t="s">
        <v>3125</v>
      </c>
      <c r="C871" s="13">
        <v>1924.1599999999999</v>
      </c>
      <c r="H871" t="s">
        <v>3136</v>
      </c>
      <c r="I871" t="s">
        <v>5</v>
      </c>
      <c r="J871">
        <v>1924.1599999999999</v>
      </c>
    </row>
    <row r="872" spans="2:10">
      <c r="B872" s="13" t="s">
        <v>3119</v>
      </c>
      <c r="C872" s="13">
        <v>19.103999999999999</v>
      </c>
      <c r="H872" t="s">
        <v>3135</v>
      </c>
      <c r="I872" t="s">
        <v>3</v>
      </c>
      <c r="J872">
        <v>19.103999999999999</v>
      </c>
    </row>
    <row r="873" spans="2:10">
      <c r="B873" s="13" t="s">
        <v>3114</v>
      </c>
      <c r="C873" s="13">
        <v>10.368000000000002</v>
      </c>
      <c r="H873" t="s">
        <v>3136</v>
      </c>
      <c r="I873" t="s">
        <v>5</v>
      </c>
      <c r="J873">
        <v>10.368000000000002</v>
      </c>
    </row>
    <row r="874" spans="2:10">
      <c r="B874" s="13" t="s">
        <v>3119</v>
      </c>
      <c r="C874" s="13">
        <v>23.680000000000003</v>
      </c>
      <c r="H874" t="s">
        <v>3135</v>
      </c>
      <c r="I874" t="s">
        <v>3</v>
      </c>
      <c r="J874">
        <v>23.680000000000003</v>
      </c>
    </row>
    <row r="875" spans="2:10">
      <c r="B875" s="13" t="s">
        <v>3120</v>
      </c>
      <c r="C875" s="13">
        <v>2.3760000000000003</v>
      </c>
      <c r="H875" t="s">
        <v>3135</v>
      </c>
      <c r="I875" t="s">
        <v>4</v>
      </c>
      <c r="J875">
        <v>2.3760000000000003</v>
      </c>
    </row>
    <row r="876" spans="2:10">
      <c r="B876" s="13" t="s">
        <v>3121</v>
      </c>
      <c r="C876" s="13">
        <v>59.2</v>
      </c>
      <c r="H876" t="s">
        <v>3136</v>
      </c>
      <c r="I876" t="s">
        <v>5</v>
      </c>
      <c r="J876">
        <v>59.2</v>
      </c>
    </row>
    <row r="877" spans="2:10">
      <c r="B877" s="13" t="s">
        <v>3122</v>
      </c>
      <c r="C877" s="13">
        <v>22</v>
      </c>
      <c r="H877" t="s">
        <v>3137</v>
      </c>
      <c r="I877" t="s">
        <v>5</v>
      </c>
      <c r="J877">
        <v>22</v>
      </c>
    </row>
    <row r="878" spans="2:10">
      <c r="B878" s="13" t="s">
        <v>3122</v>
      </c>
      <c r="C878" s="13">
        <v>13.36</v>
      </c>
      <c r="H878" t="s">
        <v>3135</v>
      </c>
      <c r="I878" t="s">
        <v>5</v>
      </c>
      <c r="J878">
        <v>13.36</v>
      </c>
    </row>
    <row r="879" spans="2:10">
      <c r="B879" s="13" t="s">
        <v>3114</v>
      </c>
      <c r="C879" s="13">
        <v>39.96</v>
      </c>
      <c r="H879" t="s">
        <v>3135</v>
      </c>
      <c r="I879" t="s">
        <v>5</v>
      </c>
      <c r="J879">
        <v>39.96</v>
      </c>
    </row>
    <row r="880" spans="2:10">
      <c r="B880" s="13" t="s">
        <v>3118</v>
      </c>
      <c r="C880" s="13">
        <v>145.85000000000002</v>
      </c>
      <c r="H880" t="s">
        <v>3135</v>
      </c>
      <c r="I880" t="s">
        <v>5</v>
      </c>
      <c r="J880">
        <v>145.85000000000002</v>
      </c>
    </row>
    <row r="881" spans="2:10">
      <c r="B881" s="13" t="s">
        <v>3119</v>
      </c>
      <c r="C881" s="13">
        <v>41.37</v>
      </c>
      <c r="H881" t="s">
        <v>3138</v>
      </c>
      <c r="I881" t="s">
        <v>3</v>
      </c>
      <c r="J881">
        <v>41.37</v>
      </c>
    </row>
    <row r="882" spans="2:10">
      <c r="B882" s="13" t="s">
        <v>3122</v>
      </c>
      <c r="C882" s="13">
        <v>8.9280000000000008</v>
      </c>
      <c r="H882" t="s">
        <v>3137</v>
      </c>
      <c r="I882" t="s">
        <v>5</v>
      </c>
      <c r="J882">
        <v>8.9280000000000008</v>
      </c>
    </row>
    <row r="883" spans="2:10">
      <c r="B883" s="13" t="s">
        <v>3117</v>
      </c>
      <c r="C883" s="13">
        <v>47.584000000000003</v>
      </c>
      <c r="H883" t="s">
        <v>3137</v>
      </c>
      <c r="I883" t="s">
        <v>5</v>
      </c>
      <c r="J883">
        <v>47.584000000000003</v>
      </c>
    </row>
    <row r="884" spans="2:10">
      <c r="B884" s="13" t="s">
        <v>3122</v>
      </c>
      <c r="C884" s="13">
        <v>15.469999999999999</v>
      </c>
      <c r="H884" t="s">
        <v>3135</v>
      </c>
      <c r="I884" t="s">
        <v>5</v>
      </c>
      <c r="J884">
        <v>15.469999999999999</v>
      </c>
    </row>
    <row r="885" spans="2:10">
      <c r="B885" s="13" t="s">
        <v>3118</v>
      </c>
      <c r="C885" s="13">
        <v>7.16</v>
      </c>
      <c r="H885" t="s">
        <v>3135</v>
      </c>
      <c r="I885" t="s">
        <v>5</v>
      </c>
      <c r="J885">
        <v>7.16</v>
      </c>
    </row>
    <row r="886" spans="2:10">
      <c r="B886" s="13" t="s">
        <v>3125</v>
      </c>
      <c r="C886" s="13">
        <v>10.89</v>
      </c>
      <c r="H886" t="s">
        <v>3138</v>
      </c>
      <c r="I886" t="s">
        <v>5</v>
      </c>
      <c r="J886">
        <v>10.89</v>
      </c>
    </row>
    <row r="887" spans="2:10">
      <c r="B887" s="13" t="s">
        <v>3114</v>
      </c>
      <c r="C887" s="13">
        <v>19.440000000000001</v>
      </c>
      <c r="H887" t="s">
        <v>3138</v>
      </c>
      <c r="I887" t="s">
        <v>5</v>
      </c>
      <c r="J887">
        <v>19.440000000000001</v>
      </c>
    </row>
    <row r="888" spans="2:10">
      <c r="B888" s="13" t="s">
        <v>3118</v>
      </c>
      <c r="C888" s="13">
        <v>121.6</v>
      </c>
      <c r="H888" t="s">
        <v>3138</v>
      </c>
      <c r="I888" t="s">
        <v>5</v>
      </c>
      <c r="J888">
        <v>121.6</v>
      </c>
    </row>
    <row r="889" spans="2:10">
      <c r="B889" s="13" t="s">
        <v>3114</v>
      </c>
      <c r="C889" s="13">
        <v>229.54400000000001</v>
      </c>
      <c r="H889" t="s">
        <v>3135</v>
      </c>
      <c r="I889" t="s">
        <v>5</v>
      </c>
      <c r="J889">
        <v>229.54400000000001</v>
      </c>
    </row>
    <row r="890" spans="2:10">
      <c r="B890" s="13" t="s">
        <v>3117</v>
      </c>
      <c r="C890" s="13">
        <v>143.72800000000001</v>
      </c>
      <c r="H890" t="s">
        <v>3137</v>
      </c>
      <c r="I890" t="s">
        <v>5</v>
      </c>
      <c r="J890">
        <v>143.72800000000001</v>
      </c>
    </row>
    <row r="891" spans="2:10">
      <c r="B891" s="13" t="s">
        <v>3120</v>
      </c>
      <c r="C891" s="13">
        <v>36.048000000000002</v>
      </c>
      <c r="H891" t="s">
        <v>3136</v>
      </c>
      <c r="I891" t="s">
        <v>4</v>
      </c>
      <c r="J891">
        <v>36.048000000000002</v>
      </c>
    </row>
    <row r="892" spans="2:10">
      <c r="B892" s="13" t="s">
        <v>3122</v>
      </c>
      <c r="C892" s="13">
        <v>50.94</v>
      </c>
      <c r="H892" t="s">
        <v>3136</v>
      </c>
      <c r="I892" t="s">
        <v>5</v>
      </c>
      <c r="J892">
        <v>50.94</v>
      </c>
    </row>
    <row r="893" spans="2:10">
      <c r="B893" s="13" t="s">
        <v>3118</v>
      </c>
      <c r="C893" s="13">
        <v>762.59399999999982</v>
      </c>
      <c r="H893" t="s">
        <v>3137</v>
      </c>
      <c r="I893" t="s">
        <v>5</v>
      </c>
      <c r="J893">
        <v>762.59399999999982</v>
      </c>
    </row>
    <row r="894" spans="2:10">
      <c r="B894" s="13" t="s">
        <v>3119</v>
      </c>
      <c r="C894" s="13">
        <v>56.28</v>
      </c>
      <c r="H894" t="s">
        <v>3135</v>
      </c>
      <c r="I894" t="s">
        <v>3</v>
      </c>
      <c r="J894">
        <v>56.28</v>
      </c>
    </row>
    <row r="895" spans="2:10">
      <c r="B895" s="13" t="s">
        <v>3118</v>
      </c>
      <c r="C895" s="13">
        <v>2690.9700000000003</v>
      </c>
      <c r="H895" t="s">
        <v>3135</v>
      </c>
      <c r="I895" t="s">
        <v>5</v>
      </c>
      <c r="J895">
        <v>2690.9700000000003</v>
      </c>
    </row>
    <row r="896" spans="2:10">
      <c r="B896" s="13" t="s">
        <v>3114</v>
      </c>
      <c r="C896" s="13">
        <v>28.16</v>
      </c>
      <c r="H896" t="s">
        <v>3137</v>
      </c>
      <c r="I896" t="s">
        <v>5</v>
      </c>
      <c r="J896">
        <v>28.16</v>
      </c>
    </row>
    <row r="897" spans="2:10">
      <c r="B897" s="13" t="s">
        <v>3117</v>
      </c>
      <c r="C897" s="13">
        <v>40.29</v>
      </c>
      <c r="H897" t="s">
        <v>3136</v>
      </c>
      <c r="I897" t="s">
        <v>5</v>
      </c>
      <c r="J897">
        <v>40.29</v>
      </c>
    </row>
    <row r="898" spans="2:10">
      <c r="B898" s="13" t="s">
        <v>3121</v>
      </c>
      <c r="C898" s="13">
        <v>20.23</v>
      </c>
      <c r="H898" t="s">
        <v>3137</v>
      </c>
      <c r="I898" t="s">
        <v>5</v>
      </c>
      <c r="J898">
        <v>20.23</v>
      </c>
    </row>
    <row r="899" spans="2:10">
      <c r="B899" s="13" t="s">
        <v>3120</v>
      </c>
      <c r="C899" s="13">
        <v>67.8</v>
      </c>
      <c r="H899" t="s">
        <v>3135</v>
      </c>
      <c r="I899" t="s">
        <v>4</v>
      </c>
      <c r="J899">
        <v>67.8</v>
      </c>
    </row>
    <row r="900" spans="2:10">
      <c r="B900" s="13" t="s">
        <v>3116</v>
      </c>
      <c r="C900" s="13">
        <v>377.96999999999997</v>
      </c>
      <c r="H900" t="s">
        <v>3135</v>
      </c>
      <c r="I900" t="s">
        <v>4</v>
      </c>
      <c r="J900">
        <v>377.96999999999997</v>
      </c>
    </row>
    <row r="901" spans="2:10">
      <c r="B901" s="13" t="s">
        <v>3128</v>
      </c>
      <c r="C901" s="13">
        <v>1628.82</v>
      </c>
      <c r="H901" t="s">
        <v>3135</v>
      </c>
      <c r="I901" t="s">
        <v>3</v>
      </c>
      <c r="J901">
        <v>1628.82</v>
      </c>
    </row>
    <row r="902" spans="2:10">
      <c r="B902" s="13" t="s">
        <v>3114</v>
      </c>
      <c r="C902" s="13">
        <v>286.93</v>
      </c>
      <c r="H902" t="s">
        <v>3135</v>
      </c>
      <c r="I902" t="s">
        <v>5</v>
      </c>
      <c r="J902">
        <v>286.93</v>
      </c>
    </row>
    <row r="903" spans="2:10">
      <c r="B903" s="13" t="s">
        <v>3114</v>
      </c>
      <c r="C903" s="13">
        <v>20.736000000000004</v>
      </c>
      <c r="H903" t="s">
        <v>3135</v>
      </c>
      <c r="I903" t="s">
        <v>5</v>
      </c>
      <c r="J903">
        <v>20.736000000000004</v>
      </c>
    </row>
    <row r="904" spans="2:10">
      <c r="B904" s="13" t="s">
        <v>3117</v>
      </c>
      <c r="C904" s="13">
        <v>31.44</v>
      </c>
      <c r="H904" t="s">
        <v>3138</v>
      </c>
      <c r="I904" t="s">
        <v>5</v>
      </c>
      <c r="J904">
        <v>31.44</v>
      </c>
    </row>
    <row r="905" spans="2:10">
      <c r="B905" s="13" t="s">
        <v>3125</v>
      </c>
      <c r="C905" s="13">
        <v>83.79</v>
      </c>
      <c r="H905" t="s">
        <v>3138</v>
      </c>
      <c r="I905" t="s">
        <v>5</v>
      </c>
      <c r="J905">
        <v>83.79</v>
      </c>
    </row>
    <row r="906" spans="2:10">
      <c r="B906" s="13" t="s">
        <v>3122</v>
      </c>
      <c r="C906" s="13">
        <v>59.519999999999996</v>
      </c>
      <c r="H906" t="s">
        <v>3138</v>
      </c>
      <c r="I906" t="s">
        <v>5</v>
      </c>
      <c r="J906">
        <v>59.519999999999996</v>
      </c>
    </row>
    <row r="907" spans="2:10">
      <c r="B907" s="13" t="s">
        <v>3129</v>
      </c>
      <c r="C907" s="13">
        <v>31.92</v>
      </c>
      <c r="H907" t="s">
        <v>3138</v>
      </c>
      <c r="I907" t="s">
        <v>5</v>
      </c>
      <c r="J907">
        <v>31.92</v>
      </c>
    </row>
    <row r="908" spans="2:10">
      <c r="B908" s="13" t="s">
        <v>3119</v>
      </c>
      <c r="C908" s="13">
        <v>17.088000000000001</v>
      </c>
      <c r="H908" t="s">
        <v>3135</v>
      </c>
      <c r="I908" t="s">
        <v>3</v>
      </c>
      <c r="J908">
        <v>17.088000000000001</v>
      </c>
    </row>
    <row r="909" spans="2:10">
      <c r="B909" s="13" t="s">
        <v>3122</v>
      </c>
      <c r="C909" s="13">
        <v>4.26</v>
      </c>
      <c r="H909" t="s">
        <v>3138</v>
      </c>
      <c r="I909" t="s">
        <v>5</v>
      </c>
      <c r="J909">
        <v>4.26</v>
      </c>
    </row>
    <row r="910" spans="2:10">
      <c r="B910" s="13" t="s">
        <v>3117</v>
      </c>
      <c r="C910" s="13">
        <v>811.28</v>
      </c>
      <c r="H910" t="s">
        <v>3138</v>
      </c>
      <c r="I910" t="s">
        <v>5</v>
      </c>
      <c r="J910">
        <v>811.28</v>
      </c>
    </row>
    <row r="911" spans="2:10">
      <c r="B911" s="13" t="s">
        <v>3123</v>
      </c>
      <c r="C911" s="13">
        <v>6.0299999999999994</v>
      </c>
      <c r="H911" t="s">
        <v>3136</v>
      </c>
      <c r="I911" t="s">
        <v>5</v>
      </c>
      <c r="J911">
        <v>6.0299999999999994</v>
      </c>
    </row>
    <row r="912" spans="2:10">
      <c r="B912" s="13" t="s">
        <v>3122</v>
      </c>
      <c r="C912" s="13">
        <v>6.63</v>
      </c>
      <c r="H912" t="s">
        <v>3138</v>
      </c>
      <c r="I912" t="s">
        <v>5</v>
      </c>
      <c r="J912">
        <v>6.63</v>
      </c>
    </row>
    <row r="913" spans="2:10">
      <c r="B913" s="13" t="s">
        <v>3114</v>
      </c>
      <c r="C913" s="13">
        <v>12.96</v>
      </c>
      <c r="H913" t="s">
        <v>3138</v>
      </c>
      <c r="I913" t="s">
        <v>5</v>
      </c>
      <c r="J913">
        <v>12.96</v>
      </c>
    </row>
    <row r="914" spans="2:10">
      <c r="B914" s="13" t="s">
        <v>3114</v>
      </c>
      <c r="C914" s="13">
        <v>32.400000000000006</v>
      </c>
      <c r="H914" t="s">
        <v>3138</v>
      </c>
      <c r="I914" t="s">
        <v>5</v>
      </c>
      <c r="J914">
        <v>32.400000000000006</v>
      </c>
    </row>
    <row r="915" spans="2:10">
      <c r="B915" s="13" t="s">
        <v>3114</v>
      </c>
      <c r="C915" s="13">
        <v>23.849999999999998</v>
      </c>
      <c r="H915" t="s">
        <v>3138</v>
      </c>
      <c r="I915" t="s">
        <v>5</v>
      </c>
      <c r="J915">
        <v>23.849999999999998</v>
      </c>
    </row>
    <row r="916" spans="2:10">
      <c r="B916" s="13" t="s">
        <v>3114</v>
      </c>
      <c r="C916" s="13">
        <v>11.56</v>
      </c>
      <c r="H916" t="s">
        <v>3136</v>
      </c>
      <c r="I916" t="s">
        <v>5</v>
      </c>
      <c r="J916">
        <v>11.56</v>
      </c>
    </row>
    <row r="917" spans="2:10">
      <c r="B917" s="13" t="s">
        <v>3114</v>
      </c>
      <c r="C917" s="13">
        <v>26.400000000000002</v>
      </c>
      <c r="H917" t="s">
        <v>3136</v>
      </c>
      <c r="I917" t="s">
        <v>5</v>
      </c>
      <c r="J917">
        <v>26.400000000000002</v>
      </c>
    </row>
    <row r="918" spans="2:10">
      <c r="B918" s="13" t="s">
        <v>3119</v>
      </c>
      <c r="C918" s="13">
        <v>69.08</v>
      </c>
      <c r="H918" t="s">
        <v>3136</v>
      </c>
      <c r="I918" t="s">
        <v>3</v>
      </c>
      <c r="J918">
        <v>69.08</v>
      </c>
    </row>
    <row r="919" spans="2:10">
      <c r="B919" s="13" t="s">
        <v>3116</v>
      </c>
      <c r="C919" s="13">
        <v>35.880000000000003</v>
      </c>
      <c r="H919" t="s">
        <v>3136</v>
      </c>
      <c r="I919" t="s">
        <v>4</v>
      </c>
      <c r="J919">
        <v>35.880000000000003</v>
      </c>
    </row>
    <row r="920" spans="2:10">
      <c r="B920" s="13" t="s">
        <v>3114</v>
      </c>
      <c r="C920" s="13">
        <v>184.66</v>
      </c>
      <c r="H920" t="s">
        <v>3135</v>
      </c>
      <c r="I920" t="s">
        <v>5</v>
      </c>
      <c r="J920">
        <v>184.66</v>
      </c>
    </row>
    <row r="921" spans="2:10">
      <c r="B921" s="13" t="s">
        <v>3114</v>
      </c>
      <c r="C921" s="13">
        <v>8.56</v>
      </c>
      <c r="H921" t="s">
        <v>3137</v>
      </c>
      <c r="I921" t="s">
        <v>5</v>
      </c>
      <c r="J921">
        <v>8.56</v>
      </c>
    </row>
    <row r="922" spans="2:10">
      <c r="B922" s="13" t="s">
        <v>3117</v>
      </c>
      <c r="C922" s="13">
        <v>52.400000000000006</v>
      </c>
      <c r="H922" t="s">
        <v>3137</v>
      </c>
      <c r="I922" t="s">
        <v>5</v>
      </c>
      <c r="J922">
        <v>52.400000000000006</v>
      </c>
    </row>
    <row r="923" spans="2:10">
      <c r="B923" s="13" t="s">
        <v>3121</v>
      </c>
      <c r="C923" s="13">
        <v>14.940000000000001</v>
      </c>
      <c r="H923" t="s">
        <v>3137</v>
      </c>
      <c r="I923" t="s">
        <v>5</v>
      </c>
      <c r="J923">
        <v>14.940000000000001</v>
      </c>
    </row>
    <row r="924" spans="2:10">
      <c r="B924" s="13" t="s">
        <v>3123</v>
      </c>
      <c r="C924" s="13">
        <v>11.22</v>
      </c>
      <c r="H924" t="s">
        <v>3138</v>
      </c>
      <c r="I924" t="s">
        <v>5</v>
      </c>
      <c r="J924">
        <v>11.22</v>
      </c>
    </row>
    <row r="925" spans="2:10">
      <c r="B925" s="13" t="s">
        <v>3122</v>
      </c>
      <c r="C925" s="13">
        <v>5.9520000000000008</v>
      </c>
      <c r="H925" t="s">
        <v>3137</v>
      </c>
      <c r="I925" t="s">
        <v>5</v>
      </c>
      <c r="J925">
        <v>5.9520000000000008</v>
      </c>
    </row>
    <row r="926" spans="2:10">
      <c r="B926" s="13" t="s">
        <v>3117</v>
      </c>
      <c r="C926" s="13">
        <v>129.30000000000001</v>
      </c>
      <c r="H926" t="s">
        <v>3138</v>
      </c>
      <c r="I926" t="s">
        <v>5</v>
      </c>
      <c r="J926">
        <v>129.30000000000001</v>
      </c>
    </row>
    <row r="927" spans="2:10">
      <c r="B927" s="13" t="s">
        <v>3119</v>
      </c>
      <c r="C927" s="13">
        <v>18.84</v>
      </c>
      <c r="H927" t="s">
        <v>3135</v>
      </c>
      <c r="I927" t="s">
        <v>3</v>
      </c>
      <c r="J927">
        <v>18.84</v>
      </c>
    </row>
    <row r="928" spans="2:10">
      <c r="B928" s="13" t="s">
        <v>3122</v>
      </c>
      <c r="C928" s="13">
        <v>8.64</v>
      </c>
      <c r="H928" t="s">
        <v>3137</v>
      </c>
      <c r="I928" t="s">
        <v>5</v>
      </c>
      <c r="J928">
        <v>8.64</v>
      </c>
    </row>
    <row r="929" spans="2:10">
      <c r="B929" s="13" t="s">
        <v>3118</v>
      </c>
      <c r="C929" s="13">
        <v>1633.1880000000003</v>
      </c>
      <c r="H929" t="s">
        <v>3135</v>
      </c>
      <c r="I929" t="s">
        <v>5</v>
      </c>
      <c r="J929">
        <v>1633.1880000000003</v>
      </c>
    </row>
    <row r="930" spans="2:10">
      <c r="B930" s="13" t="s">
        <v>3119</v>
      </c>
      <c r="C930" s="13">
        <v>19.760000000000002</v>
      </c>
      <c r="H930" t="s">
        <v>3137</v>
      </c>
      <c r="I930" t="s">
        <v>3</v>
      </c>
      <c r="J930">
        <v>19.760000000000002</v>
      </c>
    </row>
    <row r="931" spans="2:10">
      <c r="B931" s="13" t="s">
        <v>3115</v>
      </c>
      <c r="C931" s="13">
        <v>90.99</v>
      </c>
      <c r="H931" t="s">
        <v>3137</v>
      </c>
      <c r="I931" t="s">
        <v>3</v>
      </c>
      <c r="J931">
        <v>90.99</v>
      </c>
    </row>
    <row r="932" spans="2:10">
      <c r="B932" s="13" t="s">
        <v>3115</v>
      </c>
      <c r="C932" s="13">
        <v>1526.5600000000002</v>
      </c>
      <c r="H932" t="s">
        <v>3137</v>
      </c>
      <c r="I932" t="s">
        <v>3</v>
      </c>
      <c r="J932">
        <v>1526.5600000000002</v>
      </c>
    </row>
    <row r="933" spans="2:10">
      <c r="B933" s="13" t="s">
        <v>3115</v>
      </c>
      <c r="C933" s="13">
        <v>368.96999999999997</v>
      </c>
      <c r="H933" t="s">
        <v>3137</v>
      </c>
      <c r="I933" t="s">
        <v>3</v>
      </c>
      <c r="J933">
        <v>368.96999999999997</v>
      </c>
    </row>
    <row r="934" spans="2:10">
      <c r="B934" s="13" t="s">
        <v>3117</v>
      </c>
      <c r="C934" s="13">
        <v>305.01</v>
      </c>
      <c r="H934" t="s">
        <v>3138</v>
      </c>
      <c r="I934" t="s">
        <v>5</v>
      </c>
      <c r="J934">
        <v>305.01</v>
      </c>
    </row>
    <row r="935" spans="2:10">
      <c r="B935" s="13" t="s">
        <v>3119</v>
      </c>
      <c r="C935" s="13">
        <v>18.7</v>
      </c>
      <c r="H935" t="s">
        <v>3138</v>
      </c>
      <c r="I935" t="s">
        <v>3</v>
      </c>
      <c r="J935">
        <v>18.7</v>
      </c>
    </row>
    <row r="936" spans="2:10">
      <c r="B936" s="13" t="s">
        <v>3119</v>
      </c>
      <c r="C936" s="13">
        <v>26.25</v>
      </c>
      <c r="H936" t="s">
        <v>3138</v>
      </c>
      <c r="I936" t="s">
        <v>3</v>
      </c>
      <c r="J936">
        <v>26.25</v>
      </c>
    </row>
    <row r="937" spans="2:10">
      <c r="B937" s="13" t="s">
        <v>3118</v>
      </c>
      <c r="C937" s="13">
        <v>64.959999999999994</v>
      </c>
      <c r="H937" t="s">
        <v>3138</v>
      </c>
      <c r="I937" t="s">
        <v>5</v>
      </c>
      <c r="J937">
        <v>64.959999999999994</v>
      </c>
    </row>
    <row r="938" spans="2:10">
      <c r="B938" s="13" t="s">
        <v>3124</v>
      </c>
      <c r="C938" s="13">
        <v>43.7</v>
      </c>
      <c r="H938" t="s">
        <v>3138</v>
      </c>
      <c r="I938" t="s">
        <v>5</v>
      </c>
      <c r="J938">
        <v>43.7</v>
      </c>
    </row>
    <row r="939" spans="2:10">
      <c r="B939" s="13" t="s">
        <v>3120</v>
      </c>
      <c r="C939" s="13">
        <v>41.6</v>
      </c>
      <c r="H939" t="s">
        <v>3138</v>
      </c>
      <c r="I939" t="s">
        <v>4</v>
      </c>
      <c r="J939">
        <v>41.6</v>
      </c>
    </row>
    <row r="940" spans="2:10">
      <c r="B940" s="13" t="s">
        <v>3114</v>
      </c>
      <c r="C940" s="13">
        <v>23.120000000000005</v>
      </c>
      <c r="H940" t="s">
        <v>3138</v>
      </c>
      <c r="I940" t="s">
        <v>5</v>
      </c>
      <c r="J940">
        <v>23.120000000000005</v>
      </c>
    </row>
    <row r="941" spans="2:10">
      <c r="B941" s="13" t="s">
        <v>3115</v>
      </c>
      <c r="C941" s="13">
        <v>113.88800000000002</v>
      </c>
      <c r="H941" t="s">
        <v>3138</v>
      </c>
      <c r="I941" t="s">
        <v>3</v>
      </c>
      <c r="J941">
        <v>113.88800000000002</v>
      </c>
    </row>
    <row r="942" spans="2:10">
      <c r="B942" s="13" t="s">
        <v>3119</v>
      </c>
      <c r="C942" s="13">
        <v>113.56800000000001</v>
      </c>
      <c r="H942" t="s">
        <v>3138</v>
      </c>
      <c r="I942" t="s">
        <v>3</v>
      </c>
      <c r="J942">
        <v>113.56800000000001</v>
      </c>
    </row>
    <row r="943" spans="2:10">
      <c r="B943" s="13" t="s">
        <v>3116</v>
      </c>
      <c r="C943" s="13">
        <v>7.9200000000000008</v>
      </c>
      <c r="H943" t="s">
        <v>3138</v>
      </c>
      <c r="I943" t="s">
        <v>4</v>
      </c>
      <c r="J943">
        <v>7.9200000000000008</v>
      </c>
    </row>
    <row r="944" spans="2:10">
      <c r="B944" s="13" t="s">
        <v>3116</v>
      </c>
      <c r="C944" s="13">
        <v>671.98400000000004</v>
      </c>
      <c r="H944" t="s">
        <v>3138</v>
      </c>
      <c r="I944" t="s">
        <v>4</v>
      </c>
      <c r="J944">
        <v>671.98400000000004</v>
      </c>
    </row>
    <row r="945" spans="2:10">
      <c r="B945" s="13" t="s">
        <v>3115</v>
      </c>
      <c r="C945" s="13">
        <v>191.64600000000002</v>
      </c>
      <c r="H945" t="s">
        <v>3136</v>
      </c>
      <c r="I945" t="s">
        <v>3</v>
      </c>
      <c r="J945">
        <v>191.64600000000002</v>
      </c>
    </row>
    <row r="946" spans="2:10">
      <c r="B946" s="13" t="s">
        <v>3118</v>
      </c>
      <c r="C946" s="13">
        <v>2.3130000000000002</v>
      </c>
      <c r="H946" t="s">
        <v>3136</v>
      </c>
      <c r="I946" t="s">
        <v>5</v>
      </c>
      <c r="J946">
        <v>2.3130000000000002</v>
      </c>
    </row>
    <row r="947" spans="2:10">
      <c r="B947" s="13" t="s">
        <v>3114</v>
      </c>
      <c r="C947" s="13">
        <v>20.34</v>
      </c>
      <c r="H947" t="s">
        <v>3138</v>
      </c>
      <c r="I947" t="s">
        <v>5</v>
      </c>
      <c r="J947">
        <v>20.34</v>
      </c>
    </row>
    <row r="948" spans="2:10">
      <c r="B948" s="13" t="s">
        <v>3121</v>
      </c>
      <c r="C948" s="13">
        <v>39.28</v>
      </c>
      <c r="H948" t="s">
        <v>3138</v>
      </c>
      <c r="I948" t="s">
        <v>5</v>
      </c>
      <c r="J948">
        <v>39.28</v>
      </c>
    </row>
    <row r="949" spans="2:10">
      <c r="B949" s="13" t="s">
        <v>3115</v>
      </c>
      <c r="C949" s="13">
        <v>81.567999999999998</v>
      </c>
      <c r="H949" t="s">
        <v>3138</v>
      </c>
      <c r="I949" t="s">
        <v>3</v>
      </c>
      <c r="J949">
        <v>81.567999999999998</v>
      </c>
    </row>
    <row r="950" spans="2:10">
      <c r="B950" s="13" t="s">
        <v>3115</v>
      </c>
      <c r="C950" s="13">
        <v>97.184000000000012</v>
      </c>
      <c r="H950" t="s">
        <v>3138</v>
      </c>
      <c r="I950" t="s">
        <v>3</v>
      </c>
      <c r="J950">
        <v>97.184000000000012</v>
      </c>
    </row>
    <row r="951" spans="2:10">
      <c r="B951" s="13" t="s">
        <v>3118</v>
      </c>
      <c r="C951" s="13">
        <v>24.320000000000004</v>
      </c>
      <c r="H951" t="s">
        <v>3138</v>
      </c>
      <c r="I951" t="s">
        <v>5</v>
      </c>
      <c r="J951">
        <v>24.320000000000004</v>
      </c>
    </row>
    <row r="952" spans="2:10">
      <c r="B952" s="13" t="s">
        <v>3119</v>
      </c>
      <c r="C952" s="13">
        <v>18.96</v>
      </c>
      <c r="H952" t="s">
        <v>3138</v>
      </c>
      <c r="I952" t="s">
        <v>3</v>
      </c>
      <c r="J952">
        <v>18.96</v>
      </c>
    </row>
    <row r="953" spans="2:10">
      <c r="B953" s="13" t="s">
        <v>3125</v>
      </c>
      <c r="C953" s="13">
        <v>499.58400000000006</v>
      </c>
      <c r="H953" t="s">
        <v>3135</v>
      </c>
      <c r="I953" t="s">
        <v>5</v>
      </c>
      <c r="J953">
        <v>499.58400000000006</v>
      </c>
    </row>
    <row r="954" spans="2:10">
      <c r="B954" s="13" t="s">
        <v>3114</v>
      </c>
      <c r="C954" s="13">
        <v>31.104000000000006</v>
      </c>
      <c r="H954" t="s">
        <v>3135</v>
      </c>
      <c r="I954" t="s">
        <v>5</v>
      </c>
      <c r="J954">
        <v>31.104000000000006</v>
      </c>
    </row>
    <row r="955" spans="2:10">
      <c r="B955" s="13" t="s">
        <v>3118</v>
      </c>
      <c r="C955" s="13">
        <v>13.272000000000002</v>
      </c>
      <c r="H955" t="s">
        <v>3135</v>
      </c>
      <c r="I955" t="s">
        <v>5</v>
      </c>
      <c r="J955">
        <v>13.272000000000002</v>
      </c>
    </row>
    <row r="956" spans="2:10">
      <c r="B956" s="13" t="s">
        <v>3119</v>
      </c>
      <c r="C956" s="13">
        <v>28.272000000000006</v>
      </c>
      <c r="H956" t="s">
        <v>3135</v>
      </c>
      <c r="I956" t="s">
        <v>3</v>
      </c>
      <c r="J956">
        <v>28.272000000000006</v>
      </c>
    </row>
    <row r="957" spans="2:10">
      <c r="B957" s="13" t="s">
        <v>3117</v>
      </c>
      <c r="C957" s="13">
        <v>259.13600000000002</v>
      </c>
      <c r="H957" t="s">
        <v>3135</v>
      </c>
      <c r="I957" t="s">
        <v>5</v>
      </c>
      <c r="J957">
        <v>259.13600000000002</v>
      </c>
    </row>
    <row r="958" spans="2:10">
      <c r="B958" s="13" t="s">
        <v>3118</v>
      </c>
      <c r="C958" s="13">
        <v>10.8</v>
      </c>
      <c r="H958" t="s">
        <v>3137</v>
      </c>
      <c r="I958" t="s">
        <v>5</v>
      </c>
      <c r="J958">
        <v>10.8</v>
      </c>
    </row>
    <row r="959" spans="2:10">
      <c r="B959" s="13" t="s">
        <v>3115</v>
      </c>
      <c r="C959" s="13">
        <v>188.55199999999996</v>
      </c>
      <c r="H959" t="s">
        <v>3136</v>
      </c>
      <c r="I959" t="s">
        <v>3</v>
      </c>
      <c r="J959">
        <v>188.55199999999996</v>
      </c>
    </row>
    <row r="960" spans="2:10">
      <c r="B960" s="13" t="s">
        <v>3117</v>
      </c>
      <c r="C960" s="13">
        <v>22.58</v>
      </c>
      <c r="H960" t="s">
        <v>3136</v>
      </c>
      <c r="I960" t="s">
        <v>5</v>
      </c>
      <c r="J960">
        <v>22.58</v>
      </c>
    </row>
    <row r="961" spans="2:10">
      <c r="B961" s="13" t="s">
        <v>3118</v>
      </c>
      <c r="C961" s="13">
        <v>895.92</v>
      </c>
      <c r="H961" t="s">
        <v>3137</v>
      </c>
      <c r="I961" t="s">
        <v>5</v>
      </c>
      <c r="J961">
        <v>895.92</v>
      </c>
    </row>
    <row r="962" spans="2:10">
      <c r="B962" s="13" t="s">
        <v>3118</v>
      </c>
      <c r="C962" s="13">
        <v>33.375999999999998</v>
      </c>
      <c r="H962" t="s">
        <v>3136</v>
      </c>
      <c r="I962" t="s">
        <v>5</v>
      </c>
      <c r="J962">
        <v>33.375999999999998</v>
      </c>
    </row>
    <row r="963" spans="2:10">
      <c r="B963" s="13" t="s">
        <v>3125</v>
      </c>
      <c r="C963" s="13">
        <v>904.9</v>
      </c>
      <c r="H963" t="s">
        <v>3136</v>
      </c>
      <c r="I963" t="s">
        <v>5</v>
      </c>
      <c r="J963">
        <v>904.9</v>
      </c>
    </row>
    <row r="964" spans="2:10">
      <c r="B964" s="13" t="s">
        <v>3118</v>
      </c>
      <c r="C964" s="13">
        <v>12.030000000000001</v>
      </c>
      <c r="H964" t="s">
        <v>3138</v>
      </c>
      <c r="I964" t="s">
        <v>5</v>
      </c>
      <c r="J964">
        <v>12.030000000000001</v>
      </c>
    </row>
    <row r="965" spans="2:10">
      <c r="B965" s="13" t="s">
        <v>3130</v>
      </c>
      <c r="C965" s="13">
        <v>2549.9850000000006</v>
      </c>
      <c r="H965" t="s">
        <v>3138</v>
      </c>
      <c r="I965" t="s">
        <v>4</v>
      </c>
      <c r="J965">
        <v>2549.9850000000006</v>
      </c>
    </row>
    <row r="966" spans="2:10">
      <c r="B966" s="13" t="s">
        <v>3118</v>
      </c>
      <c r="C966" s="13">
        <v>21.594000000000005</v>
      </c>
      <c r="H966" t="s">
        <v>3138</v>
      </c>
      <c r="I966" t="s">
        <v>5</v>
      </c>
      <c r="J966">
        <v>21.594000000000005</v>
      </c>
    </row>
    <row r="967" spans="2:10">
      <c r="B967" s="13" t="s">
        <v>3118</v>
      </c>
      <c r="C967" s="13">
        <v>8.9640000000000022</v>
      </c>
      <c r="H967" t="s">
        <v>3138</v>
      </c>
      <c r="I967" t="s">
        <v>5</v>
      </c>
      <c r="J967">
        <v>8.9640000000000022</v>
      </c>
    </row>
    <row r="968" spans="2:10">
      <c r="B968" s="13" t="s">
        <v>3114</v>
      </c>
      <c r="C968" s="13">
        <v>20.736000000000004</v>
      </c>
      <c r="H968" t="s">
        <v>3138</v>
      </c>
      <c r="I968" t="s">
        <v>5</v>
      </c>
      <c r="J968">
        <v>20.736000000000004</v>
      </c>
    </row>
    <row r="969" spans="2:10">
      <c r="B969" s="13" t="s">
        <v>3128</v>
      </c>
      <c r="C969" s="13">
        <v>327.73279999999994</v>
      </c>
      <c r="H969" t="s">
        <v>3137</v>
      </c>
      <c r="I969" t="s">
        <v>3</v>
      </c>
      <c r="J969">
        <v>327.73279999999994</v>
      </c>
    </row>
    <row r="970" spans="2:10">
      <c r="B970" s="13" t="s">
        <v>3119</v>
      </c>
      <c r="C970" s="13">
        <v>254.35200000000003</v>
      </c>
      <c r="H970" t="s">
        <v>3136</v>
      </c>
      <c r="I970" t="s">
        <v>3</v>
      </c>
      <c r="J970">
        <v>254.35200000000003</v>
      </c>
    </row>
    <row r="971" spans="2:10">
      <c r="B971" s="13" t="s">
        <v>3115</v>
      </c>
      <c r="C971" s="13">
        <v>504.90000000000003</v>
      </c>
      <c r="H971" t="s">
        <v>3135</v>
      </c>
      <c r="I971" t="s">
        <v>3</v>
      </c>
      <c r="J971">
        <v>504.90000000000003</v>
      </c>
    </row>
    <row r="972" spans="2:10">
      <c r="B972" s="13" t="s">
        <v>3114</v>
      </c>
      <c r="C972" s="13">
        <v>20.736000000000004</v>
      </c>
      <c r="H972" t="s">
        <v>3136</v>
      </c>
      <c r="I972" t="s">
        <v>5</v>
      </c>
      <c r="J972">
        <v>20.736000000000004</v>
      </c>
    </row>
    <row r="973" spans="2:10">
      <c r="B973" s="13" t="s">
        <v>3126</v>
      </c>
      <c r="C973" s="13">
        <v>171.28800000000001</v>
      </c>
      <c r="H973" t="s">
        <v>3138</v>
      </c>
      <c r="I973" t="s">
        <v>3</v>
      </c>
      <c r="J973">
        <v>171.28800000000001</v>
      </c>
    </row>
    <row r="974" spans="2:10">
      <c r="B974" s="13" t="s">
        <v>3114</v>
      </c>
      <c r="C974" s="13">
        <v>12.96</v>
      </c>
      <c r="H974" t="s">
        <v>3138</v>
      </c>
      <c r="I974" t="s">
        <v>5</v>
      </c>
      <c r="J974">
        <v>12.96</v>
      </c>
    </row>
    <row r="975" spans="2:10">
      <c r="B975" s="13" t="s">
        <v>3124</v>
      </c>
      <c r="C975" s="13">
        <v>22.18</v>
      </c>
      <c r="H975" t="s">
        <v>3138</v>
      </c>
      <c r="I975" t="s">
        <v>5</v>
      </c>
      <c r="J975">
        <v>22.18</v>
      </c>
    </row>
    <row r="976" spans="2:10">
      <c r="B976" s="13" t="s">
        <v>3115</v>
      </c>
      <c r="C976" s="13">
        <v>2054.2720000000004</v>
      </c>
      <c r="H976" t="s">
        <v>3138</v>
      </c>
      <c r="I976" t="s">
        <v>3</v>
      </c>
      <c r="J976">
        <v>2054.2720000000004</v>
      </c>
    </row>
    <row r="977" spans="2:10">
      <c r="B977" s="13" t="s">
        <v>3122</v>
      </c>
      <c r="C977" s="13">
        <v>13.899999999999999</v>
      </c>
      <c r="H977" t="s">
        <v>3137</v>
      </c>
      <c r="I977" t="s">
        <v>5</v>
      </c>
      <c r="J977">
        <v>13.899999999999999</v>
      </c>
    </row>
    <row r="978" spans="2:10">
      <c r="B978" s="13" t="s">
        <v>3114</v>
      </c>
      <c r="C978" s="13">
        <v>26.38</v>
      </c>
      <c r="H978" t="s">
        <v>3137</v>
      </c>
      <c r="I978" t="s">
        <v>5</v>
      </c>
      <c r="J978">
        <v>26.38</v>
      </c>
    </row>
    <row r="979" spans="2:10">
      <c r="B979" s="13" t="s">
        <v>3126</v>
      </c>
      <c r="C979" s="13">
        <v>411.8</v>
      </c>
      <c r="H979" t="s">
        <v>3135</v>
      </c>
      <c r="I979" t="s">
        <v>3</v>
      </c>
      <c r="J979">
        <v>411.8</v>
      </c>
    </row>
    <row r="980" spans="2:10">
      <c r="B980" s="13" t="s">
        <v>3120</v>
      </c>
      <c r="C980" s="13">
        <v>360</v>
      </c>
      <c r="H980" t="s">
        <v>3135</v>
      </c>
      <c r="I980" t="s">
        <v>4</v>
      </c>
      <c r="J980">
        <v>360</v>
      </c>
    </row>
    <row r="981" spans="2:10">
      <c r="B981" s="13" t="s">
        <v>3119</v>
      </c>
      <c r="C981" s="13">
        <v>41.96</v>
      </c>
      <c r="H981" t="s">
        <v>3138</v>
      </c>
      <c r="I981" t="s">
        <v>3</v>
      </c>
      <c r="J981">
        <v>41.96</v>
      </c>
    </row>
    <row r="982" spans="2:10">
      <c r="B982" s="13" t="s">
        <v>3125</v>
      </c>
      <c r="C982" s="13">
        <v>227.84</v>
      </c>
      <c r="H982" t="s">
        <v>3138</v>
      </c>
      <c r="I982" t="s">
        <v>5</v>
      </c>
      <c r="J982">
        <v>227.84</v>
      </c>
    </row>
    <row r="983" spans="2:10">
      <c r="B983" s="13" t="s">
        <v>3114</v>
      </c>
      <c r="C983" s="13">
        <v>37.94</v>
      </c>
      <c r="H983" t="s">
        <v>3138</v>
      </c>
      <c r="I983" t="s">
        <v>5</v>
      </c>
      <c r="J983">
        <v>37.94</v>
      </c>
    </row>
    <row r="984" spans="2:10">
      <c r="B984" s="13" t="s">
        <v>3124</v>
      </c>
      <c r="C984" s="13">
        <v>8.9600000000000009</v>
      </c>
      <c r="H984" t="s">
        <v>3138</v>
      </c>
      <c r="I984" t="s">
        <v>5</v>
      </c>
      <c r="J984">
        <v>8.9600000000000009</v>
      </c>
    </row>
    <row r="985" spans="2:10">
      <c r="B985" s="13" t="s">
        <v>3121</v>
      </c>
      <c r="C985" s="13">
        <v>31.5</v>
      </c>
      <c r="H985" t="s">
        <v>3138</v>
      </c>
      <c r="I985" t="s">
        <v>5</v>
      </c>
      <c r="J985">
        <v>31.5</v>
      </c>
    </row>
    <row r="986" spans="2:10">
      <c r="B986" s="13" t="s">
        <v>3119</v>
      </c>
      <c r="C986" s="13">
        <v>30.56</v>
      </c>
      <c r="H986" t="s">
        <v>3138</v>
      </c>
      <c r="I986" t="s">
        <v>3</v>
      </c>
      <c r="J986">
        <v>30.56</v>
      </c>
    </row>
    <row r="987" spans="2:10">
      <c r="B987" s="13" t="s">
        <v>3126</v>
      </c>
      <c r="C987" s="13">
        <v>24.368000000000002</v>
      </c>
      <c r="H987" t="s">
        <v>3138</v>
      </c>
      <c r="I987" t="s">
        <v>3</v>
      </c>
      <c r="J987">
        <v>24.368000000000002</v>
      </c>
    </row>
    <row r="988" spans="2:10">
      <c r="B988" s="13" t="s">
        <v>3114</v>
      </c>
      <c r="C988" s="13">
        <v>26.880000000000003</v>
      </c>
      <c r="H988" t="s">
        <v>3137</v>
      </c>
      <c r="I988" t="s">
        <v>5</v>
      </c>
      <c r="J988">
        <v>26.880000000000003</v>
      </c>
    </row>
    <row r="989" spans="2:10">
      <c r="B989" s="13" t="s">
        <v>3117</v>
      </c>
      <c r="C989" s="13">
        <v>90.8</v>
      </c>
      <c r="H989" t="s">
        <v>3138</v>
      </c>
      <c r="I989" t="s">
        <v>5</v>
      </c>
      <c r="J989">
        <v>90.8</v>
      </c>
    </row>
    <row r="990" spans="2:10">
      <c r="B990" s="13" t="s">
        <v>3116</v>
      </c>
      <c r="C990" s="13">
        <v>140.73599999999999</v>
      </c>
      <c r="H990" t="s">
        <v>3138</v>
      </c>
      <c r="I990" t="s">
        <v>4</v>
      </c>
      <c r="J990">
        <v>140.73599999999999</v>
      </c>
    </row>
    <row r="991" spans="2:10">
      <c r="B991" s="13" t="s">
        <v>3120</v>
      </c>
      <c r="C991" s="13">
        <v>214.95000000000002</v>
      </c>
      <c r="H991" t="s">
        <v>3138</v>
      </c>
      <c r="I991" t="s">
        <v>4</v>
      </c>
      <c r="J991">
        <v>214.95000000000002</v>
      </c>
    </row>
    <row r="992" spans="2:10">
      <c r="B992" s="13" t="s">
        <v>3114</v>
      </c>
      <c r="C992" s="13">
        <v>45.36</v>
      </c>
      <c r="H992" t="s">
        <v>3138</v>
      </c>
      <c r="I992" t="s">
        <v>5</v>
      </c>
      <c r="J992">
        <v>45.36</v>
      </c>
    </row>
    <row r="993" spans="2:10">
      <c r="B993" s="13" t="s">
        <v>3114</v>
      </c>
      <c r="C993" s="13">
        <v>288.24</v>
      </c>
      <c r="H993" t="s">
        <v>3138</v>
      </c>
      <c r="I993" t="s">
        <v>5</v>
      </c>
      <c r="J993">
        <v>288.24</v>
      </c>
    </row>
    <row r="994" spans="2:10">
      <c r="B994" s="13" t="s">
        <v>3125</v>
      </c>
      <c r="C994" s="13">
        <v>663.93600000000004</v>
      </c>
      <c r="H994" t="s">
        <v>3136</v>
      </c>
      <c r="I994" t="s">
        <v>5</v>
      </c>
      <c r="J994">
        <v>663.93600000000004</v>
      </c>
    </row>
    <row r="995" spans="2:10">
      <c r="B995" s="13" t="s">
        <v>3114</v>
      </c>
      <c r="C995" s="13">
        <v>12.96</v>
      </c>
      <c r="H995" t="s">
        <v>3138</v>
      </c>
      <c r="I995" t="s">
        <v>5</v>
      </c>
      <c r="J995">
        <v>12.96</v>
      </c>
    </row>
    <row r="996" spans="2:10">
      <c r="B996" s="13" t="s">
        <v>3116</v>
      </c>
      <c r="C996" s="13">
        <v>43.176000000000002</v>
      </c>
      <c r="H996" t="s">
        <v>3138</v>
      </c>
      <c r="I996" t="s">
        <v>4</v>
      </c>
      <c r="J996">
        <v>43.176000000000002</v>
      </c>
    </row>
    <row r="997" spans="2:10">
      <c r="B997" s="13" t="s">
        <v>3118</v>
      </c>
      <c r="C997" s="13">
        <v>58.34</v>
      </c>
      <c r="H997" t="s">
        <v>3135</v>
      </c>
      <c r="I997" t="s">
        <v>5</v>
      </c>
      <c r="J997">
        <v>58.34</v>
      </c>
    </row>
    <row r="998" spans="2:10">
      <c r="B998" s="13" t="s">
        <v>3116</v>
      </c>
      <c r="C998" s="13">
        <v>539.97</v>
      </c>
      <c r="H998" t="s">
        <v>3135</v>
      </c>
      <c r="I998" t="s">
        <v>4</v>
      </c>
      <c r="J998">
        <v>539.97</v>
      </c>
    </row>
    <row r="999" spans="2:10">
      <c r="B999" s="13" t="s">
        <v>3118</v>
      </c>
      <c r="C999" s="13">
        <v>252.78399999999996</v>
      </c>
      <c r="H999" t="s">
        <v>3137</v>
      </c>
      <c r="I999" t="s">
        <v>5</v>
      </c>
      <c r="J999">
        <v>252.78399999999996</v>
      </c>
    </row>
    <row r="1000" spans="2:10">
      <c r="B1000" s="13" t="s">
        <v>3120</v>
      </c>
      <c r="C1000" s="13">
        <v>127.98399999999999</v>
      </c>
      <c r="H1000" t="s">
        <v>3137</v>
      </c>
      <c r="I1000" t="s">
        <v>4</v>
      </c>
      <c r="J1000">
        <v>127.98399999999999</v>
      </c>
    </row>
    <row r="1001" spans="2:10">
      <c r="B1001" s="13" t="s">
        <v>3119</v>
      </c>
      <c r="C1001" s="13">
        <v>3.9840000000000004</v>
      </c>
      <c r="H1001" t="s">
        <v>3137</v>
      </c>
      <c r="I1001" t="s">
        <v>3</v>
      </c>
      <c r="J1001">
        <v>3.9840000000000004</v>
      </c>
    </row>
    <row r="1002" spans="2:10">
      <c r="B1002" s="13" t="s">
        <v>3125</v>
      </c>
      <c r="C1002" s="13">
        <v>12.991999999999996</v>
      </c>
      <c r="H1002" t="s">
        <v>3137</v>
      </c>
      <c r="I1002" t="s">
        <v>5</v>
      </c>
      <c r="J1002">
        <v>12.991999999999996</v>
      </c>
    </row>
    <row r="1003" spans="2:10">
      <c r="B1003" s="13" t="s">
        <v>3119</v>
      </c>
      <c r="C1003" s="13">
        <v>61</v>
      </c>
      <c r="H1003" t="s">
        <v>3135</v>
      </c>
      <c r="I1003" t="s">
        <v>3</v>
      </c>
      <c r="J1003">
        <v>61</v>
      </c>
    </row>
    <row r="1004" spans="2:10">
      <c r="B1004" s="13" t="s">
        <v>3116</v>
      </c>
      <c r="C1004" s="13">
        <v>671.93</v>
      </c>
      <c r="H1004" t="s">
        <v>3135</v>
      </c>
      <c r="I1004" t="s">
        <v>4</v>
      </c>
      <c r="J1004">
        <v>671.93</v>
      </c>
    </row>
    <row r="1005" spans="2:10">
      <c r="B1005" s="13" t="s">
        <v>3121</v>
      </c>
      <c r="C1005" s="13">
        <v>33.119999999999997</v>
      </c>
      <c r="H1005" t="s">
        <v>3137</v>
      </c>
      <c r="I1005" t="s">
        <v>5</v>
      </c>
      <c r="J1005">
        <v>33.119999999999997</v>
      </c>
    </row>
    <row r="1006" spans="2:10">
      <c r="B1006" s="13" t="s">
        <v>3128</v>
      </c>
      <c r="C1006" s="13">
        <v>220.26559999999998</v>
      </c>
      <c r="H1006" t="s">
        <v>3137</v>
      </c>
      <c r="I1006" t="s">
        <v>3</v>
      </c>
      <c r="J1006">
        <v>220.26559999999998</v>
      </c>
    </row>
    <row r="1007" spans="2:10">
      <c r="B1007" s="13" t="s">
        <v>3118</v>
      </c>
      <c r="C1007" s="13">
        <v>10.776000000000002</v>
      </c>
      <c r="H1007" t="s">
        <v>3136</v>
      </c>
      <c r="I1007" t="s">
        <v>5</v>
      </c>
      <c r="J1007">
        <v>10.776000000000002</v>
      </c>
    </row>
    <row r="1008" spans="2:10">
      <c r="B1008" s="13" t="s">
        <v>3128</v>
      </c>
      <c r="C1008" s="13">
        <v>242.35200000000003</v>
      </c>
      <c r="H1008" t="s">
        <v>3136</v>
      </c>
      <c r="I1008" t="s">
        <v>3</v>
      </c>
      <c r="J1008">
        <v>242.35200000000003</v>
      </c>
    </row>
    <row r="1009" spans="2:10">
      <c r="B1009" s="13" t="s">
        <v>3129</v>
      </c>
      <c r="C1009" s="13">
        <v>695.16</v>
      </c>
      <c r="H1009" t="s">
        <v>3136</v>
      </c>
      <c r="I1009" t="s">
        <v>5</v>
      </c>
      <c r="J1009">
        <v>695.16</v>
      </c>
    </row>
    <row r="1010" spans="2:10">
      <c r="B1010" s="13" t="s">
        <v>3128</v>
      </c>
      <c r="C1010" s="13">
        <v>220.98</v>
      </c>
      <c r="H1010" t="s">
        <v>3136</v>
      </c>
      <c r="I1010" t="s">
        <v>3</v>
      </c>
      <c r="J1010">
        <v>220.98</v>
      </c>
    </row>
    <row r="1011" spans="2:10">
      <c r="B1011" s="13" t="s">
        <v>3114</v>
      </c>
      <c r="C1011" s="13">
        <v>25.68</v>
      </c>
      <c r="H1011" t="s">
        <v>3136</v>
      </c>
      <c r="I1011" t="s">
        <v>5</v>
      </c>
      <c r="J1011">
        <v>25.68</v>
      </c>
    </row>
    <row r="1012" spans="2:10">
      <c r="B1012" s="13" t="s">
        <v>3117</v>
      </c>
      <c r="C1012" s="13">
        <v>298.464</v>
      </c>
      <c r="H1012" t="s">
        <v>3137</v>
      </c>
      <c r="I1012" t="s">
        <v>5</v>
      </c>
      <c r="J1012">
        <v>298.464</v>
      </c>
    </row>
    <row r="1013" spans="2:10">
      <c r="B1013" s="13" t="s">
        <v>3116</v>
      </c>
      <c r="C1013" s="13">
        <v>258.52799999999996</v>
      </c>
      <c r="H1013" t="s">
        <v>3136</v>
      </c>
      <c r="I1013" t="s">
        <v>4</v>
      </c>
      <c r="J1013">
        <v>258.52799999999996</v>
      </c>
    </row>
    <row r="1014" spans="2:10">
      <c r="B1014" s="13" t="s">
        <v>3114</v>
      </c>
      <c r="C1014" s="13">
        <v>49.12</v>
      </c>
      <c r="H1014" t="s">
        <v>3136</v>
      </c>
      <c r="I1014" t="s">
        <v>5</v>
      </c>
      <c r="J1014">
        <v>49.12</v>
      </c>
    </row>
    <row r="1015" spans="2:10">
      <c r="B1015" s="13" t="s">
        <v>3118</v>
      </c>
      <c r="C1015" s="13">
        <v>30.559999999999992</v>
      </c>
      <c r="H1015" t="s">
        <v>3137</v>
      </c>
      <c r="I1015" t="s">
        <v>5</v>
      </c>
      <c r="J1015">
        <v>30.559999999999992</v>
      </c>
    </row>
    <row r="1016" spans="2:10">
      <c r="B1016" s="13" t="s">
        <v>3117</v>
      </c>
      <c r="C1016" s="13">
        <v>77.951999999999998</v>
      </c>
      <c r="H1016" t="s">
        <v>3137</v>
      </c>
      <c r="I1016" t="s">
        <v>5</v>
      </c>
      <c r="J1016">
        <v>77.951999999999998</v>
      </c>
    </row>
    <row r="1017" spans="2:10">
      <c r="B1017" s="13" t="s">
        <v>3116</v>
      </c>
      <c r="C1017" s="13">
        <v>67.992000000000004</v>
      </c>
      <c r="H1017" t="s">
        <v>3137</v>
      </c>
      <c r="I1017" t="s">
        <v>4</v>
      </c>
      <c r="J1017">
        <v>67.992000000000004</v>
      </c>
    </row>
    <row r="1018" spans="2:10">
      <c r="B1018" s="13" t="s">
        <v>3124</v>
      </c>
      <c r="C1018" s="13">
        <v>12.224</v>
      </c>
      <c r="H1018" t="s">
        <v>3137</v>
      </c>
      <c r="I1018" t="s">
        <v>5</v>
      </c>
      <c r="J1018">
        <v>12.224</v>
      </c>
    </row>
    <row r="1019" spans="2:10">
      <c r="B1019" s="13" t="s">
        <v>3120</v>
      </c>
      <c r="C1019" s="13">
        <v>44.783999999999999</v>
      </c>
      <c r="H1019" t="s">
        <v>3137</v>
      </c>
      <c r="I1019" t="s">
        <v>4</v>
      </c>
      <c r="J1019">
        <v>44.783999999999999</v>
      </c>
    </row>
    <row r="1020" spans="2:10">
      <c r="B1020" s="13" t="s">
        <v>3119</v>
      </c>
      <c r="C1020" s="13">
        <v>22.847999999999999</v>
      </c>
      <c r="H1020" t="s">
        <v>3137</v>
      </c>
      <c r="I1020" t="s">
        <v>3</v>
      </c>
      <c r="J1020">
        <v>22.847999999999999</v>
      </c>
    </row>
    <row r="1021" spans="2:10">
      <c r="B1021" s="13" t="s">
        <v>3120</v>
      </c>
      <c r="C1021" s="13">
        <v>119.96000000000001</v>
      </c>
      <c r="H1021" t="s">
        <v>3136</v>
      </c>
      <c r="I1021" t="s">
        <v>4</v>
      </c>
      <c r="J1021">
        <v>119.96000000000001</v>
      </c>
    </row>
    <row r="1022" spans="2:10">
      <c r="B1022" s="13" t="s">
        <v>3122</v>
      </c>
      <c r="C1022" s="13">
        <v>10.608000000000001</v>
      </c>
      <c r="H1022" t="s">
        <v>3136</v>
      </c>
      <c r="I1022" t="s">
        <v>5</v>
      </c>
      <c r="J1022">
        <v>10.608000000000001</v>
      </c>
    </row>
    <row r="1023" spans="2:10">
      <c r="B1023" s="13" t="s">
        <v>3115</v>
      </c>
      <c r="C1023" s="13">
        <v>963.13600000000008</v>
      </c>
      <c r="H1023" t="s">
        <v>3138</v>
      </c>
      <c r="I1023" t="s">
        <v>3</v>
      </c>
      <c r="J1023">
        <v>963.13600000000008</v>
      </c>
    </row>
    <row r="1024" spans="2:10">
      <c r="B1024" s="13" t="s">
        <v>3116</v>
      </c>
      <c r="C1024" s="13">
        <v>88.77600000000001</v>
      </c>
      <c r="H1024" t="s">
        <v>3138</v>
      </c>
      <c r="I1024" t="s">
        <v>4</v>
      </c>
      <c r="J1024">
        <v>88.77600000000001</v>
      </c>
    </row>
    <row r="1025" spans="2:10">
      <c r="B1025" s="13" t="s">
        <v>3118</v>
      </c>
      <c r="C1025" s="13">
        <v>735.98</v>
      </c>
      <c r="H1025" t="s">
        <v>3137</v>
      </c>
      <c r="I1025" t="s">
        <v>5</v>
      </c>
      <c r="J1025">
        <v>735.98</v>
      </c>
    </row>
    <row r="1026" spans="2:10">
      <c r="B1026" s="13" t="s">
        <v>3118</v>
      </c>
      <c r="C1026" s="13">
        <v>23.88</v>
      </c>
      <c r="H1026" t="s">
        <v>3135</v>
      </c>
      <c r="I1026" t="s">
        <v>5</v>
      </c>
      <c r="J1026">
        <v>23.88</v>
      </c>
    </row>
    <row r="1027" spans="2:10">
      <c r="B1027" s="13" t="s">
        <v>3122</v>
      </c>
      <c r="C1027" s="13">
        <v>181.86</v>
      </c>
      <c r="H1027" t="s">
        <v>3137</v>
      </c>
      <c r="I1027" t="s">
        <v>5</v>
      </c>
      <c r="J1027">
        <v>181.86</v>
      </c>
    </row>
    <row r="1028" spans="2:10">
      <c r="B1028" s="13" t="s">
        <v>3128</v>
      </c>
      <c r="C1028" s="13">
        <v>180.58800000000005</v>
      </c>
      <c r="H1028" t="s">
        <v>3138</v>
      </c>
      <c r="I1028" t="s">
        <v>3</v>
      </c>
      <c r="J1028">
        <v>180.58800000000005</v>
      </c>
    </row>
    <row r="1029" spans="2:10">
      <c r="B1029" s="13" t="s">
        <v>3120</v>
      </c>
      <c r="C1029" s="13">
        <v>47.984000000000002</v>
      </c>
      <c r="H1029" t="s">
        <v>3138</v>
      </c>
      <c r="I1029" t="s">
        <v>4</v>
      </c>
      <c r="J1029">
        <v>47.984000000000002</v>
      </c>
    </row>
    <row r="1030" spans="2:10">
      <c r="B1030" s="13" t="s">
        <v>3114</v>
      </c>
      <c r="C1030" s="13">
        <v>18.760000000000002</v>
      </c>
      <c r="H1030" t="s">
        <v>3136</v>
      </c>
      <c r="I1030" t="s">
        <v>5</v>
      </c>
      <c r="J1030">
        <v>18.760000000000002</v>
      </c>
    </row>
    <row r="1031" spans="2:10">
      <c r="B1031" s="13" t="s">
        <v>3119</v>
      </c>
      <c r="C1031" s="13">
        <v>20.94</v>
      </c>
      <c r="H1031" t="s">
        <v>3136</v>
      </c>
      <c r="I1031" t="s">
        <v>3</v>
      </c>
      <c r="J1031">
        <v>20.94</v>
      </c>
    </row>
    <row r="1032" spans="2:10">
      <c r="B1032" s="13" t="s">
        <v>3119</v>
      </c>
      <c r="C1032" s="13">
        <v>58.68</v>
      </c>
      <c r="H1032" t="s">
        <v>3136</v>
      </c>
      <c r="I1032" t="s">
        <v>3</v>
      </c>
      <c r="J1032">
        <v>58.68</v>
      </c>
    </row>
    <row r="1033" spans="2:10">
      <c r="B1033" s="13" t="s">
        <v>3125</v>
      </c>
      <c r="C1033" s="13">
        <v>254.89999999999998</v>
      </c>
      <c r="H1033" t="s">
        <v>3136</v>
      </c>
      <c r="I1033" t="s">
        <v>5</v>
      </c>
      <c r="J1033">
        <v>254.89999999999998</v>
      </c>
    </row>
    <row r="1034" spans="2:10">
      <c r="B1034" s="13" t="s">
        <v>3118</v>
      </c>
      <c r="C1034" s="13">
        <v>9.64</v>
      </c>
      <c r="H1034" t="s">
        <v>3136</v>
      </c>
      <c r="I1034" t="s">
        <v>5</v>
      </c>
      <c r="J1034">
        <v>9.64</v>
      </c>
    </row>
    <row r="1035" spans="2:10">
      <c r="B1035" s="13" t="s">
        <v>3120</v>
      </c>
      <c r="C1035" s="13">
        <v>826.62000000000012</v>
      </c>
      <c r="H1035" t="s">
        <v>3136</v>
      </c>
      <c r="I1035" t="s">
        <v>4</v>
      </c>
      <c r="J1035">
        <v>826.62000000000012</v>
      </c>
    </row>
    <row r="1036" spans="2:10">
      <c r="B1036" s="13" t="s">
        <v>3117</v>
      </c>
      <c r="C1036" s="13">
        <v>1633.14</v>
      </c>
      <c r="H1036" t="s">
        <v>3136</v>
      </c>
      <c r="I1036" t="s">
        <v>5</v>
      </c>
      <c r="J1036">
        <v>1633.14</v>
      </c>
    </row>
    <row r="1037" spans="2:10">
      <c r="B1037" s="13" t="s">
        <v>3117</v>
      </c>
      <c r="C1037" s="13">
        <v>544.38</v>
      </c>
      <c r="H1037" t="s">
        <v>3136</v>
      </c>
      <c r="I1037" t="s">
        <v>5</v>
      </c>
      <c r="J1037">
        <v>544.38</v>
      </c>
    </row>
    <row r="1038" spans="2:10">
      <c r="B1038" s="13" t="s">
        <v>3116</v>
      </c>
      <c r="C1038" s="13">
        <v>69.930000000000007</v>
      </c>
      <c r="H1038" t="s">
        <v>3136</v>
      </c>
      <c r="I1038" t="s">
        <v>4</v>
      </c>
      <c r="J1038">
        <v>69.930000000000007</v>
      </c>
    </row>
    <row r="1039" spans="2:10">
      <c r="B1039" s="13" t="s">
        <v>3121</v>
      </c>
      <c r="C1039" s="13">
        <v>3.75</v>
      </c>
      <c r="H1039" t="s">
        <v>3138</v>
      </c>
      <c r="I1039" t="s">
        <v>5</v>
      </c>
      <c r="J1039">
        <v>3.75</v>
      </c>
    </row>
    <row r="1040" spans="2:10">
      <c r="B1040" s="13" t="s">
        <v>3118</v>
      </c>
      <c r="C1040" s="13">
        <v>20.928000000000001</v>
      </c>
      <c r="H1040" t="s">
        <v>3138</v>
      </c>
      <c r="I1040" t="s">
        <v>5</v>
      </c>
      <c r="J1040">
        <v>20.928000000000001</v>
      </c>
    </row>
    <row r="1041" spans="2:10">
      <c r="B1041" s="13" t="s">
        <v>3116</v>
      </c>
      <c r="C1041" s="13">
        <v>65.989999999999995</v>
      </c>
      <c r="H1041" t="s">
        <v>3136</v>
      </c>
      <c r="I1041" t="s">
        <v>4</v>
      </c>
      <c r="J1041">
        <v>65.989999999999995</v>
      </c>
    </row>
    <row r="1042" spans="2:10">
      <c r="B1042" s="13" t="s">
        <v>3118</v>
      </c>
      <c r="C1042" s="13">
        <v>6.3699999999999983</v>
      </c>
      <c r="H1042" t="s">
        <v>3137</v>
      </c>
      <c r="I1042" t="s">
        <v>5</v>
      </c>
      <c r="J1042">
        <v>6.3699999999999983</v>
      </c>
    </row>
    <row r="1043" spans="2:10">
      <c r="B1043" s="13" t="s">
        <v>3116</v>
      </c>
      <c r="C1043" s="13">
        <v>29.97</v>
      </c>
      <c r="H1043" t="s">
        <v>3136</v>
      </c>
      <c r="I1043" t="s">
        <v>4</v>
      </c>
      <c r="J1043">
        <v>29.97</v>
      </c>
    </row>
    <row r="1044" spans="2:10">
      <c r="B1044" s="13" t="s">
        <v>3122</v>
      </c>
      <c r="C1044" s="13">
        <v>18.704000000000001</v>
      </c>
      <c r="H1044" t="s">
        <v>3136</v>
      </c>
      <c r="I1044" t="s">
        <v>5</v>
      </c>
      <c r="J1044">
        <v>18.704000000000001</v>
      </c>
    </row>
    <row r="1045" spans="2:10">
      <c r="B1045" s="13" t="s">
        <v>3124</v>
      </c>
      <c r="C1045" s="13">
        <v>13.392000000000001</v>
      </c>
      <c r="H1045" t="s">
        <v>3137</v>
      </c>
      <c r="I1045" t="s">
        <v>5</v>
      </c>
      <c r="J1045">
        <v>13.392000000000001</v>
      </c>
    </row>
    <row r="1046" spans="2:10">
      <c r="B1046" s="13" t="s">
        <v>3118</v>
      </c>
      <c r="C1046" s="13">
        <v>11.227999999999998</v>
      </c>
      <c r="H1046" t="s">
        <v>3137</v>
      </c>
      <c r="I1046" t="s">
        <v>5</v>
      </c>
      <c r="J1046">
        <v>11.227999999999998</v>
      </c>
    </row>
    <row r="1047" spans="2:10">
      <c r="B1047" s="13" t="s">
        <v>3121</v>
      </c>
      <c r="C1047" s="13">
        <v>75.179999999999993</v>
      </c>
      <c r="H1047" t="s">
        <v>3138</v>
      </c>
      <c r="I1047" t="s">
        <v>5</v>
      </c>
      <c r="J1047">
        <v>75.179999999999993</v>
      </c>
    </row>
    <row r="1048" spans="2:10">
      <c r="B1048" s="13" t="s">
        <v>3118</v>
      </c>
      <c r="C1048" s="13">
        <v>931.17600000000016</v>
      </c>
      <c r="H1048" t="s">
        <v>3136</v>
      </c>
      <c r="I1048" t="s">
        <v>5</v>
      </c>
      <c r="J1048">
        <v>931.17600000000016</v>
      </c>
    </row>
    <row r="1049" spans="2:10">
      <c r="B1049" s="13" t="s">
        <v>3116</v>
      </c>
      <c r="C1049" s="13">
        <v>430.88</v>
      </c>
      <c r="H1049" t="s">
        <v>3136</v>
      </c>
      <c r="I1049" t="s">
        <v>4</v>
      </c>
      <c r="J1049">
        <v>430.88</v>
      </c>
    </row>
    <row r="1050" spans="2:10">
      <c r="B1050" s="13" t="s">
        <v>3119</v>
      </c>
      <c r="C1050" s="13">
        <v>114.9</v>
      </c>
      <c r="H1050" t="s">
        <v>3136</v>
      </c>
      <c r="I1050" t="s">
        <v>3</v>
      </c>
      <c r="J1050">
        <v>114.9</v>
      </c>
    </row>
    <row r="1051" spans="2:10">
      <c r="B1051" s="13" t="s">
        <v>3118</v>
      </c>
      <c r="C1051" s="13">
        <v>26.045999999999992</v>
      </c>
      <c r="H1051" t="s">
        <v>3137</v>
      </c>
      <c r="I1051" t="s">
        <v>5</v>
      </c>
      <c r="J1051">
        <v>26.045999999999992</v>
      </c>
    </row>
    <row r="1052" spans="2:10">
      <c r="B1052" s="13" t="s">
        <v>3118</v>
      </c>
      <c r="C1052" s="13">
        <v>2.8959999999999995</v>
      </c>
      <c r="H1052" t="s">
        <v>3137</v>
      </c>
      <c r="I1052" t="s">
        <v>5</v>
      </c>
      <c r="J1052">
        <v>2.8959999999999995</v>
      </c>
    </row>
    <row r="1053" spans="2:10">
      <c r="B1053" s="13" t="s">
        <v>3117</v>
      </c>
      <c r="C1053" s="13">
        <v>32.544000000000004</v>
      </c>
      <c r="H1053" t="s">
        <v>3137</v>
      </c>
      <c r="I1053" t="s">
        <v>5</v>
      </c>
      <c r="J1053">
        <v>32.544000000000004</v>
      </c>
    </row>
    <row r="1054" spans="2:10">
      <c r="B1054" s="13" t="s">
        <v>3118</v>
      </c>
      <c r="C1054" s="13">
        <v>13.467999999999998</v>
      </c>
      <c r="H1054" t="s">
        <v>3137</v>
      </c>
      <c r="I1054" t="s">
        <v>5</v>
      </c>
      <c r="J1054">
        <v>13.467999999999998</v>
      </c>
    </row>
    <row r="1055" spans="2:10">
      <c r="B1055" s="13" t="s">
        <v>3116</v>
      </c>
      <c r="C1055" s="13">
        <v>219.80000000000004</v>
      </c>
      <c r="H1055" t="s">
        <v>3137</v>
      </c>
      <c r="I1055" t="s">
        <v>4</v>
      </c>
      <c r="J1055">
        <v>219.80000000000004</v>
      </c>
    </row>
    <row r="1056" spans="2:10">
      <c r="B1056" s="13" t="s">
        <v>3115</v>
      </c>
      <c r="C1056" s="13">
        <v>317.05799999999999</v>
      </c>
      <c r="H1056" t="s">
        <v>3137</v>
      </c>
      <c r="I1056" t="s">
        <v>3</v>
      </c>
      <c r="J1056">
        <v>317.05799999999999</v>
      </c>
    </row>
    <row r="1057" spans="2:10">
      <c r="B1057" s="13" t="s">
        <v>3120</v>
      </c>
      <c r="C1057" s="13">
        <v>49.08</v>
      </c>
      <c r="H1057" t="s">
        <v>3138</v>
      </c>
      <c r="I1057" t="s">
        <v>4</v>
      </c>
      <c r="J1057">
        <v>49.08</v>
      </c>
    </row>
    <row r="1058" spans="2:10">
      <c r="B1058" s="13" t="s">
        <v>3117</v>
      </c>
      <c r="C1058" s="13">
        <v>324.90000000000003</v>
      </c>
      <c r="H1058" t="s">
        <v>3138</v>
      </c>
      <c r="I1058" t="s">
        <v>5</v>
      </c>
      <c r="J1058">
        <v>324.90000000000003</v>
      </c>
    </row>
    <row r="1059" spans="2:10">
      <c r="B1059" s="13" t="s">
        <v>3122</v>
      </c>
      <c r="C1059" s="13">
        <v>18.240000000000002</v>
      </c>
      <c r="H1059" t="s">
        <v>3138</v>
      </c>
      <c r="I1059" t="s">
        <v>5</v>
      </c>
      <c r="J1059">
        <v>18.240000000000002</v>
      </c>
    </row>
    <row r="1060" spans="2:10">
      <c r="B1060" s="13" t="s">
        <v>3119</v>
      </c>
      <c r="C1060" s="13">
        <v>60.311999999999998</v>
      </c>
      <c r="H1060" t="s">
        <v>3136</v>
      </c>
      <c r="I1060" t="s">
        <v>3</v>
      </c>
      <c r="J1060">
        <v>60.311999999999998</v>
      </c>
    </row>
    <row r="1061" spans="2:10">
      <c r="B1061" s="13" t="s">
        <v>3122</v>
      </c>
      <c r="C1061" s="13">
        <v>7.0559999999999992</v>
      </c>
      <c r="H1061" t="s">
        <v>3137</v>
      </c>
      <c r="I1061" t="s">
        <v>5</v>
      </c>
      <c r="J1061">
        <v>7.0559999999999992</v>
      </c>
    </row>
    <row r="1062" spans="2:10">
      <c r="B1062" s="13" t="s">
        <v>3116</v>
      </c>
      <c r="C1062" s="13">
        <v>27.183999999999997</v>
      </c>
      <c r="H1062" t="s">
        <v>3137</v>
      </c>
      <c r="I1062" t="s">
        <v>4</v>
      </c>
      <c r="J1062">
        <v>27.183999999999997</v>
      </c>
    </row>
    <row r="1063" spans="2:10">
      <c r="B1063" s="13" t="s">
        <v>3127</v>
      </c>
      <c r="C1063" s="13">
        <v>3359.9520000000002</v>
      </c>
      <c r="H1063" t="s">
        <v>3138</v>
      </c>
      <c r="I1063" t="s">
        <v>4</v>
      </c>
      <c r="J1063">
        <v>3359.9520000000002</v>
      </c>
    </row>
    <row r="1064" spans="2:10">
      <c r="B1064" s="13" t="s">
        <v>3123</v>
      </c>
      <c r="C1064" s="13">
        <v>18.240000000000002</v>
      </c>
      <c r="H1064" t="s">
        <v>3137</v>
      </c>
      <c r="I1064" t="s">
        <v>5</v>
      </c>
      <c r="J1064">
        <v>18.240000000000002</v>
      </c>
    </row>
    <row r="1065" spans="2:10">
      <c r="B1065" s="13" t="s">
        <v>3122</v>
      </c>
      <c r="C1065" s="13">
        <v>27.78</v>
      </c>
      <c r="H1065" t="s">
        <v>3137</v>
      </c>
      <c r="I1065" t="s">
        <v>5</v>
      </c>
      <c r="J1065">
        <v>27.78</v>
      </c>
    </row>
    <row r="1066" spans="2:10">
      <c r="B1066" s="13" t="s">
        <v>3122</v>
      </c>
      <c r="C1066" s="13">
        <v>6.56</v>
      </c>
      <c r="H1066" t="s">
        <v>3137</v>
      </c>
      <c r="I1066" t="s">
        <v>5</v>
      </c>
      <c r="J1066">
        <v>6.56</v>
      </c>
    </row>
    <row r="1067" spans="2:10">
      <c r="B1067" s="13" t="s">
        <v>3125</v>
      </c>
      <c r="C1067" s="13">
        <v>13.11</v>
      </c>
      <c r="H1067" t="s">
        <v>3137</v>
      </c>
      <c r="I1067" t="s">
        <v>5</v>
      </c>
      <c r="J1067">
        <v>13.11</v>
      </c>
    </row>
    <row r="1068" spans="2:10">
      <c r="B1068" s="13" t="s">
        <v>3130</v>
      </c>
      <c r="C1068" s="13">
        <v>1704.89</v>
      </c>
      <c r="H1068" t="s">
        <v>3136</v>
      </c>
      <c r="I1068" t="s">
        <v>4</v>
      </c>
      <c r="J1068">
        <v>1704.89</v>
      </c>
    </row>
    <row r="1069" spans="2:10">
      <c r="B1069" s="13" t="s">
        <v>3130</v>
      </c>
      <c r="C1069" s="13">
        <v>1919.9760000000001</v>
      </c>
      <c r="H1069" t="s">
        <v>3138</v>
      </c>
      <c r="I1069" t="s">
        <v>4</v>
      </c>
      <c r="J1069">
        <v>1919.9760000000001</v>
      </c>
    </row>
    <row r="1070" spans="2:10">
      <c r="B1070" s="13" t="s">
        <v>3115</v>
      </c>
      <c r="C1070" s="13">
        <v>271.76400000000001</v>
      </c>
      <c r="H1070" t="s">
        <v>3136</v>
      </c>
      <c r="I1070" t="s">
        <v>3</v>
      </c>
      <c r="J1070">
        <v>271.76400000000001</v>
      </c>
    </row>
    <row r="1071" spans="2:10">
      <c r="B1071" s="13" t="s">
        <v>3118</v>
      </c>
      <c r="C1071" s="13">
        <v>14.376000000000001</v>
      </c>
      <c r="H1071" t="s">
        <v>3136</v>
      </c>
      <c r="I1071" t="s">
        <v>5</v>
      </c>
      <c r="J1071">
        <v>14.376000000000001</v>
      </c>
    </row>
    <row r="1072" spans="2:10">
      <c r="B1072" s="13" t="s">
        <v>3119</v>
      </c>
      <c r="C1072" s="13">
        <v>341.96</v>
      </c>
      <c r="H1072" t="s">
        <v>3137</v>
      </c>
      <c r="I1072" t="s">
        <v>3</v>
      </c>
      <c r="J1072">
        <v>341.96</v>
      </c>
    </row>
    <row r="1073" spans="2:10">
      <c r="B1073" s="13" t="s">
        <v>3120</v>
      </c>
      <c r="C1073" s="13">
        <v>227.976</v>
      </c>
      <c r="H1073" t="s">
        <v>3137</v>
      </c>
      <c r="I1073" t="s">
        <v>4</v>
      </c>
      <c r="J1073">
        <v>227.976</v>
      </c>
    </row>
    <row r="1074" spans="2:10">
      <c r="B1074" s="13" t="s">
        <v>3116</v>
      </c>
      <c r="C1074" s="13">
        <v>52.679999999999993</v>
      </c>
      <c r="H1074" t="s">
        <v>3137</v>
      </c>
      <c r="I1074" t="s">
        <v>4</v>
      </c>
      <c r="J1074">
        <v>52.679999999999993</v>
      </c>
    </row>
    <row r="1075" spans="2:10">
      <c r="B1075" s="13" t="s">
        <v>3119</v>
      </c>
      <c r="C1075" s="13">
        <v>2.032</v>
      </c>
      <c r="H1075" t="s">
        <v>3137</v>
      </c>
      <c r="I1075" t="s">
        <v>3</v>
      </c>
      <c r="J1075">
        <v>2.032</v>
      </c>
    </row>
    <row r="1076" spans="2:10">
      <c r="B1076" s="13" t="s">
        <v>3122</v>
      </c>
      <c r="C1076" s="13">
        <v>17.12</v>
      </c>
      <c r="H1076" t="s">
        <v>3138</v>
      </c>
      <c r="I1076" t="s">
        <v>5</v>
      </c>
      <c r="J1076">
        <v>17.12</v>
      </c>
    </row>
    <row r="1077" spans="2:10">
      <c r="B1077" s="13" t="s">
        <v>3116</v>
      </c>
      <c r="C1077" s="13">
        <v>431.96800000000007</v>
      </c>
      <c r="H1077" t="s">
        <v>3138</v>
      </c>
      <c r="I1077" t="s">
        <v>4</v>
      </c>
      <c r="J1077">
        <v>431.96800000000007</v>
      </c>
    </row>
    <row r="1078" spans="2:10">
      <c r="B1078" s="13" t="s">
        <v>3119</v>
      </c>
      <c r="C1078" s="13">
        <v>129.91999999999999</v>
      </c>
      <c r="H1078" t="s">
        <v>3138</v>
      </c>
      <c r="I1078" t="s">
        <v>3</v>
      </c>
      <c r="J1078">
        <v>129.91999999999999</v>
      </c>
    </row>
    <row r="1079" spans="2:10">
      <c r="B1079" s="13" t="s">
        <v>3126</v>
      </c>
      <c r="C1079" s="13">
        <v>568.72800000000007</v>
      </c>
      <c r="H1079" t="s">
        <v>3138</v>
      </c>
      <c r="I1079" t="s">
        <v>3</v>
      </c>
      <c r="J1079">
        <v>568.72800000000007</v>
      </c>
    </row>
    <row r="1080" spans="2:10">
      <c r="B1080" s="13" t="s">
        <v>3118</v>
      </c>
      <c r="C1080" s="13">
        <v>117.14400000000001</v>
      </c>
      <c r="H1080" t="s">
        <v>3138</v>
      </c>
      <c r="I1080" t="s">
        <v>5</v>
      </c>
      <c r="J1080">
        <v>117.14400000000001</v>
      </c>
    </row>
    <row r="1081" spans="2:10">
      <c r="B1081" s="13" t="s">
        <v>3125</v>
      </c>
      <c r="C1081" s="13">
        <v>203.52</v>
      </c>
      <c r="H1081" t="s">
        <v>3138</v>
      </c>
      <c r="I1081" t="s">
        <v>5</v>
      </c>
      <c r="J1081">
        <v>203.52</v>
      </c>
    </row>
    <row r="1082" spans="2:10">
      <c r="B1082" s="13" t="s">
        <v>3121</v>
      </c>
      <c r="C1082" s="13">
        <v>51.75</v>
      </c>
      <c r="H1082" t="s">
        <v>3138</v>
      </c>
      <c r="I1082" t="s">
        <v>5</v>
      </c>
      <c r="J1082">
        <v>51.75</v>
      </c>
    </row>
    <row r="1083" spans="2:10">
      <c r="B1083" s="13" t="s">
        <v>3118</v>
      </c>
      <c r="C1083" s="13">
        <v>16.029999999999998</v>
      </c>
      <c r="H1083" t="s">
        <v>3137</v>
      </c>
      <c r="I1083" t="s">
        <v>5</v>
      </c>
      <c r="J1083">
        <v>16.029999999999998</v>
      </c>
    </row>
    <row r="1084" spans="2:10">
      <c r="B1084" s="13" t="s">
        <v>3114</v>
      </c>
      <c r="C1084" s="13">
        <v>73.007999999999996</v>
      </c>
      <c r="H1084" t="s">
        <v>3137</v>
      </c>
      <c r="I1084" t="s">
        <v>5</v>
      </c>
      <c r="J1084">
        <v>73.007999999999996</v>
      </c>
    </row>
    <row r="1085" spans="2:10">
      <c r="B1085" s="13" t="s">
        <v>3118</v>
      </c>
      <c r="C1085" s="13">
        <v>25.824000000000002</v>
      </c>
      <c r="H1085" t="s">
        <v>3138</v>
      </c>
      <c r="I1085" t="s">
        <v>5</v>
      </c>
      <c r="J1085">
        <v>25.824000000000002</v>
      </c>
    </row>
    <row r="1086" spans="2:10">
      <c r="B1086" s="13" t="s">
        <v>3125</v>
      </c>
      <c r="C1086" s="13">
        <v>160.96</v>
      </c>
      <c r="H1086" t="s">
        <v>3138</v>
      </c>
      <c r="I1086" t="s">
        <v>5</v>
      </c>
      <c r="J1086">
        <v>160.96</v>
      </c>
    </row>
    <row r="1087" spans="2:10">
      <c r="B1087" s="13" t="s">
        <v>3118</v>
      </c>
      <c r="C1087" s="13">
        <v>13.775999999999996</v>
      </c>
      <c r="H1087" t="s">
        <v>3137</v>
      </c>
      <c r="I1087" t="s">
        <v>5</v>
      </c>
      <c r="J1087">
        <v>13.775999999999996</v>
      </c>
    </row>
    <row r="1088" spans="2:10">
      <c r="B1088" s="13" t="s">
        <v>3114</v>
      </c>
      <c r="C1088" s="13">
        <v>10.272000000000002</v>
      </c>
      <c r="H1088" t="s">
        <v>3137</v>
      </c>
      <c r="I1088" t="s">
        <v>5</v>
      </c>
      <c r="J1088">
        <v>10.272000000000002</v>
      </c>
    </row>
    <row r="1089" spans="2:10">
      <c r="B1089" s="13" t="s">
        <v>3119</v>
      </c>
      <c r="C1089" s="13">
        <v>24.048000000000002</v>
      </c>
      <c r="H1089" t="s">
        <v>3136</v>
      </c>
      <c r="I1089" t="s">
        <v>3</v>
      </c>
      <c r="J1089">
        <v>24.048000000000002</v>
      </c>
    </row>
    <row r="1090" spans="2:10">
      <c r="B1090" s="13" t="s">
        <v>3124</v>
      </c>
      <c r="C1090" s="13">
        <v>2.8960000000000004</v>
      </c>
      <c r="H1090" t="s">
        <v>3135</v>
      </c>
      <c r="I1090" t="s">
        <v>5</v>
      </c>
      <c r="J1090">
        <v>2.8960000000000004</v>
      </c>
    </row>
    <row r="1091" spans="2:10">
      <c r="B1091" s="13" t="s">
        <v>3117</v>
      </c>
      <c r="C1091" s="13">
        <v>580.67200000000003</v>
      </c>
      <c r="H1091" t="s">
        <v>3135</v>
      </c>
      <c r="I1091" t="s">
        <v>5</v>
      </c>
      <c r="J1091">
        <v>580.67200000000003</v>
      </c>
    </row>
    <row r="1092" spans="2:10">
      <c r="B1092" s="13" t="s">
        <v>3123</v>
      </c>
      <c r="C1092" s="13">
        <v>18.936</v>
      </c>
      <c r="H1092" t="s">
        <v>3135</v>
      </c>
      <c r="I1092" t="s">
        <v>5</v>
      </c>
      <c r="J1092">
        <v>18.936</v>
      </c>
    </row>
    <row r="1093" spans="2:10">
      <c r="B1093" s="13" t="s">
        <v>3116</v>
      </c>
      <c r="C1093" s="13">
        <v>222.38400000000001</v>
      </c>
      <c r="H1093" t="s">
        <v>3135</v>
      </c>
      <c r="I1093" t="s">
        <v>4</v>
      </c>
      <c r="J1093">
        <v>222.38400000000001</v>
      </c>
    </row>
    <row r="1094" spans="2:10">
      <c r="B1094" s="13" t="s">
        <v>3118</v>
      </c>
      <c r="C1094" s="13">
        <v>50.454000000000015</v>
      </c>
      <c r="H1094" t="s">
        <v>3135</v>
      </c>
      <c r="I1094" t="s">
        <v>5</v>
      </c>
      <c r="J1094">
        <v>50.454000000000015</v>
      </c>
    </row>
    <row r="1095" spans="2:10">
      <c r="B1095" s="13" t="s">
        <v>3126</v>
      </c>
      <c r="C1095" s="13">
        <v>154.76400000000001</v>
      </c>
      <c r="H1095" t="s">
        <v>3135</v>
      </c>
      <c r="I1095" t="s">
        <v>3</v>
      </c>
      <c r="J1095">
        <v>154.76400000000001</v>
      </c>
    </row>
    <row r="1096" spans="2:10">
      <c r="B1096" s="13" t="s">
        <v>3114</v>
      </c>
      <c r="C1096" s="13">
        <v>6.8480000000000008</v>
      </c>
      <c r="H1096" t="s">
        <v>3137</v>
      </c>
      <c r="I1096" t="s">
        <v>5</v>
      </c>
      <c r="J1096">
        <v>6.8480000000000008</v>
      </c>
    </row>
    <row r="1097" spans="2:10">
      <c r="B1097" s="13" t="s">
        <v>3114</v>
      </c>
      <c r="C1097" s="13">
        <v>40.032000000000004</v>
      </c>
      <c r="H1097" t="s">
        <v>3136</v>
      </c>
      <c r="I1097" t="s">
        <v>5</v>
      </c>
      <c r="J1097">
        <v>40.032000000000004</v>
      </c>
    </row>
    <row r="1098" spans="2:10">
      <c r="B1098" s="13" t="s">
        <v>3117</v>
      </c>
      <c r="C1098" s="13">
        <v>443.92</v>
      </c>
      <c r="H1098" t="s">
        <v>3137</v>
      </c>
      <c r="I1098" t="s">
        <v>5</v>
      </c>
      <c r="J1098">
        <v>443.92</v>
      </c>
    </row>
    <row r="1099" spans="2:10">
      <c r="B1099" s="13" t="s">
        <v>3118</v>
      </c>
      <c r="C1099" s="13">
        <v>169.99</v>
      </c>
      <c r="H1099" t="s">
        <v>3137</v>
      </c>
      <c r="I1099" t="s">
        <v>5</v>
      </c>
      <c r="J1099">
        <v>169.99</v>
      </c>
    </row>
    <row r="1100" spans="2:10">
      <c r="B1100" s="13" t="s">
        <v>3114</v>
      </c>
      <c r="C1100" s="13">
        <v>25.92</v>
      </c>
      <c r="H1100" t="s">
        <v>3137</v>
      </c>
      <c r="I1100" t="s">
        <v>5</v>
      </c>
      <c r="J1100">
        <v>25.92</v>
      </c>
    </row>
    <row r="1101" spans="2:10">
      <c r="B1101" s="13" t="s">
        <v>3119</v>
      </c>
      <c r="C1101" s="13">
        <v>65.424000000000007</v>
      </c>
      <c r="H1101" t="s">
        <v>3137</v>
      </c>
      <c r="I1101" t="s">
        <v>3</v>
      </c>
      <c r="J1101">
        <v>65.424000000000007</v>
      </c>
    </row>
    <row r="1102" spans="2:10">
      <c r="B1102" s="13" t="s">
        <v>3114</v>
      </c>
      <c r="C1102" s="13">
        <v>10.368000000000002</v>
      </c>
      <c r="H1102" t="s">
        <v>3136</v>
      </c>
      <c r="I1102" t="s">
        <v>5</v>
      </c>
      <c r="J1102">
        <v>10.368000000000002</v>
      </c>
    </row>
    <row r="1103" spans="2:10">
      <c r="B1103" s="13" t="s">
        <v>3114</v>
      </c>
      <c r="C1103" s="13">
        <v>32.896000000000001</v>
      </c>
      <c r="H1103" t="s">
        <v>3136</v>
      </c>
      <c r="I1103" t="s">
        <v>5</v>
      </c>
      <c r="J1103">
        <v>32.896000000000001</v>
      </c>
    </row>
    <row r="1104" spans="2:10">
      <c r="B1104" s="13" t="s">
        <v>3126</v>
      </c>
      <c r="C1104" s="13">
        <v>215.148</v>
      </c>
      <c r="H1104" t="s">
        <v>3136</v>
      </c>
      <c r="I1104" t="s">
        <v>3</v>
      </c>
      <c r="J1104">
        <v>215.148</v>
      </c>
    </row>
    <row r="1105" spans="2:10">
      <c r="B1105" s="13" t="s">
        <v>3114</v>
      </c>
      <c r="C1105" s="13">
        <v>30.96</v>
      </c>
      <c r="H1105" t="s">
        <v>3136</v>
      </c>
      <c r="I1105" t="s">
        <v>5</v>
      </c>
      <c r="J1105">
        <v>30.96</v>
      </c>
    </row>
    <row r="1106" spans="2:10">
      <c r="B1106" s="13" t="s">
        <v>3117</v>
      </c>
      <c r="C1106" s="13">
        <v>29.79</v>
      </c>
      <c r="H1106" t="s">
        <v>3138</v>
      </c>
      <c r="I1106" t="s">
        <v>5</v>
      </c>
      <c r="J1106">
        <v>29.79</v>
      </c>
    </row>
    <row r="1107" spans="2:10">
      <c r="B1107" s="13" t="s">
        <v>3119</v>
      </c>
      <c r="C1107" s="13">
        <v>128.9</v>
      </c>
      <c r="H1107" t="s">
        <v>3138</v>
      </c>
      <c r="I1107" t="s">
        <v>3</v>
      </c>
      <c r="J1107">
        <v>128.9</v>
      </c>
    </row>
    <row r="1108" spans="2:10">
      <c r="B1108" s="13" t="s">
        <v>3114</v>
      </c>
      <c r="C1108" s="13">
        <v>60.12</v>
      </c>
      <c r="H1108" t="s">
        <v>3138</v>
      </c>
      <c r="I1108" t="s">
        <v>5</v>
      </c>
      <c r="J1108">
        <v>60.12</v>
      </c>
    </row>
    <row r="1109" spans="2:10">
      <c r="B1109" s="13" t="s">
        <v>3118</v>
      </c>
      <c r="C1109" s="13">
        <v>24.816000000000003</v>
      </c>
      <c r="H1109" t="s">
        <v>3138</v>
      </c>
      <c r="I1109" t="s">
        <v>5</v>
      </c>
      <c r="J1109">
        <v>24.816000000000003</v>
      </c>
    </row>
    <row r="1110" spans="2:10">
      <c r="B1110" s="13" t="s">
        <v>3118</v>
      </c>
      <c r="C1110" s="13">
        <v>14.976000000000003</v>
      </c>
      <c r="H1110" t="s">
        <v>3138</v>
      </c>
      <c r="I1110" t="s">
        <v>5</v>
      </c>
      <c r="J1110">
        <v>14.976000000000003</v>
      </c>
    </row>
    <row r="1111" spans="2:10">
      <c r="B1111" s="13" t="s">
        <v>3119</v>
      </c>
      <c r="C1111" s="13">
        <v>16.192</v>
      </c>
      <c r="H1111" t="s">
        <v>3137</v>
      </c>
      <c r="I1111" t="s">
        <v>3</v>
      </c>
      <c r="J1111">
        <v>16.192</v>
      </c>
    </row>
    <row r="1112" spans="2:10">
      <c r="B1112" s="13" t="s">
        <v>3126</v>
      </c>
      <c r="C1112" s="13">
        <v>251.00599999999997</v>
      </c>
      <c r="H1112" t="s">
        <v>3137</v>
      </c>
      <c r="I1112" t="s">
        <v>3</v>
      </c>
      <c r="J1112">
        <v>251.00599999999997</v>
      </c>
    </row>
    <row r="1113" spans="2:10">
      <c r="B1113" s="13" t="s">
        <v>3117</v>
      </c>
      <c r="C1113" s="13">
        <v>54.192</v>
      </c>
      <c r="H1113" t="s">
        <v>3137</v>
      </c>
      <c r="I1113" t="s">
        <v>5</v>
      </c>
      <c r="J1113">
        <v>54.192</v>
      </c>
    </row>
    <row r="1114" spans="2:10">
      <c r="B1114" s="13" t="s">
        <v>3124</v>
      </c>
      <c r="C1114" s="13">
        <v>16.740000000000002</v>
      </c>
      <c r="H1114" t="s">
        <v>3136</v>
      </c>
      <c r="I1114" t="s">
        <v>5</v>
      </c>
      <c r="J1114">
        <v>16.740000000000002</v>
      </c>
    </row>
    <row r="1115" spans="2:10">
      <c r="B1115" s="13" t="s">
        <v>3125</v>
      </c>
      <c r="C1115" s="13">
        <v>2504.7399999999998</v>
      </c>
      <c r="H1115" t="s">
        <v>3136</v>
      </c>
      <c r="I1115" t="s">
        <v>5</v>
      </c>
      <c r="J1115">
        <v>2504.7399999999998</v>
      </c>
    </row>
    <row r="1116" spans="2:10">
      <c r="B1116" s="13" t="s">
        <v>3122</v>
      </c>
      <c r="C1116" s="13">
        <v>3.76</v>
      </c>
      <c r="H1116" t="s">
        <v>3135</v>
      </c>
      <c r="I1116" t="s">
        <v>5</v>
      </c>
      <c r="J1116">
        <v>3.76</v>
      </c>
    </row>
    <row r="1117" spans="2:10">
      <c r="B1117" s="13" t="s">
        <v>3120</v>
      </c>
      <c r="C1117" s="13">
        <v>71.975999999999999</v>
      </c>
      <c r="H1117" t="s">
        <v>3136</v>
      </c>
      <c r="I1117" t="s">
        <v>4</v>
      </c>
      <c r="J1117">
        <v>71.975999999999999</v>
      </c>
    </row>
    <row r="1118" spans="2:10">
      <c r="B1118" s="13" t="s">
        <v>3119</v>
      </c>
      <c r="C1118" s="13">
        <v>22.512000000000004</v>
      </c>
      <c r="H1118" t="s">
        <v>3136</v>
      </c>
      <c r="I1118" t="s">
        <v>3</v>
      </c>
      <c r="J1118">
        <v>22.512000000000004</v>
      </c>
    </row>
    <row r="1119" spans="2:10">
      <c r="B1119" s="13" t="s">
        <v>3118</v>
      </c>
      <c r="C1119" s="13">
        <v>3.4440000000000008</v>
      </c>
      <c r="H1119" t="s">
        <v>3136</v>
      </c>
      <c r="I1119" t="s">
        <v>5</v>
      </c>
      <c r="J1119">
        <v>3.4440000000000008</v>
      </c>
    </row>
    <row r="1120" spans="2:10">
      <c r="B1120" s="13" t="s">
        <v>3118</v>
      </c>
      <c r="C1120" s="13">
        <v>538.19400000000007</v>
      </c>
      <c r="H1120" t="s">
        <v>3136</v>
      </c>
      <c r="I1120" t="s">
        <v>5</v>
      </c>
      <c r="J1120">
        <v>538.19400000000007</v>
      </c>
    </row>
    <row r="1121" spans="2:10">
      <c r="B1121" s="13" t="s">
        <v>3120</v>
      </c>
      <c r="C1121" s="13">
        <v>47.984000000000002</v>
      </c>
      <c r="H1121" t="s">
        <v>3136</v>
      </c>
      <c r="I1121" t="s">
        <v>4</v>
      </c>
      <c r="J1121">
        <v>47.984000000000002</v>
      </c>
    </row>
    <row r="1122" spans="2:10">
      <c r="B1122" s="13" t="s">
        <v>3116</v>
      </c>
      <c r="C1122" s="13">
        <v>492.76800000000003</v>
      </c>
      <c r="H1122" t="s">
        <v>3137</v>
      </c>
      <c r="I1122" t="s">
        <v>4</v>
      </c>
      <c r="J1122">
        <v>492.76800000000003</v>
      </c>
    </row>
    <row r="1123" spans="2:10">
      <c r="B1123" s="13" t="s">
        <v>3120</v>
      </c>
      <c r="C1123" s="13">
        <v>47.992000000000004</v>
      </c>
      <c r="H1123" t="s">
        <v>3135</v>
      </c>
      <c r="I1123" t="s">
        <v>4</v>
      </c>
      <c r="J1123">
        <v>47.992000000000004</v>
      </c>
    </row>
    <row r="1124" spans="2:10">
      <c r="B1124" s="13" t="s">
        <v>3114</v>
      </c>
      <c r="C1124" s="13">
        <v>10.848000000000001</v>
      </c>
      <c r="H1124" t="s">
        <v>3136</v>
      </c>
      <c r="I1124" t="s">
        <v>5</v>
      </c>
      <c r="J1124">
        <v>10.848000000000001</v>
      </c>
    </row>
    <row r="1125" spans="2:10">
      <c r="B1125" s="13" t="s">
        <v>3120</v>
      </c>
      <c r="C1125" s="13">
        <v>18.544</v>
      </c>
      <c r="H1125" t="s">
        <v>3136</v>
      </c>
      <c r="I1125" t="s">
        <v>4</v>
      </c>
      <c r="J1125">
        <v>18.544</v>
      </c>
    </row>
    <row r="1126" spans="2:10">
      <c r="B1126" s="13" t="s">
        <v>3115</v>
      </c>
      <c r="C1126" s="13">
        <v>180.98</v>
      </c>
      <c r="H1126" t="s">
        <v>3137</v>
      </c>
      <c r="I1126" t="s">
        <v>3</v>
      </c>
      <c r="J1126">
        <v>180.98</v>
      </c>
    </row>
    <row r="1127" spans="2:10">
      <c r="B1127" s="13" t="s">
        <v>3120</v>
      </c>
      <c r="C1127" s="13">
        <v>99.98</v>
      </c>
      <c r="H1127" t="s">
        <v>3137</v>
      </c>
      <c r="I1127" t="s">
        <v>4</v>
      </c>
      <c r="J1127">
        <v>99.98</v>
      </c>
    </row>
    <row r="1128" spans="2:10">
      <c r="B1128" s="13" t="s">
        <v>3117</v>
      </c>
      <c r="C1128" s="13">
        <v>147.184</v>
      </c>
      <c r="H1128" t="s">
        <v>3135</v>
      </c>
      <c r="I1128" t="s">
        <v>5</v>
      </c>
      <c r="J1128">
        <v>147.184</v>
      </c>
    </row>
    <row r="1129" spans="2:10">
      <c r="B1129" s="13" t="s">
        <v>3120</v>
      </c>
      <c r="C1129" s="13">
        <v>72</v>
      </c>
      <c r="H1129" t="s">
        <v>3137</v>
      </c>
      <c r="I1129" t="s">
        <v>4</v>
      </c>
      <c r="J1129">
        <v>72</v>
      </c>
    </row>
    <row r="1130" spans="2:10">
      <c r="B1130" s="13" t="s">
        <v>3120</v>
      </c>
      <c r="C1130" s="13">
        <v>655.90000000000009</v>
      </c>
      <c r="H1130" t="s">
        <v>3137</v>
      </c>
      <c r="I1130" t="s">
        <v>4</v>
      </c>
      <c r="J1130">
        <v>655.90000000000009</v>
      </c>
    </row>
    <row r="1131" spans="2:10">
      <c r="B1131" s="13" t="s">
        <v>3115</v>
      </c>
      <c r="C1131" s="13">
        <v>603.91999999999996</v>
      </c>
      <c r="H1131" t="s">
        <v>3137</v>
      </c>
      <c r="I1131" t="s">
        <v>3</v>
      </c>
      <c r="J1131">
        <v>603.91999999999996</v>
      </c>
    </row>
    <row r="1132" spans="2:10">
      <c r="B1132" s="13" t="s">
        <v>3114</v>
      </c>
      <c r="C1132" s="13">
        <v>10.368000000000002</v>
      </c>
      <c r="H1132" t="s">
        <v>3137</v>
      </c>
      <c r="I1132" t="s">
        <v>5</v>
      </c>
      <c r="J1132">
        <v>10.368000000000002</v>
      </c>
    </row>
    <row r="1133" spans="2:10">
      <c r="B1133" s="13" t="s">
        <v>3120</v>
      </c>
      <c r="C1133" s="13">
        <v>95.736000000000004</v>
      </c>
      <c r="H1133" t="s">
        <v>3137</v>
      </c>
      <c r="I1133" t="s">
        <v>4</v>
      </c>
      <c r="J1133">
        <v>95.736000000000004</v>
      </c>
    </row>
    <row r="1134" spans="2:10">
      <c r="B1134" s="13" t="s">
        <v>3128</v>
      </c>
      <c r="C1134" s="13">
        <v>825.17399999999998</v>
      </c>
      <c r="H1134" t="s">
        <v>3137</v>
      </c>
      <c r="I1134" t="s">
        <v>3</v>
      </c>
      <c r="J1134">
        <v>825.17399999999998</v>
      </c>
    </row>
    <row r="1135" spans="2:10">
      <c r="B1135" s="13" t="s">
        <v>3114</v>
      </c>
      <c r="C1135" s="13">
        <v>17.760000000000002</v>
      </c>
      <c r="H1135" t="s">
        <v>3137</v>
      </c>
      <c r="I1135" t="s">
        <v>5</v>
      </c>
      <c r="J1135">
        <v>17.760000000000002</v>
      </c>
    </row>
    <row r="1136" spans="2:10">
      <c r="B1136" s="13" t="s">
        <v>3122</v>
      </c>
      <c r="C1136" s="13">
        <v>6.911999999999999</v>
      </c>
      <c r="H1136" t="s">
        <v>3137</v>
      </c>
      <c r="I1136" t="s">
        <v>5</v>
      </c>
      <c r="J1136">
        <v>6.911999999999999</v>
      </c>
    </row>
    <row r="1137" spans="2:10">
      <c r="B1137" s="13" t="s">
        <v>3120</v>
      </c>
      <c r="C1137" s="13">
        <v>599.97</v>
      </c>
      <c r="H1137" t="s">
        <v>3135</v>
      </c>
      <c r="I1137" t="s">
        <v>4</v>
      </c>
      <c r="J1137">
        <v>599.97</v>
      </c>
    </row>
    <row r="1138" spans="2:10">
      <c r="B1138" s="13" t="s">
        <v>3116</v>
      </c>
      <c r="C1138" s="13">
        <v>38.97</v>
      </c>
      <c r="H1138" t="s">
        <v>3135</v>
      </c>
      <c r="I1138" t="s">
        <v>4</v>
      </c>
      <c r="J1138">
        <v>38.97</v>
      </c>
    </row>
    <row r="1139" spans="2:10">
      <c r="B1139" s="13" t="s">
        <v>3118</v>
      </c>
      <c r="C1139" s="13">
        <v>45.84</v>
      </c>
      <c r="H1139" t="s">
        <v>3135</v>
      </c>
      <c r="I1139" t="s">
        <v>5</v>
      </c>
      <c r="J1139">
        <v>45.84</v>
      </c>
    </row>
    <row r="1140" spans="2:10">
      <c r="B1140" s="13" t="s">
        <v>3114</v>
      </c>
      <c r="C1140" s="13">
        <v>28.672000000000004</v>
      </c>
      <c r="H1140" t="s">
        <v>3137</v>
      </c>
      <c r="I1140" t="s">
        <v>5</v>
      </c>
      <c r="J1140">
        <v>28.672000000000004</v>
      </c>
    </row>
    <row r="1141" spans="2:10">
      <c r="B1141" s="13" t="s">
        <v>3125</v>
      </c>
      <c r="C1141" s="13">
        <v>29.311999999999994</v>
      </c>
      <c r="H1141" t="s">
        <v>3137</v>
      </c>
      <c r="I1141" t="s">
        <v>5</v>
      </c>
      <c r="J1141">
        <v>29.311999999999994</v>
      </c>
    </row>
    <row r="1142" spans="2:10">
      <c r="B1142" s="13" t="s">
        <v>3117</v>
      </c>
      <c r="C1142" s="13">
        <v>105.98</v>
      </c>
      <c r="H1142" t="s">
        <v>3135</v>
      </c>
      <c r="I1142" t="s">
        <v>5</v>
      </c>
      <c r="J1142">
        <v>105.98</v>
      </c>
    </row>
    <row r="1143" spans="2:10">
      <c r="B1143" s="13" t="s">
        <v>3129</v>
      </c>
      <c r="C1143" s="13">
        <v>35.06</v>
      </c>
      <c r="H1143" t="s">
        <v>3135</v>
      </c>
      <c r="I1143" t="s">
        <v>5</v>
      </c>
      <c r="J1143">
        <v>35.06</v>
      </c>
    </row>
    <row r="1144" spans="2:10">
      <c r="B1144" s="13" t="s">
        <v>3115</v>
      </c>
      <c r="C1144" s="13">
        <v>33.94</v>
      </c>
      <c r="H1144" t="s">
        <v>3135</v>
      </c>
      <c r="I1144" t="s">
        <v>3</v>
      </c>
      <c r="J1144">
        <v>33.94</v>
      </c>
    </row>
    <row r="1145" spans="2:10">
      <c r="B1145" s="13" t="s">
        <v>3121</v>
      </c>
      <c r="C1145" s="13">
        <v>30</v>
      </c>
      <c r="H1145" t="s">
        <v>3135</v>
      </c>
      <c r="I1145" t="s">
        <v>5</v>
      </c>
      <c r="J1145">
        <v>30</v>
      </c>
    </row>
    <row r="1146" spans="2:10">
      <c r="B1146" s="13" t="s">
        <v>3118</v>
      </c>
      <c r="C1146" s="13">
        <v>7.4760000000000018</v>
      </c>
      <c r="H1146" t="s">
        <v>3136</v>
      </c>
      <c r="I1146" t="s">
        <v>5</v>
      </c>
      <c r="J1146">
        <v>7.4760000000000018</v>
      </c>
    </row>
    <row r="1147" spans="2:10">
      <c r="B1147" s="13" t="s">
        <v>3114</v>
      </c>
      <c r="C1147" s="13">
        <v>45.36</v>
      </c>
      <c r="H1147" t="s">
        <v>3138</v>
      </c>
      <c r="I1147" t="s">
        <v>5</v>
      </c>
      <c r="J1147">
        <v>45.36</v>
      </c>
    </row>
    <row r="1148" spans="2:10">
      <c r="B1148" s="13" t="s">
        <v>3118</v>
      </c>
      <c r="C1148" s="13">
        <v>10.128</v>
      </c>
      <c r="H1148" t="s">
        <v>3138</v>
      </c>
      <c r="I1148" t="s">
        <v>5</v>
      </c>
      <c r="J1148">
        <v>10.128</v>
      </c>
    </row>
    <row r="1149" spans="2:10">
      <c r="B1149" s="13" t="s">
        <v>3118</v>
      </c>
      <c r="C1149" s="13">
        <v>21.792000000000002</v>
      </c>
      <c r="H1149" t="s">
        <v>3138</v>
      </c>
      <c r="I1149" t="s">
        <v>5</v>
      </c>
      <c r="J1149">
        <v>21.792000000000002</v>
      </c>
    </row>
    <row r="1150" spans="2:10">
      <c r="B1150" s="13" t="s">
        <v>3120</v>
      </c>
      <c r="C1150" s="13">
        <v>439.8</v>
      </c>
      <c r="H1150" t="s">
        <v>3138</v>
      </c>
      <c r="I1150" t="s">
        <v>4</v>
      </c>
      <c r="J1150">
        <v>439.8</v>
      </c>
    </row>
    <row r="1151" spans="2:10">
      <c r="B1151" s="13" t="s">
        <v>3122</v>
      </c>
      <c r="C1151" s="13">
        <v>8.2560000000000002</v>
      </c>
      <c r="H1151" t="s">
        <v>3136</v>
      </c>
      <c r="I1151" t="s">
        <v>5</v>
      </c>
      <c r="J1151">
        <v>8.2560000000000002</v>
      </c>
    </row>
    <row r="1152" spans="2:10">
      <c r="B1152" s="13" t="s">
        <v>3118</v>
      </c>
      <c r="C1152" s="13">
        <v>25.560000000000002</v>
      </c>
      <c r="H1152" t="s">
        <v>3136</v>
      </c>
      <c r="I1152" t="s">
        <v>5</v>
      </c>
      <c r="J1152">
        <v>25.560000000000002</v>
      </c>
    </row>
    <row r="1153" spans="2:10">
      <c r="B1153" s="13" t="s">
        <v>3118</v>
      </c>
      <c r="C1153" s="13">
        <v>4.3680000000000012</v>
      </c>
      <c r="H1153" t="s">
        <v>3136</v>
      </c>
      <c r="I1153" t="s">
        <v>5</v>
      </c>
      <c r="J1153">
        <v>4.3680000000000012</v>
      </c>
    </row>
    <row r="1154" spans="2:10">
      <c r="B1154" s="13" t="s">
        <v>3114</v>
      </c>
      <c r="C1154" s="13">
        <v>11.520000000000001</v>
      </c>
      <c r="H1154" t="s">
        <v>3136</v>
      </c>
      <c r="I1154" t="s">
        <v>5</v>
      </c>
      <c r="J1154">
        <v>11.520000000000001</v>
      </c>
    </row>
    <row r="1155" spans="2:10">
      <c r="B1155" s="13" t="s">
        <v>3118</v>
      </c>
      <c r="C1155" s="13">
        <v>1577.94</v>
      </c>
      <c r="H1155" t="s">
        <v>3137</v>
      </c>
      <c r="I1155" t="s">
        <v>5</v>
      </c>
      <c r="J1155">
        <v>1577.94</v>
      </c>
    </row>
    <row r="1156" spans="2:10">
      <c r="B1156" s="13" t="s">
        <v>3120</v>
      </c>
      <c r="C1156" s="13">
        <v>59.98</v>
      </c>
      <c r="H1156" t="s">
        <v>3138</v>
      </c>
      <c r="I1156" t="s">
        <v>4</v>
      </c>
      <c r="J1156">
        <v>59.98</v>
      </c>
    </row>
    <row r="1157" spans="2:10">
      <c r="B1157" s="13" t="s">
        <v>3130</v>
      </c>
      <c r="C1157" s="13">
        <v>2395.2000000000003</v>
      </c>
      <c r="H1157" t="s">
        <v>3138</v>
      </c>
      <c r="I1157" t="s">
        <v>4</v>
      </c>
      <c r="J1157">
        <v>2395.2000000000003</v>
      </c>
    </row>
    <row r="1158" spans="2:10">
      <c r="B1158" s="13" t="s">
        <v>3120</v>
      </c>
      <c r="C1158" s="13">
        <v>1687.8</v>
      </c>
      <c r="H1158" t="s">
        <v>3138</v>
      </c>
      <c r="I1158" t="s">
        <v>4</v>
      </c>
      <c r="J1158">
        <v>1687.8</v>
      </c>
    </row>
    <row r="1159" spans="2:10">
      <c r="B1159" s="13" t="s">
        <v>3116</v>
      </c>
      <c r="C1159" s="13">
        <v>7.9920000000000009</v>
      </c>
      <c r="H1159" t="s">
        <v>3138</v>
      </c>
      <c r="I1159" t="s">
        <v>4</v>
      </c>
      <c r="J1159">
        <v>7.9920000000000009</v>
      </c>
    </row>
    <row r="1160" spans="2:10">
      <c r="B1160" s="13" t="s">
        <v>3114</v>
      </c>
      <c r="C1160" s="13">
        <v>5.1840000000000011</v>
      </c>
      <c r="H1160" t="s">
        <v>3137</v>
      </c>
      <c r="I1160" t="s">
        <v>5</v>
      </c>
      <c r="J1160">
        <v>5.1840000000000011</v>
      </c>
    </row>
    <row r="1161" spans="2:10">
      <c r="B1161" s="13" t="s">
        <v>3122</v>
      </c>
      <c r="C1161" s="13">
        <v>11.68</v>
      </c>
      <c r="H1161" t="s">
        <v>3136</v>
      </c>
      <c r="I1161" t="s">
        <v>5</v>
      </c>
      <c r="J1161">
        <v>11.68</v>
      </c>
    </row>
    <row r="1162" spans="2:10">
      <c r="B1162" s="13" t="s">
        <v>3122</v>
      </c>
      <c r="C1162" s="13">
        <v>104.80000000000001</v>
      </c>
      <c r="H1162" t="s">
        <v>3136</v>
      </c>
      <c r="I1162" t="s">
        <v>5</v>
      </c>
      <c r="J1162">
        <v>104.80000000000001</v>
      </c>
    </row>
    <row r="1163" spans="2:10">
      <c r="B1163" s="13" t="s">
        <v>3114</v>
      </c>
      <c r="C1163" s="13">
        <v>104.85</v>
      </c>
      <c r="H1163" t="s">
        <v>3137</v>
      </c>
      <c r="I1163" t="s">
        <v>5</v>
      </c>
      <c r="J1163">
        <v>104.85</v>
      </c>
    </row>
    <row r="1164" spans="2:10">
      <c r="B1164" s="13" t="s">
        <v>3122</v>
      </c>
      <c r="C1164" s="13">
        <v>5.96</v>
      </c>
      <c r="H1164" t="s">
        <v>3138</v>
      </c>
      <c r="I1164" t="s">
        <v>5</v>
      </c>
      <c r="J1164">
        <v>5.96</v>
      </c>
    </row>
    <row r="1165" spans="2:10">
      <c r="B1165" s="13" t="s">
        <v>3116</v>
      </c>
      <c r="C1165" s="13">
        <v>1169.694</v>
      </c>
      <c r="H1165" t="s">
        <v>3136</v>
      </c>
      <c r="I1165" t="s">
        <v>4</v>
      </c>
      <c r="J1165">
        <v>1169.694</v>
      </c>
    </row>
    <row r="1166" spans="2:10">
      <c r="B1166" s="13" t="s">
        <v>3129</v>
      </c>
      <c r="C1166" s="13">
        <v>1665.62</v>
      </c>
      <c r="H1166" t="s">
        <v>3135</v>
      </c>
      <c r="I1166" t="s">
        <v>5</v>
      </c>
      <c r="J1166">
        <v>1665.62</v>
      </c>
    </row>
    <row r="1167" spans="2:10">
      <c r="B1167" s="13" t="s">
        <v>3118</v>
      </c>
      <c r="C1167" s="13">
        <v>2.88</v>
      </c>
      <c r="H1167" t="s">
        <v>3135</v>
      </c>
      <c r="I1167" t="s">
        <v>5</v>
      </c>
      <c r="J1167">
        <v>2.88</v>
      </c>
    </row>
    <row r="1168" spans="2:10">
      <c r="B1168" s="13" t="s">
        <v>3117</v>
      </c>
      <c r="C1168" s="13">
        <v>1443.96</v>
      </c>
      <c r="H1168" t="s">
        <v>3135</v>
      </c>
      <c r="I1168" t="s">
        <v>5</v>
      </c>
      <c r="J1168">
        <v>1443.96</v>
      </c>
    </row>
    <row r="1169" spans="2:10">
      <c r="B1169" s="13" t="s">
        <v>3122</v>
      </c>
      <c r="C1169" s="13">
        <v>2.6240000000000001</v>
      </c>
      <c r="H1169" t="s">
        <v>3136</v>
      </c>
      <c r="I1169" t="s">
        <v>5</v>
      </c>
      <c r="J1169">
        <v>2.6240000000000001</v>
      </c>
    </row>
    <row r="1170" spans="2:10">
      <c r="B1170" s="13" t="s">
        <v>3120</v>
      </c>
      <c r="C1170" s="13">
        <v>431.92800000000005</v>
      </c>
      <c r="H1170" t="s">
        <v>3138</v>
      </c>
      <c r="I1170" t="s">
        <v>4</v>
      </c>
      <c r="J1170">
        <v>431.92800000000005</v>
      </c>
    </row>
    <row r="1171" spans="2:10">
      <c r="B1171" s="13" t="s">
        <v>3114</v>
      </c>
      <c r="C1171" s="13">
        <v>277.39999999999998</v>
      </c>
      <c r="H1171" t="s">
        <v>3136</v>
      </c>
      <c r="I1171" t="s">
        <v>5</v>
      </c>
      <c r="J1171">
        <v>277.39999999999998</v>
      </c>
    </row>
    <row r="1172" spans="2:10">
      <c r="B1172" s="13" t="s">
        <v>3119</v>
      </c>
      <c r="C1172" s="13">
        <v>25.16</v>
      </c>
      <c r="H1172" t="s">
        <v>3136</v>
      </c>
      <c r="I1172" t="s">
        <v>3</v>
      </c>
      <c r="J1172">
        <v>25.16</v>
      </c>
    </row>
    <row r="1173" spans="2:10">
      <c r="B1173" s="13" t="s">
        <v>3119</v>
      </c>
      <c r="C1173" s="13">
        <v>91.92</v>
      </c>
      <c r="H1173" t="s">
        <v>3136</v>
      </c>
      <c r="I1173" t="s">
        <v>3</v>
      </c>
      <c r="J1173">
        <v>91.92</v>
      </c>
    </row>
    <row r="1174" spans="2:10">
      <c r="B1174" s="13" t="s">
        <v>3126</v>
      </c>
      <c r="C1174" s="13">
        <v>718.11599999999987</v>
      </c>
      <c r="H1174" t="s">
        <v>3137</v>
      </c>
      <c r="I1174" t="s">
        <v>3</v>
      </c>
      <c r="J1174">
        <v>718.11599999999987</v>
      </c>
    </row>
    <row r="1175" spans="2:10">
      <c r="B1175" s="13" t="s">
        <v>3122</v>
      </c>
      <c r="C1175" s="13">
        <v>31.776</v>
      </c>
      <c r="H1175" t="s">
        <v>3137</v>
      </c>
      <c r="I1175" t="s">
        <v>5</v>
      </c>
      <c r="J1175">
        <v>31.776</v>
      </c>
    </row>
    <row r="1176" spans="2:10">
      <c r="B1176" s="13" t="s">
        <v>3118</v>
      </c>
      <c r="C1176" s="13">
        <v>487.98400000000004</v>
      </c>
      <c r="H1176" t="s">
        <v>3138</v>
      </c>
      <c r="I1176" t="s">
        <v>5</v>
      </c>
      <c r="J1176">
        <v>487.98400000000004</v>
      </c>
    </row>
    <row r="1177" spans="2:10">
      <c r="B1177" s="13" t="s">
        <v>3116</v>
      </c>
      <c r="C1177" s="13">
        <v>5.5600000000000005</v>
      </c>
      <c r="H1177" t="s">
        <v>3138</v>
      </c>
      <c r="I1177" t="s">
        <v>4</v>
      </c>
      <c r="J1177">
        <v>5.5600000000000005</v>
      </c>
    </row>
    <row r="1178" spans="2:10">
      <c r="B1178" s="13" t="s">
        <v>3117</v>
      </c>
      <c r="C1178" s="13">
        <v>217.85</v>
      </c>
      <c r="H1178" t="s">
        <v>3138</v>
      </c>
      <c r="I1178" t="s">
        <v>5</v>
      </c>
      <c r="J1178">
        <v>217.85</v>
      </c>
    </row>
    <row r="1179" spans="2:10">
      <c r="B1179" s="13" t="s">
        <v>3115</v>
      </c>
      <c r="C1179" s="13">
        <v>681.40800000000013</v>
      </c>
      <c r="H1179" t="s">
        <v>3138</v>
      </c>
      <c r="I1179" t="s">
        <v>3</v>
      </c>
      <c r="J1179">
        <v>681.40800000000013</v>
      </c>
    </row>
    <row r="1180" spans="2:10">
      <c r="B1180" s="13" t="s">
        <v>3122</v>
      </c>
      <c r="C1180" s="13">
        <v>3.52</v>
      </c>
      <c r="H1180" t="s">
        <v>3138</v>
      </c>
      <c r="I1180" t="s">
        <v>5</v>
      </c>
      <c r="J1180">
        <v>3.52</v>
      </c>
    </row>
    <row r="1181" spans="2:10">
      <c r="B1181" s="13" t="s">
        <v>3122</v>
      </c>
      <c r="C1181" s="13">
        <v>5.58</v>
      </c>
      <c r="H1181" t="s">
        <v>3138</v>
      </c>
      <c r="I1181" t="s">
        <v>5</v>
      </c>
      <c r="J1181">
        <v>5.58</v>
      </c>
    </row>
    <row r="1182" spans="2:10">
      <c r="B1182" s="13" t="s">
        <v>3120</v>
      </c>
      <c r="C1182" s="13">
        <v>36.32</v>
      </c>
      <c r="H1182" t="s">
        <v>3138</v>
      </c>
      <c r="I1182" t="s">
        <v>4</v>
      </c>
      <c r="J1182">
        <v>36.32</v>
      </c>
    </row>
    <row r="1183" spans="2:10">
      <c r="B1183" s="13" t="s">
        <v>3125</v>
      </c>
      <c r="C1183" s="13">
        <v>52.272000000000006</v>
      </c>
      <c r="H1183" t="s">
        <v>3136</v>
      </c>
      <c r="I1183" t="s">
        <v>5</v>
      </c>
      <c r="J1183">
        <v>52.272000000000006</v>
      </c>
    </row>
    <row r="1184" spans="2:10">
      <c r="B1184" s="13" t="s">
        <v>3125</v>
      </c>
      <c r="C1184" s="13">
        <v>213.13600000000002</v>
      </c>
      <c r="H1184" t="s">
        <v>3136</v>
      </c>
      <c r="I1184" t="s">
        <v>5</v>
      </c>
      <c r="J1184">
        <v>213.13600000000002</v>
      </c>
    </row>
    <row r="1185" spans="2:10">
      <c r="B1185" s="13" t="s">
        <v>3117</v>
      </c>
      <c r="C1185" s="13">
        <v>69.52</v>
      </c>
      <c r="H1185" t="s">
        <v>3138</v>
      </c>
      <c r="I1185" t="s">
        <v>5</v>
      </c>
      <c r="J1185">
        <v>69.52</v>
      </c>
    </row>
    <row r="1186" spans="2:10">
      <c r="B1186" s="13" t="s">
        <v>3117</v>
      </c>
      <c r="C1186" s="13">
        <v>763.44</v>
      </c>
      <c r="H1186" t="s">
        <v>3138</v>
      </c>
      <c r="I1186" t="s">
        <v>5</v>
      </c>
      <c r="J1186">
        <v>763.44</v>
      </c>
    </row>
    <row r="1187" spans="2:10">
      <c r="B1187" s="13" t="s">
        <v>3120</v>
      </c>
      <c r="C1187" s="13">
        <v>104.88</v>
      </c>
      <c r="H1187" t="s">
        <v>3137</v>
      </c>
      <c r="I1187" t="s">
        <v>4</v>
      </c>
      <c r="J1187">
        <v>104.88</v>
      </c>
    </row>
    <row r="1188" spans="2:10">
      <c r="B1188" s="13" t="s">
        <v>3122</v>
      </c>
      <c r="C1188" s="13">
        <v>34.700000000000003</v>
      </c>
      <c r="H1188" t="s">
        <v>3137</v>
      </c>
      <c r="I1188" t="s">
        <v>5</v>
      </c>
      <c r="J1188">
        <v>34.700000000000003</v>
      </c>
    </row>
    <row r="1189" spans="2:10">
      <c r="B1189" s="13" t="s">
        <v>3118</v>
      </c>
      <c r="C1189" s="13">
        <v>33.72</v>
      </c>
      <c r="H1189" t="s">
        <v>3137</v>
      </c>
      <c r="I1189" t="s">
        <v>5</v>
      </c>
      <c r="J1189">
        <v>33.72</v>
      </c>
    </row>
    <row r="1190" spans="2:10">
      <c r="B1190" s="13" t="s">
        <v>3114</v>
      </c>
      <c r="C1190" s="13">
        <v>14.940000000000001</v>
      </c>
      <c r="H1190" t="s">
        <v>3137</v>
      </c>
      <c r="I1190" t="s">
        <v>5</v>
      </c>
      <c r="J1190">
        <v>14.940000000000001</v>
      </c>
    </row>
    <row r="1191" spans="2:10">
      <c r="B1191" s="13" t="s">
        <v>3125</v>
      </c>
      <c r="C1191" s="13">
        <v>638.73</v>
      </c>
      <c r="H1191" t="s">
        <v>3137</v>
      </c>
      <c r="I1191" t="s">
        <v>5</v>
      </c>
      <c r="J1191">
        <v>638.73</v>
      </c>
    </row>
    <row r="1192" spans="2:10">
      <c r="B1192" s="13" t="s">
        <v>3117</v>
      </c>
      <c r="C1192" s="13">
        <v>113.56800000000001</v>
      </c>
      <c r="H1192" t="s">
        <v>3135</v>
      </c>
      <c r="I1192" t="s">
        <v>5</v>
      </c>
      <c r="J1192">
        <v>113.56800000000001</v>
      </c>
    </row>
    <row r="1193" spans="2:10">
      <c r="B1193" s="13" t="s">
        <v>3120</v>
      </c>
      <c r="C1193" s="13">
        <v>9.0960000000000001</v>
      </c>
      <c r="H1193" t="s">
        <v>3136</v>
      </c>
      <c r="I1193" t="s">
        <v>4</v>
      </c>
      <c r="J1193">
        <v>9.0960000000000001</v>
      </c>
    </row>
    <row r="1194" spans="2:10">
      <c r="B1194" s="13" t="s">
        <v>3120</v>
      </c>
      <c r="C1194" s="13">
        <v>258.89999999999998</v>
      </c>
      <c r="H1194" t="s">
        <v>3136</v>
      </c>
      <c r="I1194" t="s">
        <v>4</v>
      </c>
      <c r="J1194">
        <v>258.89999999999998</v>
      </c>
    </row>
    <row r="1195" spans="2:10">
      <c r="B1195" s="13" t="s">
        <v>3114</v>
      </c>
      <c r="C1195" s="13">
        <v>24.56</v>
      </c>
      <c r="H1195" t="s">
        <v>3136</v>
      </c>
      <c r="I1195" t="s">
        <v>5</v>
      </c>
      <c r="J1195">
        <v>24.56</v>
      </c>
    </row>
    <row r="1196" spans="2:10">
      <c r="B1196" s="13" t="s">
        <v>3115</v>
      </c>
      <c r="C1196" s="13">
        <v>127.372</v>
      </c>
      <c r="H1196" t="s">
        <v>3136</v>
      </c>
      <c r="I1196" t="s">
        <v>3</v>
      </c>
      <c r="J1196">
        <v>127.372</v>
      </c>
    </row>
    <row r="1197" spans="2:10">
      <c r="B1197" s="13" t="s">
        <v>3114</v>
      </c>
      <c r="C1197" s="13">
        <v>47.952000000000005</v>
      </c>
      <c r="H1197" t="s">
        <v>3136</v>
      </c>
      <c r="I1197" t="s">
        <v>5</v>
      </c>
      <c r="J1197">
        <v>47.952000000000005</v>
      </c>
    </row>
    <row r="1198" spans="2:10">
      <c r="B1198" s="13" t="s">
        <v>3114</v>
      </c>
      <c r="C1198" s="13">
        <v>25.344000000000001</v>
      </c>
      <c r="H1198" t="s">
        <v>3138</v>
      </c>
      <c r="I1198" t="s">
        <v>5</v>
      </c>
      <c r="J1198">
        <v>25.344000000000001</v>
      </c>
    </row>
    <row r="1199" spans="2:10">
      <c r="B1199" s="13" t="s">
        <v>3124</v>
      </c>
      <c r="C1199" s="13">
        <v>43.92</v>
      </c>
      <c r="H1199" t="s">
        <v>3138</v>
      </c>
      <c r="I1199" t="s">
        <v>5</v>
      </c>
      <c r="J1199">
        <v>43.92</v>
      </c>
    </row>
    <row r="1200" spans="2:10">
      <c r="B1200" s="13" t="s">
        <v>3120</v>
      </c>
      <c r="C1200" s="13">
        <v>163.96</v>
      </c>
      <c r="H1200" t="s">
        <v>3136</v>
      </c>
      <c r="I1200" t="s">
        <v>4</v>
      </c>
      <c r="J1200">
        <v>163.96</v>
      </c>
    </row>
    <row r="1201" spans="2:10">
      <c r="B1201" s="13" t="s">
        <v>3119</v>
      </c>
      <c r="C1201" s="13">
        <v>37.93</v>
      </c>
      <c r="H1201" t="s">
        <v>3136</v>
      </c>
      <c r="I1201" t="s">
        <v>3</v>
      </c>
      <c r="J1201">
        <v>37.93</v>
      </c>
    </row>
    <row r="1202" spans="2:10">
      <c r="B1202" s="13" t="s">
        <v>3122</v>
      </c>
      <c r="C1202" s="13">
        <v>23.832000000000001</v>
      </c>
      <c r="H1202" t="s">
        <v>3137</v>
      </c>
      <c r="I1202" t="s">
        <v>5</v>
      </c>
      <c r="J1202">
        <v>23.832000000000001</v>
      </c>
    </row>
    <row r="1203" spans="2:10">
      <c r="B1203" s="13" t="s">
        <v>3126</v>
      </c>
      <c r="C1203" s="13">
        <v>510.24</v>
      </c>
      <c r="H1203" t="s">
        <v>3138</v>
      </c>
      <c r="I1203" t="s">
        <v>3</v>
      </c>
      <c r="J1203">
        <v>510.24</v>
      </c>
    </row>
    <row r="1204" spans="2:10">
      <c r="B1204" s="13" t="s">
        <v>3114</v>
      </c>
      <c r="C1204" s="13">
        <v>204.95000000000002</v>
      </c>
      <c r="H1204" t="s">
        <v>3138</v>
      </c>
      <c r="I1204" t="s">
        <v>5</v>
      </c>
      <c r="J1204">
        <v>204.95000000000002</v>
      </c>
    </row>
    <row r="1205" spans="2:10">
      <c r="B1205" s="13" t="s">
        <v>3120</v>
      </c>
      <c r="C1205" s="13">
        <v>11.54</v>
      </c>
      <c r="H1205" t="s">
        <v>3138</v>
      </c>
      <c r="I1205" t="s">
        <v>4</v>
      </c>
      <c r="J1205">
        <v>11.54</v>
      </c>
    </row>
    <row r="1206" spans="2:10">
      <c r="B1206" s="13" t="s">
        <v>3119</v>
      </c>
      <c r="C1206" s="13">
        <v>162.60000000000002</v>
      </c>
      <c r="H1206" t="s">
        <v>3138</v>
      </c>
      <c r="I1206" t="s">
        <v>3</v>
      </c>
      <c r="J1206">
        <v>162.60000000000002</v>
      </c>
    </row>
    <row r="1207" spans="2:10">
      <c r="B1207" s="13" t="s">
        <v>3123</v>
      </c>
      <c r="C1207" s="13">
        <v>23.55</v>
      </c>
      <c r="H1207" t="s">
        <v>3137</v>
      </c>
      <c r="I1207" t="s">
        <v>5</v>
      </c>
      <c r="J1207">
        <v>23.55</v>
      </c>
    </row>
    <row r="1208" spans="2:10">
      <c r="B1208" s="13" t="s">
        <v>3122</v>
      </c>
      <c r="C1208" s="13">
        <v>35.712000000000003</v>
      </c>
      <c r="H1208" t="s">
        <v>3137</v>
      </c>
      <c r="I1208" t="s">
        <v>5</v>
      </c>
      <c r="J1208">
        <v>35.712000000000003</v>
      </c>
    </row>
    <row r="1209" spans="2:10">
      <c r="B1209" s="13" t="s">
        <v>3122</v>
      </c>
      <c r="C1209" s="13">
        <v>7.0559999999999992</v>
      </c>
      <c r="H1209" t="s">
        <v>3137</v>
      </c>
      <c r="I1209" t="s">
        <v>5</v>
      </c>
      <c r="J1209">
        <v>7.0559999999999992</v>
      </c>
    </row>
    <row r="1210" spans="2:10">
      <c r="B1210" s="13" t="s">
        <v>3114</v>
      </c>
      <c r="C1210" s="13">
        <v>26.38</v>
      </c>
      <c r="H1210" t="s">
        <v>3136</v>
      </c>
      <c r="I1210" t="s">
        <v>5</v>
      </c>
      <c r="J1210">
        <v>26.38</v>
      </c>
    </row>
    <row r="1211" spans="2:10">
      <c r="B1211" s="13" t="s">
        <v>3119</v>
      </c>
      <c r="C1211" s="13">
        <v>71.97</v>
      </c>
      <c r="H1211" t="s">
        <v>3136</v>
      </c>
      <c r="I1211" t="s">
        <v>3</v>
      </c>
      <c r="J1211">
        <v>71.97</v>
      </c>
    </row>
    <row r="1212" spans="2:10">
      <c r="B1212" s="13" t="s">
        <v>3119</v>
      </c>
      <c r="C1212" s="13">
        <v>198.46</v>
      </c>
      <c r="H1212" t="s">
        <v>3138</v>
      </c>
      <c r="I1212" t="s">
        <v>3</v>
      </c>
      <c r="J1212">
        <v>198.46</v>
      </c>
    </row>
    <row r="1213" spans="2:10">
      <c r="B1213" s="13" t="s">
        <v>3125</v>
      </c>
      <c r="C1213" s="13">
        <v>321.92</v>
      </c>
      <c r="H1213" t="s">
        <v>3138</v>
      </c>
      <c r="I1213" t="s">
        <v>5</v>
      </c>
      <c r="J1213">
        <v>321.92</v>
      </c>
    </row>
    <row r="1214" spans="2:10">
      <c r="B1214" s="13" t="s">
        <v>3127</v>
      </c>
      <c r="C1214" s="13">
        <v>879.98400000000004</v>
      </c>
      <c r="H1214" t="s">
        <v>3138</v>
      </c>
      <c r="I1214" t="s">
        <v>4</v>
      </c>
      <c r="J1214">
        <v>879.98400000000004</v>
      </c>
    </row>
    <row r="1215" spans="2:10">
      <c r="B1215" s="13" t="s">
        <v>3129</v>
      </c>
      <c r="C1215" s="13">
        <v>28.4</v>
      </c>
      <c r="H1215" t="s">
        <v>3138</v>
      </c>
      <c r="I1215" t="s">
        <v>5</v>
      </c>
      <c r="J1215">
        <v>28.4</v>
      </c>
    </row>
    <row r="1216" spans="2:10">
      <c r="B1216" s="13" t="s">
        <v>3115</v>
      </c>
      <c r="C1216" s="13">
        <v>230.28000000000003</v>
      </c>
      <c r="H1216" t="s">
        <v>3138</v>
      </c>
      <c r="I1216" t="s">
        <v>3</v>
      </c>
      <c r="J1216">
        <v>230.28000000000003</v>
      </c>
    </row>
    <row r="1217" spans="2:10">
      <c r="B1217" s="13" t="s">
        <v>3114</v>
      </c>
      <c r="C1217" s="13">
        <v>116.28</v>
      </c>
      <c r="H1217" t="s">
        <v>3138</v>
      </c>
      <c r="I1217" t="s">
        <v>5</v>
      </c>
      <c r="J1217">
        <v>116.28</v>
      </c>
    </row>
    <row r="1218" spans="2:10">
      <c r="B1218" s="13" t="s">
        <v>3118</v>
      </c>
      <c r="C1218" s="13">
        <v>841.5680000000001</v>
      </c>
      <c r="H1218" t="s">
        <v>3138</v>
      </c>
      <c r="I1218" t="s">
        <v>5</v>
      </c>
      <c r="J1218">
        <v>841.5680000000001</v>
      </c>
    </row>
    <row r="1219" spans="2:10">
      <c r="B1219" s="13" t="s">
        <v>3117</v>
      </c>
      <c r="C1219" s="13">
        <v>354.90000000000003</v>
      </c>
      <c r="H1219" t="s">
        <v>3138</v>
      </c>
      <c r="I1219" t="s">
        <v>5</v>
      </c>
      <c r="J1219">
        <v>354.90000000000003</v>
      </c>
    </row>
    <row r="1220" spans="2:10">
      <c r="B1220" s="13" t="s">
        <v>3114</v>
      </c>
      <c r="C1220" s="13">
        <v>87.6</v>
      </c>
      <c r="H1220" t="s">
        <v>3136</v>
      </c>
      <c r="I1220" t="s">
        <v>5</v>
      </c>
      <c r="J1220">
        <v>87.6</v>
      </c>
    </row>
    <row r="1221" spans="2:10">
      <c r="B1221" s="13" t="s">
        <v>3118</v>
      </c>
      <c r="C1221" s="13">
        <v>1.7879999999999996</v>
      </c>
      <c r="H1221" t="s">
        <v>3137</v>
      </c>
      <c r="I1221" t="s">
        <v>5</v>
      </c>
      <c r="J1221">
        <v>1.7879999999999996</v>
      </c>
    </row>
    <row r="1222" spans="2:10">
      <c r="B1222" s="13" t="s">
        <v>3116</v>
      </c>
      <c r="C1222" s="13">
        <v>71.975999999999999</v>
      </c>
      <c r="H1222" t="s">
        <v>3135</v>
      </c>
      <c r="I1222" t="s">
        <v>4</v>
      </c>
      <c r="J1222">
        <v>71.975999999999999</v>
      </c>
    </row>
    <row r="1223" spans="2:10">
      <c r="B1223" s="13" t="s">
        <v>3114</v>
      </c>
      <c r="C1223" s="13">
        <v>37.94</v>
      </c>
      <c r="H1223" t="s">
        <v>3136</v>
      </c>
      <c r="I1223" t="s">
        <v>5</v>
      </c>
      <c r="J1223">
        <v>37.94</v>
      </c>
    </row>
    <row r="1224" spans="2:10">
      <c r="B1224" s="13" t="s">
        <v>3114</v>
      </c>
      <c r="C1224" s="13">
        <v>8.9039999999999999</v>
      </c>
      <c r="H1224" t="s">
        <v>3135</v>
      </c>
      <c r="I1224" t="s">
        <v>5</v>
      </c>
      <c r="J1224">
        <v>8.9039999999999999</v>
      </c>
    </row>
    <row r="1225" spans="2:10">
      <c r="B1225" s="13" t="s">
        <v>3117</v>
      </c>
      <c r="C1225" s="13">
        <v>720.06400000000008</v>
      </c>
      <c r="H1225" t="s">
        <v>3135</v>
      </c>
      <c r="I1225" t="s">
        <v>5</v>
      </c>
      <c r="J1225">
        <v>720.06400000000008</v>
      </c>
    </row>
    <row r="1226" spans="2:10">
      <c r="B1226" s="13" t="s">
        <v>3120</v>
      </c>
      <c r="C1226" s="13">
        <v>41.424000000000007</v>
      </c>
      <c r="H1226" t="s">
        <v>3135</v>
      </c>
      <c r="I1226" t="s">
        <v>4</v>
      </c>
      <c r="J1226">
        <v>41.424000000000007</v>
      </c>
    </row>
    <row r="1227" spans="2:10">
      <c r="B1227" s="13" t="s">
        <v>3118</v>
      </c>
      <c r="C1227" s="13">
        <v>3.1320000000000001</v>
      </c>
      <c r="H1227" t="s">
        <v>3136</v>
      </c>
      <c r="I1227" t="s">
        <v>5</v>
      </c>
      <c r="J1227">
        <v>3.1320000000000001</v>
      </c>
    </row>
    <row r="1228" spans="2:10">
      <c r="B1228" s="13" t="s">
        <v>3114</v>
      </c>
      <c r="C1228" s="13">
        <v>251.64</v>
      </c>
      <c r="H1228" t="s">
        <v>3135</v>
      </c>
      <c r="I1228" t="s">
        <v>5</v>
      </c>
      <c r="J1228">
        <v>251.64</v>
      </c>
    </row>
    <row r="1229" spans="2:10">
      <c r="B1229" s="13" t="s">
        <v>3126</v>
      </c>
      <c r="C1229" s="13">
        <v>523.76400000000001</v>
      </c>
      <c r="H1229" t="s">
        <v>3135</v>
      </c>
      <c r="I1229" t="s">
        <v>3</v>
      </c>
      <c r="J1229">
        <v>523.76400000000001</v>
      </c>
    </row>
    <row r="1230" spans="2:10">
      <c r="B1230" s="13" t="s">
        <v>3116</v>
      </c>
      <c r="C1230" s="13">
        <v>1359.96</v>
      </c>
      <c r="H1230" t="s">
        <v>3135</v>
      </c>
      <c r="I1230" t="s">
        <v>4</v>
      </c>
      <c r="J1230">
        <v>1359.96</v>
      </c>
    </row>
    <row r="1231" spans="2:10">
      <c r="B1231" s="13" t="s">
        <v>3121</v>
      </c>
      <c r="C1231" s="13">
        <v>25.06</v>
      </c>
      <c r="H1231" t="s">
        <v>3137</v>
      </c>
      <c r="I1231" t="s">
        <v>5</v>
      </c>
      <c r="J1231">
        <v>25.06</v>
      </c>
    </row>
    <row r="1232" spans="2:10">
      <c r="B1232" s="13" t="s">
        <v>3118</v>
      </c>
      <c r="C1232" s="13">
        <v>12.816000000000001</v>
      </c>
      <c r="H1232" t="s">
        <v>3136</v>
      </c>
      <c r="I1232" t="s">
        <v>5</v>
      </c>
      <c r="J1232">
        <v>12.816000000000001</v>
      </c>
    </row>
    <row r="1233" spans="2:10">
      <c r="B1233" s="13" t="s">
        <v>3128</v>
      </c>
      <c r="C1233" s="13">
        <v>314.35199999999998</v>
      </c>
      <c r="H1233" t="s">
        <v>3136</v>
      </c>
      <c r="I1233" t="s">
        <v>3</v>
      </c>
      <c r="J1233">
        <v>314.35199999999998</v>
      </c>
    </row>
    <row r="1234" spans="2:10">
      <c r="B1234" s="13" t="s">
        <v>3114</v>
      </c>
      <c r="C1234" s="13">
        <v>18.98</v>
      </c>
      <c r="H1234" t="s">
        <v>3136</v>
      </c>
      <c r="I1234" t="s">
        <v>5</v>
      </c>
      <c r="J1234">
        <v>18.98</v>
      </c>
    </row>
    <row r="1235" spans="2:10">
      <c r="B1235" s="13" t="s">
        <v>3118</v>
      </c>
      <c r="C1235" s="13">
        <v>18.240000000000002</v>
      </c>
      <c r="H1235" t="s">
        <v>3136</v>
      </c>
      <c r="I1235" t="s">
        <v>5</v>
      </c>
      <c r="J1235">
        <v>18.240000000000002</v>
      </c>
    </row>
    <row r="1236" spans="2:10">
      <c r="B1236" s="13" t="s">
        <v>3115</v>
      </c>
      <c r="C1236" s="13">
        <v>1458.65</v>
      </c>
      <c r="H1236" t="s">
        <v>3137</v>
      </c>
      <c r="I1236" t="s">
        <v>3</v>
      </c>
      <c r="J1236">
        <v>1458.65</v>
      </c>
    </row>
    <row r="1237" spans="2:10">
      <c r="B1237" s="13" t="s">
        <v>3115</v>
      </c>
      <c r="C1237" s="13">
        <v>26.64</v>
      </c>
      <c r="H1237" t="s">
        <v>3137</v>
      </c>
      <c r="I1237" t="s">
        <v>3</v>
      </c>
      <c r="J1237">
        <v>26.64</v>
      </c>
    </row>
    <row r="1238" spans="2:10">
      <c r="B1238" s="13" t="s">
        <v>3115</v>
      </c>
      <c r="C1238" s="13">
        <v>476.8</v>
      </c>
      <c r="H1238" t="s">
        <v>3137</v>
      </c>
      <c r="I1238" t="s">
        <v>3</v>
      </c>
      <c r="J1238">
        <v>476.8</v>
      </c>
    </row>
    <row r="1239" spans="2:10">
      <c r="B1239" s="13" t="s">
        <v>3125</v>
      </c>
      <c r="C1239" s="13">
        <v>87.444000000000003</v>
      </c>
      <c r="H1239" t="s">
        <v>3137</v>
      </c>
      <c r="I1239" t="s">
        <v>5</v>
      </c>
      <c r="J1239">
        <v>87.444000000000003</v>
      </c>
    </row>
    <row r="1240" spans="2:10">
      <c r="B1240" s="13" t="s">
        <v>3117</v>
      </c>
      <c r="C1240" s="13">
        <v>501.81000000000006</v>
      </c>
      <c r="H1240" t="s">
        <v>3137</v>
      </c>
      <c r="I1240" t="s">
        <v>5</v>
      </c>
      <c r="J1240">
        <v>501.81000000000006</v>
      </c>
    </row>
    <row r="1241" spans="2:10">
      <c r="B1241" s="13" t="s">
        <v>3118</v>
      </c>
      <c r="C1241" s="13">
        <v>691.96</v>
      </c>
      <c r="H1241" t="s">
        <v>3135</v>
      </c>
      <c r="I1241" t="s">
        <v>5</v>
      </c>
      <c r="J1241">
        <v>691.96</v>
      </c>
    </row>
    <row r="1242" spans="2:10">
      <c r="B1242" s="13" t="s">
        <v>3120</v>
      </c>
      <c r="C1242" s="13">
        <v>34.950000000000003</v>
      </c>
      <c r="H1242" t="s">
        <v>3135</v>
      </c>
      <c r="I1242" t="s">
        <v>4</v>
      </c>
      <c r="J1242">
        <v>34.950000000000003</v>
      </c>
    </row>
    <row r="1243" spans="2:10">
      <c r="B1243" s="13" t="s">
        <v>3118</v>
      </c>
      <c r="C1243" s="13">
        <v>33.567999999999991</v>
      </c>
      <c r="H1243" t="s">
        <v>3137</v>
      </c>
      <c r="I1243" t="s">
        <v>5</v>
      </c>
      <c r="J1243">
        <v>33.567999999999991</v>
      </c>
    </row>
    <row r="1244" spans="2:10">
      <c r="B1244" s="13" t="s">
        <v>3119</v>
      </c>
      <c r="C1244" s="13">
        <v>4.95</v>
      </c>
      <c r="H1244" t="s">
        <v>3138</v>
      </c>
      <c r="I1244" t="s">
        <v>3</v>
      </c>
      <c r="J1244">
        <v>4.95</v>
      </c>
    </row>
    <row r="1245" spans="2:10">
      <c r="B1245" s="13" t="s">
        <v>3117</v>
      </c>
      <c r="C1245" s="13">
        <v>26.400000000000002</v>
      </c>
      <c r="H1245" t="s">
        <v>3138</v>
      </c>
      <c r="I1245" t="s">
        <v>5</v>
      </c>
      <c r="J1245">
        <v>26.400000000000002</v>
      </c>
    </row>
    <row r="1246" spans="2:10">
      <c r="B1246" s="13" t="s">
        <v>3118</v>
      </c>
      <c r="C1246" s="13">
        <v>3.5639999999999992</v>
      </c>
      <c r="H1246" t="s">
        <v>3137</v>
      </c>
      <c r="I1246" t="s">
        <v>5</v>
      </c>
      <c r="J1246">
        <v>3.5639999999999992</v>
      </c>
    </row>
    <row r="1247" spans="2:10">
      <c r="B1247" s="13" t="s">
        <v>3116</v>
      </c>
      <c r="C1247" s="13">
        <v>823.96000000000015</v>
      </c>
      <c r="H1247" t="s">
        <v>3137</v>
      </c>
      <c r="I1247" t="s">
        <v>4</v>
      </c>
      <c r="J1247">
        <v>823.96000000000015</v>
      </c>
    </row>
    <row r="1248" spans="2:10">
      <c r="B1248" s="13" t="s">
        <v>3122</v>
      </c>
      <c r="C1248" s="13">
        <v>10.272000000000002</v>
      </c>
      <c r="H1248" t="s">
        <v>3137</v>
      </c>
      <c r="I1248" t="s">
        <v>5</v>
      </c>
      <c r="J1248">
        <v>10.272000000000002</v>
      </c>
    </row>
    <row r="1249" spans="2:10">
      <c r="B1249" s="13" t="s">
        <v>3126</v>
      </c>
      <c r="C1249" s="13">
        <v>480.96</v>
      </c>
      <c r="H1249" t="s">
        <v>3137</v>
      </c>
      <c r="I1249" t="s">
        <v>3</v>
      </c>
      <c r="J1249">
        <v>480.96</v>
      </c>
    </row>
    <row r="1250" spans="2:10">
      <c r="B1250" s="13" t="s">
        <v>3116</v>
      </c>
      <c r="C1250" s="13">
        <v>124.79200000000002</v>
      </c>
      <c r="H1250" t="s">
        <v>3137</v>
      </c>
      <c r="I1250" t="s">
        <v>4</v>
      </c>
      <c r="J1250">
        <v>124.79200000000002</v>
      </c>
    </row>
    <row r="1251" spans="2:10">
      <c r="B1251" s="13" t="s">
        <v>3122</v>
      </c>
      <c r="C1251" s="13">
        <v>10.64</v>
      </c>
      <c r="H1251" t="s">
        <v>3138</v>
      </c>
      <c r="I1251" t="s">
        <v>5</v>
      </c>
      <c r="J1251">
        <v>10.64</v>
      </c>
    </row>
    <row r="1252" spans="2:10">
      <c r="B1252" s="13" t="s">
        <v>3120</v>
      </c>
      <c r="C1252" s="13">
        <v>155.34</v>
      </c>
      <c r="H1252" t="s">
        <v>3137</v>
      </c>
      <c r="I1252" t="s">
        <v>4</v>
      </c>
      <c r="J1252">
        <v>155.34</v>
      </c>
    </row>
    <row r="1253" spans="2:10">
      <c r="B1253" s="13" t="s">
        <v>3118</v>
      </c>
      <c r="C1253" s="13">
        <v>12.127999999999997</v>
      </c>
      <c r="H1253" t="s">
        <v>3137</v>
      </c>
      <c r="I1253" t="s">
        <v>5</v>
      </c>
      <c r="J1253">
        <v>12.127999999999997</v>
      </c>
    </row>
    <row r="1254" spans="2:10">
      <c r="B1254" s="13" t="s">
        <v>3120</v>
      </c>
      <c r="C1254" s="13">
        <v>48.9</v>
      </c>
      <c r="H1254" t="s">
        <v>3135</v>
      </c>
      <c r="I1254" t="s">
        <v>4</v>
      </c>
      <c r="J1254">
        <v>48.9</v>
      </c>
    </row>
    <row r="1255" spans="2:10">
      <c r="B1255" s="13" t="s">
        <v>3123</v>
      </c>
      <c r="C1255" s="13">
        <v>3.5519999999999996</v>
      </c>
      <c r="H1255" t="s">
        <v>3137</v>
      </c>
      <c r="I1255" t="s">
        <v>5</v>
      </c>
      <c r="J1255">
        <v>3.5519999999999996</v>
      </c>
    </row>
    <row r="1256" spans="2:10">
      <c r="B1256" s="13" t="s">
        <v>3114</v>
      </c>
      <c r="C1256" s="13">
        <v>15.552000000000003</v>
      </c>
      <c r="H1256" t="s">
        <v>3137</v>
      </c>
      <c r="I1256" t="s">
        <v>5</v>
      </c>
      <c r="J1256">
        <v>15.552000000000003</v>
      </c>
    </row>
    <row r="1257" spans="2:10">
      <c r="B1257" s="13" t="s">
        <v>3123</v>
      </c>
      <c r="C1257" s="13">
        <v>2.3679999999999999</v>
      </c>
      <c r="H1257" t="s">
        <v>3137</v>
      </c>
      <c r="I1257" t="s">
        <v>5</v>
      </c>
      <c r="J1257">
        <v>2.3679999999999999</v>
      </c>
    </row>
    <row r="1258" spans="2:10">
      <c r="B1258" s="13" t="s">
        <v>3120</v>
      </c>
      <c r="C1258" s="13">
        <v>127.98399999999999</v>
      </c>
      <c r="H1258" t="s">
        <v>3136</v>
      </c>
      <c r="I1258" t="s">
        <v>4</v>
      </c>
      <c r="J1258">
        <v>127.98399999999999</v>
      </c>
    </row>
    <row r="1259" spans="2:10">
      <c r="B1259" s="13" t="s">
        <v>3116</v>
      </c>
      <c r="C1259" s="13">
        <v>470.37600000000009</v>
      </c>
      <c r="H1259" t="s">
        <v>3137</v>
      </c>
      <c r="I1259" t="s">
        <v>4</v>
      </c>
      <c r="J1259">
        <v>470.37600000000009</v>
      </c>
    </row>
    <row r="1260" spans="2:10">
      <c r="B1260" s="13" t="s">
        <v>3114</v>
      </c>
      <c r="C1260" s="13">
        <v>19.440000000000001</v>
      </c>
      <c r="H1260" t="s">
        <v>3136</v>
      </c>
      <c r="I1260" t="s">
        <v>5</v>
      </c>
      <c r="J1260">
        <v>19.440000000000001</v>
      </c>
    </row>
    <row r="1261" spans="2:10">
      <c r="B1261" s="13" t="s">
        <v>3119</v>
      </c>
      <c r="C1261" s="13">
        <v>9.82</v>
      </c>
      <c r="H1261" t="s">
        <v>3136</v>
      </c>
      <c r="I1261" t="s">
        <v>3</v>
      </c>
      <c r="J1261">
        <v>9.82</v>
      </c>
    </row>
    <row r="1262" spans="2:10">
      <c r="B1262" s="13" t="s">
        <v>3126</v>
      </c>
      <c r="C1262" s="13">
        <v>801.59999999999991</v>
      </c>
      <c r="H1262" t="s">
        <v>3138</v>
      </c>
      <c r="I1262" t="s">
        <v>3</v>
      </c>
      <c r="J1262">
        <v>801.59999999999991</v>
      </c>
    </row>
    <row r="1263" spans="2:10">
      <c r="B1263" s="13" t="s">
        <v>3115</v>
      </c>
      <c r="C1263" s="13">
        <v>161.56800000000001</v>
      </c>
      <c r="H1263" t="s">
        <v>3138</v>
      </c>
      <c r="I1263" t="s">
        <v>3</v>
      </c>
      <c r="J1263">
        <v>161.56800000000001</v>
      </c>
    </row>
    <row r="1264" spans="2:10">
      <c r="B1264" s="13" t="s">
        <v>3114</v>
      </c>
      <c r="C1264" s="13">
        <v>16.096</v>
      </c>
      <c r="H1264" t="s">
        <v>3138</v>
      </c>
      <c r="I1264" t="s">
        <v>5</v>
      </c>
      <c r="J1264">
        <v>16.096</v>
      </c>
    </row>
    <row r="1265" spans="2:10">
      <c r="B1265" s="13" t="s">
        <v>3118</v>
      </c>
      <c r="C1265" s="13">
        <v>7.6560000000000006</v>
      </c>
      <c r="H1265" t="s">
        <v>3138</v>
      </c>
      <c r="I1265" t="s">
        <v>5</v>
      </c>
      <c r="J1265">
        <v>7.6560000000000006</v>
      </c>
    </row>
    <row r="1266" spans="2:10">
      <c r="B1266" s="13" t="s">
        <v>3115</v>
      </c>
      <c r="C1266" s="13">
        <v>311.97600000000006</v>
      </c>
      <c r="H1266" t="s">
        <v>3138</v>
      </c>
      <c r="I1266" t="s">
        <v>3</v>
      </c>
      <c r="J1266">
        <v>311.97600000000006</v>
      </c>
    </row>
    <row r="1267" spans="2:10">
      <c r="B1267" s="13" t="s">
        <v>3114</v>
      </c>
      <c r="C1267" s="13">
        <v>25.344000000000001</v>
      </c>
      <c r="H1267" t="s">
        <v>3137</v>
      </c>
      <c r="I1267" t="s">
        <v>5</v>
      </c>
      <c r="J1267">
        <v>25.344000000000001</v>
      </c>
    </row>
    <row r="1268" spans="2:10">
      <c r="B1268" s="13" t="s">
        <v>3114</v>
      </c>
      <c r="C1268" s="13">
        <v>26.720000000000002</v>
      </c>
      <c r="H1268" t="s">
        <v>3137</v>
      </c>
      <c r="I1268" t="s">
        <v>5</v>
      </c>
      <c r="J1268">
        <v>26.720000000000002</v>
      </c>
    </row>
    <row r="1269" spans="2:10">
      <c r="B1269" s="13" t="s">
        <v>3122</v>
      </c>
      <c r="C1269" s="13">
        <v>9.3999999999999986</v>
      </c>
      <c r="H1269" t="s">
        <v>3138</v>
      </c>
      <c r="I1269" t="s">
        <v>5</v>
      </c>
      <c r="J1269">
        <v>9.3999999999999986</v>
      </c>
    </row>
    <row r="1270" spans="2:10">
      <c r="B1270" s="13" t="s">
        <v>3121</v>
      </c>
      <c r="C1270" s="13">
        <v>74</v>
      </c>
      <c r="H1270" t="s">
        <v>3138</v>
      </c>
      <c r="I1270" t="s">
        <v>5</v>
      </c>
      <c r="J1270">
        <v>74</v>
      </c>
    </row>
    <row r="1271" spans="2:10">
      <c r="B1271" s="13" t="s">
        <v>3116</v>
      </c>
      <c r="C1271" s="13">
        <v>201.584</v>
      </c>
      <c r="H1271" t="s">
        <v>3138</v>
      </c>
      <c r="I1271" t="s">
        <v>4</v>
      </c>
      <c r="J1271">
        <v>201.584</v>
      </c>
    </row>
    <row r="1272" spans="2:10">
      <c r="B1272" s="13" t="s">
        <v>3119</v>
      </c>
      <c r="C1272" s="13">
        <v>14.56</v>
      </c>
      <c r="H1272" t="s">
        <v>3136</v>
      </c>
      <c r="I1272" t="s">
        <v>3</v>
      </c>
      <c r="J1272">
        <v>14.56</v>
      </c>
    </row>
    <row r="1273" spans="2:10">
      <c r="B1273" s="13" t="s">
        <v>3118</v>
      </c>
      <c r="C1273" s="13">
        <v>3.048</v>
      </c>
      <c r="H1273" t="s">
        <v>3136</v>
      </c>
      <c r="I1273" t="s">
        <v>5</v>
      </c>
      <c r="J1273">
        <v>3.048</v>
      </c>
    </row>
    <row r="1274" spans="2:10">
      <c r="B1274" s="13" t="s">
        <v>3114</v>
      </c>
      <c r="C1274" s="13">
        <v>25.920000000000005</v>
      </c>
      <c r="H1274" t="s">
        <v>3135</v>
      </c>
      <c r="I1274" t="s">
        <v>5</v>
      </c>
      <c r="J1274">
        <v>25.920000000000005</v>
      </c>
    </row>
    <row r="1275" spans="2:10">
      <c r="B1275" s="13" t="s">
        <v>3114</v>
      </c>
      <c r="C1275" s="13">
        <v>44.384</v>
      </c>
      <c r="H1275" t="s">
        <v>3135</v>
      </c>
      <c r="I1275" t="s">
        <v>5</v>
      </c>
      <c r="J1275">
        <v>44.384</v>
      </c>
    </row>
    <row r="1276" spans="2:10">
      <c r="B1276" s="13" t="s">
        <v>3129</v>
      </c>
      <c r="C1276" s="13">
        <v>2.9440000000000004</v>
      </c>
      <c r="H1276" t="s">
        <v>3135</v>
      </c>
      <c r="I1276" t="s">
        <v>5</v>
      </c>
      <c r="J1276">
        <v>2.9440000000000004</v>
      </c>
    </row>
    <row r="1277" spans="2:10">
      <c r="B1277" s="13" t="s">
        <v>3114</v>
      </c>
      <c r="C1277" s="13">
        <v>12.7</v>
      </c>
      <c r="H1277" t="s">
        <v>3136</v>
      </c>
      <c r="I1277" t="s">
        <v>5</v>
      </c>
      <c r="J1277">
        <v>12.7</v>
      </c>
    </row>
    <row r="1278" spans="2:10">
      <c r="B1278" s="13" t="s">
        <v>3122</v>
      </c>
      <c r="C1278" s="13">
        <v>12.84</v>
      </c>
      <c r="H1278" t="s">
        <v>3138</v>
      </c>
      <c r="I1278" t="s">
        <v>5</v>
      </c>
      <c r="J1278">
        <v>12.84</v>
      </c>
    </row>
    <row r="1279" spans="2:10">
      <c r="B1279" s="13" t="s">
        <v>3119</v>
      </c>
      <c r="C1279" s="13">
        <v>44.67</v>
      </c>
      <c r="H1279" t="s">
        <v>3138</v>
      </c>
      <c r="I1279" t="s">
        <v>3</v>
      </c>
      <c r="J1279">
        <v>44.67</v>
      </c>
    </row>
    <row r="1280" spans="2:10">
      <c r="B1280" s="13" t="s">
        <v>3123</v>
      </c>
      <c r="C1280" s="13">
        <v>8.94</v>
      </c>
      <c r="H1280" t="s">
        <v>3138</v>
      </c>
      <c r="I1280" t="s">
        <v>5</v>
      </c>
      <c r="J1280">
        <v>8.94</v>
      </c>
    </row>
    <row r="1281" spans="2:10">
      <c r="B1281" s="13" t="s">
        <v>3116</v>
      </c>
      <c r="C1281" s="13">
        <v>84.784000000000006</v>
      </c>
      <c r="H1281" t="s">
        <v>3138</v>
      </c>
      <c r="I1281" t="s">
        <v>4</v>
      </c>
      <c r="J1281">
        <v>84.784000000000006</v>
      </c>
    </row>
    <row r="1282" spans="2:10">
      <c r="B1282" s="13" t="s">
        <v>3119</v>
      </c>
      <c r="C1282" s="13">
        <v>22.77</v>
      </c>
      <c r="H1282" t="s">
        <v>3138</v>
      </c>
      <c r="I1282" t="s">
        <v>3</v>
      </c>
      <c r="J1282">
        <v>22.77</v>
      </c>
    </row>
    <row r="1283" spans="2:10">
      <c r="B1283" s="13" t="s">
        <v>3117</v>
      </c>
      <c r="C1283" s="13">
        <v>2591.56</v>
      </c>
      <c r="H1283" t="s">
        <v>3136</v>
      </c>
      <c r="I1283" t="s">
        <v>5</v>
      </c>
      <c r="J1283">
        <v>2591.56</v>
      </c>
    </row>
    <row r="1284" spans="2:10">
      <c r="B1284" s="13" t="s">
        <v>3125</v>
      </c>
      <c r="C1284" s="13">
        <v>41.95</v>
      </c>
      <c r="H1284" t="s">
        <v>3136</v>
      </c>
      <c r="I1284" t="s">
        <v>5</v>
      </c>
      <c r="J1284">
        <v>41.95</v>
      </c>
    </row>
    <row r="1285" spans="2:10">
      <c r="B1285" s="13" t="s">
        <v>3119</v>
      </c>
      <c r="C1285" s="13">
        <v>474.43</v>
      </c>
      <c r="H1285" t="s">
        <v>3138</v>
      </c>
      <c r="I1285" t="s">
        <v>3</v>
      </c>
      <c r="J1285">
        <v>474.43</v>
      </c>
    </row>
    <row r="1286" spans="2:10">
      <c r="B1286" s="13" t="s">
        <v>3114</v>
      </c>
      <c r="C1286" s="13">
        <v>8.4480000000000004</v>
      </c>
      <c r="H1286" t="s">
        <v>3136</v>
      </c>
      <c r="I1286" t="s">
        <v>5</v>
      </c>
      <c r="J1286">
        <v>8.4480000000000004</v>
      </c>
    </row>
    <row r="1287" spans="2:10">
      <c r="B1287" s="13" t="s">
        <v>3117</v>
      </c>
      <c r="C1287" s="13">
        <v>39.295999999999999</v>
      </c>
      <c r="H1287" t="s">
        <v>3136</v>
      </c>
      <c r="I1287" t="s">
        <v>5</v>
      </c>
      <c r="J1287">
        <v>39.295999999999999</v>
      </c>
    </row>
    <row r="1288" spans="2:10">
      <c r="B1288" s="13" t="s">
        <v>3128</v>
      </c>
      <c r="C1288" s="13">
        <v>556.66499999999996</v>
      </c>
      <c r="H1288" t="s">
        <v>3138</v>
      </c>
      <c r="I1288" t="s">
        <v>3</v>
      </c>
      <c r="J1288">
        <v>556.66499999999996</v>
      </c>
    </row>
    <row r="1289" spans="2:10">
      <c r="B1289" s="13" t="s">
        <v>3116</v>
      </c>
      <c r="C1289" s="13">
        <v>95.84</v>
      </c>
      <c r="H1289" t="s">
        <v>3138</v>
      </c>
      <c r="I1289" t="s">
        <v>4</v>
      </c>
      <c r="J1289">
        <v>95.84</v>
      </c>
    </row>
    <row r="1290" spans="2:10">
      <c r="B1290" s="13" t="s">
        <v>3114</v>
      </c>
      <c r="C1290" s="13">
        <v>29.664000000000001</v>
      </c>
      <c r="H1290" t="s">
        <v>3137</v>
      </c>
      <c r="I1290" t="s">
        <v>5</v>
      </c>
      <c r="J1290">
        <v>29.664000000000001</v>
      </c>
    </row>
    <row r="1291" spans="2:10">
      <c r="B1291" s="13" t="s">
        <v>3122</v>
      </c>
      <c r="C1291" s="13">
        <v>9.1840000000000011</v>
      </c>
      <c r="H1291" t="s">
        <v>3137</v>
      </c>
      <c r="I1291" t="s">
        <v>5</v>
      </c>
      <c r="J1291">
        <v>9.1840000000000011</v>
      </c>
    </row>
    <row r="1292" spans="2:10">
      <c r="B1292" s="13" t="s">
        <v>3116</v>
      </c>
      <c r="C1292" s="13">
        <v>153.584</v>
      </c>
      <c r="H1292" t="s">
        <v>3137</v>
      </c>
      <c r="I1292" t="s">
        <v>4</v>
      </c>
      <c r="J1292">
        <v>153.584</v>
      </c>
    </row>
    <row r="1293" spans="2:10">
      <c r="B1293" s="13" t="s">
        <v>3118</v>
      </c>
      <c r="C1293" s="13">
        <v>12.863999999999995</v>
      </c>
      <c r="H1293" t="s">
        <v>3137</v>
      </c>
      <c r="I1293" t="s">
        <v>5</v>
      </c>
      <c r="J1293">
        <v>12.863999999999995</v>
      </c>
    </row>
    <row r="1294" spans="2:10">
      <c r="B1294" s="13" t="s">
        <v>3130</v>
      </c>
      <c r="C1294" s="13">
        <v>479.97</v>
      </c>
      <c r="H1294" t="s">
        <v>3135</v>
      </c>
      <c r="I1294" t="s">
        <v>4</v>
      </c>
      <c r="J1294">
        <v>479.97</v>
      </c>
    </row>
    <row r="1295" spans="2:10">
      <c r="B1295" s="13" t="s">
        <v>3115</v>
      </c>
      <c r="C1295" s="13">
        <v>232.88</v>
      </c>
      <c r="H1295" t="s">
        <v>3135</v>
      </c>
      <c r="I1295" t="s">
        <v>3</v>
      </c>
      <c r="J1295">
        <v>232.88</v>
      </c>
    </row>
    <row r="1296" spans="2:10">
      <c r="B1296" s="13" t="s">
        <v>3125</v>
      </c>
      <c r="C1296" s="13">
        <v>23.991999999999994</v>
      </c>
      <c r="H1296" t="s">
        <v>3137</v>
      </c>
      <c r="I1296" t="s">
        <v>5</v>
      </c>
      <c r="J1296">
        <v>23.991999999999994</v>
      </c>
    </row>
    <row r="1297" spans="2:10">
      <c r="B1297" s="13" t="s">
        <v>3119</v>
      </c>
      <c r="C1297" s="13">
        <v>276.69</v>
      </c>
      <c r="H1297" t="s">
        <v>3136</v>
      </c>
      <c r="I1297" t="s">
        <v>3</v>
      </c>
      <c r="J1297">
        <v>276.69</v>
      </c>
    </row>
    <row r="1298" spans="2:10">
      <c r="B1298" s="13" t="s">
        <v>3115</v>
      </c>
      <c r="C1298" s="13">
        <v>172.76400000000001</v>
      </c>
      <c r="H1298" t="s">
        <v>3136</v>
      </c>
      <c r="I1298" t="s">
        <v>3</v>
      </c>
      <c r="J1298">
        <v>172.76400000000001</v>
      </c>
    </row>
    <row r="1299" spans="2:10">
      <c r="B1299" s="13" t="s">
        <v>3119</v>
      </c>
      <c r="C1299" s="13">
        <v>220.06399999999999</v>
      </c>
      <c r="H1299" t="s">
        <v>3135</v>
      </c>
      <c r="I1299" t="s">
        <v>3</v>
      </c>
      <c r="J1299">
        <v>220.06399999999999</v>
      </c>
    </row>
    <row r="1300" spans="2:10">
      <c r="B1300" s="13" t="s">
        <v>3119</v>
      </c>
      <c r="C1300" s="13">
        <v>339.13600000000002</v>
      </c>
      <c r="H1300" t="s">
        <v>3135</v>
      </c>
      <c r="I1300" t="s">
        <v>3</v>
      </c>
      <c r="J1300">
        <v>339.13600000000002</v>
      </c>
    </row>
    <row r="1301" spans="2:10">
      <c r="B1301" s="13" t="s">
        <v>3118</v>
      </c>
      <c r="C1301" s="13">
        <v>182.99399999999997</v>
      </c>
      <c r="H1301" t="s">
        <v>3137</v>
      </c>
      <c r="I1301" t="s">
        <v>5</v>
      </c>
      <c r="J1301">
        <v>182.99399999999997</v>
      </c>
    </row>
    <row r="1302" spans="2:10">
      <c r="B1302" s="13" t="s">
        <v>3114</v>
      </c>
      <c r="C1302" s="13">
        <v>10.272000000000002</v>
      </c>
      <c r="H1302" t="s">
        <v>3137</v>
      </c>
      <c r="I1302" t="s">
        <v>5</v>
      </c>
      <c r="J1302">
        <v>10.272000000000002</v>
      </c>
    </row>
    <row r="1303" spans="2:10">
      <c r="B1303" s="13" t="s">
        <v>3118</v>
      </c>
      <c r="C1303" s="13">
        <v>7.857000000000002</v>
      </c>
      <c r="H1303" t="s">
        <v>3138</v>
      </c>
      <c r="I1303" t="s">
        <v>5</v>
      </c>
      <c r="J1303">
        <v>7.857000000000002</v>
      </c>
    </row>
    <row r="1304" spans="2:10">
      <c r="B1304" s="13" t="s">
        <v>3117</v>
      </c>
      <c r="C1304" s="13">
        <v>221.024</v>
      </c>
      <c r="H1304" t="s">
        <v>3136</v>
      </c>
      <c r="I1304" t="s">
        <v>5</v>
      </c>
      <c r="J1304">
        <v>221.024</v>
      </c>
    </row>
    <row r="1305" spans="2:10">
      <c r="B1305" s="13" t="s">
        <v>3125</v>
      </c>
      <c r="C1305" s="13">
        <v>2.2639999999999993</v>
      </c>
      <c r="H1305" t="s">
        <v>3137</v>
      </c>
      <c r="I1305" t="s">
        <v>5</v>
      </c>
      <c r="J1305">
        <v>2.2639999999999993</v>
      </c>
    </row>
    <row r="1306" spans="2:10">
      <c r="B1306" s="13" t="s">
        <v>3125</v>
      </c>
      <c r="C1306" s="13">
        <v>0.44399999999999995</v>
      </c>
      <c r="H1306" t="s">
        <v>3137</v>
      </c>
      <c r="I1306" t="s">
        <v>5</v>
      </c>
      <c r="J1306">
        <v>0.44399999999999995</v>
      </c>
    </row>
    <row r="1307" spans="2:10">
      <c r="B1307" s="13" t="s">
        <v>3114</v>
      </c>
      <c r="C1307" s="13">
        <v>146.17600000000002</v>
      </c>
      <c r="H1307" t="s">
        <v>3137</v>
      </c>
      <c r="I1307" t="s">
        <v>5</v>
      </c>
      <c r="J1307">
        <v>146.17600000000002</v>
      </c>
    </row>
    <row r="1308" spans="2:10">
      <c r="B1308" s="13" t="s">
        <v>3119</v>
      </c>
      <c r="C1308" s="13">
        <v>15.92</v>
      </c>
      <c r="H1308" t="s">
        <v>3137</v>
      </c>
      <c r="I1308" t="s">
        <v>3</v>
      </c>
      <c r="J1308">
        <v>15.92</v>
      </c>
    </row>
    <row r="1309" spans="2:10">
      <c r="B1309" s="13" t="s">
        <v>3116</v>
      </c>
      <c r="C1309" s="13">
        <v>159.96000000000004</v>
      </c>
      <c r="H1309" t="s">
        <v>3138</v>
      </c>
      <c r="I1309" t="s">
        <v>4</v>
      </c>
      <c r="J1309">
        <v>159.96000000000004</v>
      </c>
    </row>
    <row r="1310" spans="2:10">
      <c r="B1310" s="13" t="s">
        <v>3118</v>
      </c>
      <c r="C1310" s="13">
        <v>13.76</v>
      </c>
      <c r="H1310" t="s">
        <v>3138</v>
      </c>
      <c r="I1310" t="s">
        <v>5</v>
      </c>
      <c r="J1310">
        <v>13.76</v>
      </c>
    </row>
    <row r="1311" spans="2:10">
      <c r="B1311" s="13" t="s">
        <v>3120</v>
      </c>
      <c r="C1311" s="13">
        <v>19.040000000000003</v>
      </c>
      <c r="H1311" t="s">
        <v>3136</v>
      </c>
      <c r="I1311" t="s">
        <v>4</v>
      </c>
      <c r="J1311">
        <v>19.040000000000003</v>
      </c>
    </row>
    <row r="1312" spans="2:10">
      <c r="B1312" s="13" t="s">
        <v>3114</v>
      </c>
      <c r="C1312" s="13">
        <v>37.44</v>
      </c>
      <c r="H1312" t="s">
        <v>3138</v>
      </c>
      <c r="I1312" t="s">
        <v>5</v>
      </c>
      <c r="J1312">
        <v>37.44</v>
      </c>
    </row>
    <row r="1313" spans="2:10">
      <c r="B1313" s="13" t="s">
        <v>3121</v>
      </c>
      <c r="C1313" s="13">
        <v>37.589999999999996</v>
      </c>
      <c r="H1313" t="s">
        <v>3138</v>
      </c>
      <c r="I1313" t="s">
        <v>5</v>
      </c>
      <c r="J1313">
        <v>37.589999999999996</v>
      </c>
    </row>
    <row r="1314" spans="2:10">
      <c r="B1314" s="13" t="s">
        <v>3118</v>
      </c>
      <c r="C1314" s="13">
        <v>26.032</v>
      </c>
      <c r="H1314" t="s">
        <v>3138</v>
      </c>
      <c r="I1314" t="s">
        <v>5</v>
      </c>
      <c r="J1314">
        <v>26.032</v>
      </c>
    </row>
    <row r="1315" spans="2:10">
      <c r="B1315" s="13" t="s">
        <v>3119</v>
      </c>
      <c r="C1315" s="13">
        <v>91.032000000000011</v>
      </c>
      <c r="H1315" t="s">
        <v>3135</v>
      </c>
      <c r="I1315" t="s">
        <v>3</v>
      </c>
      <c r="J1315">
        <v>91.032000000000011</v>
      </c>
    </row>
    <row r="1316" spans="2:10">
      <c r="B1316" s="13" t="s">
        <v>3122</v>
      </c>
      <c r="C1316" s="13">
        <v>54.66</v>
      </c>
      <c r="H1316" t="s">
        <v>3135</v>
      </c>
      <c r="I1316" t="s">
        <v>5</v>
      </c>
      <c r="J1316">
        <v>54.66</v>
      </c>
    </row>
    <row r="1317" spans="2:10">
      <c r="B1317" s="13" t="s">
        <v>3118</v>
      </c>
      <c r="C1317" s="13">
        <v>112.12000000000002</v>
      </c>
      <c r="H1317" t="s">
        <v>3138</v>
      </c>
      <c r="I1317" t="s">
        <v>5</v>
      </c>
      <c r="J1317">
        <v>112.12000000000002</v>
      </c>
    </row>
    <row r="1318" spans="2:10">
      <c r="B1318" s="13" t="s">
        <v>3117</v>
      </c>
      <c r="C1318" s="13">
        <v>1575.14</v>
      </c>
      <c r="H1318" t="s">
        <v>3138</v>
      </c>
      <c r="I1318" t="s">
        <v>5</v>
      </c>
      <c r="J1318">
        <v>1575.14</v>
      </c>
    </row>
    <row r="1319" spans="2:10">
      <c r="B1319" s="13" t="s">
        <v>3123</v>
      </c>
      <c r="C1319" s="13">
        <v>25.060000000000002</v>
      </c>
      <c r="H1319" t="s">
        <v>3135</v>
      </c>
      <c r="I1319" t="s">
        <v>5</v>
      </c>
      <c r="J1319">
        <v>25.060000000000002</v>
      </c>
    </row>
    <row r="1320" spans="2:10">
      <c r="B1320" s="13" t="s">
        <v>3117</v>
      </c>
      <c r="C1320" s="13">
        <v>37.392000000000003</v>
      </c>
      <c r="H1320" t="s">
        <v>3136</v>
      </c>
      <c r="I1320" t="s">
        <v>5</v>
      </c>
      <c r="J1320">
        <v>37.392000000000003</v>
      </c>
    </row>
    <row r="1321" spans="2:10">
      <c r="B1321" s="13" t="s">
        <v>3119</v>
      </c>
      <c r="C1321" s="13">
        <v>79.12</v>
      </c>
      <c r="H1321" t="s">
        <v>3136</v>
      </c>
      <c r="I1321" t="s">
        <v>3</v>
      </c>
      <c r="J1321">
        <v>79.12</v>
      </c>
    </row>
    <row r="1322" spans="2:10">
      <c r="B1322" s="13" t="s">
        <v>3122</v>
      </c>
      <c r="C1322" s="13">
        <v>12.74</v>
      </c>
      <c r="H1322" t="s">
        <v>3138</v>
      </c>
      <c r="I1322" t="s">
        <v>5</v>
      </c>
      <c r="J1322">
        <v>12.74</v>
      </c>
    </row>
    <row r="1323" spans="2:10">
      <c r="B1323" s="13" t="s">
        <v>3122</v>
      </c>
      <c r="C1323" s="13">
        <v>8.82</v>
      </c>
      <c r="H1323" t="s">
        <v>3138</v>
      </c>
      <c r="I1323" t="s">
        <v>5</v>
      </c>
      <c r="J1323">
        <v>8.82</v>
      </c>
    </row>
    <row r="1324" spans="2:10">
      <c r="B1324" s="13" t="s">
        <v>3115</v>
      </c>
      <c r="C1324" s="13">
        <v>120.78399999999999</v>
      </c>
      <c r="H1324" t="s">
        <v>3138</v>
      </c>
      <c r="I1324" t="s">
        <v>3</v>
      </c>
      <c r="J1324">
        <v>120.78399999999999</v>
      </c>
    </row>
    <row r="1325" spans="2:10">
      <c r="B1325" s="13" t="s">
        <v>3118</v>
      </c>
      <c r="C1325" s="13">
        <v>9.7619999999999969</v>
      </c>
      <c r="H1325" t="s">
        <v>3137</v>
      </c>
      <c r="I1325" t="s">
        <v>5</v>
      </c>
      <c r="J1325">
        <v>9.7619999999999969</v>
      </c>
    </row>
    <row r="1326" spans="2:10">
      <c r="B1326" s="13" t="s">
        <v>3117</v>
      </c>
      <c r="C1326" s="13">
        <v>13.719999999999999</v>
      </c>
      <c r="H1326" t="s">
        <v>3137</v>
      </c>
      <c r="I1326" t="s">
        <v>5</v>
      </c>
      <c r="J1326">
        <v>13.719999999999999</v>
      </c>
    </row>
    <row r="1327" spans="2:10">
      <c r="B1327" s="13" t="s">
        <v>3120</v>
      </c>
      <c r="C1327" s="13">
        <v>55.2</v>
      </c>
      <c r="H1327" t="s">
        <v>3137</v>
      </c>
      <c r="I1327" t="s">
        <v>4</v>
      </c>
      <c r="J1327">
        <v>55.2</v>
      </c>
    </row>
    <row r="1328" spans="2:10">
      <c r="B1328" s="13" t="s">
        <v>3117</v>
      </c>
      <c r="C1328" s="13">
        <v>259.13600000000002</v>
      </c>
      <c r="H1328" t="s">
        <v>3137</v>
      </c>
      <c r="I1328" t="s">
        <v>5</v>
      </c>
      <c r="J1328">
        <v>259.13600000000002</v>
      </c>
    </row>
    <row r="1329" spans="2:10">
      <c r="B1329" s="13" t="s">
        <v>3121</v>
      </c>
      <c r="C1329" s="13">
        <v>29.24</v>
      </c>
      <c r="H1329" t="s">
        <v>3136</v>
      </c>
      <c r="I1329" t="s">
        <v>5</v>
      </c>
      <c r="J1329">
        <v>29.24</v>
      </c>
    </row>
    <row r="1330" spans="2:10">
      <c r="B1330" s="13" t="s">
        <v>3114</v>
      </c>
      <c r="C1330" s="13">
        <v>15.552000000000003</v>
      </c>
      <c r="H1330" t="s">
        <v>3136</v>
      </c>
      <c r="I1330" t="s">
        <v>5</v>
      </c>
      <c r="J1330">
        <v>15.552000000000003</v>
      </c>
    </row>
    <row r="1331" spans="2:10">
      <c r="B1331" s="13" t="s">
        <v>3124</v>
      </c>
      <c r="C1331" s="13">
        <v>4.8960000000000008</v>
      </c>
      <c r="H1331" t="s">
        <v>3136</v>
      </c>
      <c r="I1331" t="s">
        <v>5</v>
      </c>
      <c r="J1331">
        <v>4.8960000000000008</v>
      </c>
    </row>
    <row r="1332" spans="2:10">
      <c r="B1332" s="13" t="s">
        <v>3116</v>
      </c>
      <c r="C1332" s="13">
        <v>539.97</v>
      </c>
      <c r="H1332" t="s">
        <v>3136</v>
      </c>
      <c r="I1332" t="s">
        <v>4</v>
      </c>
      <c r="J1332">
        <v>539.97</v>
      </c>
    </row>
    <row r="1333" spans="2:10">
      <c r="B1333" s="13" t="s">
        <v>3117</v>
      </c>
      <c r="C1333" s="13">
        <v>22.58</v>
      </c>
      <c r="H1333" t="s">
        <v>3136</v>
      </c>
      <c r="I1333" t="s">
        <v>5</v>
      </c>
      <c r="J1333">
        <v>22.58</v>
      </c>
    </row>
    <row r="1334" spans="2:10">
      <c r="B1334" s="13" t="s">
        <v>3120</v>
      </c>
      <c r="C1334" s="13">
        <v>169.06400000000002</v>
      </c>
      <c r="H1334" t="s">
        <v>3138</v>
      </c>
      <c r="I1334" t="s">
        <v>4</v>
      </c>
      <c r="J1334">
        <v>169.06400000000002</v>
      </c>
    </row>
    <row r="1335" spans="2:10">
      <c r="B1335" s="13" t="s">
        <v>3117</v>
      </c>
      <c r="C1335" s="13">
        <v>168.624</v>
      </c>
      <c r="H1335" t="s">
        <v>3138</v>
      </c>
      <c r="I1335" t="s">
        <v>5</v>
      </c>
      <c r="J1335">
        <v>168.624</v>
      </c>
    </row>
    <row r="1336" spans="2:10">
      <c r="B1336" s="13" t="s">
        <v>3117</v>
      </c>
      <c r="C1336" s="13">
        <v>48.86</v>
      </c>
      <c r="H1336" t="s">
        <v>3138</v>
      </c>
      <c r="I1336" t="s">
        <v>5</v>
      </c>
      <c r="J1336">
        <v>48.86</v>
      </c>
    </row>
    <row r="1337" spans="2:10">
      <c r="B1337" s="13" t="s">
        <v>3118</v>
      </c>
      <c r="C1337" s="13">
        <v>14.976000000000001</v>
      </c>
      <c r="H1337" t="s">
        <v>3138</v>
      </c>
      <c r="I1337" t="s">
        <v>5</v>
      </c>
      <c r="J1337">
        <v>14.976000000000001</v>
      </c>
    </row>
    <row r="1338" spans="2:10">
      <c r="B1338" s="13" t="s">
        <v>3118</v>
      </c>
      <c r="C1338" s="13">
        <v>4.2399999999999993</v>
      </c>
      <c r="H1338" t="s">
        <v>3137</v>
      </c>
      <c r="I1338" t="s">
        <v>5</v>
      </c>
      <c r="J1338">
        <v>4.2399999999999993</v>
      </c>
    </row>
    <row r="1339" spans="2:10">
      <c r="B1339" s="13" t="s">
        <v>3120</v>
      </c>
      <c r="C1339" s="13">
        <v>319.95999999999998</v>
      </c>
      <c r="H1339" t="s">
        <v>3136</v>
      </c>
      <c r="I1339" t="s">
        <v>4</v>
      </c>
      <c r="J1339">
        <v>319.95999999999998</v>
      </c>
    </row>
    <row r="1340" spans="2:10">
      <c r="B1340" s="13" t="s">
        <v>3114</v>
      </c>
      <c r="C1340" s="13">
        <v>17.04</v>
      </c>
      <c r="H1340" t="s">
        <v>3136</v>
      </c>
      <c r="I1340" t="s">
        <v>5</v>
      </c>
      <c r="J1340">
        <v>17.04</v>
      </c>
    </row>
    <row r="1341" spans="2:10">
      <c r="B1341" s="13" t="s">
        <v>3117</v>
      </c>
      <c r="C1341" s="13">
        <v>344.90999999999997</v>
      </c>
      <c r="H1341" t="s">
        <v>3136</v>
      </c>
      <c r="I1341" t="s">
        <v>5</v>
      </c>
      <c r="J1341">
        <v>344.90999999999997</v>
      </c>
    </row>
    <row r="1342" spans="2:10">
      <c r="B1342" s="13" t="s">
        <v>3118</v>
      </c>
      <c r="C1342" s="13">
        <v>6.8739999999999988</v>
      </c>
      <c r="H1342" t="s">
        <v>3137</v>
      </c>
      <c r="I1342" t="s">
        <v>5</v>
      </c>
      <c r="J1342">
        <v>6.8739999999999988</v>
      </c>
    </row>
    <row r="1343" spans="2:10">
      <c r="B1343" s="13" t="s">
        <v>3118</v>
      </c>
      <c r="C1343" s="13">
        <v>1.9959999999999996</v>
      </c>
      <c r="H1343" t="s">
        <v>3137</v>
      </c>
      <c r="I1343" t="s">
        <v>5</v>
      </c>
      <c r="J1343">
        <v>1.9959999999999996</v>
      </c>
    </row>
    <row r="1344" spans="2:10">
      <c r="B1344" s="13" t="s">
        <v>3117</v>
      </c>
      <c r="C1344" s="13">
        <v>8.9280000000000008</v>
      </c>
      <c r="H1344" t="s">
        <v>3137</v>
      </c>
      <c r="I1344" t="s">
        <v>5</v>
      </c>
      <c r="J1344">
        <v>8.9280000000000008</v>
      </c>
    </row>
    <row r="1345" spans="2:10">
      <c r="B1345" s="13" t="s">
        <v>3127</v>
      </c>
      <c r="C1345" s="13">
        <v>10499.97</v>
      </c>
      <c r="H1345" t="s">
        <v>3136</v>
      </c>
      <c r="I1345" t="s">
        <v>4</v>
      </c>
      <c r="J1345">
        <v>10499.97</v>
      </c>
    </row>
    <row r="1346" spans="2:10">
      <c r="B1346" s="13" t="s">
        <v>3114</v>
      </c>
      <c r="C1346" s="13">
        <v>15.984000000000002</v>
      </c>
      <c r="H1346" t="s">
        <v>3137</v>
      </c>
      <c r="I1346" t="s">
        <v>5</v>
      </c>
      <c r="J1346">
        <v>15.984000000000002</v>
      </c>
    </row>
    <row r="1347" spans="2:10">
      <c r="B1347" s="13" t="s">
        <v>3128</v>
      </c>
      <c r="C1347" s="13">
        <v>482.66399999999999</v>
      </c>
      <c r="H1347" t="s">
        <v>3138</v>
      </c>
      <c r="I1347" t="s">
        <v>3</v>
      </c>
      <c r="J1347">
        <v>482.66399999999999</v>
      </c>
    </row>
    <row r="1348" spans="2:10">
      <c r="B1348" s="13" t="s">
        <v>3130</v>
      </c>
      <c r="C1348" s="13">
        <v>4799.9839999999995</v>
      </c>
      <c r="H1348" t="s">
        <v>3138</v>
      </c>
      <c r="I1348" t="s">
        <v>4</v>
      </c>
      <c r="J1348">
        <v>4799.9839999999995</v>
      </c>
    </row>
    <row r="1349" spans="2:10">
      <c r="B1349" s="13" t="s">
        <v>3114</v>
      </c>
      <c r="C1349" s="13">
        <v>37.94</v>
      </c>
      <c r="H1349" t="s">
        <v>3138</v>
      </c>
      <c r="I1349" t="s">
        <v>5</v>
      </c>
      <c r="J1349">
        <v>37.94</v>
      </c>
    </row>
    <row r="1350" spans="2:10">
      <c r="B1350" s="13" t="s">
        <v>3118</v>
      </c>
      <c r="C1350" s="13">
        <v>18.288</v>
      </c>
      <c r="H1350" t="s">
        <v>3138</v>
      </c>
      <c r="I1350" t="s">
        <v>5</v>
      </c>
      <c r="J1350">
        <v>18.288</v>
      </c>
    </row>
    <row r="1351" spans="2:10">
      <c r="B1351" s="13" t="s">
        <v>3130</v>
      </c>
      <c r="C1351" s="13">
        <v>385.80000000000007</v>
      </c>
      <c r="H1351" t="s">
        <v>3138</v>
      </c>
      <c r="I1351" t="s">
        <v>4</v>
      </c>
      <c r="J1351">
        <v>385.80000000000007</v>
      </c>
    </row>
    <row r="1352" spans="2:10">
      <c r="B1352" s="13" t="s">
        <v>3117</v>
      </c>
      <c r="C1352" s="13">
        <v>102.96</v>
      </c>
      <c r="H1352" t="s">
        <v>3138</v>
      </c>
      <c r="I1352" t="s">
        <v>5</v>
      </c>
      <c r="J1352">
        <v>102.96</v>
      </c>
    </row>
    <row r="1353" spans="2:10">
      <c r="B1353" s="13" t="s">
        <v>3128</v>
      </c>
      <c r="C1353" s="13">
        <v>174.42000000000002</v>
      </c>
      <c r="H1353" t="s">
        <v>3138</v>
      </c>
      <c r="I1353" t="s">
        <v>3</v>
      </c>
      <c r="J1353">
        <v>174.42000000000002</v>
      </c>
    </row>
    <row r="1354" spans="2:10">
      <c r="B1354" s="13" t="s">
        <v>3123</v>
      </c>
      <c r="C1354" s="13">
        <v>45.92</v>
      </c>
      <c r="H1354" t="s">
        <v>3137</v>
      </c>
      <c r="I1354" t="s">
        <v>5</v>
      </c>
      <c r="J1354">
        <v>45.92</v>
      </c>
    </row>
    <row r="1355" spans="2:10">
      <c r="B1355" s="13" t="s">
        <v>3119</v>
      </c>
      <c r="C1355" s="13">
        <v>332.02800000000002</v>
      </c>
      <c r="H1355" t="s">
        <v>3137</v>
      </c>
      <c r="I1355" t="s">
        <v>3</v>
      </c>
      <c r="J1355">
        <v>332.02800000000002</v>
      </c>
    </row>
    <row r="1356" spans="2:10">
      <c r="B1356" s="13" t="s">
        <v>3118</v>
      </c>
      <c r="C1356" s="13">
        <v>11.393999999999998</v>
      </c>
      <c r="H1356" t="s">
        <v>3137</v>
      </c>
      <c r="I1356" t="s">
        <v>5</v>
      </c>
      <c r="J1356">
        <v>11.393999999999998</v>
      </c>
    </row>
    <row r="1357" spans="2:10">
      <c r="B1357" s="13" t="s">
        <v>3114</v>
      </c>
      <c r="C1357" s="13">
        <v>15.552000000000003</v>
      </c>
      <c r="H1357" t="s">
        <v>3137</v>
      </c>
      <c r="I1357" t="s">
        <v>5</v>
      </c>
      <c r="J1357">
        <v>15.552000000000003</v>
      </c>
    </row>
    <row r="1358" spans="2:10">
      <c r="B1358" s="13" t="s">
        <v>3114</v>
      </c>
      <c r="C1358" s="13">
        <v>31.104000000000006</v>
      </c>
      <c r="H1358" t="s">
        <v>3137</v>
      </c>
      <c r="I1358" t="s">
        <v>5</v>
      </c>
      <c r="J1358">
        <v>31.104000000000006</v>
      </c>
    </row>
    <row r="1359" spans="2:10">
      <c r="B1359" s="13" t="s">
        <v>3118</v>
      </c>
      <c r="C1359" s="13">
        <v>6.3159999999999981</v>
      </c>
      <c r="H1359" t="s">
        <v>3137</v>
      </c>
      <c r="I1359" t="s">
        <v>5</v>
      </c>
      <c r="J1359">
        <v>6.3159999999999981</v>
      </c>
    </row>
    <row r="1360" spans="2:10">
      <c r="B1360" s="13" t="s">
        <v>3122</v>
      </c>
      <c r="C1360" s="13">
        <v>9.4080000000000013</v>
      </c>
      <c r="H1360" t="s">
        <v>3136</v>
      </c>
      <c r="I1360" t="s">
        <v>5</v>
      </c>
      <c r="J1360">
        <v>9.4080000000000013</v>
      </c>
    </row>
    <row r="1361" spans="2:10">
      <c r="B1361" s="13" t="s">
        <v>3122</v>
      </c>
      <c r="C1361" s="13">
        <v>19.829999999999998</v>
      </c>
      <c r="H1361" t="s">
        <v>3138</v>
      </c>
      <c r="I1361" t="s">
        <v>5</v>
      </c>
      <c r="J1361">
        <v>19.829999999999998</v>
      </c>
    </row>
    <row r="1362" spans="2:10">
      <c r="B1362" s="13" t="s">
        <v>3114</v>
      </c>
      <c r="C1362" s="13">
        <v>209.7</v>
      </c>
      <c r="H1362" t="s">
        <v>3137</v>
      </c>
      <c r="I1362" t="s">
        <v>5</v>
      </c>
      <c r="J1362">
        <v>209.7</v>
      </c>
    </row>
    <row r="1363" spans="2:10">
      <c r="B1363" s="13" t="s">
        <v>3122</v>
      </c>
      <c r="C1363" s="13">
        <v>1.64</v>
      </c>
      <c r="H1363" t="s">
        <v>3136</v>
      </c>
      <c r="I1363" t="s">
        <v>5</v>
      </c>
      <c r="J1363">
        <v>1.64</v>
      </c>
    </row>
    <row r="1364" spans="2:10">
      <c r="B1364" s="13" t="s">
        <v>3119</v>
      </c>
      <c r="C1364" s="13">
        <v>1049.2</v>
      </c>
      <c r="H1364" t="s">
        <v>3136</v>
      </c>
      <c r="I1364" t="s">
        <v>3</v>
      </c>
      <c r="J1364">
        <v>1049.2</v>
      </c>
    </row>
    <row r="1365" spans="2:10">
      <c r="B1365" s="13" t="s">
        <v>3119</v>
      </c>
      <c r="C1365" s="13">
        <v>20.9</v>
      </c>
      <c r="H1365" t="s">
        <v>3136</v>
      </c>
      <c r="I1365" t="s">
        <v>3</v>
      </c>
      <c r="J1365">
        <v>20.9</v>
      </c>
    </row>
    <row r="1366" spans="2:10">
      <c r="B1366" s="13" t="s">
        <v>3114</v>
      </c>
      <c r="C1366" s="13">
        <v>63.311999999999998</v>
      </c>
      <c r="H1366" t="s">
        <v>3137</v>
      </c>
      <c r="I1366" t="s">
        <v>5</v>
      </c>
      <c r="J1366">
        <v>63.311999999999998</v>
      </c>
    </row>
    <row r="1367" spans="2:10">
      <c r="B1367" s="13" t="s">
        <v>3118</v>
      </c>
      <c r="C1367" s="13">
        <v>96.783999999999978</v>
      </c>
      <c r="H1367" t="s">
        <v>3137</v>
      </c>
      <c r="I1367" t="s">
        <v>5</v>
      </c>
      <c r="J1367">
        <v>96.783999999999978</v>
      </c>
    </row>
    <row r="1368" spans="2:10">
      <c r="B1368" s="13" t="s">
        <v>3119</v>
      </c>
      <c r="C1368" s="13">
        <v>10.476000000000001</v>
      </c>
      <c r="H1368" t="s">
        <v>3137</v>
      </c>
      <c r="I1368" t="s">
        <v>3</v>
      </c>
      <c r="J1368">
        <v>10.476000000000001</v>
      </c>
    </row>
    <row r="1369" spans="2:10">
      <c r="B1369" s="13" t="s">
        <v>3124</v>
      </c>
      <c r="C1369" s="13">
        <v>47.98</v>
      </c>
      <c r="H1369" t="s">
        <v>3136</v>
      </c>
      <c r="I1369" t="s">
        <v>5</v>
      </c>
      <c r="J1369">
        <v>47.98</v>
      </c>
    </row>
    <row r="1370" spans="2:10">
      <c r="B1370" s="13" t="s">
        <v>3121</v>
      </c>
      <c r="C1370" s="13">
        <v>13.049999999999999</v>
      </c>
      <c r="H1370" t="s">
        <v>3136</v>
      </c>
      <c r="I1370" t="s">
        <v>5</v>
      </c>
      <c r="J1370">
        <v>13.049999999999999</v>
      </c>
    </row>
    <row r="1371" spans="2:10">
      <c r="B1371" s="13" t="s">
        <v>3120</v>
      </c>
      <c r="C1371" s="13">
        <v>63.96</v>
      </c>
      <c r="H1371" t="s">
        <v>3137</v>
      </c>
      <c r="I1371" t="s">
        <v>4</v>
      </c>
      <c r="J1371">
        <v>63.96</v>
      </c>
    </row>
    <row r="1372" spans="2:10">
      <c r="B1372" s="13" t="s">
        <v>3125</v>
      </c>
      <c r="C1372" s="13">
        <v>80.48</v>
      </c>
      <c r="H1372" t="s">
        <v>3135</v>
      </c>
      <c r="I1372" t="s">
        <v>5</v>
      </c>
      <c r="J1372">
        <v>80.48</v>
      </c>
    </row>
    <row r="1373" spans="2:10">
      <c r="B1373" s="13" t="s">
        <v>3118</v>
      </c>
      <c r="C1373" s="13">
        <v>11.673000000000002</v>
      </c>
      <c r="H1373" t="s">
        <v>3136</v>
      </c>
      <c r="I1373" t="s">
        <v>5</v>
      </c>
      <c r="J1373">
        <v>11.673000000000002</v>
      </c>
    </row>
    <row r="1374" spans="2:10">
      <c r="B1374" s="13" t="s">
        <v>3126</v>
      </c>
      <c r="C1374" s="13">
        <v>871.4</v>
      </c>
      <c r="H1374" t="s">
        <v>3138</v>
      </c>
      <c r="I1374" t="s">
        <v>3</v>
      </c>
      <c r="J1374">
        <v>871.4</v>
      </c>
    </row>
    <row r="1375" spans="2:10">
      <c r="B1375" s="13" t="s">
        <v>3116</v>
      </c>
      <c r="C1375" s="13">
        <v>71.928000000000011</v>
      </c>
      <c r="H1375" t="s">
        <v>3138</v>
      </c>
      <c r="I1375" t="s">
        <v>4</v>
      </c>
      <c r="J1375">
        <v>71.928000000000011</v>
      </c>
    </row>
    <row r="1376" spans="2:10">
      <c r="B1376" s="13" t="s">
        <v>3122</v>
      </c>
      <c r="C1376" s="13">
        <v>25.99</v>
      </c>
      <c r="H1376" t="s">
        <v>3138</v>
      </c>
      <c r="I1376" t="s">
        <v>5</v>
      </c>
      <c r="J1376">
        <v>25.99</v>
      </c>
    </row>
    <row r="1377" spans="2:10">
      <c r="B1377" s="13" t="s">
        <v>3117</v>
      </c>
      <c r="C1377" s="13">
        <v>323.10000000000002</v>
      </c>
      <c r="H1377" t="s">
        <v>3138</v>
      </c>
      <c r="I1377" t="s">
        <v>5</v>
      </c>
      <c r="J1377">
        <v>323.10000000000002</v>
      </c>
    </row>
    <row r="1378" spans="2:10">
      <c r="B1378" s="13" t="s">
        <v>3117</v>
      </c>
      <c r="C1378" s="13">
        <v>64.784000000000006</v>
      </c>
      <c r="H1378" t="s">
        <v>3135</v>
      </c>
      <c r="I1378" t="s">
        <v>5</v>
      </c>
      <c r="J1378">
        <v>64.784000000000006</v>
      </c>
    </row>
    <row r="1379" spans="2:10">
      <c r="B1379" s="13" t="s">
        <v>3122</v>
      </c>
      <c r="C1379" s="13">
        <v>11.16</v>
      </c>
      <c r="H1379" t="s">
        <v>3138</v>
      </c>
      <c r="I1379" t="s">
        <v>5</v>
      </c>
      <c r="J1379">
        <v>11.16</v>
      </c>
    </row>
    <row r="1380" spans="2:10">
      <c r="B1380" s="13" t="s">
        <v>3126</v>
      </c>
      <c r="C1380" s="13">
        <v>896.32799999999997</v>
      </c>
      <c r="H1380" t="s">
        <v>3138</v>
      </c>
      <c r="I1380" t="s">
        <v>3</v>
      </c>
      <c r="J1380">
        <v>896.32799999999997</v>
      </c>
    </row>
    <row r="1381" spans="2:10">
      <c r="B1381" s="13" t="s">
        <v>3125</v>
      </c>
      <c r="C1381" s="13">
        <v>189</v>
      </c>
      <c r="H1381" t="s">
        <v>3138</v>
      </c>
      <c r="I1381" t="s">
        <v>5</v>
      </c>
      <c r="J1381">
        <v>189</v>
      </c>
    </row>
    <row r="1382" spans="2:10">
      <c r="B1382" s="13" t="s">
        <v>3116</v>
      </c>
      <c r="C1382" s="13">
        <v>53.981999999999999</v>
      </c>
      <c r="H1382" t="s">
        <v>3136</v>
      </c>
      <c r="I1382" t="s">
        <v>4</v>
      </c>
      <c r="J1382">
        <v>53.981999999999999</v>
      </c>
    </row>
    <row r="1383" spans="2:10">
      <c r="B1383" s="13" t="s">
        <v>3126</v>
      </c>
      <c r="C1383" s="13">
        <v>177.22499999999999</v>
      </c>
      <c r="H1383" t="s">
        <v>3138</v>
      </c>
      <c r="I1383" t="s">
        <v>3</v>
      </c>
      <c r="J1383">
        <v>177.22499999999999</v>
      </c>
    </row>
    <row r="1384" spans="2:10">
      <c r="B1384" s="13" t="s">
        <v>3119</v>
      </c>
      <c r="C1384" s="13">
        <v>129.39000000000001</v>
      </c>
      <c r="H1384" t="s">
        <v>3138</v>
      </c>
      <c r="I1384" t="s">
        <v>3</v>
      </c>
      <c r="J1384">
        <v>129.39000000000001</v>
      </c>
    </row>
    <row r="1385" spans="2:10">
      <c r="B1385" s="13" t="s">
        <v>3117</v>
      </c>
      <c r="C1385" s="13">
        <v>54.32</v>
      </c>
      <c r="H1385" t="s">
        <v>3138</v>
      </c>
      <c r="I1385" t="s">
        <v>5</v>
      </c>
      <c r="J1385">
        <v>54.32</v>
      </c>
    </row>
    <row r="1386" spans="2:10">
      <c r="B1386" s="13" t="s">
        <v>3116</v>
      </c>
      <c r="C1386" s="13">
        <v>4367.8960000000006</v>
      </c>
      <c r="H1386" t="s">
        <v>3135</v>
      </c>
      <c r="I1386" t="s">
        <v>4</v>
      </c>
      <c r="J1386">
        <v>4367.8960000000006</v>
      </c>
    </row>
    <row r="1387" spans="2:10">
      <c r="B1387" s="13" t="s">
        <v>3114</v>
      </c>
      <c r="C1387" s="13">
        <v>49.568000000000005</v>
      </c>
      <c r="H1387" t="s">
        <v>3135</v>
      </c>
      <c r="I1387" t="s">
        <v>5</v>
      </c>
      <c r="J1387">
        <v>49.568000000000005</v>
      </c>
    </row>
    <row r="1388" spans="2:10">
      <c r="B1388" s="13" t="s">
        <v>3125</v>
      </c>
      <c r="C1388" s="13">
        <v>161.376</v>
      </c>
      <c r="H1388" t="s">
        <v>3135</v>
      </c>
      <c r="I1388" t="s">
        <v>5</v>
      </c>
      <c r="J1388">
        <v>161.376</v>
      </c>
    </row>
    <row r="1389" spans="2:10">
      <c r="B1389" s="13" t="s">
        <v>3119</v>
      </c>
      <c r="C1389" s="13">
        <v>2.7840000000000003</v>
      </c>
      <c r="H1389" t="s">
        <v>3135</v>
      </c>
      <c r="I1389" t="s">
        <v>3</v>
      </c>
      <c r="J1389">
        <v>2.7840000000000003</v>
      </c>
    </row>
    <row r="1390" spans="2:10">
      <c r="B1390" s="13" t="s">
        <v>3114</v>
      </c>
      <c r="C1390" s="13">
        <v>8.7200000000000006</v>
      </c>
      <c r="H1390" t="s">
        <v>3135</v>
      </c>
      <c r="I1390" t="s">
        <v>5</v>
      </c>
      <c r="J1390">
        <v>8.7200000000000006</v>
      </c>
    </row>
    <row r="1391" spans="2:10">
      <c r="B1391" s="13" t="s">
        <v>3119</v>
      </c>
      <c r="C1391" s="13">
        <v>82.38</v>
      </c>
      <c r="H1391" t="s">
        <v>3135</v>
      </c>
      <c r="I1391" t="s">
        <v>3</v>
      </c>
      <c r="J1391">
        <v>82.38</v>
      </c>
    </row>
    <row r="1392" spans="2:10">
      <c r="B1392" s="13" t="s">
        <v>3114</v>
      </c>
      <c r="C1392" s="13">
        <v>42.929999999999993</v>
      </c>
      <c r="H1392" t="s">
        <v>3136</v>
      </c>
      <c r="I1392" t="s">
        <v>5</v>
      </c>
      <c r="J1392">
        <v>42.929999999999993</v>
      </c>
    </row>
    <row r="1393" spans="2:10">
      <c r="B1393" s="13" t="s">
        <v>3114</v>
      </c>
      <c r="C1393" s="13">
        <v>15.552000000000003</v>
      </c>
      <c r="H1393" t="s">
        <v>3135</v>
      </c>
      <c r="I1393" t="s">
        <v>5</v>
      </c>
      <c r="J1393">
        <v>15.552000000000003</v>
      </c>
    </row>
    <row r="1394" spans="2:10">
      <c r="B1394" s="13" t="s">
        <v>3125</v>
      </c>
      <c r="C1394" s="13">
        <v>17.920000000000002</v>
      </c>
      <c r="H1394" t="s">
        <v>3135</v>
      </c>
      <c r="I1394" t="s">
        <v>5</v>
      </c>
      <c r="J1394">
        <v>17.920000000000002</v>
      </c>
    </row>
    <row r="1395" spans="2:10">
      <c r="B1395" s="13" t="s">
        <v>3120</v>
      </c>
      <c r="C1395" s="13">
        <v>19.989999999999998</v>
      </c>
      <c r="H1395" t="s">
        <v>3138</v>
      </c>
      <c r="I1395" t="s">
        <v>4</v>
      </c>
      <c r="J1395">
        <v>19.989999999999998</v>
      </c>
    </row>
    <row r="1396" spans="2:10">
      <c r="B1396" s="13" t="s">
        <v>3118</v>
      </c>
      <c r="C1396" s="13">
        <v>22.92</v>
      </c>
      <c r="H1396" t="s">
        <v>3138</v>
      </c>
      <c r="I1396" t="s">
        <v>5</v>
      </c>
      <c r="J1396">
        <v>22.92</v>
      </c>
    </row>
    <row r="1397" spans="2:10">
      <c r="B1397" s="13" t="s">
        <v>3114</v>
      </c>
      <c r="C1397" s="13">
        <v>5.1840000000000011</v>
      </c>
      <c r="H1397" t="s">
        <v>3135</v>
      </c>
      <c r="I1397" t="s">
        <v>5</v>
      </c>
      <c r="J1397">
        <v>5.1840000000000011</v>
      </c>
    </row>
    <row r="1398" spans="2:10">
      <c r="B1398" s="13" t="s">
        <v>3117</v>
      </c>
      <c r="C1398" s="13">
        <v>544.38</v>
      </c>
      <c r="H1398" t="s">
        <v>3135</v>
      </c>
      <c r="I1398" t="s">
        <v>5</v>
      </c>
      <c r="J1398">
        <v>544.38</v>
      </c>
    </row>
    <row r="1399" spans="2:10">
      <c r="B1399" s="13" t="s">
        <v>3118</v>
      </c>
      <c r="C1399" s="13">
        <v>19.824000000000002</v>
      </c>
      <c r="H1399" t="s">
        <v>3138</v>
      </c>
      <c r="I1399" t="s">
        <v>5</v>
      </c>
      <c r="J1399">
        <v>19.824000000000002</v>
      </c>
    </row>
    <row r="1400" spans="2:10">
      <c r="B1400" s="13" t="s">
        <v>3116</v>
      </c>
      <c r="C1400" s="13">
        <v>657.50400000000002</v>
      </c>
      <c r="H1400" t="s">
        <v>3138</v>
      </c>
      <c r="I1400" t="s">
        <v>4</v>
      </c>
      <c r="J1400">
        <v>657.50400000000002</v>
      </c>
    </row>
    <row r="1401" spans="2:10">
      <c r="B1401" s="13" t="s">
        <v>3120</v>
      </c>
      <c r="C1401" s="13">
        <v>99.54</v>
      </c>
      <c r="H1401" t="s">
        <v>3138</v>
      </c>
      <c r="I1401" t="s">
        <v>4</v>
      </c>
      <c r="J1401">
        <v>99.54</v>
      </c>
    </row>
    <row r="1402" spans="2:10">
      <c r="B1402" s="13" t="s">
        <v>3120</v>
      </c>
      <c r="C1402" s="13">
        <v>199.96</v>
      </c>
      <c r="H1402" t="s">
        <v>3138</v>
      </c>
      <c r="I1402" t="s">
        <v>4</v>
      </c>
      <c r="J1402">
        <v>199.96</v>
      </c>
    </row>
    <row r="1403" spans="2:10">
      <c r="B1403" s="13" t="s">
        <v>3118</v>
      </c>
      <c r="C1403" s="13">
        <v>20.724000000000004</v>
      </c>
      <c r="H1403" t="s">
        <v>3138</v>
      </c>
      <c r="I1403" t="s">
        <v>5</v>
      </c>
      <c r="J1403">
        <v>20.724000000000004</v>
      </c>
    </row>
    <row r="1404" spans="2:10">
      <c r="B1404" s="13" t="s">
        <v>3117</v>
      </c>
      <c r="C1404" s="13">
        <v>415.87200000000007</v>
      </c>
      <c r="H1404" t="s">
        <v>3138</v>
      </c>
      <c r="I1404" t="s">
        <v>5</v>
      </c>
      <c r="J1404">
        <v>415.87200000000007</v>
      </c>
    </row>
    <row r="1405" spans="2:10">
      <c r="B1405" s="13" t="s">
        <v>3117</v>
      </c>
      <c r="C1405" s="13">
        <v>16.768000000000001</v>
      </c>
      <c r="H1405" t="s">
        <v>3136</v>
      </c>
      <c r="I1405" t="s">
        <v>5</v>
      </c>
      <c r="J1405">
        <v>16.768000000000001</v>
      </c>
    </row>
    <row r="1406" spans="2:10">
      <c r="B1406" s="13" t="s">
        <v>3120</v>
      </c>
      <c r="C1406" s="13">
        <v>27.12</v>
      </c>
      <c r="H1406" t="s">
        <v>3136</v>
      </c>
      <c r="I1406" t="s">
        <v>4</v>
      </c>
      <c r="J1406">
        <v>27.12</v>
      </c>
    </row>
    <row r="1407" spans="2:10">
      <c r="B1407" s="13" t="s">
        <v>3116</v>
      </c>
      <c r="C1407" s="13">
        <v>95.84</v>
      </c>
      <c r="H1407" t="s">
        <v>3138</v>
      </c>
      <c r="I1407" t="s">
        <v>4</v>
      </c>
      <c r="J1407">
        <v>95.84</v>
      </c>
    </row>
    <row r="1408" spans="2:10">
      <c r="B1408" s="13" t="s">
        <v>3114</v>
      </c>
      <c r="C1408" s="13">
        <v>12.96</v>
      </c>
      <c r="H1408" t="s">
        <v>3138</v>
      </c>
      <c r="I1408" t="s">
        <v>5</v>
      </c>
      <c r="J1408">
        <v>12.96</v>
      </c>
    </row>
    <row r="1409" spans="2:10">
      <c r="B1409" s="13" t="s">
        <v>3118</v>
      </c>
      <c r="C1409" s="13">
        <v>19.008000000000003</v>
      </c>
      <c r="H1409" t="s">
        <v>3135</v>
      </c>
      <c r="I1409" t="s">
        <v>5</v>
      </c>
      <c r="J1409">
        <v>19.008000000000003</v>
      </c>
    </row>
    <row r="1410" spans="2:10">
      <c r="B1410" s="13" t="s">
        <v>3114</v>
      </c>
      <c r="C1410" s="13">
        <v>10.368000000000002</v>
      </c>
      <c r="H1410" t="s">
        <v>3137</v>
      </c>
      <c r="I1410" t="s">
        <v>5</v>
      </c>
      <c r="J1410">
        <v>10.368000000000002</v>
      </c>
    </row>
    <row r="1411" spans="2:10">
      <c r="B1411" s="13" t="s">
        <v>3119</v>
      </c>
      <c r="C1411" s="13">
        <v>77.720000000000013</v>
      </c>
      <c r="H1411" t="s">
        <v>3137</v>
      </c>
      <c r="I1411" t="s">
        <v>3</v>
      </c>
      <c r="J1411">
        <v>77.720000000000013</v>
      </c>
    </row>
    <row r="1412" spans="2:10">
      <c r="B1412" s="13" t="s">
        <v>3115</v>
      </c>
      <c r="C1412" s="13">
        <v>520.46399999999994</v>
      </c>
      <c r="H1412" t="s">
        <v>3137</v>
      </c>
      <c r="I1412" t="s">
        <v>3</v>
      </c>
      <c r="J1412">
        <v>520.46399999999994</v>
      </c>
    </row>
    <row r="1413" spans="2:10">
      <c r="B1413" s="13" t="s">
        <v>3116</v>
      </c>
      <c r="C1413" s="13">
        <v>29.160000000000004</v>
      </c>
      <c r="H1413" t="s">
        <v>3135</v>
      </c>
      <c r="I1413" t="s">
        <v>4</v>
      </c>
      <c r="J1413">
        <v>29.160000000000004</v>
      </c>
    </row>
    <row r="1414" spans="2:10">
      <c r="B1414" s="13" t="s">
        <v>3122</v>
      </c>
      <c r="C1414" s="13">
        <v>131.94</v>
      </c>
      <c r="H1414" t="s">
        <v>3137</v>
      </c>
      <c r="I1414" t="s">
        <v>5</v>
      </c>
      <c r="J1414">
        <v>131.94</v>
      </c>
    </row>
    <row r="1415" spans="2:10">
      <c r="B1415" s="13" t="s">
        <v>3122</v>
      </c>
      <c r="C1415" s="13">
        <v>25.92</v>
      </c>
      <c r="H1415" t="s">
        <v>3137</v>
      </c>
      <c r="I1415" t="s">
        <v>5</v>
      </c>
      <c r="J1415">
        <v>25.92</v>
      </c>
    </row>
    <row r="1416" spans="2:10">
      <c r="B1416" s="13" t="s">
        <v>3117</v>
      </c>
      <c r="C1416" s="13">
        <v>704.76</v>
      </c>
      <c r="H1416" t="s">
        <v>3137</v>
      </c>
      <c r="I1416" t="s">
        <v>5</v>
      </c>
      <c r="J1416">
        <v>704.76</v>
      </c>
    </row>
    <row r="1417" spans="2:10">
      <c r="B1417" s="13" t="s">
        <v>3123</v>
      </c>
      <c r="C1417" s="13">
        <v>7.41</v>
      </c>
      <c r="H1417" t="s">
        <v>3137</v>
      </c>
      <c r="I1417" t="s">
        <v>5</v>
      </c>
      <c r="J1417">
        <v>7.41</v>
      </c>
    </row>
    <row r="1418" spans="2:10">
      <c r="B1418" s="13" t="s">
        <v>3122</v>
      </c>
      <c r="C1418" s="13">
        <v>21.5</v>
      </c>
      <c r="H1418" t="s">
        <v>3137</v>
      </c>
      <c r="I1418" t="s">
        <v>5</v>
      </c>
      <c r="J1418">
        <v>21.5</v>
      </c>
    </row>
    <row r="1419" spans="2:10">
      <c r="B1419" s="13" t="s">
        <v>3123</v>
      </c>
      <c r="C1419" s="13">
        <v>10.528</v>
      </c>
      <c r="H1419" t="s">
        <v>3137</v>
      </c>
      <c r="I1419" t="s">
        <v>5</v>
      </c>
      <c r="J1419">
        <v>10.528</v>
      </c>
    </row>
    <row r="1420" spans="2:10">
      <c r="B1420" s="13" t="s">
        <v>3114</v>
      </c>
      <c r="C1420" s="13">
        <v>20.544000000000004</v>
      </c>
      <c r="H1420" t="s">
        <v>3137</v>
      </c>
      <c r="I1420" t="s">
        <v>5</v>
      </c>
      <c r="J1420">
        <v>20.544000000000004</v>
      </c>
    </row>
    <row r="1421" spans="2:10">
      <c r="B1421" s="13" t="s">
        <v>3122</v>
      </c>
      <c r="C1421" s="13">
        <v>11.68</v>
      </c>
      <c r="H1421" t="s">
        <v>3137</v>
      </c>
      <c r="I1421" t="s">
        <v>5</v>
      </c>
      <c r="J1421">
        <v>11.68</v>
      </c>
    </row>
    <row r="1422" spans="2:10">
      <c r="B1422" s="13" t="s">
        <v>3120</v>
      </c>
      <c r="C1422" s="13">
        <v>159.75</v>
      </c>
      <c r="H1422" t="s">
        <v>3137</v>
      </c>
      <c r="I1422" t="s">
        <v>4</v>
      </c>
      <c r="J1422">
        <v>159.75</v>
      </c>
    </row>
    <row r="1423" spans="2:10">
      <c r="B1423" s="13" t="s">
        <v>3114</v>
      </c>
      <c r="C1423" s="13">
        <v>46.76</v>
      </c>
      <c r="H1423" t="s">
        <v>3136</v>
      </c>
      <c r="I1423" t="s">
        <v>5</v>
      </c>
      <c r="J1423">
        <v>46.76</v>
      </c>
    </row>
    <row r="1424" spans="2:10">
      <c r="B1424" s="13" t="s">
        <v>3128</v>
      </c>
      <c r="C1424" s="13">
        <v>183.96800000000002</v>
      </c>
      <c r="H1424" t="s">
        <v>3136</v>
      </c>
      <c r="I1424" t="s">
        <v>3</v>
      </c>
      <c r="J1424">
        <v>183.96800000000002</v>
      </c>
    </row>
    <row r="1425" spans="2:10">
      <c r="B1425" s="13" t="s">
        <v>3116</v>
      </c>
      <c r="C1425" s="13">
        <v>1259.97</v>
      </c>
      <c r="H1425" t="s">
        <v>3136</v>
      </c>
      <c r="I1425" t="s">
        <v>4</v>
      </c>
      <c r="J1425">
        <v>1259.97</v>
      </c>
    </row>
    <row r="1426" spans="2:10">
      <c r="B1426" s="13" t="s">
        <v>3122</v>
      </c>
      <c r="C1426" s="13">
        <v>68.97</v>
      </c>
      <c r="H1426" t="s">
        <v>3136</v>
      </c>
      <c r="I1426" t="s">
        <v>5</v>
      </c>
      <c r="J1426">
        <v>68.97</v>
      </c>
    </row>
    <row r="1427" spans="2:10">
      <c r="B1427" s="13" t="s">
        <v>3118</v>
      </c>
      <c r="C1427" s="13">
        <v>387.99</v>
      </c>
      <c r="H1427" t="s">
        <v>3136</v>
      </c>
      <c r="I1427" t="s">
        <v>5</v>
      </c>
      <c r="J1427">
        <v>387.99</v>
      </c>
    </row>
    <row r="1428" spans="2:10">
      <c r="B1428" s="13" t="s">
        <v>3118</v>
      </c>
      <c r="C1428" s="13">
        <v>478.24</v>
      </c>
      <c r="H1428" t="s">
        <v>3137</v>
      </c>
      <c r="I1428" t="s">
        <v>5</v>
      </c>
      <c r="J1428">
        <v>478.24</v>
      </c>
    </row>
    <row r="1429" spans="2:10">
      <c r="B1429" s="13" t="s">
        <v>3125</v>
      </c>
      <c r="C1429" s="13">
        <v>17.239999999999998</v>
      </c>
      <c r="H1429" t="s">
        <v>3135</v>
      </c>
      <c r="I1429" t="s">
        <v>5</v>
      </c>
      <c r="J1429">
        <v>17.239999999999998</v>
      </c>
    </row>
    <row r="1430" spans="2:10">
      <c r="B1430" s="13" t="s">
        <v>3128</v>
      </c>
      <c r="C1430" s="13">
        <v>302.94</v>
      </c>
      <c r="H1430" t="s">
        <v>3135</v>
      </c>
      <c r="I1430" t="s">
        <v>3</v>
      </c>
      <c r="J1430">
        <v>302.94</v>
      </c>
    </row>
    <row r="1431" spans="2:10">
      <c r="B1431" s="13" t="s">
        <v>3116</v>
      </c>
      <c r="C1431" s="13">
        <v>34.75</v>
      </c>
      <c r="H1431" t="s">
        <v>3135</v>
      </c>
      <c r="I1431" t="s">
        <v>4</v>
      </c>
      <c r="J1431">
        <v>34.75</v>
      </c>
    </row>
    <row r="1432" spans="2:10">
      <c r="B1432" s="13" t="s">
        <v>3118</v>
      </c>
      <c r="C1432" s="13">
        <v>113.94</v>
      </c>
      <c r="H1432" t="s">
        <v>3135</v>
      </c>
      <c r="I1432" t="s">
        <v>5</v>
      </c>
      <c r="J1432">
        <v>113.94</v>
      </c>
    </row>
    <row r="1433" spans="2:10">
      <c r="B1433" s="13" t="s">
        <v>3116</v>
      </c>
      <c r="C1433" s="13">
        <v>55.98</v>
      </c>
      <c r="H1433" t="s">
        <v>3135</v>
      </c>
      <c r="I1433" t="s">
        <v>4</v>
      </c>
      <c r="J1433">
        <v>55.98</v>
      </c>
    </row>
    <row r="1434" spans="2:10">
      <c r="B1434" s="13" t="s">
        <v>3114</v>
      </c>
      <c r="C1434" s="13">
        <v>27.18</v>
      </c>
      <c r="H1434" t="s">
        <v>3138</v>
      </c>
      <c r="I1434" t="s">
        <v>5</v>
      </c>
      <c r="J1434">
        <v>27.18</v>
      </c>
    </row>
    <row r="1435" spans="2:10">
      <c r="B1435" s="13" t="s">
        <v>3115</v>
      </c>
      <c r="C1435" s="13">
        <v>1805.88</v>
      </c>
      <c r="H1435" t="s">
        <v>3137</v>
      </c>
      <c r="I1435" t="s">
        <v>3</v>
      </c>
      <c r="J1435">
        <v>1805.88</v>
      </c>
    </row>
    <row r="1436" spans="2:10">
      <c r="B1436" s="13" t="s">
        <v>3122</v>
      </c>
      <c r="C1436" s="13">
        <v>70.949999999999989</v>
      </c>
      <c r="H1436" t="s">
        <v>3136</v>
      </c>
      <c r="I1436" t="s">
        <v>5</v>
      </c>
      <c r="J1436">
        <v>70.949999999999989</v>
      </c>
    </row>
    <row r="1437" spans="2:10">
      <c r="B1437" s="13" t="s">
        <v>3114</v>
      </c>
      <c r="C1437" s="13">
        <v>244.54999999999998</v>
      </c>
      <c r="H1437" t="s">
        <v>3138</v>
      </c>
      <c r="I1437" t="s">
        <v>5</v>
      </c>
      <c r="J1437">
        <v>244.54999999999998</v>
      </c>
    </row>
    <row r="1438" spans="2:10">
      <c r="B1438" s="13" t="s">
        <v>3129</v>
      </c>
      <c r="C1438" s="13">
        <v>1332.4960000000001</v>
      </c>
      <c r="H1438" t="s">
        <v>3138</v>
      </c>
      <c r="I1438" t="s">
        <v>5</v>
      </c>
      <c r="J1438">
        <v>1332.4960000000001</v>
      </c>
    </row>
    <row r="1439" spans="2:10">
      <c r="B1439" s="13" t="s">
        <v>3119</v>
      </c>
      <c r="C1439" s="13">
        <v>32.776000000000003</v>
      </c>
      <c r="H1439" t="s">
        <v>3138</v>
      </c>
      <c r="I1439" t="s">
        <v>3</v>
      </c>
      <c r="J1439">
        <v>32.776000000000003</v>
      </c>
    </row>
    <row r="1440" spans="2:10">
      <c r="B1440" s="13" t="s">
        <v>3117</v>
      </c>
      <c r="C1440" s="13">
        <v>147.184</v>
      </c>
      <c r="H1440" t="s">
        <v>3138</v>
      </c>
      <c r="I1440" t="s">
        <v>5</v>
      </c>
      <c r="J1440">
        <v>147.184</v>
      </c>
    </row>
    <row r="1441" spans="2:10">
      <c r="B1441" s="13" t="s">
        <v>3120</v>
      </c>
      <c r="C1441" s="13">
        <v>54.384000000000007</v>
      </c>
      <c r="H1441" t="s">
        <v>3138</v>
      </c>
      <c r="I1441" t="s">
        <v>4</v>
      </c>
      <c r="J1441">
        <v>54.384000000000007</v>
      </c>
    </row>
    <row r="1442" spans="2:10">
      <c r="B1442" s="13" t="s">
        <v>3118</v>
      </c>
      <c r="C1442" s="13">
        <v>76.77600000000001</v>
      </c>
      <c r="H1442" t="s">
        <v>3138</v>
      </c>
      <c r="I1442" t="s">
        <v>5</v>
      </c>
      <c r="J1442">
        <v>76.77600000000001</v>
      </c>
    </row>
    <row r="1443" spans="2:10">
      <c r="B1443" s="13" t="s">
        <v>3114</v>
      </c>
      <c r="C1443" s="13">
        <v>14.352000000000002</v>
      </c>
      <c r="H1443" t="s">
        <v>3138</v>
      </c>
      <c r="I1443" t="s">
        <v>5</v>
      </c>
      <c r="J1443">
        <v>14.352000000000002</v>
      </c>
    </row>
    <row r="1444" spans="2:10">
      <c r="B1444" s="13" t="s">
        <v>3125</v>
      </c>
      <c r="C1444" s="13">
        <v>209.79200000000003</v>
      </c>
      <c r="H1444" t="s">
        <v>3138</v>
      </c>
      <c r="I1444" t="s">
        <v>5</v>
      </c>
      <c r="J1444">
        <v>209.79200000000003</v>
      </c>
    </row>
    <row r="1445" spans="2:10">
      <c r="B1445" s="13" t="s">
        <v>3122</v>
      </c>
      <c r="C1445" s="13">
        <v>16.38</v>
      </c>
      <c r="H1445" t="s">
        <v>3136</v>
      </c>
      <c r="I1445" t="s">
        <v>5</v>
      </c>
      <c r="J1445">
        <v>16.38</v>
      </c>
    </row>
    <row r="1446" spans="2:10">
      <c r="B1446" s="13" t="s">
        <v>3124</v>
      </c>
      <c r="C1446" s="13">
        <v>167.96</v>
      </c>
      <c r="H1446" t="s">
        <v>3136</v>
      </c>
      <c r="I1446" t="s">
        <v>5</v>
      </c>
      <c r="J1446">
        <v>167.96</v>
      </c>
    </row>
    <row r="1447" spans="2:10">
      <c r="B1447" s="13" t="s">
        <v>3128</v>
      </c>
      <c r="C1447" s="13">
        <v>321.56799999999998</v>
      </c>
      <c r="H1447" t="s">
        <v>3136</v>
      </c>
      <c r="I1447" t="s">
        <v>3</v>
      </c>
      <c r="J1447">
        <v>321.56799999999998</v>
      </c>
    </row>
    <row r="1448" spans="2:10">
      <c r="B1448" s="13" t="s">
        <v>3114</v>
      </c>
      <c r="C1448" s="13">
        <v>12.96</v>
      </c>
      <c r="H1448" t="s">
        <v>3136</v>
      </c>
      <c r="I1448" t="s">
        <v>5</v>
      </c>
      <c r="J1448">
        <v>12.96</v>
      </c>
    </row>
    <row r="1449" spans="2:10">
      <c r="B1449" s="13" t="s">
        <v>3115</v>
      </c>
      <c r="C1449" s="13">
        <v>128.05799999999999</v>
      </c>
      <c r="H1449" t="s">
        <v>3136</v>
      </c>
      <c r="I1449" t="s">
        <v>3</v>
      </c>
      <c r="J1449">
        <v>128.05799999999999</v>
      </c>
    </row>
    <row r="1450" spans="2:10">
      <c r="B1450" s="13" t="s">
        <v>3115</v>
      </c>
      <c r="C1450" s="13">
        <v>63.686</v>
      </c>
      <c r="H1450" t="s">
        <v>3136</v>
      </c>
      <c r="I1450" t="s">
        <v>3</v>
      </c>
      <c r="J1450">
        <v>63.686</v>
      </c>
    </row>
    <row r="1451" spans="2:10">
      <c r="B1451" s="13" t="s">
        <v>3120</v>
      </c>
      <c r="C1451" s="13">
        <v>239.976</v>
      </c>
      <c r="H1451" t="s">
        <v>3136</v>
      </c>
      <c r="I1451" t="s">
        <v>4</v>
      </c>
      <c r="J1451">
        <v>239.976</v>
      </c>
    </row>
    <row r="1452" spans="2:10">
      <c r="B1452" s="13" t="s">
        <v>3126</v>
      </c>
      <c r="C1452" s="13">
        <v>344.22</v>
      </c>
      <c r="H1452" t="s">
        <v>3136</v>
      </c>
      <c r="I1452" t="s">
        <v>3</v>
      </c>
      <c r="J1452">
        <v>344.22</v>
      </c>
    </row>
    <row r="1453" spans="2:10">
      <c r="B1453" s="13" t="s">
        <v>3114</v>
      </c>
      <c r="C1453" s="13">
        <v>15.552000000000003</v>
      </c>
      <c r="H1453" t="s">
        <v>3136</v>
      </c>
      <c r="I1453" t="s">
        <v>5</v>
      </c>
      <c r="J1453">
        <v>15.552000000000003</v>
      </c>
    </row>
    <row r="1454" spans="2:10">
      <c r="B1454" s="13" t="s">
        <v>3119</v>
      </c>
      <c r="C1454" s="13">
        <v>21.248000000000001</v>
      </c>
      <c r="H1454" t="s">
        <v>3136</v>
      </c>
      <c r="I1454" t="s">
        <v>3</v>
      </c>
      <c r="J1454">
        <v>21.248000000000001</v>
      </c>
    </row>
    <row r="1455" spans="2:10">
      <c r="B1455" s="13" t="s">
        <v>3114</v>
      </c>
      <c r="C1455" s="13">
        <v>8.4480000000000004</v>
      </c>
      <c r="H1455" t="s">
        <v>3136</v>
      </c>
      <c r="I1455" t="s">
        <v>5</v>
      </c>
      <c r="J1455">
        <v>8.4480000000000004</v>
      </c>
    </row>
    <row r="1456" spans="2:10">
      <c r="B1456" s="13" t="s">
        <v>3117</v>
      </c>
      <c r="C1456" s="13">
        <v>333.09000000000003</v>
      </c>
      <c r="H1456" t="s">
        <v>3137</v>
      </c>
      <c r="I1456" t="s">
        <v>5</v>
      </c>
      <c r="J1456">
        <v>333.09000000000003</v>
      </c>
    </row>
    <row r="1457" spans="2:10">
      <c r="B1457" s="13" t="s">
        <v>3126</v>
      </c>
      <c r="C1457" s="13">
        <v>248.98</v>
      </c>
      <c r="H1457" t="s">
        <v>3137</v>
      </c>
      <c r="I1457" t="s">
        <v>3</v>
      </c>
      <c r="J1457">
        <v>248.98</v>
      </c>
    </row>
    <row r="1458" spans="2:10">
      <c r="B1458" s="13" t="s">
        <v>3126</v>
      </c>
      <c r="C1458" s="13">
        <v>418.29599999999994</v>
      </c>
      <c r="H1458" t="s">
        <v>3138</v>
      </c>
      <c r="I1458" t="s">
        <v>3</v>
      </c>
      <c r="J1458">
        <v>418.29599999999994</v>
      </c>
    </row>
    <row r="1459" spans="2:10">
      <c r="B1459" s="13" t="s">
        <v>3128</v>
      </c>
      <c r="C1459" s="13">
        <v>917.92349999999988</v>
      </c>
      <c r="H1459" t="s">
        <v>3138</v>
      </c>
      <c r="I1459" t="s">
        <v>3</v>
      </c>
      <c r="J1459">
        <v>917.92349999999988</v>
      </c>
    </row>
    <row r="1460" spans="2:10">
      <c r="B1460" s="13" t="s">
        <v>3114</v>
      </c>
      <c r="C1460" s="13">
        <v>38.880000000000003</v>
      </c>
      <c r="H1460" t="s">
        <v>3138</v>
      </c>
      <c r="I1460" t="s">
        <v>5</v>
      </c>
      <c r="J1460">
        <v>38.880000000000003</v>
      </c>
    </row>
    <row r="1461" spans="2:10">
      <c r="B1461" s="13" t="s">
        <v>3118</v>
      </c>
      <c r="C1461" s="13">
        <v>631.17600000000016</v>
      </c>
      <c r="H1461" t="s">
        <v>3136</v>
      </c>
      <c r="I1461" t="s">
        <v>5</v>
      </c>
      <c r="J1461">
        <v>631.17600000000016</v>
      </c>
    </row>
    <row r="1462" spans="2:10">
      <c r="B1462" s="13" t="s">
        <v>3126</v>
      </c>
      <c r="C1462" s="13">
        <v>171.28800000000001</v>
      </c>
      <c r="H1462" t="s">
        <v>3138</v>
      </c>
      <c r="I1462" t="s">
        <v>3</v>
      </c>
      <c r="J1462">
        <v>171.28800000000001</v>
      </c>
    </row>
    <row r="1463" spans="2:10">
      <c r="B1463" s="13" t="s">
        <v>3122</v>
      </c>
      <c r="C1463" s="13">
        <v>36.44</v>
      </c>
      <c r="H1463" t="s">
        <v>3137</v>
      </c>
      <c r="I1463" t="s">
        <v>5</v>
      </c>
      <c r="J1463">
        <v>36.44</v>
      </c>
    </row>
    <row r="1464" spans="2:10">
      <c r="B1464" s="13" t="s">
        <v>3117</v>
      </c>
      <c r="C1464" s="13">
        <v>1347.5200000000002</v>
      </c>
      <c r="H1464" t="s">
        <v>3135</v>
      </c>
      <c r="I1464" t="s">
        <v>5</v>
      </c>
      <c r="J1464">
        <v>1347.5200000000002</v>
      </c>
    </row>
    <row r="1465" spans="2:10">
      <c r="B1465" s="13" t="s">
        <v>3123</v>
      </c>
      <c r="C1465" s="13">
        <v>9.4320000000000004</v>
      </c>
      <c r="H1465" t="s">
        <v>3138</v>
      </c>
      <c r="I1465" t="s">
        <v>5</v>
      </c>
      <c r="J1465">
        <v>9.4320000000000004</v>
      </c>
    </row>
    <row r="1466" spans="2:10">
      <c r="B1466" s="13" t="s">
        <v>3116</v>
      </c>
      <c r="C1466" s="13">
        <v>269.98</v>
      </c>
      <c r="H1466" t="s">
        <v>3136</v>
      </c>
      <c r="I1466" t="s">
        <v>4</v>
      </c>
      <c r="J1466">
        <v>269.98</v>
      </c>
    </row>
    <row r="1467" spans="2:10">
      <c r="B1467" s="13" t="s">
        <v>3114</v>
      </c>
      <c r="C1467" s="13">
        <v>99.9</v>
      </c>
      <c r="H1467" t="s">
        <v>3136</v>
      </c>
      <c r="I1467" t="s">
        <v>5</v>
      </c>
      <c r="J1467">
        <v>99.9</v>
      </c>
    </row>
    <row r="1468" spans="2:10">
      <c r="B1468" s="13" t="s">
        <v>3119</v>
      </c>
      <c r="C1468" s="13">
        <v>39.08</v>
      </c>
      <c r="H1468" t="s">
        <v>3136</v>
      </c>
      <c r="I1468" t="s">
        <v>3</v>
      </c>
      <c r="J1468">
        <v>39.08</v>
      </c>
    </row>
    <row r="1469" spans="2:10">
      <c r="B1469" s="13" t="s">
        <v>3120</v>
      </c>
      <c r="C1469" s="13">
        <v>116.83199999999999</v>
      </c>
      <c r="H1469" t="s">
        <v>3136</v>
      </c>
      <c r="I1469" t="s">
        <v>4</v>
      </c>
      <c r="J1469">
        <v>116.83199999999999</v>
      </c>
    </row>
    <row r="1470" spans="2:10">
      <c r="B1470" s="13" t="s">
        <v>3119</v>
      </c>
      <c r="C1470" s="13">
        <v>15.84</v>
      </c>
      <c r="H1470" t="s">
        <v>3138</v>
      </c>
      <c r="I1470" t="s">
        <v>3</v>
      </c>
      <c r="J1470">
        <v>15.84</v>
      </c>
    </row>
    <row r="1471" spans="2:10">
      <c r="B1471" s="13" t="s">
        <v>3118</v>
      </c>
      <c r="C1471" s="13">
        <v>86.376000000000005</v>
      </c>
      <c r="H1471" t="s">
        <v>3138</v>
      </c>
      <c r="I1471" t="s">
        <v>5</v>
      </c>
      <c r="J1471">
        <v>86.376000000000005</v>
      </c>
    </row>
    <row r="1472" spans="2:10">
      <c r="B1472" s="13" t="s">
        <v>3122</v>
      </c>
      <c r="C1472" s="13">
        <v>18.240000000000002</v>
      </c>
      <c r="H1472" t="s">
        <v>3138</v>
      </c>
      <c r="I1472" t="s">
        <v>5</v>
      </c>
      <c r="J1472">
        <v>18.240000000000002</v>
      </c>
    </row>
    <row r="1473" spans="2:10">
      <c r="B1473" s="13" t="s">
        <v>3122</v>
      </c>
      <c r="C1473" s="13">
        <v>13.12</v>
      </c>
      <c r="H1473" t="s">
        <v>3138</v>
      </c>
      <c r="I1473" t="s">
        <v>5</v>
      </c>
      <c r="J1473">
        <v>13.12</v>
      </c>
    </row>
    <row r="1474" spans="2:10">
      <c r="B1474" s="13" t="s">
        <v>3118</v>
      </c>
      <c r="C1474" s="13">
        <v>5.9359999999999991</v>
      </c>
      <c r="H1474" t="s">
        <v>3137</v>
      </c>
      <c r="I1474" t="s">
        <v>5</v>
      </c>
      <c r="J1474">
        <v>5.9359999999999991</v>
      </c>
    </row>
    <row r="1475" spans="2:10">
      <c r="B1475" s="13" t="s">
        <v>3124</v>
      </c>
      <c r="C1475" s="13">
        <v>325.86</v>
      </c>
      <c r="H1475" t="s">
        <v>3137</v>
      </c>
      <c r="I1475" t="s">
        <v>5</v>
      </c>
      <c r="J1475">
        <v>325.86</v>
      </c>
    </row>
    <row r="1476" spans="2:10">
      <c r="B1476" s="13" t="s">
        <v>3121</v>
      </c>
      <c r="C1476" s="13">
        <v>5.76</v>
      </c>
      <c r="H1476" t="s">
        <v>3136</v>
      </c>
      <c r="I1476" t="s">
        <v>5</v>
      </c>
      <c r="J1476">
        <v>5.76</v>
      </c>
    </row>
    <row r="1477" spans="2:10">
      <c r="B1477" s="13" t="s">
        <v>3118</v>
      </c>
      <c r="C1477" s="13">
        <v>8.5590000000000011</v>
      </c>
      <c r="H1477" t="s">
        <v>3138</v>
      </c>
      <c r="I1477" t="s">
        <v>5</v>
      </c>
      <c r="J1477">
        <v>8.5590000000000011</v>
      </c>
    </row>
    <row r="1478" spans="2:10">
      <c r="B1478" s="13" t="s">
        <v>3115</v>
      </c>
      <c r="C1478" s="13">
        <v>419.13599999999997</v>
      </c>
      <c r="H1478" t="s">
        <v>3135</v>
      </c>
      <c r="I1478" t="s">
        <v>3</v>
      </c>
      <c r="J1478">
        <v>419.13599999999997</v>
      </c>
    </row>
    <row r="1479" spans="2:10">
      <c r="B1479" s="13" t="s">
        <v>3125</v>
      </c>
      <c r="C1479" s="13">
        <v>45.216000000000001</v>
      </c>
      <c r="H1479" t="s">
        <v>3135</v>
      </c>
      <c r="I1479" t="s">
        <v>5</v>
      </c>
      <c r="J1479">
        <v>45.216000000000001</v>
      </c>
    </row>
    <row r="1480" spans="2:10">
      <c r="B1480" s="13" t="s">
        <v>3118</v>
      </c>
      <c r="C1480" s="13">
        <v>28.782000000000004</v>
      </c>
      <c r="H1480" t="s">
        <v>3135</v>
      </c>
      <c r="I1480" t="s">
        <v>5</v>
      </c>
      <c r="J1480">
        <v>28.782000000000004</v>
      </c>
    </row>
    <row r="1481" spans="2:10">
      <c r="B1481" s="13" t="s">
        <v>3114</v>
      </c>
      <c r="C1481" s="13">
        <v>24.448</v>
      </c>
      <c r="H1481" t="s">
        <v>3135</v>
      </c>
      <c r="I1481" t="s">
        <v>5</v>
      </c>
      <c r="J1481">
        <v>24.448</v>
      </c>
    </row>
    <row r="1482" spans="2:10">
      <c r="B1482" s="13" t="s">
        <v>3127</v>
      </c>
      <c r="C1482" s="13">
        <v>479.98400000000004</v>
      </c>
      <c r="H1482" t="s">
        <v>3138</v>
      </c>
      <c r="I1482" t="s">
        <v>4</v>
      </c>
      <c r="J1482">
        <v>479.98400000000004</v>
      </c>
    </row>
    <row r="1483" spans="2:10">
      <c r="B1483" s="13" t="s">
        <v>3124</v>
      </c>
      <c r="C1483" s="13">
        <v>76.58</v>
      </c>
      <c r="H1483" t="s">
        <v>3138</v>
      </c>
      <c r="I1483" t="s">
        <v>5</v>
      </c>
      <c r="J1483">
        <v>76.58</v>
      </c>
    </row>
    <row r="1484" spans="2:10">
      <c r="B1484" s="13" t="s">
        <v>3122</v>
      </c>
      <c r="C1484" s="13">
        <v>8.8000000000000007</v>
      </c>
      <c r="H1484" t="s">
        <v>3138</v>
      </c>
      <c r="I1484" t="s">
        <v>5</v>
      </c>
      <c r="J1484">
        <v>8.8000000000000007</v>
      </c>
    </row>
    <row r="1485" spans="2:10">
      <c r="B1485" s="13" t="s">
        <v>3118</v>
      </c>
      <c r="C1485" s="13">
        <v>590.35199999999998</v>
      </c>
      <c r="H1485" t="s">
        <v>3138</v>
      </c>
      <c r="I1485" t="s">
        <v>5</v>
      </c>
      <c r="J1485">
        <v>590.35199999999998</v>
      </c>
    </row>
    <row r="1486" spans="2:10">
      <c r="B1486" s="13" t="s">
        <v>3123</v>
      </c>
      <c r="C1486" s="13">
        <v>5.58</v>
      </c>
      <c r="H1486" t="s">
        <v>3138</v>
      </c>
      <c r="I1486" t="s">
        <v>5</v>
      </c>
      <c r="J1486">
        <v>5.58</v>
      </c>
    </row>
    <row r="1487" spans="2:10">
      <c r="B1487" s="13" t="s">
        <v>3119</v>
      </c>
      <c r="C1487" s="13">
        <v>25.02</v>
      </c>
      <c r="H1487" t="s">
        <v>3138</v>
      </c>
      <c r="I1487" t="s">
        <v>3</v>
      </c>
      <c r="J1487">
        <v>25.02</v>
      </c>
    </row>
    <row r="1488" spans="2:10">
      <c r="B1488" s="13" t="s">
        <v>3117</v>
      </c>
      <c r="C1488" s="13">
        <v>452.55000000000007</v>
      </c>
      <c r="H1488" t="s">
        <v>3138</v>
      </c>
      <c r="I1488" t="s">
        <v>5</v>
      </c>
      <c r="J1488">
        <v>452.55000000000007</v>
      </c>
    </row>
    <row r="1489" spans="2:10">
      <c r="B1489" s="13" t="s">
        <v>3129</v>
      </c>
      <c r="C1489" s="13">
        <v>21.81</v>
      </c>
      <c r="H1489" t="s">
        <v>3137</v>
      </c>
      <c r="I1489" t="s">
        <v>5</v>
      </c>
      <c r="J1489">
        <v>21.81</v>
      </c>
    </row>
    <row r="1490" spans="2:10">
      <c r="B1490" s="13" t="s">
        <v>3125</v>
      </c>
      <c r="C1490" s="13">
        <v>91.6</v>
      </c>
      <c r="H1490" t="s">
        <v>3137</v>
      </c>
      <c r="I1490" t="s">
        <v>5</v>
      </c>
      <c r="J1490">
        <v>91.6</v>
      </c>
    </row>
    <row r="1491" spans="2:10">
      <c r="B1491" s="13" t="s">
        <v>3119</v>
      </c>
      <c r="C1491" s="13">
        <v>47.12</v>
      </c>
      <c r="H1491" t="s">
        <v>3138</v>
      </c>
      <c r="I1491" t="s">
        <v>3</v>
      </c>
      <c r="J1491">
        <v>47.12</v>
      </c>
    </row>
    <row r="1492" spans="2:10">
      <c r="B1492" s="13" t="s">
        <v>3127</v>
      </c>
      <c r="C1492" s="13">
        <v>2879.9520000000002</v>
      </c>
      <c r="H1492" t="s">
        <v>3138</v>
      </c>
      <c r="I1492" t="s">
        <v>4</v>
      </c>
      <c r="J1492">
        <v>2879.9520000000002</v>
      </c>
    </row>
    <row r="1493" spans="2:10">
      <c r="B1493" s="13" t="s">
        <v>3118</v>
      </c>
      <c r="C1493" s="13">
        <v>90.480000000000018</v>
      </c>
      <c r="H1493" t="s">
        <v>3138</v>
      </c>
      <c r="I1493" t="s">
        <v>5</v>
      </c>
      <c r="J1493">
        <v>90.480000000000018</v>
      </c>
    </row>
    <row r="1494" spans="2:10">
      <c r="B1494" s="13" t="s">
        <v>3129</v>
      </c>
      <c r="C1494" s="13">
        <v>8.8320000000000007</v>
      </c>
      <c r="H1494" t="s">
        <v>3135</v>
      </c>
      <c r="I1494" t="s">
        <v>5</v>
      </c>
      <c r="J1494">
        <v>8.8320000000000007</v>
      </c>
    </row>
    <row r="1495" spans="2:10">
      <c r="B1495" s="13" t="s">
        <v>3114</v>
      </c>
      <c r="C1495" s="13">
        <v>177.536</v>
      </c>
      <c r="H1495" t="s">
        <v>3135</v>
      </c>
      <c r="I1495" t="s">
        <v>5</v>
      </c>
      <c r="J1495">
        <v>177.536</v>
      </c>
    </row>
    <row r="1496" spans="2:10">
      <c r="B1496" s="13" t="s">
        <v>3117</v>
      </c>
      <c r="C1496" s="13">
        <v>258.48</v>
      </c>
      <c r="H1496" t="s">
        <v>3135</v>
      </c>
      <c r="I1496" t="s">
        <v>5</v>
      </c>
      <c r="J1496">
        <v>258.48</v>
      </c>
    </row>
    <row r="1497" spans="2:10">
      <c r="B1497" s="13" t="s">
        <v>3119</v>
      </c>
      <c r="C1497" s="13">
        <v>14.135999999999999</v>
      </c>
      <c r="H1497" t="s">
        <v>3135</v>
      </c>
      <c r="I1497" t="s">
        <v>3</v>
      </c>
      <c r="J1497">
        <v>14.135999999999999</v>
      </c>
    </row>
    <row r="1498" spans="2:10">
      <c r="B1498" s="13" t="s">
        <v>3121</v>
      </c>
      <c r="C1498" s="13">
        <v>51.75</v>
      </c>
      <c r="H1498" t="s">
        <v>3138</v>
      </c>
      <c r="I1498" t="s">
        <v>5</v>
      </c>
      <c r="J1498">
        <v>51.75</v>
      </c>
    </row>
    <row r="1499" spans="2:10">
      <c r="B1499" s="13" t="s">
        <v>3119</v>
      </c>
      <c r="C1499" s="13">
        <v>123.96000000000001</v>
      </c>
      <c r="H1499" t="s">
        <v>3138</v>
      </c>
      <c r="I1499" t="s">
        <v>3</v>
      </c>
      <c r="J1499">
        <v>123.96000000000001</v>
      </c>
    </row>
    <row r="1500" spans="2:10">
      <c r="B1500" s="13" t="s">
        <v>3117</v>
      </c>
      <c r="C1500" s="13">
        <v>242.94</v>
      </c>
      <c r="H1500" t="s">
        <v>3138</v>
      </c>
      <c r="I1500" t="s">
        <v>5</v>
      </c>
      <c r="J1500">
        <v>242.94</v>
      </c>
    </row>
    <row r="1501" spans="2:10">
      <c r="B1501" s="13" t="s">
        <v>3122</v>
      </c>
      <c r="C1501" s="13">
        <v>123.92</v>
      </c>
      <c r="H1501" t="s">
        <v>3138</v>
      </c>
      <c r="I1501" t="s">
        <v>5</v>
      </c>
      <c r="J1501">
        <v>123.92</v>
      </c>
    </row>
    <row r="1502" spans="2:10">
      <c r="B1502" s="13" t="s">
        <v>3122</v>
      </c>
      <c r="C1502" s="13">
        <v>12.39</v>
      </c>
      <c r="H1502" t="s">
        <v>3138</v>
      </c>
      <c r="I1502" t="s">
        <v>5</v>
      </c>
      <c r="J1502">
        <v>12.39</v>
      </c>
    </row>
    <row r="1503" spans="2:10">
      <c r="B1503" s="13" t="s">
        <v>3122</v>
      </c>
      <c r="C1503" s="13">
        <v>47.3</v>
      </c>
      <c r="H1503" t="s">
        <v>3138</v>
      </c>
      <c r="I1503" t="s">
        <v>5</v>
      </c>
      <c r="J1503">
        <v>47.3</v>
      </c>
    </row>
    <row r="1504" spans="2:10">
      <c r="B1504" s="13" t="s">
        <v>3118</v>
      </c>
      <c r="C1504" s="13">
        <v>3.1680000000000006</v>
      </c>
      <c r="H1504" t="s">
        <v>3138</v>
      </c>
      <c r="I1504" t="s">
        <v>5</v>
      </c>
      <c r="J1504">
        <v>3.1680000000000006</v>
      </c>
    </row>
    <row r="1505" spans="2:10">
      <c r="B1505" s="13" t="s">
        <v>3115</v>
      </c>
      <c r="C1505" s="13">
        <v>579.13599999999997</v>
      </c>
      <c r="H1505" t="s">
        <v>3138</v>
      </c>
      <c r="I1505" t="s">
        <v>3</v>
      </c>
      <c r="J1505">
        <v>579.13599999999997</v>
      </c>
    </row>
    <row r="1506" spans="2:10">
      <c r="B1506" s="13" t="s">
        <v>3114</v>
      </c>
      <c r="C1506" s="13">
        <v>440.18999999999994</v>
      </c>
      <c r="H1506" t="s">
        <v>3138</v>
      </c>
      <c r="I1506" t="s">
        <v>5</v>
      </c>
      <c r="J1506">
        <v>440.18999999999994</v>
      </c>
    </row>
    <row r="1507" spans="2:10">
      <c r="B1507" s="13" t="s">
        <v>3129</v>
      </c>
      <c r="C1507" s="13">
        <v>64.400000000000006</v>
      </c>
      <c r="H1507" t="s">
        <v>3138</v>
      </c>
      <c r="I1507" t="s">
        <v>5</v>
      </c>
      <c r="J1507">
        <v>64.400000000000006</v>
      </c>
    </row>
    <row r="1508" spans="2:10">
      <c r="B1508" s="13" t="s">
        <v>3114</v>
      </c>
      <c r="C1508" s="13">
        <v>244.54999999999998</v>
      </c>
      <c r="H1508" t="s">
        <v>3138</v>
      </c>
      <c r="I1508" t="s">
        <v>5</v>
      </c>
      <c r="J1508">
        <v>244.54999999999998</v>
      </c>
    </row>
    <row r="1509" spans="2:10">
      <c r="B1509" s="13" t="s">
        <v>3114</v>
      </c>
      <c r="C1509" s="13">
        <v>195.76</v>
      </c>
      <c r="H1509" t="s">
        <v>3138</v>
      </c>
      <c r="I1509" t="s">
        <v>5</v>
      </c>
      <c r="J1509">
        <v>195.76</v>
      </c>
    </row>
    <row r="1510" spans="2:10">
      <c r="B1510" s="13" t="s">
        <v>3114</v>
      </c>
      <c r="C1510" s="13">
        <v>11.76</v>
      </c>
      <c r="H1510" t="s">
        <v>3136</v>
      </c>
      <c r="I1510" t="s">
        <v>5</v>
      </c>
      <c r="J1510">
        <v>11.76</v>
      </c>
    </row>
    <row r="1511" spans="2:10">
      <c r="B1511" s="13" t="s">
        <v>3117</v>
      </c>
      <c r="C1511" s="13">
        <v>166.45</v>
      </c>
      <c r="H1511" t="s">
        <v>3136</v>
      </c>
      <c r="I1511" t="s">
        <v>5</v>
      </c>
      <c r="J1511">
        <v>166.45</v>
      </c>
    </row>
    <row r="1512" spans="2:10">
      <c r="B1512" s="13" t="s">
        <v>3123</v>
      </c>
      <c r="C1512" s="13">
        <v>2.88</v>
      </c>
      <c r="H1512" t="s">
        <v>3138</v>
      </c>
      <c r="I1512" t="s">
        <v>5</v>
      </c>
      <c r="J1512">
        <v>2.88</v>
      </c>
    </row>
    <row r="1513" spans="2:10">
      <c r="B1513" s="13" t="s">
        <v>3118</v>
      </c>
      <c r="C1513" s="13">
        <v>11.059999999999999</v>
      </c>
      <c r="H1513" t="s">
        <v>3137</v>
      </c>
      <c r="I1513" t="s">
        <v>5</v>
      </c>
      <c r="J1513">
        <v>11.059999999999999</v>
      </c>
    </row>
    <row r="1514" spans="2:10">
      <c r="B1514" s="13" t="s">
        <v>3128</v>
      </c>
      <c r="C1514" s="13">
        <v>623.46479999999997</v>
      </c>
      <c r="H1514" t="s">
        <v>3137</v>
      </c>
      <c r="I1514" t="s">
        <v>3</v>
      </c>
      <c r="J1514">
        <v>623.46479999999997</v>
      </c>
    </row>
    <row r="1515" spans="2:10">
      <c r="B1515" s="13" t="s">
        <v>3117</v>
      </c>
      <c r="C1515" s="13">
        <v>772.68000000000006</v>
      </c>
      <c r="H1515" t="s">
        <v>3137</v>
      </c>
      <c r="I1515" t="s">
        <v>5</v>
      </c>
      <c r="J1515">
        <v>772.68000000000006</v>
      </c>
    </row>
    <row r="1516" spans="2:10">
      <c r="B1516" s="13" t="s">
        <v>3119</v>
      </c>
      <c r="C1516" s="13">
        <v>15.008000000000003</v>
      </c>
      <c r="H1516" t="s">
        <v>3136</v>
      </c>
      <c r="I1516" t="s">
        <v>3</v>
      </c>
      <c r="J1516">
        <v>15.008000000000003</v>
      </c>
    </row>
    <row r="1517" spans="2:10">
      <c r="B1517" s="13" t="s">
        <v>3118</v>
      </c>
      <c r="C1517" s="13">
        <v>5.7150000000000016</v>
      </c>
      <c r="H1517" t="s">
        <v>3136</v>
      </c>
      <c r="I1517" t="s">
        <v>5</v>
      </c>
      <c r="J1517">
        <v>5.7150000000000016</v>
      </c>
    </row>
    <row r="1518" spans="2:10">
      <c r="B1518" s="13" t="s">
        <v>3122</v>
      </c>
      <c r="C1518" s="13">
        <v>5.2480000000000002</v>
      </c>
      <c r="H1518" t="s">
        <v>3137</v>
      </c>
      <c r="I1518" t="s">
        <v>5</v>
      </c>
      <c r="J1518">
        <v>5.2480000000000002</v>
      </c>
    </row>
    <row r="1519" spans="2:10">
      <c r="B1519" s="13" t="s">
        <v>3117</v>
      </c>
      <c r="C1519" s="13">
        <v>74.415999999999997</v>
      </c>
      <c r="H1519" t="s">
        <v>3137</v>
      </c>
      <c r="I1519" t="s">
        <v>5</v>
      </c>
      <c r="J1519">
        <v>74.415999999999997</v>
      </c>
    </row>
    <row r="1520" spans="2:10">
      <c r="B1520" s="13" t="s">
        <v>3114</v>
      </c>
      <c r="C1520" s="13">
        <v>6.8480000000000008</v>
      </c>
      <c r="H1520" t="s">
        <v>3137</v>
      </c>
      <c r="I1520" t="s">
        <v>5</v>
      </c>
      <c r="J1520">
        <v>6.8480000000000008</v>
      </c>
    </row>
    <row r="1521" spans="2:10">
      <c r="B1521" s="13" t="s">
        <v>3119</v>
      </c>
      <c r="C1521" s="13">
        <v>7.9959999999999996</v>
      </c>
      <c r="H1521" t="s">
        <v>3137</v>
      </c>
      <c r="I1521" t="s">
        <v>3</v>
      </c>
      <c r="J1521">
        <v>7.9959999999999996</v>
      </c>
    </row>
    <row r="1522" spans="2:10">
      <c r="B1522" s="13" t="s">
        <v>3118</v>
      </c>
      <c r="C1522" s="13">
        <v>895.92</v>
      </c>
      <c r="H1522" t="s">
        <v>3138</v>
      </c>
      <c r="I1522" t="s">
        <v>5</v>
      </c>
      <c r="J1522">
        <v>895.92</v>
      </c>
    </row>
    <row r="1523" spans="2:10">
      <c r="B1523" s="13" t="s">
        <v>3117</v>
      </c>
      <c r="C1523" s="13">
        <v>130.71</v>
      </c>
      <c r="H1523" t="s">
        <v>3138</v>
      </c>
      <c r="I1523" t="s">
        <v>5</v>
      </c>
      <c r="J1523">
        <v>130.71</v>
      </c>
    </row>
    <row r="1524" spans="2:10">
      <c r="B1524" s="13" t="s">
        <v>3122</v>
      </c>
      <c r="C1524" s="13">
        <v>11.68</v>
      </c>
      <c r="H1524" t="s">
        <v>3138</v>
      </c>
      <c r="I1524" t="s">
        <v>5</v>
      </c>
      <c r="J1524">
        <v>11.68</v>
      </c>
    </row>
    <row r="1525" spans="2:10">
      <c r="B1525" s="13" t="s">
        <v>3120</v>
      </c>
      <c r="C1525" s="13">
        <v>62.31</v>
      </c>
      <c r="H1525" t="s">
        <v>3138</v>
      </c>
      <c r="I1525" t="s">
        <v>4</v>
      </c>
      <c r="J1525">
        <v>62.31</v>
      </c>
    </row>
    <row r="1526" spans="2:10">
      <c r="B1526" s="13" t="s">
        <v>3116</v>
      </c>
      <c r="C1526" s="13">
        <v>344.70400000000001</v>
      </c>
      <c r="H1526" t="s">
        <v>3138</v>
      </c>
      <c r="I1526" t="s">
        <v>4</v>
      </c>
      <c r="J1526">
        <v>344.70400000000001</v>
      </c>
    </row>
    <row r="1527" spans="2:10">
      <c r="B1527" s="13" t="s">
        <v>3126</v>
      </c>
      <c r="C1527" s="13">
        <v>521.96</v>
      </c>
      <c r="H1527" t="s">
        <v>3138</v>
      </c>
      <c r="I1527" t="s">
        <v>3</v>
      </c>
      <c r="J1527">
        <v>521.96</v>
      </c>
    </row>
    <row r="1528" spans="2:10">
      <c r="B1528" s="13" t="s">
        <v>3122</v>
      </c>
      <c r="C1528" s="13">
        <v>7.58</v>
      </c>
      <c r="H1528" t="s">
        <v>3138</v>
      </c>
      <c r="I1528" t="s">
        <v>5</v>
      </c>
      <c r="J1528">
        <v>7.58</v>
      </c>
    </row>
    <row r="1529" spans="2:10">
      <c r="B1529" s="13" t="s">
        <v>3121</v>
      </c>
      <c r="C1529" s="13">
        <v>9.9600000000000009</v>
      </c>
      <c r="H1529" t="s">
        <v>3138</v>
      </c>
      <c r="I1529" t="s">
        <v>5</v>
      </c>
      <c r="J1529">
        <v>9.9600000000000009</v>
      </c>
    </row>
    <row r="1530" spans="2:10">
      <c r="B1530" s="13" t="s">
        <v>3122</v>
      </c>
      <c r="C1530" s="13">
        <v>9.2099999999999991</v>
      </c>
      <c r="H1530" t="s">
        <v>3138</v>
      </c>
      <c r="I1530" t="s">
        <v>5</v>
      </c>
      <c r="J1530">
        <v>9.2099999999999991</v>
      </c>
    </row>
    <row r="1531" spans="2:10">
      <c r="B1531" s="13" t="s">
        <v>3129</v>
      </c>
      <c r="C1531" s="13">
        <v>27.93</v>
      </c>
      <c r="H1531" t="s">
        <v>3138</v>
      </c>
      <c r="I1531" t="s">
        <v>5</v>
      </c>
      <c r="J1531">
        <v>27.93</v>
      </c>
    </row>
    <row r="1532" spans="2:10">
      <c r="B1532" s="13" t="s">
        <v>3123</v>
      </c>
      <c r="C1532" s="13">
        <v>7.9</v>
      </c>
      <c r="H1532" t="s">
        <v>3137</v>
      </c>
      <c r="I1532" t="s">
        <v>5</v>
      </c>
      <c r="J1532">
        <v>7.9</v>
      </c>
    </row>
    <row r="1533" spans="2:10">
      <c r="B1533" s="13" t="s">
        <v>3117</v>
      </c>
      <c r="C1533" s="13">
        <v>221.16</v>
      </c>
      <c r="H1533" t="s">
        <v>3137</v>
      </c>
      <c r="I1533" t="s">
        <v>5</v>
      </c>
      <c r="J1533">
        <v>221.16</v>
      </c>
    </row>
    <row r="1534" spans="2:10">
      <c r="B1534" s="13" t="s">
        <v>3118</v>
      </c>
      <c r="C1534" s="13">
        <v>127.96</v>
      </c>
      <c r="H1534" t="s">
        <v>3137</v>
      </c>
      <c r="I1534" t="s">
        <v>5</v>
      </c>
      <c r="J1534">
        <v>127.96</v>
      </c>
    </row>
    <row r="1535" spans="2:10">
      <c r="B1535" s="13" t="s">
        <v>3118</v>
      </c>
      <c r="C1535" s="13">
        <v>18.690000000000001</v>
      </c>
      <c r="H1535" t="s">
        <v>3137</v>
      </c>
      <c r="I1535" t="s">
        <v>5</v>
      </c>
      <c r="J1535">
        <v>18.690000000000001</v>
      </c>
    </row>
    <row r="1536" spans="2:10">
      <c r="B1536" s="13" t="s">
        <v>3115</v>
      </c>
      <c r="C1536" s="13">
        <v>209.56799999999998</v>
      </c>
      <c r="H1536" t="s">
        <v>3135</v>
      </c>
      <c r="I1536" t="s">
        <v>3</v>
      </c>
      <c r="J1536">
        <v>209.56799999999998</v>
      </c>
    </row>
    <row r="1537" spans="2:10">
      <c r="B1537" s="13" t="s">
        <v>3118</v>
      </c>
      <c r="C1537" s="13">
        <v>3.8820000000000006</v>
      </c>
      <c r="H1537" t="s">
        <v>3135</v>
      </c>
      <c r="I1537" t="s">
        <v>5</v>
      </c>
      <c r="J1537">
        <v>3.8820000000000006</v>
      </c>
    </row>
    <row r="1538" spans="2:10">
      <c r="B1538" s="13" t="s">
        <v>3114</v>
      </c>
      <c r="C1538" s="13">
        <v>115.29600000000001</v>
      </c>
      <c r="H1538" t="s">
        <v>3135</v>
      </c>
      <c r="I1538" t="s">
        <v>5</v>
      </c>
      <c r="J1538">
        <v>115.29600000000001</v>
      </c>
    </row>
    <row r="1539" spans="2:10">
      <c r="B1539" s="13" t="s">
        <v>3118</v>
      </c>
      <c r="C1539" s="13">
        <v>1.9080000000000004</v>
      </c>
      <c r="H1539" t="s">
        <v>3136</v>
      </c>
      <c r="I1539" t="s">
        <v>5</v>
      </c>
      <c r="J1539">
        <v>1.9080000000000004</v>
      </c>
    </row>
    <row r="1540" spans="2:10">
      <c r="B1540" s="13" t="s">
        <v>3118</v>
      </c>
      <c r="C1540" s="13">
        <v>43.371999999999993</v>
      </c>
      <c r="H1540" t="s">
        <v>3137</v>
      </c>
      <c r="I1540" t="s">
        <v>5</v>
      </c>
      <c r="J1540">
        <v>43.371999999999993</v>
      </c>
    </row>
    <row r="1541" spans="2:10">
      <c r="B1541" s="13" t="s">
        <v>3122</v>
      </c>
      <c r="C1541" s="13">
        <v>27.76</v>
      </c>
      <c r="H1541" t="s">
        <v>3138</v>
      </c>
      <c r="I1541" t="s">
        <v>5</v>
      </c>
      <c r="J1541">
        <v>27.76</v>
      </c>
    </row>
    <row r="1542" spans="2:10">
      <c r="B1542" s="13" t="s">
        <v>3114</v>
      </c>
      <c r="C1542" s="13">
        <v>25.344000000000001</v>
      </c>
      <c r="H1542" t="s">
        <v>3135</v>
      </c>
      <c r="I1542" t="s">
        <v>5</v>
      </c>
      <c r="J1542">
        <v>25.344000000000001</v>
      </c>
    </row>
    <row r="1543" spans="2:10">
      <c r="B1543" s="13" t="s">
        <v>3119</v>
      </c>
      <c r="C1543" s="13">
        <v>6.4640000000000004</v>
      </c>
      <c r="H1543" t="s">
        <v>3137</v>
      </c>
      <c r="I1543" t="s">
        <v>3</v>
      </c>
      <c r="J1543">
        <v>6.4640000000000004</v>
      </c>
    </row>
    <row r="1544" spans="2:10">
      <c r="B1544" s="13" t="s">
        <v>3121</v>
      </c>
      <c r="C1544" s="13">
        <v>11.52</v>
      </c>
      <c r="H1544" t="s">
        <v>3137</v>
      </c>
      <c r="I1544" t="s">
        <v>5</v>
      </c>
      <c r="J1544">
        <v>11.52</v>
      </c>
    </row>
    <row r="1545" spans="2:10">
      <c r="B1545" s="13" t="s">
        <v>3116</v>
      </c>
      <c r="C1545" s="13">
        <v>222.38400000000001</v>
      </c>
      <c r="H1545" t="s">
        <v>3137</v>
      </c>
      <c r="I1545" t="s">
        <v>4</v>
      </c>
      <c r="J1545">
        <v>222.38400000000001</v>
      </c>
    </row>
    <row r="1546" spans="2:10">
      <c r="B1546" s="13" t="s">
        <v>3122</v>
      </c>
      <c r="C1546" s="13">
        <v>23.36</v>
      </c>
      <c r="H1546" t="s">
        <v>3138</v>
      </c>
      <c r="I1546" t="s">
        <v>5</v>
      </c>
      <c r="J1546">
        <v>23.36</v>
      </c>
    </row>
    <row r="1547" spans="2:10">
      <c r="B1547" s="13" t="s">
        <v>3125</v>
      </c>
      <c r="C1547" s="13">
        <v>100.94</v>
      </c>
      <c r="H1547" t="s">
        <v>3136</v>
      </c>
      <c r="I1547" t="s">
        <v>5</v>
      </c>
      <c r="J1547">
        <v>100.94</v>
      </c>
    </row>
    <row r="1548" spans="2:10">
      <c r="B1548" s="13" t="s">
        <v>3114</v>
      </c>
      <c r="C1548" s="13">
        <v>279.89999999999998</v>
      </c>
      <c r="H1548" t="s">
        <v>3137</v>
      </c>
      <c r="I1548" t="s">
        <v>5</v>
      </c>
      <c r="J1548">
        <v>279.89999999999998</v>
      </c>
    </row>
    <row r="1549" spans="2:10">
      <c r="B1549" s="13" t="s">
        <v>3116</v>
      </c>
      <c r="C1549" s="13">
        <v>39.593999999999994</v>
      </c>
      <c r="H1549" t="s">
        <v>3136</v>
      </c>
      <c r="I1549" t="s">
        <v>4</v>
      </c>
      <c r="J1549">
        <v>39.593999999999994</v>
      </c>
    </row>
    <row r="1550" spans="2:10">
      <c r="B1550" s="13" t="s">
        <v>3119</v>
      </c>
      <c r="C1550" s="13">
        <v>91.00800000000001</v>
      </c>
      <c r="H1550" t="s">
        <v>3136</v>
      </c>
      <c r="I1550" t="s">
        <v>3</v>
      </c>
      <c r="J1550">
        <v>91.00800000000001</v>
      </c>
    </row>
    <row r="1551" spans="2:10">
      <c r="B1551" s="13" t="s">
        <v>3118</v>
      </c>
      <c r="C1551" s="13">
        <v>10.36</v>
      </c>
      <c r="H1551" t="s">
        <v>3136</v>
      </c>
      <c r="I1551" t="s">
        <v>5</v>
      </c>
      <c r="J1551">
        <v>10.36</v>
      </c>
    </row>
    <row r="1552" spans="2:10">
      <c r="B1552" s="13" t="s">
        <v>3118</v>
      </c>
      <c r="C1552" s="13">
        <v>14.016</v>
      </c>
      <c r="H1552" t="s">
        <v>3138</v>
      </c>
      <c r="I1552" t="s">
        <v>5</v>
      </c>
      <c r="J1552">
        <v>14.016</v>
      </c>
    </row>
    <row r="1553" spans="2:10">
      <c r="B1553" s="13" t="s">
        <v>3118</v>
      </c>
      <c r="C1553" s="13">
        <v>39.92</v>
      </c>
      <c r="H1553" t="s">
        <v>3138</v>
      </c>
      <c r="I1553" t="s">
        <v>5</v>
      </c>
      <c r="J1553">
        <v>39.92</v>
      </c>
    </row>
    <row r="1554" spans="2:10">
      <c r="B1554" s="13" t="s">
        <v>3114</v>
      </c>
      <c r="C1554" s="13">
        <v>61.96</v>
      </c>
      <c r="H1554" t="s">
        <v>3138</v>
      </c>
      <c r="I1554" t="s">
        <v>5</v>
      </c>
      <c r="J1554">
        <v>61.96</v>
      </c>
    </row>
    <row r="1555" spans="2:10">
      <c r="B1555" s="13" t="s">
        <v>3118</v>
      </c>
      <c r="C1555" s="13">
        <v>19.936000000000003</v>
      </c>
      <c r="H1555" t="s">
        <v>3138</v>
      </c>
      <c r="I1555" t="s">
        <v>5</v>
      </c>
      <c r="J1555">
        <v>19.936000000000003</v>
      </c>
    </row>
    <row r="1556" spans="2:10">
      <c r="B1556" s="13" t="s">
        <v>3118</v>
      </c>
      <c r="C1556" s="13">
        <v>3.7980000000000005</v>
      </c>
      <c r="H1556" t="s">
        <v>3136</v>
      </c>
      <c r="I1556" t="s">
        <v>5</v>
      </c>
      <c r="J1556">
        <v>3.7980000000000005</v>
      </c>
    </row>
    <row r="1557" spans="2:10">
      <c r="B1557" s="13" t="s">
        <v>3114</v>
      </c>
      <c r="C1557" s="13">
        <v>27.744000000000003</v>
      </c>
      <c r="H1557" t="s">
        <v>3136</v>
      </c>
      <c r="I1557" t="s">
        <v>5</v>
      </c>
      <c r="J1557">
        <v>27.744000000000003</v>
      </c>
    </row>
    <row r="1558" spans="2:10">
      <c r="B1558" s="13" t="s">
        <v>3116</v>
      </c>
      <c r="C1558" s="13">
        <v>158.37599999999998</v>
      </c>
      <c r="H1558" t="s">
        <v>3136</v>
      </c>
      <c r="I1558" t="s">
        <v>4</v>
      </c>
      <c r="J1558">
        <v>158.37599999999998</v>
      </c>
    </row>
    <row r="1559" spans="2:10">
      <c r="B1559" s="13" t="s">
        <v>3119</v>
      </c>
      <c r="C1559" s="13">
        <v>27.58</v>
      </c>
      <c r="H1559" t="s">
        <v>3135</v>
      </c>
      <c r="I1559" t="s">
        <v>3</v>
      </c>
      <c r="J1559">
        <v>27.58</v>
      </c>
    </row>
    <row r="1560" spans="2:10">
      <c r="B1560" s="13" t="s">
        <v>3117</v>
      </c>
      <c r="C1560" s="13">
        <v>243.92</v>
      </c>
      <c r="H1560" t="s">
        <v>3135</v>
      </c>
      <c r="I1560" t="s">
        <v>5</v>
      </c>
      <c r="J1560">
        <v>243.92</v>
      </c>
    </row>
    <row r="1561" spans="2:10">
      <c r="B1561" s="13" t="s">
        <v>3122</v>
      </c>
      <c r="C1561" s="13">
        <v>10.192000000000002</v>
      </c>
      <c r="H1561" t="s">
        <v>3137</v>
      </c>
      <c r="I1561" t="s">
        <v>5</v>
      </c>
      <c r="J1561">
        <v>10.192000000000002</v>
      </c>
    </row>
    <row r="1562" spans="2:10">
      <c r="B1562" s="13" t="s">
        <v>3116</v>
      </c>
      <c r="C1562" s="13">
        <v>239.96999999999997</v>
      </c>
      <c r="H1562" t="s">
        <v>3136</v>
      </c>
      <c r="I1562" t="s">
        <v>4</v>
      </c>
      <c r="J1562">
        <v>239.96999999999997</v>
      </c>
    </row>
    <row r="1563" spans="2:10">
      <c r="B1563" s="13" t="s">
        <v>3115</v>
      </c>
      <c r="C1563" s="13">
        <v>2404.7040000000002</v>
      </c>
      <c r="H1563" t="s">
        <v>3138</v>
      </c>
      <c r="I1563" t="s">
        <v>3</v>
      </c>
      <c r="J1563">
        <v>2404.7040000000002</v>
      </c>
    </row>
    <row r="1564" spans="2:10">
      <c r="B1564" s="13" t="s">
        <v>3118</v>
      </c>
      <c r="C1564" s="13">
        <v>563.024</v>
      </c>
      <c r="H1564" t="s">
        <v>3138</v>
      </c>
      <c r="I1564" t="s">
        <v>5</v>
      </c>
      <c r="J1564">
        <v>563.024</v>
      </c>
    </row>
    <row r="1565" spans="2:10">
      <c r="B1565" s="13" t="s">
        <v>3117</v>
      </c>
      <c r="C1565" s="13">
        <v>344.90999999999997</v>
      </c>
      <c r="H1565" t="s">
        <v>3138</v>
      </c>
      <c r="I1565" t="s">
        <v>5</v>
      </c>
      <c r="J1565">
        <v>344.90999999999997</v>
      </c>
    </row>
    <row r="1566" spans="2:10">
      <c r="B1566" s="13" t="s">
        <v>3121</v>
      </c>
      <c r="C1566" s="13">
        <v>8.64</v>
      </c>
      <c r="H1566" t="s">
        <v>3138</v>
      </c>
      <c r="I1566" t="s">
        <v>5</v>
      </c>
      <c r="J1566">
        <v>8.64</v>
      </c>
    </row>
    <row r="1567" spans="2:10">
      <c r="B1567" s="13" t="s">
        <v>3116</v>
      </c>
      <c r="C1567" s="13">
        <v>89.987999999999985</v>
      </c>
      <c r="H1567" t="s">
        <v>3136</v>
      </c>
      <c r="I1567" t="s">
        <v>4</v>
      </c>
      <c r="J1567">
        <v>89.987999999999985</v>
      </c>
    </row>
    <row r="1568" spans="2:10">
      <c r="B1568" s="13" t="s">
        <v>3114</v>
      </c>
      <c r="C1568" s="13">
        <v>229.54400000000001</v>
      </c>
      <c r="H1568" t="s">
        <v>3136</v>
      </c>
      <c r="I1568" t="s">
        <v>5</v>
      </c>
      <c r="J1568">
        <v>229.54400000000001</v>
      </c>
    </row>
    <row r="1569" spans="2:10">
      <c r="B1569" s="13" t="s">
        <v>3123</v>
      </c>
      <c r="C1569" s="13">
        <v>1.8239999999999998</v>
      </c>
      <c r="H1569" t="s">
        <v>3137</v>
      </c>
      <c r="I1569" t="s">
        <v>5</v>
      </c>
      <c r="J1569">
        <v>1.8239999999999998</v>
      </c>
    </row>
    <row r="1570" spans="2:10">
      <c r="B1570" s="13" t="s">
        <v>3125</v>
      </c>
      <c r="C1570" s="13">
        <v>18.319999999999997</v>
      </c>
      <c r="H1570" t="s">
        <v>3137</v>
      </c>
      <c r="I1570" t="s">
        <v>5</v>
      </c>
      <c r="J1570">
        <v>18.319999999999997</v>
      </c>
    </row>
    <row r="1571" spans="2:10">
      <c r="B1571" s="13" t="s">
        <v>3117</v>
      </c>
      <c r="C1571" s="13">
        <v>48.816000000000003</v>
      </c>
      <c r="H1571" t="s">
        <v>3137</v>
      </c>
      <c r="I1571" t="s">
        <v>5</v>
      </c>
      <c r="J1571">
        <v>48.816000000000003</v>
      </c>
    </row>
    <row r="1572" spans="2:10">
      <c r="B1572" s="13" t="s">
        <v>3118</v>
      </c>
      <c r="C1572" s="13">
        <v>1.1879999999999997</v>
      </c>
      <c r="H1572" t="s">
        <v>3137</v>
      </c>
      <c r="I1572" t="s">
        <v>5</v>
      </c>
      <c r="J1572">
        <v>1.1879999999999997</v>
      </c>
    </row>
    <row r="1573" spans="2:10">
      <c r="B1573" s="13" t="s">
        <v>3124</v>
      </c>
      <c r="C1573" s="13">
        <v>5.32</v>
      </c>
      <c r="H1573" t="s">
        <v>3135</v>
      </c>
      <c r="I1573" t="s">
        <v>5</v>
      </c>
      <c r="J1573">
        <v>5.32</v>
      </c>
    </row>
    <row r="1574" spans="2:10">
      <c r="B1574" s="13" t="s">
        <v>3115</v>
      </c>
      <c r="C1574" s="13">
        <v>975.92</v>
      </c>
      <c r="H1574" t="s">
        <v>3135</v>
      </c>
      <c r="I1574" t="s">
        <v>3</v>
      </c>
      <c r="J1574">
        <v>975.92</v>
      </c>
    </row>
    <row r="1575" spans="2:10">
      <c r="B1575" s="13" t="s">
        <v>3120</v>
      </c>
      <c r="C1575" s="13">
        <v>2249.91</v>
      </c>
      <c r="H1575" t="s">
        <v>3135</v>
      </c>
      <c r="I1575" t="s">
        <v>4</v>
      </c>
      <c r="J1575">
        <v>2249.91</v>
      </c>
    </row>
    <row r="1576" spans="2:10">
      <c r="B1576" s="13" t="s">
        <v>3117</v>
      </c>
      <c r="C1576" s="13">
        <v>59.92</v>
      </c>
      <c r="H1576" t="s">
        <v>3135</v>
      </c>
      <c r="I1576" t="s">
        <v>5</v>
      </c>
      <c r="J1576">
        <v>59.92</v>
      </c>
    </row>
    <row r="1577" spans="2:10">
      <c r="B1577" s="13" t="s">
        <v>3118</v>
      </c>
      <c r="C1577" s="13">
        <v>171.20000000000002</v>
      </c>
      <c r="H1577" t="s">
        <v>3138</v>
      </c>
      <c r="I1577" t="s">
        <v>5</v>
      </c>
      <c r="J1577">
        <v>171.20000000000002</v>
      </c>
    </row>
    <row r="1578" spans="2:10">
      <c r="B1578" s="13" t="s">
        <v>3122</v>
      </c>
      <c r="C1578" s="13">
        <v>3.36</v>
      </c>
      <c r="H1578" t="s">
        <v>3138</v>
      </c>
      <c r="I1578" t="s">
        <v>5</v>
      </c>
      <c r="J1578">
        <v>3.36</v>
      </c>
    </row>
    <row r="1579" spans="2:10">
      <c r="B1579" s="13" t="s">
        <v>3117</v>
      </c>
      <c r="C1579" s="13">
        <v>481.32</v>
      </c>
      <c r="H1579" t="s">
        <v>3138</v>
      </c>
      <c r="I1579" t="s">
        <v>5</v>
      </c>
      <c r="J1579">
        <v>481.32</v>
      </c>
    </row>
    <row r="1580" spans="2:10">
      <c r="B1580" s="13" t="s">
        <v>3129</v>
      </c>
      <c r="C1580" s="13">
        <v>13.98</v>
      </c>
      <c r="H1580" t="s">
        <v>3138</v>
      </c>
      <c r="I1580" t="s">
        <v>5</v>
      </c>
      <c r="J1580">
        <v>13.98</v>
      </c>
    </row>
    <row r="1581" spans="2:10">
      <c r="B1581" s="13" t="s">
        <v>3118</v>
      </c>
      <c r="C1581" s="13">
        <v>25.92</v>
      </c>
      <c r="H1581" t="s">
        <v>3136</v>
      </c>
      <c r="I1581" t="s">
        <v>5</v>
      </c>
      <c r="J1581">
        <v>25.92</v>
      </c>
    </row>
    <row r="1582" spans="2:10">
      <c r="B1582" s="13" t="s">
        <v>3121</v>
      </c>
      <c r="C1582" s="13">
        <v>91.59</v>
      </c>
      <c r="H1582" t="s">
        <v>3136</v>
      </c>
      <c r="I1582" t="s">
        <v>5</v>
      </c>
      <c r="J1582">
        <v>91.59</v>
      </c>
    </row>
    <row r="1583" spans="2:10">
      <c r="B1583" s="13" t="s">
        <v>3124</v>
      </c>
      <c r="C1583" s="13">
        <v>18.335999999999999</v>
      </c>
      <c r="H1583" t="s">
        <v>3135</v>
      </c>
      <c r="I1583" t="s">
        <v>5</v>
      </c>
      <c r="J1583">
        <v>18.335999999999999</v>
      </c>
    </row>
    <row r="1584" spans="2:10">
      <c r="B1584" s="13" t="s">
        <v>3114</v>
      </c>
      <c r="C1584" s="13">
        <v>36.288000000000011</v>
      </c>
      <c r="H1584" t="s">
        <v>3135</v>
      </c>
      <c r="I1584" t="s">
        <v>5</v>
      </c>
      <c r="J1584">
        <v>36.288000000000011</v>
      </c>
    </row>
    <row r="1585" spans="2:10">
      <c r="B1585" s="13" t="s">
        <v>3116</v>
      </c>
      <c r="C1585" s="13">
        <v>111.98399999999999</v>
      </c>
      <c r="H1585" t="s">
        <v>3135</v>
      </c>
      <c r="I1585" t="s">
        <v>4</v>
      </c>
      <c r="J1585">
        <v>111.98399999999999</v>
      </c>
    </row>
    <row r="1586" spans="2:10">
      <c r="B1586" s="13" t="s">
        <v>3118</v>
      </c>
      <c r="C1586" s="13">
        <v>5.9700000000000006</v>
      </c>
      <c r="H1586" t="s">
        <v>3135</v>
      </c>
      <c r="I1586" t="s">
        <v>5</v>
      </c>
      <c r="J1586">
        <v>5.9700000000000006</v>
      </c>
    </row>
    <row r="1587" spans="2:10">
      <c r="B1587" s="13" t="s">
        <v>3118</v>
      </c>
      <c r="C1587" s="13">
        <v>2.508</v>
      </c>
      <c r="H1587" t="s">
        <v>3135</v>
      </c>
      <c r="I1587" t="s">
        <v>5</v>
      </c>
      <c r="J1587">
        <v>2.508</v>
      </c>
    </row>
    <row r="1588" spans="2:10">
      <c r="B1588" s="13" t="s">
        <v>3122</v>
      </c>
      <c r="C1588" s="13">
        <v>67.144000000000005</v>
      </c>
      <c r="H1588" t="s">
        <v>3137</v>
      </c>
      <c r="I1588" t="s">
        <v>5</v>
      </c>
      <c r="J1588">
        <v>67.144000000000005</v>
      </c>
    </row>
    <row r="1589" spans="2:10">
      <c r="B1589" s="13" t="s">
        <v>3115</v>
      </c>
      <c r="C1589" s="13">
        <v>254.05799999999999</v>
      </c>
      <c r="H1589" t="s">
        <v>3137</v>
      </c>
      <c r="I1589" t="s">
        <v>3</v>
      </c>
      <c r="J1589">
        <v>254.05799999999999</v>
      </c>
    </row>
    <row r="1590" spans="2:10">
      <c r="B1590" s="13" t="s">
        <v>3118</v>
      </c>
      <c r="C1590" s="13">
        <v>2.2959999999999994</v>
      </c>
      <c r="H1590" t="s">
        <v>3137</v>
      </c>
      <c r="I1590" t="s">
        <v>5</v>
      </c>
      <c r="J1590">
        <v>2.2959999999999994</v>
      </c>
    </row>
    <row r="1591" spans="2:10">
      <c r="B1591" s="13" t="s">
        <v>3114</v>
      </c>
      <c r="C1591" s="13">
        <v>96.08</v>
      </c>
      <c r="H1591" t="s">
        <v>3135</v>
      </c>
      <c r="I1591" t="s">
        <v>5</v>
      </c>
      <c r="J1591">
        <v>96.08</v>
      </c>
    </row>
    <row r="1592" spans="2:10">
      <c r="B1592" s="13" t="s">
        <v>3123</v>
      </c>
      <c r="C1592" s="13">
        <v>3.62</v>
      </c>
      <c r="H1592" t="s">
        <v>3135</v>
      </c>
      <c r="I1592" t="s">
        <v>5</v>
      </c>
      <c r="J1592">
        <v>3.62</v>
      </c>
    </row>
    <row r="1593" spans="2:10">
      <c r="B1593" s="13" t="s">
        <v>3114</v>
      </c>
      <c r="C1593" s="13">
        <v>629.09999999999991</v>
      </c>
      <c r="H1593" t="s">
        <v>3135</v>
      </c>
      <c r="I1593" t="s">
        <v>5</v>
      </c>
      <c r="J1593">
        <v>629.09999999999991</v>
      </c>
    </row>
    <row r="1594" spans="2:10">
      <c r="B1594" s="13" t="s">
        <v>3116</v>
      </c>
      <c r="C1594" s="13">
        <v>90.48</v>
      </c>
      <c r="H1594" t="s">
        <v>3135</v>
      </c>
      <c r="I1594" t="s">
        <v>4</v>
      </c>
      <c r="J1594">
        <v>90.48</v>
      </c>
    </row>
    <row r="1595" spans="2:10">
      <c r="B1595" s="13" t="s">
        <v>3122</v>
      </c>
      <c r="C1595" s="13">
        <v>14.88</v>
      </c>
      <c r="H1595" t="s">
        <v>3136</v>
      </c>
      <c r="I1595" t="s">
        <v>5</v>
      </c>
      <c r="J1595">
        <v>14.88</v>
      </c>
    </row>
    <row r="1596" spans="2:10">
      <c r="B1596" s="13" t="s">
        <v>3126</v>
      </c>
      <c r="C1596" s="13">
        <v>91.275000000000006</v>
      </c>
      <c r="H1596" t="s">
        <v>3137</v>
      </c>
      <c r="I1596" t="s">
        <v>3</v>
      </c>
      <c r="J1596">
        <v>91.275000000000006</v>
      </c>
    </row>
    <row r="1597" spans="2:10">
      <c r="B1597" s="13" t="s">
        <v>3114</v>
      </c>
      <c r="C1597" s="13">
        <v>19.440000000000001</v>
      </c>
      <c r="H1597" t="s">
        <v>3136</v>
      </c>
      <c r="I1597" t="s">
        <v>5</v>
      </c>
      <c r="J1597">
        <v>19.440000000000001</v>
      </c>
    </row>
    <row r="1598" spans="2:10">
      <c r="B1598" s="13" t="s">
        <v>3115</v>
      </c>
      <c r="C1598" s="13">
        <v>897.15000000000009</v>
      </c>
      <c r="H1598" t="s">
        <v>3136</v>
      </c>
      <c r="I1598" t="s">
        <v>3</v>
      </c>
      <c r="J1598">
        <v>897.15000000000009</v>
      </c>
    </row>
    <row r="1599" spans="2:10">
      <c r="B1599" s="13" t="s">
        <v>3122</v>
      </c>
      <c r="C1599" s="13">
        <v>23.1</v>
      </c>
      <c r="H1599" t="s">
        <v>3138</v>
      </c>
      <c r="I1599" t="s">
        <v>5</v>
      </c>
      <c r="J1599">
        <v>23.1</v>
      </c>
    </row>
    <row r="1600" spans="2:10">
      <c r="B1600" s="13" t="s">
        <v>3118</v>
      </c>
      <c r="C1600" s="13">
        <v>33.74</v>
      </c>
      <c r="H1600" t="s">
        <v>3135</v>
      </c>
      <c r="I1600" t="s">
        <v>5</v>
      </c>
      <c r="J1600">
        <v>33.74</v>
      </c>
    </row>
    <row r="1601" spans="2:10">
      <c r="B1601" s="13" t="s">
        <v>3117</v>
      </c>
      <c r="C1601" s="13">
        <v>375.34</v>
      </c>
      <c r="H1601" t="s">
        <v>3137</v>
      </c>
      <c r="I1601" t="s">
        <v>5</v>
      </c>
      <c r="J1601">
        <v>375.34</v>
      </c>
    </row>
    <row r="1602" spans="2:10">
      <c r="B1602" s="13" t="s">
        <v>3118</v>
      </c>
      <c r="C1602" s="13">
        <v>117.48800000000001</v>
      </c>
      <c r="H1602" t="s">
        <v>3138</v>
      </c>
      <c r="I1602" t="s">
        <v>5</v>
      </c>
      <c r="J1602">
        <v>117.48800000000001</v>
      </c>
    </row>
    <row r="1603" spans="2:10">
      <c r="B1603" s="13" t="s">
        <v>3119</v>
      </c>
      <c r="C1603" s="13">
        <v>18.84</v>
      </c>
      <c r="H1603" t="s">
        <v>3138</v>
      </c>
      <c r="I1603" t="s">
        <v>3</v>
      </c>
      <c r="J1603">
        <v>18.84</v>
      </c>
    </row>
    <row r="1604" spans="2:10">
      <c r="B1604" s="13" t="s">
        <v>3125</v>
      </c>
      <c r="C1604" s="13">
        <v>69.48</v>
      </c>
      <c r="H1604" t="s">
        <v>3138</v>
      </c>
      <c r="I1604" t="s">
        <v>5</v>
      </c>
      <c r="J1604">
        <v>69.48</v>
      </c>
    </row>
    <row r="1605" spans="2:10">
      <c r="B1605" s="13" t="s">
        <v>3118</v>
      </c>
      <c r="C1605" s="13">
        <v>6.6719999999999988</v>
      </c>
      <c r="H1605" t="s">
        <v>3138</v>
      </c>
      <c r="I1605" t="s">
        <v>5</v>
      </c>
      <c r="J1605">
        <v>6.6719999999999988</v>
      </c>
    </row>
    <row r="1606" spans="2:10">
      <c r="B1606" s="13" t="s">
        <v>3116</v>
      </c>
      <c r="C1606" s="13">
        <v>689.40800000000002</v>
      </c>
      <c r="H1606" t="s">
        <v>3138</v>
      </c>
      <c r="I1606" t="s">
        <v>4</v>
      </c>
      <c r="J1606">
        <v>689.40800000000002</v>
      </c>
    </row>
    <row r="1607" spans="2:10">
      <c r="B1607" s="13" t="s">
        <v>3118</v>
      </c>
      <c r="C1607" s="13">
        <v>1889.9899999999998</v>
      </c>
      <c r="H1607" t="s">
        <v>3137</v>
      </c>
      <c r="I1607" t="s">
        <v>5</v>
      </c>
      <c r="J1607">
        <v>1889.9899999999998</v>
      </c>
    </row>
    <row r="1608" spans="2:10">
      <c r="B1608" s="13" t="s">
        <v>3125</v>
      </c>
      <c r="C1608" s="13">
        <v>48.783999999999999</v>
      </c>
      <c r="H1608" t="s">
        <v>3135</v>
      </c>
      <c r="I1608" t="s">
        <v>5</v>
      </c>
      <c r="J1608">
        <v>48.783999999999999</v>
      </c>
    </row>
    <row r="1609" spans="2:10">
      <c r="B1609" s="13" t="s">
        <v>3118</v>
      </c>
      <c r="C1609" s="13">
        <v>13.092000000000002</v>
      </c>
      <c r="H1609" t="s">
        <v>3135</v>
      </c>
      <c r="I1609" t="s">
        <v>5</v>
      </c>
      <c r="J1609">
        <v>13.092000000000002</v>
      </c>
    </row>
    <row r="1610" spans="2:10">
      <c r="B1610" s="13" t="s">
        <v>3120</v>
      </c>
      <c r="C1610" s="13">
        <v>79.989999999999995</v>
      </c>
      <c r="H1610" t="s">
        <v>3138</v>
      </c>
      <c r="I1610" t="s">
        <v>4</v>
      </c>
      <c r="J1610">
        <v>79.989999999999995</v>
      </c>
    </row>
    <row r="1611" spans="2:10">
      <c r="B1611" s="13" t="s">
        <v>3128</v>
      </c>
      <c r="C1611" s="13">
        <v>209.97900000000001</v>
      </c>
      <c r="H1611" t="s">
        <v>3138</v>
      </c>
      <c r="I1611" t="s">
        <v>3</v>
      </c>
      <c r="J1611">
        <v>209.97900000000001</v>
      </c>
    </row>
    <row r="1612" spans="2:10">
      <c r="B1612" s="13" t="s">
        <v>3118</v>
      </c>
      <c r="C1612" s="13">
        <v>33.930000000000007</v>
      </c>
      <c r="H1612" t="s">
        <v>3136</v>
      </c>
      <c r="I1612" t="s">
        <v>5</v>
      </c>
      <c r="J1612">
        <v>33.930000000000007</v>
      </c>
    </row>
    <row r="1613" spans="2:10">
      <c r="B1613" s="13" t="s">
        <v>3117</v>
      </c>
      <c r="C1613" s="13">
        <v>222.32000000000005</v>
      </c>
      <c r="H1613" t="s">
        <v>3136</v>
      </c>
      <c r="I1613" t="s">
        <v>5</v>
      </c>
      <c r="J1613">
        <v>222.32000000000005</v>
      </c>
    </row>
    <row r="1614" spans="2:10">
      <c r="B1614" s="13" t="s">
        <v>3116</v>
      </c>
      <c r="C1614" s="13">
        <v>210.56400000000002</v>
      </c>
      <c r="H1614" t="s">
        <v>3136</v>
      </c>
      <c r="I1614" t="s">
        <v>4</v>
      </c>
      <c r="J1614">
        <v>210.56400000000002</v>
      </c>
    </row>
    <row r="1615" spans="2:10">
      <c r="B1615" s="13" t="s">
        <v>3129</v>
      </c>
      <c r="C1615" s="13">
        <v>347.58</v>
      </c>
      <c r="H1615" t="s">
        <v>3136</v>
      </c>
      <c r="I1615" t="s">
        <v>5</v>
      </c>
      <c r="J1615">
        <v>347.58</v>
      </c>
    </row>
    <row r="1616" spans="2:10">
      <c r="B1616" s="13" t="s">
        <v>3118</v>
      </c>
      <c r="C1616" s="13">
        <v>33.479999999999997</v>
      </c>
      <c r="H1616" t="s">
        <v>3137</v>
      </c>
      <c r="I1616" t="s">
        <v>5</v>
      </c>
      <c r="J1616">
        <v>33.479999999999997</v>
      </c>
    </row>
    <row r="1617" spans="2:10">
      <c r="B1617" s="13" t="s">
        <v>3116</v>
      </c>
      <c r="C1617" s="13">
        <v>461.97</v>
      </c>
      <c r="H1617" t="s">
        <v>3137</v>
      </c>
      <c r="I1617" t="s">
        <v>4</v>
      </c>
      <c r="J1617">
        <v>461.97</v>
      </c>
    </row>
    <row r="1618" spans="2:10">
      <c r="B1618" s="13" t="s">
        <v>3125</v>
      </c>
      <c r="C1618" s="13">
        <v>137.62</v>
      </c>
      <c r="H1618" t="s">
        <v>3137</v>
      </c>
      <c r="I1618" t="s">
        <v>5</v>
      </c>
      <c r="J1618">
        <v>137.62</v>
      </c>
    </row>
    <row r="1619" spans="2:10">
      <c r="B1619" s="13" t="s">
        <v>3115</v>
      </c>
      <c r="C1619" s="13">
        <v>302.67</v>
      </c>
      <c r="H1619" t="s">
        <v>3137</v>
      </c>
      <c r="I1619" t="s">
        <v>3</v>
      </c>
      <c r="J1619">
        <v>302.67</v>
      </c>
    </row>
    <row r="1620" spans="2:10">
      <c r="B1620" s="13" t="s">
        <v>3122</v>
      </c>
      <c r="C1620" s="13">
        <v>8.34</v>
      </c>
      <c r="H1620" t="s">
        <v>3138</v>
      </c>
      <c r="I1620" t="s">
        <v>5</v>
      </c>
      <c r="J1620">
        <v>8.34</v>
      </c>
    </row>
    <row r="1621" spans="2:10">
      <c r="B1621" s="13" t="s">
        <v>3129</v>
      </c>
      <c r="C1621" s="13">
        <v>8.57</v>
      </c>
      <c r="H1621" t="s">
        <v>3138</v>
      </c>
      <c r="I1621" t="s">
        <v>5</v>
      </c>
      <c r="J1621">
        <v>8.57</v>
      </c>
    </row>
    <row r="1622" spans="2:10">
      <c r="B1622" s="13" t="s">
        <v>3118</v>
      </c>
      <c r="C1622" s="13">
        <v>119.61600000000001</v>
      </c>
      <c r="H1622" t="s">
        <v>3138</v>
      </c>
      <c r="I1622" t="s">
        <v>5</v>
      </c>
      <c r="J1622">
        <v>119.61600000000001</v>
      </c>
    </row>
    <row r="1623" spans="2:10">
      <c r="B1623" s="13" t="s">
        <v>3120</v>
      </c>
      <c r="C1623" s="13">
        <v>239.96000000000004</v>
      </c>
      <c r="H1623" t="s">
        <v>3137</v>
      </c>
      <c r="I1623" t="s">
        <v>4</v>
      </c>
      <c r="J1623">
        <v>239.96000000000004</v>
      </c>
    </row>
    <row r="1624" spans="2:10">
      <c r="B1624" s="13" t="s">
        <v>3114</v>
      </c>
      <c r="C1624" s="13">
        <v>195.64</v>
      </c>
      <c r="H1624" t="s">
        <v>3135</v>
      </c>
      <c r="I1624" t="s">
        <v>5</v>
      </c>
      <c r="J1624">
        <v>195.64</v>
      </c>
    </row>
    <row r="1625" spans="2:10">
      <c r="B1625" s="13" t="s">
        <v>3116</v>
      </c>
      <c r="C1625" s="13">
        <v>391.98</v>
      </c>
      <c r="H1625" t="s">
        <v>3136</v>
      </c>
      <c r="I1625" t="s">
        <v>4</v>
      </c>
      <c r="J1625">
        <v>391.98</v>
      </c>
    </row>
    <row r="1626" spans="2:10">
      <c r="B1626" s="13" t="s">
        <v>3120</v>
      </c>
      <c r="C1626" s="13">
        <v>383.97600000000006</v>
      </c>
      <c r="H1626" t="s">
        <v>3135</v>
      </c>
      <c r="I1626" t="s">
        <v>4</v>
      </c>
      <c r="J1626">
        <v>383.97600000000006</v>
      </c>
    </row>
    <row r="1627" spans="2:10">
      <c r="B1627" s="13" t="s">
        <v>3126</v>
      </c>
      <c r="C1627" s="13">
        <v>1781.6819999999998</v>
      </c>
      <c r="H1627" t="s">
        <v>3135</v>
      </c>
      <c r="I1627" t="s">
        <v>3</v>
      </c>
      <c r="J1627">
        <v>1781.6819999999998</v>
      </c>
    </row>
    <row r="1628" spans="2:10">
      <c r="B1628" s="13" t="s">
        <v>3122</v>
      </c>
      <c r="C1628" s="13">
        <v>21.400000000000002</v>
      </c>
      <c r="H1628" t="s">
        <v>3138</v>
      </c>
      <c r="I1628" t="s">
        <v>5</v>
      </c>
      <c r="J1628">
        <v>21.400000000000002</v>
      </c>
    </row>
    <row r="1629" spans="2:10">
      <c r="B1629" s="13" t="s">
        <v>3118</v>
      </c>
      <c r="C1629" s="13">
        <v>13.904</v>
      </c>
      <c r="H1629" t="s">
        <v>3138</v>
      </c>
      <c r="I1629" t="s">
        <v>5</v>
      </c>
      <c r="J1629">
        <v>13.904</v>
      </c>
    </row>
    <row r="1630" spans="2:10">
      <c r="B1630" s="13" t="s">
        <v>3118</v>
      </c>
      <c r="C1630" s="13">
        <v>18.240000000000002</v>
      </c>
      <c r="H1630" t="s">
        <v>3137</v>
      </c>
      <c r="I1630" t="s">
        <v>5</v>
      </c>
      <c r="J1630">
        <v>18.240000000000002</v>
      </c>
    </row>
    <row r="1631" spans="2:10">
      <c r="B1631" s="13" t="s">
        <v>3128</v>
      </c>
      <c r="C1631" s="13">
        <v>359.49899999999997</v>
      </c>
      <c r="H1631" t="s">
        <v>3138</v>
      </c>
      <c r="I1631" t="s">
        <v>3</v>
      </c>
      <c r="J1631">
        <v>359.49899999999997</v>
      </c>
    </row>
    <row r="1632" spans="2:10">
      <c r="B1632" s="13" t="s">
        <v>3117</v>
      </c>
      <c r="C1632" s="13">
        <v>10.48</v>
      </c>
      <c r="H1632" t="s">
        <v>3138</v>
      </c>
      <c r="I1632" t="s">
        <v>5</v>
      </c>
      <c r="J1632">
        <v>10.48</v>
      </c>
    </row>
    <row r="1633" spans="2:10">
      <c r="B1633" s="13" t="s">
        <v>3114</v>
      </c>
      <c r="C1633" s="13">
        <v>7.9680000000000009</v>
      </c>
      <c r="H1633" t="s">
        <v>3138</v>
      </c>
      <c r="I1633" t="s">
        <v>5</v>
      </c>
      <c r="J1633">
        <v>7.9680000000000009</v>
      </c>
    </row>
    <row r="1634" spans="2:10">
      <c r="B1634" s="13" t="s">
        <v>3124</v>
      </c>
      <c r="C1634" s="13">
        <v>8.7840000000000007</v>
      </c>
      <c r="H1634" t="s">
        <v>3138</v>
      </c>
      <c r="I1634" t="s">
        <v>5</v>
      </c>
      <c r="J1634">
        <v>8.7840000000000007</v>
      </c>
    </row>
    <row r="1635" spans="2:10">
      <c r="B1635" s="13" t="s">
        <v>3123</v>
      </c>
      <c r="C1635" s="13">
        <v>3.024</v>
      </c>
      <c r="H1635" t="s">
        <v>3138</v>
      </c>
      <c r="I1635" t="s">
        <v>5</v>
      </c>
      <c r="J1635">
        <v>3.024</v>
      </c>
    </row>
    <row r="1636" spans="2:10">
      <c r="B1636" s="13" t="s">
        <v>3122</v>
      </c>
      <c r="C1636" s="13">
        <v>42.047999999999995</v>
      </c>
      <c r="H1636" t="s">
        <v>3135</v>
      </c>
      <c r="I1636" t="s">
        <v>5</v>
      </c>
      <c r="J1636">
        <v>42.047999999999995</v>
      </c>
    </row>
    <row r="1637" spans="2:10">
      <c r="B1637" s="13" t="s">
        <v>3122</v>
      </c>
      <c r="C1637" s="13">
        <v>67.92</v>
      </c>
      <c r="H1637" t="s">
        <v>3135</v>
      </c>
      <c r="I1637" t="s">
        <v>5</v>
      </c>
      <c r="J1637">
        <v>67.92</v>
      </c>
    </row>
    <row r="1638" spans="2:10">
      <c r="B1638" s="13" t="s">
        <v>3121</v>
      </c>
      <c r="C1638" s="13">
        <v>3.3040000000000003</v>
      </c>
      <c r="H1638" t="s">
        <v>3136</v>
      </c>
      <c r="I1638" t="s">
        <v>5</v>
      </c>
      <c r="J1638">
        <v>3.3040000000000003</v>
      </c>
    </row>
    <row r="1639" spans="2:10">
      <c r="B1639" s="13" t="s">
        <v>3117</v>
      </c>
      <c r="C1639" s="13">
        <v>35.479999999999997</v>
      </c>
      <c r="H1639" t="s">
        <v>3136</v>
      </c>
      <c r="I1639" t="s">
        <v>5</v>
      </c>
      <c r="J1639">
        <v>35.479999999999997</v>
      </c>
    </row>
    <row r="1640" spans="2:10">
      <c r="B1640" s="13" t="s">
        <v>3119</v>
      </c>
      <c r="C1640" s="13">
        <v>101.12</v>
      </c>
      <c r="H1640" t="s">
        <v>3138</v>
      </c>
      <c r="I1640" t="s">
        <v>3</v>
      </c>
      <c r="J1640">
        <v>101.12</v>
      </c>
    </row>
    <row r="1641" spans="2:10">
      <c r="B1641" s="13" t="s">
        <v>3125</v>
      </c>
      <c r="C1641" s="13">
        <v>58.730000000000004</v>
      </c>
      <c r="H1641" t="s">
        <v>3136</v>
      </c>
      <c r="I1641" t="s">
        <v>5</v>
      </c>
      <c r="J1641">
        <v>58.730000000000004</v>
      </c>
    </row>
    <row r="1642" spans="2:10">
      <c r="B1642" s="13" t="s">
        <v>3118</v>
      </c>
      <c r="C1642" s="13">
        <v>93.344000000000008</v>
      </c>
      <c r="H1642" t="s">
        <v>3136</v>
      </c>
      <c r="I1642" t="s">
        <v>5</v>
      </c>
      <c r="J1642">
        <v>93.344000000000008</v>
      </c>
    </row>
    <row r="1643" spans="2:10">
      <c r="B1643" s="13" t="s">
        <v>3124</v>
      </c>
      <c r="C1643" s="13">
        <v>23.34</v>
      </c>
      <c r="H1643" t="s">
        <v>3136</v>
      </c>
      <c r="I1643" t="s">
        <v>5</v>
      </c>
      <c r="J1643">
        <v>23.34</v>
      </c>
    </row>
    <row r="1644" spans="2:10">
      <c r="B1644" s="13" t="s">
        <v>3114</v>
      </c>
      <c r="C1644" s="13">
        <v>51.550000000000004</v>
      </c>
      <c r="H1644" t="s">
        <v>3136</v>
      </c>
      <c r="I1644" t="s">
        <v>5</v>
      </c>
      <c r="J1644">
        <v>51.550000000000004</v>
      </c>
    </row>
    <row r="1645" spans="2:10">
      <c r="B1645" s="13" t="s">
        <v>3119</v>
      </c>
      <c r="C1645" s="13">
        <v>86.26</v>
      </c>
      <c r="H1645" t="s">
        <v>3138</v>
      </c>
      <c r="I1645" t="s">
        <v>3</v>
      </c>
      <c r="J1645">
        <v>86.26</v>
      </c>
    </row>
    <row r="1646" spans="2:10">
      <c r="B1646" s="13" t="s">
        <v>3117</v>
      </c>
      <c r="C1646" s="13">
        <v>139.04</v>
      </c>
      <c r="H1646" t="s">
        <v>3138</v>
      </c>
      <c r="I1646" t="s">
        <v>5</v>
      </c>
      <c r="J1646">
        <v>139.04</v>
      </c>
    </row>
    <row r="1647" spans="2:10">
      <c r="B1647" s="13" t="s">
        <v>3125</v>
      </c>
      <c r="C1647" s="13">
        <v>46.8</v>
      </c>
      <c r="H1647" t="s">
        <v>3138</v>
      </c>
      <c r="I1647" t="s">
        <v>5</v>
      </c>
      <c r="J1647">
        <v>46.8</v>
      </c>
    </row>
    <row r="1648" spans="2:10">
      <c r="B1648" s="13" t="s">
        <v>3119</v>
      </c>
      <c r="C1648" s="13">
        <v>8.5440000000000005</v>
      </c>
      <c r="H1648" t="s">
        <v>3138</v>
      </c>
      <c r="I1648" t="s">
        <v>3</v>
      </c>
      <c r="J1648">
        <v>8.5440000000000005</v>
      </c>
    </row>
    <row r="1649" spans="2:10">
      <c r="B1649" s="13" t="s">
        <v>3115</v>
      </c>
      <c r="C1649" s="13">
        <v>842.37600000000009</v>
      </c>
      <c r="H1649" t="s">
        <v>3138</v>
      </c>
      <c r="I1649" t="s">
        <v>3</v>
      </c>
      <c r="J1649">
        <v>842.37600000000009</v>
      </c>
    </row>
    <row r="1650" spans="2:10">
      <c r="B1650" s="13" t="s">
        <v>3117</v>
      </c>
      <c r="C1650" s="13">
        <v>67.78</v>
      </c>
      <c r="H1650" t="s">
        <v>3138</v>
      </c>
      <c r="I1650" t="s">
        <v>5</v>
      </c>
      <c r="J1650">
        <v>67.78</v>
      </c>
    </row>
    <row r="1651" spans="2:10">
      <c r="B1651" s="13" t="s">
        <v>3117</v>
      </c>
      <c r="C1651" s="13">
        <v>39.900000000000006</v>
      </c>
      <c r="H1651" t="s">
        <v>3138</v>
      </c>
      <c r="I1651" t="s">
        <v>5</v>
      </c>
      <c r="J1651">
        <v>39.900000000000006</v>
      </c>
    </row>
    <row r="1652" spans="2:10">
      <c r="B1652" s="13" t="s">
        <v>3116</v>
      </c>
      <c r="C1652" s="13">
        <v>1001.5840000000001</v>
      </c>
      <c r="H1652" t="s">
        <v>3137</v>
      </c>
      <c r="I1652" t="s">
        <v>4</v>
      </c>
      <c r="J1652">
        <v>1001.5840000000001</v>
      </c>
    </row>
    <row r="1653" spans="2:10">
      <c r="B1653" s="13" t="s">
        <v>3115</v>
      </c>
      <c r="C1653" s="13">
        <v>569.05799999999999</v>
      </c>
      <c r="H1653" t="s">
        <v>3137</v>
      </c>
      <c r="I1653" t="s">
        <v>3</v>
      </c>
      <c r="J1653">
        <v>569.05799999999999</v>
      </c>
    </row>
    <row r="1654" spans="2:10">
      <c r="B1654" s="13" t="s">
        <v>3119</v>
      </c>
      <c r="C1654" s="13">
        <v>14.224000000000002</v>
      </c>
      <c r="H1654" t="s">
        <v>3137</v>
      </c>
      <c r="I1654" t="s">
        <v>3</v>
      </c>
      <c r="J1654">
        <v>14.224000000000002</v>
      </c>
    </row>
    <row r="1655" spans="2:10">
      <c r="B1655" s="13" t="s">
        <v>3118</v>
      </c>
      <c r="C1655" s="13">
        <v>2.0719999999999996</v>
      </c>
      <c r="H1655" t="s">
        <v>3137</v>
      </c>
      <c r="I1655" t="s">
        <v>5</v>
      </c>
      <c r="J1655">
        <v>2.0719999999999996</v>
      </c>
    </row>
    <row r="1656" spans="2:10">
      <c r="B1656" s="13" t="s">
        <v>3128</v>
      </c>
      <c r="C1656" s="13">
        <v>328.39919999999995</v>
      </c>
      <c r="H1656" t="s">
        <v>3137</v>
      </c>
      <c r="I1656" t="s">
        <v>3</v>
      </c>
      <c r="J1656">
        <v>328.39919999999995</v>
      </c>
    </row>
    <row r="1657" spans="2:10">
      <c r="B1657" s="13" t="s">
        <v>3114</v>
      </c>
      <c r="C1657" s="13">
        <v>45.36</v>
      </c>
      <c r="H1657" t="s">
        <v>3136</v>
      </c>
      <c r="I1657" t="s">
        <v>5</v>
      </c>
      <c r="J1657">
        <v>45.36</v>
      </c>
    </row>
    <row r="1658" spans="2:10">
      <c r="B1658" s="13" t="s">
        <v>3118</v>
      </c>
      <c r="C1658" s="13">
        <v>45.78</v>
      </c>
      <c r="H1658" t="s">
        <v>3136</v>
      </c>
      <c r="I1658" t="s">
        <v>5</v>
      </c>
      <c r="J1658">
        <v>45.78</v>
      </c>
    </row>
    <row r="1659" spans="2:10">
      <c r="B1659" s="13" t="s">
        <v>3117</v>
      </c>
      <c r="C1659" s="13">
        <v>40.29</v>
      </c>
      <c r="H1659" t="s">
        <v>3135</v>
      </c>
      <c r="I1659" t="s">
        <v>5</v>
      </c>
      <c r="J1659">
        <v>40.29</v>
      </c>
    </row>
    <row r="1660" spans="2:10">
      <c r="B1660" s="13" t="s">
        <v>3118</v>
      </c>
      <c r="C1660" s="13">
        <v>38.71</v>
      </c>
      <c r="H1660" t="s">
        <v>3135</v>
      </c>
      <c r="I1660" t="s">
        <v>5</v>
      </c>
      <c r="J1660">
        <v>38.71</v>
      </c>
    </row>
    <row r="1661" spans="2:10">
      <c r="B1661" s="13" t="s">
        <v>3120</v>
      </c>
      <c r="C1661" s="13">
        <v>167.95200000000003</v>
      </c>
      <c r="H1661" t="s">
        <v>3137</v>
      </c>
      <c r="I1661" t="s">
        <v>4</v>
      </c>
      <c r="J1661">
        <v>167.95200000000003</v>
      </c>
    </row>
    <row r="1662" spans="2:10">
      <c r="B1662" s="13" t="s">
        <v>3122</v>
      </c>
      <c r="C1662" s="13">
        <v>45.04</v>
      </c>
      <c r="H1662" t="s">
        <v>3137</v>
      </c>
      <c r="I1662" t="s">
        <v>5</v>
      </c>
      <c r="J1662">
        <v>45.04</v>
      </c>
    </row>
    <row r="1663" spans="2:10">
      <c r="B1663" s="13" t="s">
        <v>3124</v>
      </c>
      <c r="C1663" s="13">
        <v>23.16</v>
      </c>
      <c r="H1663" t="s">
        <v>3138</v>
      </c>
      <c r="I1663" t="s">
        <v>5</v>
      </c>
      <c r="J1663">
        <v>23.16</v>
      </c>
    </row>
    <row r="1664" spans="2:10">
      <c r="B1664" s="13" t="s">
        <v>3124</v>
      </c>
      <c r="C1664" s="13">
        <v>17.48</v>
      </c>
      <c r="H1664" t="s">
        <v>3137</v>
      </c>
      <c r="I1664" t="s">
        <v>5</v>
      </c>
      <c r="J1664">
        <v>17.48</v>
      </c>
    </row>
    <row r="1665" spans="2:10">
      <c r="B1665" s="13" t="s">
        <v>3114</v>
      </c>
      <c r="C1665" s="13">
        <v>79.14</v>
      </c>
      <c r="H1665" t="s">
        <v>3138</v>
      </c>
      <c r="I1665" t="s">
        <v>5</v>
      </c>
      <c r="J1665">
        <v>79.14</v>
      </c>
    </row>
    <row r="1666" spans="2:10">
      <c r="B1666" s="13" t="s">
        <v>3122</v>
      </c>
      <c r="C1666" s="13">
        <v>8.4</v>
      </c>
      <c r="H1666" t="s">
        <v>3136</v>
      </c>
      <c r="I1666" t="s">
        <v>5</v>
      </c>
      <c r="J1666">
        <v>8.4</v>
      </c>
    </row>
    <row r="1667" spans="2:10">
      <c r="B1667" s="13" t="s">
        <v>3115</v>
      </c>
      <c r="C1667" s="13">
        <v>498.26000000000005</v>
      </c>
      <c r="H1667" t="s">
        <v>3137</v>
      </c>
      <c r="I1667" t="s">
        <v>3</v>
      </c>
      <c r="J1667">
        <v>498.26000000000005</v>
      </c>
    </row>
    <row r="1668" spans="2:10">
      <c r="B1668" s="13" t="s">
        <v>3125</v>
      </c>
      <c r="C1668" s="13">
        <v>706.86</v>
      </c>
      <c r="H1668" t="s">
        <v>3137</v>
      </c>
      <c r="I1668" t="s">
        <v>5</v>
      </c>
      <c r="J1668">
        <v>706.86</v>
      </c>
    </row>
    <row r="1669" spans="2:10">
      <c r="B1669" s="13" t="s">
        <v>3116</v>
      </c>
      <c r="C1669" s="13">
        <v>114.94999999999999</v>
      </c>
      <c r="H1669" t="s">
        <v>3137</v>
      </c>
      <c r="I1669" t="s">
        <v>4</v>
      </c>
      <c r="J1669">
        <v>114.94999999999999</v>
      </c>
    </row>
    <row r="1670" spans="2:10">
      <c r="B1670" s="13" t="s">
        <v>3118</v>
      </c>
      <c r="C1670" s="13">
        <v>43.19</v>
      </c>
      <c r="H1670" t="s">
        <v>3137</v>
      </c>
      <c r="I1670" t="s">
        <v>5</v>
      </c>
      <c r="J1670">
        <v>43.19</v>
      </c>
    </row>
    <row r="1671" spans="2:10">
      <c r="B1671" s="13" t="s">
        <v>3114</v>
      </c>
      <c r="C1671" s="13">
        <v>166.44</v>
      </c>
      <c r="H1671" t="s">
        <v>3138</v>
      </c>
      <c r="I1671" t="s">
        <v>5</v>
      </c>
      <c r="J1671">
        <v>166.44</v>
      </c>
    </row>
    <row r="1672" spans="2:10">
      <c r="B1672" s="13" t="s">
        <v>3118</v>
      </c>
      <c r="C1672" s="13">
        <v>14.624000000000002</v>
      </c>
      <c r="H1672" t="s">
        <v>3138</v>
      </c>
      <c r="I1672" t="s">
        <v>5</v>
      </c>
      <c r="J1672">
        <v>14.624000000000002</v>
      </c>
    </row>
    <row r="1673" spans="2:10">
      <c r="B1673" s="13" t="s">
        <v>3126</v>
      </c>
      <c r="C1673" s="13">
        <v>697.16</v>
      </c>
      <c r="H1673" t="s">
        <v>3138</v>
      </c>
      <c r="I1673" t="s">
        <v>3</v>
      </c>
      <c r="J1673">
        <v>697.16</v>
      </c>
    </row>
    <row r="1674" spans="2:10">
      <c r="B1674" s="13" t="s">
        <v>3119</v>
      </c>
      <c r="C1674" s="13">
        <v>30.93</v>
      </c>
      <c r="H1674" t="s">
        <v>3138</v>
      </c>
      <c r="I1674" t="s">
        <v>3</v>
      </c>
      <c r="J1674">
        <v>30.93</v>
      </c>
    </row>
    <row r="1675" spans="2:10">
      <c r="B1675" s="13" t="s">
        <v>3118</v>
      </c>
      <c r="C1675" s="13">
        <v>27.496000000000002</v>
      </c>
      <c r="H1675" t="s">
        <v>3138</v>
      </c>
      <c r="I1675" t="s">
        <v>5</v>
      </c>
      <c r="J1675">
        <v>27.496000000000002</v>
      </c>
    </row>
    <row r="1676" spans="2:10">
      <c r="B1676" s="13" t="s">
        <v>3126</v>
      </c>
      <c r="C1676" s="13">
        <v>210.00800000000001</v>
      </c>
      <c r="H1676" t="s">
        <v>3138</v>
      </c>
      <c r="I1676" t="s">
        <v>3</v>
      </c>
      <c r="J1676">
        <v>210.00800000000001</v>
      </c>
    </row>
    <row r="1677" spans="2:10">
      <c r="B1677" s="13" t="s">
        <v>3118</v>
      </c>
      <c r="C1677" s="13">
        <v>3.3179999999999996</v>
      </c>
      <c r="H1677" t="s">
        <v>3137</v>
      </c>
      <c r="I1677" t="s">
        <v>5</v>
      </c>
      <c r="J1677">
        <v>3.3179999999999996</v>
      </c>
    </row>
    <row r="1678" spans="2:10">
      <c r="B1678" s="13" t="s">
        <v>3120</v>
      </c>
      <c r="C1678" s="13">
        <v>43.5</v>
      </c>
      <c r="H1678" t="s">
        <v>3138</v>
      </c>
      <c r="I1678" t="s">
        <v>4</v>
      </c>
      <c r="J1678">
        <v>43.5</v>
      </c>
    </row>
    <row r="1679" spans="2:10">
      <c r="B1679" s="13" t="s">
        <v>3114</v>
      </c>
      <c r="C1679" s="13">
        <v>38.880000000000003</v>
      </c>
      <c r="H1679" t="s">
        <v>3138</v>
      </c>
      <c r="I1679" t="s">
        <v>5</v>
      </c>
      <c r="J1679">
        <v>38.880000000000003</v>
      </c>
    </row>
    <row r="1680" spans="2:10">
      <c r="B1680" s="13" t="s">
        <v>3114</v>
      </c>
      <c r="C1680" s="13">
        <v>35.200000000000003</v>
      </c>
      <c r="H1680" t="s">
        <v>3138</v>
      </c>
      <c r="I1680" t="s">
        <v>5</v>
      </c>
      <c r="J1680">
        <v>35.200000000000003</v>
      </c>
    </row>
    <row r="1681" spans="2:10">
      <c r="B1681" s="13" t="s">
        <v>3114</v>
      </c>
      <c r="C1681" s="13">
        <v>45.527999999999999</v>
      </c>
      <c r="H1681" t="s">
        <v>3136</v>
      </c>
      <c r="I1681" t="s">
        <v>5</v>
      </c>
      <c r="J1681">
        <v>45.527999999999999</v>
      </c>
    </row>
    <row r="1682" spans="2:10">
      <c r="B1682" s="13" t="s">
        <v>3114</v>
      </c>
      <c r="C1682" s="13">
        <v>11.76</v>
      </c>
      <c r="H1682" t="s">
        <v>3138</v>
      </c>
      <c r="I1682" t="s">
        <v>5</v>
      </c>
      <c r="J1682">
        <v>11.76</v>
      </c>
    </row>
    <row r="1683" spans="2:10">
      <c r="B1683" s="13" t="s">
        <v>3114</v>
      </c>
      <c r="C1683" s="13">
        <v>167.94</v>
      </c>
      <c r="H1683" t="s">
        <v>3138</v>
      </c>
      <c r="I1683" t="s">
        <v>5</v>
      </c>
      <c r="J1683">
        <v>167.94</v>
      </c>
    </row>
    <row r="1684" spans="2:10">
      <c r="B1684" s="13" t="s">
        <v>3125</v>
      </c>
      <c r="C1684" s="13">
        <v>3.89</v>
      </c>
      <c r="H1684" t="s">
        <v>3138</v>
      </c>
      <c r="I1684" t="s">
        <v>5</v>
      </c>
      <c r="J1684">
        <v>3.89</v>
      </c>
    </row>
    <row r="1685" spans="2:10">
      <c r="B1685" s="13" t="s">
        <v>3130</v>
      </c>
      <c r="C1685" s="13">
        <v>52.44</v>
      </c>
      <c r="H1685" t="s">
        <v>3136</v>
      </c>
      <c r="I1685" t="s">
        <v>4</v>
      </c>
      <c r="J1685">
        <v>52.44</v>
      </c>
    </row>
    <row r="1686" spans="2:10">
      <c r="B1686" s="13" t="s">
        <v>3119</v>
      </c>
      <c r="C1686" s="13">
        <v>32.36</v>
      </c>
      <c r="H1686" t="s">
        <v>3138</v>
      </c>
      <c r="I1686" t="s">
        <v>3</v>
      </c>
      <c r="J1686">
        <v>32.36</v>
      </c>
    </row>
    <row r="1687" spans="2:10">
      <c r="B1687" s="13" t="s">
        <v>3125</v>
      </c>
      <c r="C1687" s="13">
        <v>406.59999999999997</v>
      </c>
      <c r="H1687" t="s">
        <v>3138</v>
      </c>
      <c r="I1687" t="s">
        <v>5</v>
      </c>
      <c r="J1687">
        <v>406.59999999999997</v>
      </c>
    </row>
    <row r="1688" spans="2:10">
      <c r="B1688" s="13" t="s">
        <v>3119</v>
      </c>
      <c r="C1688" s="13">
        <v>27.92</v>
      </c>
      <c r="H1688" t="s">
        <v>3138</v>
      </c>
      <c r="I1688" t="s">
        <v>3</v>
      </c>
      <c r="J1688">
        <v>27.92</v>
      </c>
    </row>
    <row r="1689" spans="2:10">
      <c r="B1689" s="13" t="s">
        <v>3126</v>
      </c>
      <c r="C1689" s="13">
        <v>399.67200000000003</v>
      </c>
      <c r="H1689" t="s">
        <v>3138</v>
      </c>
      <c r="I1689" t="s">
        <v>3</v>
      </c>
      <c r="J1689">
        <v>399.67200000000003</v>
      </c>
    </row>
    <row r="1690" spans="2:10">
      <c r="B1690" s="13" t="s">
        <v>3120</v>
      </c>
      <c r="C1690" s="13">
        <v>159.80000000000001</v>
      </c>
      <c r="H1690" t="s">
        <v>3135</v>
      </c>
      <c r="I1690" t="s">
        <v>4</v>
      </c>
      <c r="J1690">
        <v>159.80000000000001</v>
      </c>
    </row>
    <row r="1691" spans="2:10">
      <c r="B1691" s="13" t="s">
        <v>3120</v>
      </c>
      <c r="C1691" s="13">
        <v>44.75</v>
      </c>
      <c r="H1691" t="s">
        <v>3135</v>
      </c>
      <c r="I1691" t="s">
        <v>4</v>
      </c>
      <c r="J1691">
        <v>44.75</v>
      </c>
    </row>
    <row r="1692" spans="2:10">
      <c r="B1692" s="13" t="s">
        <v>3120</v>
      </c>
      <c r="C1692" s="13">
        <v>13.48</v>
      </c>
      <c r="H1692" t="s">
        <v>3137</v>
      </c>
      <c r="I1692" t="s">
        <v>4</v>
      </c>
      <c r="J1692">
        <v>13.48</v>
      </c>
    </row>
    <row r="1693" spans="2:10">
      <c r="B1693" s="13" t="s">
        <v>3117</v>
      </c>
      <c r="C1693" s="13">
        <v>85.52</v>
      </c>
      <c r="H1693" t="s">
        <v>3137</v>
      </c>
      <c r="I1693" t="s">
        <v>5</v>
      </c>
      <c r="J1693">
        <v>85.52</v>
      </c>
    </row>
    <row r="1694" spans="2:10">
      <c r="B1694" s="13" t="s">
        <v>3124</v>
      </c>
      <c r="C1694" s="13">
        <v>21.240000000000002</v>
      </c>
      <c r="H1694" t="s">
        <v>3138</v>
      </c>
      <c r="I1694" t="s">
        <v>5</v>
      </c>
      <c r="J1694">
        <v>21.240000000000002</v>
      </c>
    </row>
    <row r="1695" spans="2:10">
      <c r="B1695" s="13" t="s">
        <v>3118</v>
      </c>
      <c r="C1695" s="13">
        <v>9.5520000000000014</v>
      </c>
      <c r="H1695" t="s">
        <v>3138</v>
      </c>
      <c r="I1695" t="s">
        <v>5</v>
      </c>
      <c r="J1695">
        <v>9.5520000000000014</v>
      </c>
    </row>
    <row r="1696" spans="2:10">
      <c r="B1696" s="13" t="s">
        <v>3128</v>
      </c>
      <c r="C1696" s="13">
        <v>89.991000000000014</v>
      </c>
      <c r="H1696" t="s">
        <v>3138</v>
      </c>
      <c r="I1696" t="s">
        <v>3</v>
      </c>
      <c r="J1696">
        <v>89.991000000000014</v>
      </c>
    </row>
    <row r="1697" spans="2:10">
      <c r="B1697" s="13" t="s">
        <v>3114</v>
      </c>
      <c r="C1697" s="13">
        <v>163.96</v>
      </c>
      <c r="H1697" t="s">
        <v>3138</v>
      </c>
      <c r="I1697" t="s">
        <v>5</v>
      </c>
      <c r="J1697">
        <v>163.96</v>
      </c>
    </row>
    <row r="1698" spans="2:10">
      <c r="B1698" s="13" t="s">
        <v>3117</v>
      </c>
      <c r="C1698" s="13">
        <v>4.4640000000000004</v>
      </c>
      <c r="H1698" t="s">
        <v>3135</v>
      </c>
      <c r="I1698" t="s">
        <v>5</v>
      </c>
      <c r="J1698">
        <v>4.4640000000000004</v>
      </c>
    </row>
    <row r="1699" spans="2:10">
      <c r="B1699" s="13" t="s">
        <v>3121</v>
      </c>
      <c r="C1699" s="13">
        <v>50.4</v>
      </c>
      <c r="H1699" t="s">
        <v>3137</v>
      </c>
      <c r="I1699" t="s">
        <v>5</v>
      </c>
      <c r="J1699">
        <v>50.4</v>
      </c>
    </row>
    <row r="1700" spans="2:10">
      <c r="B1700" s="13" t="s">
        <v>3114</v>
      </c>
      <c r="C1700" s="13">
        <v>89.567999999999998</v>
      </c>
      <c r="H1700" t="s">
        <v>3137</v>
      </c>
      <c r="I1700" t="s">
        <v>5</v>
      </c>
      <c r="J1700">
        <v>89.567999999999998</v>
      </c>
    </row>
    <row r="1701" spans="2:10">
      <c r="B1701" s="13" t="s">
        <v>3119</v>
      </c>
      <c r="C1701" s="13">
        <v>14.89</v>
      </c>
      <c r="H1701" t="s">
        <v>3136</v>
      </c>
      <c r="I1701" t="s">
        <v>3</v>
      </c>
      <c r="J1701">
        <v>14.89</v>
      </c>
    </row>
    <row r="1702" spans="2:10">
      <c r="B1702" s="13" t="s">
        <v>3116</v>
      </c>
      <c r="C1702" s="13">
        <v>543.91999999999996</v>
      </c>
      <c r="H1702" t="s">
        <v>3136</v>
      </c>
      <c r="I1702" t="s">
        <v>4</v>
      </c>
      <c r="J1702">
        <v>543.91999999999996</v>
      </c>
    </row>
    <row r="1703" spans="2:10">
      <c r="B1703" s="13" t="s">
        <v>3115</v>
      </c>
      <c r="C1703" s="13">
        <v>191.05799999999999</v>
      </c>
      <c r="H1703" t="s">
        <v>3137</v>
      </c>
      <c r="I1703" t="s">
        <v>3</v>
      </c>
      <c r="J1703">
        <v>191.05799999999999</v>
      </c>
    </row>
    <row r="1704" spans="2:10">
      <c r="B1704" s="13" t="s">
        <v>3122</v>
      </c>
      <c r="C1704" s="13">
        <v>13.040000000000001</v>
      </c>
      <c r="H1704" t="s">
        <v>3137</v>
      </c>
      <c r="I1704" t="s">
        <v>5</v>
      </c>
      <c r="J1704">
        <v>13.040000000000001</v>
      </c>
    </row>
    <row r="1705" spans="2:10">
      <c r="B1705" s="13" t="s">
        <v>3118</v>
      </c>
      <c r="C1705" s="13">
        <v>1525.1879999999996</v>
      </c>
      <c r="H1705" t="s">
        <v>3137</v>
      </c>
      <c r="I1705" t="s">
        <v>5</v>
      </c>
      <c r="J1705">
        <v>1525.1879999999996</v>
      </c>
    </row>
    <row r="1706" spans="2:10">
      <c r="B1706" s="13" t="s">
        <v>3119</v>
      </c>
      <c r="C1706" s="13">
        <v>64.959999999999994</v>
      </c>
      <c r="H1706" t="s">
        <v>3138</v>
      </c>
      <c r="I1706" t="s">
        <v>3</v>
      </c>
      <c r="J1706">
        <v>64.959999999999994</v>
      </c>
    </row>
    <row r="1707" spans="2:10">
      <c r="B1707" s="13" t="s">
        <v>3124</v>
      </c>
      <c r="C1707" s="13">
        <v>30.56</v>
      </c>
      <c r="H1707" t="s">
        <v>3138</v>
      </c>
      <c r="I1707" t="s">
        <v>5</v>
      </c>
      <c r="J1707">
        <v>30.56</v>
      </c>
    </row>
    <row r="1708" spans="2:10">
      <c r="B1708" s="13" t="s">
        <v>3119</v>
      </c>
      <c r="C1708" s="13">
        <v>11.808</v>
      </c>
      <c r="H1708" t="s">
        <v>3135</v>
      </c>
      <c r="I1708" t="s">
        <v>3</v>
      </c>
      <c r="J1708">
        <v>11.808</v>
      </c>
    </row>
    <row r="1709" spans="2:10">
      <c r="B1709" s="13" t="s">
        <v>3119</v>
      </c>
      <c r="C1709" s="13">
        <v>9.6560000000000006</v>
      </c>
      <c r="H1709" t="s">
        <v>3135</v>
      </c>
      <c r="I1709" t="s">
        <v>3</v>
      </c>
      <c r="J1709">
        <v>9.6560000000000006</v>
      </c>
    </row>
    <row r="1710" spans="2:10">
      <c r="B1710" s="13" t="s">
        <v>3114</v>
      </c>
      <c r="C1710" s="13">
        <v>20.736000000000004</v>
      </c>
      <c r="H1710" t="s">
        <v>3135</v>
      </c>
      <c r="I1710" t="s">
        <v>5</v>
      </c>
      <c r="J1710">
        <v>20.736000000000004</v>
      </c>
    </row>
    <row r="1711" spans="2:10">
      <c r="B1711" s="13" t="s">
        <v>3118</v>
      </c>
      <c r="C1711" s="13">
        <v>27.360000000000003</v>
      </c>
      <c r="H1711" t="s">
        <v>3135</v>
      </c>
      <c r="I1711" t="s">
        <v>5</v>
      </c>
      <c r="J1711">
        <v>27.360000000000003</v>
      </c>
    </row>
    <row r="1712" spans="2:10">
      <c r="B1712" s="13" t="s">
        <v>3126</v>
      </c>
      <c r="C1712" s="13">
        <v>2314.116</v>
      </c>
      <c r="H1712" t="s">
        <v>3135</v>
      </c>
      <c r="I1712" t="s">
        <v>3</v>
      </c>
      <c r="J1712">
        <v>2314.116</v>
      </c>
    </row>
    <row r="1713" spans="2:10">
      <c r="B1713" s="13" t="s">
        <v>3118</v>
      </c>
      <c r="C1713" s="13">
        <v>34.236000000000004</v>
      </c>
      <c r="H1713" t="s">
        <v>3135</v>
      </c>
      <c r="I1713" t="s">
        <v>5</v>
      </c>
      <c r="J1713">
        <v>34.236000000000004</v>
      </c>
    </row>
    <row r="1714" spans="2:10">
      <c r="B1714" s="13" t="s">
        <v>3119</v>
      </c>
      <c r="C1714" s="13">
        <v>19.760000000000002</v>
      </c>
      <c r="H1714" t="s">
        <v>3135</v>
      </c>
      <c r="I1714" t="s">
        <v>3</v>
      </c>
      <c r="J1714">
        <v>19.760000000000002</v>
      </c>
    </row>
    <row r="1715" spans="2:10">
      <c r="B1715" s="13" t="s">
        <v>3114</v>
      </c>
      <c r="C1715" s="13">
        <v>15.96</v>
      </c>
      <c r="H1715" t="s">
        <v>3137</v>
      </c>
      <c r="I1715" t="s">
        <v>5</v>
      </c>
      <c r="J1715">
        <v>15.96</v>
      </c>
    </row>
    <row r="1716" spans="2:10">
      <c r="B1716" s="13" t="s">
        <v>3114</v>
      </c>
      <c r="C1716" s="13">
        <v>307.77600000000001</v>
      </c>
      <c r="H1716" t="s">
        <v>3138</v>
      </c>
      <c r="I1716" t="s">
        <v>5</v>
      </c>
      <c r="J1716">
        <v>307.77600000000001</v>
      </c>
    </row>
    <row r="1717" spans="2:10">
      <c r="B1717" s="13" t="s">
        <v>3117</v>
      </c>
      <c r="C1717" s="13">
        <v>725.84</v>
      </c>
      <c r="H1717" t="s">
        <v>3138</v>
      </c>
      <c r="I1717" t="s">
        <v>5</v>
      </c>
      <c r="J1717">
        <v>725.84</v>
      </c>
    </row>
    <row r="1718" spans="2:10">
      <c r="B1718" s="13" t="s">
        <v>3118</v>
      </c>
      <c r="C1718" s="13">
        <v>10.896000000000001</v>
      </c>
      <c r="H1718" t="s">
        <v>3138</v>
      </c>
      <c r="I1718" t="s">
        <v>5</v>
      </c>
      <c r="J1718">
        <v>10.896000000000001</v>
      </c>
    </row>
    <row r="1719" spans="2:10">
      <c r="B1719" s="13" t="s">
        <v>3118</v>
      </c>
      <c r="C1719" s="13">
        <v>8.5440000000000005</v>
      </c>
      <c r="H1719" t="s">
        <v>3138</v>
      </c>
      <c r="I1719" t="s">
        <v>5</v>
      </c>
      <c r="J1719">
        <v>8.5440000000000005</v>
      </c>
    </row>
    <row r="1720" spans="2:10">
      <c r="B1720" s="13" t="s">
        <v>3114</v>
      </c>
      <c r="C1720" s="13">
        <v>143.85600000000002</v>
      </c>
      <c r="H1720" t="s">
        <v>3137</v>
      </c>
      <c r="I1720" t="s">
        <v>5</v>
      </c>
      <c r="J1720">
        <v>143.85600000000002</v>
      </c>
    </row>
    <row r="1721" spans="2:10">
      <c r="B1721" s="13" t="s">
        <v>3128</v>
      </c>
      <c r="C1721" s="13">
        <v>198.27200000000002</v>
      </c>
      <c r="H1721" t="s">
        <v>3135</v>
      </c>
      <c r="I1721" t="s">
        <v>3</v>
      </c>
      <c r="J1721">
        <v>198.27200000000002</v>
      </c>
    </row>
    <row r="1722" spans="2:10">
      <c r="B1722" s="13" t="s">
        <v>3117</v>
      </c>
      <c r="C1722" s="13">
        <v>720.7600000000001</v>
      </c>
      <c r="H1722" t="s">
        <v>3137</v>
      </c>
      <c r="I1722" t="s">
        <v>5</v>
      </c>
      <c r="J1722">
        <v>720.7600000000001</v>
      </c>
    </row>
    <row r="1723" spans="2:10">
      <c r="B1723" s="13" t="s">
        <v>3116</v>
      </c>
      <c r="C1723" s="13">
        <v>88.77600000000001</v>
      </c>
      <c r="H1723" t="s">
        <v>3138</v>
      </c>
      <c r="I1723" t="s">
        <v>4</v>
      </c>
      <c r="J1723">
        <v>88.77600000000001</v>
      </c>
    </row>
    <row r="1724" spans="2:10">
      <c r="B1724" s="13" t="s">
        <v>3121</v>
      </c>
      <c r="C1724" s="13">
        <v>11.56</v>
      </c>
      <c r="H1724" t="s">
        <v>3138</v>
      </c>
      <c r="I1724" t="s">
        <v>5</v>
      </c>
      <c r="J1724">
        <v>11.56</v>
      </c>
    </row>
    <row r="1725" spans="2:10">
      <c r="B1725" s="13" t="s">
        <v>3117</v>
      </c>
      <c r="C1725" s="13">
        <v>15.58</v>
      </c>
      <c r="H1725" t="s">
        <v>3138</v>
      </c>
      <c r="I1725" t="s">
        <v>5</v>
      </c>
      <c r="J1725">
        <v>15.58</v>
      </c>
    </row>
    <row r="1726" spans="2:10">
      <c r="B1726" s="13" t="s">
        <v>3114</v>
      </c>
      <c r="C1726" s="13">
        <v>85.055999999999997</v>
      </c>
      <c r="H1726" t="s">
        <v>3136</v>
      </c>
      <c r="I1726" t="s">
        <v>5</v>
      </c>
      <c r="J1726">
        <v>85.055999999999997</v>
      </c>
    </row>
    <row r="1727" spans="2:10">
      <c r="B1727" s="13" t="s">
        <v>3119</v>
      </c>
      <c r="C1727" s="13">
        <v>273.95999999999998</v>
      </c>
      <c r="H1727" t="s">
        <v>3137</v>
      </c>
      <c r="I1727" t="s">
        <v>3</v>
      </c>
      <c r="J1727">
        <v>273.95999999999998</v>
      </c>
    </row>
    <row r="1728" spans="2:10">
      <c r="B1728" s="13" t="s">
        <v>3119</v>
      </c>
      <c r="C1728" s="13">
        <v>306.89999999999998</v>
      </c>
      <c r="H1728" t="s">
        <v>3137</v>
      </c>
      <c r="I1728" t="s">
        <v>3</v>
      </c>
      <c r="J1728">
        <v>306.89999999999998</v>
      </c>
    </row>
    <row r="1729" spans="2:10">
      <c r="B1729" s="13" t="s">
        <v>3120</v>
      </c>
      <c r="C1729" s="13">
        <v>98.16</v>
      </c>
      <c r="H1729" t="s">
        <v>3138</v>
      </c>
      <c r="I1729" t="s">
        <v>4</v>
      </c>
      <c r="J1729">
        <v>98.16</v>
      </c>
    </row>
    <row r="1730" spans="2:10">
      <c r="B1730" s="13" t="s">
        <v>3122</v>
      </c>
      <c r="C1730" s="13">
        <v>31.44</v>
      </c>
      <c r="H1730" t="s">
        <v>3138</v>
      </c>
      <c r="I1730" t="s">
        <v>5</v>
      </c>
      <c r="J1730">
        <v>31.44</v>
      </c>
    </row>
    <row r="1731" spans="2:10">
      <c r="B1731" s="13" t="s">
        <v>3116</v>
      </c>
      <c r="C1731" s="13">
        <v>358.2</v>
      </c>
      <c r="H1731" t="s">
        <v>3136</v>
      </c>
      <c r="I1731" t="s">
        <v>4</v>
      </c>
      <c r="J1731">
        <v>358.2</v>
      </c>
    </row>
    <row r="1732" spans="2:10">
      <c r="B1732" s="13" t="s">
        <v>3116</v>
      </c>
      <c r="C1732" s="13">
        <v>545.91599999999994</v>
      </c>
      <c r="H1732" t="s">
        <v>3136</v>
      </c>
      <c r="I1732" t="s">
        <v>4</v>
      </c>
      <c r="J1732">
        <v>545.91599999999994</v>
      </c>
    </row>
    <row r="1733" spans="2:10">
      <c r="B1733" s="13" t="s">
        <v>3118</v>
      </c>
      <c r="C1733" s="13">
        <v>40.410000000000004</v>
      </c>
      <c r="H1733" t="s">
        <v>3135</v>
      </c>
      <c r="I1733" t="s">
        <v>5</v>
      </c>
      <c r="J1733">
        <v>40.410000000000004</v>
      </c>
    </row>
    <row r="1734" spans="2:10">
      <c r="B1734" s="13" t="s">
        <v>3116</v>
      </c>
      <c r="C1734" s="13">
        <v>167.976</v>
      </c>
      <c r="H1734" t="s">
        <v>3138</v>
      </c>
      <c r="I1734" t="s">
        <v>4</v>
      </c>
      <c r="J1734">
        <v>167.976</v>
      </c>
    </row>
    <row r="1735" spans="2:10">
      <c r="B1735" s="13" t="s">
        <v>3120</v>
      </c>
      <c r="C1735" s="13">
        <v>109.53</v>
      </c>
      <c r="H1735" t="s">
        <v>3138</v>
      </c>
      <c r="I1735" t="s">
        <v>4</v>
      </c>
      <c r="J1735">
        <v>109.53</v>
      </c>
    </row>
    <row r="1736" spans="2:10">
      <c r="B1736" s="13" t="s">
        <v>3121</v>
      </c>
      <c r="C1736" s="13">
        <v>9.82</v>
      </c>
      <c r="H1736" t="s">
        <v>3138</v>
      </c>
      <c r="I1736" t="s">
        <v>5</v>
      </c>
      <c r="J1736">
        <v>9.82</v>
      </c>
    </row>
    <row r="1737" spans="2:10">
      <c r="B1737" s="13" t="s">
        <v>3118</v>
      </c>
      <c r="C1737" s="13">
        <v>26.352000000000004</v>
      </c>
      <c r="H1737" t="s">
        <v>3138</v>
      </c>
      <c r="I1737" t="s">
        <v>5</v>
      </c>
      <c r="J1737">
        <v>26.352000000000004</v>
      </c>
    </row>
    <row r="1738" spans="2:10">
      <c r="B1738" s="13" t="s">
        <v>3120</v>
      </c>
      <c r="C1738" s="13">
        <v>71.98</v>
      </c>
      <c r="H1738" t="s">
        <v>3138</v>
      </c>
      <c r="I1738" t="s">
        <v>4</v>
      </c>
      <c r="J1738">
        <v>71.98</v>
      </c>
    </row>
    <row r="1739" spans="2:10">
      <c r="B1739" s="13" t="s">
        <v>3120</v>
      </c>
      <c r="C1739" s="13">
        <v>79.98</v>
      </c>
      <c r="H1739" t="s">
        <v>3138</v>
      </c>
      <c r="I1739" t="s">
        <v>4</v>
      </c>
      <c r="J1739">
        <v>79.98</v>
      </c>
    </row>
    <row r="1740" spans="2:10">
      <c r="B1740" s="13" t="s">
        <v>3118</v>
      </c>
      <c r="C1740" s="13">
        <v>24.672000000000001</v>
      </c>
      <c r="H1740" t="s">
        <v>3136</v>
      </c>
      <c r="I1740" t="s">
        <v>5</v>
      </c>
      <c r="J1740">
        <v>24.672000000000001</v>
      </c>
    </row>
    <row r="1741" spans="2:10">
      <c r="B1741" s="13" t="s">
        <v>3118</v>
      </c>
      <c r="C1741" s="13">
        <v>3.7439999999999998</v>
      </c>
      <c r="H1741" t="s">
        <v>3136</v>
      </c>
      <c r="I1741" t="s">
        <v>5</v>
      </c>
      <c r="J1741">
        <v>3.7439999999999998</v>
      </c>
    </row>
    <row r="1742" spans="2:10">
      <c r="B1742" s="13" t="s">
        <v>3114</v>
      </c>
      <c r="C1742" s="13">
        <v>87.92</v>
      </c>
      <c r="H1742" t="s">
        <v>3138</v>
      </c>
      <c r="I1742" t="s">
        <v>5</v>
      </c>
      <c r="J1742">
        <v>87.92</v>
      </c>
    </row>
    <row r="1743" spans="2:10">
      <c r="B1743" s="13" t="s">
        <v>3118</v>
      </c>
      <c r="C1743" s="13">
        <v>22.424000000000003</v>
      </c>
      <c r="H1743" t="s">
        <v>3138</v>
      </c>
      <c r="I1743" t="s">
        <v>5</v>
      </c>
      <c r="J1743">
        <v>22.424000000000003</v>
      </c>
    </row>
    <row r="1744" spans="2:10">
      <c r="B1744" s="13" t="s">
        <v>3118</v>
      </c>
      <c r="C1744" s="13">
        <v>90.480000000000018</v>
      </c>
      <c r="H1744" t="s">
        <v>3138</v>
      </c>
      <c r="I1744" t="s">
        <v>5</v>
      </c>
      <c r="J1744">
        <v>90.480000000000018</v>
      </c>
    </row>
    <row r="1745" spans="2:10">
      <c r="B1745" s="13" t="s">
        <v>3117</v>
      </c>
      <c r="C1745" s="13">
        <v>42.76</v>
      </c>
      <c r="H1745" t="s">
        <v>3138</v>
      </c>
      <c r="I1745" t="s">
        <v>5</v>
      </c>
      <c r="J1745">
        <v>42.76</v>
      </c>
    </row>
    <row r="1746" spans="2:10">
      <c r="B1746" s="13" t="s">
        <v>3118</v>
      </c>
      <c r="C1746" s="13">
        <v>10.080000000000002</v>
      </c>
      <c r="H1746" t="s">
        <v>3138</v>
      </c>
      <c r="I1746" t="s">
        <v>5</v>
      </c>
      <c r="J1746">
        <v>10.080000000000002</v>
      </c>
    </row>
    <row r="1747" spans="2:10">
      <c r="B1747" s="13" t="s">
        <v>3120</v>
      </c>
      <c r="C1747" s="13">
        <v>101.34</v>
      </c>
      <c r="H1747" t="s">
        <v>3138</v>
      </c>
      <c r="I1747" t="s">
        <v>4</v>
      </c>
      <c r="J1747">
        <v>101.34</v>
      </c>
    </row>
    <row r="1748" spans="2:10">
      <c r="B1748" s="13" t="s">
        <v>3125</v>
      </c>
      <c r="C1748" s="13">
        <v>73.175999999999974</v>
      </c>
      <c r="H1748" t="s">
        <v>3137</v>
      </c>
      <c r="I1748" t="s">
        <v>5</v>
      </c>
      <c r="J1748">
        <v>73.175999999999974</v>
      </c>
    </row>
    <row r="1749" spans="2:10">
      <c r="B1749" s="13" t="s">
        <v>3114</v>
      </c>
      <c r="C1749" s="13">
        <v>20.736000000000004</v>
      </c>
      <c r="H1749" t="s">
        <v>3137</v>
      </c>
      <c r="I1749" t="s">
        <v>5</v>
      </c>
      <c r="J1749">
        <v>20.736000000000004</v>
      </c>
    </row>
    <row r="1750" spans="2:10">
      <c r="B1750" s="13" t="s">
        <v>3116</v>
      </c>
      <c r="C1750" s="13">
        <v>39.984000000000002</v>
      </c>
      <c r="H1750" t="s">
        <v>3137</v>
      </c>
      <c r="I1750" t="s">
        <v>4</v>
      </c>
      <c r="J1750">
        <v>39.984000000000002</v>
      </c>
    </row>
    <row r="1751" spans="2:10">
      <c r="B1751" s="13" t="s">
        <v>3114</v>
      </c>
      <c r="C1751" s="13">
        <v>26.400000000000002</v>
      </c>
      <c r="H1751" t="s">
        <v>3135</v>
      </c>
      <c r="I1751" t="s">
        <v>5</v>
      </c>
      <c r="J1751">
        <v>26.400000000000002</v>
      </c>
    </row>
    <row r="1752" spans="2:10">
      <c r="B1752" s="13" t="s">
        <v>3122</v>
      </c>
      <c r="C1752" s="13">
        <v>3.52</v>
      </c>
      <c r="H1752" t="s">
        <v>3136</v>
      </c>
      <c r="I1752" t="s">
        <v>5</v>
      </c>
      <c r="J1752">
        <v>3.52</v>
      </c>
    </row>
    <row r="1753" spans="2:10">
      <c r="B1753" s="13" t="s">
        <v>3125</v>
      </c>
      <c r="C1753" s="13">
        <v>161.56800000000001</v>
      </c>
      <c r="H1753" t="s">
        <v>3136</v>
      </c>
      <c r="I1753" t="s">
        <v>5</v>
      </c>
      <c r="J1753">
        <v>161.56800000000001</v>
      </c>
    </row>
    <row r="1754" spans="2:10">
      <c r="B1754" s="13" t="s">
        <v>3114</v>
      </c>
      <c r="C1754" s="13">
        <v>4.0640000000000001</v>
      </c>
      <c r="H1754" t="s">
        <v>3136</v>
      </c>
      <c r="I1754" t="s">
        <v>5</v>
      </c>
      <c r="J1754">
        <v>4.0640000000000001</v>
      </c>
    </row>
    <row r="1755" spans="2:10">
      <c r="B1755" s="13" t="s">
        <v>3118</v>
      </c>
      <c r="C1755" s="13">
        <v>6.2160000000000002</v>
      </c>
      <c r="H1755" t="s">
        <v>3136</v>
      </c>
      <c r="I1755" t="s">
        <v>5</v>
      </c>
      <c r="J1755">
        <v>6.2160000000000002</v>
      </c>
    </row>
    <row r="1756" spans="2:10">
      <c r="B1756" s="13" t="s">
        <v>3122</v>
      </c>
      <c r="C1756" s="13">
        <v>8.895999999999999</v>
      </c>
      <c r="H1756" t="s">
        <v>3138</v>
      </c>
      <c r="I1756" t="s">
        <v>5</v>
      </c>
      <c r="J1756">
        <v>8.895999999999999</v>
      </c>
    </row>
    <row r="1757" spans="2:10">
      <c r="B1757" s="13" t="s">
        <v>3122</v>
      </c>
      <c r="C1757" s="13">
        <v>2.0640000000000001</v>
      </c>
      <c r="H1757" t="s">
        <v>3135</v>
      </c>
      <c r="I1757" t="s">
        <v>5</v>
      </c>
      <c r="J1757">
        <v>2.0640000000000001</v>
      </c>
    </row>
    <row r="1758" spans="2:10">
      <c r="B1758" s="13" t="s">
        <v>3114</v>
      </c>
      <c r="C1758" s="13">
        <v>6.3680000000000003</v>
      </c>
      <c r="H1758" t="s">
        <v>3138</v>
      </c>
      <c r="I1758" t="s">
        <v>5</v>
      </c>
      <c r="J1758">
        <v>6.3680000000000003</v>
      </c>
    </row>
    <row r="1759" spans="2:10">
      <c r="B1759" s="13" t="s">
        <v>3114</v>
      </c>
      <c r="C1759" s="13">
        <v>38.016000000000005</v>
      </c>
      <c r="H1759" t="s">
        <v>3137</v>
      </c>
      <c r="I1759" t="s">
        <v>5</v>
      </c>
      <c r="J1759">
        <v>38.016000000000005</v>
      </c>
    </row>
    <row r="1760" spans="2:10">
      <c r="B1760" s="13" t="s">
        <v>3117</v>
      </c>
      <c r="C1760" s="13">
        <v>8.3840000000000003</v>
      </c>
      <c r="H1760" t="s">
        <v>3136</v>
      </c>
      <c r="I1760" t="s">
        <v>5</v>
      </c>
      <c r="J1760">
        <v>8.3840000000000003</v>
      </c>
    </row>
    <row r="1761" spans="2:10">
      <c r="B1761" s="13" t="s">
        <v>3122</v>
      </c>
      <c r="C1761" s="13">
        <v>6.8480000000000008</v>
      </c>
      <c r="H1761" t="s">
        <v>3136</v>
      </c>
      <c r="I1761" t="s">
        <v>5</v>
      </c>
      <c r="J1761">
        <v>6.8480000000000008</v>
      </c>
    </row>
    <row r="1762" spans="2:10">
      <c r="B1762" s="13" t="s">
        <v>3123</v>
      </c>
      <c r="C1762" s="13">
        <v>19.600000000000001</v>
      </c>
      <c r="H1762" t="s">
        <v>3138</v>
      </c>
      <c r="I1762" t="s">
        <v>5</v>
      </c>
      <c r="J1762">
        <v>19.600000000000001</v>
      </c>
    </row>
    <row r="1763" spans="2:10">
      <c r="B1763" s="13" t="s">
        <v>3119</v>
      </c>
      <c r="C1763" s="13">
        <v>68.459999999999994</v>
      </c>
      <c r="H1763" t="s">
        <v>3138</v>
      </c>
      <c r="I1763" t="s">
        <v>3</v>
      </c>
      <c r="J1763">
        <v>68.459999999999994</v>
      </c>
    </row>
    <row r="1764" spans="2:10">
      <c r="B1764" s="13" t="s">
        <v>3118</v>
      </c>
      <c r="C1764" s="13">
        <v>13.343999999999998</v>
      </c>
      <c r="H1764" t="s">
        <v>3138</v>
      </c>
      <c r="I1764" t="s">
        <v>5</v>
      </c>
      <c r="J1764">
        <v>13.343999999999998</v>
      </c>
    </row>
    <row r="1765" spans="2:10">
      <c r="B1765" s="13" t="s">
        <v>3126</v>
      </c>
      <c r="C1765" s="13">
        <v>1478.2719999999999</v>
      </c>
      <c r="H1765" t="s">
        <v>3138</v>
      </c>
      <c r="I1765" t="s">
        <v>3</v>
      </c>
      <c r="J1765">
        <v>1478.2719999999999</v>
      </c>
    </row>
    <row r="1766" spans="2:10">
      <c r="B1766" s="13" t="s">
        <v>3119</v>
      </c>
      <c r="C1766" s="13">
        <v>9.24</v>
      </c>
      <c r="H1766" t="s">
        <v>3138</v>
      </c>
      <c r="I1766" t="s">
        <v>3</v>
      </c>
      <c r="J1766">
        <v>9.24</v>
      </c>
    </row>
    <row r="1767" spans="2:10">
      <c r="B1767" s="13" t="s">
        <v>3119</v>
      </c>
      <c r="C1767" s="13">
        <v>13.360000000000001</v>
      </c>
      <c r="H1767" t="s">
        <v>3138</v>
      </c>
      <c r="I1767" t="s">
        <v>3</v>
      </c>
      <c r="J1767">
        <v>13.360000000000001</v>
      </c>
    </row>
    <row r="1768" spans="2:10">
      <c r="B1768" s="13" t="s">
        <v>3117</v>
      </c>
      <c r="C1768" s="13">
        <v>78.256</v>
      </c>
      <c r="H1768" t="s">
        <v>3138</v>
      </c>
      <c r="I1768" t="s">
        <v>5</v>
      </c>
      <c r="J1768">
        <v>78.256</v>
      </c>
    </row>
    <row r="1769" spans="2:10">
      <c r="B1769" s="13" t="s">
        <v>3128</v>
      </c>
      <c r="C1769" s="13">
        <v>102.01800000000001</v>
      </c>
      <c r="H1769" t="s">
        <v>3138</v>
      </c>
      <c r="I1769" t="s">
        <v>3</v>
      </c>
      <c r="J1769">
        <v>102.01800000000001</v>
      </c>
    </row>
    <row r="1770" spans="2:10">
      <c r="B1770" s="13" t="s">
        <v>3117</v>
      </c>
      <c r="C1770" s="13">
        <v>750.68</v>
      </c>
      <c r="H1770" t="s">
        <v>3137</v>
      </c>
      <c r="I1770" t="s">
        <v>5</v>
      </c>
      <c r="J1770">
        <v>750.68</v>
      </c>
    </row>
    <row r="1771" spans="2:10">
      <c r="B1771" s="13" t="s">
        <v>3121</v>
      </c>
      <c r="C1771" s="13">
        <v>44.400000000000006</v>
      </c>
      <c r="H1771" t="s">
        <v>3137</v>
      </c>
      <c r="I1771" t="s">
        <v>5</v>
      </c>
      <c r="J1771">
        <v>44.400000000000006</v>
      </c>
    </row>
    <row r="1772" spans="2:10">
      <c r="B1772" s="13" t="s">
        <v>3117</v>
      </c>
      <c r="C1772" s="13">
        <v>84.55</v>
      </c>
      <c r="H1772" t="s">
        <v>3137</v>
      </c>
      <c r="I1772" t="s">
        <v>5</v>
      </c>
      <c r="J1772">
        <v>84.55</v>
      </c>
    </row>
    <row r="1773" spans="2:10">
      <c r="B1773" s="13" t="s">
        <v>3114</v>
      </c>
      <c r="C1773" s="13">
        <v>17.940000000000001</v>
      </c>
      <c r="H1773" t="s">
        <v>3137</v>
      </c>
      <c r="I1773" t="s">
        <v>5</v>
      </c>
      <c r="J1773">
        <v>17.940000000000001</v>
      </c>
    </row>
    <row r="1774" spans="2:10">
      <c r="B1774" s="13" t="s">
        <v>3116</v>
      </c>
      <c r="C1774" s="13">
        <v>103.19200000000001</v>
      </c>
      <c r="H1774" t="s">
        <v>3138</v>
      </c>
      <c r="I1774" t="s">
        <v>4</v>
      </c>
      <c r="J1774">
        <v>103.19200000000001</v>
      </c>
    </row>
    <row r="1775" spans="2:10">
      <c r="B1775" s="13" t="s">
        <v>3120</v>
      </c>
      <c r="C1775" s="13">
        <v>36</v>
      </c>
      <c r="H1775" t="s">
        <v>3138</v>
      </c>
      <c r="I1775" t="s">
        <v>4</v>
      </c>
      <c r="J1775">
        <v>36</v>
      </c>
    </row>
    <row r="1776" spans="2:10">
      <c r="B1776" s="13" t="s">
        <v>3120</v>
      </c>
      <c r="C1776" s="13">
        <v>239.96</v>
      </c>
      <c r="H1776" t="s">
        <v>3138</v>
      </c>
      <c r="I1776" t="s">
        <v>4</v>
      </c>
      <c r="J1776">
        <v>239.96</v>
      </c>
    </row>
    <row r="1777" spans="2:10">
      <c r="B1777" s="13" t="s">
        <v>3117</v>
      </c>
      <c r="C1777" s="13">
        <v>40.68</v>
      </c>
      <c r="H1777" t="s">
        <v>3138</v>
      </c>
      <c r="I1777" t="s">
        <v>5</v>
      </c>
      <c r="J1777">
        <v>40.68</v>
      </c>
    </row>
    <row r="1778" spans="2:10">
      <c r="B1778" s="13" t="s">
        <v>3115</v>
      </c>
      <c r="C1778" s="13">
        <v>419.13599999999997</v>
      </c>
      <c r="H1778" t="s">
        <v>3135</v>
      </c>
      <c r="I1778" t="s">
        <v>3</v>
      </c>
      <c r="J1778">
        <v>419.13599999999997</v>
      </c>
    </row>
    <row r="1779" spans="2:10">
      <c r="B1779" s="13" t="s">
        <v>3116</v>
      </c>
      <c r="C1779" s="13">
        <v>23.976000000000003</v>
      </c>
      <c r="H1779" t="s">
        <v>3135</v>
      </c>
      <c r="I1779" t="s">
        <v>4</v>
      </c>
      <c r="J1779">
        <v>23.976000000000003</v>
      </c>
    </row>
    <row r="1780" spans="2:10">
      <c r="B1780" s="13" t="s">
        <v>3121</v>
      </c>
      <c r="C1780" s="13">
        <v>6.2640000000000002</v>
      </c>
      <c r="H1780" t="s">
        <v>3135</v>
      </c>
      <c r="I1780" t="s">
        <v>5</v>
      </c>
      <c r="J1780">
        <v>6.2640000000000002</v>
      </c>
    </row>
    <row r="1781" spans="2:10">
      <c r="B1781" s="13" t="s">
        <v>3125</v>
      </c>
      <c r="C1781" s="13">
        <v>20.808</v>
      </c>
      <c r="H1781" t="s">
        <v>3135</v>
      </c>
      <c r="I1781" t="s">
        <v>5</v>
      </c>
      <c r="J1781">
        <v>20.808</v>
      </c>
    </row>
    <row r="1782" spans="2:10">
      <c r="B1782" s="13" t="s">
        <v>3115</v>
      </c>
      <c r="C1782" s="13">
        <v>218.35200000000003</v>
      </c>
      <c r="H1782" t="s">
        <v>3135</v>
      </c>
      <c r="I1782" t="s">
        <v>3</v>
      </c>
      <c r="J1782">
        <v>218.35200000000003</v>
      </c>
    </row>
    <row r="1783" spans="2:10">
      <c r="B1783" s="13" t="s">
        <v>3117</v>
      </c>
      <c r="C1783" s="13">
        <v>18.16</v>
      </c>
      <c r="H1783" t="s">
        <v>3137</v>
      </c>
      <c r="I1783" t="s">
        <v>5</v>
      </c>
      <c r="J1783">
        <v>18.16</v>
      </c>
    </row>
    <row r="1784" spans="2:10">
      <c r="B1784" s="13" t="s">
        <v>3120</v>
      </c>
      <c r="C1784" s="13">
        <v>63.920000000000009</v>
      </c>
      <c r="H1784" t="s">
        <v>3136</v>
      </c>
      <c r="I1784" t="s">
        <v>4</v>
      </c>
      <c r="J1784">
        <v>63.920000000000009</v>
      </c>
    </row>
    <row r="1785" spans="2:10">
      <c r="B1785" s="13" t="s">
        <v>3122</v>
      </c>
      <c r="C1785" s="13">
        <v>6.56</v>
      </c>
      <c r="H1785" t="s">
        <v>3136</v>
      </c>
      <c r="I1785" t="s">
        <v>5</v>
      </c>
      <c r="J1785">
        <v>6.56</v>
      </c>
    </row>
    <row r="1786" spans="2:10">
      <c r="B1786" s="13" t="s">
        <v>3121</v>
      </c>
      <c r="C1786" s="13">
        <v>7.83</v>
      </c>
      <c r="H1786" t="s">
        <v>3136</v>
      </c>
      <c r="I1786" t="s">
        <v>5</v>
      </c>
      <c r="J1786">
        <v>7.83</v>
      </c>
    </row>
    <row r="1787" spans="2:10">
      <c r="B1787" s="13" t="s">
        <v>3120</v>
      </c>
      <c r="C1787" s="13">
        <v>41.9</v>
      </c>
      <c r="H1787" t="s">
        <v>3136</v>
      </c>
      <c r="I1787" t="s">
        <v>4</v>
      </c>
      <c r="J1787">
        <v>41.9</v>
      </c>
    </row>
    <row r="1788" spans="2:10">
      <c r="B1788" s="13" t="s">
        <v>3115</v>
      </c>
      <c r="C1788" s="13">
        <v>664.14599999999996</v>
      </c>
      <c r="H1788" t="s">
        <v>3136</v>
      </c>
      <c r="I1788" t="s">
        <v>3</v>
      </c>
      <c r="J1788">
        <v>664.14599999999996</v>
      </c>
    </row>
    <row r="1789" spans="2:10">
      <c r="B1789" s="13" t="s">
        <v>3114</v>
      </c>
      <c r="C1789" s="13">
        <v>8.9600000000000009</v>
      </c>
      <c r="H1789" t="s">
        <v>3136</v>
      </c>
      <c r="I1789" t="s">
        <v>5</v>
      </c>
      <c r="J1789">
        <v>8.9600000000000009</v>
      </c>
    </row>
    <row r="1790" spans="2:10">
      <c r="B1790" s="13" t="s">
        <v>3119</v>
      </c>
      <c r="C1790" s="13">
        <v>3.3119999999999998</v>
      </c>
      <c r="H1790" t="s">
        <v>3136</v>
      </c>
      <c r="I1790" t="s">
        <v>3</v>
      </c>
      <c r="J1790">
        <v>3.3119999999999998</v>
      </c>
    </row>
    <row r="1791" spans="2:10">
      <c r="B1791" s="13" t="s">
        <v>3125</v>
      </c>
      <c r="C1791" s="13">
        <v>20.136000000000003</v>
      </c>
      <c r="H1791" t="s">
        <v>3136</v>
      </c>
      <c r="I1791" t="s">
        <v>5</v>
      </c>
      <c r="J1791">
        <v>20.136000000000003</v>
      </c>
    </row>
    <row r="1792" spans="2:10">
      <c r="B1792" s="13" t="s">
        <v>3124</v>
      </c>
      <c r="C1792" s="13">
        <v>8.8559999999999999</v>
      </c>
      <c r="H1792" t="s">
        <v>3136</v>
      </c>
      <c r="I1792" t="s">
        <v>5</v>
      </c>
      <c r="J1792">
        <v>8.8559999999999999</v>
      </c>
    </row>
    <row r="1793" spans="2:10">
      <c r="B1793" s="13" t="s">
        <v>3116</v>
      </c>
      <c r="C1793" s="13">
        <v>859.19999999999993</v>
      </c>
      <c r="H1793" t="s">
        <v>3136</v>
      </c>
      <c r="I1793" t="s">
        <v>4</v>
      </c>
      <c r="J1793">
        <v>859.19999999999993</v>
      </c>
    </row>
    <row r="1794" spans="2:10">
      <c r="B1794" s="13" t="s">
        <v>3114</v>
      </c>
      <c r="C1794" s="13">
        <v>56.704000000000001</v>
      </c>
      <c r="H1794" t="s">
        <v>3137</v>
      </c>
      <c r="I1794" t="s">
        <v>5</v>
      </c>
      <c r="J1794">
        <v>56.704000000000001</v>
      </c>
    </row>
    <row r="1795" spans="2:10">
      <c r="B1795" s="13" t="s">
        <v>3116</v>
      </c>
      <c r="C1795" s="13">
        <v>11.120000000000001</v>
      </c>
      <c r="H1795" t="s">
        <v>3137</v>
      </c>
      <c r="I1795" t="s">
        <v>4</v>
      </c>
      <c r="J1795">
        <v>11.120000000000001</v>
      </c>
    </row>
    <row r="1796" spans="2:10">
      <c r="B1796" s="13" t="s">
        <v>3115</v>
      </c>
      <c r="C1796" s="13">
        <v>239.95999999999998</v>
      </c>
      <c r="H1796" t="s">
        <v>3136</v>
      </c>
      <c r="I1796" t="s">
        <v>3</v>
      </c>
      <c r="J1796">
        <v>239.95999999999998</v>
      </c>
    </row>
    <row r="1797" spans="2:10">
      <c r="B1797" s="13" t="s">
        <v>3119</v>
      </c>
      <c r="C1797" s="13">
        <v>54.768000000000001</v>
      </c>
      <c r="H1797" t="s">
        <v>3136</v>
      </c>
      <c r="I1797" t="s">
        <v>3</v>
      </c>
      <c r="J1797">
        <v>54.768000000000001</v>
      </c>
    </row>
    <row r="1798" spans="2:10">
      <c r="B1798" s="13" t="s">
        <v>3122</v>
      </c>
      <c r="C1798" s="13">
        <v>13.392000000000001</v>
      </c>
      <c r="H1798" t="s">
        <v>3136</v>
      </c>
      <c r="I1798" t="s">
        <v>5</v>
      </c>
      <c r="J1798">
        <v>13.392000000000001</v>
      </c>
    </row>
    <row r="1799" spans="2:10">
      <c r="B1799" s="13" t="s">
        <v>3114</v>
      </c>
      <c r="C1799" s="13">
        <v>23.92</v>
      </c>
      <c r="H1799" t="s">
        <v>3136</v>
      </c>
      <c r="I1799" t="s">
        <v>5</v>
      </c>
      <c r="J1799">
        <v>23.92</v>
      </c>
    </row>
    <row r="1800" spans="2:10">
      <c r="B1800" s="13" t="s">
        <v>3120</v>
      </c>
      <c r="C1800" s="13">
        <v>255.96799999999999</v>
      </c>
      <c r="H1800" t="s">
        <v>3136</v>
      </c>
      <c r="I1800" t="s">
        <v>4</v>
      </c>
      <c r="J1800">
        <v>255.96799999999999</v>
      </c>
    </row>
    <row r="1801" spans="2:10">
      <c r="B1801" s="13" t="s">
        <v>3122</v>
      </c>
      <c r="C1801" s="13">
        <v>9.7799999999999994</v>
      </c>
      <c r="H1801" t="s">
        <v>3138</v>
      </c>
      <c r="I1801" t="s">
        <v>5</v>
      </c>
      <c r="J1801">
        <v>9.7799999999999994</v>
      </c>
    </row>
    <row r="1802" spans="2:10">
      <c r="B1802" s="13" t="s">
        <v>3123</v>
      </c>
      <c r="C1802" s="13">
        <v>1.81</v>
      </c>
      <c r="H1802" t="s">
        <v>3138</v>
      </c>
      <c r="I1802" t="s">
        <v>5</v>
      </c>
      <c r="J1802">
        <v>1.81</v>
      </c>
    </row>
    <row r="1803" spans="2:10">
      <c r="B1803" s="13" t="s">
        <v>3114</v>
      </c>
      <c r="C1803" s="13">
        <v>115.29600000000001</v>
      </c>
      <c r="H1803" t="s">
        <v>3137</v>
      </c>
      <c r="I1803" t="s">
        <v>5</v>
      </c>
      <c r="J1803">
        <v>115.29600000000001</v>
      </c>
    </row>
    <row r="1804" spans="2:10">
      <c r="B1804" s="13" t="s">
        <v>3116</v>
      </c>
      <c r="C1804" s="13">
        <v>2479.96</v>
      </c>
      <c r="H1804" t="s">
        <v>3137</v>
      </c>
      <c r="I1804" t="s">
        <v>4</v>
      </c>
      <c r="J1804">
        <v>2479.96</v>
      </c>
    </row>
    <row r="1805" spans="2:10">
      <c r="B1805" s="13" t="s">
        <v>3115</v>
      </c>
      <c r="C1805" s="13">
        <v>181.98599999999999</v>
      </c>
      <c r="H1805" t="s">
        <v>3137</v>
      </c>
      <c r="I1805" t="s">
        <v>3</v>
      </c>
      <c r="J1805">
        <v>181.98599999999999</v>
      </c>
    </row>
    <row r="1806" spans="2:10">
      <c r="B1806" s="13" t="s">
        <v>3118</v>
      </c>
      <c r="C1806" s="13">
        <v>1.5919999999999996</v>
      </c>
      <c r="H1806" t="s">
        <v>3137</v>
      </c>
      <c r="I1806" t="s">
        <v>5</v>
      </c>
      <c r="J1806">
        <v>1.5919999999999996</v>
      </c>
    </row>
    <row r="1807" spans="2:10">
      <c r="B1807" s="13" t="s">
        <v>3129</v>
      </c>
      <c r="C1807" s="13">
        <v>22.344000000000001</v>
      </c>
      <c r="H1807" t="s">
        <v>3137</v>
      </c>
      <c r="I1807" t="s">
        <v>5</v>
      </c>
      <c r="J1807">
        <v>22.344000000000001</v>
      </c>
    </row>
    <row r="1808" spans="2:10">
      <c r="B1808" s="13" t="s">
        <v>3117</v>
      </c>
      <c r="C1808" s="13">
        <v>67.400000000000006</v>
      </c>
      <c r="H1808" t="s">
        <v>3136</v>
      </c>
      <c r="I1808" t="s">
        <v>5</v>
      </c>
      <c r="J1808">
        <v>67.400000000000006</v>
      </c>
    </row>
    <row r="1809" spans="2:10">
      <c r="B1809" s="13" t="s">
        <v>3119</v>
      </c>
      <c r="C1809" s="13">
        <v>25.16</v>
      </c>
      <c r="H1809" t="s">
        <v>3138</v>
      </c>
      <c r="I1809" t="s">
        <v>3</v>
      </c>
      <c r="J1809">
        <v>25.16</v>
      </c>
    </row>
    <row r="1810" spans="2:10">
      <c r="B1810" s="13" t="s">
        <v>3116</v>
      </c>
      <c r="C1810" s="13">
        <v>126.56</v>
      </c>
      <c r="H1810" t="s">
        <v>3138</v>
      </c>
      <c r="I1810" t="s">
        <v>4</v>
      </c>
      <c r="J1810">
        <v>126.56</v>
      </c>
    </row>
    <row r="1811" spans="2:10">
      <c r="B1811" s="13" t="s">
        <v>3119</v>
      </c>
      <c r="C1811" s="13">
        <v>10.16</v>
      </c>
      <c r="H1811" t="s">
        <v>3135</v>
      </c>
      <c r="I1811" t="s">
        <v>3</v>
      </c>
      <c r="J1811">
        <v>10.16</v>
      </c>
    </row>
    <row r="1812" spans="2:10">
      <c r="B1812" s="13" t="s">
        <v>3118</v>
      </c>
      <c r="C1812" s="13">
        <v>34.54</v>
      </c>
      <c r="H1812" t="s">
        <v>3135</v>
      </c>
      <c r="I1812" t="s">
        <v>5</v>
      </c>
      <c r="J1812">
        <v>34.54</v>
      </c>
    </row>
    <row r="1813" spans="2:10">
      <c r="B1813" s="13" t="s">
        <v>3127</v>
      </c>
      <c r="C1813" s="13">
        <v>2999.95</v>
      </c>
      <c r="H1813" t="s">
        <v>3135</v>
      </c>
      <c r="I1813" t="s">
        <v>4</v>
      </c>
      <c r="J1813">
        <v>2999.95</v>
      </c>
    </row>
    <row r="1814" spans="2:10">
      <c r="B1814" s="13" t="s">
        <v>3118</v>
      </c>
      <c r="C1814" s="13">
        <v>64.12</v>
      </c>
      <c r="H1814" t="s">
        <v>3135</v>
      </c>
      <c r="I1814" t="s">
        <v>5</v>
      </c>
      <c r="J1814">
        <v>64.12</v>
      </c>
    </row>
    <row r="1815" spans="2:10">
      <c r="B1815" s="13" t="s">
        <v>3122</v>
      </c>
      <c r="C1815" s="13">
        <v>19.456000000000003</v>
      </c>
      <c r="H1815" t="s">
        <v>3137</v>
      </c>
      <c r="I1815" t="s">
        <v>5</v>
      </c>
      <c r="J1815">
        <v>19.456000000000003</v>
      </c>
    </row>
    <row r="1816" spans="2:10">
      <c r="B1816" s="13" t="s">
        <v>3130</v>
      </c>
      <c r="C1816" s="13">
        <v>209.98599999999999</v>
      </c>
      <c r="H1816" t="s">
        <v>3137</v>
      </c>
      <c r="I1816" t="s">
        <v>4</v>
      </c>
      <c r="J1816">
        <v>209.98599999999999</v>
      </c>
    </row>
    <row r="1817" spans="2:10">
      <c r="B1817" s="13" t="s">
        <v>3122</v>
      </c>
      <c r="C1817" s="13">
        <v>29.760000000000005</v>
      </c>
      <c r="H1817" t="s">
        <v>3137</v>
      </c>
      <c r="I1817" t="s">
        <v>5</v>
      </c>
      <c r="J1817">
        <v>29.760000000000005</v>
      </c>
    </row>
    <row r="1818" spans="2:10">
      <c r="B1818" s="13" t="s">
        <v>3115</v>
      </c>
      <c r="C1818" s="13">
        <v>89.768000000000001</v>
      </c>
      <c r="H1818" t="s">
        <v>3137</v>
      </c>
      <c r="I1818" t="s">
        <v>3</v>
      </c>
      <c r="J1818">
        <v>89.768000000000001</v>
      </c>
    </row>
    <row r="1819" spans="2:10">
      <c r="B1819" s="13" t="s">
        <v>3127</v>
      </c>
      <c r="C1819" s="13">
        <v>959.98400000000004</v>
      </c>
      <c r="H1819" t="s">
        <v>3137</v>
      </c>
      <c r="I1819" t="s">
        <v>4</v>
      </c>
      <c r="J1819">
        <v>959.98400000000004</v>
      </c>
    </row>
    <row r="1820" spans="2:10">
      <c r="B1820" s="13" t="s">
        <v>3114</v>
      </c>
      <c r="C1820" s="13">
        <v>15.552000000000003</v>
      </c>
      <c r="H1820" t="s">
        <v>3137</v>
      </c>
      <c r="I1820" t="s">
        <v>5</v>
      </c>
      <c r="J1820">
        <v>15.552000000000003</v>
      </c>
    </row>
    <row r="1821" spans="2:10">
      <c r="B1821" s="13" t="s">
        <v>3116</v>
      </c>
      <c r="C1821" s="13">
        <v>34.360000000000007</v>
      </c>
      <c r="H1821" t="s">
        <v>3137</v>
      </c>
      <c r="I1821" t="s">
        <v>4</v>
      </c>
      <c r="J1821">
        <v>34.360000000000007</v>
      </c>
    </row>
    <row r="1822" spans="2:10">
      <c r="B1822" s="13" t="s">
        <v>3122</v>
      </c>
      <c r="C1822" s="13">
        <v>6.56</v>
      </c>
      <c r="H1822" t="s">
        <v>3138</v>
      </c>
      <c r="I1822" t="s">
        <v>5</v>
      </c>
      <c r="J1822">
        <v>6.56</v>
      </c>
    </row>
    <row r="1823" spans="2:10">
      <c r="B1823" s="13" t="s">
        <v>3115</v>
      </c>
      <c r="C1823" s="13">
        <v>243.92</v>
      </c>
      <c r="H1823" t="s">
        <v>3138</v>
      </c>
      <c r="I1823" t="s">
        <v>3</v>
      </c>
      <c r="J1823">
        <v>243.92</v>
      </c>
    </row>
    <row r="1824" spans="2:10">
      <c r="B1824" s="13" t="s">
        <v>3114</v>
      </c>
      <c r="C1824" s="13">
        <v>47.52</v>
      </c>
      <c r="H1824" t="s">
        <v>3138</v>
      </c>
      <c r="I1824" t="s">
        <v>5</v>
      </c>
      <c r="J1824">
        <v>47.52</v>
      </c>
    </row>
    <row r="1825" spans="2:10">
      <c r="B1825" s="13" t="s">
        <v>3119</v>
      </c>
      <c r="C1825" s="13">
        <v>19.98</v>
      </c>
      <c r="H1825" t="s">
        <v>3136</v>
      </c>
      <c r="I1825" t="s">
        <v>3</v>
      </c>
      <c r="J1825">
        <v>19.98</v>
      </c>
    </row>
    <row r="1826" spans="2:10">
      <c r="B1826" s="13" t="s">
        <v>3117</v>
      </c>
      <c r="C1826" s="13">
        <v>83.56</v>
      </c>
      <c r="H1826" t="s">
        <v>3136</v>
      </c>
      <c r="I1826" t="s">
        <v>5</v>
      </c>
      <c r="J1826">
        <v>83.56</v>
      </c>
    </row>
    <row r="1827" spans="2:10">
      <c r="B1827" s="13" t="s">
        <v>3116</v>
      </c>
      <c r="C1827" s="13">
        <v>546.06000000000006</v>
      </c>
      <c r="H1827" t="s">
        <v>3136</v>
      </c>
      <c r="I1827" t="s">
        <v>4</v>
      </c>
      <c r="J1827">
        <v>546.06000000000006</v>
      </c>
    </row>
    <row r="1828" spans="2:10">
      <c r="B1828" s="13" t="s">
        <v>3117</v>
      </c>
      <c r="C1828" s="13">
        <v>269.49</v>
      </c>
      <c r="H1828" t="s">
        <v>3136</v>
      </c>
      <c r="I1828" t="s">
        <v>5</v>
      </c>
      <c r="J1828">
        <v>269.49</v>
      </c>
    </row>
    <row r="1829" spans="2:10">
      <c r="B1829" s="13" t="s">
        <v>3118</v>
      </c>
      <c r="C1829" s="13">
        <v>59.913000000000011</v>
      </c>
      <c r="H1829" t="s">
        <v>3136</v>
      </c>
      <c r="I1829" t="s">
        <v>5</v>
      </c>
      <c r="J1829">
        <v>59.913000000000011</v>
      </c>
    </row>
    <row r="1830" spans="2:10">
      <c r="B1830" s="13" t="s">
        <v>3116</v>
      </c>
      <c r="C1830" s="13">
        <v>391.98</v>
      </c>
      <c r="H1830" t="s">
        <v>3136</v>
      </c>
      <c r="I1830" t="s">
        <v>4</v>
      </c>
      <c r="J1830">
        <v>391.98</v>
      </c>
    </row>
    <row r="1831" spans="2:10">
      <c r="B1831" s="13" t="s">
        <v>3116</v>
      </c>
      <c r="C1831" s="13">
        <v>437.84999999999997</v>
      </c>
      <c r="H1831" t="s">
        <v>3136</v>
      </c>
      <c r="I1831" t="s">
        <v>4</v>
      </c>
      <c r="J1831">
        <v>437.84999999999997</v>
      </c>
    </row>
    <row r="1832" spans="2:10">
      <c r="B1832" s="13" t="s">
        <v>3129</v>
      </c>
      <c r="C1832" s="13">
        <v>25.02</v>
      </c>
      <c r="H1832" t="s">
        <v>3136</v>
      </c>
      <c r="I1832" t="s">
        <v>5</v>
      </c>
      <c r="J1832">
        <v>25.02</v>
      </c>
    </row>
    <row r="1833" spans="2:10">
      <c r="B1833" s="13" t="s">
        <v>3122</v>
      </c>
      <c r="C1833" s="13">
        <v>10.709999999999999</v>
      </c>
      <c r="H1833" t="s">
        <v>3136</v>
      </c>
      <c r="I1833" t="s">
        <v>5</v>
      </c>
      <c r="J1833">
        <v>10.709999999999999</v>
      </c>
    </row>
    <row r="1834" spans="2:10">
      <c r="B1834" s="13" t="s">
        <v>3122</v>
      </c>
      <c r="C1834" s="13">
        <v>11.05</v>
      </c>
      <c r="H1834" t="s">
        <v>3136</v>
      </c>
      <c r="I1834" t="s">
        <v>5</v>
      </c>
      <c r="J1834">
        <v>11.05</v>
      </c>
    </row>
    <row r="1835" spans="2:10">
      <c r="B1835" s="13" t="s">
        <v>3120</v>
      </c>
      <c r="C1835" s="13">
        <v>659.9</v>
      </c>
      <c r="H1835" t="s">
        <v>3135</v>
      </c>
      <c r="I1835" t="s">
        <v>4</v>
      </c>
      <c r="J1835">
        <v>659.9</v>
      </c>
    </row>
    <row r="1836" spans="2:10">
      <c r="B1836" s="13" t="s">
        <v>3120</v>
      </c>
      <c r="C1836" s="13">
        <v>843.9</v>
      </c>
      <c r="H1836" t="s">
        <v>3138</v>
      </c>
      <c r="I1836" t="s">
        <v>4</v>
      </c>
      <c r="J1836">
        <v>843.9</v>
      </c>
    </row>
    <row r="1837" spans="2:10">
      <c r="B1837" s="13" t="s">
        <v>3120</v>
      </c>
      <c r="C1837" s="13">
        <v>1496.16</v>
      </c>
      <c r="H1837" t="s">
        <v>3138</v>
      </c>
      <c r="I1837" t="s">
        <v>4</v>
      </c>
      <c r="J1837">
        <v>1496.16</v>
      </c>
    </row>
    <row r="1838" spans="2:10">
      <c r="B1838" s="13" t="s">
        <v>3119</v>
      </c>
      <c r="C1838" s="13">
        <v>19.52</v>
      </c>
      <c r="H1838" t="s">
        <v>3135</v>
      </c>
      <c r="I1838" t="s">
        <v>3</v>
      </c>
      <c r="J1838">
        <v>19.52</v>
      </c>
    </row>
    <row r="1839" spans="2:10">
      <c r="B1839" s="13" t="s">
        <v>3121</v>
      </c>
      <c r="C1839" s="13">
        <v>13.872000000000002</v>
      </c>
      <c r="H1839" t="s">
        <v>3135</v>
      </c>
      <c r="I1839" t="s">
        <v>5</v>
      </c>
      <c r="J1839">
        <v>13.872000000000002</v>
      </c>
    </row>
    <row r="1840" spans="2:10">
      <c r="B1840" s="13" t="s">
        <v>3115</v>
      </c>
      <c r="C1840" s="13">
        <v>273.55200000000002</v>
      </c>
      <c r="H1840" t="s">
        <v>3135</v>
      </c>
      <c r="I1840" t="s">
        <v>3</v>
      </c>
      <c r="J1840">
        <v>273.55200000000002</v>
      </c>
    </row>
    <row r="1841" spans="2:10">
      <c r="B1841" s="13" t="s">
        <v>3118</v>
      </c>
      <c r="C1841" s="13">
        <v>82.56</v>
      </c>
      <c r="H1841" t="s">
        <v>3138</v>
      </c>
      <c r="I1841" t="s">
        <v>5</v>
      </c>
      <c r="J1841">
        <v>82.56</v>
      </c>
    </row>
    <row r="1842" spans="2:10">
      <c r="B1842" s="13" t="s">
        <v>3120</v>
      </c>
      <c r="C1842" s="13">
        <v>284.96999999999997</v>
      </c>
      <c r="H1842" t="s">
        <v>3138</v>
      </c>
      <c r="I1842" t="s">
        <v>4</v>
      </c>
      <c r="J1842">
        <v>284.96999999999997</v>
      </c>
    </row>
    <row r="1843" spans="2:10">
      <c r="B1843" s="13" t="s">
        <v>3119</v>
      </c>
      <c r="C1843" s="13">
        <v>60.84</v>
      </c>
      <c r="H1843" t="s">
        <v>3137</v>
      </c>
      <c r="I1843" t="s">
        <v>3</v>
      </c>
      <c r="J1843">
        <v>60.84</v>
      </c>
    </row>
    <row r="1844" spans="2:10">
      <c r="B1844" s="13" t="s">
        <v>3122</v>
      </c>
      <c r="C1844" s="13">
        <v>11.12</v>
      </c>
      <c r="H1844" t="s">
        <v>3136</v>
      </c>
      <c r="I1844" t="s">
        <v>5</v>
      </c>
      <c r="J1844">
        <v>11.12</v>
      </c>
    </row>
    <row r="1845" spans="2:10">
      <c r="B1845" s="13" t="s">
        <v>3118</v>
      </c>
      <c r="C1845" s="13">
        <v>34.76</v>
      </c>
      <c r="H1845" t="s">
        <v>3138</v>
      </c>
      <c r="I1845" t="s">
        <v>5</v>
      </c>
      <c r="J1845">
        <v>34.76</v>
      </c>
    </row>
    <row r="1846" spans="2:10">
      <c r="B1846" s="13" t="s">
        <v>3119</v>
      </c>
      <c r="C1846" s="13">
        <v>74.45</v>
      </c>
      <c r="H1846" t="s">
        <v>3136</v>
      </c>
      <c r="I1846" t="s">
        <v>3</v>
      </c>
      <c r="J1846">
        <v>74.45</v>
      </c>
    </row>
    <row r="1847" spans="2:10">
      <c r="B1847" s="13" t="s">
        <v>3114</v>
      </c>
      <c r="C1847" s="13">
        <v>19.440000000000001</v>
      </c>
      <c r="H1847" t="s">
        <v>3138</v>
      </c>
      <c r="I1847" t="s">
        <v>5</v>
      </c>
      <c r="J1847">
        <v>19.440000000000001</v>
      </c>
    </row>
    <row r="1848" spans="2:10">
      <c r="B1848" s="13" t="s">
        <v>3114</v>
      </c>
      <c r="C1848" s="13">
        <v>32.400000000000006</v>
      </c>
      <c r="H1848" t="s">
        <v>3138</v>
      </c>
      <c r="I1848" t="s">
        <v>5</v>
      </c>
      <c r="J1848">
        <v>32.400000000000006</v>
      </c>
    </row>
    <row r="1849" spans="2:10">
      <c r="B1849" s="13" t="s">
        <v>3124</v>
      </c>
      <c r="C1849" s="13">
        <v>57.9</v>
      </c>
      <c r="H1849" t="s">
        <v>3138</v>
      </c>
      <c r="I1849" t="s">
        <v>5</v>
      </c>
      <c r="J1849">
        <v>57.9</v>
      </c>
    </row>
    <row r="1850" spans="2:10">
      <c r="B1850" s="13" t="s">
        <v>3117</v>
      </c>
      <c r="C1850" s="13">
        <v>10.56</v>
      </c>
      <c r="H1850" t="s">
        <v>3138</v>
      </c>
      <c r="I1850" t="s">
        <v>5</v>
      </c>
      <c r="J1850">
        <v>10.56</v>
      </c>
    </row>
    <row r="1851" spans="2:10">
      <c r="B1851" s="13" t="s">
        <v>3128</v>
      </c>
      <c r="C1851" s="13">
        <v>1194.165</v>
      </c>
      <c r="H1851" t="s">
        <v>3138</v>
      </c>
      <c r="I1851" t="s">
        <v>3</v>
      </c>
      <c r="J1851">
        <v>1194.165</v>
      </c>
    </row>
    <row r="1852" spans="2:10">
      <c r="B1852" s="13" t="s">
        <v>3114</v>
      </c>
      <c r="C1852" s="13">
        <v>40.99</v>
      </c>
      <c r="H1852" t="s">
        <v>3136</v>
      </c>
      <c r="I1852" t="s">
        <v>5</v>
      </c>
      <c r="J1852">
        <v>40.99</v>
      </c>
    </row>
    <row r="1853" spans="2:10">
      <c r="B1853" s="13" t="s">
        <v>3124</v>
      </c>
      <c r="C1853" s="13">
        <v>15.840000000000002</v>
      </c>
      <c r="H1853" t="s">
        <v>3137</v>
      </c>
      <c r="I1853" t="s">
        <v>5</v>
      </c>
      <c r="J1853">
        <v>15.840000000000002</v>
      </c>
    </row>
    <row r="1854" spans="2:10">
      <c r="B1854" s="13" t="s">
        <v>3114</v>
      </c>
      <c r="C1854" s="13">
        <v>8.4480000000000004</v>
      </c>
      <c r="H1854" t="s">
        <v>3137</v>
      </c>
      <c r="I1854" t="s">
        <v>5</v>
      </c>
      <c r="J1854">
        <v>8.4480000000000004</v>
      </c>
    </row>
    <row r="1855" spans="2:10">
      <c r="B1855" s="13" t="s">
        <v>3118</v>
      </c>
      <c r="C1855" s="13">
        <v>27.395999999999997</v>
      </c>
      <c r="H1855" t="s">
        <v>3137</v>
      </c>
      <c r="I1855" t="s">
        <v>5</v>
      </c>
      <c r="J1855">
        <v>27.395999999999997</v>
      </c>
    </row>
    <row r="1856" spans="2:10">
      <c r="B1856" s="13" t="s">
        <v>3118</v>
      </c>
      <c r="C1856" s="13">
        <v>13.455999999999998</v>
      </c>
      <c r="H1856" t="s">
        <v>3137</v>
      </c>
      <c r="I1856" t="s">
        <v>5</v>
      </c>
      <c r="J1856">
        <v>13.455999999999998</v>
      </c>
    </row>
    <row r="1857" spans="2:10">
      <c r="B1857" s="13" t="s">
        <v>3114</v>
      </c>
      <c r="C1857" s="13">
        <v>35.880000000000003</v>
      </c>
      <c r="H1857" t="s">
        <v>3138</v>
      </c>
      <c r="I1857" t="s">
        <v>5</v>
      </c>
      <c r="J1857">
        <v>35.880000000000003</v>
      </c>
    </row>
    <row r="1858" spans="2:10">
      <c r="B1858" s="13" t="s">
        <v>3118</v>
      </c>
      <c r="C1858" s="13">
        <v>40.176000000000002</v>
      </c>
      <c r="H1858" t="s">
        <v>3136</v>
      </c>
      <c r="I1858" t="s">
        <v>5</v>
      </c>
      <c r="J1858">
        <v>40.176000000000002</v>
      </c>
    </row>
    <row r="1859" spans="2:10">
      <c r="B1859" s="13" t="s">
        <v>3116</v>
      </c>
      <c r="C1859" s="13">
        <v>36.792000000000002</v>
      </c>
      <c r="H1859" t="s">
        <v>3137</v>
      </c>
      <c r="I1859" t="s">
        <v>4</v>
      </c>
      <c r="J1859">
        <v>36.792000000000002</v>
      </c>
    </row>
    <row r="1860" spans="2:10">
      <c r="B1860" s="13" t="s">
        <v>3117</v>
      </c>
      <c r="C1860" s="13">
        <v>177.54999999999998</v>
      </c>
      <c r="H1860" t="s">
        <v>3135</v>
      </c>
      <c r="I1860" t="s">
        <v>5</v>
      </c>
      <c r="J1860">
        <v>177.54999999999998</v>
      </c>
    </row>
    <row r="1861" spans="2:10">
      <c r="B1861" s="13" t="s">
        <v>3117</v>
      </c>
      <c r="C1861" s="13">
        <v>81.400000000000006</v>
      </c>
      <c r="H1861" t="s">
        <v>3137</v>
      </c>
      <c r="I1861" t="s">
        <v>5</v>
      </c>
      <c r="J1861">
        <v>81.400000000000006</v>
      </c>
    </row>
    <row r="1862" spans="2:10">
      <c r="B1862" s="13" t="s">
        <v>3120</v>
      </c>
      <c r="C1862" s="13">
        <v>178.10999999999999</v>
      </c>
      <c r="H1862" t="s">
        <v>3137</v>
      </c>
      <c r="I1862" t="s">
        <v>4</v>
      </c>
      <c r="J1862">
        <v>178.10999999999999</v>
      </c>
    </row>
    <row r="1863" spans="2:10">
      <c r="B1863" s="13" t="s">
        <v>3125</v>
      </c>
      <c r="C1863" s="13">
        <v>1089.75</v>
      </c>
      <c r="H1863" t="s">
        <v>3137</v>
      </c>
      <c r="I1863" t="s">
        <v>5</v>
      </c>
      <c r="J1863">
        <v>1089.75</v>
      </c>
    </row>
    <row r="1864" spans="2:10">
      <c r="B1864" s="13" t="s">
        <v>3121</v>
      </c>
      <c r="C1864" s="13">
        <v>61.06</v>
      </c>
      <c r="H1864" t="s">
        <v>3137</v>
      </c>
      <c r="I1864" t="s">
        <v>5</v>
      </c>
      <c r="J1864">
        <v>61.06</v>
      </c>
    </row>
    <row r="1865" spans="2:10">
      <c r="B1865" s="13" t="s">
        <v>3128</v>
      </c>
      <c r="C1865" s="13">
        <v>459.92</v>
      </c>
      <c r="H1865" t="s">
        <v>3137</v>
      </c>
      <c r="I1865" t="s">
        <v>3</v>
      </c>
      <c r="J1865">
        <v>459.92</v>
      </c>
    </row>
    <row r="1866" spans="2:10">
      <c r="B1866" s="13" t="s">
        <v>3114</v>
      </c>
      <c r="C1866" s="13">
        <v>27.52</v>
      </c>
      <c r="H1866" t="s">
        <v>3137</v>
      </c>
      <c r="I1866" t="s">
        <v>5</v>
      </c>
      <c r="J1866">
        <v>27.52</v>
      </c>
    </row>
    <row r="1867" spans="2:10">
      <c r="B1867" s="13" t="s">
        <v>3128</v>
      </c>
      <c r="C1867" s="13">
        <v>638.82000000000005</v>
      </c>
      <c r="H1867" t="s">
        <v>3136</v>
      </c>
      <c r="I1867" t="s">
        <v>3</v>
      </c>
      <c r="J1867">
        <v>638.82000000000005</v>
      </c>
    </row>
    <row r="1868" spans="2:10">
      <c r="B1868" s="13" t="s">
        <v>3129</v>
      </c>
      <c r="C1868" s="13">
        <v>30.69</v>
      </c>
      <c r="H1868" t="s">
        <v>3136</v>
      </c>
      <c r="I1868" t="s">
        <v>5</v>
      </c>
      <c r="J1868">
        <v>30.69</v>
      </c>
    </row>
    <row r="1869" spans="2:10">
      <c r="B1869" s="13" t="s">
        <v>3119</v>
      </c>
      <c r="C1869" s="13">
        <v>25.16</v>
      </c>
      <c r="H1869" t="s">
        <v>3136</v>
      </c>
      <c r="I1869" t="s">
        <v>3</v>
      </c>
      <c r="J1869">
        <v>25.16</v>
      </c>
    </row>
    <row r="1870" spans="2:10">
      <c r="B1870" s="13" t="s">
        <v>3114</v>
      </c>
      <c r="C1870" s="13">
        <v>12.96</v>
      </c>
      <c r="H1870" t="s">
        <v>3138</v>
      </c>
      <c r="I1870" t="s">
        <v>5</v>
      </c>
      <c r="J1870">
        <v>12.96</v>
      </c>
    </row>
    <row r="1871" spans="2:10">
      <c r="B1871" s="13" t="s">
        <v>3119</v>
      </c>
      <c r="C1871" s="13">
        <v>26.48</v>
      </c>
      <c r="H1871" t="s">
        <v>3138</v>
      </c>
      <c r="I1871" t="s">
        <v>3</v>
      </c>
      <c r="J1871">
        <v>26.48</v>
      </c>
    </row>
    <row r="1872" spans="2:10">
      <c r="B1872" s="13" t="s">
        <v>3130</v>
      </c>
      <c r="C1872" s="13">
        <v>532.72</v>
      </c>
      <c r="H1872" t="s">
        <v>3138</v>
      </c>
      <c r="I1872" t="s">
        <v>4</v>
      </c>
      <c r="J1872">
        <v>532.72</v>
      </c>
    </row>
    <row r="1873" spans="2:10">
      <c r="B1873" s="13" t="s">
        <v>3114</v>
      </c>
      <c r="C1873" s="13">
        <v>26.72</v>
      </c>
      <c r="H1873" t="s">
        <v>3138</v>
      </c>
      <c r="I1873" t="s">
        <v>5</v>
      </c>
      <c r="J1873">
        <v>26.72</v>
      </c>
    </row>
    <row r="1874" spans="2:10">
      <c r="B1874" s="13" t="s">
        <v>3114</v>
      </c>
      <c r="C1874" s="13">
        <v>20.04</v>
      </c>
      <c r="H1874" t="s">
        <v>3138</v>
      </c>
      <c r="I1874" t="s">
        <v>5</v>
      </c>
      <c r="J1874">
        <v>20.04</v>
      </c>
    </row>
    <row r="1875" spans="2:10">
      <c r="B1875" s="13" t="s">
        <v>3117</v>
      </c>
      <c r="C1875" s="13">
        <v>795.48</v>
      </c>
      <c r="H1875" t="s">
        <v>3138</v>
      </c>
      <c r="I1875" t="s">
        <v>5</v>
      </c>
      <c r="J1875">
        <v>795.48</v>
      </c>
    </row>
    <row r="1876" spans="2:10">
      <c r="B1876" s="13" t="s">
        <v>3119</v>
      </c>
      <c r="C1876" s="13">
        <v>21.560000000000002</v>
      </c>
      <c r="H1876" t="s">
        <v>3138</v>
      </c>
      <c r="I1876" t="s">
        <v>3</v>
      </c>
      <c r="J1876">
        <v>21.560000000000002</v>
      </c>
    </row>
    <row r="1877" spans="2:10">
      <c r="B1877" s="13" t="s">
        <v>3116</v>
      </c>
      <c r="C1877" s="13">
        <v>74.95</v>
      </c>
      <c r="H1877" t="s">
        <v>3136</v>
      </c>
      <c r="I1877" t="s">
        <v>4</v>
      </c>
      <c r="J1877">
        <v>74.95</v>
      </c>
    </row>
    <row r="1878" spans="2:10">
      <c r="B1878" s="13" t="s">
        <v>3125</v>
      </c>
      <c r="C1878" s="13">
        <v>542.93999999999994</v>
      </c>
      <c r="H1878" t="s">
        <v>3138</v>
      </c>
      <c r="I1878" t="s">
        <v>5</v>
      </c>
      <c r="J1878">
        <v>542.93999999999994</v>
      </c>
    </row>
    <row r="1879" spans="2:10">
      <c r="B1879" s="13" t="s">
        <v>3119</v>
      </c>
      <c r="C1879" s="13">
        <v>54.92</v>
      </c>
      <c r="H1879" t="s">
        <v>3138</v>
      </c>
      <c r="I1879" t="s">
        <v>3</v>
      </c>
      <c r="J1879">
        <v>54.92</v>
      </c>
    </row>
    <row r="1880" spans="2:10">
      <c r="B1880" s="13" t="s">
        <v>3120</v>
      </c>
      <c r="C1880" s="13">
        <v>85.2</v>
      </c>
      <c r="H1880" t="s">
        <v>3137</v>
      </c>
      <c r="I1880" t="s">
        <v>4</v>
      </c>
      <c r="J1880">
        <v>85.2</v>
      </c>
    </row>
    <row r="1881" spans="2:10">
      <c r="B1881" s="13" t="s">
        <v>3128</v>
      </c>
      <c r="C1881" s="13">
        <v>217.76400000000001</v>
      </c>
      <c r="H1881" t="s">
        <v>3138</v>
      </c>
      <c r="I1881" t="s">
        <v>3</v>
      </c>
      <c r="J1881">
        <v>217.76400000000001</v>
      </c>
    </row>
    <row r="1882" spans="2:10">
      <c r="B1882" s="13" t="s">
        <v>3129</v>
      </c>
      <c r="C1882" s="13">
        <v>39.072000000000003</v>
      </c>
      <c r="H1882" t="s">
        <v>3138</v>
      </c>
      <c r="I1882" t="s">
        <v>5</v>
      </c>
      <c r="J1882">
        <v>39.072000000000003</v>
      </c>
    </row>
    <row r="1883" spans="2:10">
      <c r="B1883" s="13" t="s">
        <v>3118</v>
      </c>
      <c r="C1883" s="13">
        <v>22.638000000000002</v>
      </c>
      <c r="H1883" t="s">
        <v>3138</v>
      </c>
      <c r="I1883" t="s">
        <v>5</v>
      </c>
      <c r="J1883">
        <v>22.638000000000002</v>
      </c>
    </row>
    <row r="1884" spans="2:10">
      <c r="B1884" s="13" t="s">
        <v>3122</v>
      </c>
      <c r="C1884" s="13">
        <v>95.143999999999991</v>
      </c>
      <c r="H1884" t="s">
        <v>3138</v>
      </c>
      <c r="I1884" t="s">
        <v>5</v>
      </c>
      <c r="J1884">
        <v>95.143999999999991</v>
      </c>
    </row>
    <row r="1885" spans="2:10">
      <c r="B1885" s="13" t="s">
        <v>3119</v>
      </c>
      <c r="C1885" s="13">
        <v>12.320000000000002</v>
      </c>
      <c r="H1885" t="s">
        <v>3135</v>
      </c>
      <c r="I1885" t="s">
        <v>3</v>
      </c>
      <c r="J1885">
        <v>12.320000000000002</v>
      </c>
    </row>
    <row r="1886" spans="2:10">
      <c r="B1886" s="13" t="s">
        <v>3118</v>
      </c>
      <c r="C1886" s="13">
        <v>4.4190000000000005</v>
      </c>
      <c r="H1886" t="s">
        <v>3135</v>
      </c>
      <c r="I1886" t="s">
        <v>5</v>
      </c>
      <c r="J1886">
        <v>4.4190000000000005</v>
      </c>
    </row>
    <row r="1887" spans="2:10">
      <c r="B1887" s="13" t="s">
        <v>3123</v>
      </c>
      <c r="C1887" s="13">
        <v>35</v>
      </c>
      <c r="H1887" t="s">
        <v>3138</v>
      </c>
      <c r="I1887" t="s">
        <v>5</v>
      </c>
      <c r="J1887">
        <v>35</v>
      </c>
    </row>
    <row r="1888" spans="2:10">
      <c r="B1888" s="13" t="s">
        <v>3115</v>
      </c>
      <c r="C1888" s="13">
        <v>72.784000000000006</v>
      </c>
      <c r="H1888" t="s">
        <v>3138</v>
      </c>
      <c r="I1888" t="s">
        <v>3</v>
      </c>
      <c r="J1888">
        <v>72.784000000000006</v>
      </c>
    </row>
    <row r="1889" spans="2:10">
      <c r="B1889" s="13" t="s">
        <v>3125</v>
      </c>
      <c r="C1889" s="13">
        <v>97.84</v>
      </c>
      <c r="H1889" t="s">
        <v>3138</v>
      </c>
      <c r="I1889" t="s">
        <v>5</v>
      </c>
      <c r="J1889">
        <v>97.84</v>
      </c>
    </row>
    <row r="1890" spans="2:10">
      <c r="B1890" s="13" t="s">
        <v>3119</v>
      </c>
      <c r="C1890" s="13">
        <v>51.75</v>
      </c>
      <c r="H1890" t="s">
        <v>3138</v>
      </c>
      <c r="I1890" t="s">
        <v>3</v>
      </c>
      <c r="J1890">
        <v>51.75</v>
      </c>
    </row>
    <row r="1891" spans="2:10">
      <c r="B1891" s="13" t="s">
        <v>3118</v>
      </c>
      <c r="C1891" s="13">
        <v>46.672000000000004</v>
      </c>
      <c r="H1891" t="s">
        <v>3138</v>
      </c>
      <c r="I1891" t="s">
        <v>5</v>
      </c>
      <c r="J1891">
        <v>46.672000000000004</v>
      </c>
    </row>
    <row r="1892" spans="2:10">
      <c r="B1892" s="13" t="s">
        <v>3122</v>
      </c>
      <c r="C1892" s="13">
        <v>10.272000000000002</v>
      </c>
      <c r="H1892" t="s">
        <v>3136</v>
      </c>
      <c r="I1892" t="s">
        <v>5</v>
      </c>
      <c r="J1892">
        <v>10.272000000000002</v>
      </c>
    </row>
    <row r="1893" spans="2:10">
      <c r="B1893" s="13" t="s">
        <v>3117</v>
      </c>
      <c r="C1893" s="13">
        <v>61.792000000000002</v>
      </c>
      <c r="H1893" t="s">
        <v>3137</v>
      </c>
      <c r="I1893" t="s">
        <v>5</v>
      </c>
      <c r="J1893">
        <v>61.792000000000002</v>
      </c>
    </row>
    <row r="1894" spans="2:10">
      <c r="B1894" s="13" t="s">
        <v>3128</v>
      </c>
      <c r="C1894" s="13">
        <v>205.99919999999997</v>
      </c>
      <c r="H1894" t="s">
        <v>3137</v>
      </c>
      <c r="I1894" t="s">
        <v>3</v>
      </c>
      <c r="J1894">
        <v>205.99919999999997</v>
      </c>
    </row>
    <row r="1895" spans="2:10">
      <c r="B1895" s="13" t="s">
        <v>3129</v>
      </c>
      <c r="C1895" s="13">
        <v>238.62</v>
      </c>
      <c r="H1895" t="s">
        <v>3138</v>
      </c>
      <c r="I1895" t="s">
        <v>5</v>
      </c>
      <c r="J1895">
        <v>238.62</v>
      </c>
    </row>
    <row r="1896" spans="2:10">
      <c r="B1896" s="13" t="s">
        <v>3125</v>
      </c>
      <c r="C1896" s="13">
        <v>7.77</v>
      </c>
      <c r="H1896" t="s">
        <v>3138</v>
      </c>
      <c r="I1896" t="s">
        <v>5</v>
      </c>
      <c r="J1896">
        <v>7.77</v>
      </c>
    </row>
    <row r="1897" spans="2:10">
      <c r="B1897" s="13" t="s">
        <v>3126</v>
      </c>
      <c r="C1897" s="13">
        <v>285.48</v>
      </c>
      <c r="H1897" t="s">
        <v>3138</v>
      </c>
      <c r="I1897" t="s">
        <v>3</v>
      </c>
      <c r="J1897">
        <v>285.48</v>
      </c>
    </row>
    <row r="1898" spans="2:10">
      <c r="B1898" s="13" t="s">
        <v>3118</v>
      </c>
      <c r="C1898" s="13">
        <v>19.168000000000003</v>
      </c>
      <c r="H1898" t="s">
        <v>3138</v>
      </c>
      <c r="I1898" t="s">
        <v>5</v>
      </c>
      <c r="J1898">
        <v>19.168000000000003</v>
      </c>
    </row>
    <row r="1899" spans="2:10">
      <c r="B1899" s="13" t="s">
        <v>3114</v>
      </c>
      <c r="C1899" s="13">
        <v>419.4</v>
      </c>
      <c r="H1899" t="s">
        <v>3136</v>
      </c>
      <c r="I1899" t="s">
        <v>5</v>
      </c>
      <c r="J1899">
        <v>419.4</v>
      </c>
    </row>
    <row r="1900" spans="2:10">
      <c r="B1900" s="13" t="s">
        <v>3115</v>
      </c>
      <c r="C1900" s="13">
        <v>90.801000000000002</v>
      </c>
      <c r="H1900" t="s">
        <v>3136</v>
      </c>
      <c r="I1900" t="s">
        <v>3</v>
      </c>
      <c r="J1900">
        <v>90.801000000000002</v>
      </c>
    </row>
    <row r="1901" spans="2:10">
      <c r="B1901" s="13" t="s">
        <v>3115</v>
      </c>
      <c r="C1901" s="13">
        <v>181.76400000000001</v>
      </c>
      <c r="H1901" t="s">
        <v>3136</v>
      </c>
      <c r="I1901" t="s">
        <v>3</v>
      </c>
      <c r="J1901">
        <v>181.76400000000001</v>
      </c>
    </row>
    <row r="1902" spans="2:10">
      <c r="B1902" s="13" t="s">
        <v>3122</v>
      </c>
      <c r="C1902" s="13">
        <v>5.56</v>
      </c>
      <c r="H1902" t="s">
        <v>3136</v>
      </c>
      <c r="I1902" t="s">
        <v>5</v>
      </c>
      <c r="J1902">
        <v>5.56</v>
      </c>
    </row>
    <row r="1903" spans="2:10">
      <c r="B1903" s="13" t="s">
        <v>3116</v>
      </c>
      <c r="C1903" s="13">
        <v>57.567999999999998</v>
      </c>
      <c r="H1903" t="s">
        <v>3138</v>
      </c>
      <c r="I1903" t="s">
        <v>4</v>
      </c>
      <c r="J1903">
        <v>57.567999999999998</v>
      </c>
    </row>
    <row r="1904" spans="2:10">
      <c r="B1904" s="13" t="s">
        <v>3128</v>
      </c>
      <c r="C1904" s="13">
        <v>239.66599999999997</v>
      </c>
      <c r="H1904" t="s">
        <v>3138</v>
      </c>
      <c r="I1904" t="s">
        <v>3</v>
      </c>
      <c r="J1904">
        <v>239.66599999999997</v>
      </c>
    </row>
    <row r="1905" spans="2:10">
      <c r="B1905" s="13" t="s">
        <v>3117</v>
      </c>
      <c r="C1905" s="13">
        <v>59.76</v>
      </c>
      <c r="H1905" t="s">
        <v>3135</v>
      </c>
      <c r="I1905" t="s">
        <v>5</v>
      </c>
      <c r="J1905">
        <v>59.76</v>
      </c>
    </row>
    <row r="1906" spans="2:10">
      <c r="B1906" s="13" t="s">
        <v>3118</v>
      </c>
      <c r="C1906" s="13">
        <v>108.08</v>
      </c>
      <c r="H1906" t="s">
        <v>3135</v>
      </c>
      <c r="I1906" t="s">
        <v>5</v>
      </c>
      <c r="J1906">
        <v>108.08</v>
      </c>
    </row>
    <row r="1907" spans="2:10">
      <c r="B1907" s="13" t="s">
        <v>3118</v>
      </c>
      <c r="C1907" s="13">
        <v>9.5400000000000009</v>
      </c>
      <c r="H1907" t="s">
        <v>3135</v>
      </c>
      <c r="I1907" t="s">
        <v>5</v>
      </c>
      <c r="J1907">
        <v>9.5400000000000009</v>
      </c>
    </row>
    <row r="1908" spans="2:10">
      <c r="B1908" s="13" t="s">
        <v>3117</v>
      </c>
      <c r="C1908" s="13">
        <v>42.76</v>
      </c>
      <c r="H1908" t="s">
        <v>3136</v>
      </c>
      <c r="I1908" t="s">
        <v>5</v>
      </c>
      <c r="J1908">
        <v>42.76</v>
      </c>
    </row>
    <row r="1909" spans="2:10">
      <c r="B1909" s="13" t="s">
        <v>3118</v>
      </c>
      <c r="C1909" s="13">
        <v>2.78</v>
      </c>
      <c r="H1909" t="s">
        <v>3135</v>
      </c>
      <c r="I1909" t="s">
        <v>5</v>
      </c>
      <c r="J1909">
        <v>2.78</v>
      </c>
    </row>
    <row r="1910" spans="2:10">
      <c r="B1910" s="13" t="s">
        <v>3117</v>
      </c>
      <c r="C1910" s="13">
        <v>99.87</v>
      </c>
      <c r="H1910" t="s">
        <v>3138</v>
      </c>
      <c r="I1910" t="s">
        <v>5</v>
      </c>
      <c r="J1910">
        <v>99.87</v>
      </c>
    </row>
    <row r="1911" spans="2:10">
      <c r="B1911" s="13" t="s">
        <v>3124</v>
      </c>
      <c r="C1911" s="13">
        <v>9.7799999999999994</v>
      </c>
      <c r="H1911" t="s">
        <v>3138</v>
      </c>
      <c r="I1911" t="s">
        <v>5</v>
      </c>
      <c r="J1911">
        <v>9.7799999999999994</v>
      </c>
    </row>
    <row r="1912" spans="2:10">
      <c r="B1912" s="13" t="s">
        <v>3114</v>
      </c>
      <c r="C1912" s="13">
        <v>59.94</v>
      </c>
      <c r="H1912" t="s">
        <v>3138</v>
      </c>
      <c r="I1912" t="s">
        <v>5</v>
      </c>
      <c r="J1912">
        <v>59.94</v>
      </c>
    </row>
    <row r="1913" spans="2:10">
      <c r="B1913" s="13" t="s">
        <v>3114</v>
      </c>
      <c r="C1913" s="13">
        <v>45.36</v>
      </c>
      <c r="H1913" t="s">
        <v>3138</v>
      </c>
      <c r="I1913" t="s">
        <v>5</v>
      </c>
      <c r="J1913">
        <v>45.36</v>
      </c>
    </row>
    <row r="1914" spans="2:10">
      <c r="B1914" s="13" t="s">
        <v>3114</v>
      </c>
      <c r="C1914" s="13">
        <v>26.400000000000002</v>
      </c>
      <c r="H1914" t="s">
        <v>3138</v>
      </c>
      <c r="I1914" t="s">
        <v>5</v>
      </c>
      <c r="J1914">
        <v>26.400000000000002</v>
      </c>
    </row>
    <row r="1915" spans="2:10">
      <c r="B1915" s="13" t="s">
        <v>3121</v>
      </c>
      <c r="C1915" s="13">
        <v>41.4</v>
      </c>
      <c r="H1915" t="s">
        <v>3138</v>
      </c>
      <c r="I1915" t="s">
        <v>5</v>
      </c>
      <c r="J1915">
        <v>41.4</v>
      </c>
    </row>
    <row r="1916" spans="2:10">
      <c r="B1916" s="13" t="s">
        <v>3120</v>
      </c>
      <c r="C1916" s="13">
        <v>16.95</v>
      </c>
      <c r="H1916" t="s">
        <v>3138</v>
      </c>
      <c r="I1916" t="s">
        <v>4</v>
      </c>
      <c r="J1916">
        <v>16.95</v>
      </c>
    </row>
    <row r="1917" spans="2:10">
      <c r="B1917" s="13" t="s">
        <v>3122</v>
      </c>
      <c r="C1917" s="13">
        <v>22.959999999999997</v>
      </c>
      <c r="H1917" t="s">
        <v>3135</v>
      </c>
      <c r="I1917" t="s">
        <v>5</v>
      </c>
      <c r="J1917">
        <v>22.959999999999997</v>
      </c>
    </row>
    <row r="1918" spans="2:10">
      <c r="B1918" s="13" t="s">
        <v>3120</v>
      </c>
      <c r="C1918" s="13">
        <v>1099.5</v>
      </c>
      <c r="H1918" t="s">
        <v>3138</v>
      </c>
      <c r="I1918" t="s">
        <v>4</v>
      </c>
      <c r="J1918">
        <v>1099.5</v>
      </c>
    </row>
    <row r="1919" spans="2:10">
      <c r="B1919" s="13" t="s">
        <v>3128</v>
      </c>
      <c r="C1919" s="13">
        <v>87.210000000000008</v>
      </c>
      <c r="H1919" t="s">
        <v>3136</v>
      </c>
      <c r="I1919" t="s">
        <v>3</v>
      </c>
      <c r="J1919">
        <v>87.210000000000008</v>
      </c>
    </row>
    <row r="1920" spans="2:10">
      <c r="B1920" s="13" t="s">
        <v>3114</v>
      </c>
      <c r="C1920" s="13">
        <v>15.552000000000003</v>
      </c>
      <c r="H1920" t="s">
        <v>3136</v>
      </c>
      <c r="I1920" t="s">
        <v>5</v>
      </c>
      <c r="J1920">
        <v>15.552000000000003</v>
      </c>
    </row>
    <row r="1921" spans="2:10">
      <c r="B1921" s="13" t="s">
        <v>3116</v>
      </c>
      <c r="C1921" s="13">
        <v>683.98799999999994</v>
      </c>
      <c r="H1921" t="s">
        <v>3136</v>
      </c>
      <c r="I1921" t="s">
        <v>4</v>
      </c>
      <c r="J1921">
        <v>683.98799999999994</v>
      </c>
    </row>
    <row r="1922" spans="2:10">
      <c r="B1922" s="13" t="s">
        <v>3117</v>
      </c>
      <c r="C1922" s="13">
        <v>13.392000000000001</v>
      </c>
      <c r="H1922" t="s">
        <v>3136</v>
      </c>
      <c r="I1922" t="s">
        <v>5</v>
      </c>
      <c r="J1922">
        <v>13.392000000000001</v>
      </c>
    </row>
    <row r="1923" spans="2:10">
      <c r="B1923" s="13" t="s">
        <v>3120</v>
      </c>
      <c r="C1923" s="13">
        <v>16.776000000000003</v>
      </c>
      <c r="H1923" t="s">
        <v>3136</v>
      </c>
      <c r="I1923" t="s">
        <v>4</v>
      </c>
      <c r="J1923">
        <v>16.776000000000003</v>
      </c>
    </row>
    <row r="1924" spans="2:10">
      <c r="B1924" s="13" t="s">
        <v>3120</v>
      </c>
      <c r="C1924" s="13">
        <v>527.91999999999996</v>
      </c>
      <c r="H1924" t="s">
        <v>3136</v>
      </c>
      <c r="I1924" t="s">
        <v>4</v>
      </c>
      <c r="J1924">
        <v>527.91999999999996</v>
      </c>
    </row>
    <row r="1925" spans="2:10">
      <c r="B1925" s="13" t="s">
        <v>3116</v>
      </c>
      <c r="C1925" s="13">
        <v>95.992000000000004</v>
      </c>
      <c r="H1925" t="s">
        <v>3137</v>
      </c>
      <c r="I1925" t="s">
        <v>4</v>
      </c>
      <c r="J1925">
        <v>95.992000000000004</v>
      </c>
    </row>
    <row r="1926" spans="2:10">
      <c r="B1926" s="13" t="s">
        <v>3121</v>
      </c>
      <c r="C1926" s="13">
        <v>13.216000000000001</v>
      </c>
      <c r="H1926" t="s">
        <v>3137</v>
      </c>
      <c r="I1926" t="s">
        <v>5</v>
      </c>
      <c r="J1926">
        <v>13.216000000000001</v>
      </c>
    </row>
    <row r="1927" spans="2:10">
      <c r="B1927" s="13" t="s">
        <v>3120</v>
      </c>
      <c r="C1927" s="13">
        <v>435.84000000000003</v>
      </c>
      <c r="H1927" t="s">
        <v>3138</v>
      </c>
      <c r="I1927" t="s">
        <v>4</v>
      </c>
      <c r="J1927">
        <v>435.84000000000003</v>
      </c>
    </row>
    <row r="1928" spans="2:10">
      <c r="B1928" s="13" t="s">
        <v>3122</v>
      </c>
      <c r="C1928" s="13">
        <v>5.88</v>
      </c>
      <c r="H1928" t="s">
        <v>3138</v>
      </c>
      <c r="I1928" t="s">
        <v>5</v>
      </c>
      <c r="J1928">
        <v>5.88</v>
      </c>
    </row>
    <row r="1929" spans="2:10">
      <c r="B1929" s="13" t="s">
        <v>3124</v>
      </c>
      <c r="C1929" s="13">
        <v>42.68</v>
      </c>
      <c r="H1929" t="s">
        <v>3135</v>
      </c>
      <c r="I1929" t="s">
        <v>5</v>
      </c>
      <c r="J1929">
        <v>42.68</v>
      </c>
    </row>
    <row r="1930" spans="2:10">
      <c r="B1930" s="13" t="s">
        <v>3120</v>
      </c>
      <c r="C1930" s="13">
        <v>299.96999999999997</v>
      </c>
      <c r="H1930" t="s">
        <v>3135</v>
      </c>
      <c r="I1930" t="s">
        <v>4</v>
      </c>
      <c r="J1930">
        <v>299.96999999999997</v>
      </c>
    </row>
    <row r="1931" spans="2:10">
      <c r="B1931" s="13" t="s">
        <v>3125</v>
      </c>
      <c r="C1931" s="13">
        <v>262.24</v>
      </c>
      <c r="H1931" t="s">
        <v>3135</v>
      </c>
      <c r="I1931" t="s">
        <v>5</v>
      </c>
      <c r="J1931">
        <v>262.24</v>
      </c>
    </row>
    <row r="1932" spans="2:10">
      <c r="B1932" s="13" t="s">
        <v>3118</v>
      </c>
      <c r="C1932" s="13">
        <v>234.36</v>
      </c>
      <c r="H1932" t="s">
        <v>3135</v>
      </c>
      <c r="I1932" t="s">
        <v>5</v>
      </c>
      <c r="J1932">
        <v>234.36</v>
      </c>
    </row>
    <row r="1933" spans="2:10">
      <c r="B1933" s="13" t="s">
        <v>3114</v>
      </c>
      <c r="C1933" s="13">
        <v>20.736000000000004</v>
      </c>
      <c r="H1933" t="s">
        <v>3137</v>
      </c>
      <c r="I1933" t="s">
        <v>5</v>
      </c>
      <c r="J1933">
        <v>20.736000000000004</v>
      </c>
    </row>
    <row r="1934" spans="2:10">
      <c r="B1934" s="13" t="s">
        <v>3119</v>
      </c>
      <c r="C1934" s="13">
        <v>21.12</v>
      </c>
      <c r="H1934" t="s">
        <v>3138</v>
      </c>
      <c r="I1934" t="s">
        <v>3</v>
      </c>
      <c r="J1934">
        <v>21.12</v>
      </c>
    </row>
    <row r="1935" spans="2:10">
      <c r="B1935" s="13" t="s">
        <v>3129</v>
      </c>
      <c r="C1935" s="13">
        <v>17.22</v>
      </c>
      <c r="H1935" t="s">
        <v>3138</v>
      </c>
      <c r="I1935" t="s">
        <v>5</v>
      </c>
      <c r="J1935">
        <v>17.22</v>
      </c>
    </row>
    <row r="1936" spans="2:10">
      <c r="B1936" s="13" t="s">
        <v>3117</v>
      </c>
      <c r="C1936" s="13">
        <v>226.56</v>
      </c>
      <c r="H1936" t="s">
        <v>3138</v>
      </c>
      <c r="I1936" t="s">
        <v>5</v>
      </c>
      <c r="J1936">
        <v>226.56</v>
      </c>
    </row>
    <row r="1937" spans="2:10">
      <c r="B1937" s="13" t="s">
        <v>3116</v>
      </c>
      <c r="C1937" s="13">
        <v>107.88</v>
      </c>
      <c r="H1937" t="s">
        <v>3138</v>
      </c>
      <c r="I1937" t="s">
        <v>4</v>
      </c>
      <c r="J1937">
        <v>107.88</v>
      </c>
    </row>
    <row r="1938" spans="2:10">
      <c r="B1938" s="13" t="s">
        <v>3128</v>
      </c>
      <c r="C1938" s="13">
        <v>240.78400000000002</v>
      </c>
      <c r="H1938" t="s">
        <v>3136</v>
      </c>
      <c r="I1938" t="s">
        <v>3</v>
      </c>
      <c r="J1938">
        <v>240.78400000000002</v>
      </c>
    </row>
    <row r="1939" spans="2:10">
      <c r="B1939" s="13" t="s">
        <v>3117</v>
      </c>
      <c r="C1939" s="13">
        <v>360.38</v>
      </c>
      <c r="H1939" t="s">
        <v>3137</v>
      </c>
      <c r="I1939" t="s">
        <v>5</v>
      </c>
      <c r="J1939">
        <v>360.38</v>
      </c>
    </row>
    <row r="1940" spans="2:10">
      <c r="B1940" s="13" t="s">
        <v>3114</v>
      </c>
      <c r="C1940" s="13">
        <v>13.56</v>
      </c>
      <c r="H1940" t="s">
        <v>3137</v>
      </c>
      <c r="I1940" t="s">
        <v>5</v>
      </c>
      <c r="J1940">
        <v>13.56</v>
      </c>
    </row>
    <row r="1941" spans="2:10">
      <c r="B1941" s="13" t="s">
        <v>3116</v>
      </c>
      <c r="C1941" s="13">
        <v>552</v>
      </c>
      <c r="H1941" t="s">
        <v>3138</v>
      </c>
      <c r="I1941" t="s">
        <v>4</v>
      </c>
      <c r="J1941">
        <v>552</v>
      </c>
    </row>
    <row r="1942" spans="2:10">
      <c r="B1942" s="13" t="s">
        <v>3114</v>
      </c>
      <c r="C1942" s="13">
        <v>20.544000000000004</v>
      </c>
      <c r="H1942" t="s">
        <v>3136</v>
      </c>
      <c r="I1942" t="s">
        <v>5</v>
      </c>
      <c r="J1942">
        <v>20.544000000000004</v>
      </c>
    </row>
    <row r="1943" spans="2:10">
      <c r="B1943" s="13" t="s">
        <v>3118</v>
      </c>
      <c r="C1943" s="13">
        <v>2357.4880000000003</v>
      </c>
      <c r="H1943" t="s">
        <v>3138</v>
      </c>
      <c r="I1943" t="s">
        <v>5</v>
      </c>
      <c r="J1943">
        <v>2357.4880000000003</v>
      </c>
    </row>
    <row r="1944" spans="2:10">
      <c r="B1944" s="13" t="s">
        <v>3116</v>
      </c>
      <c r="C1944" s="13">
        <v>369.54399999999998</v>
      </c>
      <c r="H1944" t="s">
        <v>3138</v>
      </c>
      <c r="I1944" t="s">
        <v>4</v>
      </c>
      <c r="J1944">
        <v>369.54399999999998</v>
      </c>
    </row>
    <row r="1945" spans="2:10">
      <c r="B1945" s="13" t="s">
        <v>3115</v>
      </c>
      <c r="C1945" s="13">
        <v>184.75200000000001</v>
      </c>
      <c r="H1945" t="s">
        <v>3138</v>
      </c>
      <c r="I1945" t="s">
        <v>3</v>
      </c>
      <c r="J1945">
        <v>184.75200000000001</v>
      </c>
    </row>
    <row r="1946" spans="2:10">
      <c r="B1946" s="13" t="s">
        <v>3118</v>
      </c>
      <c r="C1946" s="13">
        <v>12.294</v>
      </c>
      <c r="H1946" t="s">
        <v>3135</v>
      </c>
      <c r="I1946" t="s">
        <v>5</v>
      </c>
      <c r="J1946">
        <v>12.294</v>
      </c>
    </row>
    <row r="1947" spans="2:10">
      <c r="B1947" s="13" t="s">
        <v>3119</v>
      </c>
      <c r="C1947" s="13">
        <v>19.760000000000002</v>
      </c>
      <c r="H1947" t="s">
        <v>3138</v>
      </c>
      <c r="I1947" t="s">
        <v>3</v>
      </c>
      <c r="J1947">
        <v>19.760000000000002</v>
      </c>
    </row>
    <row r="1948" spans="2:10">
      <c r="B1948" s="13" t="s">
        <v>3116</v>
      </c>
      <c r="C1948" s="13">
        <v>128.85000000000002</v>
      </c>
      <c r="H1948" t="s">
        <v>3136</v>
      </c>
      <c r="I1948" t="s">
        <v>4</v>
      </c>
      <c r="J1948">
        <v>128.85000000000002</v>
      </c>
    </row>
    <row r="1949" spans="2:10">
      <c r="B1949" s="13" t="s">
        <v>3119</v>
      </c>
      <c r="C1949" s="13">
        <v>127.94999999999999</v>
      </c>
      <c r="H1949" t="s">
        <v>3135</v>
      </c>
      <c r="I1949" t="s">
        <v>3</v>
      </c>
      <c r="J1949">
        <v>127.94999999999999</v>
      </c>
    </row>
    <row r="1950" spans="2:10">
      <c r="B1950" s="13" t="s">
        <v>3120</v>
      </c>
      <c r="C1950" s="13">
        <v>69.98</v>
      </c>
      <c r="H1950" t="s">
        <v>3136</v>
      </c>
      <c r="I1950" t="s">
        <v>4</v>
      </c>
      <c r="J1950">
        <v>69.98</v>
      </c>
    </row>
    <row r="1951" spans="2:10">
      <c r="B1951" s="13" t="s">
        <v>3125</v>
      </c>
      <c r="C1951" s="13">
        <v>646.27200000000005</v>
      </c>
      <c r="H1951" t="s">
        <v>3136</v>
      </c>
      <c r="I1951" t="s">
        <v>5</v>
      </c>
      <c r="J1951">
        <v>646.27200000000005</v>
      </c>
    </row>
    <row r="1952" spans="2:10">
      <c r="B1952" s="13" t="s">
        <v>3114</v>
      </c>
      <c r="C1952" s="13">
        <v>10.368000000000002</v>
      </c>
      <c r="H1952" t="s">
        <v>3136</v>
      </c>
      <c r="I1952" t="s">
        <v>5</v>
      </c>
      <c r="J1952">
        <v>10.368000000000002</v>
      </c>
    </row>
    <row r="1953" spans="2:10">
      <c r="B1953" s="13" t="s">
        <v>3123</v>
      </c>
      <c r="C1953" s="13">
        <v>8.4</v>
      </c>
      <c r="H1953" t="s">
        <v>3138</v>
      </c>
      <c r="I1953" t="s">
        <v>5</v>
      </c>
      <c r="J1953">
        <v>8.4</v>
      </c>
    </row>
    <row r="1954" spans="2:10">
      <c r="B1954" s="13" t="s">
        <v>3116</v>
      </c>
      <c r="C1954" s="13">
        <v>71.959999999999994</v>
      </c>
      <c r="H1954" t="s">
        <v>3138</v>
      </c>
      <c r="I1954" t="s">
        <v>4</v>
      </c>
      <c r="J1954">
        <v>71.959999999999994</v>
      </c>
    </row>
    <row r="1955" spans="2:10">
      <c r="B1955" s="13" t="s">
        <v>3115</v>
      </c>
      <c r="C1955" s="13">
        <v>239.24</v>
      </c>
      <c r="H1955" t="s">
        <v>3135</v>
      </c>
      <c r="I1955" t="s">
        <v>3</v>
      </c>
      <c r="J1955">
        <v>239.24</v>
      </c>
    </row>
    <row r="1956" spans="2:10">
      <c r="B1956" s="13" t="s">
        <v>3129</v>
      </c>
      <c r="C1956" s="13">
        <v>54.900000000000006</v>
      </c>
      <c r="H1956" t="s">
        <v>3136</v>
      </c>
      <c r="I1956" t="s">
        <v>5</v>
      </c>
      <c r="J1956">
        <v>54.900000000000006</v>
      </c>
    </row>
    <row r="1957" spans="2:10">
      <c r="B1957" s="13" t="s">
        <v>3116</v>
      </c>
      <c r="C1957" s="13">
        <v>859.2</v>
      </c>
      <c r="H1957" t="s">
        <v>3138</v>
      </c>
      <c r="I1957" t="s">
        <v>4</v>
      </c>
      <c r="J1957">
        <v>859.2</v>
      </c>
    </row>
    <row r="1958" spans="2:10">
      <c r="B1958" s="13" t="s">
        <v>3130</v>
      </c>
      <c r="C1958" s="13">
        <v>506.28</v>
      </c>
      <c r="H1958" t="s">
        <v>3138</v>
      </c>
      <c r="I1958" t="s">
        <v>4</v>
      </c>
      <c r="J1958">
        <v>506.28</v>
      </c>
    </row>
    <row r="1959" spans="2:10">
      <c r="B1959" s="13" t="s">
        <v>3115</v>
      </c>
      <c r="C1959" s="13">
        <v>314.35199999999998</v>
      </c>
      <c r="H1959" t="s">
        <v>3135</v>
      </c>
      <c r="I1959" t="s">
        <v>3</v>
      </c>
      <c r="J1959">
        <v>314.35199999999998</v>
      </c>
    </row>
    <row r="1960" spans="2:10">
      <c r="B1960" s="13" t="s">
        <v>3114</v>
      </c>
      <c r="C1960" s="13">
        <v>27.888000000000002</v>
      </c>
      <c r="H1960" t="s">
        <v>3135</v>
      </c>
      <c r="I1960" t="s">
        <v>5</v>
      </c>
      <c r="J1960">
        <v>27.888000000000002</v>
      </c>
    </row>
    <row r="1961" spans="2:10">
      <c r="B1961" s="13" t="s">
        <v>3115</v>
      </c>
      <c r="C1961" s="13">
        <v>518.27200000000005</v>
      </c>
      <c r="H1961" t="s">
        <v>3138</v>
      </c>
      <c r="I1961" t="s">
        <v>3</v>
      </c>
      <c r="J1961">
        <v>518.27200000000005</v>
      </c>
    </row>
    <row r="1962" spans="2:10">
      <c r="B1962" s="13" t="s">
        <v>3119</v>
      </c>
      <c r="C1962" s="13">
        <v>6.98</v>
      </c>
      <c r="H1962" t="s">
        <v>3138</v>
      </c>
      <c r="I1962" t="s">
        <v>3</v>
      </c>
      <c r="J1962">
        <v>6.98</v>
      </c>
    </row>
    <row r="1963" spans="2:10">
      <c r="B1963" s="13" t="s">
        <v>3130</v>
      </c>
      <c r="C1963" s="13">
        <v>343.20000000000005</v>
      </c>
      <c r="H1963" t="s">
        <v>3138</v>
      </c>
      <c r="I1963" t="s">
        <v>4</v>
      </c>
      <c r="J1963">
        <v>343.20000000000005</v>
      </c>
    </row>
    <row r="1964" spans="2:10">
      <c r="B1964" s="13" t="s">
        <v>3121</v>
      </c>
      <c r="C1964" s="13">
        <v>17.544</v>
      </c>
      <c r="H1964" t="s">
        <v>3136</v>
      </c>
      <c r="I1964" t="s">
        <v>5</v>
      </c>
      <c r="J1964">
        <v>17.544</v>
      </c>
    </row>
    <row r="1965" spans="2:10">
      <c r="B1965" s="13" t="s">
        <v>3118</v>
      </c>
      <c r="C1965" s="13">
        <v>153.55199999999999</v>
      </c>
      <c r="H1965" t="s">
        <v>3138</v>
      </c>
      <c r="I1965" t="s">
        <v>5</v>
      </c>
      <c r="J1965">
        <v>153.55199999999999</v>
      </c>
    </row>
    <row r="1966" spans="2:10">
      <c r="B1966" s="13" t="s">
        <v>3117</v>
      </c>
      <c r="C1966" s="13">
        <v>270.62</v>
      </c>
      <c r="H1966" t="s">
        <v>3138</v>
      </c>
      <c r="I1966" t="s">
        <v>5</v>
      </c>
      <c r="J1966">
        <v>270.62</v>
      </c>
    </row>
    <row r="1967" spans="2:10">
      <c r="B1967" s="13" t="s">
        <v>3117</v>
      </c>
      <c r="C1967" s="13">
        <v>151.05600000000001</v>
      </c>
      <c r="H1967" t="s">
        <v>3137</v>
      </c>
      <c r="I1967" t="s">
        <v>5</v>
      </c>
      <c r="J1967">
        <v>151.05600000000001</v>
      </c>
    </row>
    <row r="1968" spans="2:10">
      <c r="B1968" s="13" t="s">
        <v>3118</v>
      </c>
      <c r="C1968" s="13">
        <v>1.1880000000000002</v>
      </c>
      <c r="H1968" t="s">
        <v>3138</v>
      </c>
      <c r="I1968" t="s">
        <v>5</v>
      </c>
      <c r="J1968">
        <v>1.1880000000000002</v>
      </c>
    </row>
    <row r="1969" spans="2:10">
      <c r="B1969" s="13" t="s">
        <v>3115</v>
      </c>
      <c r="C1969" s="13">
        <v>272.64600000000002</v>
      </c>
      <c r="H1969" t="s">
        <v>3136</v>
      </c>
      <c r="I1969" t="s">
        <v>3</v>
      </c>
      <c r="J1969">
        <v>272.64600000000002</v>
      </c>
    </row>
    <row r="1970" spans="2:10">
      <c r="B1970" s="13" t="s">
        <v>3120</v>
      </c>
      <c r="C1970" s="13">
        <v>212.8</v>
      </c>
      <c r="H1970" t="s">
        <v>3136</v>
      </c>
      <c r="I1970" t="s">
        <v>4</v>
      </c>
      <c r="J1970">
        <v>212.8</v>
      </c>
    </row>
    <row r="1971" spans="2:10">
      <c r="B1971" s="13" t="s">
        <v>3114</v>
      </c>
      <c r="C1971" s="13">
        <v>38.520000000000003</v>
      </c>
      <c r="H1971" t="s">
        <v>3136</v>
      </c>
      <c r="I1971" t="s">
        <v>5</v>
      </c>
      <c r="J1971">
        <v>38.520000000000003</v>
      </c>
    </row>
    <row r="1972" spans="2:10">
      <c r="B1972" s="13" t="s">
        <v>3120</v>
      </c>
      <c r="C1972" s="13">
        <v>72.64</v>
      </c>
      <c r="H1972" t="s">
        <v>3136</v>
      </c>
      <c r="I1972" t="s">
        <v>4</v>
      </c>
      <c r="J1972">
        <v>72.64</v>
      </c>
    </row>
    <row r="1973" spans="2:10">
      <c r="B1973" s="13" t="s">
        <v>3117</v>
      </c>
      <c r="C1973" s="13">
        <v>45.4</v>
      </c>
      <c r="H1973" t="s">
        <v>3136</v>
      </c>
      <c r="I1973" t="s">
        <v>5</v>
      </c>
      <c r="J1973">
        <v>45.4</v>
      </c>
    </row>
    <row r="1974" spans="2:10">
      <c r="B1974" s="13" t="s">
        <v>3114</v>
      </c>
      <c r="C1974" s="13">
        <v>13.76</v>
      </c>
      <c r="H1974" t="s">
        <v>3136</v>
      </c>
      <c r="I1974" t="s">
        <v>5</v>
      </c>
      <c r="J1974">
        <v>13.76</v>
      </c>
    </row>
    <row r="1975" spans="2:10">
      <c r="B1975" s="13" t="s">
        <v>3115</v>
      </c>
      <c r="C1975" s="13">
        <v>80.991</v>
      </c>
      <c r="H1975" t="s">
        <v>3136</v>
      </c>
      <c r="I1975" t="s">
        <v>3</v>
      </c>
      <c r="J1975">
        <v>80.991</v>
      </c>
    </row>
    <row r="1976" spans="2:10">
      <c r="B1976" s="13" t="s">
        <v>3118</v>
      </c>
      <c r="C1976" s="13">
        <v>11.784000000000001</v>
      </c>
      <c r="H1976" t="s">
        <v>3136</v>
      </c>
      <c r="I1976" t="s">
        <v>5</v>
      </c>
      <c r="J1976">
        <v>11.784000000000001</v>
      </c>
    </row>
    <row r="1977" spans="2:10">
      <c r="B1977" s="13" t="s">
        <v>3123</v>
      </c>
      <c r="C1977" s="13">
        <v>4.3600000000000003</v>
      </c>
      <c r="H1977" t="s">
        <v>3136</v>
      </c>
      <c r="I1977" t="s">
        <v>5</v>
      </c>
      <c r="J1977">
        <v>4.3600000000000003</v>
      </c>
    </row>
    <row r="1978" spans="2:10">
      <c r="B1978" s="13" t="s">
        <v>3115</v>
      </c>
      <c r="C1978" s="13">
        <v>2888.1270000000004</v>
      </c>
      <c r="H1978" t="s">
        <v>3136</v>
      </c>
      <c r="I1978" t="s">
        <v>3</v>
      </c>
      <c r="J1978">
        <v>2888.1270000000004</v>
      </c>
    </row>
    <row r="1979" spans="2:10">
      <c r="B1979" s="13" t="s">
        <v>3116</v>
      </c>
      <c r="C1979" s="13">
        <v>1299.6600000000001</v>
      </c>
      <c r="H1979" t="s">
        <v>3136</v>
      </c>
      <c r="I1979" t="s">
        <v>4</v>
      </c>
      <c r="J1979">
        <v>1299.6600000000001</v>
      </c>
    </row>
    <row r="1980" spans="2:10">
      <c r="B1980" s="13" t="s">
        <v>3115</v>
      </c>
      <c r="C1980" s="13">
        <v>2254.41</v>
      </c>
      <c r="H1980" t="s">
        <v>3136</v>
      </c>
      <c r="I1980" t="s">
        <v>3</v>
      </c>
      <c r="J1980">
        <v>2254.41</v>
      </c>
    </row>
    <row r="1981" spans="2:10">
      <c r="B1981" s="13" t="s">
        <v>3116</v>
      </c>
      <c r="C1981" s="13">
        <v>104.85000000000001</v>
      </c>
      <c r="H1981" t="s">
        <v>3136</v>
      </c>
      <c r="I1981" t="s">
        <v>4</v>
      </c>
      <c r="J1981">
        <v>104.85000000000001</v>
      </c>
    </row>
    <row r="1982" spans="2:10">
      <c r="B1982" s="13" t="s">
        <v>3120</v>
      </c>
      <c r="C1982" s="13">
        <v>59.97</v>
      </c>
      <c r="H1982" t="s">
        <v>3136</v>
      </c>
      <c r="I1982" t="s">
        <v>4</v>
      </c>
      <c r="J1982">
        <v>59.97</v>
      </c>
    </row>
    <row r="1983" spans="2:10">
      <c r="B1983" s="13" t="s">
        <v>3126</v>
      </c>
      <c r="C1983" s="13">
        <v>314.53199999999998</v>
      </c>
      <c r="H1983" t="s">
        <v>3136</v>
      </c>
      <c r="I1983" t="s">
        <v>3</v>
      </c>
      <c r="J1983">
        <v>314.53199999999998</v>
      </c>
    </row>
    <row r="1984" spans="2:10">
      <c r="B1984" s="13" t="s">
        <v>3116</v>
      </c>
      <c r="C1984" s="13">
        <v>191.976</v>
      </c>
      <c r="H1984" t="s">
        <v>3138</v>
      </c>
      <c r="I1984" t="s">
        <v>4</v>
      </c>
      <c r="J1984">
        <v>191.976</v>
      </c>
    </row>
    <row r="1985" spans="2:10">
      <c r="B1985" s="13" t="s">
        <v>3122</v>
      </c>
      <c r="C1985" s="13">
        <v>23.832000000000001</v>
      </c>
      <c r="H1985" t="s">
        <v>3138</v>
      </c>
      <c r="I1985" t="s">
        <v>5</v>
      </c>
      <c r="J1985">
        <v>23.832000000000001</v>
      </c>
    </row>
    <row r="1986" spans="2:10">
      <c r="B1986" s="13" t="s">
        <v>3119</v>
      </c>
      <c r="C1986" s="13">
        <v>409.21600000000001</v>
      </c>
      <c r="H1986" t="s">
        <v>3138</v>
      </c>
      <c r="I1986" t="s">
        <v>3</v>
      </c>
      <c r="J1986">
        <v>409.21600000000001</v>
      </c>
    </row>
    <row r="1987" spans="2:10">
      <c r="B1987" s="13" t="s">
        <v>3128</v>
      </c>
      <c r="C1987" s="13">
        <v>72.588000000000008</v>
      </c>
      <c r="H1987" t="s">
        <v>3138</v>
      </c>
      <c r="I1987" t="s">
        <v>3</v>
      </c>
      <c r="J1987">
        <v>72.588000000000008</v>
      </c>
    </row>
    <row r="1988" spans="2:10">
      <c r="B1988" s="13" t="s">
        <v>3117</v>
      </c>
      <c r="C1988" s="13">
        <v>61.567999999999998</v>
      </c>
      <c r="H1988" t="s">
        <v>3137</v>
      </c>
      <c r="I1988" t="s">
        <v>5</v>
      </c>
      <c r="J1988">
        <v>61.567999999999998</v>
      </c>
    </row>
    <row r="1989" spans="2:10">
      <c r="B1989" s="13" t="s">
        <v>3120</v>
      </c>
      <c r="C1989" s="13">
        <v>44.75</v>
      </c>
      <c r="H1989" t="s">
        <v>3138</v>
      </c>
      <c r="I1989" t="s">
        <v>4</v>
      </c>
      <c r="J1989">
        <v>44.75</v>
      </c>
    </row>
    <row r="1990" spans="2:10">
      <c r="B1990" s="13" t="s">
        <v>3114</v>
      </c>
      <c r="C1990" s="13">
        <v>11.96</v>
      </c>
      <c r="H1990" t="s">
        <v>3138</v>
      </c>
      <c r="I1990" t="s">
        <v>5</v>
      </c>
      <c r="J1990">
        <v>11.96</v>
      </c>
    </row>
    <row r="1991" spans="2:10">
      <c r="B1991" s="13" t="s">
        <v>3118</v>
      </c>
      <c r="C1991" s="13">
        <v>3.9119999999999999</v>
      </c>
      <c r="H1991" t="s">
        <v>3138</v>
      </c>
      <c r="I1991" t="s">
        <v>5</v>
      </c>
      <c r="J1991">
        <v>3.9119999999999999</v>
      </c>
    </row>
    <row r="1992" spans="2:10">
      <c r="B1992" s="13" t="s">
        <v>3120</v>
      </c>
      <c r="C1992" s="13">
        <v>53.25</v>
      </c>
      <c r="H1992" t="s">
        <v>3135</v>
      </c>
      <c r="I1992" t="s">
        <v>4</v>
      </c>
      <c r="J1992">
        <v>53.25</v>
      </c>
    </row>
    <row r="1993" spans="2:10">
      <c r="B1993" s="13" t="s">
        <v>3123</v>
      </c>
      <c r="C1993" s="13">
        <v>3.76</v>
      </c>
      <c r="H1993" t="s">
        <v>3135</v>
      </c>
      <c r="I1993" t="s">
        <v>5</v>
      </c>
      <c r="J1993">
        <v>3.76</v>
      </c>
    </row>
    <row r="1994" spans="2:10">
      <c r="B1994" s="13" t="s">
        <v>3114</v>
      </c>
      <c r="C1994" s="13">
        <v>163.96</v>
      </c>
      <c r="H1994" t="s">
        <v>3135</v>
      </c>
      <c r="I1994" t="s">
        <v>5</v>
      </c>
      <c r="J1994">
        <v>163.96</v>
      </c>
    </row>
    <row r="1995" spans="2:10">
      <c r="B1995" s="13" t="s">
        <v>3114</v>
      </c>
      <c r="C1995" s="13">
        <v>274.8</v>
      </c>
      <c r="H1995" t="s">
        <v>3136</v>
      </c>
      <c r="I1995" t="s">
        <v>5</v>
      </c>
      <c r="J1995">
        <v>274.8</v>
      </c>
    </row>
    <row r="1996" spans="2:10">
      <c r="B1996" s="13" t="s">
        <v>3117</v>
      </c>
      <c r="C1996" s="13">
        <v>195.64</v>
      </c>
      <c r="H1996" t="s">
        <v>3136</v>
      </c>
      <c r="I1996" t="s">
        <v>5</v>
      </c>
      <c r="J1996">
        <v>195.64</v>
      </c>
    </row>
    <row r="1997" spans="2:10">
      <c r="B1997" s="13" t="s">
        <v>3116</v>
      </c>
      <c r="C1997" s="13">
        <v>257.98</v>
      </c>
      <c r="H1997" t="s">
        <v>3136</v>
      </c>
      <c r="I1997" t="s">
        <v>4</v>
      </c>
      <c r="J1997">
        <v>257.98</v>
      </c>
    </row>
    <row r="1998" spans="2:10">
      <c r="B1998" s="13" t="s">
        <v>3122</v>
      </c>
      <c r="C1998" s="13">
        <v>119.03999999999999</v>
      </c>
      <c r="H1998" t="s">
        <v>3136</v>
      </c>
      <c r="I1998" t="s">
        <v>5</v>
      </c>
      <c r="J1998">
        <v>119.03999999999999</v>
      </c>
    </row>
    <row r="1999" spans="2:10">
      <c r="B1999" s="13" t="s">
        <v>3114</v>
      </c>
      <c r="C1999" s="13">
        <v>20.07</v>
      </c>
      <c r="H1999" t="s">
        <v>3137</v>
      </c>
      <c r="I1999" t="s">
        <v>5</v>
      </c>
      <c r="J1999">
        <v>20.07</v>
      </c>
    </row>
    <row r="2000" spans="2:10">
      <c r="B2000" s="13" t="s">
        <v>3122</v>
      </c>
      <c r="C2000" s="13">
        <v>11.76</v>
      </c>
      <c r="H2000" t="s">
        <v>3138</v>
      </c>
      <c r="I2000" t="s">
        <v>5</v>
      </c>
      <c r="J2000">
        <v>11.76</v>
      </c>
    </row>
    <row r="2001" spans="2:10">
      <c r="B2001" s="13" t="s">
        <v>3118</v>
      </c>
      <c r="C2001" s="13">
        <v>40.736000000000004</v>
      </c>
      <c r="H2001" t="s">
        <v>3138</v>
      </c>
      <c r="I2001" t="s">
        <v>5</v>
      </c>
      <c r="J2001">
        <v>40.736000000000004</v>
      </c>
    </row>
    <row r="2002" spans="2:10">
      <c r="B2002" s="13" t="s">
        <v>3115</v>
      </c>
      <c r="C2002" s="13">
        <v>340.70400000000006</v>
      </c>
      <c r="H2002" t="s">
        <v>3138</v>
      </c>
      <c r="I2002" t="s">
        <v>3</v>
      </c>
      <c r="J2002">
        <v>340.70400000000006</v>
      </c>
    </row>
    <row r="2003" spans="2:10">
      <c r="B2003" s="13" t="s">
        <v>3117</v>
      </c>
      <c r="C2003" s="13">
        <v>87.92</v>
      </c>
      <c r="H2003" t="s">
        <v>3138</v>
      </c>
      <c r="I2003" t="s">
        <v>5</v>
      </c>
      <c r="J2003">
        <v>87.92</v>
      </c>
    </row>
    <row r="2004" spans="2:10">
      <c r="B2004" s="13" t="s">
        <v>3119</v>
      </c>
      <c r="C2004" s="13">
        <v>51.967999999999996</v>
      </c>
      <c r="H2004" t="s">
        <v>3136</v>
      </c>
      <c r="I2004" t="s">
        <v>3</v>
      </c>
      <c r="J2004">
        <v>51.967999999999996</v>
      </c>
    </row>
    <row r="2005" spans="2:10">
      <c r="B2005" s="13" t="s">
        <v>3117</v>
      </c>
      <c r="C2005" s="13">
        <v>51.336000000000006</v>
      </c>
      <c r="H2005" t="s">
        <v>3136</v>
      </c>
      <c r="I2005" t="s">
        <v>5</v>
      </c>
      <c r="J2005">
        <v>51.336000000000006</v>
      </c>
    </row>
    <row r="2006" spans="2:10">
      <c r="B2006" s="13" t="s">
        <v>3117</v>
      </c>
      <c r="C2006" s="13">
        <v>332.70400000000001</v>
      </c>
      <c r="H2006" t="s">
        <v>3136</v>
      </c>
      <c r="I2006" t="s">
        <v>5</v>
      </c>
      <c r="J2006">
        <v>332.70400000000001</v>
      </c>
    </row>
    <row r="2007" spans="2:10">
      <c r="B2007" s="13" t="s">
        <v>3119</v>
      </c>
      <c r="C2007" s="13">
        <v>42.408000000000008</v>
      </c>
      <c r="H2007" t="s">
        <v>3136</v>
      </c>
      <c r="I2007" t="s">
        <v>3</v>
      </c>
      <c r="J2007">
        <v>42.408000000000008</v>
      </c>
    </row>
    <row r="2008" spans="2:10">
      <c r="B2008" s="13" t="s">
        <v>3116</v>
      </c>
      <c r="C2008" s="13">
        <v>383.84000000000003</v>
      </c>
      <c r="H2008" t="s">
        <v>3137</v>
      </c>
      <c r="I2008" t="s">
        <v>4</v>
      </c>
      <c r="J2008">
        <v>383.84000000000003</v>
      </c>
    </row>
    <row r="2009" spans="2:10">
      <c r="B2009" s="13" t="s">
        <v>3117</v>
      </c>
      <c r="C2009" s="13">
        <v>31.44</v>
      </c>
      <c r="H2009" t="s">
        <v>3138</v>
      </c>
      <c r="I2009" t="s">
        <v>5</v>
      </c>
      <c r="J2009">
        <v>31.44</v>
      </c>
    </row>
    <row r="2010" spans="2:10">
      <c r="B2010" s="13" t="s">
        <v>3114</v>
      </c>
      <c r="C2010" s="13">
        <v>25.920000000000005</v>
      </c>
      <c r="H2010" t="s">
        <v>3137</v>
      </c>
      <c r="I2010" t="s">
        <v>5</v>
      </c>
      <c r="J2010">
        <v>25.920000000000005</v>
      </c>
    </row>
    <row r="2011" spans="2:10">
      <c r="B2011" s="13" t="s">
        <v>3118</v>
      </c>
      <c r="C2011" s="13">
        <v>6.3299999999999992</v>
      </c>
      <c r="H2011" t="s">
        <v>3137</v>
      </c>
      <c r="I2011" t="s">
        <v>5</v>
      </c>
      <c r="J2011">
        <v>6.3299999999999992</v>
      </c>
    </row>
    <row r="2012" spans="2:10">
      <c r="B2012" s="13" t="s">
        <v>3114</v>
      </c>
      <c r="C2012" s="13">
        <v>75.88</v>
      </c>
      <c r="H2012" t="s">
        <v>3137</v>
      </c>
      <c r="I2012" t="s">
        <v>5</v>
      </c>
      <c r="J2012">
        <v>75.88</v>
      </c>
    </row>
    <row r="2013" spans="2:10">
      <c r="B2013" s="13" t="s">
        <v>3116</v>
      </c>
      <c r="C2013" s="13">
        <v>329.988</v>
      </c>
      <c r="H2013" t="s">
        <v>3136</v>
      </c>
      <c r="I2013" t="s">
        <v>4</v>
      </c>
      <c r="J2013">
        <v>329.988</v>
      </c>
    </row>
    <row r="2014" spans="2:10">
      <c r="B2014" s="13" t="s">
        <v>3117</v>
      </c>
      <c r="C2014" s="13">
        <v>71.376000000000005</v>
      </c>
      <c r="H2014" t="s">
        <v>3136</v>
      </c>
      <c r="I2014" t="s">
        <v>5</v>
      </c>
      <c r="J2014">
        <v>71.376000000000005</v>
      </c>
    </row>
    <row r="2015" spans="2:10">
      <c r="B2015" s="13" t="s">
        <v>3119</v>
      </c>
      <c r="C2015" s="13">
        <v>7.7120000000000006</v>
      </c>
      <c r="H2015" t="s">
        <v>3136</v>
      </c>
      <c r="I2015" t="s">
        <v>3</v>
      </c>
      <c r="J2015">
        <v>7.7120000000000006</v>
      </c>
    </row>
    <row r="2016" spans="2:10">
      <c r="B2016" s="13" t="s">
        <v>3117</v>
      </c>
      <c r="C2016" s="13">
        <v>51.168000000000006</v>
      </c>
      <c r="H2016" t="s">
        <v>3136</v>
      </c>
      <c r="I2016" t="s">
        <v>5</v>
      </c>
      <c r="J2016">
        <v>51.168000000000006</v>
      </c>
    </row>
    <row r="2017" spans="2:10">
      <c r="B2017" s="13" t="s">
        <v>3118</v>
      </c>
      <c r="C2017" s="13">
        <v>2793.5280000000002</v>
      </c>
      <c r="H2017" t="s">
        <v>3138</v>
      </c>
      <c r="I2017" t="s">
        <v>5</v>
      </c>
      <c r="J2017">
        <v>2793.5280000000002</v>
      </c>
    </row>
    <row r="2018" spans="2:10">
      <c r="B2018" s="13" t="s">
        <v>3117</v>
      </c>
      <c r="C2018" s="13">
        <v>1000.0200000000001</v>
      </c>
      <c r="H2018" t="s">
        <v>3138</v>
      </c>
      <c r="I2018" t="s">
        <v>5</v>
      </c>
      <c r="J2018">
        <v>1000.0200000000001</v>
      </c>
    </row>
    <row r="2019" spans="2:10">
      <c r="B2019" s="13" t="s">
        <v>3119</v>
      </c>
      <c r="C2019" s="13">
        <v>65.94</v>
      </c>
      <c r="H2019" t="s">
        <v>3138</v>
      </c>
      <c r="I2019" t="s">
        <v>3</v>
      </c>
      <c r="J2019">
        <v>65.94</v>
      </c>
    </row>
    <row r="2020" spans="2:10">
      <c r="B2020" s="13" t="s">
        <v>3123</v>
      </c>
      <c r="C2020" s="13">
        <v>18.240000000000002</v>
      </c>
      <c r="H2020" t="s">
        <v>3138</v>
      </c>
      <c r="I2020" t="s">
        <v>5</v>
      </c>
      <c r="J2020">
        <v>18.240000000000002</v>
      </c>
    </row>
    <row r="2021" spans="2:10">
      <c r="B2021" s="13" t="s">
        <v>3125</v>
      </c>
      <c r="C2021" s="13">
        <v>76.12</v>
      </c>
      <c r="H2021" t="s">
        <v>3138</v>
      </c>
      <c r="I2021" t="s">
        <v>5</v>
      </c>
      <c r="J2021">
        <v>76.12</v>
      </c>
    </row>
    <row r="2022" spans="2:10">
      <c r="B2022" s="13" t="s">
        <v>3121</v>
      </c>
      <c r="C2022" s="13">
        <v>56.699999999999996</v>
      </c>
      <c r="H2022" t="s">
        <v>3138</v>
      </c>
      <c r="I2022" t="s">
        <v>5</v>
      </c>
      <c r="J2022">
        <v>56.699999999999996</v>
      </c>
    </row>
    <row r="2023" spans="2:10">
      <c r="B2023" s="13" t="s">
        <v>3119</v>
      </c>
      <c r="C2023" s="13">
        <v>72.703999999999994</v>
      </c>
      <c r="H2023" t="s">
        <v>3135</v>
      </c>
      <c r="I2023" t="s">
        <v>3</v>
      </c>
      <c r="J2023">
        <v>72.703999999999994</v>
      </c>
    </row>
    <row r="2024" spans="2:10">
      <c r="B2024" s="13" t="s">
        <v>3122</v>
      </c>
      <c r="C2024" s="13">
        <v>12.263999999999999</v>
      </c>
      <c r="H2024" t="s">
        <v>3135</v>
      </c>
      <c r="I2024" t="s">
        <v>5</v>
      </c>
      <c r="J2024">
        <v>12.263999999999999</v>
      </c>
    </row>
    <row r="2025" spans="2:10">
      <c r="B2025" s="13" t="s">
        <v>3117</v>
      </c>
      <c r="C2025" s="13">
        <v>218.35200000000003</v>
      </c>
      <c r="H2025" t="s">
        <v>3135</v>
      </c>
      <c r="I2025" t="s">
        <v>5</v>
      </c>
      <c r="J2025">
        <v>218.35200000000003</v>
      </c>
    </row>
    <row r="2026" spans="2:10">
      <c r="B2026" s="13" t="s">
        <v>3122</v>
      </c>
      <c r="C2026" s="13">
        <v>30.32</v>
      </c>
      <c r="H2026" t="s">
        <v>3137</v>
      </c>
      <c r="I2026" t="s">
        <v>5</v>
      </c>
      <c r="J2026">
        <v>30.32</v>
      </c>
    </row>
    <row r="2027" spans="2:10">
      <c r="B2027" s="13" t="s">
        <v>3115</v>
      </c>
      <c r="C2027" s="13">
        <v>177.56800000000001</v>
      </c>
      <c r="H2027" t="s">
        <v>3138</v>
      </c>
      <c r="I2027" t="s">
        <v>3</v>
      </c>
      <c r="J2027">
        <v>177.56800000000001</v>
      </c>
    </row>
    <row r="2028" spans="2:10">
      <c r="B2028" s="13" t="s">
        <v>3114</v>
      </c>
      <c r="C2028" s="13">
        <v>19.440000000000001</v>
      </c>
      <c r="H2028" t="s">
        <v>3138</v>
      </c>
      <c r="I2028" t="s">
        <v>5</v>
      </c>
      <c r="J2028">
        <v>19.440000000000001</v>
      </c>
    </row>
    <row r="2029" spans="2:10">
      <c r="B2029" s="13" t="s">
        <v>3114</v>
      </c>
      <c r="C2029" s="13">
        <v>71.28</v>
      </c>
      <c r="H2029" t="s">
        <v>3138</v>
      </c>
      <c r="I2029" t="s">
        <v>5</v>
      </c>
      <c r="J2029">
        <v>71.28</v>
      </c>
    </row>
    <row r="2030" spans="2:10">
      <c r="B2030" s="13" t="s">
        <v>3118</v>
      </c>
      <c r="C2030" s="13">
        <v>1471.96</v>
      </c>
      <c r="H2030" t="s">
        <v>3138</v>
      </c>
      <c r="I2030" t="s">
        <v>5</v>
      </c>
      <c r="J2030">
        <v>1471.96</v>
      </c>
    </row>
    <row r="2031" spans="2:10">
      <c r="B2031" s="13" t="s">
        <v>3116</v>
      </c>
      <c r="C2031" s="13">
        <v>79.959999999999994</v>
      </c>
      <c r="H2031" t="s">
        <v>3138</v>
      </c>
      <c r="I2031" t="s">
        <v>4</v>
      </c>
      <c r="J2031">
        <v>79.959999999999994</v>
      </c>
    </row>
    <row r="2032" spans="2:10">
      <c r="B2032" s="13" t="s">
        <v>3119</v>
      </c>
      <c r="C2032" s="13">
        <v>247.44</v>
      </c>
      <c r="H2032" t="s">
        <v>3136</v>
      </c>
      <c r="I2032" t="s">
        <v>3</v>
      </c>
      <c r="J2032">
        <v>247.44</v>
      </c>
    </row>
    <row r="2033" spans="2:10">
      <c r="B2033" s="13" t="s">
        <v>3118</v>
      </c>
      <c r="C2033" s="13">
        <v>43.41</v>
      </c>
      <c r="H2033" t="s">
        <v>3137</v>
      </c>
      <c r="I2033" t="s">
        <v>5</v>
      </c>
      <c r="J2033">
        <v>43.41</v>
      </c>
    </row>
    <row r="2034" spans="2:10">
      <c r="B2034" s="13" t="s">
        <v>3119</v>
      </c>
      <c r="C2034" s="13">
        <v>6.24</v>
      </c>
      <c r="H2034" t="s">
        <v>3137</v>
      </c>
      <c r="I2034" t="s">
        <v>3</v>
      </c>
      <c r="J2034">
        <v>6.24</v>
      </c>
    </row>
    <row r="2035" spans="2:10">
      <c r="B2035" s="13" t="s">
        <v>3125</v>
      </c>
      <c r="C2035" s="13">
        <v>465.16</v>
      </c>
      <c r="H2035" t="s">
        <v>3137</v>
      </c>
      <c r="I2035" t="s">
        <v>5</v>
      </c>
      <c r="J2035">
        <v>465.16</v>
      </c>
    </row>
    <row r="2036" spans="2:10">
      <c r="B2036" s="13" t="s">
        <v>3114</v>
      </c>
      <c r="C2036" s="13">
        <v>7.98</v>
      </c>
      <c r="H2036" t="s">
        <v>3137</v>
      </c>
      <c r="I2036" t="s">
        <v>5</v>
      </c>
      <c r="J2036">
        <v>7.98</v>
      </c>
    </row>
    <row r="2037" spans="2:10">
      <c r="B2037" s="13" t="s">
        <v>3121</v>
      </c>
      <c r="C2037" s="13">
        <v>9.8560000000000016</v>
      </c>
      <c r="H2037" t="s">
        <v>3137</v>
      </c>
      <c r="I2037" t="s">
        <v>5</v>
      </c>
      <c r="J2037">
        <v>9.8560000000000016</v>
      </c>
    </row>
    <row r="2038" spans="2:10">
      <c r="B2038" s="13" t="s">
        <v>3129</v>
      </c>
      <c r="C2038" s="13">
        <v>384.59200000000004</v>
      </c>
      <c r="H2038" t="s">
        <v>3136</v>
      </c>
      <c r="I2038" t="s">
        <v>5</v>
      </c>
      <c r="J2038">
        <v>384.59200000000004</v>
      </c>
    </row>
    <row r="2039" spans="2:10">
      <c r="B2039" s="13" t="s">
        <v>3121</v>
      </c>
      <c r="C2039" s="13">
        <v>41.4</v>
      </c>
      <c r="H2039" t="s">
        <v>3136</v>
      </c>
      <c r="I2039" t="s">
        <v>5</v>
      </c>
      <c r="J2039">
        <v>41.4</v>
      </c>
    </row>
    <row r="2040" spans="2:10">
      <c r="B2040" s="13" t="s">
        <v>3118</v>
      </c>
      <c r="C2040" s="13">
        <v>34.5</v>
      </c>
      <c r="H2040" t="s">
        <v>3135</v>
      </c>
      <c r="I2040" t="s">
        <v>5</v>
      </c>
      <c r="J2040">
        <v>34.5</v>
      </c>
    </row>
    <row r="2041" spans="2:10">
      <c r="B2041" s="13" t="s">
        <v>3116</v>
      </c>
      <c r="C2041" s="13">
        <v>39.992000000000004</v>
      </c>
      <c r="H2041" t="s">
        <v>3138</v>
      </c>
      <c r="I2041" t="s">
        <v>4</v>
      </c>
      <c r="J2041">
        <v>39.992000000000004</v>
      </c>
    </row>
    <row r="2042" spans="2:10">
      <c r="B2042" s="13" t="s">
        <v>3115</v>
      </c>
      <c r="C2042" s="13">
        <v>1159.056</v>
      </c>
      <c r="H2042" t="s">
        <v>3138</v>
      </c>
      <c r="I2042" t="s">
        <v>3</v>
      </c>
      <c r="J2042">
        <v>1159.056</v>
      </c>
    </row>
    <row r="2043" spans="2:10">
      <c r="B2043" s="13" t="s">
        <v>3122</v>
      </c>
      <c r="C2043" s="13">
        <v>179.89999999999998</v>
      </c>
      <c r="H2043" t="s">
        <v>3138</v>
      </c>
      <c r="I2043" t="s">
        <v>5</v>
      </c>
      <c r="J2043">
        <v>179.89999999999998</v>
      </c>
    </row>
    <row r="2044" spans="2:10">
      <c r="B2044" s="13" t="s">
        <v>3120</v>
      </c>
      <c r="C2044" s="13">
        <v>116.312</v>
      </c>
      <c r="H2044" t="s">
        <v>3137</v>
      </c>
      <c r="I2044" t="s">
        <v>4</v>
      </c>
      <c r="J2044">
        <v>116.312</v>
      </c>
    </row>
    <row r="2045" spans="2:10">
      <c r="B2045" s="13" t="s">
        <v>3121</v>
      </c>
      <c r="C2045" s="13">
        <v>5.9039999999999999</v>
      </c>
      <c r="H2045" t="s">
        <v>3136</v>
      </c>
      <c r="I2045" t="s">
        <v>5</v>
      </c>
      <c r="J2045">
        <v>5.9039999999999999</v>
      </c>
    </row>
    <row r="2046" spans="2:10">
      <c r="B2046" s="13" t="s">
        <v>3115</v>
      </c>
      <c r="C2046" s="13">
        <v>701.96</v>
      </c>
      <c r="H2046" t="s">
        <v>3135</v>
      </c>
      <c r="I2046" t="s">
        <v>3</v>
      </c>
      <c r="J2046">
        <v>701.96</v>
      </c>
    </row>
    <row r="2047" spans="2:10">
      <c r="B2047" s="13" t="s">
        <v>3119</v>
      </c>
      <c r="C2047" s="13">
        <v>25.83</v>
      </c>
      <c r="H2047" t="s">
        <v>3138</v>
      </c>
      <c r="I2047" t="s">
        <v>3</v>
      </c>
      <c r="J2047">
        <v>25.83</v>
      </c>
    </row>
    <row r="2048" spans="2:10">
      <c r="B2048" s="13" t="s">
        <v>3116</v>
      </c>
      <c r="C2048" s="13">
        <v>195.96000000000004</v>
      </c>
      <c r="H2048" t="s">
        <v>3137</v>
      </c>
      <c r="I2048" t="s">
        <v>4</v>
      </c>
      <c r="J2048">
        <v>195.96000000000004</v>
      </c>
    </row>
    <row r="2049" spans="2:10">
      <c r="B2049" s="13" t="s">
        <v>3114</v>
      </c>
      <c r="C2049" s="13">
        <v>74.352000000000004</v>
      </c>
      <c r="H2049" t="s">
        <v>3137</v>
      </c>
      <c r="I2049" t="s">
        <v>5</v>
      </c>
      <c r="J2049">
        <v>74.352000000000004</v>
      </c>
    </row>
    <row r="2050" spans="2:10">
      <c r="B2050" s="13" t="s">
        <v>3114</v>
      </c>
      <c r="C2050" s="13">
        <v>6.68</v>
      </c>
      <c r="H2050" t="s">
        <v>3136</v>
      </c>
      <c r="I2050" t="s">
        <v>5</v>
      </c>
      <c r="J2050">
        <v>6.68</v>
      </c>
    </row>
    <row r="2051" spans="2:10">
      <c r="B2051" s="13" t="s">
        <v>3117</v>
      </c>
      <c r="C2051" s="13">
        <v>579.51</v>
      </c>
      <c r="H2051" t="s">
        <v>3136</v>
      </c>
      <c r="I2051" t="s">
        <v>5</v>
      </c>
      <c r="J2051">
        <v>579.51</v>
      </c>
    </row>
    <row r="2052" spans="2:10">
      <c r="B2052" s="13" t="s">
        <v>3116</v>
      </c>
      <c r="C2052" s="13">
        <v>14.99</v>
      </c>
      <c r="H2052" t="s">
        <v>3136</v>
      </c>
      <c r="I2052" t="s">
        <v>4</v>
      </c>
      <c r="J2052">
        <v>14.99</v>
      </c>
    </row>
    <row r="2053" spans="2:10">
      <c r="B2053" s="13" t="s">
        <v>3116</v>
      </c>
      <c r="C2053" s="13">
        <v>39.960000000000008</v>
      </c>
      <c r="H2053" t="s">
        <v>3138</v>
      </c>
      <c r="I2053" t="s">
        <v>4</v>
      </c>
      <c r="J2053">
        <v>39.960000000000008</v>
      </c>
    </row>
    <row r="2054" spans="2:10">
      <c r="B2054" s="13" t="s">
        <v>3114</v>
      </c>
      <c r="C2054" s="13">
        <v>34.08</v>
      </c>
      <c r="H2054" t="s">
        <v>3138</v>
      </c>
      <c r="I2054" t="s">
        <v>5</v>
      </c>
      <c r="J2054">
        <v>34.08</v>
      </c>
    </row>
    <row r="2055" spans="2:10">
      <c r="B2055" s="13" t="s">
        <v>3114</v>
      </c>
      <c r="C2055" s="13">
        <v>10.368000000000002</v>
      </c>
      <c r="H2055" t="s">
        <v>3135</v>
      </c>
      <c r="I2055" t="s">
        <v>5</v>
      </c>
      <c r="J2055">
        <v>10.368000000000002</v>
      </c>
    </row>
    <row r="2056" spans="2:10">
      <c r="B2056" s="13" t="s">
        <v>3116</v>
      </c>
      <c r="C2056" s="13">
        <v>87.8</v>
      </c>
      <c r="H2056" t="s">
        <v>3136</v>
      </c>
      <c r="I2056" t="s">
        <v>4</v>
      </c>
      <c r="J2056">
        <v>87.8</v>
      </c>
    </row>
    <row r="2057" spans="2:10">
      <c r="B2057" s="13" t="s">
        <v>3115</v>
      </c>
      <c r="C2057" s="13">
        <v>221.38200000000001</v>
      </c>
      <c r="H2057" t="s">
        <v>3136</v>
      </c>
      <c r="I2057" t="s">
        <v>3</v>
      </c>
      <c r="J2057">
        <v>221.38200000000001</v>
      </c>
    </row>
    <row r="2058" spans="2:10">
      <c r="B2058" s="13" t="s">
        <v>3130</v>
      </c>
      <c r="C2058" s="13">
        <v>5199.96</v>
      </c>
      <c r="H2058" t="s">
        <v>3136</v>
      </c>
      <c r="I2058" t="s">
        <v>4</v>
      </c>
      <c r="J2058">
        <v>5199.96</v>
      </c>
    </row>
    <row r="2059" spans="2:10">
      <c r="B2059" s="13" t="s">
        <v>3121</v>
      </c>
      <c r="C2059" s="13">
        <v>24.55</v>
      </c>
      <c r="H2059" t="s">
        <v>3136</v>
      </c>
      <c r="I2059" t="s">
        <v>5</v>
      </c>
      <c r="J2059">
        <v>24.55</v>
      </c>
    </row>
    <row r="2060" spans="2:10">
      <c r="B2060" s="13" t="s">
        <v>3119</v>
      </c>
      <c r="C2060" s="13">
        <v>108.40000000000002</v>
      </c>
      <c r="H2060" t="s">
        <v>3137</v>
      </c>
      <c r="I2060" t="s">
        <v>3</v>
      </c>
      <c r="J2060">
        <v>108.40000000000002</v>
      </c>
    </row>
    <row r="2061" spans="2:10">
      <c r="B2061" s="13" t="s">
        <v>3116</v>
      </c>
      <c r="C2061" s="13">
        <v>361.37600000000003</v>
      </c>
      <c r="H2061" t="s">
        <v>3135</v>
      </c>
      <c r="I2061" t="s">
        <v>4</v>
      </c>
      <c r="J2061">
        <v>361.37600000000003</v>
      </c>
    </row>
    <row r="2062" spans="2:10">
      <c r="B2062" s="13" t="s">
        <v>3118</v>
      </c>
      <c r="C2062" s="13">
        <v>19.68</v>
      </c>
      <c r="H2062" t="s">
        <v>3138</v>
      </c>
      <c r="I2062" t="s">
        <v>5</v>
      </c>
      <c r="J2062">
        <v>19.68</v>
      </c>
    </row>
    <row r="2063" spans="2:10">
      <c r="B2063" s="13" t="s">
        <v>3114</v>
      </c>
      <c r="C2063" s="13">
        <v>25.92</v>
      </c>
      <c r="H2063" t="s">
        <v>3138</v>
      </c>
      <c r="I2063" t="s">
        <v>5</v>
      </c>
      <c r="J2063">
        <v>25.92</v>
      </c>
    </row>
    <row r="2064" spans="2:10">
      <c r="B2064" s="13" t="s">
        <v>3114</v>
      </c>
      <c r="C2064" s="13">
        <v>6.48</v>
      </c>
      <c r="H2064" t="s">
        <v>3138</v>
      </c>
      <c r="I2064" t="s">
        <v>5</v>
      </c>
      <c r="J2064">
        <v>6.48</v>
      </c>
    </row>
    <row r="2065" spans="2:10">
      <c r="B2065" s="13" t="s">
        <v>3116</v>
      </c>
      <c r="C2065" s="13">
        <v>86.352000000000004</v>
      </c>
      <c r="H2065" t="s">
        <v>3138</v>
      </c>
      <c r="I2065" t="s">
        <v>4</v>
      </c>
      <c r="J2065">
        <v>86.352000000000004</v>
      </c>
    </row>
    <row r="2066" spans="2:10">
      <c r="B2066" s="13" t="s">
        <v>3118</v>
      </c>
      <c r="C2066" s="13">
        <v>150.80000000000001</v>
      </c>
      <c r="H2066" t="s">
        <v>3138</v>
      </c>
      <c r="I2066" t="s">
        <v>5</v>
      </c>
      <c r="J2066">
        <v>150.80000000000001</v>
      </c>
    </row>
    <row r="2067" spans="2:10">
      <c r="B2067" s="13" t="s">
        <v>3130</v>
      </c>
      <c r="C2067" s="13">
        <v>1039.992</v>
      </c>
      <c r="H2067" t="s">
        <v>3138</v>
      </c>
      <c r="I2067" t="s">
        <v>4</v>
      </c>
      <c r="J2067">
        <v>1039.992</v>
      </c>
    </row>
    <row r="2068" spans="2:10">
      <c r="B2068" s="13" t="s">
        <v>3114</v>
      </c>
      <c r="C2068" s="13">
        <v>51.84</v>
      </c>
      <c r="H2068" t="s">
        <v>3138</v>
      </c>
      <c r="I2068" t="s">
        <v>5</v>
      </c>
      <c r="J2068">
        <v>51.84</v>
      </c>
    </row>
    <row r="2069" spans="2:10">
      <c r="B2069" s="13" t="s">
        <v>3116</v>
      </c>
      <c r="C2069" s="13">
        <v>41.22</v>
      </c>
      <c r="H2069" t="s">
        <v>3136</v>
      </c>
      <c r="I2069" t="s">
        <v>4</v>
      </c>
      <c r="J2069">
        <v>41.22</v>
      </c>
    </row>
    <row r="2070" spans="2:10">
      <c r="B2070" s="13" t="s">
        <v>3129</v>
      </c>
      <c r="C2070" s="13">
        <v>240.37</v>
      </c>
      <c r="H2070" t="s">
        <v>3136</v>
      </c>
      <c r="I2070" t="s">
        <v>5</v>
      </c>
      <c r="J2070">
        <v>240.37</v>
      </c>
    </row>
    <row r="2071" spans="2:10">
      <c r="B2071" s="13" t="s">
        <v>3116</v>
      </c>
      <c r="C2071" s="13">
        <v>119.02</v>
      </c>
      <c r="H2071" t="s">
        <v>3136</v>
      </c>
      <c r="I2071" t="s">
        <v>4</v>
      </c>
      <c r="J2071">
        <v>119.02</v>
      </c>
    </row>
    <row r="2072" spans="2:10">
      <c r="B2072" s="13" t="s">
        <v>3118</v>
      </c>
      <c r="C2072" s="13">
        <v>133.12</v>
      </c>
      <c r="H2072" t="s">
        <v>3138</v>
      </c>
      <c r="I2072" t="s">
        <v>5</v>
      </c>
      <c r="J2072">
        <v>133.12</v>
      </c>
    </row>
    <row r="2073" spans="2:10">
      <c r="B2073" s="13" t="s">
        <v>3119</v>
      </c>
      <c r="C2073" s="13">
        <v>83.92</v>
      </c>
      <c r="H2073" t="s">
        <v>3136</v>
      </c>
      <c r="I2073" t="s">
        <v>3</v>
      </c>
      <c r="J2073">
        <v>83.92</v>
      </c>
    </row>
    <row r="2074" spans="2:10">
      <c r="B2074" s="13" t="s">
        <v>3122</v>
      </c>
      <c r="C2074" s="13">
        <v>6.63</v>
      </c>
      <c r="H2074" t="s">
        <v>3136</v>
      </c>
      <c r="I2074" t="s">
        <v>5</v>
      </c>
      <c r="J2074">
        <v>6.63</v>
      </c>
    </row>
    <row r="2075" spans="2:10">
      <c r="B2075" s="13" t="s">
        <v>3120</v>
      </c>
      <c r="C2075" s="13">
        <v>371.96999999999997</v>
      </c>
      <c r="H2075" t="s">
        <v>3136</v>
      </c>
      <c r="I2075" t="s">
        <v>4</v>
      </c>
      <c r="J2075">
        <v>371.96999999999997</v>
      </c>
    </row>
    <row r="2076" spans="2:10">
      <c r="B2076" s="13" t="s">
        <v>3120</v>
      </c>
      <c r="C2076" s="13">
        <v>99.99</v>
      </c>
      <c r="H2076" t="s">
        <v>3136</v>
      </c>
      <c r="I2076" t="s">
        <v>4</v>
      </c>
      <c r="J2076">
        <v>99.99</v>
      </c>
    </row>
    <row r="2077" spans="2:10">
      <c r="B2077" s="13" t="s">
        <v>3117</v>
      </c>
      <c r="C2077" s="13">
        <v>286.14999999999998</v>
      </c>
      <c r="H2077" t="s">
        <v>3136</v>
      </c>
      <c r="I2077" t="s">
        <v>5</v>
      </c>
      <c r="J2077">
        <v>286.14999999999998</v>
      </c>
    </row>
    <row r="2078" spans="2:10">
      <c r="B2078" s="13" t="s">
        <v>3118</v>
      </c>
      <c r="C2078" s="13">
        <v>32.783999999999992</v>
      </c>
      <c r="H2078" t="s">
        <v>3137</v>
      </c>
      <c r="I2078" t="s">
        <v>5</v>
      </c>
      <c r="J2078">
        <v>32.783999999999992</v>
      </c>
    </row>
    <row r="2079" spans="2:10">
      <c r="B2079" s="13" t="s">
        <v>3120</v>
      </c>
      <c r="C2079" s="13">
        <v>47.984000000000002</v>
      </c>
      <c r="H2079" t="s">
        <v>3137</v>
      </c>
      <c r="I2079" t="s">
        <v>4</v>
      </c>
      <c r="J2079">
        <v>47.984000000000002</v>
      </c>
    </row>
    <row r="2080" spans="2:10">
      <c r="B2080" s="13" t="s">
        <v>3120</v>
      </c>
      <c r="C2080" s="13">
        <v>62.591999999999999</v>
      </c>
      <c r="H2080" t="s">
        <v>3137</v>
      </c>
      <c r="I2080" t="s">
        <v>4</v>
      </c>
      <c r="J2080">
        <v>62.591999999999999</v>
      </c>
    </row>
    <row r="2081" spans="2:10">
      <c r="B2081" s="13" t="s">
        <v>3118</v>
      </c>
      <c r="C2081" s="13">
        <v>4.2759999999999989</v>
      </c>
      <c r="H2081" t="s">
        <v>3137</v>
      </c>
      <c r="I2081" t="s">
        <v>5</v>
      </c>
      <c r="J2081">
        <v>4.2759999999999989</v>
      </c>
    </row>
    <row r="2082" spans="2:10">
      <c r="B2082" s="13" t="s">
        <v>3122</v>
      </c>
      <c r="C2082" s="13">
        <v>5.2480000000000002</v>
      </c>
      <c r="H2082" t="s">
        <v>3137</v>
      </c>
      <c r="I2082" t="s">
        <v>5</v>
      </c>
      <c r="J2082">
        <v>5.2480000000000002</v>
      </c>
    </row>
    <row r="2083" spans="2:10">
      <c r="B2083" s="13" t="s">
        <v>3116</v>
      </c>
      <c r="C2083" s="13">
        <v>824.95</v>
      </c>
      <c r="H2083" t="s">
        <v>3136</v>
      </c>
      <c r="I2083" t="s">
        <v>4</v>
      </c>
      <c r="J2083">
        <v>824.95</v>
      </c>
    </row>
    <row r="2084" spans="2:10">
      <c r="B2084" s="13" t="s">
        <v>3121</v>
      </c>
      <c r="C2084" s="13">
        <v>24.64</v>
      </c>
      <c r="H2084" t="s">
        <v>3136</v>
      </c>
      <c r="I2084" t="s">
        <v>5</v>
      </c>
      <c r="J2084">
        <v>24.64</v>
      </c>
    </row>
    <row r="2085" spans="2:10">
      <c r="B2085" s="13" t="s">
        <v>3122</v>
      </c>
      <c r="C2085" s="13">
        <v>227.88</v>
      </c>
      <c r="H2085" t="s">
        <v>3136</v>
      </c>
      <c r="I2085" t="s">
        <v>5</v>
      </c>
      <c r="J2085">
        <v>227.88</v>
      </c>
    </row>
    <row r="2086" spans="2:10">
      <c r="B2086" s="13" t="s">
        <v>3128</v>
      </c>
      <c r="C2086" s="13">
        <v>241.96</v>
      </c>
      <c r="H2086" t="s">
        <v>3135</v>
      </c>
      <c r="I2086" t="s">
        <v>3</v>
      </c>
      <c r="J2086">
        <v>241.96</v>
      </c>
    </row>
    <row r="2087" spans="2:10">
      <c r="B2087" s="13" t="s">
        <v>3118</v>
      </c>
      <c r="C2087" s="13">
        <v>3.89</v>
      </c>
      <c r="H2087" t="s">
        <v>3135</v>
      </c>
      <c r="I2087" t="s">
        <v>5</v>
      </c>
      <c r="J2087">
        <v>3.89</v>
      </c>
    </row>
    <row r="2088" spans="2:10">
      <c r="B2088" s="13" t="s">
        <v>3119</v>
      </c>
      <c r="C2088" s="13">
        <v>8.01</v>
      </c>
      <c r="H2088" t="s">
        <v>3135</v>
      </c>
      <c r="I2088" t="s">
        <v>3</v>
      </c>
      <c r="J2088">
        <v>8.01</v>
      </c>
    </row>
    <row r="2089" spans="2:10">
      <c r="B2089" s="13" t="s">
        <v>3115</v>
      </c>
      <c r="C2089" s="13">
        <v>569.5680000000001</v>
      </c>
      <c r="H2089" t="s">
        <v>3138</v>
      </c>
      <c r="I2089" t="s">
        <v>3</v>
      </c>
      <c r="J2089">
        <v>569.5680000000001</v>
      </c>
    </row>
    <row r="2090" spans="2:10">
      <c r="B2090" s="13" t="s">
        <v>3117</v>
      </c>
      <c r="C2090" s="13">
        <v>149.73000000000002</v>
      </c>
      <c r="H2090" t="s">
        <v>3138</v>
      </c>
      <c r="I2090" t="s">
        <v>5</v>
      </c>
      <c r="J2090">
        <v>149.73000000000002</v>
      </c>
    </row>
    <row r="2091" spans="2:10">
      <c r="B2091" s="13" t="s">
        <v>3115</v>
      </c>
      <c r="C2091" s="13">
        <v>899.43</v>
      </c>
      <c r="H2091" t="s">
        <v>3137</v>
      </c>
      <c r="I2091" t="s">
        <v>3</v>
      </c>
      <c r="J2091">
        <v>899.43</v>
      </c>
    </row>
    <row r="2092" spans="2:10">
      <c r="B2092" s="13" t="s">
        <v>3122</v>
      </c>
      <c r="C2092" s="13">
        <v>46.2</v>
      </c>
      <c r="H2092" t="s">
        <v>3137</v>
      </c>
      <c r="I2092" t="s">
        <v>5</v>
      </c>
      <c r="J2092">
        <v>46.2</v>
      </c>
    </row>
    <row r="2093" spans="2:10">
      <c r="B2093" s="13" t="s">
        <v>3114</v>
      </c>
      <c r="C2093" s="13">
        <v>47.952000000000005</v>
      </c>
      <c r="H2093" t="s">
        <v>3137</v>
      </c>
      <c r="I2093" t="s">
        <v>5</v>
      </c>
      <c r="J2093">
        <v>47.952000000000005</v>
      </c>
    </row>
    <row r="2094" spans="2:10">
      <c r="B2094" s="13" t="s">
        <v>3116</v>
      </c>
      <c r="C2094" s="13">
        <v>7.9920000000000009</v>
      </c>
      <c r="H2094" t="s">
        <v>3137</v>
      </c>
      <c r="I2094" t="s">
        <v>4</v>
      </c>
      <c r="J2094">
        <v>7.9920000000000009</v>
      </c>
    </row>
    <row r="2095" spans="2:10">
      <c r="B2095" s="13" t="s">
        <v>3114</v>
      </c>
      <c r="C2095" s="13">
        <v>76.864000000000004</v>
      </c>
      <c r="H2095" t="s">
        <v>3137</v>
      </c>
      <c r="I2095" t="s">
        <v>5</v>
      </c>
      <c r="J2095">
        <v>76.864000000000004</v>
      </c>
    </row>
    <row r="2096" spans="2:10">
      <c r="B2096" s="13" t="s">
        <v>3118</v>
      </c>
      <c r="C2096" s="13">
        <v>102.93</v>
      </c>
      <c r="H2096" t="s">
        <v>3135</v>
      </c>
      <c r="I2096" t="s">
        <v>5</v>
      </c>
      <c r="J2096">
        <v>102.93</v>
      </c>
    </row>
    <row r="2097" spans="2:10">
      <c r="B2097" s="13" t="s">
        <v>3120</v>
      </c>
      <c r="C2097" s="13">
        <v>98.16</v>
      </c>
      <c r="H2097" t="s">
        <v>3135</v>
      </c>
      <c r="I2097" t="s">
        <v>4</v>
      </c>
      <c r="J2097">
        <v>98.16</v>
      </c>
    </row>
    <row r="2098" spans="2:10">
      <c r="B2098" s="13" t="s">
        <v>3118</v>
      </c>
      <c r="C2098" s="13">
        <v>11.520000000000001</v>
      </c>
      <c r="H2098" t="s">
        <v>3135</v>
      </c>
      <c r="I2098" t="s">
        <v>5</v>
      </c>
      <c r="J2098">
        <v>11.520000000000001</v>
      </c>
    </row>
    <row r="2099" spans="2:10">
      <c r="B2099" s="13" t="s">
        <v>3114</v>
      </c>
      <c r="C2099" s="13">
        <v>83.88</v>
      </c>
      <c r="H2099" t="s">
        <v>3138</v>
      </c>
      <c r="I2099" t="s">
        <v>5</v>
      </c>
      <c r="J2099">
        <v>83.88</v>
      </c>
    </row>
    <row r="2100" spans="2:10">
      <c r="B2100" s="13" t="s">
        <v>3114</v>
      </c>
      <c r="C2100" s="13">
        <v>19.440000000000001</v>
      </c>
      <c r="H2100" t="s">
        <v>3136</v>
      </c>
      <c r="I2100" t="s">
        <v>5</v>
      </c>
      <c r="J2100">
        <v>19.440000000000001</v>
      </c>
    </row>
    <row r="2101" spans="2:10">
      <c r="B2101" s="13" t="s">
        <v>3119</v>
      </c>
      <c r="C2101" s="13">
        <v>35</v>
      </c>
      <c r="H2101" t="s">
        <v>3138</v>
      </c>
      <c r="I2101" t="s">
        <v>3</v>
      </c>
      <c r="J2101">
        <v>35</v>
      </c>
    </row>
    <row r="2102" spans="2:10">
      <c r="B2102" s="13" t="s">
        <v>3117</v>
      </c>
      <c r="C2102" s="13">
        <v>477.15000000000003</v>
      </c>
      <c r="H2102" t="s">
        <v>3138</v>
      </c>
      <c r="I2102" t="s">
        <v>5</v>
      </c>
      <c r="J2102">
        <v>477.15000000000003</v>
      </c>
    </row>
    <row r="2103" spans="2:10">
      <c r="B2103" s="13" t="s">
        <v>3116</v>
      </c>
      <c r="C2103" s="13">
        <v>302.37599999999998</v>
      </c>
      <c r="H2103" t="s">
        <v>3138</v>
      </c>
      <c r="I2103" t="s">
        <v>4</v>
      </c>
      <c r="J2103">
        <v>302.37599999999998</v>
      </c>
    </row>
    <row r="2104" spans="2:10">
      <c r="B2104" s="13" t="s">
        <v>3126</v>
      </c>
      <c r="C2104" s="13">
        <v>974.98799999999983</v>
      </c>
      <c r="H2104" t="s">
        <v>3137</v>
      </c>
      <c r="I2104" t="s">
        <v>3</v>
      </c>
      <c r="J2104">
        <v>974.98799999999983</v>
      </c>
    </row>
    <row r="2105" spans="2:10">
      <c r="B2105" s="13" t="s">
        <v>3119</v>
      </c>
      <c r="C2105" s="13">
        <v>103.50000000000001</v>
      </c>
      <c r="H2105" t="s">
        <v>3137</v>
      </c>
      <c r="I2105" t="s">
        <v>3</v>
      </c>
      <c r="J2105">
        <v>103.50000000000001</v>
      </c>
    </row>
    <row r="2106" spans="2:10">
      <c r="B2106" s="13" t="s">
        <v>3121</v>
      </c>
      <c r="C2106" s="13">
        <v>2.4640000000000004</v>
      </c>
      <c r="H2106" t="s">
        <v>3137</v>
      </c>
      <c r="I2106" t="s">
        <v>5</v>
      </c>
      <c r="J2106">
        <v>2.4640000000000004</v>
      </c>
    </row>
    <row r="2107" spans="2:10">
      <c r="B2107" s="13" t="s">
        <v>3117</v>
      </c>
      <c r="C2107" s="13">
        <v>8.7200000000000006</v>
      </c>
      <c r="H2107" t="s">
        <v>3137</v>
      </c>
      <c r="I2107" t="s">
        <v>5</v>
      </c>
      <c r="J2107">
        <v>8.7200000000000006</v>
      </c>
    </row>
    <row r="2108" spans="2:10">
      <c r="B2108" s="13" t="s">
        <v>3117</v>
      </c>
      <c r="C2108" s="13">
        <v>56.56</v>
      </c>
      <c r="H2108" t="s">
        <v>3138</v>
      </c>
      <c r="I2108" t="s">
        <v>5</v>
      </c>
      <c r="J2108">
        <v>56.56</v>
      </c>
    </row>
    <row r="2109" spans="2:10">
      <c r="B2109" s="13" t="s">
        <v>3119</v>
      </c>
      <c r="C2109" s="13">
        <v>36.96</v>
      </c>
      <c r="H2109" t="s">
        <v>3138</v>
      </c>
      <c r="I2109" t="s">
        <v>3</v>
      </c>
      <c r="J2109">
        <v>36.96</v>
      </c>
    </row>
    <row r="2110" spans="2:10">
      <c r="B2110" s="13" t="s">
        <v>3122</v>
      </c>
      <c r="C2110" s="13">
        <v>3.76</v>
      </c>
      <c r="H2110" t="s">
        <v>3136</v>
      </c>
      <c r="I2110" t="s">
        <v>5</v>
      </c>
      <c r="J2110">
        <v>3.76</v>
      </c>
    </row>
    <row r="2111" spans="2:10">
      <c r="B2111" s="13" t="s">
        <v>3122</v>
      </c>
      <c r="C2111" s="13">
        <v>14.7</v>
      </c>
      <c r="H2111" t="s">
        <v>3136</v>
      </c>
      <c r="I2111" t="s">
        <v>5</v>
      </c>
      <c r="J2111">
        <v>14.7</v>
      </c>
    </row>
    <row r="2112" spans="2:10">
      <c r="B2112" s="13" t="s">
        <v>3122</v>
      </c>
      <c r="C2112" s="13">
        <v>37.200000000000003</v>
      </c>
      <c r="H2112" t="s">
        <v>3136</v>
      </c>
      <c r="I2112" t="s">
        <v>5</v>
      </c>
      <c r="J2112">
        <v>37.200000000000003</v>
      </c>
    </row>
    <row r="2113" spans="2:10">
      <c r="B2113" s="13" t="s">
        <v>3120</v>
      </c>
      <c r="C2113" s="13">
        <v>89.97</v>
      </c>
      <c r="H2113" t="s">
        <v>3136</v>
      </c>
      <c r="I2113" t="s">
        <v>4</v>
      </c>
      <c r="J2113">
        <v>89.97</v>
      </c>
    </row>
    <row r="2114" spans="2:10">
      <c r="B2114" s="13" t="s">
        <v>3115</v>
      </c>
      <c r="C2114" s="13">
        <v>261.95999999999998</v>
      </c>
      <c r="H2114" t="s">
        <v>3136</v>
      </c>
      <c r="I2114" t="s">
        <v>3</v>
      </c>
      <c r="J2114">
        <v>261.95999999999998</v>
      </c>
    </row>
    <row r="2115" spans="2:10">
      <c r="B2115" s="13" t="s">
        <v>3121</v>
      </c>
      <c r="C2115" s="13">
        <v>74</v>
      </c>
      <c r="H2115" t="s">
        <v>3136</v>
      </c>
      <c r="I2115" t="s">
        <v>5</v>
      </c>
      <c r="J2115">
        <v>74</v>
      </c>
    </row>
    <row r="2116" spans="2:10">
      <c r="B2116" s="13" t="s">
        <v>3120</v>
      </c>
      <c r="C2116" s="13">
        <v>68.459999999999994</v>
      </c>
      <c r="H2116" t="s">
        <v>3138</v>
      </c>
      <c r="I2116" t="s">
        <v>4</v>
      </c>
      <c r="J2116">
        <v>68.459999999999994</v>
      </c>
    </row>
    <row r="2117" spans="2:10">
      <c r="B2117" s="13" t="s">
        <v>3118</v>
      </c>
      <c r="C2117" s="13">
        <v>4.5540000000000003</v>
      </c>
      <c r="H2117" t="s">
        <v>3135</v>
      </c>
      <c r="I2117" t="s">
        <v>5</v>
      </c>
      <c r="J2117">
        <v>4.5540000000000003</v>
      </c>
    </row>
    <row r="2118" spans="2:10">
      <c r="B2118" s="13" t="s">
        <v>3125</v>
      </c>
      <c r="C2118" s="13">
        <v>5.2</v>
      </c>
      <c r="H2118" t="s">
        <v>3135</v>
      </c>
      <c r="I2118" t="s">
        <v>5</v>
      </c>
      <c r="J2118">
        <v>5.2</v>
      </c>
    </row>
    <row r="2119" spans="2:10">
      <c r="B2119" s="13" t="s">
        <v>3120</v>
      </c>
      <c r="C2119" s="13">
        <v>205.99200000000002</v>
      </c>
      <c r="H2119" t="s">
        <v>3135</v>
      </c>
      <c r="I2119" t="s">
        <v>4</v>
      </c>
      <c r="J2119">
        <v>205.99200000000002</v>
      </c>
    </row>
    <row r="2120" spans="2:10">
      <c r="B2120" s="13" t="s">
        <v>3114</v>
      </c>
      <c r="C2120" s="13">
        <v>15.552000000000003</v>
      </c>
      <c r="H2120" t="s">
        <v>3135</v>
      </c>
      <c r="I2120" t="s">
        <v>5</v>
      </c>
      <c r="J2120">
        <v>15.552000000000003</v>
      </c>
    </row>
    <row r="2121" spans="2:10">
      <c r="B2121" s="13" t="s">
        <v>3116</v>
      </c>
      <c r="C2121" s="13">
        <v>503.96000000000004</v>
      </c>
      <c r="H2121" t="s">
        <v>3135</v>
      </c>
      <c r="I2121" t="s">
        <v>4</v>
      </c>
      <c r="J2121">
        <v>503.96000000000004</v>
      </c>
    </row>
    <row r="2122" spans="2:10">
      <c r="B2122" s="13" t="s">
        <v>3125</v>
      </c>
      <c r="C2122" s="13">
        <v>24.472000000000001</v>
      </c>
      <c r="H2122" t="s">
        <v>3135</v>
      </c>
      <c r="I2122" t="s">
        <v>5</v>
      </c>
      <c r="J2122">
        <v>24.472000000000001</v>
      </c>
    </row>
    <row r="2123" spans="2:10">
      <c r="B2123" s="13" t="s">
        <v>3128</v>
      </c>
      <c r="C2123" s="13">
        <v>241.56799999999998</v>
      </c>
      <c r="H2123" t="s">
        <v>3135</v>
      </c>
      <c r="I2123" t="s">
        <v>3</v>
      </c>
      <c r="J2123">
        <v>241.56799999999998</v>
      </c>
    </row>
    <row r="2124" spans="2:10">
      <c r="B2124" s="13" t="s">
        <v>3120</v>
      </c>
      <c r="C2124" s="13">
        <v>110.4</v>
      </c>
      <c r="H2124" t="s">
        <v>3135</v>
      </c>
      <c r="I2124" t="s">
        <v>4</v>
      </c>
      <c r="J2124">
        <v>110.4</v>
      </c>
    </row>
    <row r="2125" spans="2:10">
      <c r="B2125" s="13" t="s">
        <v>3126</v>
      </c>
      <c r="C2125" s="13">
        <v>384.76799999999997</v>
      </c>
      <c r="H2125" t="s">
        <v>3136</v>
      </c>
      <c r="I2125" t="s">
        <v>3</v>
      </c>
      <c r="J2125">
        <v>384.76799999999997</v>
      </c>
    </row>
    <row r="2126" spans="2:10">
      <c r="B2126" s="13" t="s">
        <v>3130</v>
      </c>
      <c r="C2126" s="13">
        <v>78.66</v>
      </c>
      <c r="H2126" t="s">
        <v>3136</v>
      </c>
      <c r="I2126" t="s">
        <v>4</v>
      </c>
      <c r="J2126">
        <v>78.66</v>
      </c>
    </row>
    <row r="2127" spans="2:10">
      <c r="B2127" s="13" t="s">
        <v>3114</v>
      </c>
      <c r="C2127" s="13">
        <v>45.36</v>
      </c>
      <c r="H2127" t="s">
        <v>3136</v>
      </c>
      <c r="I2127" t="s">
        <v>5</v>
      </c>
      <c r="J2127">
        <v>45.36</v>
      </c>
    </row>
    <row r="2128" spans="2:10">
      <c r="B2128" s="13" t="s">
        <v>3114</v>
      </c>
      <c r="C2128" s="13">
        <v>32.400000000000006</v>
      </c>
      <c r="H2128" t="s">
        <v>3136</v>
      </c>
      <c r="I2128" t="s">
        <v>5</v>
      </c>
      <c r="J2128">
        <v>32.400000000000006</v>
      </c>
    </row>
    <row r="2129" spans="2:10">
      <c r="B2129" s="13" t="s">
        <v>3120</v>
      </c>
      <c r="C2129" s="13">
        <v>24</v>
      </c>
      <c r="H2129" t="s">
        <v>3137</v>
      </c>
      <c r="I2129" t="s">
        <v>4</v>
      </c>
      <c r="J2129">
        <v>24</v>
      </c>
    </row>
    <row r="2130" spans="2:10">
      <c r="B2130" s="13" t="s">
        <v>3114</v>
      </c>
      <c r="C2130" s="13">
        <v>15.552000000000003</v>
      </c>
      <c r="H2130" t="s">
        <v>3137</v>
      </c>
      <c r="I2130" t="s">
        <v>5</v>
      </c>
      <c r="J2130">
        <v>15.552000000000003</v>
      </c>
    </row>
    <row r="2131" spans="2:10">
      <c r="B2131" s="13" t="s">
        <v>3120</v>
      </c>
      <c r="C2131" s="13">
        <v>26.176000000000002</v>
      </c>
      <c r="H2131" t="s">
        <v>3137</v>
      </c>
      <c r="I2131" t="s">
        <v>4</v>
      </c>
      <c r="J2131">
        <v>26.176000000000002</v>
      </c>
    </row>
    <row r="2132" spans="2:10">
      <c r="B2132" s="13" t="s">
        <v>3117</v>
      </c>
      <c r="C2132" s="13">
        <v>1247.6399999999999</v>
      </c>
      <c r="H2132" t="s">
        <v>3136</v>
      </c>
      <c r="I2132" t="s">
        <v>5</v>
      </c>
      <c r="J2132">
        <v>1247.6399999999999</v>
      </c>
    </row>
    <row r="2133" spans="2:10">
      <c r="B2133" s="13" t="s">
        <v>3114</v>
      </c>
      <c r="C2133" s="13">
        <v>279.89999999999998</v>
      </c>
      <c r="H2133" t="s">
        <v>3136</v>
      </c>
      <c r="I2133" t="s">
        <v>5</v>
      </c>
      <c r="J2133">
        <v>279.89999999999998</v>
      </c>
    </row>
    <row r="2134" spans="2:10">
      <c r="B2134" s="13" t="s">
        <v>3118</v>
      </c>
      <c r="C2134" s="13">
        <v>50.352000000000004</v>
      </c>
      <c r="H2134" t="s">
        <v>3136</v>
      </c>
      <c r="I2134" t="s">
        <v>5</v>
      </c>
      <c r="J2134">
        <v>50.352000000000004</v>
      </c>
    </row>
    <row r="2135" spans="2:10">
      <c r="B2135" s="13" t="s">
        <v>3114</v>
      </c>
      <c r="C2135" s="13">
        <v>34.019999999999996</v>
      </c>
      <c r="H2135" t="s">
        <v>3136</v>
      </c>
      <c r="I2135" t="s">
        <v>5</v>
      </c>
      <c r="J2135">
        <v>34.019999999999996</v>
      </c>
    </row>
    <row r="2136" spans="2:10">
      <c r="B2136" s="13" t="s">
        <v>3122</v>
      </c>
      <c r="C2136" s="13">
        <v>23.88</v>
      </c>
      <c r="H2136" t="s">
        <v>3138</v>
      </c>
      <c r="I2136" t="s">
        <v>5</v>
      </c>
      <c r="J2136">
        <v>23.88</v>
      </c>
    </row>
    <row r="2137" spans="2:10">
      <c r="B2137" s="13" t="s">
        <v>3121</v>
      </c>
      <c r="C2137" s="13">
        <v>11.52</v>
      </c>
      <c r="H2137" t="s">
        <v>3138</v>
      </c>
      <c r="I2137" t="s">
        <v>5</v>
      </c>
      <c r="J2137">
        <v>11.52</v>
      </c>
    </row>
    <row r="2138" spans="2:10">
      <c r="B2138" s="13" t="s">
        <v>3114</v>
      </c>
      <c r="C2138" s="13">
        <v>286.93</v>
      </c>
      <c r="H2138" t="s">
        <v>3138</v>
      </c>
      <c r="I2138" t="s">
        <v>5</v>
      </c>
      <c r="J2138">
        <v>286.93</v>
      </c>
    </row>
    <row r="2139" spans="2:10">
      <c r="B2139" s="13" t="s">
        <v>3116</v>
      </c>
      <c r="C2139" s="13">
        <v>206.38400000000001</v>
      </c>
      <c r="H2139" t="s">
        <v>3138</v>
      </c>
      <c r="I2139" t="s">
        <v>4</v>
      </c>
      <c r="J2139">
        <v>206.38400000000001</v>
      </c>
    </row>
    <row r="2140" spans="2:10">
      <c r="B2140" s="13" t="s">
        <v>3115</v>
      </c>
      <c r="C2140" s="13">
        <v>218.35200000000003</v>
      </c>
      <c r="H2140" t="s">
        <v>3138</v>
      </c>
      <c r="I2140" t="s">
        <v>3</v>
      </c>
      <c r="J2140">
        <v>218.35200000000003</v>
      </c>
    </row>
    <row r="2141" spans="2:10">
      <c r="B2141" s="13" t="s">
        <v>3119</v>
      </c>
      <c r="C2141" s="13">
        <v>529.9</v>
      </c>
      <c r="H2141" t="s">
        <v>3138</v>
      </c>
      <c r="I2141" t="s">
        <v>3</v>
      </c>
      <c r="J2141">
        <v>529.9</v>
      </c>
    </row>
    <row r="2142" spans="2:10">
      <c r="B2142" s="13" t="s">
        <v>3122</v>
      </c>
      <c r="C2142" s="13">
        <v>99.3</v>
      </c>
      <c r="H2142" t="s">
        <v>3138</v>
      </c>
      <c r="I2142" t="s">
        <v>5</v>
      </c>
      <c r="J2142">
        <v>99.3</v>
      </c>
    </row>
    <row r="2143" spans="2:10">
      <c r="B2143" s="13" t="s">
        <v>3125</v>
      </c>
      <c r="C2143" s="13">
        <v>108.96</v>
      </c>
      <c r="H2143" t="s">
        <v>3138</v>
      </c>
      <c r="I2143" t="s">
        <v>5</v>
      </c>
      <c r="J2143">
        <v>108.96</v>
      </c>
    </row>
    <row r="2144" spans="2:10">
      <c r="B2144" s="13" t="s">
        <v>3118</v>
      </c>
      <c r="C2144" s="13">
        <v>2.6880000000000002</v>
      </c>
      <c r="H2144" t="s">
        <v>3138</v>
      </c>
      <c r="I2144" t="s">
        <v>5</v>
      </c>
      <c r="J2144">
        <v>2.6880000000000002</v>
      </c>
    </row>
    <row r="2145" spans="2:10">
      <c r="B2145" s="13" t="s">
        <v>3118</v>
      </c>
      <c r="C2145" s="13">
        <v>5443.96</v>
      </c>
      <c r="H2145" t="s">
        <v>3137</v>
      </c>
      <c r="I2145" t="s">
        <v>5</v>
      </c>
      <c r="J2145">
        <v>5443.96</v>
      </c>
    </row>
    <row r="2146" spans="2:10">
      <c r="B2146" s="13" t="s">
        <v>3115</v>
      </c>
      <c r="C2146" s="13">
        <v>302.67</v>
      </c>
      <c r="H2146" t="s">
        <v>3137</v>
      </c>
      <c r="I2146" t="s">
        <v>3</v>
      </c>
      <c r="J2146">
        <v>302.67</v>
      </c>
    </row>
    <row r="2147" spans="2:10">
      <c r="B2147" s="13" t="s">
        <v>3114</v>
      </c>
      <c r="C2147" s="13">
        <v>56.07</v>
      </c>
      <c r="H2147" t="s">
        <v>3137</v>
      </c>
      <c r="I2147" t="s">
        <v>5</v>
      </c>
      <c r="J2147">
        <v>56.07</v>
      </c>
    </row>
    <row r="2148" spans="2:10">
      <c r="B2148" s="13" t="s">
        <v>3122</v>
      </c>
      <c r="C2148" s="13">
        <v>8.8000000000000007</v>
      </c>
      <c r="H2148" t="s">
        <v>3137</v>
      </c>
      <c r="I2148" t="s">
        <v>5</v>
      </c>
      <c r="J2148">
        <v>8.8000000000000007</v>
      </c>
    </row>
    <row r="2149" spans="2:10">
      <c r="B2149" s="13" t="s">
        <v>3120</v>
      </c>
      <c r="C2149" s="13">
        <v>142.80000000000001</v>
      </c>
      <c r="H2149" t="s">
        <v>3137</v>
      </c>
      <c r="I2149" t="s">
        <v>4</v>
      </c>
      <c r="J2149">
        <v>142.80000000000001</v>
      </c>
    </row>
    <row r="2150" spans="2:10">
      <c r="B2150" s="13" t="s">
        <v>3120</v>
      </c>
      <c r="C2150" s="13">
        <v>399.95</v>
      </c>
      <c r="H2150" t="s">
        <v>3137</v>
      </c>
      <c r="I2150" t="s">
        <v>4</v>
      </c>
      <c r="J2150">
        <v>399.95</v>
      </c>
    </row>
    <row r="2151" spans="2:10">
      <c r="B2151" s="13" t="s">
        <v>3114</v>
      </c>
      <c r="C2151" s="13">
        <v>73.679999999999993</v>
      </c>
      <c r="H2151" t="s">
        <v>3138</v>
      </c>
      <c r="I2151" t="s">
        <v>5</v>
      </c>
      <c r="J2151">
        <v>73.679999999999993</v>
      </c>
    </row>
    <row r="2152" spans="2:10">
      <c r="B2152" s="13" t="s">
        <v>3119</v>
      </c>
      <c r="C2152" s="13">
        <v>139.91999999999999</v>
      </c>
      <c r="H2152" t="s">
        <v>3138</v>
      </c>
      <c r="I2152" t="s">
        <v>3</v>
      </c>
      <c r="J2152">
        <v>139.91999999999999</v>
      </c>
    </row>
    <row r="2153" spans="2:10">
      <c r="B2153" s="13" t="s">
        <v>3116</v>
      </c>
      <c r="C2153" s="13">
        <v>107.88</v>
      </c>
      <c r="H2153" t="s">
        <v>3138</v>
      </c>
      <c r="I2153" t="s">
        <v>4</v>
      </c>
      <c r="J2153">
        <v>107.88</v>
      </c>
    </row>
    <row r="2154" spans="2:10">
      <c r="B2154" s="13" t="s">
        <v>3117</v>
      </c>
      <c r="C2154" s="13">
        <v>33.29</v>
      </c>
      <c r="H2154" t="s">
        <v>3138</v>
      </c>
      <c r="I2154" t="s">
        <v>5</v>
      </c>
      <c r="J2154">
        <v>33.29</v>
      </c>
    </row>
    <row r="2155" spans="2:10">
      <c r="B2155" s="13" t="s">
        <v>3118</v>
      </c>
      <c r="C2155" s="13">
        <v>58.170000000000009</v>
      </c>
      <c r="H2155" t="s">
        <v>3136</v>
      </c>
      <c r="I2155" t="s">
        <v>5</v>
      </c>
      <c r="J2155">
        <v>58.170000000000009</v>
      </c>
    </row>
    <row r="2156" spans="2:10">
      <c r="B2156" s="13" t="s">
        <v>3121</v>
      </c>
      <c r="C2156" s="13">
        <v>5.04</v>
      </c>
      <c r="H2156" t="s">
        <v>3136</v>
      </c>
      <c r="I2156" t="s">
        <v>5</v>
      </c>
      <c r="J2156">
        <v>5.04</v>
      </c>
    </row>
    <row r="2157" spans="2:10">
      <c r="B2157" s="13" t="s">
        <v>3114</v>
      </c>
      <c r="C2157" s="13">
        <v>24.784000000000002</v>
      </c>
      <c r="H2157" t="s">
        <v>3136</v>
      </c>
      <c r="I2157" t="s">
        <v>5</v>
      </c>
      <c r="J2157">
        <v>24.784000000000002</v>
      </c>
    </row>
    <row r="2158" spans="2:10">
      <c r="B2158" s="13" t="s">
        <v>3114</v>
      </c>
      <c r="C2158" s="13">
        <v>13.36</v>
      </c>
      <c r="H2158" t="s">
        <v>3138</v>
      </c>
      <c r="I2158" t="s">
        <v>5</v>
      </c>
      <c r="J2158">
        <v>13.36</v>
      </c>
    </row>
    <row r="2159" spans="2:10">
      <c r="B2159" s="13" t="s">
        <v>3117</v>
      </c>
      <c r="C2159" s="13">
        <v>158.9</v>
      </c>
      <c r="H2159" t="s">
        <v>3138</v>
      </c>
      <c r="I2159" t="s">
        <v>5</v>
      </c>
      <c r="J2159">
        <v>158.9</v>
      </c>
    </row>
    <row r="2160" spans="2:10">
      <c r="B2160" s="13" t="s">
        <v>3125</v>
      </c>
      <c r="C2160" s="13">
        <v>33.61999999999999</v>
      </c>
      <c r="H2160" t="s">
        <v>3137</v>
      </c>
      <c r="I2160" t="s">
        <v>5</v>
      </c>
      <c r="J2160">
        <v>33.61999999999999</v>
      </c>
    </row>
    <row r="2161" spans="2:10">
      <c r="B2161" s="13" t="s">
        <v>3118</v>
      </c>
      <c r="C2161" s="13">
        <v>243.99199999999996</v>
      </c>
      <c r="H2161" t="s">
        <v>3137</v>
      </c>
      <c r="I2161" t="s">
        <v>5</v>
      </c>
      <c r="J2161">
        <v>243.99199999999996</v>
      </c>
    </row>
    <row r="2162" spans="2:10">
      <c r="B2162" s="13" t="s">
        <v>3122</v>
      </c>
      <c r="C2162" s="13">
        <v>7.120000000000001</v>
      </c>
      <c r="H2162" t="s">
        <v>3137</v>
      </c>
      <c r="I2162" t="s">
        <v>5</v>
      </c>
      <c r="J2162">
        <v>7.120000000000001</v>
      </c>
    </row>
    <row r="2163" spans="2:10">
      <c r="B2163" s="13" t="s">
        <v>3120</v>
      </c>
      <c r="C2163" s="13">
        <v>1049.44</v>
      </c>
      <c r="H2163" t="s">
        <v>3138</v>
      </c>
      <c r="I2163" t="s">
        <v>4</v>
      </c>
      <c r="J2163">
        <v>1049.44</v>
      </c>
    </row>
    <row r="2164" spans="2:10">
      <c r="B2164" s="13" t="s">
        <v>3115</v>
      </c>
      <c r="C2164" s="13">
        <v>170.35200000000003</v>
      </c>
      <c r="H2164" t="s">
        <v>3138</v>
      </c>
      <c r="I2164" t="s">
        <v>3</v>
      </c>
      <c r="J2164">
        <v>170.35200000000003</v>
      </c>
    </row>
    <row r="2165" spans="2:10">
      <c r="B2165" s="13" t="s">
        <v>3122</v>
      </c>
      <c r="C2165" s="13">
        <v>101.94</v>
      </c>
      <c r="H2165" t="s">
        <v>3135</v>
      </c>
      <c r="I2165" t="s">
        <v>5</v>
      </c>
      <c r="J2165">
        <v>101.94</v>
      </c>
    </row>
    <row r="2166" spans="2:10">
      <c r="B2166" s="13" t="s">
        <v>3116</v>
      </c>
      <c r="C2166" s="13">
        <v>271.95999999999998</v>
      </c>
      <c r="H2166" t="s">
        <v>3135</v>
      </c>
      <c r="I2166" t="s">
        <v>4</v>
      </c>
      <c r="J2166">
        <v>271.95999999999998</v>
      </c>
    </row>
    <row r="2167" spans="2:10">
      <c r="B2167" s="13" t="s">
        <v>3119</v>
      </c>
      <c r="C2167" s="13">
        <v>8.8000000000000007</v>
      </c>
      <c r="H2167" t="s">
        <v>3135</v>
      </c>
      <c r="I2167" t="s">
        <v>3</v>
      </c>
      <c r="J2167">
        <v>8.8000000000000007</v>
      </c>
    </row>
    <row r="2168" spans="2:10">
      <c r="B2168" s="13" t="s">
        <v>3122</v>
      </c>
      <c r="C2168" s="13">
        <v>19.68</v>
      </c>
      <c r="H2168" t="s">
        <v>3135</v>
      </c>
      <c r="I2168" t="s">
        <v>5</v>
      </c>
      <c r="J2168">
        <v>19.68</v>
      </c>
    </row>
    <row r="2169" spans="2:10">
      <c r="B2169" s="13" t="s">
        <v>3128</v>
      </c>
      <c r="C2169" s="13">
        <v>302.94</v>
      </c>
      <c r="H2169" t="s">
        <v>3135</v>
      </c>
      <c r="I2169" t="s">
        <v>3</v>
      </c>
      <c r="J2169">
        <v>302.94</v>
      </c>
    </row>
    <row r="2170" spans="2:10">
      <c r="B2170" s="13" t="s">
        <v>3118</v>
      </c>
      <c r="C2170" s="13">
        <v>14.940000000000001</v>
      </c>
      <c r="H2170" t="s">
        <v>3135</v>
      </c>
      <c r="I2170" t="s">
        <v>5</v>
      </c>
      <c r="J2170">
        <v>14.940000000000001</v>
      </c>
    </row>
    <row r="2171" spans="2:10">
      <c r="B2171" s="13" t="s">
        <v>3129</v>
      </c>
      <c r="C2171" s="13">
        <v>231.72</v>
      </c>
      <c r="H2171" t="s">
        <v>3135</v>
      </c>
      <c r="I2171" t="s">
        <v>5</v>
      </c>
      <c r="J2171">
        <v>231.72</v>
      </c>
    </row>
    <row r="2172" spans="2:10">
      <c r="B2172" s="13" t="s">
        <v>3118</v>
      </c>
      <c r="C2172" s="13">
        <v>11.760000000000002</v>
      </c>
      <c r="H2172" t="s">
        <v>3136</v>
      </c>
      <c r="I2172" t="s">
        <v>5</v>
      </c>
      <c r="J2172">
        <v>11.760000000000002</v>
      </c>
    </row>
    <row r="2173" spans="2:10">
      <c r="B2173" s="13" t="s">
        <v>3114</v>
      </c>
      <c r="C2173" s="13">
        <v>5.3440000000000003</v>
      </c>
      <c r="H2173" t="s">
        <v>3136</v>
      </c>
      <c r="I2173" t="s">
        <v>5</v>
      </c>
      <c r="J2173">
        <v>5.3440000000000003</v>
      </c>
    </row>
    <row r="2174" spans="2:10">
      <c r="B2174" s="13" t="s">
        <v>3117</v>
      </c>
      <c r="C2174" s="13">
        <v>146.352</v>
      </c>
      <c r="H2174" t="s">
        <v>3138</v>
      </c>
      <c r="I2174" t="s">
        <v>5</v>
      </c>
      <c r="J2174">
        <v>146.352</v>
      </c>
    </row>
    <row r="2175" spans="2:10">
      <c r="B2175" s="13" t="s">
        <v>3114</v>
      </c>
      <c r="C2175" s="13">
        <v>32.400000000000006</v>
      </c>
      <c r="H2175" t="s">
        <v>3137</v>
      </c>
      <c r="I2175" t="s">
        <v>5</v>
      </c>
      <c r="J2175">
        <v>32.400000000000006</v>
      </c>
    </row>
    <row r="2176" spans="2:10">
      <c r="B2176" s="13" t="s">
        <v>3122</v>
      </c>
      <c r="C2176" s="13">
        <v>209.94</v>
      </c>
      <c r="H2176" t="s">
        <v>3137</v>
      </c>
      <c r="I2176" t="s">
        <v>5</v>
      </c>
      <c r="J2176">
        <v>209.94</v>
      </c>
    </row>
    <row r="2177" spans="2:10">
      <c r="B2177" s="13" t="s">
        <v>3129</v>
      </c>
      <c r="C2177" s="13">
        <v>4164.0499999999993</v>
      </c>
      <c r="H2177" t="s">
        <v>3137</v>
      </c>
      <c r="I2177" t="s">
        <v>5</v>
      </c>
      <c r="J2177">
        <v>4164.0499999999993</v>
      </c>
    </row>
    <row r="2178" spans="2:10">
      <c r="B2178" s="13" t="s">
        <v>3128</v>
      </c>
      <c r="C2178" s="13">
        <v>212.94</v>
      </c>
      <c r="H2178" t="s">
        <v>3137</v>
      </c>
      <c r="I2178" t="s">
        <v>3</v>
      </c>
      <c r="J2178">
        <v>212.94</v>
      </c>
    </row>
    <row r="2179" spans="2:10">
      <c r="B2179" s="13" t="s">
        <v>3118</v>
      </c>
      <c r="C2179" s="13">
        <v>68.541000000000011</v>
      </c>
      <c r="H2179" t="s">
        <v>3135</v>
      </c>
      <c r="I2179" t="s">
        <v>5</v>
      </c>
      <c r="J2179">
        <v>68.541000000000011</v>
      </c>
    </row>
    <row r="2180" spans="2:10">
      <c r="B2180" s="13" t="s">
        <v>3116</v>
      </c>
      <c r="C2180" s="13">
        <v>627.16800000000012</v>
      </c>
      <c r="H2180" t="s">
        <v>3135</v>
      </c>
      <c r="I2180" t="s">
        <v>4</v>
      </c>
      <c r="J2180">
        <v>627.16800000000012</v>
      </c>
    </row>
    <row r="2181" spans="2:10">
      <c r="B2181" s="13" t="s">
        <v>3121</v>
      </c>
      <c r="C2181" s="13">
        <v>122.12000000000002</v>
      </c>
      <c r="H2181" t="s">
        <v>3135</v>
      </c>
      <c r="I2181" t="s">
        <v>5</v>
      </c>
      <c r="J2181">
        <v>122.12000000000002</v>
      </c>
    </row>
    <row r="2182" spans="2:10">
      <c r="B2182" s="13" t="s">
        <v>3122</v>
      </c>
      <c r="C2182" s="13">
        <v>6.99</v>
      </c>
      <c r="H2182" t="s">
        <v>3136</v>
      </c>
      <c r="I2182" t="s">
        <v>5</v>
      </c>
      <c r="J2182">
        <v>6.99</v>
      </c>
    </row>
    <row r="2183" spans="2:10">
      <c r="B2183" s="13" t="s">
        <v>3118</v>
      </c>
      <c r="C2183" s="13">
        <v>107.42400000000001</v>
      </c>
      <c r="H2183" t="s">
        <v>3136</v>
      </c>
      <c r="I2183" t="s">
        <v>5</v>
      </c>
      <c r="J2183">
        <v>107.42400000000001</v>
      </c>
    </row>
    <row r="2184" spans="2:10">
      <c r="B2184" s="13" t="s">
        <v>3118</v>
      </c>
      <c r="C2184" s="13">
        <v>125.88</v>
      </c>
      <c r="H2184" t="s">
        <v>3137</v>
      </c>
      <c r="I2184" t="s">
        <v>5</v>
      </c>
      <c r="J2184">
        <v>125.88</v>
      </c>
    </row>
    <row r="2185" spans="2:10">
      <c r="B2185" s="13" t="s">
        <v>3120</v>
      </c>
      <c r="C2185" s="13">
        <v>79.78</v>
      </c>
      <c r="H2185" t="s">
        <v>3137</v>
      </c>
      <c r="I2185" t="s">
        <v>4</v>
      </c>
      <c r="J2185">
        <v>79.78</v>
      </c>
    </row>
    <row r="2186" spans="2:10">
      <c r="B2186" s="13" t="s">
        <v>3121</v>
      </c>
      <c r="C2186" s="13">
        <v>133.20000000000002</v>
      </c>
      <c r="H2186" t="s">
        <v>3137</v>
      </c>
      <c r="I2186" t="s">
        <v>5</v>
      </c>
      <c r="J2186">
        <v>133.20000000000002</v>
      </c>
    </row>
    <row r="2187" spans="2:10">
      <c r="B2187" s="13" t="s">
        <v>3118</v>
      </c>
      <c r="C2187" s="13">
        <v>42.615999999999993</v>
      </c>
      <c r="H2187" t="s">
        <v>3137</v>
      </c>
      <c r="I2187" t="s">
        <v>5</v>
      </c>
      <c r="J2187">
        <v>42.615999999999993</v>
      </c>
    </row>
    <row r="2188" spans="2:10">
      <c r="B2188" s="13" t="s">
        <v>3127</v>
      </c>
      <c r="C2188" s="13">
        <v>319.98400000000004</v>
      </c>
      <c r="H2188" t="s">
        <v>3137</v>
      </c>
      <c r="I2188" t="s">
        <v>4</v>
      </c>
      <c r="J2188">
        <v>319.98400000000004</v>
      </c>
    </row>
    <row r="2189" spans="2:10">
      <c r="B2189" s="13" t="s">
        <v>3123</v>
      </c>
      <c r="C2189" s="13">
        <v>45.92</v>
      </c>
      <c r="H2189" t="s">
        <v>3137</v>
      </c>
      <c r="I2189" t="s">
        <v>5</v>
      </c>
      <c r="J2189">
        <v>45.92</v>
      </c>
    </row>
    <row r="2190" spans="2:10">
      <c r="B2190" s="13" t="s">
        <v>3119</v>
      </c>
      <c r="C2190" s="13">
        <v>21.184000000000001</v>
      </c>
      <c r="H2190" t="s">
        <v>3137</v>
      </c>
      <c r="I2190" t="s">
        <v>3</v>
      </c>
      <c r="J2190">
        <v>21.184000000000001</v>
      </c>
    </row>
    <row r="2191" spans="2:10">
      <c r="B2191" s="13" t="s">
        <v>3114</v>
      </c>
      <c r="C2191" s="13">
        <v>20.736000000000004</v>
      </c>
      <c r="H2191" t="s">
        <v>3137</v>
      </c>
      <c r="I2191" t="s">
        <v>5</v>
      </c>
      <c r="J2191">
        <v>20.736000000000004</v>
      </c>
    </row>
    <row r="2192" spans="2:10">
      <c r="B2192" s="13" t="s">
        <v>3115</v>
      </c>
      <c r="C2192" s="13">
        <v>213.42999999999995</v>
      </c>
      <c r="H2192" t="s">
        <v>3137</v>
      </c>
      <c r="I2192" t="s">
        <v>3</v>
      </c>
      <c r="J2192">
        <v>213.42999999999995</v>
      </c>
    </row>
    <row r="2193" spans="2:10">
      <c r="B2193" s="13" t="s">
        <v>3116</v>
      </c>
      <c r="C2193" s="13">
        <v>333.57600000000002</v>
      </c>
      <c r="H2193" t="s">
        <v>3138</v>
      </c>
      <c r="I2193" t="s">
        <v>4</v>
      </c>
      <c r="J2193">
        <v>333.57600000000002</v>
      </c>
    </row>
    <row r="2194" spans="2:10">
      <c r="B2194" s="13" t="s">
        <v>3120</v>
      </c>
      <c r="C2194" s="13">
        <v>31.992000000000004</v>
      </c>
      <c r="H2194" t="s">
        <v>3138</v>
      </c>
      <c r="I2194" t="s">
        <v>4</v>
      </c>
      <c r="J2194">
        <v>31.992000000000004</v>
      </c>
    </row>
    <row r="2195" spans="2:10">
      <c r="B2195" s="13" t="s">
        <v>3117</v>
      </c>
      <c r="C2195" s="13">
        <v>51.168000000000006</v>
      </c>
      <c r="H2195" t="s">
        <v>3138</v>
      </c>
      <c r="I2195" t="s">
        <v>5</v>
      </c>
      <c r="J2195">
        <v>51.168000000000006</v>
      </c>
    </row>
    <row r="2196" spans="2:10">
      <c r="B2196" s="13" t="s">
        <v>3124</v>
      </c>
      <c r="C2196" s="13">
        <v>10.64</v>
      </c>
      <c r="H2196" t="s">
        <v>3138</v>
      </c>
      <c r="I2196" t="s">
        <v>5</v>
      </c>
      <c r="J2196">
        <v>10.64</v>
      </c>
    </row>
    <row r="2197" spans="2:10">
      <c r="B2197" s="13" t="s">
        <v>3119</v>
      </c>
      <c r="C2197" s="13">
        <v>68.703999999999994</v>
      </c>
      <c r="H2197" t="s">
        <v>3138</v>
      </c>
      <c r="I2197" t="s">
        <v>3</v>
      </c>
      <c r="J2197">
        <v>68.703999999999994</v>
      </c>
    </row>
    <row r="2198" spans="2:10">
      <c r="B2198" s="13" t="s">
        <v>3126</v>
      </c>
      <c r="C2198" s="13">
        <v>386.91</v>
      </c>
      <c r="H2198" t="s">
        <v>3138</v>
      </c>
      <c r="I2198" t="s">
        <v>3</v>
      </c>
      <c r="J2198">
        <v>386.91</v>
      </c>
    </row>
    <row r="2199" spans="2:10">
      <c r="B2199" s="13" t="s">
        <v>3126</v>
      </c>
      <c r="C2199" s="13">
        <v>356.85</v>
      </c>
      <c r="H2199" t="s">
        <v>3135</v>
      </c>
      <c r="I2199" t="s">
        <v>3</v>
      </c>
      <c r="J2199">
        <v>356.85</v>
      </c>
    </row>
    <row r="2200" spans="2:10">
      <c r="B2200" s="13" t="s">
        <v>3124</v>
      </c>
      <c r="C2200" s="13">
        <v>251.57999999999998</v>
      </c>
      <c r="H2200" t="s">
        <v>3135</v>
      </c>
      <c r="I2200" t="s">
        <v>5</v>
      </c>
      <c r="J2200">
        <v>251.57999999999998</v>
      </c>
    </row>
    <row r="2201" spans="2:10">
      <c r="B2201" s="13" t="s">
        <v>3119</v>
      </c>
      <c r="C2201" s="13">
        <v>42.85</v>
      </c>
      <c r="H2201" t="s">
        <v>3136</v>
      </c>
      <c r="I2201" t="s">
        <v>3</v>
      </c>
      <c r="J2201">
        <v>42.85</v>
      </c>
    </row>
    <row r="2202" spans="2:10">
      <c r="B2202" s="13" t="s">
        <v>3121</v>
      </c>
      <c r="C2202" s="13">
        <v>6.16</v>
      </c>
      <c r="H2202" t="s">
        <v>3136</v>
      </c>
      <c r="I2202" t="s">
        <v>5</v>
      </c>
      <c r="J2202">
        <v>6.16</v>
      </c>
    </row>
    <row r="2203" spans="2:10">
      <c r="B2203" s="13" t="s">
        <v>3129</v>
      </c>
      <c r="C2203" s="13">
        <v>17</v>
      </c>
      <c r="H2203" t="s">
        <v>3136</v>
      </c>
      <c r="I2203" t="s">
        <v>5</v>
      </c>
      <c r="J2203">
        <v>17</v>
      </c>
    </row>
    <row r="2204" spans="2:10">
      <c r="B2204" s="13" t="s">
        <v>3120</v>
      </c>
      <c r="C2204" s="13">
        <v>87.4</v>
      </c>
      <c r="H2204" t="s">
        <v>3136</v>
      </c>
      <c r="I2204" t="s">
        <v>4</v>
      </c>
      <c r="J2204">
        <v>87.4</v>
      </c>
    </row>
    <row r="2205" spans="2:10">
      <c r="B2205" s="13" t="s">
        <v>3118</v>
      </c>
      <c r="C2205" s="13">
        <v>29.84</v>
      </c>
      <c r="H2205" t="s">
        <v>3135</v>
      </c>
      <c r="I2205" t="s">
        <v>5</v>
      </c>
      <c r="J2205">
        <v>29.84</v>
      </c>
    </row>
    <row r="2206" spans="2:10">
      <c r="B2206" s="13" t="s">
        <v>3117</v>
      </c>
      <c r="C2206" s="13">
        <v>10.9</v>
      </c>
      <c r="H2206" t="s">
        <v>3136</v>
      </c>
      <c r="I2206" t="s">
        <v>5</v>
      </c>
      <c r="J2206">
        <v>10.9</v>
      </c>
    </row>
    <row r="2207" spans="2:10">
      <c r="B2207" s="13" t="s">
        <v>3114</v>
      </c>
      <c r="C2207" s="13">
        <v>79.92</v>
      </c>
      <c r="H2207" t="s">
        <v>3136</v>
      </c>
      <c r="I2207" t="s">
        <v>5</v>
      </c>
      <c r="J2207">
        <v>79.92</v>
      </c>
    </row>
    <row r="2208" spans="2:10">
      <c r="B2208" s="13" t="s">
        <v>3114</v>
      </c>
      <c r="C2208" s="13">
        <v>146.82</v>
      </c>
      <c r="H2208" t="s">
        <v>3136</v>
      </c>
      <c r="I2208" t="s">
        <v>5</v>
      </c>
      <c r="J2208">
        <v>146.82</v>
      </c>
    </row>
    <row r="2209" spans="2:10">
      <c r="B2209" s="13" t="s">
        <v>3118</v>
      </c>
      <c r="C2209" s="13">
        <v>3.6</v>
      </c>
      <c r="H2209" t="s">
        <v>3137</v>
      </c>
      <c r="I2209" t="s">
        <v>5</v>
      </c>
      <c r="J2209">
        <v>3.6</v>
      </c>
    </row>
    <row r="2210" spans="2:10">
      <c r="B2210" s="13" t="s">
        <v>3120</v>
      </c>
      <c r="C2210" s="13">
        <v>111.96</v>
      </c>
      <c r="H2210" t="s">
        <v>3138</v>
      </c>
      <c r="I2210" t="s">
        <v>4</v>
      </c>
      <c r="J2210">
        <v>111.96</v>
      </c>
    </row>
    <row r="2211" spans="2:10">
      <c r="B2211" s="13" t="s">
        <v>3122</v>
      </c>
      <c r="C2211" s="13">
        <v>12.160000000000002</v>
      </c>
      <c r="H2211" t="s">
        <v>3137</v>
      </c>
      <c r="I2211" t="s">
        <v>5</v>
      </c>
      <c r="J2211">
        <v>12.160000000000002</v>
      </c>
    </row>
    <row r="2212" spans="2:10">
      <c r="B2212" s="13" t="s">
        <v>3118</v>
      </c>
      <c r="C2212" s="13">
        <v>17.52</v>
      </c>
      <c r="H2212" t="s">
        <v>3137</v>
      </c>
      <c r="I2212" t="s">
        <v>5</v>
      </c>
      <c r="J2212">
        <v>17.52</v>
      </c>
    </row>
    <row r="2213" spans="2:10">
      <c r="B2213" s="13" t="s">
        <v>3125</v>
      </c>
      <c r="C2213" s="13">
        <v>155.88</v>
      </c>
      <c r="H2213" t="s">
        <v>3137</v>
      </c>
      <c r="I2213" t="s">
        <v>5</v>
      </c>
      <c r="J2213">
        <v>155.88</v>
      </c>
    </row>
    <row r="2214" spans="2:10">
      <c r="B2214" s="13" t="s">
        <v>3118</v>
      </c>
      <c r="C2214" s="13">
        <v>477.51</v>
      </c>
      <c r="H2214" t="s">
        <v>3135</v>
      </c>
      <c r="I2214" t="s">
        <v>5</v>
      </c>
      <c r="J2214">
        <v>477.51</v>
      </c>
    </row>
    <row r="2215" spans="2:10">
      <c r="B2215" s="13" t="s">
        <v>3114</v>
      </c>
      <c r="C2215" s="13">
        <v>164.88</v>
      </c>
      <c r="H2215" t="s">
        <v>3136</v>
      </c>
      <c r="I2215" t="s">
        <v>5</v>
      </c>
      <c r="J2215">
        <v>164.88</v>
      </c>
    </row>
    <row r="2216" spans="2:10">
      <c r="B2216" s="13" t="s">
        <v>3114</v>
      </c>
      <c r="C2216" s="13">
        <v>16.34</v>
      </c>
      <c r="H2216" t="s">
        <v>3138</v>
      </c>
      <c r="I2216" t="s">
        <v>5</v>
      </c>
      <c r="J2216">
        <v>16.34</v>
      </c>
    </row>
    <row r="2217" spans="2:10">
      <c r="B2217" s="13" t="s">
        <v>3115</v>
      </c>
      <c r="C2217" s="13">
        <v>225.29600000000002</v>
      </c>
      <c r="H2217" t="s">
        <v>3138</v>
      </c>
      <c r="I2217" t="s">
        <v>3</v>
      </c>
      <c r="J2217">
        <v>225.29600000000002</v>
      </c>
    </row>
    <row r="2218" spans="2:10">
      <c r="B2218" s="13" t="s">
        <v>3118</v>
      </c>
      <c r="C2218" s="13">
        <v>50.352000000000004</v>
      </c>
      <c r="H2218" t="s">
        <v>3138</v>
      </c>
      <c r="I2218" t="s">
        <v>5</v>
      </c>
      <c r="J2218">
        <v>50.352000000000004</v>
      </c>
    </row>
    <row r="2219" spans="2:10">
      <c r="B2219" s="13" t="s">
        <v>3122</v>
      </c>
      <c r="C2219" s="13">
        <v>9.9120000000000008</v>
      </c>
      <c r="H2219" t="s">
        <v>3136</v>
      </c>
      <c r="I2219" t="s">
        <v>5</v>
      </c>
      <c r="J2219">
        <v>9.9120000000000008</v>
      </c>
    </row>
    <row r="2220" spans="2:10">
      <c r="B2220" s="13" t="s">
        <v>3119</v>
      </c>
      <c r="C2220" s="13">
        <v>266.35200000000003</v>
      </c>
      <c r="H2220" t="s">
        <v>3137</v>
      </c>
      <c r="I2220" t="s">
        <v>3</v>
      </c>
      <c r="J2220">
        <v>266.35200000000003</v>
      </c>
    </row>
    <row r="2221" spans="2:10">
      <c r="B2221" s="13" t="s">
        <v>3119</v>
      </c>
      <c r="C2221" s="13">
        <v>56.328000000000003</v>
      </c>
      <c r="H2221" t="s">
        <v>3137</v>
      </c>
      <c r="I2221" t="s">
        <v>3</v>
      </c>
      <c r="J2221">
        <v>56.328000000000003</v>
      </c>
    </row>
    <row r="2222" spans="2:10">
      <c r="B2222" s="13" t="s">
        <v>3120</v>
      </c>
      <c r="C2222" s="13">
        <v>39.264000000000003</v>
      </c>
      <c r="H2222" t="s">
        <v>3137</v>
      </c>
      <c r="I2222" t="s">
        <v>4</v>
      </c>
      <c r="J2222">
        <v>39.264000000000003</v>
      </c>
    </row>
    <row r="2223" spans="2:10">
      <c r="B2223" s="13" t="s">
        <v>3122</v>
      </c>
      <c r="C2223" s="13">
        <v>95.231999999999999</v>
      </c>
      <c r="H2223" t="s">
        <v>3137</v>
      </c>
      <c r="I2223" t="s">
        <v>5</v>
      </c>
      <c r="J2223">
        <v>95.231999999999999</v>
      </c>
    </row>
    <row r="2224" spans="2:10">
      <c r="B2224" s="13" t="s">
        <v>3120</v>
      </c>
      <c r="C2224" s="13">
        <v>149.94999999999999</v>
      </c>
      <c r="H2224" t="s">
        <v>3138</v>
      </c>
      <c r="I2224" t="s">
        <v>4</v>
      </c>
      <c r="J2224">
        <v>149.94999999999999</v>
      </c>
    </row>
    <row r="2225" spans="2:10">
      <c r="B2225" s="13" t="s">
        <v>3122</v>
      </c>
      <c r="C2225" s="13">
        <v>23.32</v>
      </c>
      <c r="H2225" t="s">
        <v>3138</v>
      </c>
      <c r="I2225" t="s">
        <v>5</v>
      </c>
      <c r="J2225">
        <v>23.32</v>
      </c>
    </row>
    <row r="2226" spans="2:10">
      <c r="B2226" s="13" t="s">
        <v>3122</v>
      </c>
      <c r="C2226" s="13">
        <v>16.740000000000002</v>
      </c>
      <c r="H2226" t="s">
        <v>3138</v>
      </c>
      <c r="I2226" t="s">
        <v>5</v>
      </c>
      <c r="J2226">
        <v>16.740000000000002</v>
      </c>
    </row>
    <row r="2227" spans="2:10">
      <c r="B2227" s="13" t="s">
        <v>3123</v>
      </c>
      <c r="C2227" s="13">
        <v>14.82</v>
      </c>
      <c r="H2227" t="s">
        <v>3136</v>
      </c>
      <c r="I2227" t="s">
        <v>5</v>
      </c>
      <c r="J2227">
        <v>14.82</v>
      </c>
    </row>
    <row r="2228" spans="2:10">
      <c r="B2228" s="13" t="s">
        <v>3114</v>
      </c>
      <c r="C2228" s="13">
        <v>177.2</v>
      </c>
      <c r="H2228" t="s">
        <v>3137</v>
      </c>
      <c r="I2228" t="s">
        <v>5</v>
      </c>
      <c r="J2228">
        <v>177.2</v>
      </c>
    </row>
    <row r="2229" spans="2:10">
      <c r="B2229" s="13" t="s">
        <v>3115</v>
      </c>
      <c r="C2229" s="13">
        <v>122.13600000000001</v>
      </c>
      <c r="H2229" t="s">
        <v>3138</v>
      </c>
      <c r="I2229" t="s">
        <v>3</v>
      </c>
      <c r="J2229">
        <v>122.13600000000001</v>
      </c>
    </row>
    <row r="2230" spans="2:10">
      <c r="B2230" s="13" t="s">
        <v>3120</v>
      </c>
      <c r="C2230" s="13">
        <v>479.952</v>
      </c>
      <c r="H2230" t="s">
        <v>3136</v>
      </c>
      <c r="I2230" t="s">
        <v>4</v>
      </c>
      <c r="J2230">
        <v>479.952</v>
      </c>
    </row>
    <row r="2231" spans="2:10">
      <c r="B2231" s="13" t="s">
        <v>3122</v>
      </c>
      <c r="C2231" s="13">
        <v>23.92</v>
      </c>
      <c r="H2231" t="s">
        <v>3136</v>
      </c>
      <c r="I2231" t="s">
        <v>5</v>
      </c>
      <c r="J2231">
        <v>23.92</v>
      </c>
    </row>
    <row r="2232" spans="2:10">
      <c r="B2232" s="13" t="s">
        <v>3116</v>
      </c>
      <c r="C2232" s="13">
        <v>629.94999999999993</v>
      </c>
      <c r="H2232" t="s">
        <v>3136</v>
      </c>
      <c r="I2232" t="s">
        <v>4</v>
      </c>
      <c r="J2232">
        <v>629.94999999999993</v>
      </c>
    </row>
    <row r="2233" spans="2:10">
      <c r="B2233" s="13" t="s">
        <v>3118</v>
      </c>
      <c r="C2233" s="13">
        <v>14.952000000000002</v>
      </c>
      <c r="H2233" t="s">
        <v>3136</v>
      </c>
      <c r="I2233" t="s">
        <v>5</v>
      </c>
      <c r="J2233">
        <v>14.952000000000002</v>
      </c>
    </row>
    <row r="2234" spans="2:10">
      <c r="B2234" s="13" t="s">
        <v>3114</v>
      </c>
      <c r="C2234" s="13">
        <v>17.940000000000001</v>
      </c>
      <c r="H2234" t="s">
        <v>3136</v>
      </c>
      <c r="I2234" t="s">
        <v>5</v>
      </c>
      <c r="J2234">
        <v>17.940000000000001</v>
      </c>
    </row>
    <row r="2235" spans="2:10">
      <c r="B2235" s="13" t="s">
        <v>3116</v>
      </c>
      <c r="C2235" s="13">
        <v>116.98</v>
      </c>
      <c r="H2235" t="s">
        <v>3136</v>
      </c>
      <c r="I2235" t="s">
        <v>4</v>
      </c>
      <c r="J2235">
        <v>116.98</v>
      </c>
    </row>
    <row r="2236" spans="2:10">
      <c r="B2236" s="13" t="s">
        <v>3119</v>
      </c>
      <c r="C2236" s="13">
        <v>47.400000000000006</v>
      </c>
      <c r="H2236" t="s">
        <v>3136</v>
      </c>
      <c r="I2236" t="s">
        <v>3</v>
      </c>
      <c r="J2236">
        <v>47.400000000000006</v>
      </c>
    </row>
    <row r="2237" spans="2:10">
      <c r="B2237" s="13" t="s">
        <v>3115</v>
      </c>
      <c r="C2237" s="13">
        <v>512.96</v>
      </c>
      <c r="H2237" t="s">
        <v>3136</v>
      </c>
      <c r="I2237" t="s">
        <v>3</v>
      </c>
      <c r="J2237">
        <v>512.96</v>
      </c>
    </row>
    <row r="2238" spans="2:10">
      <c r="B2238" s="13" t="s">
        <v>3116</v>
      </c>
      <c r="C2238" s="13">
        <v>395.93999999999994</v>
      </c>
      <c r="H2238" t="s">
        <v>3136</v>
      </c>
      <c r="I2238" t="s">
        <v>4</v>
      </c>
      <c r="J2238">
        <v>395.93999999999994</v>
      </c>
    </row>
    <row r="2239" spans="2:10">
      <c r="B2239" s="13" t="s">
        <v>3117</v>
      </c>
      <c r="C2239" s="13">
        <v>81.96</v>
      </c>
      <c r="H2239" t="s">
        <v>3136</v>
      </c>
      <c r="I2239" t="s">
        <v>5</v>
      </c>
      <c r="J2239">
        <v>81.96</v>
      </c>
    </row>
    <row r="2240" spans="2:10">
      <c r="B2240" s="13" t="s">
        <v>3122</v>
      </c>
      <c r="C2240" s="13">
        <v>32.776000000000003</v>
      </c>
      <c r="H2240" t="s">
        <v>3135</v>
      </c>
      <c r="I2240" t="s">
        <v>5</v>
      </c>
      <c r="J2240">
        <v>32.776000000000003</v>
      </c>
    </row>
    <row r="2241" spans="2:10">
      <c r="B2241" s="13" t="s">
        <v>3117</v>
      </c>
      <c r="C2241" s="13">
        <v>272.94</v>
      </c>
      <c r="H2241" t="s">
        <v>3136</v>
      </c>
      <c r="I2241" t="s">
        <v>5</v>
      </c>
      <c r="J2241">
        <v>272.94</v>
      </c>
    </row>
    <row r="2242" spans="2:10">
      <c r="B2242" s="13" t="s">
        <v>3115</v>
      </c>
      <c r="C2242" s="13">
        <v>317.05799999999999</v>
      </c>
      <c r="H2242" t="s">
        <v>3137</v>
      </c>
      <c r="I2242" t="s">
        <v>3</v>
      </c>
      <c r="J2242">
        <v>317.05799999999999</v>
      </c>
    </row>
    <row r="2243" spans="2:10">
      <c r="B2243" s="13" t="s">
        <v>3122</v>
      </c>
      <c r="C2243" s="13">
        <v>15.76</v>
      </c>
      <c r="H2243" t="s">
        <v>3137</v>
      </c>
      <c r="I2243" t="s">
        <v>5</v>
      </c>
      <c r="J2243">
        <v>15.76</v>
      </c>
    </row>
    <row r="2244" spans="2:10">
      <c r="B2244" s="13" t="s">
        <v>3119</v>
      </c>
      <c r="C2244" s="13">
        <v>14.560000000000002</v>
      </c>
      <c r="H2244" t="s">
        <v>3137</v>
      </c>
      <c r="I2244" t="s">
        <v>3</v>
      </c>
      <c r="J2244">
        <v>14.560000000000002</v>
      </c>
    </row>
    <row r="2245" spans="2:10">
      <c r="B2245" s="13" t="s">
        <v>3122</v>
      </c>
      <c r="C2245" s="13">
        <v>35.4</v>
      </c>
      <c r="H2245" t="s">
        <v>3135</v>
      </c>
      <c r="I2245" t="s">
        <v>5</v>
      </c>
      <c r="J2245">
        <v>35.4</v>
      </c>
    </row>
    <row r="2246" spans="2:10">
      <c r="B2246" s="13" t="s">
        <v>3114</v>
      </c>
      <c r="C2246" s="13">
        <v>419.4</v>
      </c>
      <c r="H2246" t="s">
        <v>3138</v>
      </c>
      <c r="I2246" t="s">
        <v>5</v>
      </c>
      <c r="J2246">
        <v>419.4</v>
      </c>
    </row>
    <row r="2247" spans="2:10">
      <c r="B2247" s="13" t="s">
        <v>3118</v>
      </c>
      <c r="C2247" s="13">
        <v>13.005000000000003</v>
      </c>
      <c r="H2247" t="s">
        <v>3138</v>
      </c>
      <c r="I2247" t="s">
        <v>5</v>
      </c>
      <c r="J2247">
        <v>13.005000000000003</v>
      </c>
    </row>
    <row r="2248" spans="2:10">
      <c r="B2248" s="13" t="s">
        <v>3120</v>
      </c>
      <c r="C2248" s="13">
        <v>449.91</v>
      </c>
      <c r="H2248" t="s">
        <v>3136</v>
      </c>
      <c r="I2248" t="s">
        <v>4</v>
      </c>
      <c r="J2248">
        <v>449.91</v>
      </c>
    </row>
    <row r="2249" spans="2:10">
      <c r="B2249" s="13" t="s">
        <v>3119</v>
      </c>
      <c r="C2249" s="13">
        <v>20.096000000000004</v>
      </c>
      <c r="H2249" t="s">
        <v>3136</v>
      </c>
      <c r="I2249" t="s">
        <v>3</v>
      </c>
      <c r="J2249">
        <v>20.096000000000004</v>
      </c>
    </row>
    <row r="2250" spans="2:10">
      <c r="B2250" s="13" t="s">
        <v>3129</v>
      </c>
      <c r="C2250" s="13">
        <v>37.752000000000002</v>
      </c>
      <c r="H2250" t="s">
        <v>3136</v>
      </c>
      <c r="I2250" t="s">
        <v>5</v>
      </c>
      <c r="J2250">
        <v>37.752000000000002</v>
      </c>
    </row>
    <row r="2251" spans="2:10">
      <c r="B2251" s="13" t="s">
        <v>3126</v>
      </c>
      <c r="C2251" s="13">
        <v>138.58799999999999</v>
      </c>
      <c r="H2251" t="s">
        <v>3136</v>
      </c>
      <c r="I2251" t="s">
        <v>3</v>
      </c>
      <c r="J2251">
        <v>138.58799999999999</v>
      </c>
    </row>
    <row r="2252" spans="2:10">
      <c r="B2252" s="13" t="s">
        <v>3117</v>
      </c>
      <c r="C2252" s="13">
        <v>259.92000000000007</v>
      </c>
      <c r="H2252" t="s">
        <v>3136</v>
      </c>
      <c r="I2252" t="s">
        <v>5</v>
      </c>
      <c r="J2252">
        <v>259.92000000000007</v>
      </c>
    </row>
    <row r="2253" spans="2:10">
      <c r="B2253" s="13" t="s">
        <v>3114</v>
      </c>
      <c r="C2253" s="13">
        <v>20.736000000000004</v>
      </c>
      <c r="H2253" t="s">
        <v>3136</v>
      </c>
      <c r="I2253" t="s">
        <v>5</v>
      </c>
      <c r="J2253">
        <v>20.736000000000004</v>
      </c>
    </row>
    <row r="2254" spans="2:10">
      <c r="B2254" s="13" t="s">
        <v>3118</v>
      </c>
      <c r="C2254" s="13">
        <v>3.8560000000000003</v>
      </c>
      <c r="H2254" t="s">
        <v>3138</v>
      </c>
      <c r="I2254" t="s">
        <v>5</v>
      </c>
      <c r="J2254">
        <v>3.8560000000000003</v>
      </c>
    </row>
    <row r="2255" spans="2:10">
      <c r="B2255" s="13" t="s">
        <v>3118</v>
      </c>
      <c r="C2255" s="13">
        <v>3.8820000000000006</v>
      </c>
      <c r="H2255" t="s">
        <v>3136</v>
      </c>
      <c r="I2255" t="s">
        <v>5</v>
      </c>
      <c r="J2255">
        <v>3.8820000000000006</v>
      </c>
    </row>
    <row r="2256" spans="2:10">
      <c r="B2256" s="13" t="s">
        <v>3130</v>
      </c>
      <c r="C2256" s="13">
        <v>12.585000000000003</v>
      </c>
      <c r="H2256" t="s">
        <v>3136</v>
      </c>
      <c r="I2256" t="s">
        <v>4</v>
      </c>
      <c r="J2256">
        <v>12.585000000000003</v>
      </c>
    </row>
    <row r="2257" spans="2:10">
      <c r="B2257" s="13" t="s">
        <v>3115</v>
      </c>
      <c r="C2257" s="13">
        <v>113.372</v>
      </c>
      <c r="H2257" t="s">
        <v>3136</v>
      </c>
      <c r="I2257" t="s">
        <v>3</v>
      </c>
      <c r="J2257">
        <v>113.372</v>
      </c>
    </row>
    <row r="2258" spans="2:10">
      <c r="B2258" s="13" t="s">
        <v>3118</v>
      </c>
      <c r="C2258" s="13">
        <v>18.312000000000001</v>
      </c>
      <c r="H2258" t="s">
        <v>3136</v>
      </c>
      <c r="I2258" t="s">
        <v>5</v>
      </c>
      <c r="J2258">
        <v>18.312000000000001</v>
      </c>
    </row>
    <row r="2259" spans="2:10">
      <c r="B2259" s="13" t="s">
        <v>3119</v>
      </c>
      <c r="C2259" s="13">
        <v>127.93599999999999</v>
      </c>
      <c r="H2259" t="s">
        <v>3136</v>
      </c>
      <c r="I2259" t="s">
        <v>3</v>
      </c>
      <c r="J2259">
        <v>127.93599999999999</v>
      </c>
    </row>
    <row r="2260" spans="2:10">
      <c r="B2260" s="13" t="s">
        <v>3130</v>
      </c>
      <c r="C2260" s="13">
        <v>241.17000000000002</v>
      </c>
      <c r="H2260" t="s">
        <v>3136</v>
      </c>
      <c r="I2260" t="s">
        <v>4</v>
      </c>
      <c r="J2260">
        <v>241.17000000000002</v>
      </c>
    </row>
    <row r="2261" spans="2:10">
      <c r="B2261" s="13" t="s">
        <v>3118</v>
      </c>
      <c r="C2261" s="13">
        <v>1.6799999999999995</v>
      </c>
      <c r="H2261" t="s">
        <v>3137</v>
      </c>
      <c r="I2261" t="s">
        <v>5</v>
      </c>
      <c r="J2261">
        <v>1.6799999999999995</v>
      </c>
    </row>
    <row r="2262" spans="2:10">
      <c r="B2262" s="13" t="s">
        <v>3119</v>
      </c>
      <c r="C2262" s="13">
        <v>7.968</v>
      </c>
      <c r="H2262" t="s">
        <v>3137</v>
      </c>
      <c r="I2262" t="s">
        <v>3</v>
      </c>
      <c r="J2262">
        <v>7.968</v>
      </c>
    </row>
    <row r="2263" spans="2:10">
      <c r="B2263" s="13" t="s">
        <v>3115</v>
      </c>
      <c r="C2263" s="13">
        <v>113.372</v>
      </c>
      <c r="H2263" t="s">
        <v>3137</v>
      </c>
      <c r="I2263" t="s">
        <v>3</v>
      </c>
      <c r="J2263">
        <v>113.372</v>
      </c>
    </row>
    <row r="2264" spans="2:10">
      <c r="B2264" s="13" t="s">
        <v>3119</v>
      </c>
      <c r="C2264" s="13">
        <v>2.9600000000000004</v>
      </c>
      <c r="H2264" t="s">
        <v>3137</v>
      </c>
      <c r="I2264" t="s">
        <v>3</v>
      </c>
      <c r="J2264">
        <v>2.9600000000000004</v>
      </c>
    </row>
    <row r="2265" spans="2:10">
      <c r="B2265" s="13" t="s">
        <v>3125</v>
      </c>
      <c r="C2265" s="13">
        <v>168.1</v>
      </c>
      <c r="H2265" t="s">
        <v>3138</v>
      </c>
      <c r="I2265" t="s">
        <v>5</v>
      </c>
      <c r="J2265">
        <v>168.1</v>
      </c>
    </row>
    <row r="2266" spans="2:10">
      <c r="B2266" s="13" t="s">
        <v>3125</v>
      </c>
      <c r="C2266" s="13">
        <v>17.48</v>
      </c>
      <c r="H2266" t="s">
        <v>3136</v>
      </c>
      <c r="I2266" t="s">
        <v>5</v>
      </c>
      <c r="J2266">
        <v>17.48</v>
      </c>
    </row>
    <row r="2267" spans="2:10">
      <c r="B2267" s="13" t="s">
        <v>3121</v>
      </c>
      <c r="C2267" s="13">
        <v>152.65</v>
      </c>
      <c r="H2267" t="s">
        <v>3138</v>
      </c>
      <c r="I2267" t="s">
        <v>5</v>
      </c>
      <c r="J2267">
        <v>152.65</v>
      </c>
    </row>
    <row r="2268" spans="2:10">
      <c r="B2268" s="13" t="s">
        <v>3119</v>
      </c>
      <c r="C2268" s="13">
        <v>22.72</v>
      </c>
      <c r="H2268" t="s">
        <v>3138</v>
      </c>
      <c r="I2268" t="s">
        <v>3</v>
      </c>
      <c r="J2268">
        <v>22.72</v>
      </c>
    </row>
    <row r="2269" spans="2:10">
      <c r="B2269" s="13" t="s">
        <v>3125</v>
      </c>
      <c r="C2269" s="13">
        <v>1640.6999999999998</v>
      </c>
      <c r="H2269" t="s">
        <v>3138</v>
      </c>
      <c r="I2269" t="s">
        <v>5</v>
      </c>
      <c r="J2269">
        <v>1640.6999999999998</v>
      </c>
    </row>
    <row r="2270" spans="2:10">
      <c r="B2270" s="13" t="s">
        <v>3116</v>
      </c>
      <c r="C2270" s="13">
        <v>371.2</v>
      </c>
      <c r="H2270" t="s">
        <v>3138</v>
      </c>
      <c r="I2270" t="s">
        <v>4</v>
      </c>
      <c r="J2270">
        <v>371.2</v>
      </c>
    </row>
    <row r="2271" spans="2:10">
      <c r="B2271" s="13" t="s">
        <v>3117</v>
      </c>
      <c r="C2271" s="13">
        <v>62.04</v>
      </c>
      <c r="H2271" t="s">
        <v>3135</v>
      </c>
      <c r="I2271" t="s">
        <v>5</v>
      </c>
      <c r="J2271">
        <v>62.04</v>
      </c>
    </row>
    <row r="2272" spans="2:10">
      <c r="B2272" s="13" t="s">
        <v>3116</v>
      </c>
      <c r="C2272" s="13">
        <v>494.97</v>
      </c>
      <c r="H2272" t="s">
        <v>3135</v>
      </c>
      <c r="I2272" t="s">
        <v>4</v>
      </c>
      <c r="J2272">
        <v>494.97</v>
      </c>
    </row>
    <row r="2273" spans="2:10">
      <c r="B2273" s="13" t="s">
        <v>3117</v>
      </c>
      <c r="C2273" s="13">
        <v>367.96</v>
      </c>
      <c r="H2273" t="s">
        <v>3135</v>
      </c>
      <c r="I2273" t="s">
        <v>5</v>
      </c>
      <c r="J2273">
        <v>367.96</v>
      </c>
    </row>
    <row r="2274" spans="2:10">
      <c r="B2274" s="13" t="s">
        <v>3114</v>
      </c>
      <c r="C2274" s="13">
        <v>44.96</v>
      </c>
      <c r="H2274" t="s">
        <v>3135</v>
      </c>
      <c r="I2274" t="s">
        <v>5</v>
      </c>
      <c r="J2274">
        <v>44.96</v>
      </c>
    </row>
    <row r="2275" spans="2:10">
      <c r="B2275" s="13" t="s">
        <v>3124</v>
      </c>
      <c r="C2275" s="13">
        <v>182.94</v>
      </c>
      <c r="H2275" t="s">
        <v>3135</v>
      </c>
      <c r="I2275" t="s">
        <v>5</v>
      </c>
      <c r="J2275">
        <v>182.94</v>
      </c>
    </row>
    <row r="2276" spans="2:10">
      <c r="B2276" s="13" t="s">
        <v>3114</v>
      </c>
      <c r="C2276" s="13">
        <v>28.14</v>
      </c>
      <c r="H2276" t="s">
        <v>3138</v>
      </c>
      <c r="I2276" t="s">
        <v>5</v>
      </c>
      <c r="J2276">
        <v>28.14</v>
      </c>
    </row>
    <row r="2277" spans="2:10">
      <c r="B2277" s="13" t="s">
        <v>3121</v>
      </c>
      <c r="C2277" s="13">
        <v>7.38</v>
      </c>
      <c r="H2277" t="s">
        <v>3138</v>
      </c>
      <c r="I2277" t="s">
        <v>5</v>
      </c>
      <c r="J2277">
        <v>7.38</v>
      </c>
    </row>
    <row r="2278" spans="2:10">
      <c r="B2278" s="13" t="s">
        <v>3123</v>
      </c>
      <c r="C2278" s="13">
        <v>10.9</v>
      </c>
      <c r="H2278" t="s">
        <v>3138</v>
      </c>
      <c r="I2278" t="s">
        <v>5</v>
      </c>
      <c r="J2278">
        <v>10.9</v>
      </c>
    </row>
    <row r="2279" spans="2:10">
      <c r="B2279" s="13" t="s">
        <v>3120</v>
      </c>
      <c r="C2279" s="13">
        <v>274.89</v>
      </c>
      <c r="H2279" t="s">
        <v>3138</v>
      </c>
      <c r="I2279" t="s">
        <v>4</v>
      </c>
      <c r="J2279">
        <v>274.89</v>
      </c>
    </row>
    <row r="2280" spans="2:10">
      <c r="B2280" s="13" t="s">
        <v>3121</v>
      </c>
      <c r="C2280" s="13">
        <v>23.04</v>
      </c>
      <c r="H2280" t="s">
        <v>3138</v>
      </c>
      <c r="I2280" t="s">
        <v>5</v>
      </c>
      <c r="J2280">
        <v>23.04</v>
      </c>
    </row>
    <row r="2281" spans="2:10">
      <c r="B2281" s="13" t="s">
        <v>3115</v>
      </c>
      <c r="C2281" s="13">
        <v>218.35200000000003</v>
      </c>
      <c r="H2281" t="s">
        <v>3138</v>
      </c>
      <c r="I2281" t="s">
        <v>3</v>
      </c>
      <c r="J2281">
        <v>218.35200000000003</v>
      </c>
    </row>
    <row r="2282" spans="2:10">
      <c r="B2282" s="13" t="s">
        <v>3114</v>
      </c>
      <c r="C2282" s="13">
        <v>10.368000000000002</v>
      </c>
      <c r="H2282" t="s">
        <v>3137</v>
      </c>
      <c r="I2282" t="s">
        <v>5</v>
      </c>
      <c r="J2282">
        <v>10.368000000000002</v>
      </c>
    </row>
    <row r="2283" spans="2:10">
      <c r="B2283" s="13" t="s">
        <v>3120</v>
      </c>
      <c r="C2283" s="13">
        <v>37.056000000000004</v>
      </c>
      <c r="H2283" t="s">
        <v>3136</v>
      </c>
      <c r="I2283" t="s">
        <v>4</v>
      </c>
      <c r="J2283">
        <v>37.056000000000004</v>
      </c>
    </row>
    <row r="2284" spans="2:10">
      <c r="B2284" s="13" t="s">
        <v>3116</v>
      </c>
      <c r="C2284" s="13">
        <v>259.89600000000002</v>
      </c>
      <c r="H2284" t="s">
        <v>3136</v>
      </c>
      <c r="I2284" t="s">
        <v>4</v>
      </c>
      <c r="J2284">
        <v>259.89600000000002</v>
      </c>
    </row>
    <row r="2285" spans="2:10">
      <c r="B2285" s="13" t="s">
        <v>3114</v>
      </c>
      <c r="C2285" s="13">
        <v>19.049999999999997</v>
      </c>
      <c r="H2285" t="s">
        <v>3138</v>
      </c>
      <c r="I2285" t="s">
        <v>5</v>
      </c>
      <c r="J2285">
        <v>19.049999999999997</v>
      </c>
    </row>
    <row r="2286" spans="2:10">
      <c r="B2286" s="13" t="s">
        <v>3118</v>
      </c>
      <c r="C2286" s="13">
        <v>73.343999999999994</v>
      </c>
      <c r="H2286" t="s">
        <v>3138</v>
      </c>
      <c r="I2286" t="s">
        <v>5</v>
      </c>
      <c r="J2286">
        <v>73.343999999999994</v>
      </c>
    </row>
    <row r="2287" spans="2:10">
      <c r="B2287" s="13" t="s">
        <v>3116</v>
      </c>
      <c r="C2287" s="13">
        <v>95.68</v>
      </c>
      <c r="H2287" t="s">
        <v>3135</v>
      </c>
      <c r="I2287" t="s">
        <v>4</v>
      </c>
      <c r="J2287">
        <v>95.68</v>
      </c>
    </row>
    <row r="2288" spans="2:10">
      <c r="B2288" s="13" t="s">
        <v>3114</v>
      </c>
      <c r="C2288" s="13">
        <v>50.96</v>
      </c>
      <c r="H2288" t="s">
        <v>3135</v>
      </c>
      <c r="I2288" t="s">
        <v>5</v>
      </c>
      <c r="J2288">
        <v>50.96</v>
      </c>
    </row>
    <row r="2289" spans="2:10">
      <c r="B2289" s="13" t="s">
        <v>3122</v>
      </c>
      <c r="C2289" s="13">
        <v>113.94</v>
      </c>
      <c r="H2289" t="s">
        <v>3135</v>
      </c>
      <c r="I2289" t="s">
        <v>5</v>
      </c>
      <c r="J2289">
        <v>113.94</v>
      </c>
    </row>
    <row r="2290" spans="2:10">
      <c r="B2290" s="13" t="s">
        <v>3114</v>
      </c>
      <c r="C2290" s="13">
        <v>25.92</v>
      </c>
      <c r="H2290" t="s">
        <v>3135</v>
      </c>
      <c r="I2290" t="s">
        <v>5</v>
      </c>
      <c r="J2290">
        <v>25.92</v>
      </c>
    </row>
    <row r="2291" spans="2:10">
      <c r="B2291" s="13" t="s">
        <v>3119</v>
      </c>
      <c r="C2291" s="13">
        <v>20.32</v>
      </c>
      <c r="H2291" t="s">
        <v>3135</v>
      </c>
      <c r="I2291" t="s">
        <v>3</v>
      </c>
      <c r="J2291">
        <v>20.32</v>
      </c>
    </row>
    <row r="2292" spans="2:10">
      <c r="B2292" s="13" t="s">
        <v>3116</v>
      </c>
      <c r="C2292" s="13">
        <v>411.98</v>
      </c>
      <c r="H2292" t="s">
        <v>3135</v>
      </c>
      <c r="I2292" t="s">
        <v>4</v>
      </c>
      <c r="J2292">
        <v>411.98</v>
      </c>
    </row>
    <row r="2293" spans="2:10">
      <c r="B2293" s="13" t="s">
        <v>3129</v>
      </c>
      <c r="C2293" s="13">
        <v>34.479999999999997</v>
      </c>
      <c r="H2293" t="s">
        <v>3135</v>
      </c>
      <c r="I2293" t="s">
        <v>5</v>
      </c>
      <c r="J2293">
        <v>34.479999999999997</v>
      </c>
    </row>
    <row r="2294" spans="2:10">
      <c r="B2294" s="13" t="s">
        <v>3114</v>
      </c>
      <c r="C2294" s="13">
        <v>244.54999999999998</v>
      </c>
      <c r="H2294" t="s">
        <v>3135</v>
      </c>
      <c r="I2294" t="s">
        <v>5</v>
      </c>
      <c r="J2294">
        <v>244.54999999999998</v>
      </c>
    </row>
    <row r="2295" spans="2:10">
      <c r="B2295" s="13" t="s">
        <v>3118</v>
      </c>
      <c r="C2295" s="13">
        <v>10.782000000000002</v>
      </c>
      <c r="H2295" t="s">
        <v>3136</v>
      </c>
      <c r="I2295" t="s">
        <v>5</v>
      </c>
      <c r="J2295">
        <v>10.782000000000002</v>
      </c>
    </row>
    <row r="2296" spans="2:10">
      <c r="B2296" s="13" t="s">
        <v>3127</v>
      </c>
      <c r="C2296" s="13">
        <v>2399.96</v>
      </c>
      <c r="H2296" t="s">
        <v>3138</v>
      </c>
      <c r="I2296" t="s">
        <v>4</v>
      </c>
      <c r="J2296">
        <v>2399.96</v>
      </c>
    </row>
    <row r="2297" spans="2:10">
      <c r="B2297" s="13" t="s">
        <v>3123</v>
      </c>
      <c r="C2297" s="13">
        <v>16</v>
      </c>
      <c r="H2297" t="s">
        <v>3137</v>
      </c>
      <c r="I2297" t="s">
        <v>5</v>
      </c>
      <c r="J2297">
        <v>16</v>
      </c>
    </row>
    <row r="2298" spans="2:10">
      <c r="B2298" s="13" t="s">
        <v>3125</v>
      </c>
      <c r="C2298" s="13">
        <v>5.5879999999999992</v>
      </c>
      <c r="H2298" t="s">
        <v>3137</v>
      </c>
      <c r="I2298" t="s">
        <v>5</v>
      </c>
      <c r="J2298">
        <v>5.5879999999999992</v>
      </c>
    </row>
    <row r="2299" spans="2:10">
      <c r="B2299" s="13" t="s">
        <v>3117</v>
      </c>
      <c r="C2299" s="13">
        <v>235.92</v>
      </c>
      <c r="H2299" t="s">
        <v>3137</v>
      </c>
      <c r="I2299" t="s">
        <v>5</v>
      </c>
      <c r="J2299">
        <v>235.92</v>
      </c>
    </row>
    <row r="2300" spans="2:10">
      <c r="B2300" s="13" t="s">
        <v>3117</v>
      </c>
      <c r="C2300" s="13">
        <v>10.68</v>
      </c>
      <c r="H2300" t="s">
        <v>3138</v>
      </c>
      <c r="I2300" t="s">
        <v>5</v>
      </c>
      <c r="J2300">
        <v>10.68</v>
      </c>
    </row>
    <row r="2301" spans="2:10">
      <c r="B2301" s="13" t="s">
        <v>3118</v>
      </c>
      <c r="C2301" s="13">
        <v>41.28</v>
      </c>
      <c r="H2301" t="s">
        <v>3137</v>
      </c>
      <c r="I2301" t="s">
        <v>5</v>
      </c>
      <c r="J2301">
        <v>41.28</v>
      </c>
    </row>
    <row r="2302" spans="2:10">
      <c r="B2302" s="13" t="s">
        <v>3119</v>
      </c>
      <c r="C2302" s="13">
        <v>14.76</v>
      </c>
      <c r="H2302" t="s">
        <v>3135</v>
      </c>
      <c r="I2302" t="s">
        <v>3</v>
      </c>
      <c r="J2302">
        <v>14.76</v>
      </c>
    </row>
    <row r="2303" spans="2:10">
      <c r="B2303" s="13" t="s">
        <v>3128</v>
      </c>
      <c r="C2303" s="13">
        <v>115.96</v>
      </c>
      <c r="H2303" t="s">
        <v>3138</v>
      </c>
      <c r="I2303" t="s">
        <v>3</v>
      </c>
      <c r="J2303">
        <v>115.96</v>
      </c>
    </row>
    <row r="2304" spans="2:10">
      <c r="B2304" s="13" t="s">
        <v>3117</v>
      </c>
      <c r="C2304" s="13">
        <v>186.54</v>
      </c>
      <c r="H2304" t="s">
        <v>3138</v>
      </c>
      <c r="I2304" t="s">
        <v>5</v>
      </c>
      <c r="J2304">
        <v>186.54</v>
      </c>
    </row>
    <row r="2305" spans="2:10">
      <c r="B2305" s="13" t="s">
        <v>3120</v>
      </c>
      <c r="C2305" s="13">
        <v>159.56</v>
      </c>
      <c r="H2305" t="s">
        <v>3138</v>
      </c>
      <c r="I2305" t="s">
        <v>4</v>
      </c>
      <c r="J2305">
        <v>159.56</v>
      </c>
    </row>
    <row r="2306" spans="2:10">
      <c r="B2306" s="13" t="s">
        <v>3125</v>
      </c>
      <c r="C2306" s="13">
        <v>356.78999999999996</v>
      </c>
      <c r="H2306" t="s">
        <v>3138</v>
      </c>
      <c r="I2306" t="s">
        <v>5</v>
      </c>
      <c r="J2306">
        <v>356.78999999999996</v>
      </c>
    </row>
    <row r="2307" spans="2:10">
      <c r="B2307" s="13" t="s">
        <v>3124</v>
      </c>
      <c r="C2307" s="13">
        <v>16.98</v>
      </c>
      <c r="H2307" t="s">
        <v>3136</v>
      </c>
      <c r="I2307" t="s">
        <v>5</v>
      </c>
      <c r="J2307">
        <v>16.98</v>
      </c>
    </row>
    <row r="2308" spans="2:10">
      <c r="B2308" s="13" t="s">
        <v>3120</v>
      </c>
      <c r="C2308" s="13">
        <v>95.976000000000013</v>
      </c>
      <c r="H2308" t="s">
        <v>3137</v>
      </c>
      <c r="I2308" t="s">
        <v>4</v>
      </c>
      <c r="J2308">
        <v>95.976000000000013</v>
      </c>
    </row>
    <row r="2309" spans="2:10">
      <c r="B2309" s="13" t="s">
        <v>3118</v>
      </c>
      <c r="C2309" s="13">
        <v>102.36799999999999</v>
      </c>
      <c r="H2309" t="s">
        <v>3136</v>
      </c>
      <c r="I2309" t="s">
        <v>5</v>
      </c>
      <c r="J2309">
        <v>102.36799999999999</v>
      </c>
    </row>
    <row r="2310" spans="2:10">
      <c r="B2310" s="13" t="s">
        <v>3129</v>
      </c>
      <c r="C2310" s="13">
        <v>28.4</v>
      </c>
      <c r="H2310" t="s">
        <v>3136</v>
      </c>
      <c r="I2310" t="s">
        <v>5</v>
      </c>
      <c r="J2310">
        <v>28.4</v>
      </c>
    </row>
    <row r="2311" spans="2:10">
      <c r="B2311" s="13" t="s">
        <v>3117</v>
      </c>
      <c r="C2311" s="13">
        <v>713.88</v>
      </c>
      <c r="H2311" t="s">
        <v>3136</v>
      </c>
      <c r="I2311" t="s">
        <v>5</v>
      </c>
      <c r="J2311">
        <v>713.88</v>
      </c>
    </row>
    <row r="2312" spans="2:10">
      <c r="B2312" s="13" t="s">
        <v>3114</v>
      </c>
      <c r="C2312" s="13">
        <v>68.52</v>
      </c>
      <c r="H2312" t="s">
        <v>3136</v>
      </c>
      <c r="I2312" t="s">
        <v>5</v>
      </c>
      <c r="J2312">
        <v>68.52</v>
      </c>
    </row>
    <row r="2313" spans="2:10">
      <c r="B2313" s="13" t="s">
        <v>3118</v>
      </c>
      <c r="C2313" s="13">
        <v>58.407999999999994</v>
      </c>
      <c r="H2313" t="s">
        <v>3136</v>
      </c>
      <c r="I2313" t="s">
        <v>5</v>
      </c>
      <c r="J2313">
        <v>58.407999999999994</v>
      </c>
    </row>
    <row r="2314" spans="2:10">
      <c r="B2314" s="13" t="s">
        <v>3126</v>
      </c>
      <c r="C2314" s="13">
        <v>79.97399999999999</v>
      </c>
      <c r="H2314" t="s">
        <v>3136</v>
      </c>
      <c r="I2314" t="s">
        <v>3</v>
      </c>
      <c r="J2314">
        <v>79.97399999999999</v>
      </c>
    </row>
    <row r="2315" spans="2:10">
      <c r="B2315" s="13" t="s">
        <v>3122</v>
      </c>
      <c r="C2315" s="13">
        <v>7.8000000000000007</v>
      </c>
      <c r="H2315" t="s">
        <v>3138</v>
      </c>
      <c r="I2315" t="s">
        <v>5</v>
      </c>
      <c r="J2315">
        <v>7.8000000000000007</v>
      </c>
    </row>
    <row r="2316" spans="2:10">
      <c r="B2316" s="13" t="s">
        <v>3117</v>
      </c>
      <c r="C2316" s="13">
        <v>12.624000000000001</v>
      </c>
      <c r="H2316" t="s">
        <v>3138</v>
      </c>
      <c r="I2316" t="s">
        <v>5</v>
      </c>
      <c r="J2316">
        <v>12.624000000000001</v>
      </c>
    </row>
    <row r="2317" spans="2:10">
      <c r="B2317" s="13" t="s">
        <v>3120</v>
      </c>
      <c r="C2317" s="13">
        <v>89.584000000000003</v>
      </c>
      <c r="H2317" t="s">
        <v>3138</v>
      </c>
      <c r="I2317" t="s">
        <v>4</v>
      </c>
      <c r="J2317">
        <v>89.584000000000003</v>
      </c>
    </row>
    <row r="2318" spans="2:10">
      <c r="B2318" s="13" t="s">
        <v>3116</v>
      </c>
      <c r="C2318" s="13">
        <v>471.92</v>
      </c>
      <c r="H2318" t="s">
        <v>3138</v>
      </c>
      <c r="I2318" t="s">
        <v>4</v>
      </c>
      <c r="J2318">
        <v>471.92</v>
      </c>
    </row>
    <row r="2319" spans="2:10">
      <c r="B2319" s="13" t="s">
        <v>3118</v>
      </c>
      <c r="C2319" s="13">
        <v>18.180000000000003</v>
      </c>
      <c r="H2319" t="s">
        <v>3138</v>
      </c>
      <c r="I2319" t="s">
        <v>5</v>
      </c>
      <c r="J2319">
        <v>18.180000000000003</v>
      </c>
    </row>
    <row r="2320" spans="2:10">
      <c r="B2320" s="13" t="s">
        <v>3122</v>
      </c>
      <c r="C2320" s="13">
        <v>31.744</v>
      </c>
      <c r="H2320" t="s">
        <v>3137</v>
      </c>
      <c r="I2320" t="s">
        <v>5</v>
      </c>
      <c r="J2320">
        <v>31.744</v>
      </c>
    </row>
    <row r="2321" spans="2:10">
      <c r="B2321" s="13" t="s">
        <v>3114</v>
      </c>
      <c r="C2321" s="13">
        <v>48.87</v>
      </c>
      <c r="H2321" t="s">
        <v>3135</v>
      </c>
      <c r="I2321" t="s">
        <v>5</v>
      </c>
      <c r="J2321">
        <v>48.87</v>
      </c>
    </row>
    <row r="2322" spans="2:10">
      <c r="B2322" s="13" t="s">
        <v>3114</v>
      </c>
      <c r="C2322" s="13">
        <v>154.9</v>
      </c>
      <c r="H2322" t="s">
        <v>3138</v>
      </c>
      <c r="I2322" t="s">
        <v>5</v>
      </c>
      <c r="J2322">
        <v>154.9</v>
      </c>
    </row>
    <row r="2323" spans="2:10">
      <c r="B2323" s="13" t="s">
        <v>3125</v>
      </c>
      <c r="C2323" s="13">
        <v>1158.1199999999999</v>
      </c>
      <c r="H2323" t="s">
        <v>3135</v>
      </c>
      <c r="I2323" t="s">
        <v>5</v>
      </c>
      <c r="J2323">
        <v>1158.1199999999999</v>
      </c>
    </row>
    <row r="2324" spans="2:10">
      <c r="B2324" s="13" t="s">
        <v>3125</v>
      </c>
      <c r="C2324" s="13">
        <v>1.3919999999999997</v>
      </c>
      <c r="H2324" t="s">
        <v>3137</v>
      </c>
      <c r="I2324" t="s">
        <v>5</v>
      </c>
      <c r="J2324">
        <v>1.3919999999999997</v>
      </c>
    </row>
    <row r="2325" spans="2:10">
      <c r="B2325" s="13" t="s">
        <v>3118</v>
      </c>
      <c r="C2325" s="13">
        <v>13.839999999999998</v>
      </c>
      <c r="H2325" t="s">
        <v>3137</v>
      </c>
      <c r="I2325" t="s">
        <v>5</v>
      </c>
      <c r="J2325">
        <v>13.839999999999998</v>
      </c>
    </row>
    <row r="2326" spans="2:10">
      <c r="B2326" s="13" t="s">
        <v>3114</v>
      </c>
      <c r="C2326" s="13">
        <v>175.87200000000001</v>
      </c>
      <c r="H2326" t="s">
        <v>3137</v>
      </c>
      <c r="I2326" t="s">
        <v>5</v>
      </c>
      <c r="J2326">
        <v>175.87200000000001</v>
      </c>
    </row>
    <row r="2327" spans="2:10">
      <c r="B2327" s="13" t="s">
        <v>3125</v>
      </c>
      <c r="C2327" s="13">
        <v>208.44</v>
      </c>
      <c r="H2327" t="s">
        <v>3135</v>
      </c>
      <c r="I2327" t="s">
        <v>5</v>
      </c>
      <c r="J2327">
        <v>208.44</v>
      </c>
    </row>
    <row r="2328" spans="2:10">
      <c r="B2328" s="13" t="s">
        <v>3129</v>
      </c>
      <c r="C2328" s="13">
        <v>25.76</v>
      </c>
      <c r="H2328" t="s">
        <v>3135</v>
      </c>
      <c r="I2328" t="s">
        <v>5</v>
      </c>
      <c r="J2328">
        <v>25.76</v>
      </c>
    </row>
    <row r="2329" spans="2:10">
      <c r="B2329" s="13" t="s">
        <v>3128</v>
      </c>
      <c r="C2329" s="13">
        <v>148.25700000000001</v>
      </c>
      <c r="H2329" t="s">
        <v>3138</v>
      </c>
      <c r="I2329" t="s">
        <v>3</v>
      </c>
      <c r="J2329">
        <v>148.25700000000001</v>
      </c>
    </row>
    <row r="2330" spans="2:10">
      <c r="B2330" s="13" t="s">
        <v>3116</v>
      </c>
      <c r="C2330" s="13">
        <v>227.45999999999998</v>
      </c>
      <c r="H2330" t="s">
        <v>3136</v>
      </c>
      <c r="I2330" t="s">
        <v>4</v>
      </c>
      <c r="J2330">
        <v>227.45999999999998</v>
      </c>
    </row>
    <row r="2331" spans="2:10">
      <c r="B2331" s="13" t="s">
        <v>3118</v>
      </c>
      <c r="C2331" s="13">
        <v>46.24</v>
      </c>
      <c r="H2331" t="s">
        <v>3136</v>
      </c>
      <c r="I2331" t="s">
        <v>5</v>
      </c>
      <c r="J2331">
        <v>46.24</v>
      </c>
    </row>
    <row r="2332" spans="2:10">
      <c r="B2332" s="13" t="s">
        <v>3121</v>
      </c>
      <c r="C2332" s="13">
        <v>5.22</v>
      </c>
      <c r="H2332" t="s">
        <v>3136</v>
      </c>
      <c r="I2332" t="s">
        <v>5</v>
      </c>
      <c r="J2332">
        <v>5.22</v>
      </c>
    </row>
    <row r="2333" spans="2:10">
      <c r="B2333" s="13" t="s">
        <v>3115</v>
      </c>
      <c r="C2333" s="13">
        <v>523.39200000000005</v>
      </c>
      <c r="H2333" t="s">
        <v>3138</v>
      </c>
      <c r="I2333" t="s">
        <v>3</v>
      </c>
      <c r="J2333">
        <v>523.39200000000005</v>
      </c>
    </row>
    <row r="2334" spans="2:10">
      <c r="B2334" s="13" t="s">
        <v>3114</v>
      </c>
      <c r="C2334" s="13">
        <v>12.96</v>
      </c>
      <c r="H2334" t="s">
        <v>3135</v>
      </c>
      <c r="I2334" t="s">
        <v>5</v>
      </c>
      <c r="J2334">
        <v>12.96</v>
      </c>
    </row>
    <row r="2335" spans="2:10">
      <c r="B2335" s="13" t="s">
        <v>3122</v>
      </c>
      <c r="C2335" s="13">
        <v>17.940000000000001</v>
      </c>
      <c r="H2335" t="s">
        <v>3135</v>
      </c>
      <c r="I2335" t="s">
        <v>5</v>
      </c>
      <c r="J2335">
        <v>17.940000000000001</v>
      </c>
    </row>
    <row r="2336" spans="2:10">
      <c r="B2336" s="13" t="s">
        <v>3117</v>
      </c>
      <c r="C2336" s="13">
        <v>166.72</v>
      </c>
      <c r="H2336" t="s">
        <v>3136</v>
      </c>
      <c r="I2336" t="s">
        <v>5</v>
      </c>
      <c r="J2336">
        <v>166.72</v>
      </c>
    </row>
    <row r="2337" spans="2:10">
      <c r="B2337" s="13" t="s">
        <v>3118</v>
      </c>
      <c r="C2337" s="13">
        <v>24.816000000000003</v>
      </c>
      <c r="H2337" t="s">
        <v>3136</v>
      </c>
      <c r="I2337" t="s">
        <v>5</v>
      </c>
      <c r="J2337">
        <v>24.816000000000003</v>
      </c>
    </row>
    <row r="2338" spans="2:10">
      <c r="B2338" s="13" t="s">
        <v>3119</v>
      </c>
      <c r="C2338" s="13">
        <v>124.36</v>
      </c>
      <c r="H2338" t="s">
        <v>3136</v>
      </c>
      <c r="I2338" t="s">
        <v>3</v>
      </c>
      <c r="J2338">
        <v>124.36</v>
      </c>
    </row>
    <row r="2339" spans="2:10">
      <c r="B2339" s="13" t="s">
        <v>3127</v>
      </c>
      <c r="C2339" s="13">
        <v>599.97</v>
      </c>
      <c r="H2339" t="s">
        <v>3136</v>
      </c>
      <c r="I2339" t="s">
        <v>4</v>
      </c>
      <c r="J2339">
        <v>599.97</v>
      </c>
    </row>
    <row r="2340" spans="2:10">
      <c r="B2340" s="13" t="s">
        <v>3115</v>
      </c>
      <c r="C2340" s="13">
        <v>198.744</v>
      </c>
      <c r="H2340" t="s">
        <v>3136</v>
      </c>
      <c r="I2340" t="s">
        <v>3</v>
      </c>
      <c r="J2340">
        <v>198.744</v>
      </c>
    </row>
    <row r="2341" spans="2:10">
      <c r="B2341" s="13" t="s">
        <v>3129</v>
      </c>
      <c r="C2341" s="13">
        <v>9.1840000000000011</v>
      </c>
      <c r="H2341" t="s">
        <v>3136</v>
      </c>
      <c r="I2341" t="s">
        <v>5</v>
      </c>
      <c r="J2341">
        <v>9.1840000000000011</v>
      </c>
    </row>
    <row r="2342" spans="2:10">
      <c r="B2342" s="13" t="s">
        <v>3129</v>
      </c>
      <c r="C2342" s="13">
        <v>6.2080000000000002</v>
      </c>
      <c r="H2342" t="s">
        <v>3138</v>
      </c>
      <c r="I2342" t="s">
        <v>5</v>
      </c>
      <c r="J2342">
        <v>6.2080000000000002</v>
      </c>
    </row>
    <row r="2343" spans="2:10">
      <c r="B2343" s="13" t="s">
        <v>3125</v>
      </c>
      <c r="C2343" s="13">
        <v>32.67</v>
      </c>
      <c r="H2343" t="s">
        <v>3136</v>
      </c>
      <c r="I2343" t="s">
        <v>5</v>
      </c>
      <c r="J2343">
        <v>32.67</v>
      </c>
    </row>
    <row r="2344" spans="2:10">
      <c r="B2344" s="13" t="s">
        <v>3122</v>
      </c>
      <c r="C2344" s="13">
        <v>3.52</v>
      </c>
      <c r="H2344" t="s">
        <v>3138</v>
      </c>
      <c r="I2344" t="s">
        <v>5</v>
      </c>
      <c r="J2344">
        <v>3.52</v>
      </c>
    </row>
    <row r="2345" spans="2:10">
      <c r="B2345" s="13" t="s">
        <v>3116</v>
      </c>
      <c r="C2345" s="13">
        <v>1626.1920000000002</v>
      </c>
      <c r="H2345" t="s">
        <v>3138</v>
      </c>
      <c r="I2345" t="s">
        <v>4</v>
      </c>
      <c r="J2345">
        <v>1626.1920000000002</v>
      </c>
    </row>
    <row r="2346" spans="2:10">
      <c r="B2346" s="13" t="s">
        <v>3118</v>
      </c>
      <c r="C2346" s="13">
        <v>8.5950000000000024</v>
      </c>
      <c r="H2346" t="s">
        <v>3136</v>
      </c>
      <c r="I2346" t="s">
        <v>5</v>
      </c>
      <c r="J2346">
        <v>8.5950000000000024</v>
      </c>
    </row>
    <row r="2347" spans="2:10">
      <c r="B2347" s="13" t="s">
        <v>3129</v>
      </c>
      <c r="C2347" s="13">
        <v>190.89600000000002</v>
      </c>
      <c r="H2347" t="s">
        <v>3136</v>
      </c>
      <c r="I2347" t="s">
        <v>5</v>
      </c>
      <c r="J2347">
        <v>190.89600000000002</v>
      </c>
    </row>
    <row r="2348" spans="2:10">
      <c r="B2348" s="13" t="s">
        <v>3117</v>
      </c>
      <c r="C2348" s="13">
        <v>99.87</v>
      </c>
      <c r="H2348" t="s">
        <v>3138</v>
      </c>
      <c r="I2348" t="s">
        <v>5</v>
      </c>
      <c r="J2348">
        <v>99.87</v>
      </c>
    </row>
    <row r="2349" spans="2:10">
      <c r="B2349" s="13" t="s">
        <v>3116</v>
      </c>
      <c r="C2349" s="13">
        <v>119.96</v>
      </c>
      <c r="H2349" t="s">
        <v>3138</v>
      </c>
      <c r="I2349" t="s">
        <v>4</v>
      </c>
      <c r="J2349">
        <v>119.96</v>
      </c>
    </row>
    <row r="2350" spans="2:10">
      <c r="B2350" s="13" t="s">
        <v>3114</v>
      </c>
      <c r="C2350" s="13">
        <v>318.95999999999998</v>
      </c>
      <c r="H2350" t="s">
        <v>3136</v>
      </c>
      <c r="I2350" t="s">
        <v>5</v>
      </c>
      <c r="J2350">
        <v>318.95999999999998</v>
      </c>
    </row>
    <row r="2351" spans="2:10">
      <c r="B2351" s="13" t="s">
        <v>3117</v>
      </c>
      <c r="C2351" s="13">
        <v>421.1</v>
      </c>
      <c r="H2351" t="s">
        <v>3138</v>
      </c>
      <c r="I2351" t="s">
        <v>5</v>
      </c>
      <c r="J2351">
        <v>421.1</v>
      </c>
    </row>
    <row r="2352" spans="2:10">
      <c r="B2352" s="13" t="s">
        <v>3115</v>
      </c>
      <c r="C2352" s="13">
        <v>760.11599999999987</v>
      </c>
      <c r="H2352" t="s">
        <v>3136</v>
      </c>
      <c r="I2352" t="s">
        <v>3</v>
      </c>
      <c r="J2352">
        <v>760.11599999999987</v>
      </c>
    </row>
    <row r="2353" spans="2:10">
      <c r="B2353" s="13" t="s">
        <v>3119</v>
      </c>
      <c r="C2353" s="13">
        <v>38.784000000000006</v>
      </c>
      <c r="H2353" t="s">
        <v>3136</v>
      </c>
      <c r="I2353" t="s">
        <v>3</v>
      </c>
      <c r="J2353">
        <v>38.784000000000006</v>
      </c>
    </row>
    <row r="2354" spans="2:10">
      <c r="B2354" s="13" t="s">
        <v>3120</v>
      </c>
      <c r="C2354" s="13">
        <v>122.32799999999999</v>
      </c>
      <c r="H2354" t="s">
        <v>3136</v>
      </c>
      <c r="I2354" t="s">
        <v>4</v>
      </c>
      <c r="J2354">
        <v>122.32799999999999</v>
      </c>
    </row>
    <row r="2355" spans="2:10">
      <c r="B2355" s="13" t="s">
        <v>3114</v>
      </c>
      <c r="C2355" s="13">
        <v>17.940000000000001</v>
      </c>
      <c r="H2355" t="s">
        <v>3136</v>
      </c>
      <c r="I2355" t="s">
        <v>5</v>
      </c>
      <c r="J2355">
        <v>17.940000000000001</v>
      </c>
    </row>
    <row r="2356" spans="2:10">
      <c r="B2356" s="13" t="s">
        <v>3118</v>
      </c>
      <c r="C2356" s="13">
        <v>13.904</v>
      </c>
      <c r="H2356" t="s">
        <v>3138</v>
      </c>
      <c r="I2356" t="s">
        <v>5</v>
      </c>
      <c r="J2356">
        <v>13.904</v>
      </c>
    </row>
    <row r="2357" spans="2:10">
      <c r="B2357" s="13" t="s">
        <v>3114</v>
      </c>
      <c r="C2357" s="13">
        <v>41.86</v>
      </c>
      <c r="H2357" t="s">
        <v>3138</v>
      </c>
      <c r="I2357" t="s">
        <v>5</v>
      </c>
      <c r="J2357">
        <v>41.86</v>
      </c>
    </row>
    <row r="2358" spans="2:10">
      <c r="B2358" s="13" t="s">
        <v>3128</v>
      </c>
      <c r="C2358" s="13">
        <v>141.96</v>
      </c>
      <c r="H2358" t="s">
        <v>3138</v>
      </c>
      <c r="I2358" t="s">
        <v>3</v>
      </c>
      <c r="J2358">
        <v>141.96</v>
      </c>
    </row>
    <row r="2359" spans="2:10">
      <c r="B2359" s="13" t="s">
        <v>3126</v>
      </c>
      <c r="C2359" s="13">
        <v>257.94</v>
      </c>
      <c r="H2359" t="s">
        <v>3137</v>
      </c>
      <c r="I2359" t="s">
        <v>3</v>
      </c>
      <c r="J2359">
        <v>257.94</v>
      </c>
    </row>
    <row r="2360" spans="2:10">
      <c r="B2360" s="13" t="s">
        <v>3116</v>
      </c>
      <c r="C2360" s="13">
        <v>1879.96</v>
      </c>
      <c r="H2360" t="s">
        <v>3137</v>
      </c>
      <c r="I2360" t="s">
        <v>4</v>
      </c>
      <c r="J2360">
        <v>1879.96</v>
      </c>
    </row>
    <row r="2361" spans="2:10">
      <c r="B2361" s="13" t="s">
        <v>3119</v>
      </c>
      <c r="C2361" s="13">
        <v>27.46</v>
      </c>
      <c r="H2361" t="s">
        <v>3137</v>
      </c>
      <c r="I2361" t="s">
        <v>3</v>
      </c>
      <c r="J2361">
        <v>27.46</v>
      </c>
    </row>
    <row r="2362" spans="2:10">
      <c r="B2362" s="13" t="s">
        <v>3116</v>
      </c>
      <c r="C2362" s="13">
        <v>89.98</v>
      </c>
      <c r="H2362" t="s">
        <v>3137</v>
      </c>
      <c r="I2362" t="s">
        <v>4</v>
      </c>
      <c r="J2362">
        <v>89.98</v>
      </c>
    </row>
    <row r="2363" spans="2:10">
      <c r="B2363" s="13" t="s">
        <v>3115</v>
      </c>
      <c r="C2363" s="13">
        <v>828.59999999999991</v>
      </c>
      <c r="H2363" t="s">
        <v>3137</v>
      </c>
      <c r="I2363" t="s">
        <v>3</v>
      </c>
      <c r="J2363">
        <v>828.59999999999991</v>
      </c>
    </row>
    <row r="2364" spans="2:10">
      <c r="B2364" s="13" t="s">
        <v>3120</v>
      </c>
      <c r="C2364" s="13">
        <v>113.52</v>
      </c>
      <c r="H2364" t="s">
        <v>3137</v>
      </c>
      <c r="I2364" t="s">
        <v>4</v>
      </c>
      <c r="J2364">
        <v>113.52</v>
      </c>
    </row>
    <row r="2365" spans="2:10">
      <c r="B2365" s="13" t="s">
        <v>3119</v>
      </c>
      <c r="C2365" s="13">
        <v>135.29999999999998</v>
      </c>
      <c r="H2365" t="s">
        <v>3137</v>
      </c>
      <c r="I2365" t="s">
        <v>3</v>
      </c>
      <c r="J2365">
        <v>135.29999999999998</v>
      </c>
    </row>
    <row r="2366" spans="2:10">
      <c r="B2366" s="13" t="s">
        <v>3116</v>
      </c>
      <c r="C2366" s="13">
        <v>776.84999999999991</v>
      </c>
      <c r="H2366" t="s">
        <v>3136</v>
      </c>
      <c r="I2366" t="s">
        <v>4</v>
      </c>
      <c r="J2366">
        <v>776.84999999999991</v>
      </c>
    </row>
    <row r="2367" spans="2:10">
      <c r="B2367" s="13" t="s">
        <v>3118</v>
      </c>
      <c r="C2367" s="13">
        <v>12.294</v>
      </c>
      <c r="H2367" t="s">
        <v>3136</v>
      </c>
      <c r="I2367" t="s">
        <v>5</v>
      </c>
      <c r="J2367">
        <v>12.294</v>
      </c>
    </row>
    <row r="2368" spans="2:10">
      <c r="B2368" s="13" t="s">
        <v>3126</v>
      </c>
      <c r="C2368" s="13">
        <v>154.76400000000001</v>
      </c>
      <c r="H2368" t="s">
        <v>3136</v>
      </c>
      <c r="I2368" t="s">
        <v>3</v>
      </c>
      <c r="J2368">
        <v>154.76400000000001</v>
      </c>
    </row>
    <row r="2369" spans="2:10">
      <c r="B2369" s="13" t="s">
        <v>3117</v>
      </c>
      <c r="C2369" s="13">
        <v>43.28</v>
      </c>
      <c r="H2369" t="s">
        <v>3136</v>
      </c>
      <c r="I2369" t="s">
        <v>5</v>
      </c>
      <c r="J2369">
        <v>43.28</v>
      </c>
    </row>
    <row r="2370" spans="2:10">
      <c r="B2370" s="13" t="s">
        <v>3115</v>
      </c>
      <c r="C2370" s="13">
        <v>141.96</v>
      </c>
      <c r="H2370" t="s">
        <v>3135</v>
      </c>
      <c r="I2370" t="s">
        <v>3</v>
      </c>
      <c r="J2370">
        <v>141.96</v>
      </c>
    </row>
    <row r="2371" spans="2:10">
      <c r="B2371" s="13" t="s">
        <v>3126</v>
      </c>
      <c r="C2371" s="13">
        <v>182.55</v>
      </c>
      <c r="H2371" t="s">
        <v>3138</v>
      </c>
      <c r="I2371" t="s">
        <v>3</v>
      </c>
      <c r="J2371">
        <v>182.55</v>
      </c>
    </row>
    <row r="2372" spans="2:10">
      <c r="B2372" s="13" t="s">
        <v>3121</v>
      </c>
      <c r="C2372" s="13">
        <v>4.91</v>
      </c>
      <c r="H2372" t="s">
        <v>3136</v>
      </c>
      <c r="I2372" t="s">
        <v>5</v>
      </c>
      <c r="J2372">
        <v>4.91</v>
      </c>
    </row>
    <row r="2373" spans="2:10">
      <c r="B2373" s="13" t="s">
        <v>3115</v>
      </c>
      <c r="C2373" s="13">
        <v>145.76400000000001</v>
      </c>
      <c r="H2373" t="s">
        <v>3136</v>
      </c>
      <c r="I2373" t="s">
        <v>3</v>
      </c>
      <c r="J2373">
        <v>145.76400000000001</v>
      </c>
    </row>
    <row r="2374" spans="2:10">
      <c r="B2374" s="13" t="s">
        <v>3120</v>
      </c>
      <c r="C2374" s="13">
        <v>107.97</v>
      </c>
      <c r="H2374" t="s">
        <v>3138</v>
      </c>
      <c r="I2374" t="s">
        <v>4</v>
      </c>
      <c r="J2374">
        <v>107.97</v>
      </c>
    </row>
    <row r="2375" spans="2:10">
      <c r="B2375" s="13" t="s">
        <v>3120</v>
      </c>
      <c r="C2375" s="13">
        <v>143.96</v>
      </c>
      <c r="H2375" t="s">
        <v>3137</v>
      </c>
      <c r="I2375" t="s">
        <v>4</v>
      </c>
      <c r="J2375">
        <v>143.96</v>
      </c>
    </row>
    <row r="2376" spans="2:10">
      <c r="B2376" s="13" t="s">
        <v>3127</v>
      </c>
      <c r="C2376" s="13">
        <v>2399.96</v>
      </c>
      <c r="H2376" t="s">
        <v>3137</v>
      </c>
      <c r="I2376" t="s">
        <v>4</v>
      </c>
      <c r="J2376">
        <v>2399.96</v>
      </c>
    </row>
    <row r="2377" spans="2:10">
      <c r="B2377" s="13" t="s">
        <v>3114</v>
      </c>
      <c r="C2377" s="13">
        <v>74.352000000000004</v>
      </c>
      <c r="H2377" t="s">
        <v>3137</v>
      </c>
      <c r="I2377" t="s">
        <v>5</v>
      </c>
      <c r="J2377">
        <v>74.352000000000004</v>
      </c>
    </row>
    <row r="2378" spans="2:10">
      <c r="B2378" s="13" t="s">
        <v>3125</v>
      </c>
      <c r="C2378" s="13">
        <v>87.167999999999978</v>
      </c>
      <c r="H2378" t="s">
        <v>3137</v>
      </c>
      <c r="I2378" t="s">
        <v>5</v>
      </c>
      <c r="J2378">
        <v>87.167999999999978</v>
      </c>
    </row>
    <row r="2379" spans="2:10">
      <c r="B2379" s="13" t="s">
        <v>3117</v>
      </c>
      <c r="C2379" s="13">
        <v>32.231999999999999</v>
      </c>
      <c r="H2379" t="s">
        <v>3137</v>
      </c>
      <c r="I2379" t="s">
        <v>5</v>
      </c>
      <c r="J2379">
        <v>32.231999999999999</v>
      </c>
    </row>
    <row r="2380" spans="2:10">
      <c r="B2380" s="13" t="s">
        <v>3118</v>
      </c>
      <c r="C2380" s="13">
        <v>2.2020000000000004</v>
      </c>
      <c r="H2380" t="s">
        <v>3136</v>
      </c>
      <c r="I2380" t="s">
        <v>5</v>
      </c>
      <c r="J2380">
        <v>2.2020000000000004</v>
      </c>
    </row>
    <row r="2381" spans="2:10">
      <c r="B2381" s="13" t="s">
        <v>3118</v>
      </c>
      <c r="C2381" s="13">
        <v>9.3960000000000008</v>
      </c>
      <c r="H2381" t="s">
        <v>3136</v>
      </c>
      <c r="I2381" t="s">
        <v>5</v>
      </c>
      <c r="J2381">
        <v>9.3960000000000008</v>
      </c>
    </row>
    <row r="2382" spans="2:10">
      <c r="B2382" s="13" t="s">
        <v>3118</v>
      </c>
      <c r="C2382" s="13">
        <v>23.24</v>
      </c>
      <c r="H2382" t="s">
        <v>3138</v>
      </c>
      <c r="I2382" t="s">
        <v>5</v>
      </c>
      <c r="J2382">
        <v>23.24</v>
      </c>
    </row>
    <row r="2383" spans="2:10">
      <c r="B2383" s="13" t="s">
        <v>3115</v>
      </c>
      <c r="C2383" s="13">
        <v>908.82</v>
      </c>
      <c r="H2383" t="s">
        <v>3136</v>
      </c>
      <c r="I2383" t="s">
        <v>3</v>
      </c>
      <c r="J2383">
        <v>908.82</v>
      </c>
    </row>
    <row r="2384" spans="2:10">
      <c r="B2384" s="13" t="s">
        <v>3129</v>
      </c>
      <c r="C2384" s="13">
        <v>5.5520000000000005</v>
      </c>
      <c r="H2384" t="s">
        <v>3137</v>
      </c>
      <c r="I2384" t="s">
        <v>5</v>
      </c>
      <c r="J2384">
        <v>5.5520000000000005</v>
      </c>
    </row>
    <row r="2385" spans="2:10">
      <c r="B2385" s="13" t="s">
        <v>3122</v>
      </c>
      <c r="C2385" s="13">
        <v>8.016</v>
      </c>
      <c r="H2385" t="s">
        <v>3137</v>
      </c>
      <c r="I2385" t="s">
        <v>5</v>
      </c>
      <c r="J2385">
        <v>8.016</v>
      </c>
    </row>
    <row r="2386" spans="2:10">
      <c r="B2386" s="13" t="s">
        <v>3115</v>
      </c>
      <c r="C2386" s="13">
        <v>74.591999999999999</v>
      </c>
      <c r="H2386" t="s">
        <v>3137</v>
      </c>
      <c r="I2386" t="s">
        <v>3</v>
      </c>
      <c r="J2386">
        <v>74.591999999999999</v>
      </c>
    </row>
    <row r="2387" spans="2:10">
      <c r="B2387" s="13" t="s">
        <v>3119</v>
      </c>
      <c r="C2387" s="13">
        <v>16.784000000000002</v>
      </c>
      <c r="H2387" t="s">
        <v>3137</v>
      </c>
      <c r="I2387" t="s">
        <v>3</v>
      </c>
      <c r="J2387">
        <v>16.784000000000002</v>
      </c>
    </row>
    <row r="2388" spans="2:10">
      <c r="B2388" s="13" t="s">
        <v>3125</v>
      </c>
      <c r="C2388" s="13">
        <v>38.86399999999999</v>
      </c>
      <c r="H2388" t="s">
        <v>3137</v>
      </c>
      <c r="I2388" t="s">
        <v>5</v>
      </c>
      <c r="J2388">
        <v>38.86399999999999</v>
      </c>
    </row>
    <row r="2389" spans="2:10">
      <c r="B2389" s="13" t="s">
        <v>3119</v>
      </c>
      <c r="C2389" s="13">
        <v>17.46</v>
      </c>
      <c r="H2389" t="s">
        <v>3138</v>
      </c>
      <c r="I2389" t="s">
        <v>3</v>
      </c>
      <c r="J2389">
        <v>17.46</v>
      </c>
    </row>
    <row r="2390" spans="2:10">
      <c r="B2390" s="13" t="s">
        <v>3130</v>
      </c>
      <c r="C2390" s="13">
        <v>369.16</v>
      </c>
      <c r="H2390" t="s">
        <v>3138</v>
      </c>
      <c r="I2390" t="s">
        <v>4</v>
      </c>
      <c r="J2390">
        <v>369.16</v>
      </c>
    </row>
    <row r="2391" spans="2:10">
      <c r="B2391" s="13" t="s">
        <v>3121</v>
      </c>
      <c r="C2391" s="13">
        <v>14.73</v>
      </c>
      <c r="H2391" t="s">
        <v>3138</v>
      </c>
      <c r="I2391" t="s">
        <v>5</v>
      </c>
      <c r="J2391">
        <v>14.73</v>
      </c>
    </row>
    <row r="2392" spans="2:10">
      <c r="B2392" s="13" t="s">
        <v>3118</v>
      </c>
      <c r="C2392" s="13">
        <v>274.49100000000004</v>
      </c>
      <c r="H2392" t="s">
        <v>3136</v>
      </c>
      <c r="I2392" t="s">
        <v>5</v>
      </c>
      <c r="J2392">
        <v>274.49100000000004</v>
      </c>
    </row>
    <row r="2393" spans="2:10">
      <c r="B2393" s="13" t="s">
        <v>3116</v>
      </c>
      <c r="C2393" s="13">
        <v>137.94</v>
      </c>
      <c r="H2393" t="s">
        <v>3136</v>
      </c>
      <c r="I2393" t="s">
        <v>4</v>
      </c>
      <c r="J2393">
        <v>137.94</v>
      </c>
    </row>
    <row r="2394" spans="2:10">
      <c r="B2394" s="13" t="s">
        <v>3120</v>
      </c>
      <c r="C2394" s="13">
        <v>40.68</v>
      </c>
      <c r="H2394" t="s">
        <v>3137</v>
      </c>
      <c r="I2394" t="s">
        <v>4</v>
      </c>
      <c r="J2394">
        <v>40.68</v>
      </c>
    </row>
    <row r="2395" spans="2:10">
      <c r="B2395" s="13" t="s">
        <v>3114</v>
      </c>
      <c r="C2395" s="13">
        <v>123.92000000000002</v>
      </c>
      <c r="H2395" t="s">
        <v>3136</v>
      </c>
      <c r="I2395" t="s">
        <v>5</v>
      </c>
      <c r="J2395">
        <v>123.92000000000002</v>
      </c>
    </row>
    <row r="2396" spans="2:10">
      <c r="B2396" s="13" t="s">
        <v>3120</v>
      </c>
      <c r="C2396" s="13">
        <v>1319.8</v>
      </c>
      <c r="H2396" t="s">
        <v>3136</v>
      </c>
      <c r="I2396" t="s">
        <v>4</v>
      </c>
      <c r="J2396">
        <v>1319.8</v>
      </c>
    </row>
    <row r="2397" spans="2:10">
      <c r="B2397" s="13" t="s">
        <v>3118</v>
      </c>
      <c r="C2397" s="13">
        <v>30.88</v>
      </c>
      <c r="H2397" t="s">
        <v>3136</v>
      </c>
      <c r="I2397" t="s">
        <v>5</v>
      </c>
      <c r="J2397">
        <v>30.88</v>
      </c>
    </row>
    <row r="2398" spans="2:10">
      <c r="B2398" s="13" t="s">
        <v>3125</v>
      </c>
      <c r="C2398" s="13">
        <v>465.16</v>
      </c>
      <c r="H2398" t="s">
        <v>3136</v>
      </c>
      <c r="I2398" t="s">
        <v>5</v>
      </c>
      <c r="J2398">
        <v>465.16</v>
      </c>
    </row>
    <row r="2399" spans="2:10">
      <c r="B2399" s="13" t="s">
        <v>3114</v>
      </c>
      <c r="C2399" s="13">
        <v>27.12</v>
      </c>
      <c r="H2399" t="s">
        <v>3136</v>
      </c>
      <c r="I2399" t="s">
        <v>5</v>
      </c>
      <c r="J2399">
        <v>27.12</v>
      </c>
    </row>
    <row r="2400" spans="2:10">
      <c r="B2400" s="13" t="s">
        <v>3119</v>
      </c>
      <c r="C2400" s="13">
        <v>66.36</v>
      </c>
      <c r="H2400" t="s">
        <v>3138</v>
      </c>
      <c r="I2400" t="s">
        <v>3</v>
      </c>
      <c r="J2400">
        <v>66.36</v>
      </c>
    </row>
    <row r="2401" spans="2:10">
      <c r="B2401" s="13" t="s">
        <v>3118</v>
      </c>
      <c r="C2401" s="13">
        <v>92.88000000000001</v>
      </c>
      <c r="H2401" t="s">
        <v>3138</v>
      </c>
      <c r="I2401" t="s">
        <v>5</v>
      </c>
      <c r="J2401">
        <v>92.88000000000001</v>
      </c>
    </row>
    <row r="2402" spans="2:10">
      <c r="B2402" s="13" t="s">
        <v>3119</v>
      </c>
      <c r="C2402" s="13">
        <v>24.14</v>
      </c>
      <c r="H2402" t="s">
        <v>3138</v>
      </c>
      <c r="I2402" t="s">
        <v>3</v>
      </c>
      <c r="J2402">
        <v>24.14</v>
      </c>
    </row>
    <row r="2403" spans="2:10">
      <c r="B2403" s="13" t="s">
        <v>3115</v>
      </c>
      <c r="C2403" s="13">
        <v>4416.174</v>
      </c>
      <c r="H2403" t="s">
        <v>3136</v>
      </c>
      <c r="I2403" t="s">
        <v>3</v>
      </c>
      <c r="J2403">
        <v>4416.174</v>
      </c>
    </row>
    <row r="2404" spans="2:10">
      <c r="B2404" s="13" t="s">
        <v>3122</v>
      </c>
      <c r="C2404" s="13">
        <v>49.56</v>
      </c>
      <c r="H2404" t="s">
        <v>3138</v>
      </c>
      <c r="I2404" t="s">
        <v>5</v>
      </c>
      <c r="J2404">
        <v>49.56</v>
      </c>
    </row>
    <row r="2405" spans="2:10">
      <c r="B2405" s="13" t="s">
        <v>3117</v>
      </c>
      <c r="C2405" s="13">
        <v>354.90000000000003</v>
      </c>
      <c r="H2405" t="s">
        <v>3138</v>
      </c>
      <c r="I2405" t="s">
        <v>5</v>
      </c>
      <c r="J2405">
        <v>354.90000000000003</v>
      </c>
    </row>
    <row r="2406" spans="2:10">
      <c r="B2406" s="13" t="s">
        <v>3122</v>
      </c>
      <c r="C2406" s="13">
        <v>14.700000000000001</v>
      </c>
      <c r="H2406" t="s">
        <v>3138</v>
      </c>
      <c r="I2406" t="s">
        <v>5</v>
      </c>
      <c r="J2406">
        <v>14.700000000000001</v>
      </c>
    </row>
    <row r="2407" spans="2:10">
      <c r="B2407" s="13" t="s">
        <v>3116</v>
      </c>
      <c r="C2407" s="13">
        <v>32.700000000000003</v>
      </c>
      <c r="H2407" t="s">
        <v>3136</v>
      </c>
      <c r="I2407" t="s">
        <v>4</v>
      </c>
      <c r="J2407">
        <v>32.700000000000003</v>
      </c>
    </row>
    <row r="2408" spans="2:10">
      <c r="B2408" s="13" t="s">
        <v>3124</v>
      </c>
      <c r="C2408" s="13">
        <v>31.680000000000003</v>
      </c>
      <c r="H2408" t="s">
        <v>3136</v>
      </c>
      <c r="I2408" t="s">
        <v>5</v>
      </c>
      <c r="J2408">
        <v>31.680000000000003</v>
      </c>
    </row>
    <row r="2409" spans="2:10">
      <c r="B2409" s="13" t="s">
        <v>3122</v>
      </c>
      <c r="C2409" s="13">
        <v>181.86</v>
      </c>
      <c r="H2409" t="s">
        <v>3135</v>
      </c>
      <c r="I2409" t="s">
        <v>5</v>
      </c>
      <c r="J2409">
        <v>181.86</v>
      </c>
    </row>
    <row r="2410" spans="2:10">
      <c r="B2410" s="13" t="s">
        <v>3118</v>
      </c>
      <c r="C2410" s="13">
        <v>13.428000000000003</v>
      </c>
      <c r="H2410" t="s">
        <v>3135</v>
      </c>
      <c r="I2410" t="s">
        <v>5</v>
      </c>
      <c r="J2410">
        <v>13.428000000000003</v>
      </c>
    </row>
    <row r="2411" spans="2:10">
      <c r="B2411" s="13" t="s">
        <v>3117</v>
      </c>
      <c r="C2411" s="13">
        <v>67.13600000000001</v>
      </c>
      <c r="H2411" t="s">
        <v>3135</v>
      </c>
      <c r="I2411" t="s">
        <v>5</v>
      </c>
      <c r="J2411">
        <v>67.13600000000001</v>
      </c>
    </row>
    <row r="2412" spans="2:10">
      <c r="B2412" s="13" t="s">
        <v>3130</v>
      </c>
      <c r="C2412" s="13">
        <v>599.98500000000013</v>
      </c>
      <c r="H2412" t="s">
        <v>3138</v>
      </c>
      <c r="I2412" t="s">
        <v>4</v>
      </c>
      <c r="J2412">
        <v>599.98500000000013</v>
      </c>
    </row>
    <row r="2413" spans="2:10">
      <c r="B2413" s="13" t="s">
        <v>3118</v>
      </c>
      <c r="C2413" s="13">
        <v>3.0359999999999996</v>
      </c>
      <c r="H2413" t="s">
        <v>3137</v>
      </c>
      <c r="I2413" t="s">
        <v>5</v>
      </c>
      <c r="J2413">
        <v>3.0359999999999996</v>
      </c>
    </row>
    <row r="2414" spans="2:10">
      <c r="B2414" s="13" t="s">
        <v>3122</v>
      </c>
      <c r="C2414" s="13">
        <v>25.920000000000005</v>
      </c>
      <c r="H2414" t="s">
        <v>3136</v>
      </c>
      <c r="I2414" t="s">
        <v>5</v>
      </c>
      <c r="J2414">
        <v>25.920000000000005</v>
      </c>
    </row>
    <row r="2415" spans="2:10">
      <c r="B2415" s="13" t="s">
        <v>3119</v>
      </c>
      <c r="C2415" s="13">
        <v>66.112000000000009</v>
      </c>
      <c r="H2415" t="s">
        <v>3136</v>
      </c>
      <c r="I2415" t="s">
        <v>3</v>
      </c>
      <c r="J2415">
        <v>66.112000000000009</v>
      </c>
    </row>
    <row r="2416" spans="2:10">
      <c r="B2416" s="13" t="s">
        <v>3120</v>
      </c>
      <c r="C2416" s="13">
        <v>46.36</v>
      </c>
      <c r="H2416" t="s">
        <v>3138</v>
      </c>
      <c r="I2416" t="s">
        <v>4</v>
      </c>
      <c r="J2416">
        <v>46.36</v>
      </c>
    </row>
    <row r="2417" spans="2:10">
      <c r="B2417" s="13" t="s">
        <v>3130</v>
      </c>
      <c r="C2417" s="13">
        <v>649</v>
      </c>
      <c r="H2417" t="s">
        <v>3135</v>
      </c>
      <c r="I2417" t="s">
        <v>4</v>
      </c>
      <c r="J2417">
        <v>649</v>
      </c>
    </row>
    <row r="2418" spans="2:10">
      <c r="B2418" s="13" t="s">
        <v>3115</v>
      </c>
      <c r="C2418" s="13">
        <v>97.184000000000012</v>
      </c>
      <c r="H2418" t="s">
        <v>3135</v>
      </c>
      <c r="I2418" t="s">
        <v>3</v>
      </c>
      <c r="J2418">
        <v>97.184000000000012</v>
      </c>
    </row>
    <row r="2419" spans="2:10">
      <c r="B2419" s="13" t="s">
        <v>3114</v>
      </c>
      <c r="C2419" s="13">
        <v>10.368000000000002</v>
      </c>
      <c r="H2419" t="s">
        <v>3135</v>
      </c>
      <c r="I2419" t="s">
        <v>5</v>
      </c>
      <c r="J2419">
        <v>10.368000000000002</v>
      </c>
    </row>
    <row r="2420" spans="2:10">
      <c r="B2420" s="13" t="s">
        <v>3123</v>
      </c>
      <c r="C2420" s="13">
        <v>14.129999999999999</v>
      </c>
      <c r="H2420" t="s">
        <v>3136</v>
      </c>
      <c r="I2420" t="s">
        <v>5</v>
      </c>
      <c r="J2420">
        <v>14.129999999999999</v>
      </c>
    </row>
    <row r="2421" spans="2:10">
      <c r="B2421" s="13" t="s">
        <v>3122</v>
      </c>
      <c r="C2421" s="13">
        <v>43.92</v>
      </c>
      <c r="H2421" t="s">
        <v>3136</v>
      </c>
      <c r="I2421" t="s">
        <v>5</v>
      </c>
      <c r="J2421">
        <v>43.92</v>
      </c>
    </row>
    <row r="2422" spans="2:10">
      <c r="B2422" s="13" t="s">
        <v>3114</v>
      </c>
      <c r="C2422" s="13">
        <v>19.608000000000001</v>
      </c>
      <c r="H2422" t="s">
        <v>3138</v>
      </c>
      <c r="I2422" t="s">
        <v>5</v>
      </c>
      <c r="J2422">
        <v>19.608000000000001</v>
      </c>
    </row>
    <row r="2423" spans="2:10">
      <c r="B2423" s="13" t="s">
        <v>3118</v>
      </c>
      <c r="C2423" s="13">
        <v>4.1580000000000004</v>
      </c>
      <c r="H2423" t="s">
        <v>3138</v>
      </c>
      <c r="I2423" t="s">
        <v>5</v>
      </c>
      <c r="J2423">
        <v>4.1580000000000004</v>
      </c>
    </row>
    <row r="2424" spans="2:10">
      <c r="B2424" s="13" t="s">
        <v>3116</v>
      </c>
      <c r="C2424" s="13">
        <v>979.95</v>
      </c>
      <c r="H2424" t="s">
        <v>3136</v>
      </c>
      <c r="I2424" t="s">
        <v>4</v>
      </c>
      <c r="J2424">
        <v>979.95</v>
      </c>
    </row>
    <row r="2425" spans="2:10">
      <c r="B2425" s="13" t="s">
        <v>3119</v>
      </c>
      <c r="C2425" s="13">
        <v>135.29999999999998</v>
      </c>
      <c r="H2425" t="s">
        <v>3136</v>
      </c>
      <c r="I2425" t="s">
        <v>3</v>
      </c>
      <c r="J2425">
        <v>135.29999999999998</v>
      </c>
    </row>
    <row r="2426" spans="2:10">
      <c r="B2426" s="13" t="s">
        <v>3114</v>
      </c>
      <c r="C2426" s="13">
        <v>8.9039999999999999</v>
      </c>
      <c r="H2426" t="s">
        <v>3137</v>
      </c>
      <c r="I2426" t="s">
        <v>5</v>
      </c>
      <c r="J2426">
        <v>8.9039999999999999</v>
      </c>
    </row>
    <row r="2427" spans="2:10">
      <c r="B2427" s="13" t="s">
        <v>3120</v>
      </c>
      <c r="C2427" s="13">
        <v>100.80000000000001</v>
      </c>
      <c r="H2427" t="s">
        <v>3137</v>
      </c>
      <c r="I2427" t="s">
        <v>4</v>
      </c>
      <c r="J2427">
        <v>100.80000000000001</v>
      </c>
    </row>
    <row r="2428" spans="2:10">
      <c r="B2428" s="13" t="s">
        <v>3119</v>
      </c>
      <c r="C2428" s="13">
        <v>41.96</v>
      </c>
      <c r="H2428" t="s">
        <v>3136</v>
      </c>
      <c r="I2428" t="s">
        <v>3</v>
      </c>
      <c r="J2428">
        <v>41.96</v>
      </c>
    </row>
    <row r="2429" spans="2:10">
      <c r="B2429" s="13" t="s">
        <v>3121</v>
      </c>
      <c r="C2429" s="13">
        <v>9.4499999999999993</v>
      </c>
      <c r="H2429" t="s">
        <v>3136</v>
      </c>
      <c r="I2429" t="s">
        <v>5</v>
      </c>
      <c r="J2429">
        <v>9.4499999999999993</v>
      </c>
    </row>
    <row r="2430" spans="2:10">
      <c r="B2430" s="13" t="s">
        <v>3125</v>
      </c>
      <c r="C2430" s="13">
        <v>400.79999999999995</v>
      </c>
      <c r="H2430" t="s">
        <v>3138</v>
      </c>
      <c r="I2430" t="s">
        <v>5</v>
      </c>
      <c r="J2430">
        <v>400.79999999999995</v>
      </c>
    </row>
    <row r="2431" spans="2:10">
      <c r="B2431" s="13" t="s">
        <v>3118</v>
      </c>
      <c r="C2431" s="13">
        <v>28.792000000000002</v>
      </c>
      <c r="H2431" t="s">
        <v>3138</v>
      </c>
      <c r="I2431" t="s">
        <v>5</v>
      </c>
      <c r="J2431">
        <v>28.792000000000002</v>
      </c>
    </row>
    <row r="2432" spans="2:10">
      <c r="B2432" s="13" t="s">
        <v>3116</v>
      </c>
      <c r="C2432" s="13">
        <v>61.541999999999994</v>
      </c>
      <c r="H2432" t="s">
        <v>3136</v>
      </c>
      <c r="I2432" t="s">
        <v>4</v>
      </c>
      <c r="J2432">
        <v>61.541999999999994</v>
      </c>
    </row>
    <row r="2433" spans="2:10">
      <c r="B2433" s="13" t="s">
        <v>3118</v>
      </c>
      <c r="C2433" s="13">
        <v>81.438000000000017</v>
      </c>
      <c r="H2433" t="s">
        <v>3136</v>
      </c>
      <c r="I2433" t="s">
        <v>5</v>
      </c>
      <c r="J2433">
        <v>81.438000000000017</v>
      </c>
    </row>
    <row r="2434" spans="2:10">
      <c r="B2434" s="13" t="s">
        <v>3117</v>
      </c>
      <c r="C2434" s="13">
        <v>15.51</v>
      </c>
      <c r="H2434" t="s">
        <v>3138</v>
      </c>
      <c r="I2434" t="s">
        <v>5</v>
      </c>
      <c r="J2434">
        <v>15.51</v>
      </c>
    </row>
    <row r="2435" spans="2:10">
      <c r="B2435" s="13" t="s">
        <v>3126</v>
      </c>
      <c r="C2435" s="13">
        <v>721.87500000000011</v>
      </c>
      <c r="H2435" t="s">
        <v>3135</v>
      </c>
      <c r="I2435" t="s">
        <v>3</v>
      </c>
      <c r="J2435">
        <v>721.87500000000011</v>
      </c>
    </row>
    <row r="2436" spans="2:10">
      <c r="B2436" s="13" t="s">
        <v>3116</v>
      </c>
      <c r="C2436" s="13">
        <v>73.567999999999998</v>
      </c>
      <c r="H2436" t="s">
        <v>3135</v>
      </c>
      <c r="I2436" t="s">
        <v>4</v>
      </c>
      <c r="J2436">
        <v>73.567999999999998</v>
      </c>
    </row>
    <row r="2437" spans="2:10">
      <c r="B2437" s="13" t="s">
        <v>3122</v>
      </c>
      <c r="C2437" s="13">
        <v>13.584000000000001</v>
      </c>
      <c r="H2437" t="s">
        <v>3135</v>
      </c>
      <c r="I2437" t="s">
        <v>5</v>
      </c>
      <c r="J2437">
        <v>13.584000000000001</v>
      </c>
    </row>
    <row r="2438" spans="2:10">
      <c r="B2438" s="13" t="s">
        <v>3115</v>
      </c>
      <c r="C2438" s="13">
        <v>64.784000000000006</v>
      </c>
      <c r="H2438" t="s">
        <v>3135</v>
      </c>
      <c r="I2438" t="s">
        <v>3</v>
      </c>
      <c r="J2438">
        <v>64.784000000000006</v>
      </c>
    </row>
    <row r="2439" spans="2:10">
      <c r="B2439" s="13" t="s">
        <v>3118</v>
      </c>
      <c r="C2439" s="13">
        <v>38.82</v>
      </c>
      <c r="H2439" t="s">
        <v>3137</v>
      </c>
      <c r="I2439" t="s">
        <v>5</v>
      </c>
      <c r="J2439">
        <v>38.82</v>
      </c>
    </row>
    <row r="2440" spans="2:10">
      <c r="B2440" s="13" t="s">
        <v>3118</v>
      </c>
      <c r="C2440" s="13">
        <v>21.9</v>
      </c>
      <c r="H2440" t="s">
        <v>3137</v>
      </c>
      <c r="I2440" t="s">
        <v>5</v>
      </c>
      <c r="J2440">
        <v>21.9</v>
      </c>
    </row>
    <row r="2441" spans="2:10">
      <c r="B2441" s="13" t="s">
        <v>3120</v>
      </c>
      <c r="C2441" s="13">
        <v>111.79</v>
      </c>
      <c r="H2441" t="s">
        <v>3138</v>
      </c>
      <c r="I2441" t="s">
        <v>4</v>
      </c>
      <c r="J2441">
        <v>111.79</v>
      </c>
    </row>
    <row r="2442" spans="2:10">
      <c r="B2442" s="13" t="s">
        <v>3116</v>
      </c>
      <c r="C2442" s="13">
        <v>445.44</v>
      </c>
      <c r="H2442" t="s">
        <v>3136</v>
      </c>
      <c r="I2442" t="s">
        <v>4</v>
      </c>
      <c r="J2442">
        <v>445.44</v>
      </c>
    </row>
    <row r="2443" spans="2:10">
      <c r="B2443" s="13" t="s">
        <v>3114</v>
      </c>
      <c r="C2443" s="13">
        <v>29.900000000000002</v>
      </c>
      <c r="H2443" t="s">
        <v>3138</v>
      </c>
      <c r="I2443" t="s">
        <v>5</v>
      </c>
      <c r="J2443">
        <v>29.900000000000002</v>
      </c>
    </row>
    <row r="2444" spans="2:10">
      <c r="B2444" s="13" t="s">
        <v>3118</v>
      </c>
      <c r="C2444" s="13">
        <v>15.570000000000004</v>
      </c>
      <c r="H2444" t="s">
        <v>3135</v>
      </c>
      <c r="I2444" t="s">
        <v>5</v>
      </c>
      <c r="J2444">
        <v>15.570000000000004</v>
      </c>
    </row>
    <row r="2445" spans="2:10">
      <c r="B2445" s="13" t="s">
        <v>3117</v>
      </c>
      <c r="C2445" s="13">
        <v>153.78</v>
      </c>
      <c r="H2445" t="s">
        <v>3138</v>
      </c>
      <c r="I2445" t="s">
        <v>5</v>
      </c>
      <c r="J2445">
        <v>153.78</v>
      </c>
    </row>
    <row r="2446" spans="2:10">
      <c r="B2446" s="13" t="s">
        <v>3117</v>
      </c>
      <c r="C2446" s="13">
        <v>61.019999999999996</v>
      </c>
      <c r="H2446" t="s">
        <v>3138</v>
      </c>
      <c r="I2446" t="s">
        <v>5</v>
      </c>
      <c r="J2446">
        <v>61.019999999999996</v>
      </c>
    </row>
    <row r="2447" spans="2:10">
      <c r="B2447" s="13" t="s">
        <v>3129</v>
      </c>
      <c r="C2447" s="13">
        <v>110.11</v>
      </c>
      <c r="H2447" t="s">
        <v>3138</v>
      </c>
      <c r="I2447" t="s">
        <v>5</v>
      </c>
      <c r="J2447">
        <v>110.11</v>
      </c>
    </row>
    <row r="2448" spans="2:10">
      <c r="B2448" s="13" t="s">
        <v>3123</v>
      </c>
      <c r="C2448" s="13">
        <v>7.89</v>
      </c>
      <c r="H2448" t="s">
        <v>3138</v>
      </c>
      <c r="I2448" t="s">
        <v>5</v>
      </c>
      <c r="J2448">
        <v>7.89</v>
      </c>
    </row>
    <row r="2449" spans="2:10">
      <c r="B2449" s="13" t="s">
        <v>3118</v>
      </c>
      <c r="C2449" s="13">
        <v>36.024000000000001</v>
      </c>
      <c r="H2449" t="s">
        <v>3138</v>
      </c>
      <c r="I2449" t="s">
        <v>5</v>
      </c>
      <c r="J2449">
        <v>36.024000000000001</v>
      </c>
    </row>
    <row r="2450" spans="2:10">
      <c r="B2450" s="13" t="s">
        <v>3122</v>
      </c>
      <c r="C2450" s="13">
        <v>54.336000000000006</v>
      </c>
      <c r="H2450" t="s">
        <v>3137</v>
      </c>
      <c r="I2450" t="s">
        <v>5</v>
      </c>
      <c r="J2450">
        <v>54.336000000000006</v>
      </c>
    </row>
    <row r="2451" spans="2:10">
      <c r="B2451" s="13" t="s">
        <v>3115</v>
      </c>
      <c r="C2451" s="13">
        <v>390.36799999999999</v>
      </c>
      <c r="H2451" t="s">
        <v>3135</v>
      </c>
      <c r="I2451" t="s">
        <v>3</v>
      </c>
      <c r="J2451">
        <v>390.36799999999999</v>
      </c>
    </row>
    <row r="2452" spans="2:10">
      <c r="B2452" s="13" t="s">
        <v>3119</v>
      </c>
      <c r="C2452" s="13">
        <v>101.52000000000001</v>
      </c>
      <c r="H2452" t="s">
        <v>3135</v>
      </c>
      <c r="I2452" t="s">
        <v>3</v>
      </c>
      <c r="J2452">
        <v>101.52000000000001</v>
      </c>
    </row>
    <row r="2453" spans="2:10">
      <c r="B2453" s="13" t="s">
        <v>3114</v>
      </c>
      <c r="C2453" s="13">
        <v>74.352000000000004</v>
      </c>
      <c r="H2453" t="s">
        <v>3136</v>
      </c>
      <c r="I2453" t="s">
        <v>5</v>
      </c>
      <c r="J2453">
        <v>74.352000000000004</v>
      </c>
    </row>
    <row r="2454" spans="2:10">
      <c r="B2454" s="13" t="s">
        <v>3114</v>
      </c>
      <c r="C2454" s="13">
        <v>15.700000000000001</v>
      </c>
      <c r="H2454" t="s">
        <v>3138</v>
      </c>
      <c r="I2454" t="s">
        <v>5</v>
      </c>
      <c r="J2454">
        <v>15.700000000000001</v>
      </c>
    </row>
    <row r="2455" spans="2:10">
      <c r="B2455" s="13" t="s">
        <v>3122</v>
      </c>
      <c r="C2455" s="13">
        <v>59.519999999999996</v>
      </c>
      <c r="H2455" t="s">
        <v>3138</v>
      </c>
      <c r="I2455" t="s">
        <v>5</v>
      </c>
      <c r="J2455">
        <v>59.519999999999996</v>
      </c>
    </row>
    <row r="2456" spans="2:10">
      <c r="B2456" s="13" t="s">
        <v>3114</v>
      </c>
      <c r="C2456" s="13">
        <v>34.4</v>
      </c>
      <c r="H2456" t="s">
        <v>3138</v>
      </c>
      <c r="I2456" t="s">
        <v>5</v>
      </c>
      <c r="J2456">
        <v>34.4</v>
      </c>
    </row>
    <row r="2457" spans="2:10">
      <c r="B2457" s="13" t="s">
        <v>3129</v>
      </c>
      <c r="C2457" s="13">
        <v>70.12</v>
      </c>
      <c r="H2457" t="s">
        <v>3136</v>
      </c>
      <c r="I2457" t="s">
        <v>5</v>
      </c>
      <c r="J2457">
        <v>70.12</v>
      </c>
    </row>
    <row r="2458" spans="2:10">
      <c r="B2458" s="13" t="s">
        <v>3121</v>
      </c>
      <c r="C2458" s="13">
        <v>11.52</v>
      </c>
      <c r="H2458" t="s">
        <v>3137</v>
      </c>
      <c r="I2458" t="s">
        <v>5</v>
      </c>
      <c r="J2458">
        <v>11.52</v>
      </c>
    </row>
    <row r="2459" spans="2:10">
      <c r="B2459" s="13" t="s">
        <v>3116</v>
      </c>
      <c r="C2459" s="13">
        <v>156.79200000000003</v>
      </c>
      <c r="H2459" t="s">
        <v>3138</v>
      </c>
      <c r="I2459" t="s">
        <v>4</v>
      </c>
      <c r="J2459">
        <v>156.79200000000003</v>
      </c>
    </row>
    <row r="2460" spans="2:10">
      <c r="B2460" s="13" t="s">
        <v>3120</v>
      </c>
      <c r="C2460" s="13">
        <v>35.360000000000007</v>
      </c>
      <c r="H2460" t="s">
        <v>3138</v>
      </c>
      <c r="I2460" t="s">
        <v>4</v>
      </c>
      <c r="J2460">
        <v>35.360000000000007</v>
      </c>
    </row>
    <row r="2461" spans="2:10">
      <c r="B2461" s="13" t="s">
        <v>3119</v>
      </c>
      <c r="C2461" s="13">
        <v>13.591999999999999</v>
      </c>
      <c r="H2461" t="s">
        <v>3138</v>
      </c>
      <c r="I2461" t="s">
        <v>3</v>
      </c>
      <c r="J2461">
        <v>13.591999999999999</v>
      </c>
    </row>
    <row r="2462" spans="2:10">
      <c r="B2462" s="13" t="s">
        <v>3125</v>
      </c>
      <c r="C2462" s="13">
        <v>195.10400000000001</v>
      </c>
      <c r="H2462" t="s">
        <v>3136</v>
      </c>
      <c r="I2462" t="s">
        <v>5</v>
      </c>
      <c r="J2462">
        <v>195.10400000000001</v>
      </c>
    </row>
    <row r="2463" spans="2:10">
      <c r="B2463" s="13" t="s">
        <v>3119</v>
      </c>
      <c r="C2463" s="13">
        <v>36.671999999999997</v>
      </c>
      <c r="H2463" t="s">
        <v>3136</v>
      </c>
      <c r="I2463" t="s">
        <v>3</v>
      </c>
      <c r="J2463">
        <v>36.671999999999997</v>
      </c>
    </row>
    <row r="2464" spans="2:10">
      <c r="B2464" s="13" t="s">
        <v>3118</v>
      </c>
      <c r="C2464" s="13">
        <v>18.72</v>
      </c>
      <c r="H2464" t="s">
        <v>3138</v>
      </c>
      <c r="I2464" t="s">
        <v>5</v>
      </c>
      <c r="J2464">
        <v>18.72</v>
      </c>
    </row>
    <row r="2465" spans="2:10">
      <c r="B2465" s="13" t="s">
        <v>3126</v>
      </c>
      <c r="C2465" s="13">
        <v>236.52800000000002</v>
      </c>
      <c r="H2465" t="s">
        <v>3138</v>
      </c>
      <c r="I2465" t="s">
        <v>3</v>
      </c>
      <c r="J2465">
        <v>236.52800000000002</v>
      </c>
    </row>
    <row r="2466" spans="2:10">
      <c r="B2466" s="13" t="s">
        <v>3114</v>
      </c>
      <c r="C2466" s="13">
        <v>5.1840000000000011</v>
      </c>
      <c r="H2466" t="s">
        <v>3137</v>
      </c>
      <c r="I2466" t="s">
        <v>5</v>
      </c>
      <c r="J2466">
        <v>5.1840000000000011</v>
      </c>
    </row>
    <row r="2467" spans="2:10">
      <c r="B2467" s="13" t="s">
        <v>3114</v>
      </c>
      <c r="C2467" s="13">
        <v>65.584000000000003</v>
      </c>
      <c r="H2467" t="s">
        <v>3137</v>
      </c>
      <c r="I2467" t="s">
        <v>5</v>
      </c>
      <c r="J2467">
        <v>65.584000000000003</v>
      </c>
    </row>
    <row r="2468" spans="2:10">
      <c r="B2468" s="13" t="s">
        <v>3119</v>
      </c>
      <c r="C2468" s="13">
        <v>22.200000000000003</v>
      </c>
      <c r="H2468" t="s">
        <v>3137</v>
      </c>
      <c r="I2468" t="s">
        <v>3</v>
      </c>
      <c r="J2468">
        <v>22.200000000000003</v>
      </c>
    </row>
    <row r="2469" spans="2:10">
      <c r="B2469" s="13" t="s">
        <v>3114</v>
      </c>
      <c r="C2469" s="13">
        <v>419.4</v>
      </c>
      <c r="H2469" t="s">
        <v>3137</v>
      </c>
      <c r="I2469" t="s">
        <v>5</v>
      </c>
      <c r="J2469">
        <v>419.4</v>
      </c>
    </row>
    <row r="2470" spans="2:10">
      <c r="B2470" s="13" t="s">
        <v>3119</v>
      </c>
      <c r="C2470" s="13">
        <v>88.920000000000016</v>
      </c>
      <c r="H2470" t="s">
        <v>3135</v>
      </c>
      <c r="I2470" t="s">
        <v>3</v>
      </c>
      <c r="J2470">
        <v>88.920000000000016</v>
      </c>
    </row>
    <row r="2471" spans="2:10">
      <c r="B2471" s="13" t="s">
        <v>3122</v>
      </c>
      <c r="C2471" s="13">
        <v>9.9120000000000008</v>
      </c>
      <c r="H2471" t="s">
        <v>3137</v>
      </c>
      <c r="I2471" t="s">
        <v>5</v>
      </c>
      <c r="J2471">
        <v>9.9120000000000008</v>
      </c>
    </row>
    <row r="2472" spans="2:10">
      <c r="B2472" s="13" t="s">
        <v>3115</v>
      </c>
      <c r="C2472" s="13">
        <v>318.43</v>
      </c>
      <c r="H2472" t="s">
        <v>3137</v>
      </c>
      <c r="I2472" t="s">
        <v>3</v>
      </c>
      <c r="J2472">
        <v>318.43</v>
      </c>
    </row>
    <row r="2473" spans="2:10">
      <c r="B2473" s="13" t="s">
        <v>3118</v>
      </c>
      <c r="C2473" s="13">
        <v>5.7999999999999989</v>
      </c>
      <c r="H2473" t="s">
        <v>3137</v>
      </c>
      <c r="I2473" t="s">
        <v>5</v>
      </c>
      <c r="J2473">
        <v>5.7999999999999989</v>
      </c>
    </row>
    <row r="2474" spans="2:10">
      <c r="B2474" s="13" t="s">
        <v>3116</v>
      </c>
      <c r="C2474" s="13">
        <v>1415.76</v>
      </c>
      <c r="H2474" t="s">
        <v>3137</v>
      </c>
      <c r="I2474" t="s">
        <v>4</v>
      </c>
      <c r="J2474">
        <v>1415.76</v>
      </c>
    </row>
    <row r="2475" spans="2:10">
      <c r="B2475" s="13" t="s">
        <v>3116</v>
      </c>
      <c r="C2475" s="13">
        <v>148.47999999999999</v>
      </c>
      <c r="H2475" t="s">
        <v>3137</v>
      </c>
      <c r="I2475" t="s">
        <v>4</v>
      </c>
      <c r="J2475">
        <v>148.47999999999999</v>
      </c>
    </row>
    <row r="2476" spans="2:10">
      <c r="B2476" s="13" t="s">
        <v>3119</v>
      </c>
      <c r="C2476" s="13">
        <v>34.92</v>
      </c>
      <c r="H2476" t="s">
        <v>3138</v>
      </c>
      <c r="I2476" t="s">
        <v>3</v>
      </c>
      <c r="J2476">
        <v>34.92</v>
      </c>
    </row>
    <row r="2477" spans="2:10">
      <c r="B2477" s="13" t="s">
        <v>3122</v>
      </c>
      <c r="C2477" s="13">
        <v>2.48</v>
      </c>
      <c r="H2477" t="s">
        <v>3137</v>
      </c>
      <c r="I2477" t="s">
        <v>5</v>
      </c>
      <c r="J2477">
        <v>2.48</v>
      </c>
    </row>
    <row r="2478" spans="2:10">
      <c r="B2478" s="13" t="s">
        <v>3118</v>
      </c>
      <c r="C2478" s="13">
        <v>25.9</v>
      </c>
      <c r="H2478" t="s">
        <v>3137</v>
      </c>
      <c r="I2478" t="s">
        <v>5</v>
      </c>
      <c r="J2478">
        <v>25.9</v>
      </c>
    </row>
    <row r="2479" spans="2:10">
      <c r="B2479" s="13" t="s">
        <v>3114</v>
      </c>
      <c r="C2479" s="13">
        <v>12.96</v>
      </c>
      <c r="H2479" t="s">
        <v>3138</v>
      </c>
      <c r="I2479" t="s">
        <v>5</v>
      </c>
      <c r="J2479">
        <v>12.96</v>
      </c>
    </row>
    <row r="2480" spans="2:10">
      <c r="B2480" s="13" t="s">
        <v>3116</v>
      </c>
      <c r="C2480" s="13">
        <v>119.94</v>
      </c>
      <c r="H2480" t="s">
        <v>3136</v>
      </c>
      <c r="I2480" t="s">
        <v>4</v>
      </c>
      <c r="J2480">
        <v>119.94</v>
      </c>
    </row>
    <row r="2481" spans="2:10">
      <c r="B2481" s="13" t="s">
        <v>3114</v>
      </c>
      <c r="C2481" s="13">
        <v>10.272000000000002</v>
      </c>
      <c r="H2481" t="s">
        <v>3137</v>
      </c>
      <c r="I2481" t="s">
        <v>5</v>
      </c>
      <c r="J2481">
        <v>10.272000000000002</v>
      </c>
    </row>
    <row r="2482" spans="2:10">
      <c r="B2482" s="13" t="s">
        <v>3126</v>
      </c>
      <c r="C2482" s="13">
        <v>512.19000000000005</v>
      </c>
      <c r="H2482" t="s">
        <v>3137</v>
      </c>
      <c r="I2482" t="s">
        <v>3</v>
      </c>
      <c r="J2482">
        <v>512.19000000000005</v>
      </c>
    </row>
    <row r="2483" spans="2:10">
      <c r="B2483" s="13" t="s">
        <v>3125</v>
      </c>
      <c r="C2483" s="13">
        <v>1.5559999999999996</v>
      </c>
      <c r="H2483" t="s">
        <v>3137</v>
      </c>
      <c r="I2483" t="s">
        <v>5</v>
      </c>
      <c r="J2483">
        <v>1.5559999999999996</v>
      </c>
    </row>
    <row r="2484" spans="2:10">
      <c r="B2484" s="13" t="s">
        <v>3118</v>
      </c>
      <c r="C2484" s="13">
        <v>4.4479999999999995</v>
      </c>
      <c r="H2484" t="s">
        <v>3138</v>
      </c>
      <c r="I2484" t="s">
        <v>5</v>
      </c>
      <c r="J2484">
        <v>4.4479999999999995</v>
      </c>
    </row>
    <row r="2485" spans="2:10">
      <c r="B2485" s="13" t="s">
        <v>3119</v>
      </c>
      <c r="C2485" s="13">
        <v>276.69</v>
      </c>
      <c r="H2485" t="s">
        <v>3138</v>
      </c>
      <c r="I2485" t="s">
        <v>3</v>
      </c>
      <c r="J2485">
        <v>276.69</v>
      </c>
    </row>
    <row r="2486" spans="2:10">
      <c r="B2486" s="13" t="s">
        <v>3123</v>
      </c>
      <c r="C2486" s="13">
        <v>4.96</v>
      </c>
      <c r="H2486" t="s">
        <v>3138</v>
      </c>
      <c r="I2486" t="s">
        <v>5</v>
      </c>
      <c r="J2486">
        <v>4.96</v>
      </c>
    </row>
    <row r="2487" spans="2:10">
      <c r="B2487" s="13" t="s">
        <v>3122</v>
      </c>
      <c r="C2487" s="13">
        <v>71.92</v>
      </c>
      <c r="H2487" t="s">
        <v>3138</v>
      </c>
      <c r="I2487" t="s">
        <v>5</v>
      </c>
      <c r="J2487">
        <v>71.92</v>
      </c>
    </row>
    <row r="2488" spans="2:10">
      <c r="B2488" s="13" t="s">
        <v>3119</v>
      </c>
      <c r="C2488" s="13">
        <v>18.84</v>
      </c>
      <c r="H2488" t="s">
        <v>3138</v>
      </c>
      <c r="I2488" t="s">
        <v>3</v>
      </c>
      <c r="J2488">
        <v>18.84</v>
      </c>
    </row>
    <row r="2489" spans="2:10">
      <c r="B2489" s="13" t="s">
        <v>3120</v>
      </c>
      <c r="C2489" s="13">
        <v>140.97</v>
      </c>
      <c r="H2489" t="s">
        <v>3138</v>
      </c>
      <c r="I2489" t="s">
        <v>4</v>
      </c>
      <c r="J2489">
        <v>140.97</v>
      </c>
    </row>
    <row r="2490" spans="2:10">
      <c r="B2490" s="13" t="s">
        <v>3116</v>
      </c>
      <c r="C2490" s="13">
        <v>470.37600000000009</v>
      </c>
      <c r="H2490" t="s">
        <v>3138</v>
      </c>
      <c r="I2490" t="s">
        <v>4</v>
      </c>
      <c r="J2490">
        <v>470.37600000000009</v>
      </c>
    </row>
    <row r="2491" spans="2:10">
      <c r="B2491" s="13" t="s">
        <v>3122</v>
      </c>
      <c r="C2491" s="13">
        <v>6.08</v>
      </c>
      <c r="H2491" t="s">
        <v>3138</v>
      </c>
      <c r="I2491" t="s">
        <v>5</v>
      </c>
      <c r="J2491">
        <v>6.08</v>
      </c>
    </row>
    <row r="2492" spans="2:10">
      <c r="B2492" s="13" t="s">
        <v>3116</v>
      </c>
      <c r="C2492" s="13">
        <v>164.79200000000003</v>
      </c>
      <c r="H2492" t="s">
        <v>3138</v>
      </c>
      <c r="I2492" t="s">
        <v>4</v>
      </c>
      <c r="J2492">
        <v>164.79200000000003</v>
      </c>
    </row>
    <row r="2493" spans="2:10">
      <c r="B2493" s="13" t="s">
        <v>3118</v>
      </c>
      <c r="C2493" s="13">
        <v>12.175999999999998</v>
      </c>
      <c r="H2493" t="s">
        <v>3137</v>
      </c>
      <c r="I2493" t="s">
        <v>5</v>
      </c>
      <c r="J2493">
        <v>12.175999999999998</v>
      </c>
    </row>
    <row r="2494" spans="2:10">
      <c r="B2494" s="13" t="s">
        <v>3114</v>
      </c>
      <c r="C2494" s="13">
        <v>9.2480000000000011</v>
      </c>
      <c r="H2494" t="s">
        <v>3136</v>
      </c>
      <c r="I2494" t="s">
        <v>5</v>
      </c>
      <c r="J2494">
        <v>9.2480000000000011</v>
      </c>
    </row>
    <row r="2495" spans="2:10">
      <c r="B2495" s="13" t="s">
        <v>3116</v>
      </c>
      <c r="C2495" s="13">
        <v>1889.9459999999999</v>
      </c>
      <c r="H2495" t="s">
        <v>3136</v>
      </c>
      <c r="I2495" t="s">
        <v>4</v>
      </c>
      <c r="J2495">
        <v>1889.9459999999999</v>
      </c>
    </row>
    <row r="2496" spans="2:10">
      <c r="B2496" s="13" t="s">
        <v>3117</v>
      </c>
      <c r="C2496" s="13">
        <v>62.040000000000006</v>
      </c>
      <c r="H2496" t="s">
        <v>3136</v>
      </c>
      <c r="I2496" t="s">
        <v>5</v>
      </c>
      <c r="J2496">
        <v>62.040000000000006</v>
      </c>
    </row>
    <row r="2497" spans="2:10">
      <c r="B2497" s="13" t="s">
        <v>3119</v>
      </c>
      <c r="C2497" s="13">
        <v>396.92000000000007</v>
      </c>
      <c r="H2497" t="s">
        <v>3136</v>
      </c>
      <c r="I2497" t="s">
        <v>3</v>
      </c>
      <c r="J2497">
        <v>396.92000000000007</v>
      </c>
    </row>
    <row r="2498" spans="2:10">
      <c r="B2498" s="13" t="s">
        <v>3117</v>
      </c>
      <c r="C2498" s="13">
        <v>239.45599999999999</v>
      </c>
      <c r="H2498" t="s">
        <v>3136</v>
      </c>
      <c r="I2498" t="s">
        <v>5</v>
      </c>
      <c r="J2498">
        <v>239.45599999999999</v>
      </c>
    </row>
    <row r="2499" spans="2:10">
      <c r="B2499" s="13" t="s">
        <v>3122</v>
      </c>
      <c r="C2499" s="13">
        <v>13.120000000000001</v>
      </c>
      <c r="H2499" t="s">
        <v>3136</v>
      </c>
      <c r="I2499" t="s">
        <v>5</v>
      </c>
      <c r="J2499">
        <v>13.120000000000001</v>
      </c>
    </row>
    <row r="2500" spans="2:10">
      <c r="B2500" s="13" t="s">
        <v>3118</v>
      </c>
      <c r="C2500" s="13">
        <v>29.36</v>
      </c>
      <c r="H2500" t="s">
        <v>3135</v>
      </c>
      <c r="I2500" t="s">
        <v>5</v>
      </c>
      <c r="J2500">
        <v>29.36</v>
      </c>
    </row>
    <row r="2501" spans="2:10">
      <c r="B2501" s="13" t="s">
        <v>3125</v>
      </c>
      <c r="C2501" s="13">
        <v>214.89999999999998</v>
      </c>
      <c r="H2501" t="s">
        <v>3135</v>
      </c>
      <c r="I2501" t="s">
        <v>5</v>
      </c>
      <c r="J2501">
        <v>214.89999999999998</v>
      </c>
    </row>
    <row r="2502" spans="2:10">
      <c r="B2502" s="13" t="s">
        <v>3118</v>
      </c>
      <c r="C2502" s="13">
        <v>15.92</v>
      </c>
      <c r="H2502" t="s">
        <v>3135</v>
      </c>
      <c r="I2502" t="s">
        <v>5</v>
      </c>
      <c r="J2502">
        <v>15.92</v>
      </c>
    </row>
    <row r="2503" spans="2:10">
      <c r="B2503" s="13" t="s">
        <v>3120</v>
      </c>
      <c r="C2503" s="13">
        <v>146.44999999999999</v>
      </c>
      <c r="H2503" t="s">
        <v>3135</v>
      </c>
      <c r="I2503" t="s">
        <v>4</v>
      </c>
      <c r="J2503">
        <v>146.44999999999999</v>
      </c>
    </row>
    <row r="2504" spans="2:10">
      <c r="B2504" s="13" t="s">
        <v>3117</v>
      </c>
      <c r="C2504" s="13">
        <v>15.14</v>
      </c>
      <c r="H2504" t="s">
        <v>3135</v>
      </c>
      <c r="I2504" t="s">
        <v>5</v>
      </c>
      <c r="J2504">
        <v>15.14</v>
      </c>
    </row>
    <row r="2505" spans="2:10">
      <c r="B2505" s="13" t="s">
        <v>3121</v>
      </c>
      <c r="C2505" s="13">
        <v>5.76</v>
      </c>
      <c r="H2505" t="s">
        <v>3135</v>
      </c>
      <c r="I2505" t="s">
        <v>5</v>
      </c>
      <c r="J2505">
        <v>5.76</v>
      </c>
    </row>
    <row r="2506" spans="2:10">
      <c r="B2506" s="13" t="s">
        <v>3127</v>
      </c>
      <c r="C2506" s="13">
        <v>1399.98</v>
      </c>
      <c r="H2506" t="s">
        <v>3135</v>
      </c>
      <c r="I2506" t="s">
        <v>4</v>
      </c>
      <c r="J2506">
        <v>1399.98</v>
      </c>
    </row>
    <row r="2507" spans="2:10">
      <c r="B2507" s="13" t="s">
        <v>3124</v>
      </c>
      <c r="C2507" s="13">
        <v>71.88</v>
      </c>
      <c r="H2507" t="s">
        <v>3138</v>
      </c>
      <c r="I2507" t="s">
        <v>5</v>
      </c>
      <c r="J2507">
        <v>71.88</v>
      </c>
    </row>
    <row r="2508" spans="2:10">
      <c r="B2508" s="13" t="s">
        <v>3119</v>
      </c>
      <c r="C2508" s="13">
        <v>9.24</v>
      </c>
      <c r="H2508" t="s">
        <v>3138</v>
      </c>
      <c r="I2508" t="s">
        <v>3</v>
      </c>
      <c r="J2508">
        <v>9.24</v>
      </c>
    </row>
    <row r="2509" spans="2:10">
      <c r="B2509" s="13" t="s">
        <v>3114</v>
      </c>
      <c r="C2509" s="13">
        <v>35.880000000000003</v>
      </c>
      <c r="H2509" t="s">
        <v>3138</v>
      </c>
      <c r="I2509" t="s">
        <v>5</v>
      </c>
      <c r="J2509">
        <v>35.880000000000003</v>
      </c>
    </row>
    <row r="2510" spans="2:10">
      <c r="B2510" s="13" t="s">
        <v>3118</v>
      </c>
      <c r="C2510" s="13">
        <v>17.04</v>
      </c>
      <c r="H2510" t="s">
        <v>3138</v>
      </c>
      <c r="I2510" t="s">
        <v>5</v>
      </c>
      <c r="J2510">
        <v>17.04</v>
      </c>
    </row>
    <row r="2511" spans="2:10">
      <c r="B2511" s="13" t="s">
        <v>3118</v>
      </c>
      <c r="C2511" s="13">
        <v>931.17600000000016</v>
      </c>
      <c r="H2511" t="s">
        <v>3138</v>
      </c>
      <c r="I2511" t="s">
        <v>5</v>
      </c>
      <c r="J2511">
        <v>931.17600000000016</v>
      </c>
    </row>
    <row r="2512" spans="2:10">
      <c r="B2512" s="13" t="s">
        <v>3115</v>
      </c>
      <c r="C2512" s="13">
        <v>196.78399999999999</v>
      </c>
      <c r="H2512" t="s">
        <v>3135</v>
      </c>
      <c r="I2512" t="s">
        <v>3</v>
      </c>
      <c r="J2512">
        <v>196.78399999999999</v>
      </c>
    </row>
    <row r="2513" spans="2:10">
      <c r="B2513" s="13" t="s">
        <v>3128</v>
      </c>
      <c r="C2513" s="13">
        <v>231.92000000000002</v>
      </c>
      <c r="H2513" t="s">
        <v>3135</v>
      </c>
      <c r="I2513" t="s">
        <v>3</v>
      </c>
      <c r="J2513">
        <v>231.92000000000002</v>
      </c>
    </row>
    <row r="2514" spans="2:10">
      <c r="B2514" s="13" t="s">
        <v>3129</v>
      </c>
      <c r="C2514" s="13">
        <v>29.700000000000003</v>
      </c>
      <c r="H2514" t="s">
        <v>3138</v>
      </c>
      <c r="I2514" t="s">
        <v>5</v>
      </c>
      <c r="J2514">
        <v>29.700000000000003</v>
      </c>
    </row>
    <row r="2515" spans="2:10">
      <c r="B2515" s="13" t="s">
        <v>3119</v>
      </c>
      <c r="C2515" s="13">
        <v>13.591999999999999</v>
      </c>
      <c r="H2515" t="s">
        <v>3137</v>
      </c>
      <c r="I2515" t="s">
        <v>3</v>
      </c>
      <c r="J2515">
        <v>13.591999999999999</v>
      </c>
    </row>
    <row r="2516" spans="2:10">
      <c r="B2516" s="13" t="s">
        <v>3117</v>
      </c>
      <c r="C2516" s="13">
        <v>114.28800000000001</v>
      </c>
      <c r="H2516" t="s">
        <v>3138</v>
      </c>
      <c r="I2516" t="s">
        <v>5</v>
      </c>
      <c r="J2516">
        <v>114.28800000000001</v>
      </c>
    </row>
    <row r="2517" spans="2:10">
      <c r="B2517" s="13" t="s">
        <v>3118</v>
      </c>
      <c r="C2517" s="13">
        <v>36.624000000000002</v>
      </c>
      <c r="H2517" t="s">
        <v>3138</v>
      </c>
      <c r="I2517" t="s">
        <v>5</v>
      </c>
      <c r="J2517">
        <v>36.624000000000002</v>
      </c>
    </row>
    <row r="2518" spans="2:10">
      <c r="B2518" s="13" t="s">
        <v>3128</v>
      </c>
      <c r="C2518" s="13">
        <v>242.35200000000003</v>
      </c>
      <c r="H2518" t="s">
        <v>3138</v>
      </c>
      <c r="I2518" t="s">
        <v>3</v>
      </c>
      <c r="J2518">
        <v>242.35200000000003</v>
      </c>
    </row>
    <row r="2519" spans="2:10">
      <c r="B2519" s="13" t="s">
        <v>3116</v>
      </c>
      <c r="C2519" s="13">
        <v>49.616000000000007</v>
      </c>
      <c r="H2519" t="s">
        <v>3138</v>
      </c>
      <c r="I2519" t="s">
        <v>4</v>
      </c>
      <c r="J2519">
        <v>49.616000000000007</v>
      </c>
    </row>
    <row r="2520" spans="2:10">
      <c r="B2520" s="13" t="s">
        <v>3119</v>
      </c>
      <c r="C2520" s="13">
        <v>508.70400000000006</v>
      </c>
      <c r="H2520" t="s">
        <v>3138</v>
      </c>
      <c r="I2520" t="s">
        <v>3</v>
      </c>
      <c r="J2520">
        <v>508.70400000000006</v>
      </c>
    </row>
    <row r="2521" spans="2:10">
      <c r="B2521" s="13" t="s">
        <v>3116</v>
      </c>
      <c r="C2521" s="13">
        <v>57.36</v>
      </c>
      <c r="H2521" t="s">
        <v>3138</v>
      </c>
      <c r="I2521" t="s">
        <v>4</v>
      </c>
      <c r="J2521">
        <v>57.36</v>
      </c>
    </row>
    <row r="2522" spans="2:10">
      <c r="B2522" s="13" t="s">
        <v>3115</v>
      </c>
      <c r="C2522" s="13">
        <v>906.68000000000006</v>
      </c>
      <c r="H2522" t="s">
        <v>3138</v>
      </c>
      <c r="I2522" t="s">
        <v>3</v>
      </c>
      <c r="J2522">
        <v>906.68000000000006</v>
      </c>
    </row>
    <row r="2523" spans="2:10">
      <c r="B2523" s="13" t="s">
        <v>3114</v>
      </c>
      <c r="C2523" s="13">
        <v>158.28</v>
      </c>
      <c r="H2523" t="s">
        <v>3137</v>
      </c>
      <c r="I2523" t="s">
        <v>5</v>
      </c>
      <c r="J2523">
        <v>158.28</v>
      </c>
    </row>
    <row r="2524" spans="2:10">
      <c r="B2524" s="13" t="s">
        <v>3118</v>
      </c>
      <c r="C2524" s="13">
        <v>497.93999999999994</v>
      </c>
      <c r="H2524" t="s">
        <v>3137</v>
      </c>
      <c r="I2524" t="s">
        <v>5</v>
      </c>
      <c r="J2524">
        <v>497.93999999999994</v>
      </c>
    </row>
    <row r="2525" spans="2:10">
      <c r="B2525" s="13" t="s">
        <v>3120</v>
      </c>
      <c r="C2525" s="13">
        <v>63.824000000000005</v>
      </c>
      <c r="H2525" t="s">
        <v>3138</v>
      </c>
      <c r="I2525" t="s">
        <v>4</v>
      </c>
      <c r="J2525">
        <v>63.824000000000005</v>
      </c>
    </row>
    <row r="2526" spans="2:10">
      <c r="B2526" s="13" t="s">
        <v>3120</v>
      </c>
      <c r="C2526" s="13">
        <v>47.975999999999999</v>
      </c>
      <c r="H2526" t="s">
        <v>3137</v>
      </c>
      <c r="I2526" t="s">
        <v>4</v>
      </c>
      <c r="J2526">
        <v>47.975999999999999</v>
      </c>
    </row>
    <row r="2527" spans="2:10">
      <c r="B2527" s="13" t="s">
        <v>3114</v>
      </c>
      <c r="C2527" s="13">
        <v>20.736000000000004</v>
      </c>
      <c r="H2527" t="s">
        <v>3137</v>
      </c>
      <c r="I2527" t="s">
        <v>5</v>
      </c>
      <c r="J2527">
        <v>20.736000000000004</v>
      </c>
    </row>
    <row r="2528" spans="2:10">
      <c r="B2528" s="13" t="s">
        <v>3119</v>
      </c>
      <c r="C2528" s="13">
        <v>17.309999999999999</v>
      </c>
      <c r="H2528" t="s">
        <v>3138</v>
      </c>
      <c r="I2528" t="s">
        <v>3</v>
      </c>
      <c r="J2528">
        <v>17.309999999999999</v>
      </c>
    </row>
    <row r="2529" spans="2:10">
      <c r="B2529" s="13" t="s">
        <v>3118</v>
      </c>
      <c r="C2529" s="13">
        <v>146.86000000000001</v>
      </c>
      <c r="H2529" t="s">
        <v>3137</v>
      </c>
      <c r="I2529" t="s">
        <v>5</v>
      </c>
      <c r="J2529">
        <v>146.86000000000001</v>
      </c>
    </row>
    <row r="2530" spans="2:10">
      <c r="B2530" s="13" t="s">
        <v>3118</v>
      </c>
      <c r="C2530" s="13">
        <v>36.56</v>
      </c>
      <c r="H2530" t="s">
        <v>3137</v>
      </c>
      <c r="I2530" t="s">
        <v>5</v>
      </c>
      <c r="J2530">
        <v>36.56</v>
      </c>
    </row>
    <row r="2531" spans="2:10">
      <c r="B2531" s="13" t="s">
        <v>3117</v>
      </c>
      <c r="C2531" s="13">
        <v>264.32</v>
      </c>
      <c r="H2531" t="s">
        <v>3137</v>
      </c>
      <c r="I2531" t="s">
        <v>5</v>
      </c>
      <c r="J2531">
        <v>264.32</v>
      </c>
    </row>
    <row r="2532" spans="2:10">
      <c r="B2532" s="13" t="s">
        <v>3114</v>
      </c>
      <c r="C2532" s="13">
        <v>25.92</v>
      </c>
      <c r="H2532" t="s">
        <v>3138</v>
      </c>
      <c r="I2532" t="s">
        <v>5</v>
      </c>
      <c r="J2532">
        <v>25.92</v>
      </c>
    </row>
    <row r="2533" spans="2:10">
      <c r="B2533" s="13" t="s">
        <v>3122</v>
      </c>
      <c r="C2533" s="13">
        <v>22.959999999999997</v>
      </c>
      <c r="H2533" t="s">
        <v>3138</v>
      </c>
      <c r="I2533" t="s">
        <v>5</v>
      </c>
      <c r="J2533">
        <v>22.959999999999997</v>
      </c>
    </row>
    <row r="2534" spans="2:10">
      <c r="B2534" s="13" t="s">
        <v>3126</v>
      </c>
      <c r="C2534" s="13">
        <v>189.57600000000002</v>
      </c>
      <c r="H2534" t="s">
        <v>3138</v>
      </c>
      <c r="I2534" t="s">
        <v>3</v>
      </c>
      <c r="J2534">
        <v>189.57600000000002</v>
      </c>
    </row>
    <row r="2535" spans="2:10">
      <c r="B2535" s="13" t="s">
        <v>3116</v>
      </c>
      <c r="C2535" s="13">
        <v>71.959999999999994</v>
      </c>
      <c r="H2535" t="s">
        <v>3138</v>
      </c>
      <c r="I2535" t="s">
        <v>4</v>
      </c>
      <c r="J2535">
        <v>71.959999999999994</v>
      </c>
    </row>
    <row r="2536" spans="2:10">
      <c r="B2536" s="13" t="s">
        <v>3115</v>
      </c>
      <c r="C2536" s="13">
        <v>1207.8399999999999</v>
      </c>
      <c r="H2536" t="s">
        <v>3135</v>
      </c>
      <c r="I2536" t="s">
        <v>3</v>
      </c>
      <c r="J2536">
        <v>1207.8399999999999</v>
      </c>
    </row>
    <row r="2537" spans="2:10">
      <c r="B2537" s="13" t="s">
        <v>3118</v>
      </c>
      <c r="C2537" s="13">
        <v>12.53</v>
      </c>
      <c r="H2537" t="s">
        <v>3135</v>
      </c>
      <c r="I2537" t="s">
        <v>5</v>
      </c>
      <c r="J2537">
        <v>12.53</v>
      </c>
    </row>
    <row r="2538" spans="2:10">
      <c r="B2538" s="13" t="s">
        <v>3122</v>
      </c>
      <c r="C2538" s="13">
        <v>34.58</v>
      </c>
      <c r="H2538" t="s">
        <v>3135</v>
      </c>
      <c r="I2538" t="s">
        <v>5</v>
      </c>
      <c r="J2538">
        <v>34.58</v>
      </c>
    </row>
    <row r="2539" spans="2:10">
      <c r="B2539" s="13" t="s">
        <v>3115</v>
      </c>
      <c r="C2539" s="13">
        <v>300.98</v>
      </c>
      <c r="H2539" t="s">
        <v>3135</v>
      </c>
      <c r="I2539" t="s">
        <v>3</v>
      </c>
      <c r="J2539">
        <v>300.98</v>
      </c>
    </row>
    <row r="2540" spans="2:10">
      <c r="B2540" s="13" t="s">
        <v>3115</v>
      </c>
      <c r="C2540" s="13">
        <v>258.75</v>
      </c>
      <c r="H2540" t="s">
        <v>3135</v>
      </c>
      <c r="I2540" t="s">
        <v>3</v>
      </c>
      <c r="J2540">
        <v>258.75</v>
      </c>
    </row>
    <row r="2541" spans="2:10">
      <c r="B2541" s="13" t="s">
        <v>3122</v>
      </c>
      <c r="C2541" s="13">
        <v>59.519999999999996</v>
      </c>
      <c r="H2541" t="s">
        <v>3136</v>
      </c>
      <c r="I2541" t="s">
        <v>5</v>
      </c>
      <c r="J2541">
        <v>59.519999999999996</v>
      </c>
    </row>
    <row r="2542" spans="2:10">
      <c r="B2542" s="13" t="s">
        <v>3124</v>
      </c>
      <c r="C2542" s="13">
        <v>57.959999999999994</v>
      </c>
      <c r="H2542" t="s">
        <v>3136</v>
      </c>
      <c r="I2542" t="s">
        <v>5</v>
      </c>
      <c r="J2542">
        <v>57.959999999999994</v>
      </c>
    </row>
    <row r="2543" spans="2:10">
      <c r="B2543" s="13" t="s">
        <v>3128</v>
      </c>
      <c r="C2543" s="13">
        <v>441.96</v>
      </c>
      <c r="H2543" t="s">
        <v>3136</v>
      </c>
      <c r="I2543" t="s">
        <v>3</v>
      </c>
      <c r="J2543">
        <v>441.96</v>
      </c>
    </row>
    <row r="2544" spans="2:10">
      <c r="B2544" s="13" t="s">
        <v>3114</v>
      </c>
      <c r="C2544" s="13">
        <v>68.039999999999992</v>
      </c>
      <c r="H2544" t="s">
        <v>3136</v>
      </c>
      <c r="I2544" t="s">
        <v>5</v>
      </c>
      <c r="J2544">
        <v>68.039999999999992</v>
      </c>
    </row>
    <row r="2545" spans="2:10">
      <c r="B2545" s="13" t="s">
        <v>3120</v>
      </c>
      <c r="C2545" s="13">
        <v>119.44800000000001</v>
      </c>
      <c r="H2545" t="s">
        <v>3137</v>
      </c>
      <c r="I2545" t="s">
        <v>4</v>
      </c>
      <c r="J2545">
        <v>119.44800000000001</v>
      </c>
    </row>
    <row r="2546" spans="2:10">
      <c r="B2546" s="13" t="s">
        <v>3117</v>
      </c>
      <c r="C2546" s="13">
        <v>118.16</v>
      </c>
      <c r="H2546" t="s">
        <v>3137</v>
      </c>
      <c r="I2546" t="s">
        <v>5</v>
      </c>
      <c r="J2546">
        <v>118.16</v>
      </c>
    </row>
    <row r="2547" spans="2:10">
      <c r="B2547" s="13" t="s">
        <v>3118</v>
      </c>
      <c r="C2547" s="13">
        <v>76.77600000000001</v>
      </c>
      <c r="H2547" t="s">
        <v>3136</v>
      </c>
      <c r="I2547" t="s">
        <v>5</v>
      </c>
      <c r="J2547">
        <v>76.77600000000001</v>
      </c>
    </row>
    <row r="2548" spans="2:10">
      <c r="B2548" s="13" t="s">
        <v>3118</v>
      </c>
      <c r="C2548" s="13">
        <v>53.9</v>
      </c>
      <c r="H2548" t="s">
        <v>3137</v>
      </c>
      <c r="I2548" t="s">
        <v>5</v>
      </c>
      <c r="J2548">
        <v>53.9</v>
      </c>
    </row>
    <row r="2549" spans="2:10">
      <c r="B2549" s="13" t="s">
        <v>3122</v>
      </c>
      <c r="C2549" s="13">
        <v>99.2</v>
      </c>
      <c r="H2549" t="s">
        <v>3138</v>
      </c>
      <c r="I2549" t="s">
        <v>5</v>
      </c>
      <c r="J2549">
        <v>99.2</v>
      </c>
    </row>
    <row r="2550" spans="2:10">
      <c r="B2550" s="13" t="s">
        <v>3122</v>
      </c>
      <c r="C2550" s="13">
        <v>15.920000000000002</v>
      </c>
      <c r="H2550" t="s">
        <v>3135</v>
      </c>
      <c r="I2550" t="s">
        <v>5</v>
      </c>
      <c r="J2550">
        <v>15.920000000000002</v>
      </c>
    </row>
    <row r="2551" spans="2:10">
      <c r="B2551" s="13" t="s">
        <v>3125</v>
      </c>
      <c r="C2551" s="13">
        <v>152.94</v>
      </c>
      <c r="H2551" t="s">
        <v>3138</v>
      </c>
      <c r="I2551" t="s">
        <v>5</v>
      </c>
      <c r="J2551">
        <v>152.94</v>
      </c>
    </row>
    <row r="2552" spans="2:10">
      <c r="B2552" s="13" t="s">
        <v>3125</v>
      </c>
      <c r="C2552" s="13">
        <v>179.94</v>
      </c>
      <c r="H2552" t="s">
        <v>3135</v>
      </c>
      <c r="I2552" t="s">
        <v>5</v>
      </c>
      <c r="J2552">
        <v>179.94</v>
      </c>
    </row>
    <row r="2553" spans="2:10">
      <c r="B2553" s="13" t="s">
        <v>3126</v>
      </c>
      <c r="C2553" s="13">
        <v>872.94</v>
      </c>
      <c r="H2553" t="s">
        <v>3135</v>
      </c>
      <c r="I2553" t="s">
        <v>3</v>
      </c>
      <c r="J2553">
        <v>872.94</v>
      </c>
    </row>
    <row r="2554" spans="2:10">
      <c r="B2554" s="13" t="s">
        <v>3114</v>
      </c>
      <c r="C2554" s="13">
        <v>12.96</v>
      </c>
      <c r="H2554" t="s">
        <v>3135</v>
      </c>
      <c r="I2554" t="s">
        <v>5</v>
      </c>
      <c r="J2554">
        <v>12.96</v>
      </c>
    </row>
    <row r="2555" spans="2:10">
      <c r="B2555" s="13" t="s">
        <v>3114</v>
      </c>
      <c r="C2555" s="13">
        <v>163.96</v>
      </c>
      <c r="H2555" t="s">
        <v>3137</v>
      </c>
      <c r="I2555" t="s">
        <v>5</v>
      </c>
      <c r="J2555">
        <v>163.96</v>
      </c>
    </row>
    <row r="2556" spans="2:10">
      <c r="B2556" s="13" t="s">
        <v>3118</v>
      </c>
      <c r="C2556" s="13">
        <v>5.2319999999999984</v>
      </c>
      <c r="H2556" t="s">
        <v>3137</v>
      </c>
      <c r="I2556" t="s">
        <v>5</v>
      </c>
      <c r="J2556">
        <v>5.2319999999999984</v>
      </c>
    </row>
    <row r="2557" spans="2:10">
      <c r="B2557" s="13" t="s">
        <v>3127</v>
      </c>
      <c r="C2557" s="13">
        <v>1199.98</v>
      </c>
      <c r="H2557" t="s">
        <v>3136</v>
      </c>
      <c r="I2557" t="s">
        <v>4</v>
      </c>
      <c r="J2557">
        <v>1199.98</v>
      </c>
    </row>
    <row r="2558" spans="2:10">
      <c r="B2558" s="13" t="s">
        <v>3117</v>
      </c>
      <c r="C2558" s="13">
        <v>73.849999999999994</v>
      </c>
      <c r="H2558" t="s">
        <v>3136</v>
      </c>
      <c r="I2558" t="s">
        <v>5</v>
      </c>
      <c r="J2558">
        <v>73.849999999999994</v>
      </c>
    </row>
    <row r="2559" spans="2:10">
      <c r="B2559" s="13" t="s">
        <v>3129</v>
      </c>
      <c r="C2559" s="13">
        <v>25.71</v>
      </c>
      <c r="H2559" t="s">
        <v>3136</v>
      </c>
      <c r="I2559" t="s">
        <v>5</v>
      </c>
      <c r="J2559">
        <v>25.71</v>
      </c>
    </row>
    <row r="2560" spans="2:10">
      <c r="B2560" s="13" t="s">
        <v>3123</v>
      </c>
      <c r="C2560" s="13">
        <v>17.28</v>
      </c>
      <c r="H2560" t="s">
        <v>3136</v>
      </c>
      <c r="I2560" t="s">
        <v>5</v>
      </c>
      <c r="J2560">
        <v>17.28</v>
      </c>
    </row>
    <row r="2561" spans="2:10">
      <c r="B2561" s="13" t="s">
        <v>3126</v>
      </c>
      <c r="C2561" s="13">
        <v>526.58199999999999</v>
      </c>
      <c r="H2561" t="s">
        <v>3136</v>
      </c>
      <c r="I2561" t="s">
        <v>3</v>
      </c>
      <c r="J2561">
        <v>526.58199999999999</v>
      </c>
    </row>
    <row r="2562" spans="2:10">
      <c r="B2562" s="13" t="s">
        <v>3122</v>
      </c>
      <c r="C2562" s="13">
        <v>11.68</v>
      </c>
      <c r="H2562" t="s">
        <v>3138</v>
      </c>
      <c r="I2562" t="s">
        <v>5</v>
      </c>
      <c r="J2562">
        <v>11.68</v>
      </c>
    </row>
    <row r="2563" spans="2:10">
      <c r="B2563" s="13" t="s">
        <v>3119</v>
      </c>
      <c r="C2563" s="13">
        <v>77.951999999999998</v>
      </c>
      <c r="H2563" t="s">
        <v>3135</v>
      </c>
      <c r="I2563" t="s">
        <v>3</v>
      </c>
      <c r="J2563">
        <v>77.951999999999998</v>
      </c>
    </row>
    <row r="2564" spans="2:10">
      <c r="B2564" s="13" t="s">
        <v>3117</v>
      </c>
      <c r="C2564" s="13">
        <v>147.184</v>
      </c>
      <c r="H2564" t="s">
        <v>3135</v>
      </c>
      <c r="I2564" t="s">
        <v>5</v>
      </c>
      <c r="J2564">
        <v>147.184</v>
      </c>
    </row>
    <row r="2565" spans="2:10">
      <c r="B2565" s="13" t="s">
        <v>3114</v>
      </c>
      <c r="C2565" s="13">
        <v>47.952000000000005</v>
      </c>
      <c r="H2565" t="s">
        <v>3135</v>
      </c>
      <c r="I2565" t="s">
        <v>5</v>
      </c>
      <c r="J2565">
        <v>47.952000000000005</v>
      </c>
    </row>
    <row r="2566" spans="2:10">
      <c r="B2566" s="13" t="s">
        <v>3120</v>
      </c>
      <c r="C2566" s="13">
        <v>40.775999999999996</v>
      </c>
      <c r="H2566" t="s">
        <v>3136</v>
      </c>
      <c r="I2566" t="s">
        <v>4</v>
      </c>
      <c r="J2566">
        <v>40.775999999999996</v>
      </c>
    </row>
    <row r="2567" spans="2:10">
      <c r="B2567" s="13" t="s">
        <v>3120</v>
      </c>
      <c r="C2567" s="13">
        <v>159.96</v>
      </c>
      <c r="H2567" t="s">
        <v>3138</v>
      </c>
      <c r="I2567" t="s">
        <v>4</v>
      </c>
      <c r="J2567">
        <v>159.96</v>
      </c>
    </row>
    <row r="2568" spans="2:10">
      <c r="B2568" s="13" t="s">
        <v>3125</v>
      </c>
      <c r="C2568" s="13">
        <v>40.74</v>
      </c>
      <c r="H2568" t="s">
        <v>3138</v>
      </c>
      <c r="I2568" t="s">
        <v>5</v>
      </c>
      <c r="J2568">
        <v>40.74</v>
      </c>
    </row>
    <row r="2569" spans="2:10">
      <c r="B2569" s="13" t="s">
        <v>3115</v>
      </c>
      <c r="C2569" s="13">
        <v>291.13600000000002</v>
      </c>
      <c r="H2569" t="s">
        <v>3138</v>
      </c>
      <c r="I2569" t="s">
        <v>3</v>
      </c>
      <c r="J2569">
        <v>291.13600000000002</v>
      </c>
    </row>
    <row r="2570" spans="2:10">
      <c r="B2570" s="13" t="s">
        <v>3124</v>
      </c>
      <c r="C2570" s="13">
        <v>114.84800000000001</v>
      </c>
      <c r="H2570" t="s">
        <v>3137</v>
      </c>
      <c r="I2570" t="s">
        <v>5</v>
      </c>
      <c r="J2570">
        <v>114.84800000000001</v>
      </c>
    </row>
    <row r="2571" spans="2:10">
      <c r="B2571" s="13" t="s">
        <v>3114</v>
      </c>
      <c r="C2571" s="13">
        <v>10.688000000000001</v>
      </c>
      <c r="H2571" t="s">
        <v>3137</v>
      </c>
      <c r="I2571" t="s">
        <v>5</v>
      </c>
      <c r="J2571">
        <v>10.688000000000001</v>
      </c>
    </row>
    <row r="2572" spans="2:10">
      <c r="B2572" s="13" t="s">
        <v>3122</v>
      </c>
      <c r="C2572" s="13">
        <v>12.419999999999998</v>
      </c>
      <c r="H2572" t="s">
        <v>3138</v>
      </c>
      <c r="I2572" t="s">
        <v>5</v>
      </c>
      <c r="J2572">
        <v>12.419999999999998</v>
      </c>
    </row>
    <row r="2573" spans="2:10">
      <c r="B2573" s="13" t="s">
        <v>3122</v>
      </c>
      <c r="C2573" s="13">
        <v>12.672000000000001</v>
      </c>
      <c r="H2573" t="s">
        <v>3135</v>
      </c>
      <c r="I2573" t="s">
        <v>5</v>
      </c>
      <c r="J2573">
        <v>12.672000000000001</v>
      </c>
    </row>
    <row r="2574" spans="2:10">
      <c r="B2574" s="13" t="s">
        <v>3116</v>
      </c>
      <c r="C2574" s="13">
        <v>89.949999999999989</v>
      </c>
      <c r="H2574" t="s">
        <v>3136</v>
      </c>
      <c r="I2574" t="s">
        <v>4</v>
      </c>
      <c r="J2574">
        <v>89.949999999999989</v>
      </c>
    </row>
    <row r="2575" spans="2:10">
      <c r="B2575" s="13" t="s">
        <v>3114</v>
      </c>
      <c r="C2575" s="13">
        <v>25.92</v>
      </c>
      <c r="H2575" t="s">
        <v>3138</v>
      </c>
      <c r="I2575" t="s">
        <v>5</v>
      </c>
      <c r="J2575">
        <v>25.92</v>
      </c>
    </row>
    <row r="2576" spans="2:10">
      <c r="B2576" s="13" t="s">
        <v>3114</v>
      </c>
      <c r="C2576" s="13">
        <v>268.24</v>
      </c>
      <c r="H2576" t="s">
        <v>3135</v>
      </c>
      <c r="I2576" t="s">
        <v>5</v>
      </c>
      <c r="J2576">
        <v>268.24</v>
      </c>
    </row>
    <row r="2577" spans="2:10">
      <c r="B2577" s="13" t="s">
        <v>3120</v>
      </c>
      <c r="C2577" s="13">
        <v>431.16000000000008</v>
      </c>
      <c r="H2577" t="s">
        <v>3135</v>
      </c>
      <c r="I2577" t="s">
        <v>4</v>
      </c>
      <c r="J2577">
        <v>431.16000000000008</v>
      </c>
    </row>
    <row r="2578" spans="2:10">
      <c r="B2578" s="13" t="s">
        <v>3116</v>
      </c>
      <c r="C2578" s="13">
        <v>43.6</v>
      </c>
      <c r="H2578" t="s">
        <v>3136</v>
      </c>
      <c r="I2578" t="s">
        <v>4</v>
      </c>
      <c r="J2578">
        <v>43.6</v>
      </c>
    </row>
    <row r="2579" spans="2:10">
      <c r="B2579" s="13" t="s">
        <v>3119</v>
      </c>
      <c r="C2579" s="13">
        <v>154.94999999999999</v>
      </c>
      <c r="H2579" t="s">
        <v>3136</v>
      </c>
      <c r="I2579" t="s">
        <v>3</v>
      </c>
      <c r="J2579">
        <v>154.94999999999999</v>
      </c>
    </row>
    <row r="2580" spans="2:10">
      <c r="B2580" s="13" t="s">
        <v>3114</v>
      </c>
      <c r="C2580" s="13">
        <v>10.368000000000002</v>
      </c>
      <c r="H2580" t="s">
        <v>3137</v>
      </c>
      <c r="I2580" t="s">
        <v>5</v>
      </c>
      <c r="J2580">
        <v>10.368000000000002</v>
      </c>
    </row>
    <row r="2581" spans="2:10">
      <c r="B2581" s="13" t="s">
        <v>3122</v>
      </c>
      <c r="C2581" s="13">
        <v>2.2239999999999998</v>
      </c>
      <c r="H2581" t="s">
        <v>3138</v>
      </c>
      <c r="I2581" t="s">
        <v>5</v>
      </c>
      <c r="J2581">
        <v>2.2239999999999998</v>
      </c>
    </row>
    <row r="2582" spans="2:10">
      <c r="B2582" s="13" t="s">
        <v>3122</v>
      </c>
      <c r="C2582" s="13">
        <v>17.52</v>
      </c>
      <c r="H2582" t="s">
        <v>3136</v>
      </c>
      <c r="I2582" t="s">
        <v>5</v>
      </c>
      <c r="J2582">
        <v>17.52</v>
      </c>
    </row>
    <row r="2583" spans="2:10">
      <c r="B2583" s="13" t="s">
        <v>3115</v>
      </c>
      <c r="C2583" s="13">
        <v>1779.9</v>
      </c>
      <c r="H2583" t="s">
        <v>3136</v>
      </c>
      <c r="I2583" t="s">
        <v>3</v>
      </c>
      <c r="J2583">
        <v>1779.9</v>
      </c>
    </row>
    <row r="2584" spans="2:10">
      <c r="B2584" s="13" t="s">
        <v>3122</v>
      </c>
      <c r="C2584" s="13">
        <v>219.89999999999998</v>
      </c>
      <c r="H2584" t="s">
        <v>3136</v>
      </c>
      <c r="I2584" t="s">
        <v>5</v>
      </c>
      <c r="J2584">
        <v>219.89999999999998</v>
      </c>
    </row>
    <row r="2585" spans="2:10">
      <c r="B2585" s="13" t="s">
        <v>3114</v>
      </c>
      <c r="C2585" s="13">
        <v>26.720000000000002</v>
      </c>
      <c r="H2585" t="s">
        <v>3135</v>
      </c>
      <c r="I2585" t="s">
        <v>5</v>
      </c>
      <c r="J2585">
        <v>26.720000000000002</v>
      </c>
    </row>
    <row r="2586" spans="2:10">
      <c r="B2586" s="13" t="s">
        <v>3118</v>
      </c>
      <c r="C2586" s="13">
        <v>4.8420000000000005</v>
      </c>
      <c r="H2586" t="s">
        <v>3136</v>
      </c>
      <c r="I2586" t="s">
        <v>5</v>
      </c>
      <c r="J2586">
        <v>4.8420000000000005</v>
      </c>
    </row>
    <row r="2587" spans="2:10">
      <c r="B2587" s="13" t="s">
        <v>3120</v>
      </c>
      <c r="C2587" s="13">
        <v>39.984000000000002</v>
      </c>
      <c r="H2587" t="s">
        <v>3137</v>
      </c>
      <c r="I2587" t="s">
        <v>4</v>
      </c>
      <c r="J2587">
        <v>39.984000000000002</v>
      </c>
    </row>
    <row r="2588" spans="2:10">
      <c r="B2588" s="13" t="s">
        <v>3124</v>
      </c>
      <c r="C2588" s="13">
        <v>47.01</v>
      </c>
      <c r="H2588" t="s">
        <v>3136</v>
      </c>
      <c r="I2588" t="s">
        <v>5</v>
      </c>
      <c r="J2588">
        <v>47.01</v>
      </c>
    </row>
    <row r="2589" spans="2:10">
      <c r="B2589" s="13" t="s">
        <v>3116</v>
      </c>
      <c r="C2589" s="13">
        <v>469.99</v>
      </c>
      <c r="H2589" t="s">
        <v>3136</v>
      </c>
      <c r="I2589" t="s">
        <v>4</v>
      </c>
      <c r="J2589">
        <v>469.99</v>
      </c>
    </row>
    <row r="2590" spans="2:10">
      <c r="B2590" s="13" t="s">
        <v>3115</v>
      </c>
      <c r="C2590" s="13">
        <v>207.84600000000003</v>
      </c>
      <c r="H2590" t="s">
        <v>3136</v>
      </c>
      <c r="I2590" t="s">
        <v>3</v>
      </c>
      <c r="J2590">
        <v>207.84600000000003</v>
      </c>
    </row>
    <row r="2591" spans="2:10">
      <c r="B2591" s="13" t="s">
        <v>3117</v>
      </c>
      <c r="C2591" s="13">
        <v>324.74400000000003</v>
      </c>
      <c r="H2591" t="s">
        <v>3136</v>
      </c>
      <c r="I2591" t="s">
        <v>5</v>
      </c>
      <c r="J2591">
        <v>324.74400000000003</v>
      </c>
    </row>
    <row r="2592" spans="2:10">
      <c r="B2592" s="13" t="s">
        <v>3128</v>
      </c>
      <c r="C2592" s="13">
        <v>1497.6659999999999</v>
      </c>
      <c r="H2592" t="s">
        <v>3138</v>
      </c>
      <c r="I2592" t="s">
        <v>3</v>
      </c>
      <c r="J2592">
        <v>1497.6659999999999</v>
      </c>
    </row>
    <row r="2593" spans="2:10">
      <c r="B2593" s="13" t="s">
        <v>3116</v>
      </c>
      <c r="C2593" s="13">
        <v>17.52</v>
      </c>
      <c r="H2593" t="s">
        <v>3138</v>
      </c>
      <c r="I2593" t="s">
        <v>4</v>
      </c>
      <c r="J2593">
        <v>17.52</v>
      </c>
    </row>
    <row r="2594" spans="2:10">
      <c r="B2594" s="13" t="s">
        <v>3123</v>
      </c>
      <c r="C2594" s="13">
        <v>11.84</v>
      </c>
      <c r="H2594" t="s">
        <v>3138</v>
      </c>
      <c r="I2594" t="s">
        <v>5</v>
      </c>
      <c r="J2594">
        <v>11.84</v>
      </c>
    </row>
    <row r="2595" spans="2:10">
      <c r="B2595" s="13" t="s">
        <v>3117</v>
      </c>
      <c r="C2595" s="13">
        <v>592.74</v>
      </c>
      <c r="H2595" t="s">
        <v>3136</v>
      </c>
      <c r="I2595" t="s">
        <v>5</v>
      </c>
      <c r="J2595">
        <v>592.74</v>
      </c>
    </row>
    <row r="2596" spans="2:10">
      <c r="B2596" s="13" t="s">
        <v>3116</v>
      </c>
      <c r="C2596" s="13">
        <v>508.76800000000003</v>
      </c>
      <c r="H2596" t="s">
        <v>3137</v>
      </c>
      <c r="I2596" t="s">
        <v>4</v>
      </c>
      <c r="J2596">
        <v>508.76800000000003</v>
      </c>
    </row>
    <row r="2597" spans="2:10">
      <c r="B2597" s="13" t="s">
        <v>3124</v>
      </c>
      <c r="C2597" s="13">
        <v>9.9120000000000008</v>
      </c>
      <c r="H2597" t="s">
        <v>3137</v>
      </c>
      <c r="I2597" t="s">
        <v>5</v>
      </c>
      <c r="J2597">
        <v>9.9120000000000008</v>
      </c>
    </row>
    <row r="2598" spans="2:10">
      <c r="B2598" s="13" t="s">
        <v>3126</v>
      </c>
      <c r="C2598" s="13">
        <v>124.404</v>
      </c>
      <c r="H2598" t="s">
        <v>3137</v>
      </c>
      <c r="I2598" t="s">
        <v>3</v>
      </c>
      <c r="J2598">
        <v>124.404</v>
      </c>
    </row>
    <row r="2599" spans="2:10">
      <c r="B2599" s="13" t="s">
        <v>3125</v>
      </c>
      <c r="C2599" s="13">
        <v>320.64</v>
      </c>
      <c r="H2599" t="s">
        <v>3135</v>
      </c>
      <c r="I2599" t="s">
        <v>5</v>
      </c>
      <c r="J2599">
        <v>320.64</v>
      </c>
    </row>
    <row r="2600" spans="2:10">
      <c r="B2600" s="13" t="s">
        <v>3120</v>
      </c>
      <c r="C2600" s="13">
        <v>52</v>
      </c>
      <c r="H2600" t="s">
        <v>3135</v>
      </c>
      <c r="I2600" t="s">
        <v>4</v>
      </c>
      <c r="J2600">
        <v>52</v>
      </c>
    </row>
    <row r="2601" spans="2:10">
      <c r="B2601" s="13" t="s">
        <v>3118</v>
      </c>
      <c r="C2601" s="13">
        <v>18.528000000000002</v>
      </c>
      <c r="H2601" t="s">
        <v>3136</v>
      </c>
      <c r="I2601" t="s">
        <v>5</v>
      </c>
      <c r="J2601">
        <v>18.528000000000002</v>
      </c>
    </row>
    <row r="2602" spans="2:10">
      <c r="B2602" s="13" t="s">
        <v>3120</v>
      </c>
      <c r="C2602" s="13">
        <v>24</v>
      </c>
      <c r="H2602" t="s">
        <v>3135</v>
      </c>
      <c r="I2602" t="s">
        <v>4</v>
      </c>
      <c r="J2602">
        <v>24</v>
      </c>
    </row>
    <row r="2603" spans="2:10">
      <c r="B2603" s="13" t="s">
        <v>3124</v>
      </c>
      <c r="C2603" s="13">
        <v>24.448</v>
      </c>
      <c r="H2603" t="s">
        <v>3136</v>
      </c>
      <c r="I2603" t="s">
        <v>5</v>
      </c>
      <c r="J2603">
        <v>24.448</v>
      </c>
    </row>
    <row r="2604" spans="2:10">
      <c r="B2604" s="13" t="s">
        <v>3114</v>
      </c>
      <c r="C2604" s="13">
        <v>31.104000000000006</v>
      </c>
      <c r="H2604" t="s">
        <v>3138</v>
      </c>
      <c r="I2604" t="s">
        <v>5</v>
      </c>
      <c r="J2604">
        <v>31.104000000000006</v>
      </c>
    </row>
    <row r="2605" spans="2:10">
      <c r="B2605" s="13" t="s">
        <v>3125</v>
      </c>
      <c r="C2605" s="13">
        <v>11.176000000000002</v>
      </c>
      <c r="H2605" t="s">
        <v>3138</v>
      </c>
      <c r="I2605" t="s">
        <v>5</v>
      </c>
      <c r="J2605">
        <v>11.176000000000002</v>
      </c>
    </row>
    <row r="2606" spans="2:10">
      <c r="B2606" s="13" t="s">
        <v>3122</v>
      </c>
      <c r="C2606" s="13">
        <v>13.343999999999998</v>
      </c>
      <c r="H2606" t="s">
        <v>3138</v>
      </c>
      <c r="I2606" t="s">
        <v>5</v>
      </c>
      <c r="J2606">
        <v>13.343999999999998</v>
      </c>
    </row>
    <row r="2607" spans="2:10">
      <c r="B2607" s="13" t="s">
        <v>3120</v>
      </c>
      <c r="C2607" s="13">
        <v>76.75200000000001</v>
      </c>
      <c r="H2607" t="s">
        <v>3138</v>
      </c>
      <c r="I2607" t="s">
        <v>4</v>
      </c>
      <c r="J2607">
        <v>76.75200000000001</v>
      </c>
    </row>
    <row r="2608" spans="2:10">
      <c r="B2608" s="13" t="s">
        <v>3120</v>
      </c>
      <c r="C2608" s="13">
        <v>102.33600000000001</v>
      </c>
      <c r="H2608" t="s">
        <v>3138</v>
      </c>
      <c r="I2608" t="s">
        <v>4</v>
      </c>
      <c r="J2608">
        <v>102.33600000000001</v>
      </c>
    </row>
    <row r="2609" spans="2:10">
      <c r="B2609" s="13" t="s">
        <v>3114</v>
      </c>
      <c r="C2609" s="13">
        <v>10.32</v>
      </c>
      <c r="H2609" t="s">
        <v>3138</v>
      </c>
      <c r="I2609" t="s">
        <v>5</v>
      </c>
      <c r="J2609">
        <v>10.32</v>
      </c>
    </row>
    <row r="2610" spans="2:10">
      <c r="B2610" s="13" t="s">
        <v>3129</v>
      </c>
      <c r="C2610" s="13">
        <v>47.32</v>
      </c>
      <c r="H2610" t="s">
        <v>3138</v>
      </c>
      <c r="I2610" t="s">
        <v>5</v>
      </c>
      <c r="J2610">
        <v>47.32</v>
      </c>
    </row>
    <row r="2611" spans="2:10">
      <c r="B2611" s="13" t="s">
        <v>3119</v>
      </c>
      <c r="C2611" s="13">
        <v>23.376000000000001</v>
      </c>
      <c r="H2611" t="s">
        <v>3138</v>
      </c>
      <c r="I2611" t="s">
        <v>3</v>
      </c>
      <c r="J2611">
        <v>23.376000000000001</v>
      </c>
    </row>
    <row r="2612" spans="2:10">
      <c r="B2612" s="13" t="s">
        <v>3119</v>
      </c>
      <c r="C2612" s="13">
        <v>16.72</v>
      </c>
      <c r="H2612" t="s">
        <v>3138</v>
      </c>
      <c r="I2612" t="s">
        <v>3</v>
      </c>
      <c r="J2612">
        <v>16.72</v>
      </c>
    </row>
    <row r="2613" spans="2:10">
      <c r="B2613" s="13" t="s">
        <v>3119</v>
      </c>
      <c r="C2613" s="13">
        <v>16.192</v>
      </c>
      <c r="H2613" t="s">
        <v>3138</v>
      </c>
      <c r="I2613" t="s">
        <v>3</v>
      </c>
      <c r="J2613">
        <v>16.192</v>
      </c>
    </row>
    <row r="2614" spans="2:10">
      <c r="B2614" s="13" t="s">
        <v>3118</v>
      </c>
      <c r="C2614" s="13">
        <v>13.919999999999998</v>
      </c>
      <c r="H2614" t="s">
        <v>3136</v>
      </c>
      <c r="I2614" t="s">
        <v>5</v>
      </c>
      <c r="J2614">
        <v>13.919999999999998</v>
      </c>
    </row>
    <row r="2615" spans="2:10">
      <c r="B2615" s="13" t="s">
        <v>3118</v>
      </c>
      <c r="C2615" s="13">
        <v>82.4</v>
      </c>
      <c r="H2615" t="s">
        <v>3136</v>
      </c>
      <c r="I2615" t="s">
        <v>5</v>
      </c>
      <c r="J2615">
        <v>82.4</v>
      </c>
    </row>
    <row r="2616" spans="2:10">
      <c r="B2616" s="13" t="s">
        <v>3118</v>
      </c>
      <c r="C2616" s="13">
        <v>6.24</v>
      </c>
      <c r="H2616" t="s">
        <v>3136</v>
      </c>
      <c r="I2616" t="s">
        <v>5</v>
      </c>
      <c r="J2616">
        <v>6.24</v>
      </c>
    </row>
    <row r="2617" spans="2:10">
      <c r="B2617" s="13" t="s">
        <v>3114</v>
      </c>
      <c r="C2617" s="13">
        <v>447.84</v>
      </c>
      <c r="H2617" t="s">
        <v>3136</v>
      </c>
      <c r="I2617" t="s">
        <v>5</v>
      </c>
      <c r="J2617">
        <v>447.84</v>
      </c>
    </row>
    <row r="2618" spans="2:10">
      <c r="B2618" s="13" t="s">
        <v>3125</v>
      </c>
      <c r="C2618" s="13">
        <v>272.048</v>
      </c>
      <c r="H2618" t="s">
        <v>3135</v>
      </c>
      <c r="I2618" t="s">
        <v>5</v>
      </c>
      <c r="J2618">
        <v>272.048</v>
      </c>
    </row>
    <row r="2619" spans="2:10">
      <c r="B2619" s="13" t="s">
        <v>3118</v>
      </c>
      <c r="C2619" s="13">
        <v>1614.5820000000003</v>
      </c>
      <c r="H2619" t="s">
        <v>3135</v>
      </c>
      <c r="I2619" t="s">
        <v>5</v>
      </c>
      <c r="J2619">
        <v>1614.5820000000003</v>
      </c>
    </row>
    <row r="2620" spans="2:10">
      <c r="B2620" s="13" t="s">
        <v>3123</v>
      </c>
      <c r="C2620" s="13">
        <v>24.320000000000004</v>
      </c>
      <c r="H2620" t="s">
        <v>3135</v>
      </c>
      <c r="I2620" t="s">
        <v>5</v>
      </c>
      <c r="J2620">
        <v>24.320000000000004</v>
      </c>
    </row>
    <row r="2621" spans="2:10">
      <c r="B2621" s="13" t="s">
        <v>3120</v>
      </c>
      <c r="C2621" s="13">
        <v>1.5840000000000001</v>
      </c>
      <c r="H2621" t="s">
        <v>3135</v>
      </c>
      <c r="I2621" t="s">
        <v>4</v>
      </c>
      <c r="J2621">
        <v>1.5840000000000001</v>
      </c>
    </row>
    <row r="2622" spans="2:10">
      <c r="B2622" s="13" t="s">
        <v>3119</v>
      </c>
      <c r="C2622" s="13">
        <v>31.983999999999998</v>
      </c>
      <c r="H2622" t="s">
        <v>3135</v>
      </c>
      <c r="I2622" t="s">
        <v>3</v>
      </c>
      <c r="J2622">
        <v>31.983999999999998</v>
      </c>
    </row>
    <row r="2623" spans="2:10">
      <c r="B2623" s="13" t="s">
        <v>3124</v>
      </c>
      <c r="C2623" s="13">
        <v>14.76</v>
      </c>
      <c r="H2623" t="s">
        <v>3135</v>
      </c>
      <c r="I2623" t="s">
        <v>5</v>
      </c>
      <c r="J2623">
        <v>14.76</v>
      </c>
    </row>
    <row r="2624" spans="2:10">
      <c r="B2624" s="13" t="s">
        <v>3115</v>
      </c>
      <c r="C2624" s="13">
        <v>423.64799999999997</v>
      </c>
      <c r="H2624" t="s">
        <v>3135</v>
      </c>
      <c r="I2624" t="s">
        <v>3</v>
      </c>
      <c r="J2624">
        <v>423.64799999999997</v>
      </c>
    </row>
    <row r="2625" spans="2:10">
      <c r="B2625" s="13" t="s">
        <v>3117</v>
      </c>
      <c r="C2625" s="13">
        <v>25.695999999999998</v>
      </c>
      <c r="H2625" t="s">
        <v>3136</v>
      </c>
      <c r="I2625" t="s">
        <v>5</v>
      </c>
      <c r="J2625">
        <v>25.695999999999998</v>
      </c>
    </row>
    <row r="2626" spans="2:10">
      <c r="B2626" s="13" t="s">
        <v>3130</v>
      </c>
      <c r="C2626" s="13">
        <v>3404.5</v>
      </c>
      <c r="H2626" t="s">
        <v>3136</v>
      </c>
      <c r="I2626" t="s">
        <v>4</v>
      </c>
      <c r="J2626">
        <v>3404.5</v>
      </c>
    </row>
    <row r="2627" spans="2:10">
      <c r="B2627" s="13" t="s">
        <v>3120</v>
      </c>
      <c r="C2627" s="13">
        <v>101.34</v>
      </c>
      <c r="H2627" t="s">
        <v>3136</v>
      </c>
      <c r="I2627" t="s">
        <v>4</v>
      </c>
      <c r="J2627">
        <v>101.34</v>
      </c>
    </row>
    <row r="2628" spans="2:10">
      <c r="B2628" s="13" t="s">
        <v>3122</v>
      </c>
      <c r="C2628" s="13">
        <v>30.384</v>
      </c>
      <c r="H2628" t="s">
        <v>3137</v>
      </c>
      <c r="I2628" t="s">
        <v>5</v>
      </c>
      <c r="J2628">
        <v>30.384</v>
      </c>
    </row>
    <row r="2629" spans="2:10">
      <c r="B2629" s="13" t="s">
        <v>3117</v>
      </c>
      <c r="C2629" s="13">
        <v>38.619999999999997</v>
      </c>
      <c r="H2629" t="s">
        <v>3136</v>
      </c>
      <c r="I2629" t="s">
        <v>5</v>
      </c>
      <c r="J2629">
        <v>38.619999999999997</v>
      </c>
    </row>
    <row r="2630" spans="2:10">
      <c r="B2630" s="13" t="s">
        <v>3120</v>
      </c>
      <c r="C2630" s="13">
        <v>59.98</v>
      </c>
      <c r="H2630" t="s">
        <v>3136</v>
      </c>
      <c r="I2630" t="s">
        <v>4</v>
      </c>
      <c r="J2630">
        <v>59.98</v>
      </c>
    </row>
    <row r="2631" spans="2:10">
      <c r="B2631" s="13" t="s">
        <v>3118</v>
      </c>
      <c r="C2631" s="13">
        <v>174.3</v>
      </c>
      <c r="H2631" t="s">
        <v>3136</v>
      </c>
      <c r="I2631" t="s">
        <v>5</v>
      </c>
      <c r="J2631">
        <v>174.3</v>
      </c>
    </row>
    <row r="2632" spans="2:10">
      <c r="B2632" s="13" t="s">
        <v>3116</v>
      </c>
      <c r="C2632" s="13">
        <v>383.96000000000004</v>
      </c>
      <c r="H2632" t="s">
        <v>3135</v>
      </c>
      <c r="I2632" t="s">
        <v>4</v>
      </c>
      <c r="J2632">
        <v>383.96000000000004</v>
      </c>
    </row>
    <row r="2633" spans="2:10">
      <c r="B2633" s="13" t="s">
        <v>3118</v>
      </c>
      <c r="C2633" s="13">
        <v>15.570000000000004</v>
      </c>
      <c r="H2633" t="s">
        <v>3135</v>
      </c>
      <c r="I2633" t="s">
        <v>5</v>
      </c>
      <c r="J2633">
        <v>15.570000000000004</v>
      </c>
    </row>
    <row r="2634" spans="2:10">
      <c r="B2634" s="13" t="s">
        <v>3120</v>
      </c>
      <c r="C2634" s="13">
        <v>2.9699999999999998</v>
      </c>
      <c r="H2634" t="s">
        <v>3136</v>
      </c>
      <c r="I2634" t="s">
        <v>4</v>
      </c>
      <c r="J2634">
        <v>2.9699999999999998</v>
      </c>
    </row>
    <row r="2635" spans="2:10">
      <c r="B2635" s="13" t="s">
        <v>3116</v>
      </c>
      <c r="C2635" s="13">
        <v>569.99</v>
      </c>
      <c r="H2635" t="s">
        <v>3136</v>
      </c>
      <c r="I2635" t="s">
        <v>4</v>
      </c>
      <c r="J2635">
        <v>569.99</v>
      </c>
    </row>
    <row r="2636" spans="2:10">
      <c r="B2636" s="13" t="s">
        <v>3119</v>
      </c>
      <c r="C2636" s="13">
        <v>50.97</v>
      </c>
      <c r="H2636" t="s">
        <v>3136</v>
      </c>
      <c r="I2636" t="s">
        <v>3</v>
      </c>
      <c r="J2636">
        <v>50.97</v>
      </c>
    </row>
    <row r="2637" spans="2:10">
      <c r="B2637" s="13" t="s">
        <v>3126</v>
      </c>
      <c r="C2637" s="13">
        <v>298.11599999999999</v>
      </c>
      <c r="H2637" t="s">
        <v>3137</v>
      </c>
      <c r="I2637" t="s">
        <v>3</v>
      </c>
      <c r="J2637">
        <v>298.11599999999999</v>
      </c>
    </row>
    <row r="2638" spans="2:10">
      <c r="B2638" s="13" t="s">
        <v>3124</v>
      </c>
      <c r="C2638" s="13">
        <v>23.36</v>
      </c>
      <c r="H2638" t="s">
        <v>3138</v>
      </c>
      <c r="I2638" t="s">
        <v>5</v>
      </c>
      <c r="J2638">
        <v>23.36</v>
      </c>
    </row>
    <row r="2639" spans="2:10">
      <c r="B2639" s="13" t="s">
        <v>3116</v>
      </c>
      <c r="C2639" s="13">
        <v>71.975999999999999</v>
      </c>
      <c r="H2639" t="s">
        <v>3138</v>
      </c>
      <c r="I2639" t="s">
        <v>4</v>
      </c>
      <c r="J2639">
        <v>71.975999999999999</v>
      </c>
    </row>
    <row r="2640" spans="2:10">
      <c r="B2640" s="13" t="s">
        <v>3114</v>
      </c>
      <c r="C2640" s="13">
        <v>8.56</v>
      </c>
      <c r="H2640" t="s">
        <v>3138</v>
      </c>
      <c r="I2640" t="s">
        <v>5</v>
      </c>
      <c r="J2640">
        <v>8.56</v>
      </c>
    </row>
    <row r="2641" spans="2:10">
      <c r="B2641" s="13" t="s">
        <v>3118</v>
      </c>
      <c r="C2641" s="13">
        <v>13.919999999999998</v>
      </c>
      <c r="H2641" t="s">
        <v>3138</v>
      </c>
      <c r="I2641" t="s">
        <v>5</v>
      </c>
      <c r="J2641">
        <v>13.919999999999998</v>
      </c>
    </row>
    <row r="2642" spans="2:10">
      <c r="B2642" s="13" t="s">
        <v>3125</v>
      </c>
      <c r="C2642" s="13">
        <v>2518.29</v>
      </c>
      <c r="H2642" t="s">
        <v>3138</v>
      </c>
      <c r="I2642" t="s">
        <v>5</v>
      </c>
      <c r="J2642">
        <v>2518.29</v>
      </c>
    </row>
    <row r="2643" spans="2:10">
      <c r="B2643" s="13" t="s">
        <v>3117</v>
      </c>
      <c r="C2643" s="13">
        <v>540.56999999999994</v>
      </c>
      <c r="H2643" t="s">
        <v>3138</v>
      </c>
      <c r="I2643" t="s">
        <v>5</v>
      </c>
      <c r="J2643">
        <v>540.56999999999994</v>
      </c>
    </row>
    <row r="2644" spans="2:10">
      <c r="B2644" s="13" t="s">
        <v>3118</v>
      </c>
      <c r="C2644" s="13">
        <v>221.05600000000001</v>
      </c>
      <c r="H2644" t="s">
        <v>3138</v>
      </c>
      <c r="I2644" t="s">
        <v>5</v>
      </c>
      <c r="J2644">
        <v>221.05600000000001</v>
      </c>
    </row>
    <row r="2645" spans="2:10">
      <c r="B2645" s="13" t="s">
        <v>3118</v>
      </c>
      <c r="C2645" s="13">
        <v>39.581999999999987</v>
      </c>
      <c r="H2645" t="s">
        <v>3137</v>
      </c>
      <c r="I2645" t="s">
        <v>5</v>
      </c>
      <c r="J2645">
        <v>39.581999999999987</v>
      </c>
    </row>
    <row r="2646" spans="2:10">
      <c r="B2646" s="13" t="s">
        <v>3129</v>
      </c>
      <c r="C2646" s="13">
        <v>44.688000000000002</v>
      </c>
      <c r="H2646" t="s">
        <v>3137</v>
      </c>
      <c r="I2646" t="s">
        <v>5</v>
      </c>
      <c r="J2646">
        <v>44.688000000000002</v>
      </c>
    </row>
    <row r="2647" spans="2:10">
      <c r="B2647" s="13" t="s">
        <v>3122</v>
      </c>
      <c r="C2647" s="13">
        <v>31.744</v>
      </c>
      <c r="H2647" t="s">
        <v>3137</v>
      </c>
      <c r="I2647" t="s">
        <v>5</v>
      </c>
      <c r="J2647">
        <v>31.744</v>
      </c>
    </row>
    <row r="2648" spans="2:10">
      <c r="B2648" s="13" t="s">
        <v>3118</v>
      </c>
      <c r="C2648" s="13">
        <v>40.97999999999999</v>
      </c>
      <c r="H2648" t="s">
        <v>3137</v>
      </c>
      <c r="I2648" t="s">
        <v>5</v>
      </c>
      <c r="J2648">
        <v>40.97999999999999</v>
      </c>
    </row>
    <row r="2649" spans="2:10">
      <c r="B2649" s="13" t="s">
        <v>3118</v>
      </c>
      <c r="C2649" s="13">
        <v>3.1679999999999993</v>
      </c>
      <c r="H2649" t="s">
        <v>3137</v>
      </c>
      <c r="I2649" t="s">
        <v>5</v>
      </c>
      <c r="J2649">
        <v>3.1679999999999993</v>
      </c>
    </row>
    <row r="2650" spans="2:10">
      <c r="B2650" s="13" t="s">
        <v>3115</v>
      </c>
      <c r="C2650" s="13">
        <v>435.16800000000006</v>
      </c>
      <c r="H2650" t="s">
        <v>3138</v>
      </c>
      <c r="I2650" t="s">
        <v>3</v>
      </c>
      <c r="J2650">
        <v>435.16800000000006</v>
      </c>
    </row>
    <row r="2651" spans="2:10">
      <c r="B2651" s="13" t="s">
        <v>3123</v>
      </c>
      <c r="C2651" s="13">
        <v>14.9</v>
      </c>
      <c r="H2651" t="s">
        <v>3138</v>
      </c>
      <c r="I2651" t="s">
        <v>5</v>
      </c>
      <c r="J2651">
        <v>14.9</v>
      </c>
    </row>
    <row r="2652" spans="2:10">
      <c r="B2652" s="13" t="s">
        <v>3125</v>
      </c>
      <c r="C2652" s="13">
        <v>15.8</v>
      </c>
      <c r="H2652" t="s">
        <v>3138</v>
      </c>
      <c r="I2652" t="s">
        <v>5</v>
      </c>
      <c r="J2652">
        <v>15.8</v>
      </c>
    </row>
    <row r="2653" spans="2:10">
      <c r="B2653" s="13" t="s">
        <v>3119</v>
      </c>
      <c r="C2653" s="13">
        <v>72.900000000000006</v>
      </c>
      <c r="H2653" t="s">
        <v>3138</v>
      </c>
      <c r="I2653" t="s">
        <v>3</v>
      </c>
      <c r="J2653">
        <v>72.900000000000006</v>
      </c>
    </row>
    <row r="2654" spans="2:10">
      <c r="B2654" s="13" t="s">
        <v>3126</v>
      </c>
      <c r="C2654" s="13">
        <v>206.35200000000003</v>
      </c>
      <c r="H2654" t="s">
        <v>3138</v>
      </c>
      <c r="I2654" t="s">
        <v>3</v>
      </c>
      <c r="J2654">
        <v>206.35200000000003</v>
      </c>
    </row>
    <row r="2655" spans="2:10">
      <c r="B2655" s="13" t="s">
        <v>3116</v>
      </c>
      <c r="C2655" s="13">
        <v>7.9920000000000009</v>
      </c>
      <c r="H2655" t="s">
        <v>3138</v>
      </c>
      <c r="I2655" t="s">
        <v>4</v>
      </c>
      <c r="J2655">
        <v>7.9920000000000009</v>
      </c>
    </row>
    <row r="2656" spans="2:10">
      <c r="B2656" s="13" t="s">
        <v>3117</v>
      </c>
      <c r="C2656" s="13">
        <v>81.360000000000014</v>
      </c>
      <c r="H2656" t="s">
        <v>3135</v>
      </c>
      <c r="I2656" t="s">
        <v>5</v>
      </c>
      <c r="J2656">
        <v>81.360000000000014</v>
      </c>
    </row>
    <row r="2657" spans="2:10">
      <c r="B2657" s="13" t="s">
        <v>3118</v>
      </c>
      <c r="C2657" s="13">
        <v>20.232000000000003</v>
      </c>
      <c r="H2657" t="s">
        <v>3135</v>
      </c>
      <c r="I2657" t="s">
        <v>5</v>
      </c>
      <c r="J2657">
        <v>20.232000000000003</v>
      </c>
    </row>
    <row r="2658" spans="2:10">
      <c r="B2658" s="13" t="s">
        <v>3125</v>
      </c>
      <c r="C2658" s="13">
        <v>389.05600000000004</v>
      </c>
      <c r="H2658" t="s">
        <v>3135</v>
      </c>
      <c r="I2658" t="s">
        <v>5</v>
      </c>
      <c r="J2658">
        <v>389.05600000000004</v>
      </c>
    </row>
    <row r="2659" spans="2:10">
      <c r="B2659" s="13" t="s">
        <v>3114</v>
      </c>
      <c r="C2659" s="13">
        <v>20.736000000000004</v>
      </c>
      <c r="H2659" t="s">
        <v>3135</v>
      </c>
      <c r="I2659" t="s">
        <v>5</v>
      </c>
      <c r="J2659">
        <v>20.736000000000004</v>
      </c>
    </row>
    <row r="2660" spans="2:10">
      <c r="B2660" s="13" t="s">
        <v>3114</v>
      </c>
      <c r="C2660" s="13">
        <v>41.472000000000008</v>
      </c>
      <c r="H2660" t="s">
        <v>3135</v>
      </c>
      <c r="I2660" t="s">
        <v>5</v>
      </c>
      <c r="J2660">
        <v>41.472000000000008</v>
      </c>
    </row>
    <row r="2661" spans="2:10">
      <c r="B2661" s="13" t="s">
        <v>3123</v>
      </c>
      <c r="C2661" s="13">
        <v>15.120000000000001</v>
      </c>
      <c r="H2661" t="s">
        <v>3137</v>
      </c>
      <c r="I2661" t="s">
        <v>5</v>
      </c>
      <c r="J2661">
        <v>15.120000000000001</v>
      </c>
    </row>
    <row r="2662" spans="2:10">
      <c r="B2662" s="13" t="s">
        <v>3122</v>
      </c>
      <c r="C2662" s="13">
        <v>7.8719999999999999</v>
      </c>
      <c r="H2662" t="s">
        <v>3137</v>
      </c>
      <c r="I2662" t="s">
        <v>5</v>
      </c>
      <c r="J2662">
        <v>7.8719999999999999</v>
      </c>
    </row>
    <row r="2663" spans="2:10">
      <c r="B2663" s="13" t="s">
        <v>3120</v>
      </c>
      <c r="C2663" s="13">
        <v>199.75</v>
      </c>
      <c r="H2663" t="s">
        <v>3138</v>
      </c>
      <c r="I2663" t="s">
        <v>4</v>
      </c>
      <c r="J2663">
        <v>199.75</v>
      </c>
    </row>
    <row r="2664" spans="2:10">
      <c r="B2664" s="13" t="s">
        <v>3126</v>
      </c>
      <c r="C2664" s="13">
        <v>1673.1839999999997</v>
      </c>
      <c r="H2664" t="s">
        <v>3138</v>
      </c>
      <c r="I2664" t="s">
        <v>3</v>
      </c>
      <c r="J2664">
        <v>1673.1839999999997</v>
      </c>
    </row>
    <row r="2665" spans="2:10">
      <c r="B2665" s="13" t="s">
        <v>3118</v>
      </c>
      <c r="C2665" s="13">
        <v>663.92</v>
      </c>
      <c r="H2665" t="s">
        <v>3136</v>
      </c>
      <c r="I2665" t="s">
        <v>5</v>
      </c>
      <c r="J2665">
        <v>663.92</v>
      </c>
    </row>
    <row r="2666" spans="2:10">
      <c r="B2666" s="13" t="s">
        <v>3120</v>
      </c>
      <c r="C2666" s="13">
        <v>120</v>
      </c>
      <c r="H2666" t="s">
        <v>3136</v>
      </c>
      <c r="I2666" t="s">
        <v>4</v>
      </c>
      <c r="J2666">
        <v>120</v>
      </c>
    </row>
    <row r="2667" spans="2:10">
      <c r="B2667" s="13" t="s">
        <v>3123</v>
      </c>
      <c r="C2667" s="13">
        <v>3.29</v>
      </c>
      <c r="H2667" t="s">
        <v>3136</v>
      </c>
      <c r="I2667" t="s">
        <v>5</v>
      </c>
      <c r="J2667">
        <v>3.29</v>
      </c>
    </row>
    <row r="2668" spans="2:10">
      <c r="B2668" s="13" t="s">
        <v>3119</v>
      </c>
      <c r="C2668" s="13">
        <v>18.84</v>
      </c>
      <c r="H2668" t="s">
        <v>3136</v>
      </c>
      <c r="I2668" t="s">
        <v>3</v>
      </c>
      <c r="J2668">
        <v>18.84</v>
      </c>
    </row>
    <row r="2669" spans="2:10">
      <c r="B2669" s="13" t="s">
        <v>3116</v>
      </c>
      <c r="C2669" s="13">
        <v>52.792000000000002</v>
      </c>
      <c r="H2669" t="s">
        <v>3138</v>
      </c>
      <c r="I2669" t="s">
        <v>4</v>
      </c>
      <c r="J2669">
        <v>52.792000000000002</v>
      </c>
    </row>
    <row r="2670" spans="2:10">
      <c r="B2670" s="13" t="s">
        <v>3125</v>
      </c>
      <c r="C2670" s="13">
        <v>83.9</v>
      </c>
      <c r="H2670" t="s">
        <v>3137</v>
      </c>
      <c r="I2670" t="s">
        <v>5</v>
      </c>
      <c r="J2670">
        <v>83.9</v>
      </c>
    </row>
    <row r="2671" spans="2:10">
      <c r="B2671" s="13" t="s">
        <v>3114</v>
      </c>
      <c r="C2671" s="13">
        <v>11.76</v>
      </c>
      <c r="H2671" t="s">
        <v>3137</v>
      </c>
      <c r="I2671" t="s">
        <v>5</v>
      </c>
      <c r="J2671">
        <v>11.76</v>
      </c>
    </row>
    <row r="2672" spans="2:10">
      <c r="B2672" s="13" t="s">
        <v>3125</v>
      </c>
      <c r="C2672" s="13">
        <v>41.910000000000004</v>
      </c>
      <c r="H2672" t="s">
        <v>3135</v>
      </c>
      <c r="I2672" t="s">
        <v>5</v>
      </c>
      <c r="J2672">
        <v>41.910000000000004</v>
      </c>
    </row>
    <row r="2673" spans="2:10">
      <c r="B2673" s="13" t="s">
        <v>3128</v>
      </c>
      <c r="C2673" s="13">
        <v>435.99900000000002</v>
      </c>
      <c r="H2673" t="s">
        <v>3138</v>
      </c>
      <c r="I2673" t="s">
        <v>3</v>
      </c>
      <c r="J2673">
        <v>435.99900000000002</v>
      </c>
    </row>
    <row r="2674" spans="2:10">
      <c r="B2674" s="13" t="s">
        <v>3115</v>
      </c>
      <c r="C2674" s="13">
        <v>388.70400000000006</v>
      </c>
      <c r="H2674" t="s">
        <v>3138</v>
      </c>
      <c r="I2674" t="s">
        <v>3</v>
      </c>
      <c r="J2674">
        <v>388.70400000000006</v>
      </c>
    </row>
    <row r="2675" spans="2:10">
      <c r="B2675" s="13" t="s">
        <v>3117</v>
      </c>
      <c r="C2675" s="13">
        <v>572.58000000000004</v>
      </c>
      <c r="H2675" t="s">
        <v>3138</v>
      </c>
      <c r="I2675" t="s">
        <v>5</v>
      </c>
      <c r="J2675">
        <v>572.58000000000004</v>
      </c>
    </row>
    <row r="2676" spans="2:10">
      <c r="B2676" s="13" t="s">
        <v>3120</v>
      </c>
      <c r="C2676" s="13">
        <v>33.18</v>
      </c>
      <c r="H2676" t="s">
        <v>3138</v>
      </c>
      <c r="I2676" t="s">
        <v>4</v>
      </c>
      <c r="J2676">
        <v>33.18</v>
      </c>
    </row>
    <row r="2677" spans="2:10">
      <c r="B2677" s="13" t="s">
        <v>3120</v>
      </c>
      <c r="C2677" s="13">
        <v>63.88</v>
      </c>
      <c r="H2677" t="s">
        <v>3136</v>
      </c>
      <c r="I2677" t="s">
        <v>4</v>
      </c>
      <c r="J2677">
        <v>63.88</v>
      </c>
    </row>
    <row r="2678" spans="2:10">
      <c r="B2678" s="13" t="s">
        <v>3119</v>
      </c>
      <c r="C2678" s="13">
        <v>26.72</v>
      </c>
      <c r="H2678" t="s">
        <v>3136</v>
      </c>
      <c r="I2678" t="s">
        <v>3</v>
      </c>
      <c r="J2678">
        <v>26.72</v>
      </c>
    </row>
    <row r="2679" spans="2:10">
      <c r="B2679" s="13" t="s">
        <v>3118</v>
      </c>
      <c r="C2679" s="13">
        <v>295.05599999999998</v>
      </c>
      <c r="H2679" t="s">
        <v>3138</v>
      </c>
      <c r="I2679" t="s">
        <v>5</v>
      </c>
      <c r="J2679">
        <v>295.05599999999998</v>
      </c>
    </row>
    <row r="2680" spans="2:10">
      <c r="B2680" s="13" t="s">
        <v>3114</v>
      </c>
      <c r="C2680" s="13">
        <v>16.272000000000002</v>
      </c>
      <c r="H2680" t="s">
        <v>3135</v>
      </c>
      <c r="I2680" t="s">
        <v>5</v>
      </c>
      <c r="J2680">
        <v>16.272000000000002</v>
      </c>
    </row>
    <row r="2681" spans="2:10">
      <c r="B2681" s="13" t="s">
        <v>3118</v>
      </c>
      <c r="C2681" s="13">
        <v>2.6550000000000002</v>
      </c>
      <c r="H2681" t="s">
        <v>3136</v>
      </c>
      <c r="I2681" t="s">
        <v>5</v>
      </c>
      <c r="J2681">
        <v>2.6550000000000002</v>
      </c>
    </row>
    <row r="2682" spans="2:10">
      <c r="B2682" s="13" t="s">
        <v>3117</v>
      </c>
      <c r="C2682" s="13">
        <v>454.56000000000006</v>
      </c>
      <c r="H2682" t="s">
        <v>3137</v>
      </c>
      <c r="I2682" t="s">
        <v>5</v>
      </c>
      <c r="J2682">
        <v>454.56000000000006</v>
      </c>
    </row>
    <row r="2683" spans="2:10">
      <c r="B2683" s="13" t="s">
        <v>3119</v>
      </c>
      <c r="C2683" s="13">
        <v>141.41999999999999</v>
      </c>
      <c r="H2683" t="s">
        <v>3137</v>
      </c>
      <c r="I2683" t="s">
        <v>3</v>
      </c>
      <c r="J2683">
        <v>141.41999999999999</v>
      </c>
    </row>
    <row r="2684" spans="2:10">
      <c r="B2684" s="13" t="s">
        <v>3115</v>
      </c>
      <c r="C2684" s="13">
        <v>310.74399999999997</v>
      </c>
      <c r="H2684" t="s">
        <v>3137</v>
      </c>
      <c r="I2684" t="s">
        <v>3</v>
      </c>
      <c r="J2684">
        <v>310.74399999999997</v>
      </c>
    </row>
    <row r="2685" spans="2:10">
      <c r="B2685" s="13" t="s">
        <v>3122</v>
      </c>
      <c r="C2685" s="13">
        <v>12.736000000000001</v>
      </c>
      <c r="H2685" t="s">
        <v>3137</v>
      </c>
      <c r="I2685" t="s">
        <v>5</v>
      </c>
      <c r="J2685">
        <v>12.736000000000001</v>
      </c>
    </row>
    <row r="2686" spans="2:10">
      <c r="B2686" s="13" t="s">
        <v>3118</v>
      </c>
      <c r="C2686" s="13">
        <v>6.469999999999998</v>
      </c>
      <c r="H2686" t="s">
        <v>3137</v>
      </c>
      <c r="I2686" t="s">
        <v>5</v>
      </c>
      <c r="J2686">
        <v>6.469999999999998</v>
      </c>
    </row>
    <row r="2687" spans="2:10">
      <c r="B2687" s="13" t="s">
        <v>3118</v>
      </c>
      <c r="C2687" s="13">
        <v>13.747999999999998</v>
      </c>
      <c r="H2687" t="s">
        <v>3137</v>
      </c>
      <c r="I2687" t="s">
        <v>5</v>
      </c>
      <c r="J2687">
        <v>13.747999999999998</v>
      </c>
    </row>
    <row r="2688" spans="2:10">
      <c r="B2688" s="13" t="s">
        <v>3125</v>
      </c>
      <c r="C2688" s="13">
        <v>15.223999999999997</v>
      </c>
      <c r="H2688" t="s">
        <v>3137</v>
      </c>
      <c r="I2688" t="s">
        <v>5</v>
      </c>
      <c r="J2688">
        <v>15.223999999999997</v>
      </c>
    </row>
    <row r="2689" spans="2:10">
      <c r="B2689" s="13" t="s">
        <v>3125</v>
      </c>
      <c r="C2689" s="13">
        <v>28.08</v>
      </c>
      <c r="H2689" t="s">
        <v>3135</v>
      </c>
      <c r="I2689" t="s">
        <v>5</v>
      </c>
      <c r="J2689">
        <v>28.08</v>
      </c>
    </row>
    <row r="2690" spans="2:10">
      <c r="B2690" s="13" t="s">
        <v>3122</v>
      </c>
      <c r="C2690" s="13">
        <v>109.9</v>
      </c>
      <c r="H2690" t="s">
        <v>3136</v>
      </c>
      <c r="I2690" t="s">
        <v>5</v>
      </c>
      <c r="J2690">
        <v>109.9</v>
      </c>
    </row>
    <row r="2691" spans="2:10">
      <c r="B2691" s="13" t="s">
        <v>3119</v>
      </c>
      <c r="C2691" s="13">
        <v>23.88</v>
      </c>
      <c r="H2691" t="s">
        <v>3138</v>
      </c>
      <c r="I2691" t="s">
        <v>3</v>
      </c>
      <c r="J2691">
        <v>23.88</v>
      </c>
    </row>
    <row r="2692" spans="2:10">
      <c r="B2692" s="13" t="s">
        <v>3114</v>
      </c>
      <c r="C2692" s="13">
        <v>26.2</v>
      </c>
      <c r="H2692" t="s">
        <v>3138</v>
      </c>
      <c r="I2692" t="s">
        <v>5</v>
      </c>
      <c r="J2692">
        <v>26.2</v>
      </c>
    </row>
    <row r="2693" spans="2:10">
      <c r="B2693" s="13" t="s">
        <v>3114</v>
      </c>
      <c r="C2693" s="13">
        <v>12.96</v>
      </c>
      <c r="H2693" t="s">
        <v>3138</v>
      </c>
      <c r="I2693" t="s">
        <v>5</v>
      </c>
      <c r="J2693">
        <v>12.96</v>
      </c>
    </row>
    <row r="2694" spans="2:10">
      <c r="B2694" s="13" t="s">
        <v>3120</v>
      </c>
      <c r="C2694" s="13">
        <v>234.95000000000002</v>
      </c>
      <c r="H2694" t="s">
        <v>3138</v>
      </c>
      <c r="I2694" t="s">
        <v>4</v>
      </c>
      <c r="J2694">
        <v>234.95000000000002</v>
      </c>
    </row>
    <row r="2695" spans="2:10">
      <c r="B2695" s="13" t="s">
        <v>3117</v>
      </c>
      <c r="C2695" s="13">
        <v>118.25</v>
      </c>
      <c r="H2695" t="s">
        <v>3138</v>
      </c>
      <c r="I2695" t="s">
        <v>5</v>
      </c>
      <c r="J2695">
        <v>118.25</v>
      </c>
    </row>
    <row r="2696" spans="2:10">
      <c r="B2696" s="13" t="s">
        <v>3114</v>
      </c>
      <c r="C2696" s="13">
        <v>4.28</v>
      </c>
      <c r="H2696" t="s">
        <v>3138</v>
      </c>
      <c r="I2696" t="s">
        <v>5</v>
      </c>
      <c r="J2696">
        <v>4.28</v>
      </c>
    </row>
    <row r="2697" spans="2:10">
      <c r="B2697" s="13" t="s">
        <v>3128</v>
      </c>
      <c r="C2697" s="13">
        <v>89.066399999999987</v>
      </c>
      <c r="H2697" t="s">
        <v>3137</v>
      </c>
      <c r="I2697" t="s">
        <v>3</v>
      </c>
      <c r="J2697">
        <v>89.066399999999987</v>
      </c>
    </row>
    <row r="2698" spans="2:10">
      <c r="B2698" s="13" t="s">
        <v>3122</v>
      </c>
      <c r="C2698" s="13">
        <v>175.44</v>
      </c>
      <c r="H2698" t="s">
        <v>3137</v>
      </c>
      <c r="I2698" t="s">
        <v>5</v>
      </c>
      <c r="J2698">
        <v>175.44</v>
      </c>
    </row>
    <row r="2699" spans="2:10">
      <c r="B2699" s="13" t="s">
        <v>3116</v>
      </c>
      <c r="C2699" s="13">
        <v>438.33600000000001</v>
      </c>
      <c r="H2699" t="s">
        <v>3137</v>
      </c>
      <c r="I2699" t="s">
        <v>4</v>
      </c>
      <c r="J2699">
        <v>438.33600000000001</v>
      </c>
    </row>
    <row r="2700" spans="2:10">
      <c r="B2700" s="13" t="s">
        <v>3115</v>
      </c>
      <c r="C2700" s="13">
        <v>215.54400000000001</v>
      </c>
      <c r="H2700" t="s">
        <v>3136</v>
      </c>
      <c r="I2700" t="s">
        <v>3</v>
      </c>
      <c r="J2700">
        <v>215.54400000000001</v>
      </c>
    </row>
    <row r="2701" spans="2:10">
      <c r="B2701" s="13" t="s">
        <v>3124</v>
      </c>
      <c r="C2701" s="13">
        <v>55.584000000000003</v>
      </c>
      <c r="H2701" t="s">
        <v>3137</v>
      </c>
      <c r="I2701" t="s">
        <v>5</v>
      </c>
      <c r="J2701">
        <v>55.584000000000003</v>
      </c>
    </row>
    <row r="2702" spans="2:10">
      <c r="B2702" s="13" t="s">
        <v>3115</v>
      </c>
      <c r="C2702" s="13">
        <v>127.38599999999998</v>
      </c>
      <c r="H2702" t="s">
        <v>3137</v>
      </c>
      <c r="I2702" t="s">
        <v>3</v>
      </c>
      <c r="J2702">
        <v>127.38599999999998</v>
      </c>
    </row>
    <row r="2703" spans="2:10">
      <c r="B2703" s="13" t="s">
        <v>3122</v>
      </c>
      <c r="C2703" s="13">
        <v>20.64</v>
      </c>
      <c r="H2703" t="s">
        <v>3137</v>
      </c>
      <c r="I2703" t="s">
        <v>5</v>
      </c>
      <c r="J2703">
        <v>20.64</v>
      </c>
    </row>
    <row r="2704" spans="2:10">
      <c r="B2704" s="13" t="s">
        <v>3119</v>
      </c>
      <c r="C2704" s="13">
        <v>148.02000000000001</v>
      </c>
      <c r="H2704" t="s">
        <v>3138</v>
      </c>
      <c r="I2704" t="s">
        <v>3</v>
      </c>
      <c r="J2704">
        <v>148.02000000000001</v>
      </c>
    </row>
    <row r="2705" spans="2:10">
      <c r="B2705" s="13" t="s">
        <v>3117</v>
      </c>
      <c r="C2705" s="13">
        <v>33.29</v>
      </c>
      <c r="H2705" t="s">
        <v>3137</v>
      </c>
      <c r="I2705" t="s">
        <v>5</v>
      </c>
      <c r="J2705">
        <v>33.29</v>
      </c>
    </row>
    <row r="2706" spans="2:10">
      <c r="B2706" s="13" t="s">
        <v>3114</v>
      </c>
      <c r="C2706" s="13">
        <v>204.95000000000002</v>
      </c>
      <c r="H2706" t="s">
        <v>3138</v>
      </c>
      <c r="I2706" t="s">
        <v>5</v>
      </c>
      <c r="J2706">
        <v>204.95000000000002</v>
      </c>
    </row>
    <row r="2707" spans="2:10">
      <c r="B2707" s="13" t="s">
        <v>3115</v>
      </c>
      <c r="C2707" s="13">
        <v>526.34399999999994</v>
      </c>
      <c r="H2707" t="s">
        <v>3137</v>
      </c>
      <c r="I2707" t="s">
        <v>3</v>
      </c>
      <c r="J2707">
        <v>526.34399999999994</v>
      </c>
    </row>
    <row r="2708" spans="2:10">
      <c r="B2708" s="13" t="s">
        <v>3115</v>
      </c>
      <c r="C2708" s="13">
        <v>161.56800000000001</v>
      </c>
      <c r="H2708" t="s">
        <v>3138</v>
      </c>
      <c r="I2708" t="s">
        <v>3</v>
      </c>
      <c r="J2708">
        <v>161.56800000000001</v>
      </c>
    </row>
    <row r="2709" spans="2:10">
      <c r="B2709" s="13" t="s">
        <v>3119</v>
      </c>
      <c r="C2709" s="13">
        <v>64.959999999999994</v>
      </c>
      <c r="H2709" t="s">
        <v>3137</v>
      </c>
      <c r="I2709" t="s">
        <v>3</v>
      </c>
      <c r="J2709">
        <v>64.959999999999994</v>
      </c>
    </row>
    <row r="2710" spans="2:10">
      <c r="B2710" s="13" t="s">
        <v>3114</v>
      </c>
      <c r="C2710" s="13">
        <v>49.12</v>
      </c>
      <c r="H2710" t="s">
        <v>3135</v>
      </c>
      <c r="I2710" t="s">
        <v>5</v>
      </c>
      <c r="J2710">
        <v>49.12</v>
      </c>
    </row>
    <row r="2711" spans="2:10">
      <c r="B2711" s="13" t="s">
        <v>3117</v>
      </c>
      <c r="C2711" s="13">
        <v>32.479999999999997</v>
      </c>
      <c r="H2711" t="s">
        <v>3138</v>
      </c>
      <c r="I2711" t="s">
        <v>5</v>
      </c>
      <c r="J2711">
        <v>32.479999999999997</v>
      </c>
    </row>
    <row r="2712" spans="2:10">
      <c r="B2712" s="13" t="s">
        <v>3114</v>
      </c>
      <c r="C2712" s="13">
        <v>20.04</v>
      </c>
      <c r="H2712" t="s">
        <v>3138</v>
      </c>
      <c r="I2712" t="s">
        <v>5</v>
      </c>
      <c r="J2712">
        <v>20.04</v>
      </c>
    </row>
    <row r="2713" spans="2:10">
      <c r="B2713" s="13" t="s">
        <v>3127</v>
      </c>
      <c r="C2713" s="13">
        <v>13999.96</v>
      </c>
      <c r="H2713" t="s">
        <v>3138</v>
      </c>
      <c r="I2713" t="s">
        <v>4</v>
      </c>
      <c r="J2713">
        <v>13999.96</v>
      </c>
    </row>
    <row r="2714" spans="2:10">
      <c r="B2714" s="13" t="s">
        <v>3120</v>
      </c>
      <c r="C2714" s="13">
        <v>238</v>
      </c>
      <c r="H2714" t="s">
        <v>3136</v>
      </c>
      <c r="I2714" t="s">
        <v>4</v>
      </c>
      <c r="J2714">
        <v>238</v>
      </c>
    </row>
    <row r="2715" spans="2:10">
      <c r="B2715" s="13" t="s">
        <v>3114</v>
      </c>
      <c r="C2715" s="13">
        <v>61.96</v>
      </c>
      <c r="H2715" t="s">
        <v>3136</v>
      </c>
      <c r="I2715" t="s">
        <v>5</v>
      </c>
      <c r="J2715">
        <v>61.96</v>
      </c>
    </row>
    <row r="2716" spans="2:10">
      <c r="B2716" s="13" t="s">
        <v>3114</v>
      </c>
      <c r="C2716" s="13">
        <v>16.032</v>
      </c>
      <c r="H2716" t="s">
        <v>3137</v>
      </c>
      <c r="I2716" t="s">
        <v>5</v>
      </c>
      <c r="J2716">
        <v>16.032</v>
      </c>
    </row>
    <row r="2717" spans="2:10">
      <c r="B2717" s="13" t="s">
        <v>3126</v>
      </c>
      <c r="C2717" s="13">
        <v>2036.8600000000001</v>
      </c>
      <c r="H2717" t="s">
        <v>3138</v>
      </c>
      <c r="I2717" t="s">
        <v>3</v>
      </c>
      <c r="J2717">
        <v>2036.8600000000001</v>
      </c>
    </row>
    <row r="2718" spans="2:10">
      <c r="B2718" s="13" t="s">
        <v>3115</v>
      </c>
      <c r="C2718" s="13">
        <v>449.56800000000004</v>
      </c>
      <c r="H2718" t="s">
        <v>3138</v>
      </c>
      <c r="I2718" t="s">
        <v>3</v>
      </c>
      <c r="J2718">
        <v>449.56800000000004</v>
      </c>
    </row>
    <row r="2719" spans="2:10">
      <c r="B2719" s="13" t="s">
        <v>3120</v>
      </c>
      <c r="C2719" s="13">
        <v>108.96000000000001</v>
      </c>
      <c r="H2719" t="s">
        <v>3138</v>
      </c>
      <c r="I2719" t="s">
        <v>4</v>
      </c>
      <c r="J2719">
        <v>108.96000000000001</v>
      </c>
    </row>
    <row r="2720" spans="2:10">
      <c r="B2720" s="13" t="s">
        <v>3120</v>
      </c>
      <c r="C2720" s="13">
        <v>474.95</v>
      </c>
      <c r="H2720" t="s">
        <v>3138</v>
      </c>
      <c r="I2720" t="s">
        <v>4</v>
      </c>
      <c r="J2720">
        <v>474.95</v>
      </c>
    </row>
    <row r="2721" spans="2:10">
      <c r="B2721" s="13" t="s">
        <v>3119</v>
      </c>
      <c r="C2721" s="13">
        <v>22.608000000000001</v>
      </c>
      <c r="H2721" t="s">
        <v>3137</v>
      </c>
      <c r="I2721" t="s">
        <v>3</v>
      </c>
      <c r="J2721">
        <v>22.608000000000001</v>
      </c>
    </row>
    <row r="2722" spans="2:10">
      <c r="B2722" s="13" t="s">
        <v>3119</v>
      </c>
      <c r="C2722" s="13">
        <v>1.8920000000000003</v>
      </c>
      <c r="H2722" t="s">
        <v>3137</v>
      </c>
      <c r="I2722" t="s">
        <v>3</v>
      </c>
      <c r="J2722">
        <v>1.8920000000000003</v>
      </c>
    </row>
    <row r="2723" spans="2:10">
      <c r="B2723" s="13" t="s">
        <v>3114</v>
      </c>
      <c r="C2723" s="13">
        <v>63.311999999999998</v>
      </c>
      <c r="H2723" t="s">
        <v>3137</v>
      </c>
      <c r="I2723" t="s">
        <v>5</v>
      </c>
      <c r="J2723">
        <v>63.311999999999998</v>
      </c>
    </row>
    <row r="2724" spans="2:10">
      <c r="B2724" s="13" t="s">
        <v>3114</v>
      </c>
      <c r="C2724" s="13">
        <v>38.880000000000003</v>
      </c>
      <c r="H2724" t="s">
        <v>3136</v>
      </c>
      <c r="I2724" t="s">
        <v>5</v>
      </c>
      <c r="J2724">
        <v>38.880000000000003</v>
      </c>
    </row>
    <row r="2725" spans="2:10">
      <c r="B2725" s="13" t="s">
        <v>3119</v>
      </c>
      <c r="C2725" s="13">
        <v>187.76</v>
      </c>
      <c r="H2725" t="s">
        <v>3136</v>
      </c>
      <c r="I2725" t="s">
        <v>3</v>
      </c>
      <c r="J2725">
        <v>187.76</v>
      </c>
    </row>
    <row r="2726" spans="2:10">
      <c r="B2726" s="13" t="s">
        <v>3120</v>
      </c>
      <c r="C2726" s="13">
        <v>89.567999999999998</v>
      </c>
      <c r="H2726" t="s">
        <v>3135</v>
      </c>
      <c r="I2726" t="s">
        <v>4</v>
      </c>
      <c r="J2726">
        <v>89.567999999999998</v>
      </c>
    </row>
    <row r="2727" spans="2:10">
      <c r="B2727" s="13" t="s">
        <v>3122</v>
      </c>
      <c r="C2727" s="13">
        <v>71.959999999999994</v>
      </c>
      <c r="H2727" t="s">
        <v>3135</v>
      </c>
      <c r="I2727" t="s">
        <v>5</v>
      </c>
      <c r="J2727">
        <v>71.959999999999994</v>
      </c>
    </row>
    <row r="2728" spans="2:10">
      <c r="B2728" s="13" t="s">
        <v>3114</v>
      </c>
      <c r="C2728" s="13">
        <v>15.552000000000003</v>
      </c>
      <c r="H2728" t="s">
        <v>3135</v>
      </c>
      <c r="I2728" t="s">
        <v>5</v>
      </c>
      <c r="J2728">
        <v>15.552000000000003</v>
      </c>
    </row>
    <row r="2729" spans="2:10">
      <c r="B2729" s="13" t="s">
        <v>3118</v>
      </c>
      <c r="C2729" s="13">
        <v>10.429999999999996</v>
      </c>
      <c r="H2729" t="s">
        <v>3137</v>
      </c>
      <c r="I2729" t="s">
        <v>5</v>
      </c>
      <c r="J2729">
        <v>10.429999999999996</v>
      </c>
    </row>
    <row r="2730" spans="2:10">
      <c r="B2730" s="13" t="s">
        <v>3117</v>
      </c>
      <c r="C2730" s="13">
        <v>72.784000000000006</v>
      </c>
      <c r="H2730" t="s">
        <v>3137</v>
      </c>
      <c r="I2730" t="s">
        <v>5</v>
      </c>
      <c r="J2730">
        <v>72.784000000000006</v>
      </c>
    </row>
    <row r="2731" spans="2:10">
      <c r="B2731" s="13" t="s">
        <v>3125</v>
      </c>
      <c r="C2731" s="13">
        <v>81.567999999999998</v>
      </c>
      <c r="H2731" t="s">
        <v>3135</v>
      </c>
      <c r="I2731" t="s">
        <v>5</v>
      </c>
      <c r="J2731">
        <v>81.567999999999998</v>
      </c>
    </row>
    <row r="2732" spans="2:10">
      <c r="B2732" s="13" t="s">
        <v>3114</v>
      </c>
      <c r="C2732" s="13">
        <v>189.7</v>
      </c>
      <c r="H2732" t="s">
        <v>3136</v>
      </c>
      <c r="I2732" t="s">
        <v>5</v>
      </c>
      <c r="J2732">
        <v>189.7</v>
      </c>
    </row>
    <row r="2733" spans="2:10">
      <c r="B2733" s="13" t="s">
        <v>3114</v>
      </c>
      <c r="C2733" s="13">
        <v>40.99</v>
      </c>
      <c r="H2733" t="s">
        <v>3136</v>
      </c>
      <c r="I2733" t="s">
        <v>5</v>
      </c>
      <c r="J2733">
        <v>40.99</v>
      </c>
    </row>
    <row r="2734" spans="2:10">
      <c r="B2734" s="13" t="s">
        <v>3129</v>
      </c>
      <c r="C2734" s="13">
        <v>3.3280000000000003</v>
      </c>
      <c r="H2734" t="s">
        <v>3135</v>
      </c>
      <c r="I2734" t="s">
        <v>5</v>
      </c>
      <c r="J2734">
        <v>3.3280000000000003</v>
      </c>
    </row>
    <row r="2735" spans="2:10">
      <c r="B2735" s="13" t="s">
        <v>3126</v>
      </c>
      <c r="C2735" s="13">
        <v>933.26200000000006</v>
      </c>
      <c r="H2735" t="s">
        <v>3135</v>
      </c>
      <c r="I2735" t="s">
        <v>3</v>
      </c>
      <c r="J2735">
        <v>933.26200000000006</v>
      </c>
    </row>
    <row r="2736" spans="2:10">
      <c r="B2736" s="13" t="s">
        <v>3115</v>
      </c>
      <c r="C2736" s="13">
        <v>2803.92</v>
      </c>
      <c r="H2736" t="s">
        <v>3135</v>
      </c>
      <c r="I2736" t="s">
        <v>3</v>
      </c>
      <c r="J2736">
        <v>2803.92</v>
      </c>
    </row>
    <row r="2737" spans="2:10">
      <c r="B2737" s="13" t="s">
        <v>3117</v>
      </c>
      <c r="C2737" s="13">
        <v>4.7679999999999998</v>
      </c>
      <c r="H2737" t="s">
        <v>3135</v>
      </c>
      <c r="I2737" t="s">
        <v>5</v>
      </c>
      <c r="J2737">
        <v>4.7679999999999998</v>
      </c>
    </row>
    <row r="2738" spans="2:10">
      <c r="B2738" s="13" t="s">
        <v>3114</v>
      </c>
      <c r="C2738" s="13">
        <v>6.6720000000000006</v>
      </c>
      <c r="H2738" t="s">
        <v>3135</v>
      </c>
      <c r="I2738" t="s">
        <v>5</v>
      </c>
      <c r="J2738">
        <v>6.6720000000000006</v>
      </c>
    </row>
    <row r="2739" spans="2:10">
      <c r="B2739" s="13" t="s">
        <v>3122</v>
      </c>
      <c r="C2739" s="13">
        <v>4.4479999999999995</v>
      </c>
      <c r="H2739" t="s">
        <v>3135</v>
      </c>
      <c r="I2739" t="s">
        <v>5</v>
      </c>
      <c r="J2739">
        <v>4.4479999999999995</v>
      </c>
    </row>
    <row r="2740" spans="2:10">
      <c r="B2740" s="13" t="s">
        <v>3119</v>
      </c>
      <c r="C2740" s="13">
        <v>43.936000000000007</v>
      </c>
      <c r="H2740" t="s">
        <v>3135</v>
      </c>
      <c r="I2740" t="s">
        <v>3</v>
      </c>
      <c r="J2740">
        <v>43.936000000000007</v>
      </c>
    </row>
    <row r="2741" spans="2:10">
      <c r="B2741" s="13" t="s">
        <v>3127</v>
      </c>
      <c r="C2741" s="13">
        <v>299.99</v>
      </c>
      <c r="H2741" t="s">
        <v>3138</v>
      </c>
      <c r="I2741" t="s">
        <v>4</v>
      </c>
      <c r="J2741">
        <v>299.99</v>
      </c>
    </row>
    <row r="2742" spans="2:10">
      <c r="B2742" s="13" t="s">
        <v>3114</v>
      </c>
      <c r="C2742" s="13">
        <v>192.16</v>
      </c>
      <c r="H2742" t="s">
        <v>3138</v>
      </c>
      <c r="I2742" t="s">
        <v>5</v>
      </c>
      <c r="J2742">
        <v>192.16</v>
      </c>
    </row>
    <row r="2743" spans="2:10">
      <c r="B2743" s="13" t="s">
        <v>3116</v>
      </c>
      <c r="C2743" s="13">
        <v>242.624</v>
      </c>
      <c r="H2743" t="s">
        <v>3138</v>
      </c>
      <c r="I2743" t="s">
        <v>4</v>
      </c>
      <c r="J2743">
        <v>242.624</v>
      </c>
    </row>
    <row r="2744" spans="2:10">
      <c r="B2744" s="13" t="s">
        <v>3117</v>
      </c>
      <c r="C2744" s="13">
        <v>46.74</v>
      </c>
      <c r="H2744" t="s">
        <v>3138</v>
      </c>
      <c r="I2744" t="s">
        <v>5</v>
      </c>
      <c r="J2744">
        <v>46.74</v>
      </c>
    </row>
    <row r="2745" spans="2:10">
      <c r="B2745" s="13" t="s">
        <v>3120</v>
      </c>
      <c r="C2745" s="13">
        <v>174.95000000000002</v>
      </c>
      <c r="H2745" t="s">
        <v>3138</v>
      </c>
      <c r="I2745" t="s">
        <v>4</v>
      </c>
      <c r="J2745">
        <v>174.95000000000002</v>
      </c>
    </row>
    <row r="2746" spans="2:10">
      <c r="B2746" s="13" t="s">
        <v>3118</v>
      </c>
      <c r="C2746" s="13">
        <v>100.70400000000001</v>
      </c>
      <c r="H2746" t="s">
        <v>3138</v>
      </c>
      <c r="I2746" t="s">
        <v>5</v>
      </c>
      <c r="J2746">
        <v>100.70400000000001</v>
      </c>
    </row>
    <row r="2747" spans="2:10">
      <c r="B2747" s="13" t="s">
        <v>3126</v>
      </c>
      <c r="C2747" s="13">
        <v>69.375</v>
      </c>
      <c r="H2747" t="s">
        <v>3137</v>
      </c>
      <c r="I2747" t="s">
        <v>3</v>
      </c>
      <c r="J2747">
        <v>69.375</v>
      </c>
    </row>
    <row r="2748" spans="2:10">
      <c r="B2748" s="13" t="s">
        <v>3129</v>
      </c>
      <c r="C2748" s="13">
        <v>31.680000000000003</v>
      </c>
      <c r="H2748" t="s">
        <v>3137</v>
      </c>
      <c r="I2748" t="s">
        <v>5</v>
      </c>
      <c r="J2748">
        <v>31.680000000000003</v>
      </c>
    </row>
    <row r="2749" spans="2:10">
      <c r="B2749" s="13" t="s">
        <v>3116</v>
      </c>
      <c r="C2749" s="13">
        <v>2003.1680000000001</v>
      </c>
      <c r="H2749" t="s">
        <v>3137</v>
      </c>
      <c r="I2749" t="s">
        <v>4</v>
      </c>
      <c r="J2749">
        <v>2003.1680000000001</v>
      </c>
    </row>
    <row r="2750" spans="2:10">
      <c r="B2750" s="13" t="s">
        <v>3122</v>
      </c>
      <c r="C2750" s="13">
        <v>9.3439999999999994</v>
      </c>
      <c r="H2750" t="s">
        <v>3137</v>
      </c>
      <c r="I2750" t="s">
        <v>5</v>
      </c>
      <c r="J2750">
        <v>9.3439999999999994</v>
      </c>
    </row>
    <row r="2751" spans="2:10">
      <c r="B2751" s="13" t="s">
        <v>3117</v>
      </c>
      <c r="C2751" s="13">
        <v>1085.42</v>
      </c>
      <c r="H2751" t="s">
        <v>3136</v>
      </c>
      <c r="I2751" t="s">
        <v>5</v>
      </c>
      <c r="J2751">
        <v>1085.42</v>
      </c>
    </row>
    <row r="2752" spans="2:10">
      <c r="B2752" s="13" t="s">
        <v>3117</v>
      </c>
      <c r="C2752" s="13">
        <v>675.06000000000006</v>
      </c>
      <c r="H2752" t="s">
        <v>3135</v>
      </c>
      <c r="I2752" t="s">
        <v>5</v>
      </c>
      <c r="J2752">
        <v>675.06000000000006</v>
      </c>
    </row>
    <row r="2753" spans="2:10">
      <c r="B2753" s="13" t="s">
        <v>3124</v>
      </c>
      <c r="C2753" s="13">
        <v>65.231999999999999</v>
      </c>
      <c r="H2753" t="s">
        <v>3135</v>
      </c>
      <c r="I2753" t="s">
        <v>5</v>
      </c>
      <c r="J2753">
        <v>65.231999999999999</v>
      </c>
    </row>
    <row r="2754" spans="2:10">
      <c r="B2754" s="13" t="s">
        <v>3115</v>
      </c>
      <c r="C2754" s="13">
        <v>207</v>
      </c>
      <c r="H2754" t="s">
        <v>3135</v>
      </c>
      <c r="I2754" t="s">
        <v>3</v>
      </c>
      <c r="J2754">
        <v>207</v>
      </c>
    </row>
    <row r="2755" spans="2:10">
      <c r="B2755" s="13" t="s">
        <v>3118</v>
      </c>
      <c r="C2755" s="13">
        <v>18.368000000000002</v>
      </c>
      <c r="H2755" t="s">
        <v>3138</v>
      </c>
      <c r="I2755" t="s">
        <v>5</v>
      </c>
      <c r="J2755">
        <v>18.368000000000002</v>
      </c>
    </row>
    <row r="2756" spans="2:10">
      <c r="B2756" s="13" t="s">
        <v>3116</v>
      </c>
      <c r="C2756" s="13">
        <v>299.89999999999998</v>
      </c>
      <c r="H2756" t="s">
        <v>3136</v>
      </c>
      <c r="I2756" t="s">
        <v>4</v>
      </c>
      <c r="J2756">
        <v>299.89999999999998</v>
      </c>
    </row>
    <row r="2757" spans="2:10">
      <c r="B2757" s="13" t="s">
        <v>3120</v>
      </c>
      <c r="C2757" s="13">
        <v>1649.95</v>
      </c>
      <c r="H2757" t="s">
        <v>3138</v>
      </c>
      <c r="I2757" t="s">
        <v>4</v>
      </c>
      <c r="J2757">
        <v>1649.95</v>
      </c>
    </row>
    <row r="2758" spans="2:10">
      <c r="B2758" s="13" t="s">
        <v>3115</v>
      </c>
      <c r="C2758" s="13">
        <v>362.35199999999998</v>
      </c>
      <c r="H2758" t="s">
        <v>3138</v>
      </c>
      <c r="I2758" t="s">
        <v>3</v>
      </c>
      <c r="J2758">
        <v>362.35199999999998</v>
      </c>
    </row>
    <row r="2759" spans="2:10">
      <c r="B2759" s="13" t="s">
        <v>3126</v>
      </c>
      <c r="C2759" s="13">
        <v>486.36800000000005</v>
      </c>
      <c r="H2759" t="s">
        <v>3138</v>
      </c>
      <c r="I2759" t="s">
        <v>3</v>
      </c>
      <c r="J2759">
        <v>486.36800000000005</v>
      </c>
    </row>
    <row r="2760" spans="2:10">
      <c r="B2760" s="13" t="s">
        <v>3119</v>
      </c>
      <c r="C2760" s="13">
        <v>62.72</v>
      </c>
      <c r="H2760" t="s">
        <v>3135</v>
      </c>
      <c r="I2760" t="s">
        <v>3</v>
      </c>
      <c r="J2760">
        <v>62.72</v>
      </c>
    </row>
    <row r="2761" spans="2:10">
      <c r="B2761" s="13" t="s">
        <v>3116</v>
      </c>
      <c r="C2761" s="13">
        <v>2939.9300000000003</v>
      </c>
      <c r="H2761" t="s">
        <v>3135</v>
      </c>
      <c r="I2761" t="s">
        <v>4</v>
      </c>
      <c r="J2761">
        <v>2939.9300000000003</v>
      </c>
    </row>
    <row r="2762" spans="2:10">
      <c r="B2762" s="13" t="s">
        <v>3122</v>
      </c>
      <c r="C2762" s="13">
        <v>1.752</v>
      </c>
      <c r="H2762" t="s">
        <v>3135</v>
      </c>
      <c r="I2762" t="s">
        <v>5</v>
      </c>
      <c r="J2762">
        <v>1.752</v>
      </c>
    </row>
    <row r="2763" spans="2:10">
      <c r="B2763" s="13" t="s">
        <v>3122</v>
      </c>
      <c r="C2763" s="13">
        <v>20.992000000000001</v>
      </c>
      <c r="H2763" t="s">
        <v>3135</v>
      </c>
      <c r="I2763" t="s">
        <v>5</v>
      </c>
      <c r="J2763">
        <v>20.992000000000001</v>
      </c>
    </row>
    <row r="2764" spans="2:10">
      <c r="B2764" s="13" t="s">
        <v>3117</v>
      </c>
      <c r="C2764" s="13">
        <v>11.21</v>
      </c>
      <c r="H2764" t="s">
        <v>3136</v>
      </c>
      <c r="I2764" t="s">
        <v>5</v>
      </c>
      <c r="J2764">
        <v>11.21</v>
      </c>
    </row>
    <row r="2765" spans="2:10">
      <c r="B2765" s="13" t="s">
        <v>3117</v>
      </c>
      <c r="C2765" s="13">
        <v>61.68</v>
      </c>
      <c r="H2765" t="s">
        <v>3135</v>
      </c>
      <c r="I2765" t="s">
        <v>5</v>
      </c>
      <c r="J2765">
        <v>61.68</v>
      </c>
    </row>
    <row r="2766" spans="2:10">
      <c r="B2766" s="13" t="s">
        <v>3116</v>
      </c>
      <c r="C2766" s="13">
        <v>158.376</v>
      </c>
      <c r="H2766" t="s">
        <v>3135</v>
      </c>
      <c r="I2766" t="s">
        <v>4</v>
      </c>
      <c r="J2766">
        <v>158.376</v>
      </c>
    </row>
    <row r="2767" spans="2:10">
      <c r="B2767" s="13" t="s">
        <v>3118</v>
      </c>
      <c r="C2767" s="13">
        <v>2.8639999999999994</v>
      </c>
      <c r="H2767" t="s">
        <v>3137</v>
      </c>
      <c r="I2767" t="s">
        <v>5</v>
      </c>
      <c r="J2767">
        <v>2.8639999999999994</v>
      </c>
    </row>
    <row r="2768" spans="2:10">
      <c r="B2768" s="13" t="s">
        <v>3118</v>
      </c>
      <c r="C2768" s="13">
        <v>94.191999999999979</v>
      </c>
      <c r="H2768" t="s">
        <v>3137</v>
      </c>
      <c r="I2768" t="s">
        <v>5</v>
      </c>
      <c r="J2768">
        <v>94.191999999999979</v>
      </c>
    </row>
    <row r="2769" spans="2:10">
      <c r="B2769" s="13" t="s">
        <v>3114</v>
      </c>
      <c r="C2769" s="13">
        <v>143.69999999999999</v>
      </c>
      <c r="H2769" t="s">
        <v>3136</v>
      </c>
      <c r="I2769" t="s">
        <v>5</v>
      </c>
      <c r="J2769">
        <v>143.69999999999999</v>
      </c>
    </row>
    <row r="2770" spans="2:10">
      <c r="B2770" s="13" t="s">
        <v>3114</v>
      </c>
      <c r="C2770" s="13">
        <v>6.48</v>
      </c>
      <c r="H2770" t="s">
        <v>3136</v>
      </c>
      <c r="I2770" t="s">
        <v>5</v>
      </c>
      <c r="J2770">
        <v>6.48</v>
      </c>
    </row>
    <row r="2771" spans="2:10">
      <c r="B2771" s="13" t="s">
        <v>3120</v>
      </c>
      <c r="C2771" s="13">
        <v>7.88</v>
      </c>
      <c r="H2771" t="s">
        <v>3136</v>
      </c>
      <c r="I2771" t="s">
        <v>4</v>
      </c>
      <c r="J2771">
        <v>7.88</v>
      </c>
    </row>
    <row r="2772" spans="2:10">
      <c r="B2772" s="13" t="s">
        <v>3118</v>
      </c>
      <c r="C2772" s="13">
        <v>299.52</v>
      </c>
      <c r="H2772" t="s">
        <v>3136</v>
      </c>
      <c r="I2772" t="s">
        <v>5</v>
      </c>
      <c r="J2772">
        <v>299.52</v>
      </c>
    </row>
    <row r="2773" spans="2:10">
      <c r="B2773" s="13" t="s">
        <v>3115</v>
      </c>
      <c r="C2773" s="13">
        <v>436.70400000000006</v>
      </c>
      <c r="H2773" t="s">
        <v>3138</v>
      </c>
      <c r="I2773" t="s">
        <v>3</v>
      </c>
      <c r="J2773">
        <v>436.70400000000006</v>
      </c>
    </row>
    <row r="2774" spans="2:10">
      <c r="B2774" s="13" t="s">
        <v>3125</v>
      </c>
      <c r="C2774" s="13">
        <v>61.44</v>
      </c>
      <c r="H2774" t="s">
        <v>3138</v>
      </c>
      <c r="I2774" t="s">
        <v>5</v>
      </c>
      <c r="J2774">
        <v>61.44</v>
      </c>
    </row>
    <row r="2775" spans="2:10">
      <c r="B2775" s="13" t="s">
        <v>3119</v>
      </c>
      <c r="C2775" s="13">
        <v>32.448</v>
      </c>
      <c r="H2775" t="s">
        <v>3136</v>
      </c>
      <c r="I2775" t="s">
        <v>3</v>
      </c>
      <c r="J2775">
        <v>32.448</v>
      </c>
    </row>
    <row r="2776" spans="2:10">
      <c r="B2776" s="13" t="s">
        <v>3118</v>
      </c>
      <c r="C2776" s="13">
        <v>26.388000000000002</v>
      </c>
      <c r="H2776" t="s">
        <v>3136</v>
      </c>
      <c r="I2776" t="s">
        <v>5</v>
      </c>
      <c r="J2776">
        <v>26.388000000000002</v>
      </c>
    </row>
    <row r="2777" spans="2:10">
      <c r="B2777" s="13" t="s">
        <v>3126</v>
      </c>
      <c r="C2777" s="13">
        <v>373.46999999999991</v>
      </c>
      <c r="H2777" t="s">
        <v>3136</v>
      </c>
      <c r="I2777" t="s">
        <v>3</v>
      </c>
      <c r="J2777">
        <v>373.46999999999991</v>
      </c>
    </row>
    <row r="2778" spans="2:10">
      <c r="B2778" s="13" t="s">
        <v>3118</v>
      </c>
      <c r="C2778" s="13">
        <v>64.2</v>
      </c>
      <c r="H2778" t="s">
        <v>3136</v>
      </c>
      <c r="I2778" t="s">
        <v>5</v>
      </c>
      <c r="J2778">
        <v>64.2</v>
      </c>
    </row>
    <row r="2779" spans="2:10">
      <c r="B2779" s="13" t="s">
        <v>3123</v>
      </c>
      <c r="C2779" s="13">
        <v>8</v>
      </c>
      <c r="H2779" t="s">
        <v>3136</v>
      </c>
      <c r="I2779" t="s">
        <v>5</v>
      </c>
      <c r="J2779">
        <v>8</v>
      </c>
    </row>
    <row r="2780" spans="2:10">
      <c r="B2780" s="13" t="s">
        <v>3122</v>
      </c>
      <c r="C2780" s="13">
        <v>31.744</v>
      </c>
      <c r="H2780" t="s">
        <v>3137</v>
      </c>
      <c r="I2780" t="s">
        <v>5</v>
      </c>
      <c r="J2780">
        <v>31.744</v>
      </c>
    </row>
    <row r="2781" spans="2:10">
      <c r="B2781" s="13" t="s">
        <v>3125</v>
      </c>
      <c r="C2781" s="13">
        <v>5.4319999999999986</v>
      </c>
      <c r="H2781" t="s">
        <v>3137</v>
      </c>
      <c r="I2781" t="s">
        <v>5</v>
      </c>
      <c r="J2781">
        <v>5.4319999999999986</v>
      </c>
    </row>
    <row r="2782" spans="2:10">
      <c r="B2782" s="13" t="s">
        <v>3126</v>
      </c>
      <c r="C2782" s="13">
        <v>913.43000000000006</v>
      </c>
      <c r="H2782" t="s">
        <v>3137</v>
      </c>
      <c r="I2782" t="s">
        <v>3</v>
      </c>
      <c r="J2782">
        <v>913.43000000000006</v>
      </c>
    </row>
    <row r="2783" spans="2:10">
      <c r="B2783" s="13" t="s">
        <v>3117</v>
      </c>
      <c r="C2783" s="13">
        <v>372.14400000000001</v>
      </c>
      <c r="H2783" t="s">
        <v>3137</v>
      </c>
      <c r="I2783" t="s">
        <v>5</v>
      </c>
      <c r="J2783">
        <v>372.14400000000001</v>
      </c>
    </row>
    <row r="2784" spans="2:10">
      <c r="B2784" s="13" t="s">
        <v>3116</v>
      </c>
      <c r="C2784" s="13">
        <v>751.98400000000004</v>
      </c>
      <c r="H2784" t="s">
        <v>3135</v>
      </c>
      <c r="I2784" t="s">
        <v>4</v>
      </c>
      <c r="J2784">
        <v>751.98400000000004</v>
      </c>
    </row>
    <row r="2785" spans="2:10">
      <c r="B2785" s="13" t="s">
        <v>3116</v>
      </c>
      <c r="C2785" s="13">
        <v>604.76800000000003</v>
      </c>
      <c r="H2785" t="s">
        <v>3138</v>
      </c>
      <c r="I2785" t="s">
        <v>4</v>
      </c>
      <c r="J2785">
        <v>604.76800000000003</v>
      </c>
    </row>
    <row r="2786" spans="2:10">
      <c r="B2786" s="13" t="s">
        <v>3125</v>
      </c>
      <c r="C2786" s="13">
        <v>64.384</v>
      </c>
      <c r="H2786" t="s">
        <v>3135</v>
      </c>
      <c r="I2786" t="s">
        <v>5</v>
      </c>
      <c r="J2786">
        <v>64.384</v>
      </c>
    </row>
    <row r="2787" spans="2:10">
      <c r="B2787" s="13" t="s">
        <v>3118</v>
      </c>
      <c r="C2787" s="13">
        <v>11.808</v>
      </c>
      <c r="H2787" t="s">
        <v>3138</v>
      </c>
      <c r="I2787" t="s">
        <v>5</v>
      </c>
      <c r="J2787">
        <v>11.808</v>
      </c>
    </row>
    <row r="2788" spans="2:10">
      <c r="B2788" s="13" t="s">
        <v>3114</v>
      </c>
      <c r="C2788" s="13">
        <v>11.76</v>
      </c>
      <c r="H2788" t="s">
        <v>3138</v>
      </c>
      <c r="I2788" t="s">
        <v>5</v>
      </c>
      <c r="J2788">
        <v>11.76</v>
      </c>
    </row>
    <row r="2789" spans="2:10">
      <c r="B2789" s="13" t="s">
        <v>3119</v>
      </c>
      <c r="C2789" s="13">
        <v>27.46</v>
      </c>
      <c r="H2789" t="s">
        <v>3136</v>
      </c>
      <c r="I2789" t="s">
        <v>3</v>
      </c>
      <c r="J2789">
        <v>27.46</v>
      </c>
    </row>
    <row r="2790" spans="2:10">
      <c r="B2790" s="13" t="s">
        <v>3115</v>
      </c>
      <c r="C2790" s="13">
        <v>155.37199999999999</v>
      </c>
      <c r="H2790" t="s">
        <v>3136</v>
      </c>
      <c r="I2790" t="s">
        <v>3</v>
      </c>
      <c r="J2790">
        <v>155.37199999999999</v>
      </c>
    </row>
    <row r="2791" spans="2:10">
      <c r="B2791" s="13" t="s">
        <v>3119</v>
      </c>
      <c r="C2791" s="13">
        <v>83.92</v>
      </c>
      <c r="H2791" t="s">
        <v>3136</v>
      </c>
      <c r="I2791" t="s">
        <v>3</v>
      </c>
      <c r="J2791">
        <v>83.92</v>
      </c>
    </row>
    <row r="2792" spans="2:10">
      <c r="B2792" s="13" t="s">
        <v>3120</v>
      </c>
      <c r="C2792" s="13">
        <v>141.9</v>
      </c>
      <c r="H2792" t="s">
        <v>3136</v>
      </c>
      <c r="I2792" t="s">
        <v>4</v>
      </c>
      <c r="J2792">
        <v>141.9</v>
      </c>
    </row>
    <row r="2793" spans="2:10">
      <c r="B2793" s="13" t="s">
        <v>3119</v>
      </c>
      <c r="C2793" s="13">
        <v>39.979999999999997</v>
      </c>
      <c r="H2793" t="s">
        <v>3136</v>
      </c>
      <c r="I2793" t="s">
        <v>3</v>
      </c>
      <c r="J2793">
        <v>39.979999999999997</v>
      </c>
    </row>
    <row r="2794" spans="2:10">
      <c r="B2794" s="13" t="s">
        <v>3122</v>
      </c>
      <c r="C2794" s="13">
        <v>28.91</v>
      </c>
      <c r="H2794" t="s">
        <v>3136</v>
      </c>
      <c r="I2794" t="s">
        <v>5</v>
      </c>
      <c r="J2794">
        <v>28.91</v>
      </c>
    </row>
    <row r="2795" spans="2:10">
      <c r="B2795" s="13" t="s">
        <v>3122</v>
      </c>
      <c r="C2795" s="13">
        <v>174.95000000000002</v>
      </c>
      <c r="H2795" t="s">
        <v>3136</v>
      </c>
      <c r="I2795" t="s">
        <v>5</v>
      </c>
      <c r="J2795">
        <v>174.95000000000002</v>
      </c>
    </row>
    <row r="2796" spans="2:10">
      <c r="B2796" s="13" t="s">
        <v>3126</v>
      </c>
      <c r="C2796" s="13">
        <v>933.40800000000002</v>
      </c>
      <c r="H2796" t="s">
        <v>3137</v>
      </c>
      <c r="I2796" t="s">
        <v>3</v>
      </c>
      <c r="J2796">
        <v>933.40800000000002</v>
      </c>
    </row>
    <row r="2797" spans="2:10">
      <c r="B2797" s="13" t="s">
        <v>3114</v>
      </c>
      <c r="C2797" s="13">
        <v>106.32</v>
      </c>
      <c r="H2797" t="s">
        <v>3137</v>
      </c>
      <c r="I2797" t="s">
        <v>5</v>
      </c>
      <c r="J2797">
        <v>106.32</v>
      </c>
    </row>
    <row r="2798" spans="2:10">
      <c r="B2798" s="13" t="s">
        <v>3118</v>
      </c>
      <c r="C2798" s="13">
        <v>147.91999999999999</v>
      </c>
      <c r="H2798" t="s">
        <v>3138</v>
      </c>
      <c r="I2798" t="s">
        <v>5</v>
      </c>
      <c r="J2798">
        <v>147.91999999999999</v>
      </c>
    </row>
    <row r="2799" spans="2:10">
      <c r="B2799" s="13" t="s">
        <v>3117</v>
      </c>
      <c r="C2799" s="13">
        <v>104.28</v>
      </c>
      <c r="H2799" t="s">
        <v>3138</v>
      </c>
      <c r="I2799" t="s">
        <v>5</v>
      </c>
      <c r="J2799">
        <v>104.28</v>
      </c>
    </row>
    <row r="2800" spans="2:10">
      <c r="B2800" s="13" t="s">
        <v>3126</v>
      </c>
      <c r="C2800" s="13">
        <v>286.85000000000002</v>
      </c>
      <c r="H2800" t="s">
        <v>3138</v>
      </c>
      <c r="I2800" t="s">
        <v>3</v>
      </c>
      <c r="J2800">
        <v>286.85000000000002</v>
      </c>
    </row>
    <row r="2801" spans="2:10">
      <c r="B2801" s="13" t="s">
        <v>3117</v>
      </c>
      <c r="C2801" s="13">
        <v>66.959999999999994</v>
      </c>
      <c r="H2801" t="s">
        <v>3138</v>
      </c>
      <c r="I2801" t="s">
        <v>5</v>
      </c>
      <c r="J2801">
        <v>66.959999999999994</v>
      </c>
    </row>
    <row r="2802" spans="2:10">
      <c r="B2802" s="13" t="s">
        <v>3120</v>
      </c>
      <c r="C2802" s="13">
        <v>199.98</v>
      </c>
      <c r="H2802" t="s">
        <v>3138</v>
      </c>
      <c r="I2802" t="s">
        <v>4</v>
      </c>
      <c r="J2802">
        <v>199.98</v>
      </c>
    </row>
    <row r="2803" spans="2:10">
      <c r="B2803" s="13" t="s">
        <v>3120</v>
      </c>
      <c r="C2803" s="13">
        <v>45</v>
      </c>
      <c r="H2803" t="s">
        <v>3136</v>
      </c>
      <c r="I2803" t="s">
        <v>4</v>
      </c>
      <c r="J2803">
        <v>45</v>
      </c>
    </row>
    <row r="2804" spans="2:10">
      <c r="B2804" s="13" t="s">
        <v>3123</v>
      </c>
      <c r="C2804" s="13">
        <v>17.899999999999999</v>
      </c>
      <c r="H2804" t="s">
        <v>3136</v>
      </c>
      <c r="I2804" t="s">
        <v>5</v>
      </c>
      <c r="J2804">
        <v>17.899999999999999</v>
      </c>
    </row>
    <row r="2805" spans="2:10">
      <c r="B2805" s="13" t="s">
        <v>3119</v>
      </c>
      <c r="C2805" s="13">
        <v>40.479999999999997</v>
      </c>
      <c r="H2805" t="s">
        <v>3136</v>
      </c>
      <c r="I2805" t="s">
        <v>3</v>
      </c>
      <c r="J2805">
        <v>40.479999999999997</v>
      </c>
    </row>
    <row r="2806" spans="2:10">
      <c r="B2806" s="13" t="s">
        <v>3128</v>
      </c>
      <c r="C2806" s="13">
        <v>2154.9</v>
      </c>
      <c r="H2806" t="s">
        <v>3136</v>
      </c>
      <c r="I2806" t="s">
        <v>3</v>
      </c>
      <c r="J2806">
        <v>2154.9</v>
      </c>
    </row>
    <row r="2807" spans="2:10">
      <c r="B2807" s="13" t="s">
        <v>3129</v>
      </c>
      <c r="C2807" s="13">
        <v>4.3600000000000003</v>
      </c>
      <c r="H2807" t="s">
        <v>3137</v>
      </c>
      <c r="I2807" t="s">
        <v>5</v>
      </c>
      <c r="J2807">
        <v>4.3600000000000003</v>
      </c>
    </row>
    <row r="2808" spans="2:10">
      <c r="B2808" s="13" t="s">
        <v>3120</v>
      </c>
      <c r="C2808" s="13">
        <v>62.352000000000004</v>
      </c>
      <c r="H2808" t="s">
        <v>3138</v>
      </c>
      <c r="I2808" t="s">
        <v>4</v>
      </c>
      <c r="J2808">
        <v>62.352000000000004</v>
      </c>
    </row>
    <row r="2809" spans="2:10">
      <c r="B2809" s="13" t="s">
        <v>3119</v>
      </c>
      <c r="C2809" s="13">
        <v>274.20000000000005</v>
      </c>
      <c r="H2809" t="s">
        <v>3136</v>
      </c>
      <c r="I2809" t="s">
        <v>3</v>
      </c>
      <c r="J2809">
        <v>274.20000000000005</v>
      </c>
    </row>
    <row r="2810" spans="2:10">
      <c r="B2810" s="13" t="s">
        <v>3116</v>
      </c>
      <c r="C2810" s="13">
        <v>49.616000000000007</v>
      </c>
      <c r="H2810" t="s">
        <v>3137</v>
      </c>
      <c r="I2810" t="s">
        <v>4</v>
      </c>
      <c r="J2810">
        <v>49.616000000000007</v>
      </c>
    </row>
    <row r="2811" spans="2:10">
      <c r="B2811" s="13" t="s">
        <v>3114</v>
      </c>
      <c r="C2811" s="13">
        <v>84.415999999999997</v>
      </c>
      <c r="H2811" t="s">
        <v>3138</v>
      </c>
      <c r="I2811" t="s">
        <v>5</v>
      </c>
      <c r="J2811">
        <v>84.415999999999997</v>
      </c>
    </row>
    <row r="2812" spans="2:10">
      <c r="B2812" s="13" t="s">
        <v>3126</v>
      </c>
      <c r="C2812" s="13">
        <v>240.744</v>
      </c>
      <c r="H2812" t="s">
        <v>3136</v>
      </c>
      <c r="I2812" t="s">
        <v>3</v>
      </c>
      <c r="J2812">
        <v>240.744</v>
      </c>
    </row>
    <row r="2813" spans="2:10">
      <c r="B2813" s="13" t="s">
        <v>3119</v>
      </c>
      <c r="C2813" s="13">
        <v>35</v>
      </c>
      <c r="H2813" t="s">
        <v>3136</v>
      </c>
      <c r="I2813" t="s">
        <v>3</v>
      </c>
      <c r="J2813">
        <v>35</v>
      </c>
    </row>
    <row r="2814" spans="2:10">
      <c r="B2814" s="13" t="s">
        <v>3119</v>
      </c>
      <c r="C2814" s="13">
        <v>210.68</v>
      </c>
      <c r="H2814" t="s">
        <v>3136</v>
      </c>
      <c r="I2814" t="s">
        <v>3</v>
      </c>
      <c r="J2814">
        <v>210.68</v>
      </c>
    </row>
    <row r="2815" spans="2:10">
      <c r="B2815" s="13" t="s">
        <v>3126</v>
      </c>
      <c r="C2815" s="13">
        <v>637.89599999999996</v>
      </c>
      <c r="H2815" t="s">
        <v>3136</v>
      </c>
      <c r="I2815" t="s">
        <v>3</v>
      </c>
      <c r="J2815">
        <v>637.89599999999996</v>
      </c>
    </row>
    <row r="2816" spans="2:10">
      <c r="B2816" s="13" t="s">
        <v>3114</v>
      </c>
      <c r="C2816" s="13">
        <v>43.44</v>
      </c>
      <c r="H2816" t="s">
        <v>3136</v>
      </c>
      <c r="I2816" t="s">
        <v>5</v>
      </c>
      <c r="J2816">
        <v>43.44</v>
      </c>
    </row>
    <row r="2817" spans="2:10">
      <c r="B2817" s="13" t="s">
        <v>3125</v>
      </c>
      <c r="C2817" s="13">
        <v>2.2200000000000002</v>
      </c>
      <c r="H2817" t="s">
        <v>3136</v>
      </c>
      <c r="I2817" t="s">
        <v>5</v>
      </c>
      <c r="J2817">
        <v>2.2200000000000002</v>
      </c>
    </row>
    <row r="2818" spans="2:10">
      <c r="B2818" s="13" t="s">
        <v>3115</v>
      </c>
      <c r="C2818" s="13">
        <v>106.869</v>
      </c>
      <c r="H2818" t="s">
        <v>3137</v>
      </c>
      <c r="I2818" t="s">
        <v>3</v>
      </c>
      <c r="J2818">
        <v>106.869</v>
      </c>
    </row>
    <row r="2819" spans="2:10">
      <c r="B2819" s="13" t="s">
        <v>3118</v>
      </c>
      <c r="C2819" s="13">
        <v>3.5639999999999992</v>
      </c>
      <c r="H2819" t="s">
        <v>3137</v>
      </c>
      <c r="I2819" t="s">
        <v>5</v>
      </c>
      <c r="J2819">
        <v>3.5639999999999992</v>
      </c>
    </row>
    <row r="2820" spans="2:10">
      <c r="B2820" s="13" t="s">
        <v>3128</v>
      </c>
      <c r="C2820" s="13">
        <v>387.13600000000002</v>
      </c>
      <c r="H2820" t="s">
        <v>3135</v>
      </c>
      <c r="I2820" t="s">
        <v>3</v>
      </c>
      <c r="J2820">
        <v>387.13600000000002</v>
      </c>
    </row>
    <row r="2821" spans="2:10">
      <c r="B2821" s="13" t="s">
        <v>3120</v>
      </c>
      <c r="C2821" s="13">
        <v>45.408000000000001</v>
      </c>
      <c r="H2821" t="s">
        <v>3135</v>
      </c>
      <c r="I2821" t="s">
        <v>4</v>
      </c>
      <c r="J2821">
        <v>45.408000000000001</v>
      </c>
    </row>
    <row r="2822" spans="2:10">
      <c r="B2822" s="13" t="s">
        <v>3119</v>
      </c>
      <c r="C2822" s="13">
        <v>77.951999999999998</v>
      </c>
      <c r="H2822" t="s">
        <v>3135</v>
      </c>
      <c r="I2822" t="s">
        <v>3</v>
      </c>
      <c r="J2822">
        <v>77.951999999999998</v>
      </c>
    </row>
    <row r="2823" spans="2:10">
      <c r="B2823" s="13" t="s">
        <v>3121</v>
      </c>
      <c r="C2823" s="13">
        <v>3</v>
      </c>
      <c r="H2823" t="s">
        <v>3135</v>
      </c>
      <c r="I2823" t="s">
        <v>5</v>
      </c>
      <c r="J2823">
        <v>3</v>
      </c>
    </row>
    <row r="2824" spans="2:10">
      <c r="B2824" s="13" t="s">
        <v>3118</v>
      </c>
      <c r="C2824" s="13">
        <v>37.896000000000001</v>
      </c>
      <c r="H2824" t="s">
        <v>3136</v>
      </c>
      <c r="I2824" t="s">
        <v>5</v>
      </c>
      <c r="J2824">
        <v>37.896000000000001</v>
      </c>
    </row>
    <row r="2825" spans="2:10">
      <c r="B2825" s="13" t="s">
        <v>3114</v>
      </c>
      <c r="C2825" s="13">
        <v>65.584000000000003</v>
      </c>
      <c r="H2825" t="s">
        <v>3136</v>
      </c>
      <c r="I2825" t="s">
        <v>5</v>
      </c>
      <c r="J2825">
        <v>65.584000000000003</v>
      </c>
    </row>
    <row r="2826" spans="2:10">
      <c r="B2826" s="13" t="s">
        <v>3114</v>
      </c>
      <c r="C2826" s="13">
        <v>44.783999999999999</v>
      </c>
      <c r="H2826" t="s">
        <v>3138</v>
      </c>
      <c r="I2826" t="s">
        <v>5</v>
      </c>
      <c r="J2826">
        <v>44.783999999999999</v>
      </c>
    </row>
    <row r="2827" spans="2:10">
      <c r="B2827" s="13" t="s">
        <v>3122</v>
      </c>
      <c r="C2827" s="13">
        <v>5.76</v>
      </c>
      <c r="H2827" t="s">
        <v>3138</v>
      </c>
      <c r="I2827" t="s">
        <v>5</v>
      </c>
      <c r="J2827">
        <v>5.76</v>
      </c>
    </row>
    <row r="2828" spans="2:10">
      <c r="B2828" s="13" t="s">
        <v>3121</v>
      </c>
      <c r="C2828" s="13">
        <v>20.7</v>
      </c>
      <c r="H2828" t="s">
        <v>3136</v>
      </c>
      <c r="I2828" t="s">
        <v>5</v>
      </c>
      <c r="J2828">
        <v>20.7</v>
      </c>
    </row>
    <row r="2829" spans="2:10">
      <c r="B2829" s="13" t="s">
        <v>3119</v>
      </c>
      <c r="C2829" s="13">
        <v>199.8</v>
      </c>
      <c r="H2829" t="s">
        <v>3138</v>
      </c>
      <c r="I2829" t="s">
        <v>3</v>
      </c>
      <c r="J2829">
        <v>199.8</v>
      </c>
    </row>
    <row r="2830" spans="2:10">
      <c r="B2830" s="13" t="s">
        <v>3114</v>
      </c>
      <c r="C2830" s="13">
        <v>45.68</v>
      </c>
      <c r="H2830" t="s">
        <v>3138</v>
      </c>
      <c r="I2830" t="s">
        <v>5</v>
      </c>
      <c r="J2830">
        <v>45.68</v>
      </c>
    </row>
    <row r="2831" spans="2:10">
      <c r="B2831" s="13" t="s">
        <v>3114</v>
      </c>
      <c r="C2831" s="13">
        <v>110.96</v>
      </c>
      <c r="H2831" t="s">
        <v>3138</v>
      </c>
      <c r="I2831" t="s">
        <v>5</v>
      </c>
      <c r="J2831">
        <v>110.96</v>
      </c>
    </row>
    <row r="2832" spans="2:10">
      <c r="B2832" s="13" t="s">
        <v>3114</v>
      </c>
      <c r="C2832" s="13">
        <v>11.94</v>
      </c>
      <c r="H2832" t="s">
        <v>3138</v>
      </c>
      <c r="I2832" t="s">
        <v>5</v>
      </c>
      <c r="J2832">
        <v>11.94</v>
      </c>
    </row>
    <row r="2833" spans="2:10">
      <c r="B2833" s="13" t="s">
        <v>3123</v>
      </c>
      <c r="C2833" s="13">
        <v>5.9399999999999995</v>
      </c>
      <c r="H2833" t="s">
        <v>3138</v>
      </c>
      <c r="I2833" t="s">
        <v>5</v>
      </c>
      <c r="J2833">
        <v>5.9399999999999995</v>
      </c>
    </row>
    <row r="2834" spans="2:10">
      <c r="B2834" s="13" t="s">
        <v>3114</v>
      </c>
      <c r="C2834" s="13">
        <v>20.736000000000004</v>
      </c>
      <c r="H2834" t="s">
        <v>3135</v>
      </c>
      <c r="I2834" t="s">
        <v>5</v>
      </c>
      <c r="J2834">
        <v>20.736000000000004</v>
      </c>
    </row>
    <row r="2835" spans="2:10">
      <c r="B2835" s="13" t="s">
        <v>3119</v>
      </c>
      <c r="C2835" s="13">
        <v>30.336000000000006</v>
      </c>
      <c r="H2835" t="s">
        <v>3137</v>
      </c>
      <c r="I2835" t="s">
        <v>3</v>
      </c>
      <c r="J2835">
        <v>30.336000000000006</v>
      </c>
    </row>
    <row r="2836" spans="2:10">
      <c r="B2836" s="13" t="s">
        <v>3119</v>
      </c>
      <c r="C2836" s="13">
        <v>12.99</v>
      </c>
      <c r="H2836" t="s">
        <v>3136</v>
      </c>
      <c r="I2836" t="s">
        <v>3</v>
      </c>
      <c r="J2836">
        <v>12.99</v>
      </c>
    </row>
    <row r="2837" spans="2:10">
      <c r="B2837" s="13" t="s">
        <v>3115</v>
      </c>
      <c r="C2837" s="13">
        <v>182.22</v>
      </c>
      <c r="H2837" t="s">
        <v>3136</v>
      </c>
      <c r="I2837" t="s">
        <v>3</v>
      </c>
      <c r="J2837">
        <v>182.22</v>
      </c>
    </row>
    <row r="2838" spans="2:10">
      <c r="B2838" s="13" t="s">
        <v>3115</v>
      </c>
      <c r="C2838" s="13">
        <v>302.94</v>
      </c>
      <c r="H2838" t="s">
        <v>3136</v>
      </c>
      <c r="I2838" t="s">
        <v>3</v>
      </c>
      <c r="J2838">
        <v>302.94</v>
      </c>
    </row>
    <row r="2839" spans="2:10">
      <c r="B2839" s="13" t="s">
        <v>3114</v>
      </c>
      <c r="C2839" s="13">
        <v>55.86</v>
      </c>
      <c r="H2839" t="s">
        <v>3138</v>
      </c>
      <c r="I2839" t="s">
        <v>5</v>
      </c>
      <c r="J2839">
        <v>55.86</v>
      </c>
    </row>
    <row r="2840" spans="2:10">
      <c r="B2840" s="13" t="s">
        <v>3116</v>
      </c>
      <c r="C2840" s="13">
        <v>44.375999999999998</v>
      </c>
      <c r="H2840" t="s">
        <v>3136</v>
      </c>
      <c r="I2840" t="s">
        <v>4</v>
      </c>
      <c r="J2840">
        <v>44.375999999999998</v>
      </c>
    </row>
    <row r="2841" spans="2:10">
      <c r="B2841" s="13" t="s">
        <v>3119</v>
      </c>
      <c r="C2841" s="13">
        <v>51.264000000000003</v>
      </c>
      <c r="H2841" t="s">
        <v>3136</v>
      </c>
      <c r="I2841" t="s">
        <v>3</v>
      </c>
      <c r="J2841">
        <v>51.264000000000003</v>
      </c>
    </row>
    <row r="2842" spans="2:10">
      <c r="B2842" s="13" t="s">
        <v>3118</v>
      </c>
      <c r="C2842" s="13">
        <v>5.1930000000000005</v>
      </c>
      <c r="H2842" t="s">
        <v>3136</v>
      </c>
      <c r="I2842" t="s">
        <v>5</v>
      </c>
      <c r="J2842">
        <v>5.1930000000000005</v>
      </c>
    </row>
    <row r="2843" spans="2:10">
      <c r="B2843" s="13" t="s">
        <v>3120</v>
      </c>
      <c r="C2843" s="13">
        <v>159.98400000000001</v>
      </c>
      <c r="H2843" t="s">
        <v>3136</v>
      </c>
      <c r="I2843" t="s">
        <v>4</v>
      </c>
      <c r="J2843">
        <v>159.98400000000001</v>
      </c>
    </row>
    <row r="2844" spans="2:10">
      <c r="B2844" s="13" t="s">
        <v>3117</v>
      </c>
      <c r="C2844" s="13">
        <v>54.224000000000004</v>
      </c>
      <c r="H2844" t="s">
        <v>3136</v>
      </c>
      <c r="I2844" t="s">
        <v>5</v>
      </c>
      <c r="J2844">
        <v>54.224000000000004</v>
      </c>
    </row>
    <row r="2845" spans="2:10">
      <c r="B2845" s="13" t="s">
        <v>3115</v>
      </c>
      <c r="C2845" s="13">
        <v>241.42399999999998</v>
      </c>
      <c r="H2845" t="s">
        <v>3138</v>
      </c>
      <c r="I2845" t="s">
        <v>3</v>
      </c>
      <c r="J2845">
        <v>241.42399999999998</v>
      </c>
    </row>
    <row r="2846" spans="2:10">
      <c r="B2846" s="13" t="s">
        <v>3127</v>
      </c>
      <c r="C2846" s="13">
        <v>479.98400000000004</v>
      </c>
      <c r="H2846" t="s">
        <v>3138</v>
      </c>
      <c r="I2846" t="s">
        <v>4</v>
      </c>
      <c r="J2846">
        <v>479.98400000000004</v>
      </c>
    </row>
    <row r="2847" spans="2:10">
      <c r="B2847" s="13" t="s">
        <v>3118</v>
      </c>
      <c r="C2847" s="13">
        <v>30.84</v>
      </c>
      <c r="H2847" t="s">
        <v>3138</v>
      </c>
      <c r="I2847" t="s">
        <v>5</v>
      </c>
      <c r="J2847">
        <v>30.84</v>
      </c>
    </row>
    <row r="2848" spans="2:10">
      <c r="B2848" s="13" t="s">
        <v>3120</v>
      </c>
      <c r="C2848" s="13">
        <v>239.92</v>
      </c>
      <c r="H2848" t="s">
        <v>3135</v>
      </c>
      <c r="I2848" t="s">
        <v>4</v>
      </c>
      <c r="J2848">
        <v>239.92</v>
      </c>
    </row>
    <row r="2849" spans="2:10">
      <c r="B2849" s="13" t="s">
        <v>3118</v>
      </c>
      <c r="C2849" s="13">
        <v>4.8420000000000005</v>
      </c>
      <c r="H2849" t="s">
        <v>3135</v>
      </c>
      <c r="I2849" t="s">
        <v>5</v>
      </c>
      <c r="J2849">
        <v>4.8420000000000005</v>
      </c>
    </row>
    <row r="2850" spans="2:10">
      <c r="B2850" s="13" t="s">
        <v>3119</v>
      </c>
      <c r="C2850" s="13">
        <v>220.70400000000001</v>
      </c>
      <c r="H2850" t="s">
        <v>3135</v>
      </c>
      <c r="I2850" t="s">
        <v>3</v>
      </c>
      <c r="J2850">
        <v>220.70400000000001</v>
      </c>
    </row>
    <row r="2851" spans="2:10">
      <c r="B2851" s="13" t="s">
        <v>3125</v>
      </c>
      <c r="C2851" s="13">
        <v>14.336000000000002</v>
      </c>
      <c r="H2851" t="s">
        <v>3135</v>
      </c>
      <c r="I2851" t="s">
        <v>5</v>
      </c>
      <c r="J2851">
        <v>14.336000000000002</v>
      </c>
    </row>
    <row r="2852" spans="2:10">
      <c r="B2852" s="13" t="s">
        <v>3119</v>
      </c>
      <c r="C2852" s="13">
        <v>102.3</v>
      </c>
      <c r="H2852" t="s">
        <v>3136</v>
      </c>
      <c r="I2852" t="s">
        <v>3</v>
      </c>
      <c r="J2852">
        <v>102.3</v>
      </c>
    </row>
    <row r="2853" spans="2:10">
      <c r="B2853" s="13" t="s">
        <v>3126</v>
      </c>
      <c r="C2853" s="13">
        <v>607.52</v>
      </c>
      <c r="H2853" t="s">
        <v>3137</v>
      </c>
      <c r="I2853" t="s">
        <v>3</v>
      </c>
      <c r="J2853">
        <v>607.52</v>
      </c>
    </row>
    <row r="2854" spans="2:10">
      <c r="B2854" s="13" t="s">
        <v>3117</v>
      </c>
      <c r="C2854" s="13">
        <v>31.16</v>
      </c>
      <c r="H2854" t="s">
        <v>3137</v>
      </c>
      <c r="I2854" t="s">
        <v>5</v>
      </c>
      <c r="J2854">
        <v>31.16</v>
      </c>
    </row>
    <row r="2855" spans="2:10">
      <c r="B2855" s="13" t="s">
        <v>3118</v>
      </c>
      <c r="C2855" s="13">
        <v>11.088000000000003</v>
      </c>
      <c r="H2855" t="s">
        <v>3136</v>
      </c>
      <c r="I2855" t="s">
        <v>5</v>
      </c>
      <c r="J2855">
        <v>11.088000000000003</v>
      </c>
    </row>
    <row r="2856" spans="2:10">
      <c r="B2856" s="13" t="s">
        <v>3120</v>
      </c>
      <c r="C2856" s="13">
        <v>1287.45</v>
      </c>
      <c r="H2856" t="s">
        <v>3138</v>
      </c>
      <c r="I2856" t="s">
        <v>4</v>
      </c>
      <c r="J2856">
        <v>1287.45</v>
      </c>
    </row>
    <row r="2857" spans="2:10">
      <c r="B2857" s="13" t="s">
        <v>3125</v>
      </c>
      <c r="C2857" s="13">
        <v>168.1</v>
      </c>
      <c r="H2857" t="s">
        <v>3138</v>
      </c>
      <c r="I2857" t="s">
        <v>5</v>
      </c>
      <c r="J2857">
        <v>168.1</v>
      </c>
    </row>
    <row r="2858" spans="2:10">
      <c r="B2858" s="13" t="s">
        <v>3122</v>
      </c>
      <c r="C2858" s="13">
        <v>4.7679999999999998</v>
      </c>
      <c r="H2858" t="s">
        <v>3136</v>
      </c>
      <c r="I2858" t="s">
        <v>5</v>
      </c>
      <c r="J2858">
        <v>4.7679999999999998</v>
      </c>
    </row>
    <row r="2859" spans="2:10">
      <c r="B2859" s="13" t="s">
        <v>3124</v>
      </c>
      <c r="C2859" s="13">
        <v>7.98</v>
      </c>
      <c r="H2859" t="s">
        <v>3136</v>
      </c>
      <c r="I2859" t="s">
        <v>5</v>
      </c>
      <c r="J2859">
        <v>7.98</v>
      </c>
    </row>
    <row r="2860" spans="2:10">
      <c r="B2860" s="13" t="s">
        <v>3124</v>
      </c>
      <c r="C2860" s="13">
        <v>18.687999999999999</v>
      </c>
      <c r="H2860" t="s">
        <v>3138</v>
      </c>
      <c r="I2860" t="s">
        <v>5</v>
      </c>
      <c r="J2860">
        <v>18.687999999999999</v>
      </c>
    </row>
    <row r="2861" spans="2:10">
      <c r="B2861" s="13" t="s">
        <v>3119</v>
      </c>
      <c r="C2861" s="13">
        <v>11.664000000000001</v>
      </c>
      <c r="H2861" t="s">
        <v>3138</v>
      </c>
      <c r="I2861" t="s">
        <v>3</v>
      </c>
      <c r="J2861">
        <v>11.664000000000001</v>
      </c>
    </row>
    <row r="2862" spans="2:10">
      <c r="B2862" s="13" t="s">
        <v>3120</v>
      </c>
      <c r="C2862" s="13">
        <v>191.976</v>
      </c>
      <c r="H2862" t="s">
        <v>3135</v>
      </c>
      <c r="I2862" t="s">
        <v>4</v>
      </c>
      <c r="J2862">
        <v>191.976</v>
      </c>
    </row>
    <row r="2863" spans="2:10">
      <c r="B2863" s="13" t="s">
        <v>3116</v>
      </c>
      <c r="C2863" s="13">
        <v>499.16800000000006</v>
      </c>
      <c r="H2863" t="s">
        <v>3135</v>
      </c>
      <c r="I2863" t="s">
        <v>4</v>
      </c>
      <c r="J2863">
        <v>499.16800000000006</v>
      </c>
    </row>
    <row r="2864" spans="2:10">
      <c r="B2864" s="13" t="s">
        <v>3120</v>
      </c>
      <c r="C2864" s="13">
        <v>23.18</v>
      </c>
      <c r="H2864" t="s">
        <v>3136</v>
      </c>
      <c r="I2864" t="s">
        <v>4</v>
      </c>
      <c r="J2864">
        <v>23.18</v>
      </c>
    </row>
    <row r="2865" spans="2:10">
      <c r="B2865" s="13" t="s">
        <v>3120</v>
      </c>
      <c r="C2865" s="13">
        <v>82.95</v>
      </c>
      <c r="H2865" t="s">
        <v>3138</v>
      </c>
      <c r="I2865" t="s">
        <v>4</v>
      </c>
      <c r="J2865">
        <v>82.95</v>
      </c>
    </row>
    <row r="2866" spans="2:10">
      <c r="B2866" s="13" t="s">
        <v>3126</v>
      </c>
      <c r="C2866" s="13">
        <v>399.67200000000003</v>
      </c>
      <c r="H2866" t="s">
        <v>3138</v>
      </c>
      <c r="I2866" t="s">
        <v>3</v>
      </c>
      <c r="J2866">
        <v>399.67200000000003</v>
      </c>
    </row>
    <row r="2867" spans="2:10">
      <c r="B2867" s="13" t="s">
        <v>3117</v>
      </c>
      <c r="C2867" s="13">
        <v>65.12</v>
      </c>
      <c r="H2867" t="s">
        <v>3136</v>
      </c>
      <c r="I2867" t="s">
        <v>5</v>
      </c>
      <c r="J2867">
        <v>65.12</v>
      </c>
    </row>
    <row r="2868" spans="2:10">
      <c r="B2868" s="13" t="s">
        <v>3119</v>
      </c>
      <c r="C2868" s="13">
        <v>30.560000000000002</v>
      </c>
      <c r="H2868" t="s">
        <v>3137</v>
      </c>
      <c r="I2868" t="s">
        <v>3</v>
      </c>
      <c r="J2868">
        <v>30.560000000000002</v>
      </c>
    </row>
    <row r="2869" spans="2:10">
      <c r="B2869" s="13" t="s">
        <v>3125</v>
      </c>
      <c r="C2869" s="13">
        <v>20.768000000000001</v>
      </c>
      <c r="H2869" t="s">
        <v>3135</v>
      </c>
      <c r="I2869" t="s">
        <v>5</v>
      </c>
      <c r="J2869">
        <v>20.768000000000001</v>
      </c>
    </row>
    <row r="2870" spans="2:10">
      <c r="B2870" s="13" t="s">
        <v>3128</v>
      </c>
      <c r="C2870" s="13">
        <v>130.97999999999999</v>
      </c>
      <c r="H2870" t="s">
        <v>3136</v>
      </c>
      <c r="I2870" t="s">
        <v>3</v>
      </c>
      <c r="J2870">
        <v>130.97999999999999</v>
      </c>
    </row>
    <row r="2871" spans="2:10">
      <c r="B2871" s="13" t="s">
        <v>3119</v>
      </c>
      <c r="C2871" s="13">
        <v>139.58000000000001</v>
      </c>
      <c r="H2871" t="s">
        <v>3138</v>
      </c>
      <c r="I2871" t="s">
        <v>3</v>
      </c>
      <c r="J2871">
        <v>139.58000000000001</v>
      </c>
    </row>
    <row r="2872" spans="2:10">
      <c r="B2872" s="13" t="s">
        <v>3120</v>
      </c>
      <c r="C2872" s="13">
        <v>399.95</v>
      </c>
      <c r="H2872" t="s">
        <v>3137</v>
      </c>
      <c r="I2872" t="s">
        <v>4</v>
      </c>
      <c r="J2872">
        <v>399.95</v>
      </c>
    </row>
    <row r="2873" spans="2:10">
      <c r="B2873" s="13" t="s">
        <v>3118</v>
      </c>
      <c r="C2873" s="13">
        <v>760.97999999999979</v>
      </c>
      <c r="H2873" t="s">
        <v>3137</v>
      </c>
      <c r="I2873" t="s">
        <v>5</v>
      </c>
      <c r="J2873">
        <v>760.97999999999979</v>
      </c>
    </row>
    <row r="2874" spans="2:10">
      <c r="B2874" s="13" t="s">
        <v>3118</v>
      </c>
      <c r="C2874" s="13">
        <v>67.860000000000014</v>
      </c>
      <c r="H2874" t="s">
        <v>3138</v>
      </c>
      <c r="I2874" t="s">
        <v>5</v>
      </c>
      <c r="J2874">
        <v>67.860000000000014</v>
      </c>
    </row>
    <row r="2875" spans="2:10">
      <c r="B2875" s="13" t="s">
        <v>3128</v>
      </c>
      <c r="C2875" s="13">
        <v>723.92</v>
      </c>
      <c r="H2875" t="s">
        <v>3135</v>
      </c>
      <c r="I2875" t="s">
        <v>3</v>
      </c>
      <c r="J2875">
        <v>723.92</v>
      </c>
    </row>
    <row r="2876" spans="2:10">
      <c r="B2876" s="13" t="s">
        <v>3119</v>
      </c>
      <c r="C2876" s="13">
        <v>94.2</v>
      </c>
      <c r="H2876" t="s">
        <v>3138</v>
      </c>
      <c r="I2876" t="s">
        <v>3</v>
      </c>
      <c r="J2876">
        <v>94.2</v>
      </c>
    </row>
    <row r="2877" spans="2:10">
      <c r="B2877" s="13" t="s">
        <v>3123</v>
      </c>
      <c r="C2877" s="13">
        <v>18.368000000000002</v>
      </c>
      <c r="H2877" t="s">
        <v>3137</v>
      </c>
      <c r="I2877" t="s">
        <v>5</v>
      </c>
      <c r="J2877">
        <v>18.368000000000002</v>
      </c>
    </row>
    <row r="2878" spans="2:10">
      <c r="B2878" s="13" t="s">
        <v>3115</v>
      </c>
      <c r="C2878" s="13">
        <v>600.55799999999999</v>
      </c>
      <c r="H2878" t="s">
        <v>3137</v>
      </c>
      <c r="I2878" t="s">
        <v>3</v>
      </c>
      <c r="J2878">
        <v>600.55799999999999</v>
      </c>
    </row>
    <row r="2879" spans="2:10">
      <c r="B2879" s="13" t="s">
        <v>3117</v>
      </c>
      <c r="C2879" s="13">
        <v>50.352000000000004</v>
      </c>
      <c r="H2879" t="s">
        <v>3137</v>
      </c>
      <c r="I2879" t="s">
        <v>5</v>
      </c>
      <c r="J2879">
        <v>50.352000000000004</v>
      </c>
    </row>
    <row r="2880" spans="2:10">
      <c r="B2880" s="13" t="s">
        <v>3122</v>
      </c>
      <c r="C2880" s="13">
        <v>28.031999999999996</v>
      </c>
      <c r="H2880" t="s">
        <v>3137</v>
      </c>
      <c r="I2880" t="s">
        <v>5</v>
      </c>
      <c r="J2880">
        <v>28.031999999999996</v>
      </c>
    </row>
    <row r="2881" spans="2:10">
      <c r="B2881" s="13" t="s">
        <v>3119</v>
      </c>
      <c r="C2881" s="13">
        <v>7.6920000000000002</v>
      </c>
      <c r="H2881" t="s">
        <v>3137</v>
      </c>
      <c r="I2881" t="s">
        <v>3</v>
      </c>
      <c r="J2881">
        <v>7.6920000000000002</v>
      </c>
    </row>
    <row r="2882" spans="2:10">
      <c r="B2882" s="13" t="s">
        <v>3126</v>
      </c>
      <c r="C2882" s="13">
        <v>517.40500000000009</v>
      </c>
      <c r="H2882" t="s">
        <v>3137</v>
      </c>
      <c r="I2882" t="s">
        <v>3</v>
      </c>
      <c r="J2882">
        <v>517.40500000000009</v>
      </c>
    </row>
    <row r="2883" spans="2:10">
      <c r="B2883" s="13" t="s">
        <v>3122</v>
      </c>
      <c r="C2883" s="13">
        <v>5.16</v>
      </c>
      <c r="H2883" t="s">
        <v>3138</v>
      </c>
      <c r="I2883" t="s">
        <v>5</v>
      </c>
      <c r="J2883">
        <v>5.16</v>
      </c>
    </row>
    <row r="2884" spans="2:10">
      <c r="B2884" s="13" t="s">
        <v>3117</v>
      </c>
      <c r="C2884" s="13">
        <v>96.359999999999985</v>
      </c>
      <c r="H2884" t="s">
        <v>3136</v>
      </c>
      <c r="I2884" t="s">
        <v>5</v>
      </c>
      <c r="J2884">
        <v>96.359999999999985</v>
      </c>
    </row>
    <row r="2885" spans="2:10">
      <c r="B2885" s="13" t="s">
        <v>3126</v>
      </c>
      <c r="C2885" s="13">
        <v>300.904</v>
      </c>
      <c r="H2885" t="s">
        <v>3138</v>
      </c>
      <c r="I2885" t="s">
        <v>3</v>
      </c>
      <c r="J2885">
        <v>300.904</v>
      </c>
    </row>
    <row r="2886" spans="2:10">
      <c r="B2886" s="13" t="s">
        <v>3116</v>
      </c>
      <c r="C2886" s="13">
        <v>239.976</v>
      </c>
      <c r="H2886" t="s">
        <v>3135</v>
      </c>
      <c r="I2886" t="s">
        <v>4</v>
      </c>
      <c r="J2886">
        <v>239.976</v>
      </c>
    </row>
    <row r="2887" spans="2:10">
      <c r="B2887" s="13" t="s">
        <v>3119</v>
      </c>
      <c r="C2887" s="13">
        <v>31.168000000000003</v>
      </c>
      <c r="H2887" t="s">
        <v>3135</v>
      </c>
      <c r="I2887" t="s">
        <v>3</v>
      </c>
      <c r="J2887">
        <v>31.168000000000003</v>
      </c>
    </row>
    <row r="2888" spans="2:10">
      <c r="B2888" s="13" t="s">
        <v>3126</v>
      </c>
      <c r="C2888" s="13">
        <v>120.96</v>
      </c>
      <c r="H2888" t="s">
        <v>3135</v>
      </c>
      <c r="I2888" t="s">
        <v>3</v>
      </c>
      <c r="J2888">
        <v>120.96</v>
      </c>
    </row>
    <row r="2889" spans="2:10">
      <c r="B2889" s="13" t="s">
        <v>3116</v>
      </c>
      <c r="C2889" s="13">
        <v>2239.9360000000001</v>
      </c>
      <c r="H2889" t="s">
        <v>3135</v>
      </c>
      <c r="I2889" t="s">
        <v>4</v>
      </c>
      <c r="J2889">
        <v>2239.9360000000001</v>
      </c>
    </row>
    <row r="2890" spans="2:10">
      <c r="B2890" s="13" t="s">
        <v>3125</v>
      </c>
      <c r="C2890" s="13">
        <v>76.608000000000004</v>
      </c>
      <c r="H2890" t="s">
        <v>3135</v>
      </c>
      <c r="I2890" t="s">
        <v>5</v>
      </c>
      <c r="J2890">
        <v>76.608000000000004</v>
      </c>
    </row>
    <row r="2891" spans="2:10">
      <c r="B2891" s="13" t="s">
        <v>3117</v>
      </c>
      <c r="C2891" s="13">
        <v>142.77600000000001</v>
      </c>
      <c r="H2891" t="s">
        <v>3135</v>
      </c>
      <c r="I2891" t="s">
        <v>5</v>
      </c>
      <c r="J2891">
        <v>142.77600000000001</v>
      </c>
    </row>
    <row r="2892" spans="2:10">
      <c r="B2892" s="13" t="s">
        <v>3114</v>
      </c>
      <c r="C2892" s="13">
        <v>91.360000000000014</v>
      </c>
      <c r="H2892" t="s">
        <v>3135</v>
      </c>
      <c r="I2892" t="s">
        <v>5</v>
      </c>
      <c r="J2892">
        <v>91.360000000000014</v>
      </c>
    </row>
    <row r="2893" spans="2:10">
      <c r="B2893" s="13" t="s">
        <v>3116</v>
      </c>
      <c r="C2893" s="13">
        <v>71.951999999999998</v>
      </c>
      <c r="H2893" t="s">
        <v>3138</v>
      </c>
      <c r="I2893" t="s">
        <v>4</v>
      </c>
      <c r="J2893">
        <v>71.951999999999998</v>
      </c>
    </row>
    <row r="2894" spans="2:10">
      <c r="B2894" s="13" t="s">
        <v>3118</v>
      </c>
      <c r="C2894" s="13">
        <v>29.800000000000004</v>
      </c>
      <c r="H2894" t="s">
        <v>3138</v>
      </c>
      <c r="I2894" t="s">
        <v>5</v>
      </c>
      <c r="J2894">
        <v>29.800000000000004</v>
      </c>
    </row>
    <row r="2895" spans="2:10">
      <c r="B2895" s="13" t="s">
        <v>3118</v>
      </c>
      <c r="C2895" s="13">
        <v>1.8240000000000003</v>
      </c>
      <c r="H2895" t="s">
        <v>3136</v>
      </c>
      <c r="I2895" t="s">
        <v>5</v>
      </c>
      <c r="J2895">
        <v>1.8240000000000003</v>
      </c>
    </row>
    <row r="2896" spans="2:10">
      <c r="B2896" s="13" t="s">
        <v>3122</v>
      </c>
      <c r="C2896" s="13">
        <v>46.2</v>
      </c>
      <c r="H2896" t="s">
        <v>3138</v>
      </c>
      <c r="I2896" t="s">
        <v>5</v>
      </c>
      <c r="J2896">
        <v>46.2</v>
      </c>
    </row>
    <row r="2897" spans="2:10">
      <c r="B2897" s="13" t="s">
        <v>3114</v>
      </c>
      <c r="C2897" s="13">
        <v>19.440000000000001</v>
      </c>
      <c r="H2897" t="s">
        <v>3138</v>
      </c>
      <c r="I2897" t="s">
        <v>5</v>
      </c>
      <c r="J2897">
        <v>19.440000000000001</v>
      </c>
    </row>
    <row r="2898" spans="2:10">
      <c r="B2898" s="13" t="s">
        <v>3119</v>
      </c>
      <c r="C2898" s="13">
        <v>126.30000000000001</v>
      </c>
      <c r="H2898" t="s">
        <v>3138</v>
      </c>
      <c r="I2898" t="s">
        <v>3</v>
      </c>
      <c r="J2898">
        <v>126.30000000000001</v>
      </c>
    </row>
    <row r="2899" spans="2:10">
      <c r="B2899" s="13" t="s">
        <v>3120</v>
      </c>
      <c r="C2899" s="13">
        <v>1287.45</v>
      </c>
      <c r="H2899" t="s">
        <v>3138</v>
      </c>
      <c r="I2899" t="s">
        <v>4</v>
      </c>
      <c r="J2899">
        <v>1287.45</v>
      </c>
    </row>
    <row r="2900" spans="2:10">
      <c r="B2900" s="13" t="s">
        <v>3118</v>
      </c>
      <c r="C2900" s="13">
        <v>8.1000000000000014</v>
      </c>
      <c r="H2900" t="s">
        <v>3135</v>
      </c>
      <c r="I2900" t="s">
        <v>5</v>
      </c>
      <c r="J2900">
        <v>8.1000000000000014</v>
      </c>
    </row>
    <row r="2901" spans="2:10">
      <c r="B2901" s="13" t="s">
        <v>3122</v>
      </c>
      <c r="C2901" s="13">
        <v>13.247999999999999</v>
      </c>
      <c r="H2901" t="s">
        <v>3136</v>
      </c>
      <c r="I2901" t="s">
        <v>5</v>
      </c>
      <c r="J2901">
        <v>13.247999999999999</v>
      </c>
    </row>
    <row r="2902" spans="2:10">
      <c r="B2902" s="13" t="s">
        <v>3116</v>
      </c>
      <c r="C2902" s="13">
        <v>83.987999999999985</v>
      </c>
      <c r="H2902" t="s">
        <v>3136</v>
      </c>
      <c r="I2902" t="s">
        <v>4</v>
      </c>
      <c r="J2902">
        <v>83.987999999999985</v>
      </c>
    </row>
    <row r="2903" spans="2:10">
      <c r="B2903" s="13" t="s">
        <v>3119</v>
      </c>
      <c r="C2903" s="13">
        <v>210.58</v>
      </c>
      <c r="H2903" t="s">
        <v>3138</v>
      </c>
      <c r="I2903" t="s">
        <v>3</v>
      </c>
      <c r="J2903">
        <v>210.58</v>
      </c>
    </row>
    <row r="2904" spans="2:10">
      <c r="B2904" s="13" t="s">
        <v>3118</v>
      </c>
      <c r="C2904" s="13">
        <v>30.960000000000004</v>
      </c>
      <c r="H2904" t="s">
        <v>3138</v>
      </c>
      <c r="I2904" t="s">
        <v>5</v>
      </c>
      <c r="J2904">
        <v>30.960000000000004</v>
      </c>
    </row>
    <row r="2905" spans="2:10">
      <c r="B2905" s="13" t="s">
        <v>3130</v>
      </c>
      <c r="C2905" s="13">
        <v>239.98400000000004</v>
      </c>
      <c r="H2905" t="s">
        <v>3138</v>
      </c>
      <c r="I2905" t="s">
        <v>4</v>
      </c>
      <c r="J2905">
        <v>239.98400000000004</v>
      </c>
    </row>
    <row r="2906" spans="2:10">
      <c r="B2906" s="13" t="s">
        <v>3121</v>
      </c>
      <c r="C2906" s="13">
        <v>17.712</v>
      </c>
      <c r="H2906" t="s">
        <v>3136</v>
      </c>
      <c r="I2906" t="s">
        <v>5</v>
      </c>
      <c r="J2906">
        <v>17.712</v>
      </c>
    </row>
    <row r="2907" spans="2:10">
      <c r="B2907" s="13" t="s">
        <v>3118</v>
      </c>
      <c r="C2907" s="13">
        <v>4.8600000000000012</v>
      </c>
      <c r="H2907" t="s">
        <v>3136</v>
      </c>
      <c r="I2907" t="s">
        <v>5</v>
      </c>
      <c r="J2907">
        <v>4.8600000000000012</v>
      </c>
    </row>
    <row r="2908" spans="2:10">
      <c r="B2908" s="13" t="s">
        <v>3118</v>
      </c>
      <c r="C2908" s="13">
        <v>6.2580000000000009</v>
      </c>
      <c r="H2908" t="s">
        <v>3136</v>
      </c>
      <c r="I2908" t="s">
        <v>5</v>
      </c>
      <c r="J2908">
        <v>6.2580000000000009</v>
      </c>
    </row>
    <row r="2909" spans="2:10">
      <c r="B2909" s="13" t="s">
        <v>3125</v>
      </c>
      <c r="C2909" s="13">
        <v>942.78400000000011</v>
      </c>
      <c r="H2909" t="s">
        <v>3135</v>
      </c>
      <c r="I2909" t="s">
        <v>5</v>
      </c>
      <c r="J2909">
        <v>942.78400000000011</v>
      </c>
    </row>
    <row r="2910" spans="2:10">
      <c r="B2910" s="13" t="s">
        <v>3114</v>
      </c>
      <c r="C2910" s="13">
        <v>74.352000000000004</v>
      </c>
      <c r="H2910" t="s">
        <v>3135</v>
      </c>
      <c r="I2910" t="s">
        <v>5</v>
      </c>
      <c r="J2910">
        <v>74.352000000000004</v>
      </c>
    </row>
    <row r="2911" spans="2:10">
      <c r="B2911" s="13" t="s">
        <v>3128</v>
      </c>
      <c r="C2911" s="13">
        <v>287.976</v>
      </c>
      <c r="H2911" t="s">
        <v>3136</v>
      </c>
      <c r="I2911" t="s">
        <v>3</v>
      </c>
      <c r="J2911">
        <v>287.976</v>
      </c>
    </row>
    <row r="2912" spans="2:10">
      <c r="B2912" s="13" t="s">
        <v>3121</v>
      </c>
      <c r="C2912" s="13">
        <v>4.6079999999999997</v>
      </c>
      <c r="H2912" t="s">
        <v>3135</v>
      </c>
      <c r="I2912" t="s">
        <v>5</v>
      </c>
      <c r="J2912">
        <v>4.6079999999999997</v>
      </c>
    </row>
    <row r="2913" spans="2:10">
      <c r="B2913" s="13" t="s">
        <v>3116</v>
      </c>
      <c r="C2913" s="13">
        <v>195.96000000000004</v>
      </c>
      <c r="H2913" t="s">
        <v>3138</v>
      </c>
      <c r="I2913" t="s">
        <v>4</v>
      </c>
      <c r="J2913">
        <v>195.96000000000004</v>
      </c>
    </row>
    <row r="2914" spans="2:10">
      <c r="B2914" s="13" t="s">
        <v>3114</v>
      </c>
      <c r="C2914" s="13">
        <v>15.552000000000003</v>
      </c>
      <c r="H2914" t="s">
        <v>3138</v>
      </c>
      <c r="I2914" t="s">
        <v>5</v>
      </c>
      <c r="J2914">
        <v>15.552000000000003</v>
      </c>
    </row>
    <row r="2915" spans="2:10">
      <c r="B2915" s="13" t="s">
        <v>3120</v>
      </c>
      <c r="C2915" s="13">
        <v>271.96800000000002</v>
      </c>
      <c r="H2915" t="s">
        <v>3138</v>
      </c>
      <c r="I2915" t="s">
        <v>4</v>
      </c>
      <c r="J2915">
        <v>271.96800000000002</v>
      </c>
    </row>
    <row r="2916" spans="2:10">
      <c r="B2916" s="13" t="s">
        <v>3115</v>
      </c>
      <c r="C2916" s="13">
        <v>698.35200000000009</v>
      </c>
      <c r="H2916" t="s">
        <v>3135</v>
      </c>
      <c r="I2916" t="s">
        <v>3</v>
      </c>
      <c r="J2916">
        <v>698.35200000000009</v>
      </c>
    </row>
    <row r="2917" spans="2:10">
      <c r="B2917" s="13" t="s">
        <v>3128</v>
      </c>
      <c r="C2917" s="13">
        <v>77.728000000000009</v>
      </c>
      <c r="H2917" t="s">
        <v>3135</v>
      </c>
      <c r="I2917" t="s">
        <v>3</v>
      </c>
      <c r="J2917">
        <v>77.728000000000009</v>
      </c>
    </row>
    <row r="2918" spans="2:10">
      <c r="B2918" s="13" t="s">
        <v>3116</v>
      </c>
      <c r="C2918" s="13">
        <v>537.54399999999998</v>
      </c>
      <c r="H2918" t="s">
        <v>3137</v>
      </c>
      <c r="I2918" t="s">
        <v>4</v>
      </c>
      <c r="J2918">
        <v>537.54399999999998</v>
      </c>
    </row>
    <row r="2919" spans="2:10">
      <c r="B2919" s="13" t="s">
        <v>3114</v>
      </c>
      <c r="C2919" s="13">
        <v>10.688000000000001</v>
      </c>
      <c r="H2919" t="s">
        <v>3137</v>
      </c>
      <c r="I2919" t="s">
        <v>5</v>
      </c>
      <c r="J2919">
        <v>10.688000000000001</v>
      </c>
    </row>
    <row r="2920" spans="2:10">
      <c r="B2920" s="13" t="s">
        <v>3118</v>
      </c>
      <c r="C2920" s="13">
        <v>102.72</v>
      </c>
      <c r="H2920" t="s">
        <v>3138</v>
      </c>
      <c r="I2920" t="s">
        <v>5</v>
      </c>
      <c r="J2920">
        <v>102.72</v>
      </c>
    </row>
    <row r="2921" spans="2:10">
      <c r="B2921" s="13" t="s">
        <v>3118</v>
      </c>
      <c r="C2921" s="13">
        <v>33.282000000000004</v>
      </c>
      <c r="H2921" t="s">
        <v>3136</v>
      </c>
      <c r="I2921" t="s">
        <v>5</v>
      </c>
      <c r="J2921">
        <v>33.282000000000004</v>
      </c>
    </row>
    <row r="2922" spans="2:10">
      <c r="B2922" s="13" t="s">
        <v>3116</v>
      </c>
      <c r="C2922" s="13">
        <v>118.64999999999998</v>
      </c>
      <c r="H2922" t="s">
        <v>3136</v>
      </c>
      <c r="I2922" t="s">
        <v>4</v>
      </c>
      <c r="J2922">
        <v>118.64999999999998</v>
      </c>
    </row>
    <row r="2923" spans="2:10">
      <c r="B2923" s="13" t="s">
        <v>3121</v>
      </c>
      <c r="C2923" s="13">
        <v>14.76</v>
      </c>
      <c r="H2923" t="s">
        <v>3136</v>
      </c>
      <c r="I2923" t="s">
        <v>5</v>
      </c>
      <c r="J2923">
        <v>14.76</v>
      </c>
    </row>
    <row r="2924" spans="2:10">
      <c r="B2924" s="13" t="s">
        <v>3114</v>
      </c>
      <c r="C2924" s="13">
        <v>37.520000000000003</v>
      </c>
      <c r="H2924" t="s">
        <v>3138</v>
      </c>
      <c r="I2924" t="s">
        <v>5</v>
      </c>
      <c r="J2924">
        <v>37.520000000000003</v>
      </c>
    </row>
    <row r="2925" spans="2:10">
      <c r="B2925" s="13" t="s">
        <v>3127</v>
      </c>
      <c r="C2925" s="13">
        <v>959.98400000000004</v>
      </c>
      <c r="H2925" t="s">
        <v>3135</v>
      </c>
      <c r="I2925" t="s">
        <v>4</v>
      </c>
      <c r="J2925">
        <v>959.98400000000004</v>
      </c>
    </row>
    <row r="2926" spans="2:10">
      <c r="B2926" s="13" t="s">
        <v>3118</v>
      </c>
      <c r="C2926" s="13">
        <v>4.0860000000000003</v>
      </c>
      <c r="H2926" t="s">
        <v>3135</v>
      </c>
      <c r="I2926" t="s">
        <v>5</v>
      </c>
      <c r="J2926">
        <v>4.0860000000000003</v>
      </c>
    </row>
    <row r="2927" spans="2:10">
      <c r="B2927" s="13" t="s">
        <v>3122</v>
      </c>
      <c r="C2927" s="13">
        <v>55.984000000000009</v>
      </c>
      <c r="H2927" t="s">
        <v>3135</v>
      </c>
      <c r="I2927" t="s">
        <v>5</v>
      </c>
      <c r="J2927">
        <v>55.984000000000009</v>
      </c>
    </row>
    <row r="2928" spans="2:10">
      <c r="B2928" s="13" t="s">
        <v>3114</v>
      </c>
      <c r="C2928" s="13">
        <v>10.688000000000001</v>
      </c>
      <c r="H2928" t="s">
        <v>3135</v>
      </c>
      <c r="I2928" t="s">
        <v>5</v>
      </c>
      <c r="J2928">
        <v>10.688000000000001</v>
      </c>
    </row>
    <row r="2929" spans="2:10">
      <c r="B2929" s="13" t="s">
        <v>3124</v>
      </c>
      <c r="C2929" s="13">
        <v>8.8559999999999999</v>
      </c>
      <c r="H2929" t="s">
        <v>3136</v>
      </c>
      <c r="I2929" t="s">
        <v>5</v>
      </c>
      <c r="J2929">
        <v>8.8559999999999999</v>
      </c>
    </row>
    <row r="2930" spans="2:10">
      <c r="B2930" s="13" t="s">
        <v>3117</v>
      </c>
      <c r="C2930" s="13">
        <v>15.51</v>
      </c>
      <c r="H2930" t="s">
        <v>3135</v>
      </c>
      <c r="I2930" t="s">
        <v>5</v>
      </c>
      <c r="J2930">
        <v>15.51</v>
      </c>
    </row>
    <row r="2931" spans="2:10">
      <c r="B2931" s="13" t="s">
        <v>3116</v>
      </c>
      <c r="C2931" s="13">
        <v>89.9</v>
      </c>
      <c r="H2931" t="s">
        <v>3135</v>
      </c>
      <c r="I2931" t="s">
        <v>4</v>
      </c>
      <c r="J2931">
        <v>89.9</v>
      </c>
    </row>
    <row r="2932" spans="2:10">
      <c r="B2932" s="13" t="s">
        <v>3122</v>
      </c>
      <c r="C2932" s="13">
        <v>14.28</v>
      </c>
      <c r="H2932" t="s">
        <v>3135</v>
      </c>
      <c r="I2932" t="s">
        <v>5</v>
      </c>
      <c r="J2932">
        <v>14.28</v>
      </c>
    </row>
    <row r="2933" spans="2:10">
      <c r="B2933" s="13" t="s">
        <v>3122</v>
      </c>
      <c r="C2933" s="13">
        <v>12.72</v>
      </c>
      <c r="H2933" t="s">
        <v>3135</v>
      </c>
      <c r="I2933" t="s">
        <v>5</v>
      </c>
      <c r="J2933">
        <v>12.72</v>
      </c>
    </row>
    <row r="2934" spans="2:10">
      <c r="B2934" s="13" t="s">
        <v>3121</v>
      </c>
      <c r="C2934" s="13">
        <v>15.75</v>
      </c>
      <c r="H2934" t="s">
        <v>3135</v>
      </c>
      <c r="I2934" t="s">
        <v>5</v>
      </c>
      <c r="J2934">
        <v>15.75</v>
      </c>
    </row>
    <row r="2935" spans="2:10">
      <c r="B2935" s="13" t="s">
        <v>3118</v>
      </c>
      <c r="C2935" s="13">
        <v>7.2359999999999998</v>
      </c>
      <c r="H2935" t="s">
        <v>3136</v>
      </c>
      <c r="I2935" t="s">
        <v>5</v>
      </c>
      <c r="J2935">
        <v>7.2359999999999998</v>
      </c>
    </row>
    <row r="2936" spans="2:10">
      <c r="B2936" s="13" t="s">
        <v>3123</v>
      </c>
      <c r="C2936" s="13">
        <v>4.8239999999999998</v>
      </c>
      <c r="H2936" t="s">
        <v>3136</v>
      </c>
      <c r="I2936" t="s">
        <v>5</v>
      </c>
      <c r="J2936">
        <v>4.8239999999999998</v>
      </c>
    </row>
    <row r="2937" spans="2:10">
      <c r="B2937" s="13" t="s">
        <v>3114</v>
      </c>
      <c r="C2937" s="13">
        <v>91.360000000000014</v>
      </c>
      <c r="H2937" t="s">
        <v>3136</v>
      </c>
      <c r="I2937" t="s">
        <v>5</v>
      </c>
      <c r="J2937">
        <v>91.360000000000014</v>
      </c>
    </row>
    <row r="2938" spans="2:10">
      <c r="B2938" s="13" t="s">
        <v>3125</v>
      </c>
      <c r="C2938" s="13">
        <v>130.11199999999999</v>
      </c>
      <c r="H2938" t="s">
        <v>3136</v>
      </c>
      <c r="I2938" t="s">
        <v>5</v>
      </c>
      <c r="J2938">
        <v>130.11199999999999</v>
      </c>
    </row>
    <row r="2939" spans="2:10">
      <c r="B2939" s="13" t="s">
        <v>3118</v>
      </c>
      <c r="C2939" s="13">
        <v>21.312000000000005</v>
      </c>
      <c r="H2939" t="s">
        <v>3138</v>
      </c>
      <c r="I2939" t="s">
        <v>5</v>
      </c>
      <c r="J2939">
        <v>21.312000000000005</v>
      </c>
    </row>
    <row r="2940" spans="2:10">
      <c r="B2940" s="13" t="s">
        <v>3120</v>
      </c>
      <c r="C2940" s="13">
        <v>209.94</v>
      </c>
      <c r="H2940" t="s">
        <v>3138</v>
      </c>
      <c r="I2940" t="s">
        <v>4</v>
      </c>
      <c r="J2940">
        <v>209.94</v>
      </c>
    </row>
    <row r="2941" spans="2:10">
      <c r="B2941" s="13" t="s">
        <v>3116</v>
      </c>
      <c r="C2941" s="13">
        <v>31.983999999999998</v>
      </c>
      <c r="H2941" t="s">
        <v>3138</v>
      </c>
      <c r="I2941" t="s">
        <v>4</v>
      </c>
      <c r="J2941">
        <v>31.983999999999998</v>
      </c>
    </row>
    <row r="2942" spans="2:10">
      <c r="B2942" s="13" t="s">
        <v>3118</v>
      </c>
      <c r="C2942" s="13">
        <v>5083.96</v>
      </c>
      <c r="H2942" t="s">
        <v>3138</v>
      </c>
      <c r="I2942" t="s">
        <v>5</v>
      </c>
      <c r="J2942">
        <v>5083.96</v>
      </c>
    </row>
    <row r="2943" spans="2:10">
      <c r="B2943" s="13" t="s">
        <v>3116</v>
      </c>
      <c r="C2943" s="13">
        <v>35.96</v>
      </c>
      <c r="H2943" t="s">
        <v>3135</v>
      </c>
      <c r="I2943" t="s">
        <v>4</v>
      </c>
      <c r="J2943">
        <v>35.96</v>
      </c>
    </row>
    <row r="2944" spans="2:10">
      <c r="B2944" s="13" t="s">
        <v>3118</v>
      </c>
      <c r="C2944" s="13">
        <v>15.920000000000002</v>
      </c>
      <c r="H2944" t="s">
        <v>3138</v>
      </c>
      <c r="I2944" t="s">
        <v>5</v>
      </c>
      <c r="J2944">
        <v>15.920000000000002</v>
      </c>
    </row>
    <row r="2945" spans="2:10">
      <c r="B2945" s="13" t="s">
        <v>3119</v>
      </c>
      <c r="C2945" s="13">
        <v>70.679999999999993</v>
      </c>
      <c r="H2945" t="s">
        <v>3138</v>
      </c>
      <c r="I2945" t="s">
        <v>3</v>
      </c>
      <c r="J2945">
        <v>70.679999999999993</v>
      </c>
    </row>
    <row r="2946" spans="2:10">
      <c r="B2946" s="13" t="s">
        <v>3117</v>
      </c>
      <c r="C2946" s="13">
        <v>541.24</v>
      </c>
      <c r="H2946" t="s">
        <v>3138</v>
      </c>
      <c r="I2946" t="s">
        <v>5</v>
      </c>
      <c r="J2946">
        <v>541.24</v>
      </c>
    </row>
    <row r="2947" spans="2:10">
      <c r="B2947" s="13" t="s">
        <v>3118</v>
      </c>
      <c r="C2947" s="13">
        <v>21.989999999999995</v>
      </c>
      <c r="H2947" t="s">
        <v>3137</v>
      </c>
      <c r="I2947" t="s">
        <v>5</v>
      </c>
      <c r="J2947">
        <v>21.989999999999995</v>
      </c>
    </row>
    <row r="2948" spans="2:10">
      <c r="B2948" s="13" t="s">
        <v>3130</v>
      </c>
      <c r="C2948" s="13">
        <v>480</v>
      </c>
      <c r="H2948" t="s">
        <v>3136</v>
      </c>
      <c r="I2948" t="s">
        <v>4</v>
      </c>
      <c r="J2948">
        <v>480</v>
      </c>
    </row>
    <row r="2949" spans="2:10">
      <c r="B2949" s="13" t="s">
        <v>3117</v>
      </c>
      <c r="C2949" s="13">
        <v>34.049999999999997</v>
      </c>
      <c r="H2949" t="s">
        <v>3136</v>
      </c>
      <c r="I2949" t="s">
        <v>5</v>
      </c>
      <c r="J2949">
        <v>34.049999999999997</v>
      </c>
    </row>
    <row r="2950" spans="2:10">
      <c r="B2950" s="13" t="s">
        <v>3116</v>
      </c>
      <c r="C2950" s="13">
        <v>15.984000000000002</v>
      </c>
      <c r="H2950" t="s">
        <v>3135</v>
      </c>
      <c r="I2950" t="s">
        <v>4</v>
      </c>
      <c r="J2950">
        <v>15.984000000000002</v>
      </c>
    </row>
    <row r="2951" spans="2:10">
      <c r="B2951" s="13" t="s">
        <v>3114</v>
      </c>
      <c r="C2951" s="13">
        <v>14.352000000000002</v>
      </c>
      <c r="H2951" t="s">
        <v>3135</v>
      </c>
      <c r="I2951" t="s">
        <v>5</v>
      </c>
      <c r="J2951">
        <v>14.352000000000002</v>
      </c>
    </row>
    <row r="2952" spans="2:10">
      <c r="B2952" s="13" t="s">
        <v>3119</v>
      </c>
      <c r="C2952" s="13">
        <v>629.64</v>
      </c>
      <c r="H2952" t="s">
        <v>3138</v>
      </c>
      <c r="I2952" t="s">
        <v>3</v>
      </c>
      <c r="J2952">
        <v>629.64</v>
      </c>
    </row>
    <row r="2953" spans="2:10">
      <c r="B2953" s="13" t="s">
        <v>3121</v>
      </c>
      <c r="C2953" s="13">
        <v>21.93</v>
      </c>
      <c r="H2953" t="s">
        <v>3136</v>
      </c>
      <c r="I2953" t="s">
        <v>5</v>
      </c>
      <c r="J2953">
        <v>21.93</v>
      </c>
    </row>
    <row r="2954" spans="2:10">
      <c r="B2954" s="13" t="s">
        <v>3120</v>
      </c>
      <c r="C2954" s="13">
        <v>95.976000000000013</v>
      </c>
      <c r="H2954" t="s">
        <v>3135</v>
      </c>
      <c r="I2954" t="s">
        <v>4</v>
      </c>
      <c r="J2954">
        <v>95.976000000000013</v>
      </c>
    </row>
    <row r="2955" spans="2:10">
      <c r="B2955" s="13" t="s">
        <v>3116</v>
      </c>
      <c r="C2955" s="13">
        <v>143.928</v>
      </c>
      <c r="H2955" t="s">
        <v>3135</v>
      </c>
      <c r="I2955" t="s">
        <v>4</v>
      </c>
      <c r="J2955">
        <v>143.928</v>
      </c>
    </row>
    <row r="2956" spans="2:10">
      <c r="B2956" s="13" t="s">
        <v>3118</v>
      </c>
      <c r="C2956" s="13">
        <v>3.5640000000000009</v>
      </c>
      <c r="H2956" t="s">
        <v>3135</v>
      </c>
      <c r="I2956" t="s">
        <v>5</v>
      </c>
      <c r="J2956">
        <v>3.5640000000000009</v>
      </c>
    </row>
    <row r="2957" spans="2:10">
      <c r="B2957" s="13" t="s">
        <v>3121</v>
      </c>
      <c r="C2957" s="13">
        <v>4.9280000000000008</v>
      </c>
      <c r="H2957" t="s">
        <v>3135</v>
      </c>
      <c r="I2957" t="s">
        <v>5</v>
      </c>
      <c r="J2957">
        <v>4.9280000000000008</v>
      </c>
    </row>
    <row r="2958" spans="2:10">
      <c r="B2958" s="13" t="s">
        <v>3118</v>
      </c>
      <c r="C2958" s="13">
        <v>4.572000000000001</v>
      </c>
      <c r="H2958" t="s">
        <v>3135</v>
      </c>
      <c r="I2958" t="s">
        <v>5</v>
      </c>
      <c r="J2958">
        <v>4.572000000000001</v>
      </c>
    </row>
    <row r="2959" spans="2:10">
      <c r="B2959" s="13" t="s">
        <v>3119</v>
      </c>
      <c r="C2959" s="13">
        <v>99.949999999999989</v>
      </c>
      <c r="H2959" t="s">
        <v>3137</v>
      </c>
      <c r="I2959" t="s">
        <v>3</v>
      </c>
      <c r="J2959">
        <v>99.949999999999989</v>
      </c>
    </row>
    <row r="2960" spans="2:10">
      <c r="B2960" s="13" t="s">
        <v>3120</v>
      </c>
      <c r="C2960" s="13">
        <v>29.339999999999996</v>
      </c>
      <c r="H2960" t="s">
        <v>3137</v>
      </c>
      <c r="I2960" t="s">
        <v>4</v>
      </c>
      <c r="J2960">
        <v>29.339999999999996</v>
      </c>
    </row>
    <row r="2961" spans="2:10">
      <c r="B2961" s="13" t="s">
        <v>3114</v>
      </c>
      <c r="C2961" s="13">
        <v>12.672000000000001</v>
      </c>
      <c r="H2961" t="s">
        <v>3136</v>
      </c>
      <c r="I2961" t="s">
        <v>5</v>
      </c>
      <c r="J2961">
        <v>12.672000000000001</v>
      </c>
    </row>
    <row r="2962" spans="2:10">
      <c r="B2962" s="13" t="s">
        <v>3120</v>
      </c>
      <c r="C2962" s="13">
        <v>1119.8880000000001</v>
      </c>
      <c r="H2962" t="s">
        <v>3136</v>
      </c>
      <c r="I2962" t="s">
        <v>4</v>
      </c>
      <c r="J2962">
        <v>1119.8880000000001</v>
      </c>
    </row>
    <row r="2963" spans="2:10">
      <c r="B2963" s="13" t="s">
        <v>3115</v>
      </c>
      <c r="C2963" s="13">
        <v>239.358</v>
      </c>
      <c r="H2963" t="s">
        <v>3137</v>
      </c>
      <c r="I2963" t="s">
        <v>3</v>
      </c>
      <c r="J2963">
        <v>239.358</v>
      </c>
    </row>
    <row r="2964" spans="2:10">
      <c r="B2964" s="13" t="s">
        <v>3114</v>
      </c>
      <c r="C2964" s="13">
        <v>19.440000000000001</v>
      </c>
      <c r="H2964" t="s">
        <v>3136</v>
      </c>
      <c r="I2964" t="s">
        <v>5</v>
      </c>
      <c r="J2964">
        <v>19.440000000000001</v>
      </c>
    </row>
    <row r="2965" spans="2:10">
      <c r="B2965" s="13" t="s">
        <v>3118</v>
      </c>
      <c r="C2965" s="13">
        <v>12.3</v>
      </c>
      <c r="H2965" t="s">
        <v>3136</v>
      </c>
      <c r="I2965" t="s">
        <v>5</v>
      </c>
      <c r="J2965">
        <v>12.3</v>
      </c>
    </row>
    <row r="2966" spans="2:10">
      <c r="B2966" s="13" t="s">
        <v>3126</v>
      </c>
      <c r="C2966" s="13">
        <v>934.9559999999999</v>
      </c>
      <c r="H2966" t="s">
        <v>3135</v>
      </c>
      <c r="I2966" t="s">
        <v>3</v>
      </c>
      <c r="J2966">
        <v>934.9559999999999</v>
      </c>
    </row>
    <row r="2967" spans="2:10">
      <c r="B2967" s="13" t="s">
        <v>3120</v>
      </c>
      <c r="C2967" s="13">
        <v>46.864000000000004</v>
      </c>
      <c r="H2967" t="s">
        <v>3135</v>
      </c>
      <c r="I2967" t="s">
        <v>4</v>
      </c>
      <c r="J2967">
        <v>46.864000000000004</v>
      </c>
    </row>
    <row r="2968" spans="2:10">
      <c r="B2968" s="13" t="s">
        <v>3117</v>
      </c>
      <c r="C2968" s="13">
        <v>26.160000000000004</v>
      </c>
      <c r="H2968" t="s">
        <v>3135</v>
      </c>
      <c r="I2968" t="s">
        <v>5</v>
      </c>
      <c r="J2968">
        <v>26.160000000000004</v>
      </c>
    </row>
    <row r="2969" spans="2:10">
      <c r="B2969" s="13" t="s">
        <v>3122</v>
      </c>
      <c r="C2969" s="13">
        <v>23.128</v>
      </c>
      <c r="H2969" t="s">
        <v>3135</v>
      </c>
      <c r="I2969" t="s">
        <v>5</v>
      </c>
      <c r="J2969">
        <v>23.128</v>
      </c>
    </row>
    <row r="2970" spans="2:10">
      <c r="B2970" s="13" t="s">
        <v>3125</v>
      </c>
      <c r="C2970" s="13">
        <v>59.24</v>
      </c>
      <c r="H2970" t="s">
        <v>3135</v>
      </c>
      <c r="I2970" t="s">
        <v>5</v>
      </c>
      <c r="J2970">
        <v>59.24</v>
      </c>
    </row>
    <row r="2971" spans="2:10">
      <c r="B2971" s="13" t="s">
        <v>3119</v>
      </c>
      <c r="C2971" s="13">
        <v>21</v>
      </c>
      <c r="H2971" t="s">
        <v>3135</v>
      </c>
      <c r="I2971" t="s">
        <v>3</v>
      </c>
      <c r="J2971">
        <v>21</v>
      </c>
    </row>
    <row r="2972" spans="2:10">
      <c r="B2972" s="13" t="s">
        <v>3130</v>
      </c>
      <c r="C2972" s="13">
        <v>120</v>
      </c>
      <c r="H2972" t="s">
        <v>3135</v>
      </c>
      <c r="I2972" t="s">
        <v>4</v>
      </c>
      <c r="J2972">
        <v>120</v>
      </c>
    </row>
    <row r="2973" spans="2:10">
      <c r="B2973" s="13" t="s">
        <v>3116</v>
      </c>
      <c r="C2973" s="13">
        <v>299.95999999999998</v>
      </c>
      <c r="H2973" t="s">
        <v>3137</v>
      </c>
      <c r="I2973" t="s">
        <v>4</v>
      </c>
      <c r="J2973">
        <v>299.95999999999998</v>
      </c>
    </row>
    <row r="2974" spans="2:10">
      <c r="B2974" s="13" t="s">
        <v>3125</v>
      </c>
      <c r="C2974" s="13">
        <v>67.839999999999989</v>
      </c>
      <c r="H2974" t="s">
        <v>3137</v>
      </c>
      <c r="I2974" t="s">
        <v>5</v>
      </c>
      <c r="J2974">
        <v>67.839999999999989</v>
      </c>
    </row>
    <row r="2975" spans="2:10">
      <c r="B2975" s="13" t="s">
        <v>3115</v>
      </c>
      <c r="C2975" s="13">
        <v>853.92999999999984</v>
      </c>
      <c r="H2975" t="s">
        <v>3137</v>
      </c>
      <c r="I2975" t="s">
        <v>3</v>
      </c>
      <c r="J2975">
        <v>853.92999999999984</v>
      </c>
    </row>
    <row r="2976" spans="2:10">
      <c r="B2976" s="13" t="s">
        <v>3122</v>
      </c>
      <c r="C2976" s="13">
        <v>18.687999999999999</v>
      </c>
      <c r="H2976" t="s">
        <v>3137</v>
      </c>
      <c r="I2976" t="s">
        <v>5</v>
      </c>
      <c r="J2976">
        <v>18.687999999999999</v>
      </c>
    </row>
    <row r="2977" spans="2:10">
      <c r="B2977" s="13" t="s">
        <v>3118</v>
      </c>
      <c r="C2977" s="13">
        <v>1.2479999999999998</v>
      </c>
      <c r="H2977" t="s">
        <v>3137</v>
      </c>
      <c r="I2977" t="s">
        <v>5</v>
      </c>
      <c r="J2977">
        <v>1.2479999999999998</v>
      </c>
    </row>
    <row r="2978" spans="2:10">
      <c r="B2978" s="13" t="s">
        <v>3122</v>
      </c>
      <c r="C2978" s="13">
        <v>19.728000000000002</v>
      </c>
      <c r="H2978" t="s">
        <v>3136</v>
      </c>
      <c r="I2978" t="s">
        <v>5</v>
      </c>
      <c r="J2978">
        <v>19.728000000000002</v>
      </c>
    </row>
    <row r="2979" spans="2:10">
      <c r="B2979" s="13" t="s">
        <v>3116</v>
      </c>
      <c r="C2979" s="13">
        <v>151.18799999999999</v>
      </c>
      <c r="H2979" t="s">
        <v>3136</v>
      </c>
      <c r="I2979" t="s">
        <v>4</v>
      </c>
      <c r="J2979">
        <v>151.18799999999999</v>
      </c>
    </row>
    <row r="2980" spans="2:10">
      <c r="B2980" s="13" t="s">
        <v>3115</v>
      </c>
      <c r="C2980" s="13">
        <v>271.76400000000001</v>
      </c>
      <c r="H2980" t="s">
        <v>3136</v>
      </c>
      <c r="I2980" t="s">
        <v>3</v>
      </c>
      <c r="J2980">
        <v>271.76400000000001</v>
      </c>
    </row>
    <row r="2981" spans="2:10">
      <c r="B2981" s="13" t="s">
        <v>3128</v>
      </c>
      <c r="C2981" s="13">
        <v>344.98099999999994</v>
      </c>
      <c r="H2981" t="s">
        <v>3138</v>
      </c>
      <c r="I2981" t="s">
        <v>3</v>
      </c>
      <c r="J2981">
        <v>344.98099999999994</v>
      </c>
    </row>
    <row r="2982" spans="2:10">
      <c r="B2982" s="13" t="s">
        <v>3114</v>
      </c>
      <c r="C2982" s="13">
        <v>36.288000000000011</v>
      </c>
      <c r="H2982" t="s">
        <v>3137</v>
      </c>
      <c r="I2982" t="s">
        <v>5</v>
      </c>
      <c r="J2982">
        <v>36.288000000000011</v>
      </c>
    </row>
    <row r="2983" spans="2:10">
      <c r="B2983" s="13" t="s">
        <v>3114</v>
      </c>
      <c r="C2983" s="13">
        <v>78.304000000000002</v>
      </c>
      <c r="H2983" t="s">
        <v>3137</v>
      </c>
      <c r="I2983" t="s">
        <v>5</v>
      </c>
      <c r="J2983">
        <v>78.304000000000002</v>
      </c>
    </row>
    <row r="2984" spans="2:10">
      <c r="B2984" s="13" t="s">
        <v>3126</v>
      </c>
      <c r="C2984" s="13">
        <v>127.785</v>
      </c>
      <c r="H2984" t="s">
        <v>3137</v>
      </c>
      <c r="I2984" t="s">
        <v>3</v>
      </c>
      <c r="J2984">
        <v>127.785</v>
      </c>
    </row>
    <row r="2985" spans="2:10">
      <c r="B2985" s="13" t="s">
        <v>3118</v>
      </c>
      <c r="C2985" s="13">
        <v>6.1039999999999983</v>
      </c>
      <c r="H2985" t="s">
        <v>3137</v>
      </c>
      <c r="I2985" t="s">
        <v>5</v>
      </c>
      <c r="J2985">
        <v>6.1039999999999983</v>
      </c>
    </row>
    <row r="2986" spans="2:10">
      <c r="B2986" s="13" t="s">
        <v>3120</v>
      </c>
      <c r="C2986" s="13">
        <v>104.75</v>
      </c>
      <c r="H2986" t="s">
        <v>3138</v>
      </c>
      <c r="I2986" t="s">
        <v>4</v>
      </c>
      <c r="J2986">
        <v>104.75</v>
      </c>
    </row>
    <row r="2987" spans="2:10">
      <c r="B2987" s="13" t="s">
        <v>3120</v>
      </c>
      <c r="C2987" s="13">
        <v>18.528000000000002</v>
      </c>
      <c r="H2987" t="s">
        <v>3135</v>
      </c>
      <c r="I2987" t="s">
        <v>4</v>
      </c>
      <c r="J2987">
        <v>18.528000000000002</v>
      </c>
    </row>
    <row r="2988" spans="2:10">
      <c r="B2988" s="13" t="s">
        <v>3126</v>
      </c>
      <c r="C2988" s="13">
        <v>1875.258</v>
      </c>
      <c r="H2988" t="s">
        <v>3135</v>
      </c>
      <c r="I2988" t="s">
        <v>3</v>
      </c>
      <c r="J2988">
        <v>1875.258</v>
      </c>
    </row>
    <row r="2989" spans="2:10">
      <c r="B2989" s="13" t="s">
        <v>3116</v>
      </c>
      <c r="C2989" s="13">
        <v>35.183999999999997</v>
      </c>
      <c r="H2989" t="s">
        <v>3137</v>
      </c>
      <c r="I2989" t="s">
        <v>4</v>
      </c>
      <c r="J2989">
        <v>35.183999999999997</v>
      </c>
    </row>
    <row r="2990" spans="2:10">
      <c r="B2990" s="13" t="s">
        <v>3114</v>
      </c>
      <c r="C2990" s="13">
        <v>56.704000000000001</v>
      </c>
      <c r="H2990" t="s">
        <v>3137</v>
      </c>
      <c r="I2990" t="s">
        <v>5</v>
      </c>
      <c r="J2990">
        <v>56.704000000000001</v>
      </c>
    </row>
    <row r="2991" spans="2:10">
      <c r="B2991" s="13" t="s">
        <v>3114</v>
      </c>
      <c r="C2991" s="13">
        <v>274.06400000000002</v>
      </c>
      <c r="H2991" t="s">
        <v>3137</v>
      </c>
      <c r="I2991" t="s">
        <v>5</v>
      </c>
      <c r="J2991">
        <v>274.06400000000002</v>
      </c>
    </row>
    <row r="2992" spans="2:10">
      <c r="B2992" s="13" t="s">
        <v>3115</v>
      </c>
      <c r="C2992" s="13">
        <v>458.42999999999995</v>
      </c>
      <c r="H2992" t="s">
        <v>3136</v>
      </c>
      <c r="I2992" t="s">
        <v>3</v>
      </c>
      <c r="J2992">
        <v>458.42999999999995</v>
      </c>
    </row>
    <row r="2993" spans="2:10">
      <c r="B2993" s="13" t="s">
        <v>3117</v>
      </c>
      <c r="C2993" s="13">
        <v>92.52</v>
      </c>
      <c r="H2993" t="s">
        <v>3137</v>
      </c>
      <c r="I2993" t="s">
        <v>5</v>
      </c>
      <c r="J2993">
        <v>92.52</v>
      </c>
    </row>
    <row r="2994" spans="2:10">
      <c r="B2994" s="13" t="s">
        <v>3117</v>
      </c>
      <c r="C2994" s="13">
        <v>37.76</v>
      </c>
      <c r="H2994" t="s">
        <v>3137</v>
      </c>
      <c r="I2994" t="s">
        <v>5</v>
      </c>
      <c r="J2994">
        <v>37.76</v>
      </c>
    </row>
    <row r="2995" spans="2:10">
      <c r="B2995" s="13" t="s">
        <v>3121</v>
      </c>
      <c r="C2995" s="13">
        <v>7.38</v>
      </c>
      <c r="H2995" t="s">
        <v>3137</v>
      </c>
      <c r="I2995" t="s">
        <v>5</v>
      </c>
      <c r="J2995">
        <v>7.38</v>
      </c>
    </row>
    <row r="2996" spans="2:10">
      <c r="B2996" s="13" t="s">
        <v>3119</v>
      </c>
      <c r="C2996" s="13">
        <v>5.82</v>
      </c>
      <c r="H2996" t="s">
        <v>3137</v>
      </c>
      <c r="I2996" t="s">
        <v>3</v>
      </c>
      <c r="J2996">
        <v>5.82</v>
      </c>
    </row>
    <row r="2997" spans="2:10">
      <c r="B2997" s="13" t="s">
        <v>3114</v>
      </c>
      <c r="C2997" s="13">
        <v>3.8159999999999998</v>
      </c>
      <c r="H2997" t="s">
        <v>3136</v>
      </c>
      <c r="I2997" t="s">
        <v>5</v>
      </c>
      <c r="J2997">
        <v>3.8159999999999998</v>
      </c>
    </row>
    <row r="2998" spans="2:10">
      <c r="B2998" s="13" t="s">
        <v>3118</v>
      </c>
      <c r="C2998" s="13">
        <v>26.16</v>
      </c>
      <c r="H2998" t="s">
        <v>3135</v>
      </c>
      <c r="I2998" t="s">
        <v>5</v>
      </c>
      <c r="J2998">
        <v>26.16</v>
      </c>
    </row>
    <row r="2999" spans="2:10">
      <c r="B2999" s="13" t="s">
        <v>3122</v>
      </c>
      <c r="C2999" s="13">
        <v>13.899999999999999</v>
      </c>
      <c r="H2999" t="s">
        <v>3138</v>
      </c>
      <c r="I2999" t="s">
        <v>5</v>
      </c>
      <c r="J2999">
        <v>13.899999999999999</v>
      </c>
    </row>
    <row r="3000" spans="2:10">
      <c r="B3000" s="13" t="s">
        <v>3124</v>
      </c>
      <c r="C3000" s="13">
        <v>19.399999999999999</v>
      </c>
      <c r="H3000" t="s">
        <v>3138</v>
      </c>
      <c r="I3000" t="s">
        <v>5</v>
      </c>
      <c r="J3000">
        <v>19.399999999999999</v>
      </c>
    </row>
    <row r="3001" spans="2:10">
      <c r="B3001" s="13" t="s">
        <v>3125</v>
      </c>
      <c r="C3001" s="13">
        <v>314.60000000000002</v>
      </c>
      <c r="H3001" t="s">
        <v>3138</v>
      </c>
      <c r="I3001" t="s">
        <v>5</v>
      </c>
      <c r="J3001">
        <v>314.60000000000002</v>
      </c>
    </row>
    <row r="3002" spans="2:10">
      <c r="B3002" s="13" t="s">
        <v>3126</v>
      </c>
      <c r="C3002" s="13">
        <v>283.56</v>
      </c>
      <c r="H3002" t="s">
        <v>3138</v>
      </c>
      <c r="I3002" t="s">
        <v>3</v>
      </c>
      <c r="J3002">
        <v>283.56</v>
      </c>
    </row>
    <row r="3003" spans="2:10">
      <c r="B3003" s="13" t="s">
        <v>3115</v>
      </c>
      <c r="C3003" s="13">
        <v>487.96</v>
      </c>
      <c r="H3003" t="s">
        <v>3137</v>
      </c>
      <c r="I3003" t="s">
        <v>3</v>
      </c>
      <c r="J3003">
        <v>487.96</v>
      </c>
    </row>
    <row r="3004" spans="2:10">
      <c r="B3004" s="13" t="s">
        <v>3116</v>
      </c>
      <c r="C3004" s="13">
        <v>55.176000000000002</v>
      </c>
      <c r="H3004" t="s">
        <v>3137</v>
      </c>
      <c r="I3004" t="s">
        <v>4</v>
      </c>
      <c r="J3004">
        <v>55.176000000000002</v>
      </c>
    </row>
    <row r="3005" spans="2:10">
      <c r="B3005" s="13" t="s">
        <v>3118</v>
      </c>
      <c r="C3005" s="13">
        <v>5.9840000000000009</v>
      </c>
      <c r="H3005" t="s">
        <v>3138</v>
      </c>
      <c r="I3005" t="s">
        <v>5</v>
      </c>
      <c r="J3005">
        <v>5.9840000000000009</v>
      </c>
    </row>
    <row r="3006" spans="2:10">
      <c r="B3006" s="13" t="s">
        <v>3120</v>
      </c>
      <c r="C3006" s="13">
        <v>189.95000000000002</v>
      </c>
      <c r="H3006" t="s">
        <v>3138</v>
      </c>
      <c r="I3006" t="s">
        <v>4</v>
      </c>
      <c r="J3006">
        <v>189.95000000000002</v>
      </c>
    </row>
    <row r="3007" spans="2:10">
      <c r="B3007" s="13" t="s">
        <v>3120</v>
      </c>
      <c r="C3007" s="13">
        <v>149.94999999999999</v>
      </c>
      <c r="H3007" t="s">
        <v>3138</v>
      </c>
      <c r="I3007" t="s">
        <v>4</v>
      </c>
      <c r="J3007">
        <v>149.94999999999999</v>
      </c>
    </row>
    <row r="3008" spans="2:10">
      <c r="B3008" s="13" t="s">
        <v>3122</v>
      </c>
      <c r="C3008" s="13">
        <v>29.950000000000003</v>
      </c>
      <c r="H3008" t="s">
        <v>3138</v>
      </c>
      <c r="I3008" t="s">
        <v>5</v>
      </c>
      <c r="J3008">
        <v>29.950000000000003</v>
      </c>
    </row>
    <row r="3009" spans="2:10">
      <c r="B3009" s="13" t="s">
        <v>3121</v>
      </c>
      <c r="C3009" s="13">
        <v>44.400000000000006</v>
      </c>
      <c r="H3009" t="s">
        <v>3138</v>
      </c>
      <c r="I3009" t="s">
        <v>5</v>
      </c>
      <c r="J3009">
        <v>44.400000000000006</v>
      </c>
    </row>
    <row r="3010" spans="2:10">
      <c r="B3010" s="13" t="s">
        <v>3129</v>
      </c>
      <c r="C3010" s="13">
        <v>21.96</v>
      </c>
      <c r="H3010" t="s">
        <v>3138</v>
      </c>
      <c r="I3010" t="s">
        <v>5</v>
      </c>
      <c r="J3010">
        <v>21.96</v>
      </c>
    </row>
    <row r="3011" spans="2:10">
      <c r="B3011" s="13" t="s">
        <v>3120</v>
      </c>
      <c r="C3011" s="13">
        <v>23.08</v>
      </c>
      <c r="H3011" t="s">
        <v>3135</v>
      </c>
      <c r="I3011" t="s">
        <v>4</v>
      </c>
      <c r="J3011">
        <v>23.08</v>
      </c>
    </row>
    <row r="3012" spans="2:10">
      <c r="B3012" s="13" t="s">
        <v>3119</v>
      </c>
      <c r="C3012" s="13">
        <v>11.352000000000002</v>
      </c>
      <c r="H3012" t="s">
        <v>3136</v>
      </c>
      <c r="I3012" t="s">
        <v>3</v>
      </c>
      <c r="J3012">
        <v>11.352000000000002</v>
      </c>
    </row>
    <row r="3013" spans="2:10">
      <c r="B3013" s="13" t="s">
        <v>3116</v>
      </c>
      <c r="C3013" s="13">
        <v>143.952</v>
      </c>
      <c r="H3013" t="s">
        <v>3138</v>
      </c>
      <c r="I3013" t="s">
        <v>4</v>
      </c>
      <c r="J3013">
        <v>143.952</v>
      </c>
    </row>
    <row r="3014" spans="2:10">
      <c r="B3014" s="13" t="s">
        <v>3114</v>
      </c>
      <c r="C3014" s="13">
        <v>19.440000000000001</v>
      </c>
      <c r="H3014" t="s">
        <v>3138</v>
      </c>
      <c r="I3014" t="s">
        <v>5</v>
      </c>
      <c r="J3014">
        <v>19.440000000000001</v>
      </c>
    </row>
    <row r="3015" spans="2:10">
      <c r="B3015" s="13" t="s">
        <v>3122</v>
      </c>
      <c r="C3015" s="13">
        <v>5.56</v>
      </c>
      <c r="H3015" t="s">
        <v>3135</v>
      </c>
      <c r="I3015" t="s">
        <v>5</v>
      </c>
      <c r="J3015">
        <v>5.56</v>
      </c>
    </row>
    <row r="3016" spans="2:10">
      <c r="B3016" s="13" t="s">
        <v>3117</v>
      </c>
      <c r="C3016" s="13">
        <v>348.56</v>
      </c>
      <c r="H3016" t="s">
        <v>3135</v>
      </c>
      <c r="I3016" t="s">
        <v>5</v>
      </c>
      <c r="J3016">
        <v>348.56</v>
      </c>
    </row>
    <row r="3017" spans="2:10">
      <c r="B3017" s="13" t="s">
        <v>3116</v>
      </c>
      <c r="C3017" s="13">
        <v>369.54399999999998</v>
      </c>
      <c r="H3017" t="s">
        <v>3137</v>
      </c>
      <c r="I3017" t="s">
        <v>4</v>
      </c>
      <c r="J3017">
        <v>369.54399999999998</v>
      </c>
    </row>
    <row r="3018" spans="2:10">
      <c r="B3018" s="13" t="s">
        <v>3114</v>
      </c>
      <c r="C3018" s="13">
        <v>10.368000000000002</v>
      </c>
      <c r="H3018" t="s">
        <v>3137</v>
      </c>
      <c r="I3018" t="s">
        <v>5</v>
      </c>
      <c r="J3018">
        <v>10.368000000000002</v>
      </c>
    </row>
    <row r="3019" spans="2:10">
      <c r="B3019" s="13" t="s">
        <v>3120</v>
      </c>
      <c r="C3019" s="13">
        <v>791.87999999999988</v>
      </c>
      <c r="H3019" t="s">
        <v>3137</v>
      </c>
      <c r="I3019" t="s">
        <v>4</v>
      </c>
      <c r="J3019">
        <v>791.87999999999988</v>
      </c>
    </row>
    <row r="3020" spans="2:10">
      <c r="B3020" s="13" t="s">
        <v>3116</v>
      </c>
      <c r="C3020" s="13">
        <v>429.59999999999997</v>
      </c>
      <c r="H3020" t="s">
        <v>3136</v>
      </c>
      <c r="I3020" t="s">
        <v>4</v>
      </c>
      <c r="J3020">
        <v>429.59999999999997</v>
      </c>
    </row>
    <row r="3021" spans="2:10">
      <c r="B3021" s="13" t="s">
        <v>3119</v>
      </c>
      <c r="C3021" s="13">
        <v>31.968000000000004</v>
      </c>
      <c r="H3021" t="s">
        <v>3136</v>
      </c>
      <c r="I3021" t="s">
        <v>3</v>
      </c>
      <c r="J3021">
        <v>31.968000000000004</v>
      </c>
    </row>
    <row r="3022" spans="2:10">
      <c r="B3022" s="13" t="s">
        <v>3115</v>
      </c>
      <c r="C3022" s="13">
        <v>887.27099999999984</v>
      </c>
      <c r="H3022" t="s">
        <v>3136</v>
      </c>
      <c r="I3022" t="s">
        <v>3</v>
      </c>
      <c r="J3022">
        <v>887.27099999999984</v>
      </c>
    </row>
    <row r="3023" spans="2:10">
      <c r="B3023" s="13" t="s">
        <v>3114</v>
      </c>
      <c r="C3023" s="13">
        <v>21.696000000000002</v>
      </c>
      <c r="H3023" t="s">
        <v>3136</v>
      </c>
      <c r="I3023" t="s">
        <v>5</v>
      </c>
      <c r="J3023">
        <v>21.696000000000002</v>
      </c>
    </row>
    <row r="3024" spans="2:10">
      <c r="B3024" s="13" t="s">
        <v>3125</v>
      </c>
      <c r="C3024" s="13">
        <v>90.86</v>
      </c>
      <c r="H3024" t="s">
        <v>3138</v>
      </c>
      <c r="I3024" t="s">
        <v>5</v>
      </c>
      <c r="J3024">
        <v>90.86</v>
      </c>
    </row>
    <row r="3025" spans="2:10">
      <c r="B3025" s="13" t="s">
        <v>3114</v>
      </c>
      <c r="C3025" s="13">
        <v>7.78</v>
      </c>
      <c r="H3025" t="s">
        <v>3138</v>
      </c>
      <c r="I3025" t="s">
        <v>5</v>
      </c>
      <c r="J3025">
        <v>7.78</v>
      </c>
    </row>
    <row r="3026" spans="2:10">
      <c r="B3026" s="13" t="s">
        <v>3117</v>
      </c>
      <c r="C3026" s="13">
        <v>50.135999999999996</v>
      </c>
      <c r="H3026" t="s">
        <v>3137</v>
      </c>
      <c r="I3026" t="s">
        <v>5</v>
      </c>
      <c r="J3026">
        <v>50.135999999999996</v>
      </c>
    </row>
    <row r="3027" spans="2:10">
      <c r="B3027" s="13" t="s">
        <v>3118</v>
      </c>
      <c r="C3027" s="13">
        <v>88.074000000000012</v>
      </c>
      <c r="H3027" t="s">
        <v>3138</v>
      </c>
      <c r="I3027" t="s">
        <v>5</v>
      </c>
      <c r="J3027">
        <v>88.074000000000012</v>
      </c>
    </row>
    <row r="3028" spans="2:10">
      <c r="B3028" s="13" t="s">
        <v>3119</v>
      </c>
      <c r="C3028" s="13">
        <v>27.46</v>
      </c>
      <c r="H3028" t="s">
        <v>3136</v>
      </c>
      <c r="I3028" t="s">
        <v>3</v>
      </c>
      <c r="J3028">
        <v>27.46</v>
      </c>
    </row>
    <row r="3029" spans="2:10">
      <c r="B3029" s="13" t="s">
        <v>3125</v>
      </c>
      <c r="C3029" s="13">
        <v>125.13</v>
      </c>
      <c r="H3029" t="s">
        <v>3136</v>
      </c>
      <c r="I3029" t="s">
        <v>5</v>
      </c>
      <c r="J3029">
        <v>125.13</v>
      </c>
    </row>
    <row r="3030" spans="2:10">
      <c r="B3030" s="13" t="s">
        <v>3120</v>
      </c>
      <c r="C3030" s="13">
        <v>159.97999999999999</v>
      </c>
      <c r="H3030" t="s">
        <v>3138</v>
      </c>
      <c r="I3030" t="s">
        <v>4</v>
      </c>
      <c r="J3030">
        <v>159.97999999999999</v>
      </c>
    </row>
    <row r="3031" spans="2:10">
      <c r="B3031" s="13" t="s">
        <v>3118</v>
      </c>
      <c r="C3031" s="13">
        <v>8.2880000000000003</v>
      </c>
      <c r="H3031" t="s">
        <v>3138</v>
      </c>
      <c r="I3031" t="s">
        <v>5</v>
      </c>
      <c r="J3031">
        <v>8.2880000000000003</v>
      </c>
    </row>
    <row r="3032" spans="2:10">
      <c r="B3032" s="13" t="s">
        <v>3116</v>
      </c>
      <c r="C3032" s="13">
        <v>1123.1280000000002</v>
      </c>
      <c r="H3032" t="s">
        <v>3138</v>
      </c>
      <c r="I3032" t="s">
        <v>4</v>
      </c>
      <c r="J3032">
        <v>1123.1280000000002</v>
      </c>
    </row>
    <row r="3033" spans="2:10">
      <c r="B3033" s="13" t="s">
        <v>3125</v>
      </c>
      <c r="C3033" s="13">
        <v>64.900000000000006</v>
      </c>
      <c r="H3033" t="s">
        <v>3138</v>
      </c>
      <c r="I3033" t="s">
        <v>5</v>
      </c>
      <c r="J3033">
        <v>64.900000000000006</v>
      </c>
    </row>
    <row r="3034" spans="2:10">
      <c r="B3034" s="13" t="s">
        <v>3116</v>
      </c>
      <c r="C3034" s="13">
        <v>71.975999999999999</v>
      </c>
      <c r="H3034" t="s">
        <v>3138</v>
      </c>
      <c r="I3034" t="s">
        <v>4</v>
      </c>
      <c r="J3034">
        <v>71.975999999999999</v>
      </c>
    </row>
    <row r="3035" spans="2:10">
      <c r="B3035" s="13" t="s">
        <v>3114</v>
      </c>
      <c r="C3035" s="13">
        <v>19.440000000000001</v>
      </c>
      <c r="H3035" t="s">
        <v>3138</v>
      </c>
      <c r="I3035" t="s">
        <v>5</v>
      </c>
      <c r="J3035">
        <v>19.440000000000001</v>
      </c>
    </row>
    <row r="3036" spans="2:10">
      <c r="B3036" s="13" t="s">
        <v>3116</v>
      </c>
      <c r="C3036" s="13">
        <v>707.88</v>
      </c>
      <c r="H3036" t="s">
        <v>3138</v>
      </c>
      <c r="I3036" t="s">
        <v>4</v>
      </c>
      <c r="J3036">
        <v>707.88</v>
      </c>
    </row>
    <row r="3037" spans="2:10">
      <c r="B3037" s="13" t="s">
        <v>3118</v>
      </c>
      <c r="C3037" s="13">
        <v>11.952000000000002</v>
      </c>
      <c r="H3037" t="s">
        <v>3138</v>
      </c>
      <c r="I3037" t="s">
        <v>5</v>
      </c>
      <c r="J3037">
        <v>11.952000000000002</v>
      </c>
    </row>
    <row r="3038" spans="2:10">
      <c r="B3038" s="13" t="s">
        <v>3118</v>
      </c>
      <c r="C3038" s="13">
        <v>31.128000000000004</v>
      </c>
      <c r="H3038" t="s">
        <v>3138</v>
      </c>
      <c r="I3038" t="s">
        <v>5</v>
      </c>
      <c r="J3038">
        <v>31.128000000000004</v>
      </c>
    </row>
    <row r="3039" spans="2:10">
      <c r="B3039" s="13" t="s">
        <v>3120</v>
      </c>
      <c r="C3039" s="13">
        <v>55.76</v>
      </c>
      <c r="H3039" t="s">
        <v>3138</v>
      </c>
      <c r="I3039" t="s">
        <v>4</v>
      </c>
      <c r="J3039">
        <v>55.76</v>
      </c>
    </row>
    <row r="3040" spans="2:10">
      <c r="B3040" s="13" t="s">
        <v>3114</v>
      </c>
      <c r="C3040" s="13">
        <v>24.56</v>
      </c>
      <c r="H3040" t="s">
        <v>3138</v>
      </c>
      <c r="I3040" t="s">
        <v>5</v>
      </c>
      <c r="J3040">
        <v>24.56</v>
      </c>
    </row>
    <row r="3041" spans="2:10">
      <c r="B3041" s="13" t="s">
        <v>3119</v>
      </c>
      <c r="C3041" s="13">
        <v>51.75</v>
      </c>
      <c r="H3041" t="s">
        <v>3138</v>
      </c>
      <c r="I3041" t="s">
        <v>3</v>
      </c>
      <c r="J3041">
        <v>51.75</v>
      </c>
    </row>
    <row r="3042" spans="2:10">
      <c r="B3042" s="13" t="s">
        <v>3115</v>
      </c>
      <c r="C3042" s="13">
        <v>207.18400000000003</v>
      </c>
      <c r="H3042" t="s">
        <v>3138</v>
      </c>
      <c r="I3042" t="s">
        <v>3</v>
      </c>
      <c r="J3042">
        <v>207.18400000000003</v>
      </c>
    </row>
    <row r="3043" spans="2:10">
      <c r="B3043" s="13" t="s">
        <v>3125</v>
      </c>
      <c r="C3043" s="13">
        <v>1473.1</v>
      </c>
      <c r="H3043" t="s">
        <v>3138</v>
      </c>
      <c r="I3043" t="s">
        <v>5</v>
      </c>
      <c r="J3043">
        <v>1473.1</v>
      </c>
    </row>
    <row r="3044" spans="2:10">
      <c r="B3044" s="13" t="s">
        <v>3120</v>
      </c>
      <c r="C3044" s="13">
        <v>39.816000000000003</v>
      </c>
      <c r="H3044" t="s">
        <v>3137</v>
      </c>
      <c r="I3044" t="s">
        <v>4</v>
      </c>
      <c r="J3044">
        <v>39.816000000000003</v>
      </c>
    </row>
    <row r="3045" spans="2:10">
      <c r="B3045" s="13" t="s">
        <v>3117</v>
      </c>
      <c r="C3045" s="13">
        <v>16.059999999999999</v>
      </c>
      <c r="H3045" t="s">
        <v>3138</v>
      </c>
      <c r="I3045" t="s">
        <v>5</v>
      </c>
      <c r="J3045">
        <v>16.059999999999999</v>
      </c>
    </row>
    <row r="3046" spans="2:10">
      <c r="B3046" s="13" t="s">
        <v>3124</v>
      </c>
      <c r="C3046" s="13">
        <v>7.28</v>
      </c>
      <c r="H3046" t="s">
        <v>3137</v>
      </c>
      <c r="I3046" t="s">
        <v>5</v>
      </c>
      <c r="J3046">
        <v>7.28</v>
      </c>
    </row>
    <row r="3047" spans="2:10">
      <c r="B3047" s="13" t="s">
        <v>3118</v>
      </c>
      <c r="C3047" s="13">
        <v>5.4</v>
      </c>
      <c r="H3047" t="s">
        <v>3137</v>
      </c>
      <c r="I3047" t="s">
        <v>5</v>
      </c>
      <c r="J3047">
        <v>5.4</v>
      </c>
    </row>
    <row r="3048" spans="2:10">
      <c r="B3048" s="13" t="s">
        <v>3121</v>
      </c>
      <c r="C3048" s="13">
        <v>20.664000000000001</v>
      </c>
      <c r="H3048" t="s">
        <v>3136</v>
      </c>
      <c r="I3048" t="s">
        <v>5</v>
      </c>
      <c r="J3048">
        <v>20.664000000000001</v>
      </c>
    </row>
    <row r="3049" spans="2:10">
      <c r="B3049" s="13" t="s">
        <v>3125</v>
      </c>
      <c r="C3049" s="13">
        <v>13.761999999999997</v>
      </c>
      <c r="H3049" t="s">
        <v>3137</v>
      </c>
      <c r="I3049" t="s">
        <v>5</v>
      </c>
      <c r="J3049">
        <v>13.761999999999997</v>
      </c>
    </row>
    <row r="3050" spans="2:10">
      <c r="B3050" s="13" t="s">
        <v>3124</v>
      </c>
      <c r="C3050" s="13">
        <v>15.28</v>
      </c>
      <c r="H3050" t="s">
        <v>3137</v>
      </c>
      <c r="I3050" t="s">
        <v>5</v>
      </c>
      <c r="J3050">
        <v>15.28</v>
      </c>
    </row>
    <row r="3051" spans="2:10">
      <c r="B3051" s="13" t="s">
        <v>3121</v>
      </c>
      <c r="C3051" s="13">
        <v>11.07</v>
      </c>
      <c r="H3051" t="s">
        <v>3135</v>
      </c>
      <c r="I3051" t="s">
        <v>5</v>
      </c>
      <c r="J3051">
        <v>11.07</v>
      </c>
    </row>
    <row r="3052" spans="2:10">
      <c r="B3052" s="13" t="s">
        <v>3126</v>
      </c>
      <c r="C3052" s="13">
        <v>1504.52</v>
      </c>
      <c r="H3052" t="s">
        <v>3135</v>
      </c>
      <c r="I3052" t="s">
        <v>3</v>
      </c>
      <c r="J3052">
        <v>1504.52</v>
      </c>
    </row>
    <row r="3053" spans="2:10">
      <c r="B3053" s="13" t="s">
        <v>3114</v>
      </c>
      <c r="C3053" s="13">
        <v>25.92</v>
      </c>
      <c r="H3053" t="s">
        <v>3135</v>
      </c>
      <c r="I3053" t="s">
        <v>5</v>
      </c>
      <c r="J3053">
        <v>25.92</v>
      </c>
    </row>
    <row r="3054" spans="2:10">
      <c r="B3054" s="13" t="s">
        <v>3118</v>
      </c>
      <c r="C3054" s="13">
        <v>7.5359999999999987</v>
      </c>
      <c r="H3054" t="s">
        <v>3137</v>
      </c>
      <c r="I3054" t="s">
        <v>5</v>
      </c>
      <c r="J3054">
        <v>7.5359999999999987</v>
      </c>
    </row>
    <row r="3055" spans="2:10">
      <c r="B3055" s="13" t="s">
        <v>3118</v>
      </c>
      <c r="C3055" s="13">
        <v>1.4079999999999997</v>
      </c>
      <c r="H3055" t="s">
        <v>3137</v>
      </c>
      <c r="I3055" t="s">
        <v>5</v>
      </c>
      <c r="J3055">
        <v>1.4079999999999997</v>
      </c>
    </row>
    <row r="3056" spans="2:10">
      <c r="B3056" s="13" t="s">
        <v>3118</v>
      </c>
      <c r="C3056" s="13">
        <v>4.1439999999999992</v>
      </c>
      <c r="H3056" t="s">
        <v>3137</v>
      </c>
      <c r="I3056" t="s">
        <v>5</v>
      </c>
      <c r="J3056">
        <v>4.1439999999999992</v>
      </c>
    </row>
    <row r="3057" spans="2:10">
      <c r="B3057" s="13" t="s">
        <v>3117</v>
      </c>
      <c r="C3057" s="13">
        <v>52.751999999999995</v>
      </c>
      <c r="H3057" t="s">
        <v>3137</v>
      </c>
      <c r="I3057" t="s">
        <v>5</v>
      </c>
      <c r="J3057">
        <v>52.751999999999995</v>
      </c>
    </row>
    <row r="3058" spans="2:10">
      <c r="B3058" s="13" t="s">
        <v>3125</v>
      </c>
      <c r="C3058" s="13">
        <v>381.35999999999996</v>
      </c>
      <c r="H3058" t="s">
        <v>3138</v>
      </c>
      <c r="I3058" t="s">
        <v>5</v>
      </c>
      <c r="J3058">
        <v>381.35999999999996</v>
      </c>
    </row>
    <row r="3059" spans="2:10">
      <c r="B3059" s="13" t="s">
        <v>3118</v>
      </c>
      <c r="C3059" s="13">
        <v>15.192</v>
      </c>
      <c r="H3059" t="s">
        <v>3138</v>
      </c>
      <c r="I3059" t="s">
        <v>5</v>
      </c>
      <c r="J3059">
        <v>15.192</v>
      </c>
    </row>
    <row r="3060" spans="2:10">
      <c r="B3060" s="13" t="s">
        <v>3114</v>
      </c>
      <c r="C3060" s="13">
        <v>58.320000000000007</v>
      </c>
      <c r="H3060" t="s">
        <v>3138</v>
      </c>
      <c r="I3060" t="s">
        <v>5</v>
      </c>
      <c r="J3060">
        <v>58.320000000000007</v>
      </c>
    </row>
    <row r="3061" spans="2:10">
      <c r="B3061" s="13" t="s">
        <v>3119</v>
      </c>
      <c r="C3061" s="13">
        <v>147.56800000000001</v>
      </c>
      <c r="H3061" t="s">
        <v>3136</v>
      </c>
      <c r="I3061" t="s">
        <v>3</v>
      </c>
      <c r="J3061">
        <v>147.56800000000001</v>
      </c>
    </row>
    <row r="3062" spans="2:10">
      <c r="B3062" s="13" t="s">
        <v>3114</v>
      </c>
      <c r="C3062" s="13">
        <v>56.783999999999999</v>
      </c>
      <c r="H3062" t="s">
        <v>3135</v>
      </c>
      <c r="I3062" t="s">
        <v>5</v>
      </c>
      <c r="J3062">
        <v>56.783999999999999</v>
      </c>
    </row>
    <row r="3063" spans="2:10">
      <c r="B3063" s="13" t="s">
        <v>3118</v>
      </c>
      <c r="C3063" s="13">
        <v>5.6070000000000011</v>
      </c>
      <c r="H3063" t="s">
        <v>3135</v>
      </c>
      <c r="I3063" t="s">
        <v>5</v>
      </c>
      <c r="J3063">
        <v>5.6070000000000011</v>
      </c>
    </row>
    <row r="3064" spans="2:10">
      <c r="B3064" s="13" t="s">
        <v>3122</v>
      </c>
      <c r="C3064" s="13">
        <v>6.5760000000000005</v>
      </c>
      <c r="H3064" t="s">
        <v>3135</v>
      </c>
      <c r="I3064" t="s">
        <v>5</v>
      </c>
      <c r="J3064">
        <v>6.5760000000000005</v>
      </c>
    </row>
    <row r="3065" spans="2:10">
      <c r="B3065" s="13" t="s">
        <v>3122</v>
      </c>
      <c r="C3065" s="13">
        <v>9.84</v>
      </c>
      <c r="H3065" t="s">
        <v>3138</v>
      </c>
      <c r="I3065" t="s">
        <v>5</v>
      </c>
      <c r="J3065">
        <v>9.84</v>
      </c>
    </row>
    <row r="3066" spans="2:10">
      <c r="B3066" s="13" t="s">
        <v>3122</v>
      </c>
      <c r="C3066" s="13">
        <v>2.78</v>
      </c>
      <c r="H3066" t="s">
        <v>3138</v>
      </c>
      <c r="I3066" t="s">
        <v>5</v>
      </c>
      <c r="J3066">
        <v>2.78</v>
      </c>
    </row>
    <row r="3067" spans="2:10">
      <c r="B3067" s="13" t="s">
        <v>3118</v>
      </c>
      <c r="C3067" s="13">
        <v>107.64800000000001</v>
      </c>
      <c r="H3067" t="s">
        <v>3138</v>
      </c>
      <c r="I3067" t="s">
        <v>5</v>
      </c>
      <c r="J3067">
        <v>107.64800000000001</v>
      </c>
    </row>
    <row r="3068" spans="2:10">
      <c r="B3068" s="13" t="s">
        <v>3120</v>
      </c>
      <c r="C3068" s="13">
        <v>199.95000000000002</v>
      </c>
      <c r="H3068" t="s">
        <v>3135</v>
      </c>
      <c r="I3068" t="s">
        <v>4</v>
      </c>
      <c r="J3068">
        <v>199.95000000000002</v>
      </c>
    </row>
    <row r="3069" spans="2:10">
      <c r="B3069" s="13" t="s">
        <v>3114</v>
      </c>
      <c r="C3069" s="13">
        <v>12.96</v>
      </c>
      <c r="H3069" t="s">
        <v>3135</v>
      </c>
      <c r="I3069" t="s">
        <v>5</v>
      </c>
      <c r="J3069">
        <v>12.96</v>
      </c>
    </row>
    <row r="3070" spans="2:10">
      <c r="B3070" s="13" t="s">
        <v>3129</v>
      </c>
      <c r="C3070" s="13">
        <v>25.5</v>
      </c>
      <c r="H3070" t="s">
        <v>3137</v>
      </c>
      <c r="I3070" t="s">
        <v>5</v>
      </c>
      <c r="J3070">
        <v>25.5</v>
      </c>
    </row>
    <row r="3071" spans="2:10">
      <c r="B3071" s="13" t="s">
        <v>3115</v>
      </c>
      <c r="C3071" s="13">
        <v>215.976</v>
      </c>
      <c r="H3071" t="s">
        <v>3138</v>
      </c>
      <c r="I3071" t="s">
        <v>3</v>
      </c>
      <c r="J3071">
        <v>215.976</v>
      </c>
    </row>
    <row r="3072" spans="2:10">
      <c r="B3072" s="13" t="s">
        <v>3118</v>
      </c>
      <c r="C3072" s="13">
        <v>11.673000000000002</v>
      </c>
      <c r="H3072" t="s">
        <v>3135</v>
      </c>
      <c r="I3072" t="s">
        <v>5</v>
      </c>
      <c r="J3072">
        <v>11.673000000000002</v>
      </c>
    </row>
    <row r="3073" spans="2:10">
      <c r="B3073" s="13" t="s">
        <v>3124</v>
      </c>
      <c r="C3073" s="13">
        <v>64.848000000000013</v>
      </c>
      <c r="H3073" t="s">
        <v>3135</v>
      </c>
      <c r="I3073" t="s">
        <v>5</v>
      </c>
      <c r="J3073">
        <v>64.848000000000013</v>
      </c>
    </row>
    <row r="3074" spans="2:10">
      <c r="B3074" s="13" t="s">
        <v>3118</v>
      </c>
      <c r="C3074" s="13">
        <v>32.088000000000001</v>
      </c>
      <c r="H3074" t="s">
        <v>3136</v>
      </c>
      <c r="I3074" t="s">
        <v>5</v>
      </c>
      <c r="J3074">
        <v>32.088000000000001</v>
      </c>
    </row>
    <row r="3075" spans="2:10">
      <c r="B3075" s="13" t="s">
        <v>3118</v>
      </c>
      <c r="C3075" s="13">
        <v>4305.5520000000006</v>
      </c>
      <c r="H3075" t="s">
        <v>3136</v>
      </c>
      <c r="I3075" t="s">
        <v>5</v>
      </c>
      <c r="J3075">
        <v>4305.5520000000006</v>
      </c>
    </row>
    <row r="3076" spans="2:10">
      <c r="B3076" s="13" t="s">
        <v>3118</v>
      </c>
      <c r="C3076" s="13">
        <v>1577.94</v>
      </c>
      <c r="H3076" t="s">
        <v>3135</v>
      </c>
      <c r="I3076" t="s">
        <v>5</v>
      </c>
      <c r="J3076">
        <v>1577.94</v>
      </c>
    </row>
    <row r="3077" spans="2:10">
      <c r="B3077" s="13" t="s">
        <v>3121</v>
      </c>
      <c r="C3077" s="13">
        <v>15.936000000000002</v>
      </c>
      <c r="H3077" t="s">
        <v>3136</v>
      </c>
      <c r="I3077" t="s">
        <v>5</v>
      </c>
      <c r="J3077">
        <v>15.936000000000002</v>
      </c>
    </row>
    <row r="3078" spans="2:10">
      <c r="B3078" s="13" t="s">
        <v>3118</v>
      </c>
      <c r="C3078" s="13">
        <v>8.0010000000000012</v>
      </c>
      <c r="H3078" t="s">
        <v>3136</v>
      </c>
      <c r="I3078" t="s">
        <v>5</v>
      </c>
      <c r="J3078">
        <v>8.0010000000000012</v>
      </c>
    </row>
    <row r="3079" spans="2:10">
      <c r="B3079" s="13" t="s">
        <v>3115</v>
      </c>
      <c r="C3079" s="13">
        <v>398.97199999999998</v>
      </c>
      <c r="H3079" t="s">
        <v>3136</v>
      </c>
      <c r="I3079" t="s">
        <v>3</v>
      </c>
      <c r="J3079">
        <v>398.97199999999998</v>
      </c>
    </row>
    <row r="3080" spans="2:10">
      <c r="B3080" s="13" t="s">
        <v>3125</v>
      </c>
      <c r="C3080" s="13">
        <v>67.900000000000006</v>
      </c>
      <c r="H3080" t="s">
        <v>3135</v>
      </c>
      <c r="I3080" t="s">
        <v>5</v>
      </c>
      <c r="J3080">
        <v>67.900000000000006</v>
      </c>
    </row>
    <row r="3081" spans="2:10">
      <c r="B3081" s="13" t="s">
        <v>3121</v>
      </c>
      <c r="C3081" s="13">
        <v>11.696</v>
      </c>
      <c r="H3081" t="s">
        <v>3138</v>
      </c>
      <c r="I3081" t="s">
        <v>5</v>
      </c>
      <c r="J3081">
        <v>11.696</v>
      </c>
    </row>
    <row r="3082" spans="2:10">
      <c r="B3082" s="13" t="s">
        <v>3118</v>
      </c>
      <c r="C3082" s="13">
        <v>6.8879999999999981</v>
      </c>
      <c r="H3082" t="s">
        <v>3137</v>
      </c>
      <c r="I3082" t="s">
        <v>5</v>
      </c>
      <c r="J3082">
        <v>6.8879999999999981</v>
      </c>
    </row>
    <row r="3083" spans="2:10">
      <c r="B3083" s="13" t="s">
        <v>3126</v>
      </c>
      <c r="C3083" s="13">
        <v>457.4849999999999</v>
      </c>
      <c r="H3083" t="s">
        <v>3137</v>
      </c>
      <c r="I3083" t="s">
        <v>3</v>
      </c>
      <c r="J3083">
        <v>457.4849999999999</v>
      </c>
    </row>
    <row r="3084" spans="2:10">
      <c r="B3084" s="13" t="s">
        <v>3115</v>
      </c>
      <c r="C3084" s="13">
        <v>1079.316</v>
      </c>
      <c r="H3084" t="s">
        <v>3136</v>
      </c>
      <c r="I3084" t="s">
        <v>3</v>
      </c>
      <c r="J3084">
        <v>1079.316</v>
      </c>
    </row>
    <row r="3085" spans="2:10">
      <c r="B3085" s="13" t="s">
        <v>3118</v>
      </c>
      <c r="C3085" s="13">
        <v>0.55599999999999983</v>
      </c>
      <c r="H3085" t="s">
        <v>3137</v>
      </c>
      <c r="I3085" t="s">
        <v>5</v>
      </c>
      <c r="J3085">
        <v>0.55599999999999983</v>
      </c>
    </row>
    <row r="3086" spans="2:10">
      <c r="B3086" s="13" t="s">
        <v>3118</v>
      </c>
      <c r="C3086" s="13">
        <v>43.8</v>
      </c>
      <c r="H3086" t="s">
        <v>3136</v>
      </c>
      <c r="I3086" t="s">
        <v>5</v>
      </c>
      <c r="J3086">
        <v>43.8</v>
      </c>
    </row>
    <row r="3087" spans="2:10">
      <c r="B3087" s="13" t="s">
        <v>3114</v>
      </c>
      <c r="C3087" s="13">
        <v>13.872000000000002</v>
      </c>
      <c r="H3087" t="s">
        <v>3136</v>
      </c>
      <c r="I3087" t="s">
        <v>5</v>
      </c>
      <c r="J3087">
        <v>13.872000000000002</v>
      </c>
    </row>
    <row r="3088" spans="2:10">
      <c r="B3088" s="13" t="s">
        <v>3128</v>
      </c>
      <c r="C3088" s="13">
        <v>115.96</v>
      </c>
      <c r="H3088" t="s">
        <v>3136</v>
      </c>
      <c r="I3088" t="s">
        <v>3</v>
      </c>
      <c r="J3088">
        <v>115.96</v>
      </c>
    </row>
    <row r="3089" spans="2:10">
      <c r="B3089" s="13" t="s">
        <v>3121</v>
      </c>
      <c r="C3089" s="13">
        <v>4.9280000000000008</v>
      </c>
      <c r="H3089" t="s">
        <v>3137</v>
      </c>
      <c r="I3089" t="s">
        <v>5</v>
      </c>
      <c r="J3089">
        <v>4.9280000000000008</v>
      </c>
    </row>
    <row r="3090" spans="2:10">
      <c r="B3090" s="13" t="s">
        <v>3122</v>
      </c>
      <c r="C3090" s="13">
        <v>63.488</v>
      </c>
      <c r="H3090" t="s">
        <v>3137</v>
      </c>
      <c r="I3090" t="s">
        <v>5</v>
      </c>
      <c r="J3090">
        <v>63.488</v>
      </c>
    </row>
    <row r="3091" spans="2:10">
      <c r="B3091" s="13" t="s">
        <v>3120</v>
      </c>
      <c r="C3091" s="13">
        <v>47.904000000000003</v>
      </c>
      <c r="H3091" t="s">
        <v>3137</v>
      </c>
      <c r="I3091" t="s">
        <v>4</v>
      </c>
      <c r="J3091">
        <v>47.904000000000003</v>
      </c>
    </row>
    <row r="3092" spans="2:10">
      <c r="B3092" s="13" t="s">
        <v>3114</v>
      </c>
      <c r="C3092" s="13">
        <v>13.36</v>
      </c>
      <c r="H3092" t="s">
        <v>3136</v>
      </c>
      <c r="I3092" t="s">
        <v>5</v>
      </c>
      <c r="J3092">
        <v>13.36</v>
      </c>
    </row>
    <row r="3093" spans="2:10">
      <c r="B3093" s="13" t="s">
        <v>3115</v>
      </c>
      <c r="C3093" s="13">
        <v>163.76400000000001</v>
      </c>
      <c r="H3093" t="s">
        <v>3136</v>
      </c>
      <c r="I3093" t="s">
        <v>3</v>
      </c>
      <c r="J3093">
        <v>163.76400000000001</v>
      </c>
    </row>
    <row r="3094" spans="2:10">
      <c r="B3094" s="13" t="s">
        <v>3119</v>
      </c>
      <c r="C3094" s="13">
        <v>183.92</v>
      </c>
      <c r="H3094" t="s">
        <v>3136</v>
      </c>
      <c r="I3094" t="s">
        <v>3</v>
      </c>
      <c r="J3094">
        <v>183.92</v>
      </c>
    </row>
    <row r="3095" spans="2:10">
      <c r="B3095" s="13" t="s">
        <v>3114</v>
      </c>
      <c r="C3095" s="13">
        <v>211.04</v>
      </c>
      <c r="H3095" t="s">
        <v>3138</v>
      </c>
      <c r="I3095" t="s">
        <v>5</v>
      </c>
      <c r="J3095">
        <v>211.04</v>
      </c>
    </row>
    <row r="3096" spans="2:10">
      <c r="B3096" s="13" t="s">
        <v>3115</v>
      </c>
      <c r="C3096" s="13">
        <v>594.81600000000003</v>
      </c>
      <c r="H3096" t="s">
        <v>3138</v>
      </c>
      <c r="I3096" t="s">
        <v>3</v>
      </c>
      <c r="J3096">
        <v>594.81600000000003</v>
      </c>
    </row>
    <row r="3097" spans="2:10">
      <c r="B3097" s="13" t="s">
        <v>3118</v>
      </c>
      <c r="C3097" s="13">
        <v>72.960000000000008</v>
      </c>
      <c r="H3097" t="s">
        <v>3138</v>
      </c>
      <c r="I3097" t="s">
        <v>5</v>
      </c>
      <c r="J3097">
        <v>72.960000000000008</v>
      </c>
    </row>
    <row r="3098" spans="2:10">
      <c r="B3098" s="13" t="s">
        <v>3119</v>
      </c>
      <c r="C3098" s="13">
        <v>80.959999999999994</v>
      </c>
      <c r="H3098" t="s">
        <v>3138</v>
      </c>
      <c r="I3098" t="s">
        <v>3</v>
      </c>
      <c r="J3098">
        <v>80.959999999999994</v>
      </c>
    </row>
    <row r="3099" spans="2:10">
      <c r="B3099" s="13" t="s">
        <v>3116</v>
      </c>
      <c r="C3099" s="13">
        <v>455.71199999999999</v>
      </c>
      <c r="H3099" t="s">
        <v>3138</v>
      </c>
      <c r="I3099" t="s">
        <v>4</v>
      </c>
      <c r="J3099">
        <v>455.71199999999999</v>
      </c>
    </row>
    <row r="3100" spans="2:10">
      <c r="B3100" s="13" t="s">
        <v>3122</v>
      </c>
      <c r="C3100" s="13">
        <v>25.98</v>
      </c>
      <c r="H3100" t="s">
        <v>3138</v>
      </c>
      <c r="I3100" t="s">
        <v>5</v>
      </c>
      <c r="J3100">
        <v>25.98</v>
      </c>
    </row>
    <row r="3101" spans="2:10">
      <c r="B3101" s="13" t="s">
        <v>3125</v>
      </c>
      <c r="C3101" s="13">
        <v>195.68</v>
      </c>
      <c r="H3101" t="s">
        <v>3135</v>
      </c>
      <c r="I3101" t="s">
        <v>5</v>
      </c>
      <c r="J3101">
        <v>195.68</v>
      </c>
    </row>
    <row r="3102" spans="2:10">
      <c r="B3102" s="13" t="s">
        <v>3123</v>
      </c>
      <c r="C3102" s="13">
        <v>14.2</v>
      </c>
      <c r="H3102" t="s">
        <v>3135</v>
      </c>
      <c r="I3102" t="s">
        <v>5</v>
      </c>
      <c r="J3102">
        <v>14.2</v>
      </c>
    </row>
    <row r="3103" spans="2:10">
      <c r="B3103" s="13" t="s">
        <v>3128</v>
      </c>
      <c r="C3103" s="13">
        <v>314.35199999999998</v>
      </c>
      <c r="H3103" t="s">
        <v>3135</v>
      </c>
      <c r="I3103" t="s">
        <v>3</v>
      </c>
      <c r="J3103">
        <v>314.35199999999998</v>
      </c>
    </row>
    <row r="3104" spans="2:10">
      <c r="B3104" s="13" t="s">
        <v>3121</v>
      </c>
      <c r="C3104" s="13">
        <v>4.6079999999999997</v>
      </c>
      <c r="H3104" t="s">
        <v>3135</v>
      </c>
      <c r="I3104" t="s">
        <v>5</v>
      </c>
      <c r="J3104">
        <v>4.6079999999999997</v>
      </c>
    </row>
    <row r="3105" spans="2:10">
      <c r="B3105" s="13" t="s">
        <v>3123</v>
      </c>
      <c r="C3105" s="13">
        <v>17.899999999999999</v>
      </c>
      <c r="H3105" t="s">
        <v>3138</v>
      </c>
      <c r="I3105" t="s">
        <v>5</v>
      </c>
      <c r="J3105">
        <v>17.899999999999999</v>
      </c>
    </row>
    <row r="3106" spans="2:10">
      <c r="B3106" s="13" t="s">
        <v>3126</v>
      </c>
      <c r="C3106" s="13">
        <v>455.97</v>
      </c>
      <c r="H3106" t="s">
        <v>3136</v>
      </c>
      <c r="I3106" t="s">
        <v>3</v>
      </c>
      <c r="J3106">
        <v>455.97</v>
      </c>
    </row>
    <row r="3107" spans="2:10">
      <c r="B3107" s="13" t="s">
        <v>3118</v>
      </c>
      <c r="C3107" s="13">
        <v>5.7150000000000016</v>
      </c>
      <c r="H3107" t="s">
        <v>3136</v>
      </c>
      <c r="I3107" t="s">
        <v>5</v>
      </c>
      <c r="J3107">
        <v>5.7150000000000016</v>
      </c>
    </row>
    <row r="3108" spans="2:10">
      <c r="B3108" s="13" t="s">
        <v>3116</v>
      </c>
      <c r="C3108" s="13">
        <v>57.593999999999994</v>
      </c>
      <c r="H3108" t="s">
        <v>3136</v>
      </c>
      <c r="I3108" t="s">
        <v>4</v>
      </c>
      <c r="J3108">
        <v>57.593999999999994</v>
      </c>
    </row>
    <row r="3109" spans="2:10">
      <c r="B3109" s="13" t="s">
        <v>3119</v>
      </c>
      <c r="C3109" s="13">
        <v>30.144000000000002</v>
      </c>
      <c r="H3109" t="s">
        <v>3136</v>
      </c>
      <c r="I3109" t="s">
        <v>3</v>
      </c>
      <c r="J3109">
        <v>30.144000000000002</v>
      </c>
    </row>
    <row r="3110" spans="2:10">
      <c r="B3110" s="13" t="s">
        <v>3115</v>
      </c>
      <c r="C3110" s="13">
        <v>899.43</v>
      </c>
      <c r="H3110" t="s">
        <v>3136</v>
      </c>
      <c r="I3110" t="s">
        <v>3</v>
      </c>
      <c r="J3110">
        <v>899.43</v>
      </c>
    </row>
    <row r="3111" spans="2:10">
      <c r="B3111" s="13" t="s">
        <v>3115</v>
      </c>
      <c r="C3111" s="13">
        <v>520.46399999999994</v>
      </c>
      <c r="H3111" t="s">
        <v>3137</v>
      </c>
      <c r="I3111" t="s">
        <v>3</v>
      </c>
      <c r="J3111">
        <v>520.46399999999994</v>
      </c>
    </row>
    <row r="3112" spans="2:10">
      <c r="B3112" s="13" t="s">
        <v>3114</v>
      </c>
      <c r="C3112" s="13">
        <v>11.423999999999999</v>
      </c>
      <c r="H3112" t="s">
        <v>3137</v>
      </c>
      <c r="I3112" t="s">
        <v>5</v>
      </c>
      <c r="J3112">
        <v>11.423999999999999</v>
      </c>
    </row>
    <row r="3113" spans="2:10">
      <c r="B3113" s="13" t="s">
        <v>3118</v>
      </c>
      <c r="C3113" s="13">
        <v>30.576000000000001</v>
      </c>
      <c r="H3113" t="s">
        <v>3138</v>
      </c>
      <c r="I3113" t="s">
        <v>5</v>
      </c>
      <c r="J3113">
        <v>30.576000000000001</v>
      </c>
    </row>
    <row r="3114" spans="2:10">
      <c r="B3114" s="13" t="s">
        <v>3123</v>
      </c>
      <c r="C3114" s="13">
        <v>13.020000000000001</v>
      </c>
      <c r="H3114" t="s">
        <v>3138</v>
      </c>
      <c r="I3114" t="s">
        <v>5</v>
      </c>
      <c r="J3114">
        <v>13.020000000000001</v>
      </c>
    </row>
    <row r="3115" spans="2:10">
      <c r="B3115" s="13" t="s">
        <v>3119</v>
      </c>
      <c r="C3115" s="13">
        <v>22.14</v>
      </c>
      <c r="H3115" t="s">
        <v>3138</v>
      </c>
      <c r="I3115" t="s">
        <v>3</v>
      </c>
      <c r="J3115">
        <v>22.14</v>
      </c>
    </row>
    <row r="3116" spans="2:10">
      <c r="B3116" s="13" t="s">
        <v>3117</v>
      </c>
      <c r="C3116" s="13">
        <v>359.32</v>
      </c>
      <c r="H3116" t="s">
        <v>3138</v>
      </c>
      <c r="I3116" t="s">
        <v>5</v>
      </c>
      <c r="J3116">
        <v>359.32</v>
      </c>
    </row>
    <row r="3117" spans="2:10">
      <c r="B3117" s="13" t="s">
        <v>3115</v>
      </c>
      <c r="C3117" s="13">
        <v>272.96999999999997</v>
      </c>
      <c r="H3117" t="s">
        <v>3136</v>
      </c>
      <c r="I3117" t="s">
        <v>3</v>
      </c>
      <c r="J3117">
        <v>272.96999999999997</v>
      </c>
    </row>
    <row r="3118" spans="2:10">
      <c r="B3118" s="13" t="s">
        <v>3116</v>
      </c>
      <c r="C3118" s="13">
        <v>419.94399999999996</v>
      </c>
      <c r="H3118" t="s">
        <v>3138</v>
      </c>
      <c r="I3118" t="s">
        <v>4</v>
      </c>
      <c r="J3118">
        <v>419.94399999999996</v>
      </c>
    </row>
    <row r="3119" spans="2:10">
      <c r="B3119" s="13" t="s">
        <v>3120</v>
      </c>
      <c r="C3119" s="13">
        <v>31.799999999999997</v>
      </c>
      <c r="H3119" t="s">
        <v>3136</v>
      </c>
      <c r="I3119" t="s">
        <v>4</v>
      </c>
      <c r="J3119">
        <v>31.799999999999997</v>
      </c>
    </row>
    <row r="3120" spans="2:10">
      <c r="B3120" s="13" t="s">
        <v>3117</v>
      </c>
      <c r="C3120" s="13">
        <v>32.56</v>
      </c>
      <c r="H3120" t="s">
        <v>3137</v>
      </c>
      <c r="I3120" t="s">
        <v>5</v>
      </c>
      <c r="J3120">
        <v>32.56</v>
      </c>
    </row>
    <row r="3121" spans="2:10">
      <c r="B3121" s="13" t="s">
        <v>3114</v>
      </c>
      <c r="C3121" s="13">
        <v>25.92</v>
      </c>
      <c r="H3121" t="s">
        <v>3136</v>
      </c>
      <c r="I3121" t="s">
        <v>5</v>
      </c>
      <c r="J3121">
        <v>25.92</v>
      </c>
    </row>
    <row r="3122" spans="2:10">
      <c r="B3122" s="13" t="s">
        <v>3119</v>
      </c>
      <c r="C3122" s="13">
        <v>120.57600000000001</v>
      </c>
      <c r="H3122" t="s">
        <v>3138</v>
      </c>
      <c r="I3122" t="s">
        <v>3</v>
      </c>
      <c r="J3122">
        <v>120.57600000000001</v>
      </c>
    </row>
    <row r="3123" spans="2:10">
      <c r="B3123" s="13" t="s">
        <v>3114</v>
      </c>
      <c r="C3123" s="13">
        <v>79.92</v>
      </c>
      <c r="H3123" t="s">
        <v>3136</v>
      </c>
      <c r="I3123" t="s">
        <v>5</v>
      </c>
      <c r="J3123">
        <v>79.92</v>
      </c>
    </row>
    <row r="3124" spans="2:10">
      <c r="B3124" s="13" t="s">
        <v>3114</v>
      </c>
      <c r="C3124" s="13">
        <v>12.28</v>
      </c>
      <c r="H3124" t="s">
        <v>3136</v>
      </c>
      <c r="I3124" t="s">
        <v>5</v>
      </c>
      <c r="J3124">
        <v>12.28</v>
      </c>
    </row>
    <row r="3125" spans="2:10">
      <c r="B3125" s="13" t="s">
        <v>3125</v>
      </c>
      <c r="C3125" s="13">
        <v>542.93999999999994</v>
      </c>
      <c r="H3125" t="s">
        <v>3136</v>
      </c>
      <c r="I3125" t="s">
        <v>5</v>
      </c>
      <c r="J3125">
        <v>542.93999999999994</v>
      </c>
    </row>
    <row r="3126" spans="2:10">
      <c r="B3126" s="13" t="s">
        <v>3124</v>
      </c>
      <c r="C3126" s="13">
        <v>2.04</v>
      </c>
      <c r="H3126" t="s">
        <v>3136</v>
      </c>
      <c r="I3126" t="s">
        <v>5</v>
      </c>
      <c r="J3126">
        <v>2.04</v>
      </c>
    </row>
    <row r="3127" spans="2:10">
      <c r="B3127" s="13" t="s">
        <v>3116</v>
      </c>
      <c r="C3127" s="13">
        <v>7.9920000000000009</v>
      </c>
      <c r="H3127" t="s">
        <v>3137</v>
      </c>
      <c r="I3127" t="s">
        <v>4</v>
      </c>
      <c r="J3127">
        <v>7.9920000000000009</v>
      </c>
    </row>
    <row r="3128" spans="2:10">
      <c r="B3128" s="13" t="s">
        <v>3123</v>
      </c>
      <c r="C3128" s="13">
        <v>7.92</v>
      </c>
      <c r="H3128" t="s">
        <v>3136</v>
      </c>
      <c r="I3128" t="s">
        <v>5</v>
      </c>
      <c r="J3128">
        <v>7.92</v>
      </c>
    </row>
    <row r="3129" spans="2:10">
      <c r="B3129" s="13" t="s">
        <v>3120</v>
      </c>
      <c r="C3129" s="13">
        <v>1071</v>
      </c>
      <c r="H3129" t="s">
        <v>3136</v>
      </c>
      <c r="I3129" t="s">
        <v>4</v>
      </c>
      <c r="J3129">
        <v>1071</v>
      </c>
    </row>
    <row r="3130" spans="2:10">
      <c r="B3130" s="13" t="s">
        <v>3119</v>
      </c>
      <c r="C3130" s="13">
        <v>12.07</v>
      </c>
      <c r="H3130" t="s">
        <v>3136</v>
      </c>
      <c r="I3130" t="s">
        <v>3</v>
      </c>
      <c r="J3130">
        <v>12.07</v>
      </c>
    </row>
    <row r="3131" spans="2:10">
      <c r="B3131" s="13" t="s">
        <v>3118</v>
      </c>
      <c r="C3131" s="13">
        <v>3.2730000000000006</v>
      </c>
      <c r="H3131" t="s">
        <v>3136</v>
      </c>
      <c r="I3131" t="s">
        <v>5</v>
      </c>
      <c r="J3131">
        <v>3.2730000000000006</v>
      </c>
    </row>
    <row r="3132" spans="2:10">
      <c r="B3132" s="13" t="s">
        <v>3119</v>
      </c>
      <c r="C3132" s="13">
        <v>87.92</v>
      </c>
      <c r="H3132" t="s">
        <v>3136</v>
      </c>
      <c r="I3132" t="s">
        <v>3</v>
      </c>
      <c r="J3132">
        <v>87.92</v>
      </c>
    </row>
    <row r="3133" spans="2:10">
      <c r="B3133" s="13" t="s">
        <v>3125</v>
      </c>
      <c r="C3133" s="13">
        <v>15.223999999999997</v>
      </c>
      <c r="H3133" t="s">
        <v>3137</v>
      </c>
      <c r="I3133" t="s">
        <v>5</v>
      </c>
      <c r="J3133">
        <v>15.223999999999997</v>
      </c>
    </row>
    <row r="3134" spans="2:10">
      <c r="B3134" s="13" t="s">
        <v>3125</v>
      </c>
      <c r="C3134" s="13">
        <v>21.983999999999995</v>
      </c>
      <c r="H3134" t="s">
        <v>3137</v>
      </c>
      <c r="I3134" t="s">
        <v>5</v>
      </c>
      <c r="J3134">
        <v>21.983999999999995</v>
      </c>
    </row>
    <row r="3135" spans="2:10">
      <c r="B3135" s="13" t="s">
        <v>3114</v>
      </c>
      <c r="C3135" s="13">
        <v>12.96</v>
      </c>
      <c r="H3135" t="s">
        <v>3138</v>
      </c>
      <c r="I3135" t="s">
        <v>5</v>
      </c>
      <c r="J3135">
        <v>12.96</v>
      </c>
    </row>
    <row r="3136" spans="2:10">
      <c r="B3136" s="13" t="s">
        <v>3116</v>
      </c>
      <c r="C3136" s="13">
        <v>285.57599999999996</v>
      </c>
      <c r="H3136" t="s">
        <v>3136</v>
      </c>
      <c r="I3136" t="s">
        <v>4</v>
      </c>
      <c r="J3136">
        <v>285.57599999999996</v>
      </c>
    </row>
    <row r="3137" spans="2:10">
      <c r="B3137" s="13" t="s">
        <v>3122</v>
      </c>
      <c r="C3137" s="13">
        <v>16.256</v>
      </c>
      <c r="H3137" t="s">
        <v>3135</v>
      </c>
      <c r="I3137" t="s">
        <v>5</v>
      </c>
      <c r="J3137">
        <v>16.256</v>
      </c>
    </row>
    <row r="3138" spans="2:10">
      <c r="B3138" s="13" t="s">
        <v>3116</v>
      </c>
      <c r="C3138" s="13">
        <v>219.18400000000003</v>
      </c>
      <c r="H3138" t="s">
        <v>3135</v>
      </c>
      <c r="I3138" t="s">
        <v>4</v>
      </c>
      <c r="J3138">
        <v>219.18400000000003</v>
      </c>
    </row>
    <row r="3139" spans="2:10">
      <c r="B3139" s="13" t="s">
        <v>3119</v>
      </c>
      <c r="C3139" s="13">
        <v>477.29999999999995</v>
      </c>
      <c r="H3139" t="s">
        <v>3137</v>
      </c>
      <c r="I3139" t="s">
        <v>3</v>
      </c>
      <c r="J3139">
        <v>477.29999999999995</v>
      </c>
    </row>
    <row r="3140" spans="2:10">
      <c r="B3140" s="13" t="s">
        <v>3117</v>
      </c>
      <c r="C3140" s="13">
        <v>136.26</v>
      </c>
      <c r="H3140" t="s">
        <v>3138</v>
      </c>
      <c r="I3140" t="s">
        <v>5</v>
      </c>
      <c r="J3140">
        <v>136.26</v>
      </c>
    </row>
    <row r="3141" spans="2:10">
      <c r="B3141" s="13" t="s">
        <v>3120</v>
      </c>
      <c r="C3141" s="13">
        <v>27.192</v>
      </c>
      <c r="H3141" t="s">
        <v>3135</v>
      </c>
      <c r="I3141" t="s">
        <v>4</v>
      </c>
      <c r="J3141">
        <v>27.192</v>
      </c>
    </row>
    <row r="3142" spans="2:10">
      <c r="B3142" s="13" t="s">
        <v>3118</v>
      </c>
      <c r="C3142" s="13">
        <v>12.059999999999999</v>
      </c>
      <c r="H3142" t="s">
        <v>3135</v>
      </c>
      <c r="I3142" t="s">
        <v>5</v>
      </c>
      <c r="J3142">
        <v>12.059999999999999</v>
      </c>
    </row>
    <row r="3143" spans="2:10">
      <c r="B3143" s="13" t="s">
        <v>3115</v>
      </c>
      <c r="C3143" s="13">
        <v>701.96</v>
      </c>
      <c r="H3143" t="s">
        <v>3135</v>
      </c>
      <c r="I3143" t="s">
        <v>3</v>
      </c>
      <c r="J3143">
        <v>701.96</v>
      </c>
    </row>
    <row r="3144" spans="2:10">
      <c r="B3144" s="13" t="s">
        <v>3118</v>
      </c>
      <c r="C3144" s="13">
        <v>164.68800000000002</v>
      </c>
      <c r="H3144" t="s">
        <v>3136</v>
      </c>
      <c r="I3144" t="s">
        <v>5</v>
      </c>
      <c r="J3144">
        <v>164.68800000000002</v>
      </c>
    </row>
    <row r="3145" spans="2:10">
      <c r="B3145" s="13" t="s">
        <v>3126</v>
      </c>
      <c r="C3145" s="13">
        <v>166.5</v>
      </c>
      <c r="H3145" t="s">
        <v>3136</v>
      </c>
      <c r="I3145" t="s">
        <v>3</v>
      </c>
      <c r="J3145">
        <v>166.5</v>
      </c>
    </row>
    <row r="3146" spans="2:10">
      <c r="B3146" s="13" t="s">
        <v>3114</v>
      </c>
      <c r="C3146" s="13">
        <v>12.96</v>
      </c>
      <c r="H3146" t="s">
        <v>3136</v>
      </c>
      <c r="I3146" t="s">
        <v>5</v>
      </c>
      <c r="J3146">
        <v>12.96</v>
      </c>
    </row>
    <row r="3147" spans="2:10">
      <c r="B3147" s="13" t="s">
        <v>3114</v>
      </c>
      <c r="C3147" s="13">
        <v>110.96</v>
      </c>
      <c r="H3147" t="s">
        <v>3136</v>
      </c>
      <c r="I3147" t="s">
        <v>5</v>
      </c>
      <c r="J3147">
        <v>110.96</v>
      </c>
    </row>
    <row r="3148" spans="2:10">
      <c r="B3148" s="13" t="s">
        <v>3116</v>
      </c>
      <c r="C3148" s="13">
        <v>99.98</v>
      </c>
      <c r="H3148" t="s">
        <v>3136</v>
      </c>
      <c r="I3148" t="s">
        <v>4</v>
      </c>
      <c r="J3148">
        <v>99.98</v>
      </c>
    </row>
    <row r="3149" spans="2:10">
      <c r="B3149" s="13" t="s">
        <v>3118</v>
      </c>
      <c r="C3149" s="13">
        <v>11.423999999999999</v>
      </c>
      <c r="H3149" t="s">
        <v>3136</v>
      </c>
      <c r="I3149" t="s">
        <v>5</v>
      </c>
      <c r="J3149">
        <v>11.423999999999999</v>
      </c>
    </row>
    <row r="3150" spans="2:10">
      <c r="B3150" s="13" t="s">
        <v>3115</v>
      </c>
      <c r="C3150" s="13">
        <v>128.12400000000002</v>
      </c>
      <c r="H3150" t="s">
        <v>3136</v>
      </c>
      <c r="I3150" t="s">
        <v>3</v>
      </c>
      <c r="J3150">
        <v>128.12400000000002</v>
      </c>
    </row>
    <row r="3151" spans="2:10">
      <c r="B3151" s="13" t="s">
        <v>3119</v>
      </c>
      <c r="C3151" s="13">
        <v>101.4</v>
      </c>
      <c r="H3151" t="s">
        <v>3136</v>
      </c>
      <c r="I3151" t="s">
        <v>3</v>
      </c>
      <c r="J3151">
        <v>101.4</v>
      </c>
    </row>
    <row r="3152" spans="2:10">
      <c r="B3152" s="13" t="s">
        <v>3117</v>
      </c>
      <c r="C3152" s="13">
        <v>18.16</v>
      </c>
      <c r="H3152" t="s">
        <v>3137</v>
      </c>
      <c r="I3152" t="s">
        <v>5</v>
      </c>
      <c r="J3152">
        <v>18.16</v>
      </c>
    </row>
    <row r="3153" spans="2:10">
      <c r="B3153" s="13" t="s">
        <v>3126</v>
      </c>
      <c r="C3153" s="13">
        <v>673.34399999999994</v>
      </c>
      <c r="H3153" t="s">
        <v>3136</v>
      </c>
      <c r="I3153" t="s">
        <v>3</v>
      </c>
      <c r="J3153">
        <v>673.34399999999994</v>
      </c>
    </row>
    <row r="3154" spans="2:10">
      <c r="B3154" s="13" t="s">
        <v>3123</v>
      </c>
      <c r="C3154" s="13">
        <v>6.5400000000000009</v>
      </c>
      <c r="H3154" t="s">
        <v>3136</v>
      </c>
      <c r="I3154" t="s">
        <v>5</v>
      </c>
      <c r="J3154">
        <v>6.5400000000000009</v>
      </c>
    </row>
    <row r="3155" spans="2:10">
      <c r="B3155" s="13" t="s">
        <v>3118</v>
      </c>
      <c r="C3155" s="13">
        <v>2022.2720000000002</v>
      </c>
      <c r="H3155" t="s">
        <v>3138</v>
      </c>
      <c r="I3155" t="s">
        <v>5</v>
      </c>
      <c r="J3155">
        <v>2022.2720000000002</v>
      </c>
    </row>
    <row r="3156" spans="2:10">
      <c r="B3156" s="13" t="s">
        <v>3122</v>
      </c>
      <c r="C3156" s="13">
        <v>9.120000000000001</v>
      </c>
      <c r="H3156" t="s">
        <v>3138</v>
      </c>
      <c r="I3156" t="s">
        <v>5</v>
      </c>
      <c r="J3156">
        <v>9.120000000000001</v>
      </c>
    </row>
    <row r="3157" spans="2:10">
      <c r="B3157" s="13" t="s">
        <v>3118</v>
      </c>
      <c r="C3157" s="13">
        <v>38.160000000000004</v>
      </c>
      <c r="H3157" t="s">
        <v>3137</v>
      </c>
      <c r="I3157" t="s">
        <v>5</v>
      </c>
      <c r="J3157">
        <v>38.160000000000004</v>
      </c>
    </row>
    <row r="3158" spans="2:10">
      <c r="B3158" s="13" t="s">
        <v>3114</v>
      </c>
      <c r="C3158" s="13">
        <v>4.41</v>
      </c>
      <c r="H3158" t="s">
        <v>3137</v>
      </c>
      <c r="I3158" t="s">
        <v>5</v>
      </c>
      <c r="J3158">
        <v>4.41</v>
      </c>
    </row>
    <row r="3159" spans="2:10">
      <c r="B3159" s="13" t="s">
        <v>3114</v>
      </c>
      <c r="C3159" s="13">
        <v>167.94</v>
      </c>
      <c r="H3159" t="s">
        <v>3137</v>
      </c>
      <c r="I3159" t="s">
        <v>5</v>
      </c>
      <c r="J3159">
        <v>167.94</v>
      </c>
    </row>
    <row r="3160" spans="2:10">
      <c r="B3160" s="13" t="s">
        <v>3114</v>
      </c>
      <c r="C3160" s="13">
        <v>67.8</v>
      </c>
      <c r="H3160" t="s">
        <v>3137</v>
      </c>
      <c r="I3160" t="s">
        <v>5</v>
      </c>
      <c r="J3160">
        <v>67.8</v>
      </c>
    </row>
    <row r="3161" spans="2:10">
      <c r="B3161" s="13" t="s">
        <v>3128</v>
      </c>
      <c r="C3161" s="13">
        <v>204.66639999999998</v>
      </c>
      <c r="H3161" t="s">
        <v>3137</v>
      </c>
      <c r="I3161" t="s">
        <v>3</v>
      </c>
      <c r="J3161">
        <v>204.66639999999998</v>
      </c>
    </row>
    <row r="3162" spans="2:10">
      <c r="B3162" s="13" t="s">
        <v>3125</v>
      </c>
      <c r="C3162" s="13">
        <v>81.08</v>
      </c>
      <c r="H3162" t="s">
        <v>3138</v>
      </c>
      <c r="I3162" t="s">
        <v>5</v>
      </c>
      <c r="J3162">
        <v>81.08</v>
      </c>
    </row>
    <row r="3163" spans="2:10">
      <c r="B3163" s="13" t="s">
        <v>3118</v>
      </c>
      <c r="C3163" s="13">
        <v>83.920000000000016</v>
      </c>
      <c r="H3163" t="s">
        <v>3138</v>
      </c>
      <c r="I3163" t="s">
        <v>5</v>
      </c>
      <c r="J3163">
        <v>83.920000000000016</v>
      </c>
    </row>
    <row r="3164" spans="2:10">
      <c r="B3164" s="13" t="s">
        <v>3119</v>
      </c>
      <c r="C3164" s="13">
        <v>199.89999999999998</v>
      </c>
      <c r="H3164" t="s">
        <v>3138</v>
      </c>
      <c r="I3164" t="s">
        <v>3</v>
      </c>
      <c r="J3164">
        <v>199.89999999999998</v>
      </c>
    </row>
    <row r="3165" spans="2:10">
      <c r="B3165" s="13" t="s">
        <v>3116</v>
      </c>
      <c r="C3165" s="13">
        <v>31.176000000000002</v>
      </c>
      <c r="H3165" t="s">
        <v>3138</v>
      </c>
      <c r="I3165" t="s">
        <v>4</v>
      </c>
      <c r="J3165">
        <v>31.176000000000002</v>
      </c>
    </row>
    <row r="3166" spans="2:10">
      <c r="B3166" s="13" t="s">
        <v>3118</v>
      </c>
      <c r="C3166" s="13">
        <v>172.75200000000001</v>
      </c>
      <c r="H3166" t="s">
        <v>3138</v>
      </c>
      <c r="I3166" t="s">
        <v>5</v>
      </c>
      <c r="J3166">
        <v>172.75200000000001</v>
      </c>
    </row>
    <row r="3167" spans="2:10">
      <c r="B3167" s="13" t="s">
        <v>3118</v>
      </c>
      <c r="C3167" s="13">
        <v>9.2959999999999994</v>
      </c>
      <c r="H3167" t="s">
        <v>3138</v>
      </c>
      <c r="I3167" t="s">
        <v>5</v>
      </c>
      <c r="J3167">
        <v>9.2959999999999994</v>
      </c>
    </row>
    <row r="3168" spans="2:10">
      <c r="B3168" s="13" t="s">
        <v>3117</v>
      </c>
      <c r="C3168" s="13">
        <v>12.768000000000001</v>
      </c>
      <c r="H3168" t="s">
        <v>3137</v>
      </c>
      <c r="I3168" t="s">
        <v>5</v>
      </c>
      <c r="J3168">
        <v>12.768000000000001</v>
      </c>
    </row>
    <row r="3169" spans="2:10">
      <c r="B3169" s="13" t="s">
        <v>3114</v>
      </c>
      <c r="C3169" s="13">
        <v>52.76</v>
      </c>
      <c r="H3169" t="s">
        <v>3138</v>
      </c>
      <c r="I3169" t="s">
        <v>5</v>
      </c>
      <c r="J3169">
        <v>52.76</v>
      </c>
    </row>
    <row r="3170" spans="2:10">
      <c r="B3170" s="13" t="s">
        <v>3117</v>
      </c>
      <c r="C3170" s="13">
        <v>55.616</v>
      </c>
      <c r="H3170" t="s">
        <v>3137</v>
      </c>
      <c r="I3170" t="s">
        <v>5</v>
      </c>
      <c r="J3170">
        <v>55.616</v>
      </c>
    </row>
    <row r="3171" spans="2:10">
      <c r="B3171" s="13" t="s">
        <v>3119</v>
      </c>
      <c r="C3171" s="13">
        <v>8.8559999999999999</v>
      </c>
      <c r="H3171" t="s">
        <v>3137</v>
      </c>
      <c r="I3171" t="s">
        <v>3</v>
      </c>
      <c r="J3171">
        <v>8.8559999999999999</v>
      </c>
    </row>
    <row r="3172" spans="2:10">
      <c r="B3172" s="13" t="s">
        <v>3114</v>
      </c>
      <c r="C3172" s="13">
        <v>16.899999999999999</v>
      </c>
      <c r="H3172" t="s">
        <v>3136</v>
      </c>
      <c r="I3172" t="s">
        <v>5</v>
      </c>
      <c r="J3172">
        <v>16.899999999999999</v>
      </c>
    </row>
    <row r="3173" spans="2:10">
      <c r="B3173" s="13" t="s">
        <v>3114</v>
      </c>
      <c r="C3173" s="13">
        <v>39.96</v>
      </c>
      <c r="H3173" t="s">
        <v>3136</v>
      </c>
      <c r="I3173" t="s">
        <v>5</v>
      </c>
      <c r="J3173">
        <v>39.96</v>
      </c>
    </row>
    <row r="3174" spans="2:10">
      <c r="B3174" s="13" t="s">
        <v>3116</v>
      </c>
      <c r="C3174" s="13">
        <v>79.959999999999994</v>
      </c>
      <c r="H3174" t="s">
        <v>3137</v>
      </c>
      <c r="I3174" t="s">
        <v>4</v>
      </c>
      <c r="J3174">
        <v>79.959999999999994</v>
      </c>
    </row>
    <row r="3175" spans="2:10">
      <c r="B3175" s="13" t="s">
        <v>3116</v>
      </c>
      <c r="C3175" s="13">
        <v>1079.8499999999999</v>
      </c>
      <c r="H3175" t="s">
        <v>3136</v>
      </c>
      <c r="I3175" t="s">
        <v>4</v>
      </c>
      <c r="J3175">
        <v>1079.8499999999999</v>
      </c>
    </row>
    <row r="3176" spans="2:10">
      <c r="B3176" s="13" t="s">
        <v>3117</v>
      </c>
      <c r="C3176" s="13">
        <v>70.98</v>
      </c>
      <c r="H3176" t="s">
        <v>3136</v>
      </c>
      <c r="I3176" t="s">
        <v>5</v>
      </c>
      <c r="J3176">
        <v>70.98</v>
      </c>
    </row>
    <row r="3177" spans="2:10">
      <c r="B3177" s="13" t="s">
        <v>3122</v>
      </c>
      <c r="C3177" s="13">
        <v>29.950000000000003</v>
      </c>
      <c r="H3177" t="s">
        <v>3136</v>
      </c>
      <c r="I3177" t="s">
        <v>5</v>
      </c>
      <c r="J3177">
        <v>29.950000000000003</v>
      </c>
    </row>
    <row r="3178" spans="2:10">
      <c r="B3178" s="13" t="s">
        <v>3115</v>
      </c>
      <c r="C3178" s="13">
        <v>589.41</v>
      </c>
      <c r="H3178" t="s">
        <v>3136</v>
      </c>
      <c r="I3178" t="s">
        <v>3</v>
      </c>
      <c r="J3178">
        <v>589.41</v>
      </c>
    </row>
    <row r="3179" spans="2:10">
      <c r="B3179" s="13" t="s">
        <v>3128</v>
      </c>
      <c r="C3179" s="13">
        <v>400.78400000000005</v>
      </c>
      <c r="H3179" t="s">
        <v>3136</v>
      </c>
      <c r="I3179" t="s">
        <v>3</v>
      </c>
      <c r="J3179">
        <v>400.78400000000005</v>
      </c>
    </row>
    <row r="3180" spans="2:10">
      <c r="B3180" s="13" t="s">
        <v>3117</v>
      </c>
      <c r="C3180" s="13">
        <v>53.72</v>
      </c>
      <c r="H3180" t="s">
        <v>3137</v>
      </c>
      <c r="I3180" t="s">
        <v>5</v>
      </c>
      <c r="J3180">
        <v>53.72</v>
      </c>
    </row>
    <row r="3181" spans="2:10">
      <c r="B3181" s="13" t="s">
        <v>3117</v>
      </c>
      <c r="C3181" s="13">
        <v>195.136</v>
      </c>
      <c r="H3181" t="s">
        <v>3137</v>
      </c>
      <c r="I3181" t="s">
        <v>5</v>
      </c>
      <c r="J3181">
        <v>195.136</v>
      </c>
    </row>
    <row r="3182" spans="2:10">
      <c r="B3182" s="13" t="s">
        <v>3122</v>
      </c>
      <c r="C3182" s="13">
        <v>121.536</v>
      </c>
      <c r="H3182" t="s">
        <v>3137</v>
      </c>
      <c r="I3182" t="s">
        <v>5</v>
      </c>
      <c r="J3182">
        <v>121.536</v>
      </c>
    </row>
    <row r="3183" spans="2:10">
      <c r="B3183" s="13" t="s">
        <v>3114</v>
      </c>
      <c r="C3183" s="13">
        <v>8.56</v>
      </c>
      <c r="H3183" t="s">
        <v>3136</v>
      </c>
      <c r="I3183" t="s">
        <v>5</v>
      </c>
      <c r="J3183">
        <v>8.56</v>
      </c>
    </row>
    <row r="3184" spans="2:10">
      <c r="B3184" s="13" t="s">
        <v>3114</v>
      </c>
      <c r="C3184" s="13">
        <v>11.56</v>
      </c>
      <c r="H3184" t="s">
        <v>3136</v>
      </c>
      <c r="I3184" t="s">
        <v>5</v>
      </c>
      <c r="J3184">
        <v>11.56</v>
      </c>
    </row>
    <row r="3185" spans="2:10">
      <c r="B3185" s="13" t="s">
        <v>3125</v>
      </c>
      <c r="C3185" s="13">
        <v>25.86</v>
      </c>
      <c r="H3185" t="s">
        <v>3138</v>
      </c>
      <c r="I3185" t="s">
        <v>5</v>
      </c>
      <c r="J3185">
        <v>25.86</v>
      </c>
    </row>
    <row r="3186" spans="2:10">
      <c r="B3186" s="13" t="s">
        <v>3118</v>
      </c>
      <c r="C3186" s="13">
        <v>276.78400000000005</v>
      </c>
      <c r="H3186" t="s">
        <v>3138</v>
      </c>
      <c r="I3186" t="s">
        <v>5</v>
      </c>
      <c r="J3186">
        <v>276.78400000000005</v>
      </c>
    </row>
    <row r="3187" spans="2:10">
      <c r="B3187" s="13" t="s">
        <v>3116</v>
      </c>
      <c r="C3187" s="13">
        <v>110.352</v>
      </c>
      <c r="H3187" t="s">
        <v>3138</v>
      </c>
      <c r="I3187" t="s">
        <v>4</v>
      </c>
      <c r="J3187">
        <v>110.352</v>
      </c>
    </row>
    <row r="3188" spans="2:10">
      <c r="B3188" s="13" t="s">
        <v>3114</v>
      </c>
      <c r="C3188" s="13">
        <v>41.472000000000008</v>
      </c>
      <c r="H3188" t="s">
        <v>3137</v>
      </c>
      <c r="I3188" t="s">
        <v>5</v>
      </c>
      <c r="J3188">
        <v>41.472000000000008</v>
      </c>
    </row>
    <row r="3189" spans="2:10">
      <c r="B3189" s="13" t="s">
        <v>3120</v>
      </c>
      <c r="C3189" s="13">
        <v>70.720000000000013</v>
      </c>
      <c r="H3189" t="s">
        <v>3136</v>
      </c>
      <c r="I3189" t="s">
        <v>4</v>
      </c>
      <c r="J3189">
        <v>70.720000000000013</v>
      </c>
    </row>
    <row r="3190" spans="2:10">
      <c r="B3190" s="13" t="s">
        <v>3117</v>
      </c>
      <c r="C3190" s="13">
        <v>194.35200000000003</v>
      </c>
      <c r="H3190" t="s">
        <v>3136</v>
      </c>
      <c r="I3190" t="s">
        <v>5</v>
      </c>
      <c r="J3190">
        <v>194.35200000000003</v>
      </c>
    </row>
    <row r="3191" spans="2:10">
      <c r="B3191" s="13" t="s">
        <v>3114</v>
      </c>
      <c r="C3191" s="13">
        <v>21.6</v>
      </c>
      <c r="H3191" t="s">
        <v>3136</v>
      </c>
      <c r="I3191" t="s">
        <v>5</v>
      </c>
      <c r="J3191">
        <v>21.6</v>
      </c>
    </row>
    <row r="3192" spans="2:10">
      <c r="B3192" s="13" t="s">
        <v>3121</v>
      </c>
      <c r="C3192" s="13">
        <v>11.07</v>
      </c>
      <c r="H3192" t="s">
        <v>3136</v>
      </c>
      <c r="I3192" t="s">
        <v>5</v>
      </c>
      <c r="J3192">
        <v>11.07</v>
      </c>
    </row>
    <row r="3193" spans="2:10">
      <c r="B3193" s="13" t="s">
        <v>3123</v>
      </c>
      <c r="C3193" s="13">
        <v>11.68</v>
      </c>
      <c r="H3193" t="s">
        <v>3135</v>
      </c>
      <c r="I3193" t="s">
        <v>5</v>
      </c>
      <c r="J3193">
        <v>11.68</v>
      </c>
    </row>
    <row r="3194" spans="2:10">
      <c r="B3194" s="13" t="s">
        <v>3127</v>
      </c>
      <c r="C3194" s="13">
        <v>899.98199999999997</v>
      </c>
      <c r="H3194" t="s">
        <v>3136</v>
      </c>
      <c r="I3194" t="s">
        <v>4</v>
      </c>
      <c r="J3194">
        <v>899.98199999999997</v>
      </c>
    </row>
    <row r="3195" spans="2:10">
      <c r="B3195" s="13" t="s">
        <v>3122</v>
      </c>
      <c r="C3195" s="13">
        <v>86.352000000000004</v>
      </c>
      <c r="H3195" t="s">
        <v>3136</v>
      </c>
      <c r="I3195" t="s">
        <v>5</v>
      </c>
      <c r="J3195">
        <v>86.352000000000004</v>
      </c>
    </row>
    <row r="3196" spans="2:10">
      <c r="B3196" s="13" t="s">
        <v>3120</v>
      </c>
      <c r="C3196" s="13">
        <v>139.96000000000004</v>
      </c>
      <c r="H3196" t="s">
        <v>3136</v>
      </c>
      <c r="I3196" t="s">
        <v>4</v>
      </c>
      <c r="J3196">
        <v>139.96000000000004</v>
      </c>
    </row>
    <row r="3197" spans="2:10">
      <c r="B3197" s="13" t="s">
        <v>3125</v>
      </c>
      <c r="C3197" s="13">
        <v>21.391999999999992</v>
      </c>
      <c r="H3197" t="s">
        <v>3137</v>
      </c>
      <c r="I3197" t="s">
        <v>5</v>
      </c>
      <c r="J3197">
        <v>21.391999999999992</v>
      </c>
    </row>
    <row r="3198" spans="2:10">
      <c r="B3198" s="13" t="s">
        <v>3126</v>
      </c>
      <c r="C3198" s="13">
        <v>307.31400000000002</v>
      </c>
      <c r="H3198" t="s">
        <v>3137</v>
      </c>
      <c r="I3198" t="s">
        <v>3</v>
      </c>
      <c r="J3198">
        <v>307.31400000000002</v>
      </c>
    </row>
    <row r="3199" spans="2:10">
      <c r="B3199" s="13" t="s">
        <v>3128</v>
      </c>
      <c r="C3199" s="13">
        <v>409.99919999999997</v>
      </c>
      <c r="H3199" t="s">
        <v>3137</v>
      </c>
      <c r="I3199" t="s">
        <v>3</v>
      </c>
      <c r="J3199">
        <v>409.99919999999997</v>
      </c>
    </row>
    <row r="3200" spans="2:10">
      <c r="B3200" s="13" t="s">
        <v>3114</v>
      </c>
      <c r="C3200" s="13">
        <v>9.2480000000000011</v>
      </c>
      <c r="H3200" t="s">
        <v>3137</v>
      </c>
      <c r="I3200" t="s">
        <v>5</v>
      </c>
      <c r="J3200">
        <v>9.2480000000000011</v>
      </c>
    </row>
    <row r="3201" spans="2:10">
      <c r="B3201" s="13" t="s">
        <v>3125</v>
      </c>
      <c r="C3201" s="13">
        <v>90.64</v>
      </c>
      <c r="H3201" t="s">
        <v>3137</v>
      </c>
      <c r="I3201" t="s">
        <v>5</v>
      </c>
      <c r="J3201">
        <v>90.64</v>
      </c>
    </row>
    <row r="3202" spans="2:10">
      <c r="B3202" s="13" t="s">
        <v>3114</v>
      </c>
      <c r="C3202" s="13">
        <v>11.56</v>
      </c>
      <c r="H3202" t="s">
        <v>3138</v>
      </c>
      <c r="I3202" t="s">
        <v>5</v>
      </c>
      <c r="J3202">
        <v>11.56</v>
      </c>
    </row>
    <row r="3203" spans="2:10">
      <c r="B3203" s="13" t="s">
        <v>3120</v>
      </c>
      <c r="C3203" s="13">
        <v>89.544000000000011</v>
      </c>
      <c r="H3203" t="s">
        <v>3138</v>
      </c>
      <c r="I3203" t="s">
        <v>4</v>
      </c>
      <c r="J3203">
        <v>89.544000000000011</v>
      </c>
    </row>
    <row r="3204" spans="2:10">
      <c r="B3204" s="13" t="s">
        <v>3117</v>
      </c>
      <c r="C3204" s="13">
        <v>35.167999999999999</v>
      </c>
      <c r="H3204" t="s">
        <v>3138</v>
      </c>
      <c r="I3204" t="s">
        <v>5</v>
      </c>
      <c r="J3204">
        <v>35.167999999999999</v>
      </c>
    </row>
    <row r="3205" spans="2:10">
      <c r="B3205" s="13" t="s">
        <v>3118</v>
      </c>
      <c r="C3205" s="13">
        <v>72.588000000000008</v>
      </c>
      <c r="H3205" t="s">
        <v>3138</v>
      </c>
      <c r="I3205" t="s">
        <v>5</v>
      </c>
      <c r="J3205">
        <v>72.588000000000008</v>
      </c>
    </row>
    <row r="3206" spans="2:10">
      <c r="B3206" s="13" t="s">
        <v>3120</v>
      </c>
      <c r="C3206" s="13">
        <v>95.984000000000009</v>
      </c>
      <c r="H3206" t="s">
        <v>3138</v>
      </c>
      <c r="I3206" t="s">
        <v>4</v>
      </c>
      <c r="J3206">
        <v>95.984000000000009</v>
      </c>
    </row>
    <row r="3207" spans="2:10">
      <c r="B3207" s="13" t="s">
        <v>3118</v>
      </c>
      <c r="C3207" s="13">
        <v>4.9380000000000006</v>
      </c>
      <c r="H3207" t="s">
        <v>3138</v>
      </c>
      <c r="I3207" t="s">
        <v>5</v>
      </c>
      <c r="J3207">
        <v>4.9380000000000006</v>
      </c>
    </row>
    <row r="3208" spans="2:10">
      <c r="B3208" s="13" t="s">
        <v>3117</v>
      </c>
      <c r="C3208" s="13">
        <v>193.95000000000002</v>
      </c>
      <c r="H3208" t="s">
        <v>3138</v>
      </c>
      <c r="I3208" t="s">
        <v>5</v>
      </c>
      <c r="J3208">
        <v>193.95000000000002</v>
      </c>
    </row>
    <row r="3209" spans="2:10">
      <c r="B3209" s="13" t="s">
        <v>3119</v>
      </c>
      <c r="C3209" s="13">
        <v>119.94</v>
      </c>
      <c r="H3209" t="s">
        <v>3138</v>
      </c>
      <c r="I3209" t="s">
        <v>3</v>
      </c>
      <c r="J3209">
        <v>119.94</v>
      </c>
    </row>
    <row r="3210" spans="2:10">
      <c r="B3210" s="13" t="s">
        <v>3119</v>
      </c>
      <c r="C3210" s="13">
        <v>12.419999999999998</v>
      </c>
      <c r="H3210" t="s">
        <v>3138</v>
      </c>
      <c r="I3210" t="s">
        <v>3</v>
      </c>
      <c r="J3210">
        <v>12.419999999999998</v>
      </c>
    </row>
    <row r="3211" spans="2:10">
      <c r="B3211" s="13" t="s">
        <v>3121</v>
      </c>
      <c r="C3211" s="13">
        <v>14.940000000000001</v>
      </c>
      <c r="H3211" t="s">
        <v>3135</v>
      </c>
      <c r="I3211" t="s">
        <v>5</v>
      </c>
      <c r="J3211">
        <v>14.940000000000001</v>
      </c>
    </row>
    <row r="3212" spans="2:10">
      <c r="B3212" s="13" t="s">
        <v>3116</v>
      </c>
      <c r="C3212" s="13">
        <v>22</v>
      </c>
      <c r="H3212" t="s">
        <v>3138</v>
      </c>
      <c r="I3212" t="s">
        <v>4</v>
      </c>
      <c r="J3212">
        <v>22</v>
      </c>
    </row>
    <row r="3213" spans="2:10">
      <c r="B3213" s="13" t="s">
        <v>3121</v>
      </c>
      <c r="C3213" s="13">
        <v>8.64</v>
      </c>
      <c r="H3213" t="s">
        <v>3138</v>
      </c>
      <c r="I3213" t="s">
        <v>5</v>
      </c>
      <c r="J3213">
        <v>8.64</v>
      </c>
    </row>
    <row r="3214" spans="2:10">
      <c r="B3214" s="13" t="s">
        <v>3114</v>
      </c>
      <c r="C3214" s="13">
        <v>38.880000000000003</v>
      </c>
      <c r="H3214" t="s">
        <v>3138</v>
      </c>
      <c r="I3214" t="s">
        <v>5</v>
      </c>
      <c r="J3214">
        <v>38.880000000000003</v>
      </c>
    </row>
    <row r="3215" spans="2:10">
      <c r="B3215" s="13" t="s">
        <v>3119</v>
      </c>
      <c r="C3215" s="13">
        <v>201.04</v>
      </c>
      <c r="H3215" t="s">
        <v>3138</v>
      </c>
      <c r="I3215" t="s">
        <v>3</v>
      </c>
      <c r="J3215">
        <v>201.04</v>
      </c>
    </row>
    <row r="3216" spans="2:10">
      <c r="B3216" s="13" t="s">
        <v>3114</v>
      </c>
      <c r="C3216" s="13">
        <v>12.96</v>
      </c>
      <c r="H3216" t="s">
        <v>3138</v>
      </c>
      <c r="I3216" t="s">
        <v>5</v>
      </c>
      <c r="J3216">
        <v>12.96</v>
      </c>
    </row>
    <row r="3217" spans="2:10">
      <c r="B3217" s="13" t="s">
        <v>3120</v>
      </c>
      <c r="C3217" s="13">
        <v>16.59</v>
      </c>
      <c r="H3217" t="s">
        <v>3138</v>
      </c>
      <c r="I3217" t="s">
        <v>4</v>
      </c>
      <c r="J3217">
        <v>16.59</v>
      </c>
    </row>
    <row r="3218" spans="2:10">
      <c r="B3218" s="13" t="s">
        <v>3122</v>
      </c>
      <c r="C3218" s="13">
        <v>35.099999999999994</v>
      </c>
      <c r="H3218" t="s">
        <v>3138</v>
      </c>
      <c r="I3218" t="s">
        <v>5</v>
      </c>
      <c r="J3218">
        <v>35.099999999999994</v>
      </c>
    </row>
    <row r="3219" spans="2:10">
      <c r="B3219" s="13" t="s">
        <v>3118</v>
      </c>
      <c r="C3219" s="13">
        <v>11.645999999999997</v>
      </c>
      <c r="H3219" t="s">
        <v>3137</v>
      </c>
      <c r="I3219" t="s">
        <v>5</v>
      </c>
      <c r="J3219">
        <v>11.645999999999997</v>
      </c>
    </row>
    <row r="3220" spans="2:10">
      <c r="B3220" s="13" t="s">
        <v>3114</v>
      </c>
      <c r="C3220" s="13">
        <v>32.400000000000006</v>
      </c>
      <c r="H3220" t="s">
        <v>3135</v>
      </c>
      <c r="I3220" t="s">
        <v>5</v>
      </c>
      <c r="J3220">
        <v>32.400000000000006</v>
      </c>
    </row>
    <row r="3221" spans="2:10">
      <c r="B3221" s="13" t="s">
        <v>3116</v>
      </c>
      <c r="C3221" s="13">
        <v>503.96</v>
      </c>
      <c r="H3221" t="s">
        <v>3135</v>
      </c>
      <c r="I3221" t="s">
        <v>4</v>
      </c>
      <c r="J3221">
        <v>503.96</v>
      </c>
    </row>
    <row r="3222" spans="2:10">
      <c r="B3222" s="13" t="s">
        <v>3122</v>
      </c>
      <c r="C3222" s="13">
        <v>7.04</v>
      </c>
      <c r="H3222" t="s">
        <v>3136</v>
      </c>
      <c r="I3222" t="s">
        <v>5</v>
      </c>
      <c r="J3222">
        <v>7.04</v>
      </c>
    </row>
    <row r="3223" spans="2:10">
      <c r="B3223" s="13" t="s">
        <v>3114</v>
      </c>
      <c r="C3223" s="13">
        <v>31.08</v>
      </c>
      <c r="H3223" t="s">
        <v>3138</v>
      </c>
      <c r="I3223" t="s">
        <v>5</v>
      </c>
      <c r="J3223">
        <v>31.08</v>
      </c>
    </row>
    <row r="3224" spans="2:10">
      <c r="B3224" s="13" t="s">
        <v>3129</v>
      </c>
      <c r="C3224" s="13">
        <v>7.3</v>
      </c>
      <c r="H3224" t="s">
        <v>3138</v>
      </c>
      <c r="I3224" t="s">
        <v>5</v>
      </c>
      <c r="J3224">
        <v>7.3</v>
      </c>
    </row>
    <row r="3225" spans="2:10">
      <c r="B3225" s="13" t="s">
        <v>3114</v>
      </c>
      <c r="C3225" s="13">
        <v>22.830000000000002</v>
      </c>
      <c r="H3225" t="s">
        <v>3138</v>
      </c>
      <c r="I3225" t="s">
        <v>5</v>
      </c>
      <c r="J3225">
        <v>22.830000000000002</v>
      </c>
    </row>
    <row r="3226" spans="2:10">
      <c r="B3226" s="13" t="s">
        <v>3125</v>
      </c>
      <c r="C3226" s="13">
        <v>54.32</v>
      </c>
      <c r="H3226" t="s">
        <v>3138</v>
      </c>
      <c r="I3226" t="s">
        <v>5</v>
      </c>
      <c r="J3226">
        <v>54.32</v>
      </c>
    </row>
    <row r="3227" spans="2:10">
      <c r="B3227" s="13" t="s">
        <v>3116</v>
      </c>
      <c r="C3227" s="13">
        <v>196.77600000000001</v>
      </c>
      <c r="H3227" t="s">
        <v>3138</v>
      </c>
      <c r="I3227" t="s">
        <v>4</v>
      </c>
      <c r="J3227">
        <v>196.77600000000001</v>
      </c>
    </row>
    <row r="3228" spans="2:10">
      <c r="B3228" s="13" t="s">
        <v>3114</v>
      </c>
      <c r="C3228" s="13">
        <v>11.54</v>
      </c>
      <c r="H3228" t="s">
        <v>3136</v>
      </c>
      <c r="I3228" t="s">
        <v>5</v>
      </c>
      <c r="J3228">
        <v>11.54</v>
      </c>
    </row>
    <row r="3229" spans="2:10">
      <c r="B3229" s="13" t="s">
        <v>3118</v>
      </c>
      <c r="C3229" s="13">
        <v>849.95</v>
      </c>
      <c r="H3229" t="s">
        <v>3136</v>
      </c>
      <c r="I3229" t="s">
        <v>5</v>
      </c>
      <c r="J3229">
        <v>849.95</v>
      </c>
    </row>
    <row r="3230" spans="2:10">
      <c r="B3230" s="13" t="s">
        <v>3118</v>
      </c>
      <c r="C3230" s="13">
        <v>11.01</v>
      </c>
      <c r="H3230" t="s">
        <v>3136</v>
      </c>
      <c r="I3230" t="s">
        <v>5</v>
      </c>
      <c r="J3230">
        <v>11.01</v>
      </c>
    </row>
    <row r="3231" spans="2:10">
      <c r="B3231" s="13" t="s">
        <v>3118</v>
      </c>
      <c r="C3231" s="13">
        <v>39.624000000000009</v>
      </c>
      <c r="H3231" t="s">
        <v>3138</v>
      </c>
      <c r="I3231" t="s">
        <v>5</v>
      </c>
      <c r="J3231">
        <v>39.624000000000009</v>
      </c>
    </row>
    <row r="3232" spans="2:10">
      <c r="B3232" s="13" t="s">
        <v>3117</v>
      </c>
      <c r="C3232" s="13">
        <v>221.024</v>
      </c>
      <c r="H3232" t="s">
        <v>3136</v>
      </c>
      <c r="I3232" t="s">
        <v>5</v>
      </c>
      <c r="J3232">
        <v>221.024</v>
      </c>
    </row>
    <row r="3233" spans="2:10">
      <c r="B3233" s="13" t="s">
        <v>3120</v>
      </c>
      <c r="C3233" s="13">
        <v>89.97</v>
      </c>
      <c r="H3233" t="s">
        <v>3138</v>
      </c>
      <c r="I3233" t="s">
        <v>4</v>
      </c>
      <c r="J3233">
        <v>89.97</v>
      </c>
    </row>
    <row r="3234" spans="2:10">
      <c r="B3234" s="13" t="s">
        <v>3125</v>
      </c>
      <c r="C3234" s="13">
        <v>286.85999999999996</v>
      </c>
      <c r="H3234" t="s">
        <v>3136</v>
      </c>
      <c r="I3234" t="s">
        <v>5</v>
      </c>
      <c r="J3234">
        <v>286.85999999999996</v>
      </c>
    </row>
    <row r="3235" spans="2:10">
      <c r="B3235" s="13" t="s">
        <v>3116</v>
      </c>
      <c r="C3235" s="13">
        <v>979.95</v>
      </c>
      <c r="H3235" t="s">
        <v>3136</v>
      </c>
      <c r="I3235" t="s">
        <v>4</v>
      </c>
      <c r="J3235">
        <v>979.95</v>
      </c>
    </row>
    <row r="3236" spans="2:10">
      <c r="B3236" s="13" t="s">
        <v>3129</v>
      </c>
      <c r="C3236" s="13">
        <v>4.3600000000000003</v>
      </c>
      <c r="H3236" t="s">
        <v>3136</v>
      </c>
      <c r="I3236" t="s">
        <v>5</v>
      </c>
      <c r="J3236">
        <v>4.3600000000000003</v>
      </c>
    </row>
    <row r="3237" spans="2:10">
      <c r="B3237" s="13" t="s">
        <v>3122</v>
      </c>
      <c r="C3237" s="13">
        <v>34.24</v>
      </c>
      <c r="H3237" t="s">
        <v>3138</v>
      </c>
      <c r="I3237" t="s">
        <v>5</v>
      </c>
      <c r="J3237">
        <v>34.24</v>
      </c>
    </row>
    <row r="3238" spans="2:10">
      <c r="B3238" s="13" t="s">
        <v>3117</v>
      </c>
      <c r="C3238" s="13">
        <v>310.12</v>
      </c>
      <c r="H3238" t="s">
        <v>3138</v>
      </c>
      <c r="I3238" t="s">
        <v>5</v>
      </c>
      <c r="J3238">
        <v>310.12</v>
      </c>
    </row>
    <row r="3239" spans="2:10">
      <c r="B3239" s="13" t="s">
        <v>3118</v>
      </c>
      <c r="C3239" s="13">
        <v>70.463999999999999</v>
      </c>
      <c r="H3239" t="s">
        <v>3138</v>
      </c>
      <c r="I3239" t="s">
        <v>5</v>
      </c>
      <c r="J3239">
        <v>70.463999999999999</v>
      </c>
    </row>
    <row r="3240" spans="2:10">
      <c r="B3240" s="13" t="s">
        <v>3118</v>
      </c>
      <c r="C3240" s="13">
        <v>19.68</v>
      </c>
      <c r="H3240" t="s">
        <v>3138</v>
      </c>
      <c r="I3240" t="s">
        <v>5</v>
      </c>
      <c r="J3240">
        <v>19.68</v>
      </c>
    </row>
    <row r="3241" spans="2:10">
      <c r="B3241" s="13" t="s">
        <v>3125</v>
      </c>
      <c r="C3241" s="13">
        <v>140.67000000000002</v>
      </c>
      <c r="H3241" t="s">
        <v>3138</v>
      </c>
      <c r="I3241" t="s">
        <v>5</v>
      </c>
      <c r="J3241">
        <v>140.67000000000002</v>
      </c>
    </row>
    <row r="3242" spans="2:10">
      <c r="B3242" s="13" t="s">
        <v>3121</v>
      </c>
      <c r="C3242" s="13">
        <v>62.65</v>
      </c>
      <c r="H3242" t="s">
        <v>3138</v>
      </c>
      <c r="I3242" t="s">
        <v>5</v>
      </c>
      <c r="J3242">
        <v>62.65</v>
      </c>
    </row>
    <row r="3243" spans="2:10">
      <c r="B3243" s="13" t="s">
        <v>3124</v>
      </c>
      <c r="C3243" s="13">
        <v>268.57600000000002</v>
      </c>
      <c r="H3243" t="s">
        <v>3137</v>
      </c>
      <c r="I3243" t="s">
        <v>5</v>
      </c>
      <c r="J3243">
        <v>268.57600000000002</v>
      </c>
    </row>
    <row r="3244" spans="2:10">
      <c r="B3244" s="13" t="s">
        <v>3126</v>
      </c>
      <c r="C3244" s="13">
        <v>364.08000000000004</v>
      </c>
      <c r="H3244" t="s">
        <v>3138</v>
      </c>
      <c r="I3244" t="s">
        <v>3</v>
      </c>
      <c r="J3244">
        <v>364.08000000000004</v>
      </c>
    </row>
    <row r="3245" spans="2:10">
      <c r="B3245" s="13" t="s">
        <v>3126</v>
      </c>
      <c r="C3245" s="13">
        <v>71.088000000000008</v>
      </c>
      <c r="H3245" t="s">
        <v>3138</v>
      </c>
      <c r="I3245" t="s">
        <v>3</v>
      </c>
      <c r="J3245">
        <v>71.088000000000008</v>
      </c>
    </row>
    <row r="3246" spans="2:10">
      <c r="B3246" s="13" t="s">
        <v>3121</v>
      </c>
      <c r="C3246" s="13">
        <v>8.26</v>
      </c>
      <c r="H3246" t="s">
        <v>3135</v>
      </c>
      <c r="I3246" t="s">
        <v>5</v>
      </c>
      <c r="J3246">
        <v>8.26</v>
      </c>
    </row>
    <row r="3247" spans="2:10">
      <c r="B3247" s="13" t="s">
        <v>3118</v>
      </c>
      <c r="C3247" s="13">
        <v>17.760000000000002</v>
      </c>
      <c r="H3247" t="s">
        <v>3135</v>
      </c>
      <c r="I3247" t="s">
        <v>5</v>
      </c>
      <c r="J3247">
        <v>17.760000000000002</v>
      </c>
    </row>
    <row r="3248" spans="2:10">
      <c r="B3248" s="13" t="s">
        <v>3117</v>
      </c>
      <c r="C3248" s="13">
        <v>332.94</v>
      </c>
      <c r="H3248" t="s">
        <v>3135</v>
      </c>
      <c r="I3248" t="s">
        <v>5</v>
      </c>
      <c r="J3248">
        <v>332.94</v>
      </c>
    </row>
    <row r="3249" spans="2:10">
      <c r="B3249" s="13" t="s">
        <v>3126</v>
      </c>
      <c r="C3249" s="13">
        <v>292.10000000000002</v>
      </c>
      <c r="H3249" t="s">
        <v>3135</v>
      </c>
      <c r="I3249" t="s">
        <v>3</v>
      </c>
      <c r="J3249">
        <v>292.10000000000002</v>
      </c>
    </row>
    <row r="3250" spans="2:10">
      <c r="B3250" s="13" t="s">
        <v>3116</v>
      </c>
      <c r="C3250" s="13">
        <v>206.1</v>
      </c>
      <c r="H3250" t="s">
        <v>3135</v>
      </c>
      <c r="I3250" t="s">
        <v>4</v>
      </c>
      <c r="J3250">
        <v>206.1</v>
      </c>
    </row>
    <row r="3251" spans="2:10">
      <c r="B3251" s="13" t="s">
        <v>3114</v>
      </c>
      <c r="C3251" s="13">
        <v>17.64</v>
      </c>
      <c r="H3251" t="s">
        <v>3135</v>
      </c>
      <c r="I3251" t="s">
        <v>5</v>
      </c>
      <c r="J3251">
        <v>17.64</v>
      </c>
    </row>
    <row r="3252" spans="2:10">
      <c r="B3252" s="13" t="s">
        <v>3122</v>
      </c>
      <c r="C3252" s="13">
        <v>4.3</v>
      </c>
      <c r="H3252" t="s">
        <v>3135</v>
      </c>
      <c r="I3252" t="s">
        <v>5</v>
      </c>
      <c r="J3252">
        <v>4.3</v>
      </c>
    </row>
    <row r="3253" spans="2:10">
      <c r="B3253" s="13" t="s">
        <v>3118</v>
      </c>
      <c r="C3253" s="13">
        <v>9.84</v>
      </c>
      <c r="H3253" t="s">
        <v>3136</v>
      </c>
      <c r="I3253" t="s">
        <v>5</v>
      </c>
      <c r="J3253">
        <v>9.84</v>
      </c>
    </row>
    <row r="3254" spans="2:10">
      <c r="B3254" s="13" t="s">
        <v>3114</v>
      </c>
      <c r="C3254" s="13">
        <v>7.78</v>
      </c>
      <c r="H3254" t="s">
        <v>3136</v>
      </c>
      <c r="I3254" t="s">
        <v>5</v>
      </c>
      <c r="J3254">
        <v>7.78</v>
      </c>
    </row>
    <row r="3255" spans="2:10">
      <c r="B3255" s="13" t="s">
        <v>3118</v>
      </c>
      <c r="C3255" s="13">
        <v>54.900000000000006</v>
      </c>
      <c r="H3255" t="s">
        <v>3137</v>
      </c>
      <c r="I3255" t="s">
        <v>5</v>
      </c>
      <c r="J3255">
        <v>54.900000000000006</v>
      </c>
    </row>
    <row r="3256" spans="2:10">
      <c r="B3256" s="13" t="s">
        <v>3114</v>
      </c>
      <c r="C3256" s="13">
        <v>50.04</v>
      </c>
      <c r="H3256" t="s">
        <v>3138</v>
      </c>
      <c r="I3256" t="s">
        <v>5</v>
      </c>
      <c r="J3256">
        <v>50.04</v>
      </c>
    </row>
    <row r="3257" spans="2:10">
      <c r="B3257" s="13" t="s">
        <v>3128</v>
      </c>
      <c r="C3257" s="13">
        <v>1023.3319999999999</v>
      </c>
      <c r="H3257" t="s">
        <v>3137</v>
      </c>
      <c r="I3257" t="s">
        <v>3</v>
      </c>
      <c r="J3257">
        <v>1023.3319999999999</v>
      </c>
    </row>
    <row r="3258" spans="2:10">
      <c r="B3258" s="13" t="s">
        <v>3115</v>
      </c>
      <c r="C3258" s="13">
        <v>600.55799999999999</v>
      </c>
      <c r="H3258" t="s">
        <v>3137</v>
      </c>
      <c r="I3258" t="s">
        <v>3</v>
      </c>
      <c r="J3258">
        <v>600.55799999999999</v>
      </c>
    </row>
    <row r="3259" spans="2:10">
      <c r="B3259" s="13" t="s">
        <v>3120</v>
      </c>
      <c r="C3259" s="13">
        <v>39.992000000000004</v>
      </c>
      <c r="H3259" t="s">
        <v>3137</v>
      </c>
      <c r="I3259" t="s">
        <v>4</v>
      </c>
      <c r="J3259">
        <v>39.992000000000004</v>
      </c>
    </row>
    <row r="3260" spans="2:10">
      <c r="B3260" s="13" t="s">
        <v>3115</v>
      </c>
      <c r="C3260" s="13">
        <v>211.24599999999998</v>
      </c>
      <c r="H3260" t="s">
        <v>3137</v>
      </c>
      <c r="I3260" t="s">
        <v>3</v>
      </c>
      <c r="J3260">
        <v>211.24599999999998</v>
      </c>
    </row>
    <row r="3261" spans="2:10">
      <c r="B3261" s="13" t="s">
        <v>3129</v>
      </c>
      <c r="C3261" s="13">
        <v>97.3</v>
      </c>
      <c r="H3261" t="s">
        <v>3138</v>
      </c>
      <c r="I3261" t="s">
        <v>5</v>
      </c>
      <c r="J3261">
        <v>97.3</v>
      </c>
    </row>
    <row r="3262" spans="2:10">
      <c r="B3262" s="13" t="s">
        <v>3115</v>
      </c>
      <c r="C3262" s="13">
        <v>194.84800000000001</v>
      </c>
      <c r="H3262" t="s">
        <v>3135</v>
      </c>
      <c r="I3262" t="s">
        <v>3</v>
      </c>
      <c r="J3262">
        <v>194.84800000000001</v>
      </c>
    </row>
    <row r="3263" spans="2:10">
      <c r="B3263" s="13" t="s">
        <v>3118</v>
      </c>
      <c r="C3263" s="13">
        <v>2.1119999999999997</v>
      </c>
      <c r="H3263" t="s">
        <v>3137</v>
      </c>
      <c r="I3263" t="s">
        <v>5</v>
      </c>
      <c r="J3263">
        <v>2.1119999999999997</v>
      </c>
    </row>
    <row r="3264" spans="2:10">
      <c r="B3264" s="13" t="s">
        <v>3117</v>
      </c>
      <c r="C3264" s="13">
        <v>129.30000000000001</v>
      </c>
      <c r="H3264" t="s">
        <v>3136</v>
      </c>
      <c r="I3264" t="s">
        <v>5</v>
      </c>
      <c r="J3264">
        <v>129.30000000000001</v>
      </c>
    </row>
    <row r="3265" spans="2:10">
      <c r="B3265" s="13" t="s">
        <v>3118</v>
      </c>
      <c r="C3265" s="13">
        <v>11.568000000000001</v>
      </c>
      <c r="H3265" t="s">
        <v>3136</v>
      </c>
      <c r="I3265" t="s">
        <v>5</v>
      </c>
      <c r="J3265">
        <v>11.568000000000001</v>
      </c>
    </row>
    <row r="3266" spans="2:10">
      <c r="B3266" s="13" t="s">
        <v>3115</v>
      </c>
      <c r="C3266" s="13">
        <v>242.35200000000003</v>
      </c>
      <c r="H3266" t="s">
        <v>3135</v>
      </c>
      <c r="I3266" t="s">
        <v>3</v>
      </c>
      <c r="J3266">
        <v>242.35200000000003</v>
      </c>
    </row>
    <row r="3267" spans="2:10">
      <c r="B3267" s="13" t="s">
        <v>3120</v>
      </c>
      <c r="C3267" s="13">
        <v>895.94400000000019</v>
      </c>
      <c r="H3267" t="s">
        <v>3136</v>
      </c>
      <c r="I3267" t="s">
        <v>4</v>
      </c>
      <c r="J3267">
        <v>895.94400000000019</v>
      </c>
    </row>
    <row r="3268" spans="2:10">
      <c r="B3268" s="13" t="s">
        <v>3125</v>
      </c>
      <c r="C3268" s="13">
        <v>43.099999999999994</v>
      </c>
      <c r="H3268" t="s">
        <v>3138</v>
      </c>
      <c r="I3268" t="s">
        <v>5</v>
      </c>
      <c r="J3268">
        <v>43.099999999999994</v>
      </c>
    </row>
    <row r="3269" spans="2:10">
      <c r="B3269" s="13" t="s">
        <v>3119</v>
      </c>
      <c r="C3269" s="13">
        <v>511.5</v>
      </c>
      <c r="H3269" t="s">
        <v>3138</v>
      </c>
      <c r="I3269" t="s">
        <v>3</v>
      </c>
      <c r="J3269">
        <v>511.5</v>
      </c>
    </row>
    <row r="3270" spans="2:10">
      <c r="B3270" s="13" t="s">
        <v>3118</v>
      </c>
      <c r="C3270" s="13">
        <v>147.91999999999999</v>
      </c>
      <c r="H3270" t="s">
        <v>3138</v>
      </c>
      <c r="I3270" t="s">
        <v>5</v>
      </c>
      <c r="J3270">
        <v>147.91999999999999</v>
      </c>
    </row>
    <row r="3271" spans="2:10">
      <c r="B3271" s="13" t="s">
        <v>3119</v>
      </c>
      <c r="C3271" s="13">
        <v>50.32</v>
      </c>
      <c r="H3271" t="s">
        <v>3138</v>
      </c>
      <c r="I3271" t="s">
        <v>3</v>
      </c>
      <c r="J3271">
        <v>50.32</v>
      </c>
    </row>
    <row r="3272" spans="2:10">
      <c r="B3272" s="13" t="s">
        <v>3114</v>
      </c>
      <c r="C3272" s="13">
        <v>24.56</v>
      </c>
      <c r="H3272" t="s">
        <v>3138</v>
      </c>
      <c r="I3272" t="s">
        <v>5</v>
      </c>
      <c r="J3272">
        <v>24.56</v>
      </c>
    </row>
    <row r="3273" spans="2:10">
      <c r="B3273" s="13" t="s">
        <v>3117</v>
      </c>
      <c r="C3273" s="13">
        <v>67.400000000000006</v>
      </c>
      <c r="H3273" t="s">
        <v>3137</v>
      </c>
      <c r="I3273" t="s">
        <v>5</v>
      </c>
      <c r="J3273">
        <v>67.400000000000006</v>
      </c>
    </row>
    <row r="3274" spans="2:10">
      <c r="B3274" s="13" t="s">
        <v>3123</v>
      </c>
      <c r="C3274" s="13">
        <v>2.52</v>
      </c>
      <c r="H3274" t="s">
        <v>3137</v>
      </c>
      <c r="I3274" t="s">
        <v>5</v>
      </c>
      <c r="J3274">
        <v>2.52</v>
      </c>
    </row>
    <row r="3275" spans="2:10">
      <c r="B3275" s="13" t="s">
        <v>3116</v>
      </c>
      <c r="C3275" s="13">
        <v>67.8</v>
      </c>
      <c r="H3275" t="s">
        <v>3137</v>
      </c>
      <c r="I3275" t="s">
        <v>4</v>
      </c>
      <c r="J3275">
        <v>67.8</v>
      </c>
    </row>
    <row r="3276" spans="2:10">
      <c r="B3276" s="13" t="s">
        <v>3117</v>
      </c>
      <c r="C3276" s="13">
        <v>18.760000000000002</v>
      </c>
      <c r="H3276" t="s">
        <v>3137</v>
      </c>
      <c r="I3276" t="s">
        <v>5</v>
      </c>
      <c r="J3276">
        <v>18.760000000000002</v>
      </c>
    </row>
    <row r="3277" spans="2:10">
      <c r="B3277" s="13" t="s">
        <v>3120</v>
      </c>
      <c r="C3277" s="13">
        <v>12.12</v>
      </c>
      <c r="H3277" t="s">
        <v>3137</v>
      </c>
      <c r="I3277" t="s">
        <v>4</v>
      </c>
      <c r="J3277">
        <v>12.12</v>
      </c>
    </row>
    <row r="3278" spans="2:10">
      <c r="B3278" s="13" t="s">
        <v>3114</v>
      </c>
      <c r="C3278" s="13">
        <v>11.34</v>
      </c>
      <c r="H3278" t="s">
        <v>3137</v>
      </c>
      <c r="I3278" t="s">
        <v>5</v>
      </c>
      <c r="J3278">
        <v>11.34</v>
      </c>
    </row>
    <row r="3279" spans="2:10">
      <c r="B3279" s="13" t="s">
        <v>3120</v>
      </c>
      <c r="C3279" s="13">
        <v>159.80000000000001</v>
      </c>
      <c r="H3279" t="s">
        <v>3137</v>
      </c>
      <c r="I3279" t="s">
        <v>4</v>
      </c>
      <c r="J3279">
        <v>159.80000000000001</v>
      </c>
    </row>
    <row r="3280" spans="2:10">
      <c r="B3280" s="13" t="s">
        <v>3119</v>
      </c>
      <c r="C3280" s="13">
        <v>18.96</v>
      </c>
      <c r="H3280" t="s">
        <v>3137</v>
      </c>
      <c r="I3280" t="s">
        <v>3</v>
      </c>
      <c r="J3280">
        <v>18.96</v>
      </c>
    </row>
    <row r="3281" spans="2:10">
      <c r="B3281" s="13" t="s">
        <v>3117</v>
      </c>
      <c r="C3281" s="13">
        <v>290.33600000000001</v>
      </c>
      <c r="H3281" t="s">
        <v>3137</v>
      </c>
      <c r="I3281" t="s">
        <v>5</v>
      </c>
      <c r="J3281">
        <v>290.33600000000001</v>
      </c>
    </row>
    <row r="3282" spans="2:10">
      <c r="B3282" s="13" t="s">
        <v>3122</v>
      </c>
      <c r="C3282" s="13">
        <v>19.152000000000001</v>
      </c>
      <c r="H3282" t="s">
        <v>3137</v>
      </c>
      <c r="I3282" t="s">
        <v>5</v>
      </c>
      <c r="J3282">
        <v>19.152000000000001</v>
      </c>
    </row>
    <row r="3283" spans="2:10">
      <c r="B3283" s="13" t="s">
        <v>3117</v>
      </c>
      <c r="C3283" s="13">
        <v>848.5440000000001</v>
      </c>
      <c r="H3283" t="s">
        <v>3136</v>
      </c>
      <c r="I3283" t="s">
        <v>5</v>
      </c>
      <c r="J3283">
        <v>848.5440000000001</v>
      </c>
    </row>
    <row r="3284" spans="2:10">
      <c r="B3284" s="13" t="s">
        <v>3118</v>
      </c>
      <c r="C3284" s="13">
        <v>8.7000000000000011</v>
      </c>
      <c r="H3284" t="s">
        <v>3136</v>
      </c>
      <c r="I3284" t="s">
        <v>5</v>
      </c>
      <c r="J3284">
        <v>8.7000000000000011</v>
      </c>
    </row>
    <row r="3285" spans="2:10">
      <c r="B3285" s="13" t="s">
        <v>3116</v>
      </c>
      <c r="C3285" s="13">
        <v>122.38199999999999</v>
      </c>
      <c r="H3285" t="s">
        <v>3136</v>
      </c>
      <c r="I3285" t="s">
        <v>4</v>
      </c>
      <c r="J3285">
        <v>122.38199999999999</v>
      </c>
    </row>
    <row r="3286" spans="2:10">
      <c r="B3286" s="13" t="s">
        <v>3114</v>
      </c>
      <c r="C3286" s="13">
        <v>9.9600000000000009</v>
      </c>
      <c r="H3286" t="s">
        <v>3136</v>
      </c>
      <c r="I3286" t="s">
        <v>5</v>
      </c>
      <c r="J3286">
        <v>9.9600000000000009</v>
      </c>
    </row>
    <row r="3287" spans="2:10">
      <c r="B3287" s="13" t="s">
        <v>3122</v>
      </c>
      <c r="C3287" s="13">
        <v>8.94</v>
      </c>
      <c r="H3287" t="s">
        <v>3136</v>
      </c>
      <c r="I3287" t="s">
        <v>5</v>
      </c>
      <c r="J3287">
        <v>8.94</v>
      </c>
    </row>
    <row r="3288" spans="2:10">
      <c r="B3288" s="13" t="s">
        <v>3117</v>
      </c>
      <c r="C3288" s="13">
        <v>237.09600000000003</v>
      </c>
      <c r="H3288" t="s">
        <v>3138</v>
      </c>
      <c r="I3288" t="s">
        <v>5</v>
      </c>
      <c r="J3288">
        <v>237.09600000000003</v>
      </c>
    </row>
    <row r="3289" spans="2:10">
      <c r="B3289" s="13" t="s">
        <v>3119</v>
      </c>
      <c r="C3289" s="13">
        <v>22.752000000000002</v>
      </c>
      <c r="H3289" t="s">
        <v>3138</v>
      </c>
      <c r="I3289" t="s">
        <v>3</v>
      </c>
      <c r="J3289">
        <v>22.752000000000002</v>
      </c>
    </row>
    <row r="3290" spans="2:10">
      <c r="B3290" s="13" t="s">
        <v>3114</v>
      </c>
      <c r="C3290" s="13">
        <v>6.6720000000000006</v>
      </c>
      <c r="H3290" t="s">
        <v>3138</v>
      </c>
      <c r="I3290" t="s">
        <v>5</v>
      </c>
      <c r="J3290">
        <v>6.6720000000000006</v>
      </c>
    </row>
    <row r="3291" spans="2:10">
      <c r="B3291" s="13" t="s">
        <v>3114</v>
      </c>
      <c r="C3291" s="13">
        <v>12.96</v>
      </c>
      <c r="H3291" t="s">
        <v>3137</v>
      </c>
      <c r="I3291" t="s">
        <v>5</v>
      </c>
      <c r="J3291">
        <v>12.96</v>
      </c>
    </row>
    <row r="3292" spans="2:10">
      <c r="B3292" s="13" t="s">
        <v>3114</v>
      </c>
      <c r="C3292" s="13">
        <v>94.85</v>
      </c>
      <c r="H3292" t="s">
        <v>3137</v>
      </c>
      <c r="I3292" t="s">
        <v>5</v>
      </c>
      <c r="J3292">
        <v>94.85</v>
      </c>
    </row>
    <row r="3293" spans="2:10">
      <c r="B3293" s="13" t="s">
        <v>3117</v>
      </c>
      <c r="C3293" s="13">
        <v>13.48</v>
      </c>
      <c r="H3293" t="s">
        <v>3137</v>
      </c>
      <c r="I3293" t="s">
        <v>5</v>
      </c>
      <c r="J3293">
        <v>13.48</v>
      </c>
    </row>
    <row r="3294" spans="2:10">
      <c r="B3294" s="13" t="s">
        <v>3119</v>
      </c>
      <c r="C3294" s="13">
        <v>14.91</v>
      </c>
      <c r="H3294" t="s">
        <v>3137</v>
      </c>
      <c r="I3294" t="s">
        <v>3</v>
      </c>
      <c r="J3294">
        <v>14.91</v>
      </c>
    </row>
    <row r="3295" spans="2:10">
      <c r="B3295" s="13" t="s">
        <v>3120</v>
      </c>
      <c r="C3295" s="13">
        <v>191.96800000000002</v>
      </c>
      <c r="H3295" t="s">
        <v>3137</v>
      </c>
      <c r="I3295" t="s">
        <v>4</v>
      </c>
      <c r="J3295">
        <v>191.96800000000002</v>
      </c>
    </row>
    <row r="3296" spans="2:10">
      <c r="B3296" s="13" t="s">
        <v>3118</v>
      </c>
      <c r="C3296" s="13">
        <v>102.93</v>
      </c>
      <c r="H3296" t="s">
        <v>3136</v>
      </c>
      <c r="I3296" t="s">
        <v>5</v>
      </c>
      <c r="J3296">
        <v>102.93</v>
      </c>
    </row>
    <row r="3297" spans="2:10">
      <c r="B3297" s="13" t="s">
        <v>3120</v>
      </c>
      <c r="C3297" s="13">
        <v>223.58</v>
      </c>
      <c r="H3297" t="s">
        <v>3138</v>
      </c>
      <c r="I3297" t="s">
        <v>4</v>
      </c>
      <c r="J3297">
        <v>223.58</v>
      </c>
    </row>
    <row r="3298" spans="2:10">
      <c r="B3298" s="13" t="s">
        <v>3115</v>
      </c>
      <c r="C3298" s="13">
        <v>1925.88</v>
      </c>
      <c r="H3298" t="s">
        <v>3137</v>
      </c>
      <c r="I3298" t="s">
        <v>3</v>
      </c>
      <c r="J3298">
        <v>1925.88</v>
      </c>
    </row>
    <row r="3299" spans="2:10">
      <c r="B3299" s="13" t="s">
        <v>3125</v>
      </c>
      <c r="C3299" s="13">
        <v>2405.1999999999998</v>
      </c>
      <c r="H3299" t="s">
        <v>3137</v>
      </c>
      <c r="I3299" t="s">
        <v>5</v>
      </c>
      <c r="J3299">
        <v>2405.1999999999998</v>
      </c>
    </row>
    <row r="3300" spans="2:10">
      <c r="B3300" s="13" t="s">
        <v>3120</v>
      </c>
      <c r="C3300" s="13">
        <v>83.97</v>
      </c>
      <c r="H3300" t="s">
        <v>3137</v>
      </c>
      <c r="I3300" t="s">
        <v>4</v>
      </c>
      <c r="J3300">
        <v>83.97</v>
      </c>
    </row>
    <row r="3301" spans="2:10">
      <c r="B3301" s="13" t="s">
        <v>3120</v>
      </c>
      <c r="C3301" s="13">
        <v>39.89</v>
      </c>
      <c r="H3301" t="s">
        <v>3137</v>
      </c>
      <c r="I3301" t="s">
        <v>4</v>
      </c>
      <c r="J3301">
        <v>39.89</v>
      </c>
    </row>
    <row r="3302" spans="2:10">
      <c r="B3302" s="13" t="s">
        <v>3118</v>
      </c>
      <c r="C3302" s="13">
        <v>17.38</v>
      </c>
      <c r="H3302" t="s">
        <v>3137</v>
      </c>
      <c r="I3302" t="s">
        <v>5</v>
      </c>
      <c r="J3302">
        <v>17.38</v>
      </c>
    </row>
    <row r="3303" spans="2:10">
      <c r="B3303" s="13" t="s">
        <v>3122</v>
      </c>
      <c r="C3303" s="13">
        <v>9.3439999999999994</v>
      </c>
      <c r="H3303" t="s">
        <v>3138</v>
      </c>
      <c r="I3303" t="s">
        <v>5</v>
      </c>
      <c r="J3303">
        <v>9.3439999999999994</v>
      </c>
    </row>
    <row r="3304" spans="2:10">
      <c r="B3304" s="13" t="s">
        <v>3120</v>
      </c>
      <c r="C3304" s="13">
        <v>18</v>
      </c>
      <c r="H3304" t="s">
        <v>3135</v>
      </c>
      <c r="I3304" t="s">
        <v>4</v>
      </c>
      <c r="J3304">
        <v>18</v>
      </c>
    </row>
    <row r="3305" spans="2:10">
      <c r="B3305" s="13" t="s">
        <v>3118</v>
      </c>
      <c r="C3305" s="13">
        <v>40.199999999999996</v>
      </c>
      <c r="H3305" t="s">
        <v>3136</v>
      </c>
      <c r="I3305" t="s">
        <v>5</v>
      </c>
      <c r="J3305">
        <v>40.199999999999996</v>
      </c>
    </row>
    <row r="3306" spans="2:10">
      <c r="B3306" s="13" t="s">
        <v>3118</v>
      </c>
      <c r="C3306" s="13">
        <v>735.98</v>
      </c>
      <c r="H3306" t="s">
        <v>3136</v>
      </c>
      <c r="I3306" t="s">
        <v>5</v>
      </c>
      <c r="J3306">
        <v>735.98</v>
      </c>
    </row>
    <row r="3307" spans="2:10">
      <c r="B3307" s="13" t="s">
        <v>3125</v>
      </c>
      <c r="C3307" s="13">
        <v>22.75</v>
      </c>
      <c r="H3307" t="s">
        <v>3136</v>
      </c>
      <c r="I3307" t="s">
        <v>5</v>
      </c>
      <c r="J3307">
        <v>22.75</v>
      </c>
    </row>
    <row r="3308" spans="2:10">
      <c r="B3308" s="13" t="s">
        <v>3121</v>
      </c>
      <c r="C3308" s="13">
        <v>16.520000000000003</v>
      </c>
      <c r="H3308" t="s">
        <v>3136</v>
      </c>
      <c r="I3308" t="s">
        <v>5</v>
      </c>
      <c r="J3308">
        <v>16.520000000000003</v>
      </c>
    </row>
    <row r="3309" spans="2:10">
      <c r="B3309" s="13" t="s">
        <v>3120</v>
      </c>
      <c r="C3309" s="13">
        <v>79.989999999999995</v>
      </c>
      <c r="H3309" t="s">
        <v>3135</v>
      </c>
      <c r="I3309" t="s">
        <v>4</v>
      </c>
      <c r="J3309">
        <v>79.989999999999995</v>
      </c>
    </row>
    <row r="3310" spans="2:10">
      <c r="B3310" s="13" t="s">
        <v>3116</v>
      </c>
      <c r="C3310" s="13">
        <v>206.1</v>
      </c>
      <c r="H3310" t="s">
        <v>3135</v>
      </c>
      <c r="I3310" t="s">
        <v>4</v>
      </c>
      <c r="J3310">
        <v>206.1</v>
      </c>
    </row>
    <row r="3311" spans="2:10">
      <c r="B3311" s="13" t="s">
        <v>3119</v>
      </c>
      <c r="C3311" s="13">
        <v>91.96</v>
      </c>
      <c r="H3311" t="s">
        <v>3138</v>
      </c>
      <c r="I3311" t="s">
        <v>3</v>
      </c>
      <c r="J3311">
        <v>91.96</v>
      </c>
    </row>
    <row r="3312" spans="2:10">
      <c r="B3312" s="13" t="s">
        <v>3116</v>
      </c>
      <c r="C3312" s="13">
        <v>258.57600000000002</v>
      </c>
      <c r="H3312" t="s">
        <v>3138</v>
      </c>
      <c r="I3312" t="s">
        <v>4</v>
      </c>
      <c r="J3312">
        <v>258.57600000000002</v>
      </c>
    </row>
    <row r="3313" spans="2:10">
      <c r="B3313" s="13" t="s">
        <v>3114</v>
      </c>
      <c r="C3313" s="13">
        <v>29.6</v>
      </c>
      <c r="H3313" t="s">
        <v>3138</v>
      </c>
      <c r="I3313" t="s">
        <v>5</v>
      </c>
      <c r="J3313">
        <v>29.6</v>
      </c>
    </row>
    <row r="3314" spans="2:10">
      <c r="B3314" s="13" t="s">
        <v>3125</v>
      </c>
      <c r="C3314" s="13">
        <v>243.16</v>
      </c>
      <c r="H3314" t="s">
        <v>3138</v>
      </c>
      <c r="I3314" t="s">
        <v>5</v>
      </c>
      <c r="J3314">
        <v>243.16</v>
      </c>
    </row>
    <row r="3315" spans="2:10">
      <c r="C3315" s="13">
        <f>SUM(C3:C3314)</f>
        <v>733215.2551999999</v>
      </c>
    </row>
    <row r="3316" spans="2:10">
      <c r="C3316" s="13">
        <f>SUM(C6:C3312)</f>
        <v>732826.09919999982</v>
      </c>
    </row>
  </sheetData>
  <autoFilter ref="B2:C331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33F0-64D8-4BA8-9105-C2BF63601543}">
  <sheetPr codeName="Sheet4"/>
  <dimension ref="B2:C3314"/>
  <sheetViews>
    <sheetView topLeftCell="A2" workbookViewId="0">
      <selection activeCell="F15" sqref="F15"/>
    </sheetView>
  </sheetViews>
  <sheetFormatPr defaultRowHeight="14.4"/>
  <cols>
    <col min="2" max="2" width="13.109375" bestFit="1" customWidth="1"/>
  </cols>
  <sheetData>
    <row r="2" spans="2:3" ht="15.6">
      <c r="B2" s="16" t="s">
        <v>2</v>
      </c>
      <c r="C2" s="17" t="s">
        <v>0</v>
      </c>
    </row>
    <row r="3" spans="2:3">
      <c r="B3" s="18" t="s">
        <v>3</v>
      </c>
      <c r="C3" s="19">
        <v>71.371999999999986</v>
      </c>
    </row>
    <row r="4" spans="2:3">
      <c r="B4" s="18" t="s">
        <v>3</v>
      </c>
      <c r="C4" s="19">
        <v>9.7080000000000002</v>
      </c>
    </row>
    <row r="5" spans="2:3">
      <c r="B5" s="18" t="s">
        <v>3</v>
      </c>
      <c r="C5" s="19">
        <v>301.95999999999998</v>
      </c>
    </row>
    <row r="6" spans="2:3">
      <c r="B6" s="18" t="s">
        <v>3</v>
      </c>
      <c r="C6" s="19">
        <v>96.53</v>
      </c>
    </row>
    <row r="7" spans="2:3">
      <c r="B7" s="18" t="s">
        <v>3</v>
      </c>
      <c r="C7" s="19">
        <v>41.96</v>
      </c>
    </row>
    <row r="8" spans="2:3">
      <c r="B8" s="18" t="s">
        <v>3</v>
      </c>
      <c r="C8" s="19">
        <v>35.168000000000006</v>
      </c>
    </row>
    <row r="9" spans="2:3">
      <c r="B9" s="18" t="s">
        <v>3</v>
      </c>
      <c r="C9" s="19">
        <v>233.86</v>
      </c>
    </row>
    <row r="10" spans="2:3">
      <c r="B10" s="18" t="s">
        <v>3</v>
      </c>
      <c r="C10" s="19">
        <v>620.61450000000013</v>
      </c>
    </row>
    <row r="11" spans="2:3">
      <c r="B11" s="18" t="s">
        <v>3</v>
      </c>
      <c r="C11" s="19">
        <v>258.072</v>
      </c>
    </row>
    <row r="12" spans="2:3">
      <c r="B12" s="18" t="s">
        <v>3</v>
      </c>
      <c r="C12" s="19">
        <v>219.07500000000002</v>
      </c>
    </row>
    <row r="13" spans="2:3">
      <c r="B13" s="18" t="s">
        <v>3</v>
      </c>
      <c r="C13" s="19">
        <v>15.991999999999999</v>
      </c>
    </row>
    <row r="14" spans="2:3">
      <c r="B14" s="18" t="s">
        <v>3</v>
      </c>
      <c r="C14" s="19">
        <v>488.64600000000002</v>
      </c>
    </row>
    <row r="15" spans="2:3">
      <c r="B15" s="18" t="s">
        <v>3</v>
      </c>
      <c r="C15" s="19">
        <v>47.12</v>
      </c>
    </row>
    <row r="16" spans="2:3">
      <c r="B16" s="18" t="s">
        <v>3</v>
      </c>
      <c r="C16" s="19">
        <v>1488.4239999999998</v>
      </c>
    </row>
    <row r="17" spans="2:3">
      <c r="B17" s="18" t="s">
        <v>3</v>
      </c>
      <c r="C17" s="19">
        <v>1004.0239999999999</v>
      </c>
    </row>
    <row r="18" spans="2:3">
      <c r="B18" s="18" t="s">
        <v>3</v>
      </c>
      <c r="C18" s="19">
        <v>1336.829</v>
      </c>
    </row>
    <row r="19" spans="2:3">
      <c r="B19" s="18" t="s">
        <v>3</v>
      </c>
      <c r="C19" s="19">
        <v>113.56800000000001</v>
      </c>
    </row>
    <row r="20" spans="2:3">
      <c r="B20" s="18" t="s">
        <v>3</v>
      </c>
      <c r="C20" s="19">
        <v>307.13600000000002</v>
      </c>
    </row>
    <row r="21" spans="2:3">
      <c r="B21" s="18" t="s">
        <v>3</v>
      </c>
      <c r="C21" s="19">
        <v>56.56</v>
      </c>
    </row>
    <row r="22" spans="2:3">
      <c r="B22" s="18" t="s">
        <v>3</v>
      </c>
      <c r="C22" s="19">
        <v>866.4</v>
      </c>
    </row>
    <row r="23" spans="2:3">
      <c r="B23" s="18" t="s">
        <v>3</v>
      </c>
      <c r="C23" s="19">
        <v>28.4</v>
      </c>
    </row>
    <row r="24" spans="2:3">
      <c r="B24" s="18" t="s">
        <v>3</v>
      </c>
      <c r="C24" s="19">
        <v>207.84600000000003</v>
      </c>
    </row>
    <row r="25" spans="2:3">
      <c r="B25" s="18" t="s">
        <v>3</v>
      </c>
      <c r="C25" s="19">
        <v>2.91</v>
      </c>
    </row>
    <row r="26" spans="2:3">
      <c r="B26" s="18" t="s">
        <v>3</v>
      </c>
      <c r="C26" s="19">
        <v>284.36399999999998</v>
      </c>
    </row>
    <row r="27" spans="2:3">
      <c r="B27" s="18" t="s">
        <v>3</v>
      </c>
      <c r="C27" s="19">
        <v>205.33279999999996</v>
      </c>
    </row>
    <row r="28" spans="2:3">
      <c r="B28" s="18" t="s">
        <v>3</v>
      </c>
      <c r="C28" s="19">
        <v>514.16499999999996</v>
      </c>
    </row>
    <row r="29" spans="2:3">
      <c r="B29" s="18" t="s">
        <v>3</v>
      </c>
      <c r="C29" s="19">
        <v>126.30000000000001</v>
      </c>
    </row>
    <row r="30" spans="2:3">
      <c r="B30" s="18" t="s">
        <v>3</v>
      </c>
      <c r="C30" s="19">
        <v>210.98</v>
      </c>
    </row>
    <row r="31" spans="2:3">
      <c r="B31" s="18" t="s">
        <v>3</v>
      </c>
      <c r="C31" s="19">
        <v>683.95200000000011</v>
      </c>
    </row>
    <row r="32" spans="2:3">
      <c r="B32" s="18" t="s">
        <v>3</v>
      </c>
      <c r="C32" s="19">
        <v>45.695999999999998</v>
      </c>
    </row>
    <row r="33" spans="2:3">
      <c r="B33" s="18" t="s">
        <v>3</v>
      </c>
      <c r="C33" s="19">
        <v>47.94</v>
      </c>
    </row>
    <row r="34" spans="2:3">
      <c r="B34" s="18" t="s">
        <v>3</v>
      </c>
      <c r="C34" s="19">
        <v>34.504000000000005</v>
      </c>
    </row>
    <row r="35" spans="2:3">
      <c r="B35" s="18" t="s">
        <v>3</v>
      </c>
      <c r="C35" s="19">
        <v>42.599999999999994</v>
      </c>
    </row>
    <row r="36" spans="2:3">
      <c r="B36" s="18" t="s">
        <v>3</v>
      </c>
      <c r="C36" s="19">
        <v>451.15199999999993</v>
      </c>
    </row>
    <row r="37" spans="2:3">
      <c r="B37" s="18" t="s">
        <v>3</v>
      </c>
      <c r="C37" s="19">
        <v>8.7919999999999998</v>
      </c>
    </row>
    <row r="38" spans="2:3">
      <c r="B38" s="18" t="s">
        <v>3</v>
      </c>
      <c r="C38" s="19">
        <v>40.479999999999997</v>
      </c>
    </row>
    <row r="39" spans="2:3">
      <c r="B39" s="18" t="s">
        <v>3</v>
      </c>
      <c r="C39" s="19">
        <v>9.94</v>
      </c>
    </row>
    <row r="40" spans="2:3">
      <c r="B40" s="18" t="s">
        <v>3</v>
      </c>
      <c r="C40" s="19">
        <v>88.02</v>
      </c>
    </row>
    <row r="41" spans="2:3">
      <c r="B41" s="18" t="s">
        <v>3</v>
      </c>
      <c r="C41" s="19">
        <v>35.56</v>
      </c>
    </row>
    <row r="42" spans="2:3">
      <c r="B42" s="18" t="s">
        <v>3</v>
      </c>
      <c r="C42" s="19">
        <v>23.976000000000003</v>
      </c>
    </row>
    <row r="43" spans="2:3">
      <c r="B43" s="18" t="s">
        <v>3</v>
      </c>
      <c r="C43" s="19">
        <v>108.925</v>
      </c>
    </row>
    <row r="44" spans="2:3">
      <c r="B44" s="18" t="s">
        <v>3</v>
      </c>
      <c r="C44" s="19">
        <v>82.524000000000001</v>
      </c>
    </row>
    <row r="45" spans="2:3">
      <c r="B45" s="18" t="s">
        <v>3</v>
      </c>
      <c r="C45" s="19">
        <v>191.98400000000001</v>
      </c>
    </row>
    <row r="46" spans="2:3">
      <c r="B46" s="18" t="s">
        <v>3</v>
      </c>
      <c r="C46" s="19">
        <v>15.072000000000003</v>
      </c>
    </row>
    <row r="47" spans="2:3">
      <c r="B47" s="18" t="s">
        <v>3</v>
      </c>
      <c r="C47" s="19">
        <v>103.05599999999998</v>
      </c>
    </row>
    <row r="48" spans="2:3">
      <c r="B48" s="18" t="s">
        <v>3</v>
      </c>
      <c r="C48" s="19">
        <v>84.98</v>
      </c>
    </row>
    <row r="49" spans="2:3">
      <c r="B49" s="18" t="s">
        <v>3</v>
      </c>
      <c r="C49" s="19">
        <v>157.74</v>
      </c>
    </row>
    <row r="50" spans="2:3">
      <c r="B50" s="18" t="s">
        <v>3</v>
      </c>
      <c r="C50" s="19">
        <v>34.580000000000005</v>
      </c>
    </row>
    <row r="51" spans="2:3">
      <c r="B51" s="18" t="s">
        <v>3</v>
      </c>
      <c r="C51" s="19">
        <v>22.23</v>
      </c>
    </row>
    <row r="52" spans="2:3">
      <c r="B52" s="18" t="s">
        <v>3</v>
      </c>
      <c r="C52" s="19">
        <v>18.28</v>
      </c>
    </row>
    <row r="53" spans="2:3">
      <c r="B53" s="18" t="s">
        <v>3</v>
      </c>
      <c r="C53" s="19">
        <v>18.28</v>
      </c>
    </row>
    <row r="54" spans="2:3">
      <c r="B54" s="18" t="s">
        <v>3</v>
      </c>
      <c r="C54" s="19">
        <v>301.95999999999998</v>
      </c>
    </row>
    <row r="55" spans="2:3">
      <c r="B55" s="18" t="s">
        <v>3</v>
      </c>
      <c r="C55" s="19">
        <v>48.896000000000001</v>
      </c>
    </row>
    <row r="56" spans="2:3">
      <c r="B56" s="18" t="s">
        <v>3</v>
      </c>
      <c r="C56" s="19">
        <v>1242.8999999999999</v>
      </c>
    </row>
    <row r="57" spans="2:3">
      <c r="B57" s="18" t="s">
        <v>3</v>
      </c>
      <c r="C57" s="19">
        <v>323.13600000000002</v>
      </c>
    </row>
    <row r="58" spans="2:3">
      <c r="B58" s="18" t="s">
        <v>3</v>
      </c>
      <c r="C58" s="19">
        <v>46.94</v>
      </c>
    </row>
    <row r="59" spans="2:3">
      <c r="B59" s="18" t="s">
        <v>3</v>
      </c>
      <c r="C59" s="19">
        <v>516.48800000000006</v>
      </c>
    </row>
    <row r="60" spans="2:3">
      <c r="B60" s="18" t="s">
        <v>3</v>
      </c>
      <c r="C60" s="19">
        <v>1007.2320000000001</v>
      </c>
    </row>
    <row r="61" spans="2:3">
      <c r="B61" s="18" t="s">
        <v>3</v>
      </c>
      <c r="C61" s="19">
        <v>2065.3200000000002</v>
      </c>
    </row>
    <row r="62" spans="2:3">
      <c r="B62" s="18" t="s">
        <v>3</v>
      </c>
      <c r="C62" s="19">
        <v>25.472000000000001</v>
      </c>
    </row>
    <row r="63" spans="2:3">
      <c r="B63" s="18" t="s">
        <v>3</v>
      </c>
      <c r="C63" s="19">
        <v>78.852799999999988</v>
      </c>
    </row>
    <row r="64" spans="2:3">
      <c r="B64" s="18" t="s">
        <v>3</v>
      </c>
      <c r="C64" s="19">
        <v>321.56799999999998</v>
      </c>
    </row>
    <row r="65" spans="2:3">
      <c r="B65" s="18" t="s">
        <v>3</v>
      </c>
      <c r="C65" s="19">
        <v>520.05000000000007</v>
      </c>
    </row>
    <row r="66" spans="2:3">
      <c r="B66" s="18" t="s">
        <v>3</v>
      </c>
      <c r="C66" s="19">
        <v>155.25</v>
      </c>
    </row>
    <row r="67" spans="2:3">
      <c r="B67" s="18" t="s">
        <v>3</v>
      </c>
      <c r="C67" s="19">
        <v>254.60399999999998</v>
      </c>
    </row>
    <row r="68" spans="2:3">
      <c r="B68" s="18" t="s">
        <v>3</v>
      </c>
      <c r="C68" s="19">
        <v>31.983999999999998</v>
      </c>
    </row>
    <row r="69" spans="2:3">
      <c r="B69" s="18" t="s">
        <v>3</v>
      </c>
      <c r="C69" s="19">
        <v>119.83299999999998</v>
      </c>
    </row>
    <row r="70" spans="2:3">
      <c r="B70" s="18" t="s">
        <v>3</v>
      </c>
      <c r="C70" s="19">
        <v>109.48</v>
      </c>
    </row>
    <row r="71" spans="2:3">
      <c r="B71" s="18" t="s">
        <v>3</v>
      </c>
      <c r="C71" s="19">
        <v>892.22400000000005</v>
      </c>
    </row>
    <row r="72" spans="2:3">
      <c r="B72" s="18" t="s">
        <v>3</v>
      </c>
      <c r="C72" s="19">
        <v>141.37199999999999</v>
      </c>
    </row>
    <row r="73" spans="2:3">
      <c r="B73" s="18" t="s">
        <v>3</v>
      </c>
      <c r="C73" s="19">
        <v>17.024000000000001</v>
      </c>
    </row>
    <row r="74" spans="2:3">
      <c r="B74" s="18" t="s">
        <v>3</v>
      </c>
      <c r="C74" s="19">
        <v>8.73</v>
      </c>
    </row>
    <row r="75" spans="2:3">
      <c r="B75" s="18" t="s">
        <v>3</v>
      </c>
      <c r="C75" s="19">
        <v>1141.9379999999999</v>
      </c>
    </row>
    <row r="76" spans="2:3">
      <c r="B76" s="18" t="s">
        <v>3</v>
      </c>
      <c r="C76" s="19">
        <v>6.6959999999999997</v>
      </c>
    </row>
    <row r="77" spans="2:3">
      <c r="B77" s="18" t="s">
        <v>3</v>
      </c>
      <c r="C77" s="19">
        <v>43.872000000000007</v>
      </c>
    </row>
    <row r="78" spans="2:3">
      <c r="B78" s="18" t="s">
        <v>3</v>
      </c>
      <c r="C78" s="19">
        <v>29.328000000000003</v>
      </c>
    </row>
    <row r="79" spans="2:3">
      <c r="B79" s="18" t="s">
        <v>3</v>
      </c>
      <c r="C79" s="19">
        <v>23.99</v>
      </c>
    </row>
    <row r="80" spans="2:3">
      <c r="B80" s="18" t="s">
        <v>3</v>
      </c>
      <c r="C80" s="19">
        <v>25.11</v>
      </c>
    </row>
    <row r="81" spans="2:3">
      <c r="B81" s="18" t="s">
        <v>3</v>
      </c>
      <c r="C81" s="19">
        <v>29.78</v>
      </c>
    </row>
    <row r="82" spans="2:3">
      <c r="B82" s="18" t="s">
        <v>3</v>
      </c>
      <c r="C82" s="19">
        <v>300.904</v>
      </c>
    </row>
    <row r="83" spans="2:3">
      <c r="B83" s="18" t="s">
        <v>3</v>
      </c>
      <c r="C83" s="19">
        <v>1.988</v>
      </c>
    </row>
    <row r="84" spans="2:3">
      <c r="B84" s="18" t="s">
        <v>3</v>
      </c>
      <c r="C84" s="19">
        <v>899.13600000000008</v>
      </c>
    </row>
    <row r="85" spans="2:3">
      <c r="B85" s="18" t="s">
        <v>3</v>
      </c>
      <c r="C85" s="19">
        <v>145.9</v>
      </c>
    </row>
    <row r="86" spans="2:3">
      <c r="B86" s="18" t="s">
        <v>3</v>
      </c>
      <c r="C86" s="19">
        <v>652.45000000000005</v>
      </c>
    </row>
    <row r="87" spans="2:3">
      <c r="B87" s="18" t="s">
        <v>3</v>
      </c>
      <c r="C87" s="19">
        <v>66.644999999999996</v>
      </c>
    </row>
    <row r="88" spans="2:3">
      <c r="B88" s="18" t="s">
        <v>3</v>
      </c>
      <c r="C88" s="19">
        <v>37.74</v>
      </c>
    </row>
    <row r="89" spans="2:3">
      <c r="B89" s="18" t="s">
        <v>3</v>
      </c>
      <c r="C89" s="19">
        <v>470.30199999999996</v>
      </c>
    </row>
    <row r="90" spans="2:3">
      <c r="B90" s="18" t="s">
        <v>3</v>
      </c>
      <c r="C90" s="19">
        <v>452.93999999999994</v>
      </c>
    </row>
    <row r="91" spans="2:3">
      <c r="B91" s="18" t="s">
        <v>3</v>
      </c>
      <c r="C91" s="19">
        <v>872.94</v>
      </c>
    </row>
    <row r="92" spans="2:3">
      <c r="B92" s="18" t="s">
        <v>3</v>
      </c>
      <c r="C92" s="19">
        <v>977.29200000000003</v>
      </c>
    </row>
    <row r="93" spans="2:3">
      <c r="B93" s="18" t="s">
        <v>3</v>
      </c>
      <c r="C93" s="19">
        <v>9.64</v>
      </c>
    </row>
    <row r="94" spans="2:3">
      <c r="B94" s="18" t="s">
        <v>3</v>
      </c>
      <c r="C94" s="19">
        <v>8.36</v>
      </c>
    </row>
    <row r="95" spans="2:3">
      <c r="B95" s="18" t="s">
        <v>3</v>
      </c>
      <c r="C95" s="19">
        <v>63.686</v>
      </c>
    </row>
    <row r="96" spans="2:3">
      <c r="B96" s="18" t="s">
        <v>3</v>
      </c>
      <c r="C96" s="19">
        <v>1669.6</v>
      </c>
    </row>
    <row r="97" spans="2:3">
      <c r="B97" s="18" t="s">
        <v>3</v>
      </c>
      <c r="C97" s="19">
        <v>203.98299999999998</v>
      </c>
    </row>
    <row r="98" spans="2:3">
      <c r="B98" s="18" t="s">
        <v>3</v>
      </c>
      <c r="C98" s="19">
        <v>782.94</v>
      </c>
    </row>
    <row r="99" spans="2:3">
      <c r="B99" s="18" t="s">
        <v>3</v>
      </c>
      <c r="C99" s="19">
        <v>1044.6299999999999</v>
      </c>
    </row>
    <row r="100" spans="2:3">
      <c r="B100" s="18" t="s">
        <v>3</v>
      </c>
      <c r="C100" s="19">
        <v>47.991999999999997</v>
      </c>
    </row>
    <row r="101" spans="2:3">
      <c r="B101" s="18" t="s">
        <v>3</v>
      </c>
      <c r="C101" s="19">
        <v>547.30000000000007</v>
      </c>
    </row>
    <row r="102" spans="2:3">
      <c r="B102" s="18" t="s">
        <v>3</v>
      </c>
      <c r="C102" s="19">
        <v>15.991999999999999</v>
      </c>
    </row>
    <row r="103" spans="2:3">
      <c r="B103" s="18" t="s">
        <v>3</v>
      </c>
      <c r="C103" s="19">
        <v>198.46</v>
      </c>
    </row>
    <row r="104" spans="2:3">
      <c r="B104" s="18" t="s">
        <v>3</v>
      </c>
      <c r="C104" s="19">
        <v>17.920000000000002</v>
      </c>
    </row>
    <row r="105" spans="2:3">
      <c r="B105" s="18" t="s">
        <v>3</v>
      </c>
      <c r="C105" s="19">
        <v>310.88000000000005</v>
      </c>
    </row>
    <row r="106" spans="2:3">
      <c r="B106" s="18" t="s">
        <v>3</v>
      </c>
      <c r="C106" s="19">
        <v>71.992000000000004</v>
      </c>
    </row>
    <row r="107" spans="2:3">
      <c r="B107" s="18" t="s">
        <v>3</v>
      </c>
      <c r="C107" s="19">
        <v>765.625</v>
      </c>
    </row>
    <row r="108" spans="2:3">
      <c r="B108" s="18" t="s">
        <v>3</v>
      </c>
      <c r="C108" s="19">
        <v>307.666</v>
      </c>
    </row>
    <row r="109" spans="2:3">
      <c r="B109" s="18" t="s">
        <v>3</v>
      </c>
      <c r="C109" s="19">
        <v>1048.3499999999999</v>
      </c>
    </row>
    <row r="110" spans="2:3">
      <c r="B110" s="18" t="s">
        <v>3</v>
      </c>
      <c r="C110" s="19">
        <v>7.168000000000001</v>
      </c>
    </row>
    <row r="111" spans="2:3">
      <c r="B111" s="18" t="s">
        <v>3</v>
      </c>
      <c r="C111" s="19">
        <v>9.4600000000000009</v>
      </c>
    </row>
    <row r="112" spans="2:3">
      <c r="B112" s="18" t="s">
        <v>3</v>
      </c>
      <c r="C112" s="19">
        <v>77.599999999999994</v>
      </c>
    </row>
    <row r="113" spans="2:3">
      <c r="B113" s="18" t="s">
        <v>3</v>
      </c>
      <c r="C113" s="19">
        <v>4.6560000000000006</v>
      </c>
    </row>
    <row r="114" spans="2:3">
      <c r="B114" s="18" t="s">
        <v>3</v>
      </c>
      <c r="C114" s="19">
        <v>262.11</v>
      </c>
    </row>
    <row r="115" spans="2:3">
      <c r="B115" s="18" t="s">
        <v>3</v>
      </c>
      <c r="C115" s="19">
        <v>37.68</v>
      </c>
    </row>
    <row r="116" spans="2:3">
      <c r="B116" s="18" t="s">
        <v>3</v>
      </c>
      <c r="C116" s="19">
        <v>362.35199999999998</v>
      </c>
    </row>
    <row r="117" spans="2:3">
      <c r="B117" s="18" t="s">
        <v>3</v>
      </c>
      <c r="C117" s="19">
        <v>257.56799999999998</v>
      </c>
    </row>
    <row r="118" spans="2:3">
      <c r="B118" s="18" t="s">
        <v>3</v>
      </c>
      <c r="C118" s="19">
        <v>196.45</v>
      </c>
    </row>
    <row r="119" spans="2:3">
      <c r="B119" s="18" t="s">
        <v>3</v>
      </c>
      <c r="C119" s="19">
        <v>70.98</v>
      </c>
    </row>
    <row r="120" spans="2:3">
      <c r="B120" s="18" t="s">
        <v>3</v>
      </c>
      <c r="C120" s="19">
        <v>393.56799999999998</v>
      </c>
    </row>
    <row r="121" spans="2:3">
      <c r="B121" s="18" t="s">
        <v>3</v>
      </c>
      <c r="C121" s="19">
        <v>478.48</v>
      </c>
    </row>
    <row r="122" spans="2:3">
      <c r="B122" s="18" t="s">
        <v>3</v>
      </c>
      <c r="C122" s="19">
        <v>18.96</v>
      </c>
    </row>
    <row r="123" spans="2:3">
      <c r="B123" s="18" t="s">
        <v>3</v>
      </c>
      <c r="C123" s="19">
        <v>462.56400000000002</v>
      </c>
    </row>
    <row r="124" spans="2:3">
      <c r="B124" s="18" t="s">
        <v>3</v>
      </c>
      <c r="C124" s="19">
        <v>145.74</v>
      </c>
    </row>
    <row r="125" spans="2:3">
      <c r="B125" s="18" t="s">
        <v>3</v>
      </c>
      <c r="C125" s="19">
        <v>15.4</v>
      </c>
    </row>
    <row r="126" spans="2:3">
      <c r="B126" s="18" t="s">
        <v>3</v>
      </c>
      <c r="C126" s="19">
        <v>11.54</v>
      </c>
    </row>
    <row r="127" spans="2:3">
      <c r="B127" s="18" t="s">
        <v>3</v>
      </c>
      <c r="C127" s="19">
        <v>254.52599999999998</v>
      </c>
    </row>
    <row r="128" spans="2:3">
      <c r="B128" s="18" t="s">
        <v>3</v>
      </c>
      <c r="C128" s="19">
        <v>1282.4100000000001</v>
      </c>
    </row>
    <row r="129" spans="2:3">
      <c r="B129" s="18" t="s">
        <v>3</v>
      </c>
      <c r="C129" s="19">
        <v>8.7520000000000007</v>
      </c>
    </row>
    <row r="130" spans="2:3">
      <c r="B130" s="18" t="s">
        <v>3</v>
      </c>
      <c r="C130" s="19">
        <v>304.45</v>
      </c>
    </row>
    <row r="131" spans="2:3">
      <c r="B131" s="18" t="s">
        <v>3</v>
      </c>
      <c r="C131" s="19">
        <v>183.37199999999999</v>
      </c>
    </row>
    <row r="132" spans="2:3">
      <c r="B132" s="18" t="s">
        <v>3</v>
      </c>
      <c r="C132" s="19">
        <v>269.96999999999997</v>
      </c>
    </row>
    <row r="133" spans="2:3">
      <c r="B133" s="18" t="s">
        <v>3</v>
      </c>
      <c r="C133" s="19">
        <v>1586.6899999999998</v>
      </c>
    </row>
    <row r="134" spans="2:3">
      <c r="B134" s="18" t="s">
        <v>3</v>
      </c>
      <c r="C134" s="19">
        <v>411.8</v>
      </c>
    </row>
    <row r="135" spans="2:3">
      <c r="B135" s="18" t="s">
        <v>3</v>
      </c>
      <c r="C135" s="19">
        <v>283.92</v>
      </c>
    </row>
    <row r="136" spans="2:3">
      <c r="B136" s="18" t="s">
        <v>3</v>
      </c>
      <c r="C136" s="19">
        <v>310.44300000000004</v>
      </c>
    </row>
    <row r="137" spans="2:3">
      <c r="B137" s="18" t="s">
        <v>3</v>
      </c>
      <c r="C137" s="19">
        <v>215.976</v>
      </c>
    </row>
    <row r="138" spans="2:3">
      <c r="B138" s="18" t="s">
        <v>3</v>
      </c>
      <c r="C138" s="19">
        <v>241.96</v>
      </c>
    </row>
    <row r="139" spans="2:3">
      <c r="B139" s="18" t="s">
        <v>3</v>
      </c>
      <c r="C139" s="19">
        <v>233.05799999999999</v>
      </c>
    </row>
    <row r="140" spans="2:3">
      <c r="B140" s="18" t="s">
        <v>3</v>
      </c>
      <c r="C140" s="19">
        <v>305.31200000000001</v>
      </c>
    </row>
    <row r="141" spans="2:3">
      <c r="B141" s="18" t="s">
        <v>3</v>
      </c>
      <c r="C141" s="19">
        <v>121.3</v>
      </c>
    </row>
    <row r="142" spans="2:3">
      <c r="B142" s="18" t="s">
        <v>3</v>
      </c>
      <c r="C142" s="19">
        <v>27.42</v>
      </c>
    </row>
    <row r="143" spans="2:3">
      <c r="B143" s="18" t="s">
        <v>3</v>
      </c>
      <c r="C143" s="19">
        <v>108.608</v>
      </c>
    </row>
    <row r="144" spans="2:3">
      <c r="B144" s="18" t="s">
        <v>3</v>
      </c>
      <c r="C144" s="19">
        <v>526.45000000000005</v>
      </c>
    </row>
    <row r="145" spans="2:3">
      <c r="B145" s="18" t="s">
        <v>3</v>
      </c>
      <c r="C145" s="19">
        <v>44.400000000000006</v>
      </c>
    </row>
    <row r="146" spans="2:3">
      <c r="B146" s="18" t="s">
        <v>3</v>
      </c>
      <c r="C146" s="19">
        <v>1212.96</v>
      </c>
    </row>
    <row r="147" spans="2:3">
      <c r="B147" s="18" t="s">
        <v>3</v>
      </c>
      <c r="C147" s="19">
        <v>359.96999999999997</v>
      </c>
    </row>
    <row r="148" spans="2:3">
      <c r="B148" s="18" t="s">
        <v>3</v>
      </c>
      <c r="C148" s="19">
        <v>97.567999999999998</v>
      </c>
    </row>
    <row r="149" spans="2:3">
      <c r="B149" s="18" t="s">
        <v>3</v>
      </c>
      <c r="C149" s="19">
        <v>614.27200000000005</v>
      </c>
    </row>
    <row r="150" spans="2:3">
      <c r="B150" s="18" t="s">
        <v>3</v>
      </c>
      <c r="C150" s="19">
        <v>199.98</v>
      </c>
    </row>
    <row r="151" spans="2:3">
      <c r="B151" s="18" t="s">
        <v>3</v>
      </c>
      <c r="C151" s="19">
        <v>892.98</v>
      </c>
    </row>
    <row r="152" spans="2:3">
      <c r="B152" s="18" t="s">
        <v>3</v>
      </c>
      <c r="C152" s="19">
        <v>181.95</v>
      </c>
    </row>
    <row r="153" spans="2:3">
      <c r="B153" s="18" t="s">
        <v>3</v>
      </c>
      <c r="C153" s="19">
        <v>723.92</v>
      </c>
    </row>
    <row r="154" spans="2:3">
      <c r="B154" s="18" t="s">
        <v>3</v>
      </c>
      <c r="C154" s="19">
        <v>280.79200000000003</v>
      </c>
    </row>
    <row r="155" spans="2:3">
      <c r="B155" s="18" t="s">
        <v>3</v>
      </c>
      <c r="C155" s="19">
        <v>182.94</v>
      </c>
    </row>
    <row r="156" spans="2:3">
      <c r="B156" s="18" t="s">
        <v>3</v>
      </c>
      <c r="C156" s="19">
        <v>211.84</v>
      </c>
    </row>
    <row r="157" spans="2:3">
      <c r="B157" s="18" t="s">
        <v>3</v>
      </c>
      <c r="C157" s="19">
        <v>273.06</v>
      </c>
    </row>
    <row r="158" spans="2:3">
      <c r="B158" s="18" t="s">
        <v>3</v>
      </c>
      <c r="C158" s="19">
        <v>7.4</v>
      </c>
    </row>
    <row r="159" spans="2:3">
      <c r="B159" s="18" t="s">
        <v>3</v>
      </c>
      <c r="C159" s="19">
        <v>545.85</v>
      </c>
    </row>
    <row r="160" spans="2:3">
      <c r="B160" s="18" t="s">
        <v>3</v>
      </c>
      <c r="C160" s="19">
        <v>7.9040000000000008</v>
      </c>
    </row>
    <row r="161" spans="2:3">
      <c r="B161" s="18" t="s">
        <v>3</v>
      </c>
      <c r="C161" s="19">
        <v>1322.3520000000001</v>
      </c>
    </row>
    <row r="162" spans="2:3">
      <c r="B162" s="18" t="s">
        <v>3</v>
      </c>
      <c r="C162" s="19">
        <v>1137.75</v>
      </c>
    </row>
    <row r="163" spans="2:3">
      <c r="B163" s="18" t="s">
        <v>3</v>
      </c>
      <c r="C163" s="19">
        <v>129.93</v>
      </c>
    </row>
    <row r="164" spans="2:3">
      <c r="B164" s="18" t="s">
        <v>3</v>
      </c>
      <c r="C164" s="19">
        <v>102.833</v>
      </c>
    </row>
    <row r="165" spans="2:3">
      <c r="B165" s="18" t="s">
        <v>3</v>
      </c>
      <c r="C165" s="19">
        <v>821.87999999999988</v>
      </c>
    </row>
    <row r="166" spans="2:3">
      <c r="B166" s="18" t="s">
        <v>3</v>
      </c>
      <c r="C166" s="19">
        <v>2665.62</v>
      </c>
    </row>
    <row r="167" spans="2:3">
      <c r="B167" s="18" t="s">
        <v>3</v>
      </c>
      <c r="C167" s="19">
        <v>526.45000000000005</v>
      </c>
    </row>
    <row r="168" spans="2:3">
      <c r="B168" s="18" t="s">
        <v>3</v>
      </c>
      <c r="C168" s="19">
        <v>22.23</v>
      </c>
    </row>
    <row r="169" spans="2:3">
      <c r="B169" s="18" t="s">
        <v>3</v>
      </c>
      <c r="C169" s="19">
        <v>39.96</v>
      </c>
    </row>
    <row r="170" spans="2:3">
      <c r="B170" s="18" t="s">
        <v>3</v>
      </c>
      <c r="C170" s="19">
        <v>42.624000000000002</v>
      </c>
    </row>
    <row r="171" spans="2:3">
      <c r="B171" s="18" t="s">
        <v>3</v>
      </c>
      <c r="C171" s="19">
        <v>220.96</v>
      </c>
    </row>
    <row r="172" spans="2:3">
      <c r="B172" s="18" t="s">
        <v>3</v>
      </c>
      <c r="C172" s="19">
        <v>858.24</v>
      </c>
    </row>
    <row r="173" spans="2:3">
      <c r="B173" s="18" t="s">
        <v>3</v>
      </c>
      <c r="C173" s="19">
        <v>1292.94</v>
      </c>
    </row>
    <row r="174" spans="2:3">
      <c r="B174" s="18" t="s">
        <v>3</v>
      </c>
      <c r="C174" s="19">
        <v>45.888000000000005</v>
      </c>
    </row>
    <row r="175" spans="2:3">
      <c r="B175" s="18" t="s">
        <v>3</v>
      </c>
      <c r="C175" s="19">
        <v>350.35199999999998</v>
      </c>
    </row>
    <row r="176" spans="2:3">
      <c r="B176" s="18" t="s">
        <v>3</v>
      </c>
      <c r="C176" s="19">
        <v>107.53</v>
      </c>
    </row>
    <row r="177" spans="2:3">
      <c r="B177" s="18" t="s">
        <v>3</v>
      </c>
      <c r="C177" s="19">
        <v>19.103999999999999</v>
      </c>
    </row>
    <row r="178" spans="2:3">
      <c r="B178" s="18" t="s">
        <v>3</v>
      </c>
      <c r="C178" s="19">
        <v>23.680000000000003</v>
      </c>
    </row>
    <row r="179" spans="2:3">
      <c r="B179" s="18" t="s">
        <v>3</v>
      </c>
      <c r="C179" s="19">
        <v>41.37</v>
      </c>
    </row>
    <row r="180" spans="2:3">
      <c r="B180" s="18" t="s">
        <v>3</v>
      </c>
      <c r="C180" s="19">
        <v>56.28</v>
      </c>
    </row>
    <row r="181" spans="2:3">
      <c r="B181" s="18" t="s">
        <v>3</v>
      </c>
      <c r="C181" s="19">
        <v>1628.82</v>
      </c>
    </row>
    <row r="182" spans="2:3">
      <c r="B182" s="18" t="s">
        <v>3</v>
      </c>
      <c r="C182" s="19">
        <v>17.088000000000001</v>
      </c>
    </row>
    <row r="183" spans="2:3">
      <c r="B183" s="18" t="s">
        <v>3</v>
      </c>
      <c r="C183" s="19">
        <v>69.08</v>
      </c>
    </row>
    <row r="184" spans="2:3">
      <c r="B184" s="18" t="s">
        <v>3</v>
      </c>
      <c r="C184" s="19">
        <v>18.84</v>
      </c>
    </row>
    <row r="185" spans="2:3">
      <c r="B185" s="18" t="s">
        <v>3</v>
      </c>
      <c r="C185" s="19">
        <v>19.760000000000002</v>
      </c>
    </row>
    <row r="186" spans="2:3">
      <c r="B186" s="18" t="s">
        <v>3</v>
      </c>
      <c r="C186" s="19">
        <v>90.99</v>
      </c>
    </row>
    <row r="187" spans="2:3">
      <c r="B187" s="18" t="s">
        <v>3</v>
      </c>
      <c r="C187" s="19">
        <v>1526.5600000000002</v>
      </c>
    </row>
    <row r="188" spans="2:3">
      <c r="B188" s="18" t="s">
        <v>3</v>
      </c>
      <c r="C188" s="19">
        <v>368.96999999999997</v>
      </c>
    </row>
    <row r="189" spans="2:3">
      <c r="B189" s="18" t="s">
        <v>3</v>
      </c>
      <c r="C189" s="19">
        <v>18.7</v>
      </c>
    </row>
    <row r="190" spans="2:3">
      <c r="B190" s="18" t="s">
        <v>3</v>
      </c>
      <c r="C190" s="19">
        <v>26.25</v>
      </c>
    </row>
    <row r="191" spans="2:3">
      <c r="B191" s="18" t="s">
        <v>3</v>
      </c>
      <c r="C191" s="19">
        <v>113.88800000000002</v>
      </c>
    </row>
    <row r="192" spans="2:3">
      <c r="B192" s="18" t="s">
        <v>3</v>
      </c>
      <c r="C192" s="19">
        <v>113.56800000000001</v>
      </c>
    </row>
    <row r="193" spans="2:3">
      <c r="B193" s="18" t="s">
        <v>3</v>
      </c>
      <c r="C193" s="19">
        <v>191.64600000000002</v>
      </c>
    </row>
    <row r="194" spans="2:3">
      <c r="B194" s="18" t="s">
        <v>3</v>
      </c>
      <c r="C194" s="19">
        <v>81.567999999999998</v>
      </c>
    </row>
    <row r="195" spans="2:3">
      <c r="B195" s="18" t="s">
        <v>3</v>
      </c>
      <c r="C195" s="19">
        <v>97.184000000000012</v>
      </c>
    </row>
    <row r="196" spans="2:3">
      <c r="B196" s="18" t="s">
        <v>3</v>
      </c>
      <c r="C196" s="19">
        <v>18.96</v>
      </c>
    </row>
    <row r="197" spans="2:3">
      <c r="B197" s="18" t="s">
        <v>3</v>
      </c>
      <c r="C197" s="19">
        <v>28.272000000000006</v>
      </c>
    </row>
    <row r="198" spans="2:3">
      <c r="B198" s="18" t="s">
        <v>3</v>
      </c>
      <c r="C198" s="19">
        <v>188.55199999999996</v>
      </c>
    </row>
    <row r="199" spans="2:3">
      <c r="B199" s="18" t="s">
        <v>3</v>
      </c>
      <c r="C199" s="19">
        <v>327.73279999999994</v>
      </c>
    </row>
    <row r="200" spans="2:3">
      <c r="B200" s="18" t="s">
        <v>3</v>
      </c>
      <c r="C200" s="19">
        <v>254.35200000000003</v>
      </c>
    </row>
    <row r="201" spans="2:3">
      <c r="B201" s="18" t="s">
        <v>3</v>
      </c>
      <c r="C201" s="19">
        <v>504.90000000000003</v>
      </c>
    </row>
    <row r="202" spans="2:3">
      <c r="B202" s="18" t="s">
        <v>3</v>
      </c>
      <c r="C202" s="19">
        <v>171.28800000000001</v>
      </c>
    </row>
    <row r="203" spans="2:3">
      <c r="B203" s="18" t="s">
        <v>3</v>
      </c>
      <c r="C203" s="19">
        <v>2054.2720000000004</v>
      </c>
    </row>
    <row r="204" spans="2:3">
      <c r="B204" s="18" t="s">
        <v>3</v>
      </c>
      <c r="C204" s="19">
        <v>411.8</v>
      </c>
    </row>
    <row r="205" spans="2:3">
      <c r="B205" s="18" t="s">
        <v>3</v>
      </c>
      <c r="C205" s="19">
        <v>41.96</v>
      </c>
    </row>
    <row r="206" spans="2:3">
      <c r="B206" s="18" t="s">
        <v>3</v>
      </c>
      <c r="C206" s="19">
        <v>30.56</v>
      </c>
    </row>
    <row r="207" spans="2:3">
      <c r="B207" s="18" t="s">
        <v>3</v>
      </c>
      <c r="C207" s="19">
        <v>24.368000000000002</v>
      </c>
    </row>
    <row r="208" spans="2:3">
      <c r="B208" s="18" t="s">
        <v>3</v>
      </c>
      <c r="C208" s="19">
        <v>3.9840000000000004</v>
      </c>
    </row>
    <row r="209" spans="2:3">
      <c r="B209" s="18" t="s">
        <v>3</v>
      </c>
      <c r="C209" s="19">
        <v>61</v>
      </c>
    </row>
    <row r="210" spans="2:3">
      <c r="B210" s="18" t="s">
        <v>3</v>
      </c>
      <c r="C210" s="19">
        <v>220.26559999999998</v>
      </c>
    </row>
    <row r="211" spans="2:3">
      <c r="B211" s="18" t="s">
        <v>3</v>
      </c>
      <c r="C211" s="19">
        <v>242.35200000000003</v>
      </c>
    </row>
    <row r="212" spans="2:3">
      <c r="B212" s="18" t="s">
        <v>3</v>
      </c>
      <c r="C212" s="19">
        <v>220.98</v>
      </c>
    </row>
    <row r="213" spans="2:3">
      <c r="B213" s="18" t="s">
        <v>3</v>
      </c>
      <c r="C213" s="19">
        <v>22.847999999999999</v>
      </c>
    </row>
    <row r="214" spans="2:3">
      <c r="B214" s="18" t="s">
        <v>3</v>
      </c>
      <c r="C214" s="19">
        <v>963.13600000000008</v>
      </c>
    </row>
    <row r="215" spans="2:3">
      <c r="B215" s="18" t="s">
        <v>3</v>
      </c>
      <c r="C215" s="19">
        <v>180.58800000000005</v>
      </c>
    </row>
    <row r="216" spans="2:3">
      <c r="B216" s="18" t="s">
        <v>3</v>
      </c>
      <c r="C216" s="19">
        <v>20.94</v>
      </c>
    </row>
    <row r="217" spans="2:3">
      <c r="B217" s="18" t="s">
        <v>3</v>
      </c>
      <c r="C217" s="19">
        <v>58.68</v>
      </c>
    </row>
    <row r="218" spans="2:3">
      <c r="B218" s="18" t="s">
        <v>3</v>
      </c>
      <c r="C218" s="19">
        <v>114.9</v>
      </c>
    </row>
    <row r="219" spans="2:3">
      <c r="B219" s="18" t="s">
        <v>3</v>
      </c>
      <c r="C219" s="19">
        <v>317.05799999999999</v>
      </c>
    </row>
    <row r="220" spans="2:3">
      <c r="B220" s="18" t="s">
        <v>3</v>
      </c>
      <c r="C220" s="19">
        <v>60.311999999999998</v>
      </c>
    </row>
    <row r="221" spans="2:3">
      <c r="B221" s="18" t="s">
        <v>3</v>
      </c>
      <c r="C221" s="19">
        <v>271.76400000000001</v>
      </c>
    </row>
    <row r="222" spans="2:3">
      <c r="B222" s="18" t="s">
        <v>3</v>
      </c>
      <c r="C222" s="19">
        <v>341.96</v>
      </c>
    </row>
    <row r="223" spans="2:3">
      <c r="B223" s="18" t="s">
        <v>3</v>
      </c>
      <c r="C223" s="19">
        <v>2.032</v>
      </c>
    </row>
    <row r="224" spans="2:3">
      <c r="B224" s="18" t="s">
        <v>3</v>
      </c>
      <c r="C224" s="19">
        <v>129.91999999999999</v>
      </c>
    </row>
    <row r="225" spans="2:3">
      <c r="B225" s="18" t="s">
        <v>3</v>
      </c>
      <c r="C225" s="19">
        <v>568.72800000000007</v>
      </c>
    </row>
    <row r="226" spans="2:3">
      <c r="B226" s="18" t="s">
        <v>3</v>
      </c>
      <c r="C226" s="19">
        <v>24.048000000000002</v>
      </c>
    </row>
    <row r="227" spans="2:3">
      <c r="B227" s="18" t="s">
        <v>3</v>
      </c>
      <c r="C227" s="19">
        <v>154.76400000000001</v>
      </c>
    </row>
    <row r="228" spans="2:3">
      <c r="B228" s="18" t="s">
        <v>3</v>
      </c>
      <c r="C228" s="19">
        <v>65.424000000000007</v>
      </c>
    </row>
    <row r="229" spans="2:3">
      <c r="B229" s="18" t="s">
        <v>3</v>
      </c>
      <c r="C229" s="19">
        <v>215.148</v>
      </c>
    </row>
    <row r="230" spans="2:3">
      <c r="B230" s="18" t="s">
        <v>3</v>
      </c>
      <c r="C230" s="19">
        <v>128.9</v>
      </c>
    </row>
    <row r="231" spans="2:3">
      <c r="B231" s="18" t="s">
        <v>3</v>
      </c>
      <c r="C231" s="19">
        <v>16.192</v>
      </c>
    </row>
    <row r="232" spans="2:3">
      <c r="B232" s="18" t="s">
        <v>3</v>
      </c>
      <c r="C232" s="19">
        <v>251.00599999999997</v>
      </c>
    </row>
    <row r="233" spans="2:3">
      <c r="B233" s="18" t="s">
        <v>3</v>
      </c>
      <c r="C233" s="19">
        <v>22.512000000000004</v>
      </c>
    </row>
    <row r="234" spans="2:3">
      <c r="B234" s="18" t="s">
        <v>3</v>
      </c>
      <c r="C234" s="19">
        <v>180.98</v>
      </c>
    </row>
    <row r="235" spans="2:3">
      <c r="B235" s="18" t="s">
        <v>3</v>
      </c>
      <c r="C235" s="19">
        <v>603.91999999999996</v>
      </c>
    </row>
    <row r="236" spans="2:3">
      <c r="B236" s="18" t="s">
        <v>3</v>
      </c>
      <c r="C236" s="19">
        <v>825.17399999999998</v>
      </c>
    </row>
    <row r="237" spans="2:3">
      <c r="B237" s="18" t="s">
        <v>3</v>
      </c>
      <c r="C237" s="19">
        <v>33.94</v>
      </c>
    </row>
    <row r="238" spans="2:3">
      <c r="B238" s="18" t="s">
        <v>3</v>
      </c>
      <c r="C238" s="19">
        <v>25.16</v>
      </c>
    </row>
    <row r="239" spans="2:3">
      <c r="B239" s="18" t="s">
        <v>3</v>
      </c>
      <c r="C239" s="19">
        <v>91.92</v>
      </c>
    </row>
    <row r="240" spans="2:3">
      <c r="B240" s="18" t="s">
        <v>3</v>
      </c>
      <c r="C240" s="19">
        <v>718.11599999999987</v>
      </c>
    </row>
    <row r="241" spans="2:3">
      <c r="B241" s="18" t="s">
        <v>3</v>
      </c>
      <c r="C241" s="19">
        <v>681.40800000000013</v>
      </c>
    </row>
    <row r="242" spans="2:3">
      <c r="B242" s="18" t="s">
        <v>3</v>
      </c>
      <c r="C242" s="19">
        <v>127.372</v>
      </c>
    </row>
    <row r="243" spans="2:3">
      <c r="B243" s="18" t="s">
        <v>3</v>
      </c>
      <c r="C243" s="19">
        <v>37.93</v>
      </c>
    </row>
    <row r="244" spans="2:3">
      <c r="B244" s="18" t="s">
        <v>3</v>
      </c>
      <c r="C244" s="19">
        <v>510.24</v>
      </c>
    </row>
    <row r="245" spans="2:3">
      <c r="B245" s="18" t="s">
        <v>3</v>
      </c>
      <c r="C245" s="19">
        <v>162.60000000000002</v>
      </c>
    </row>
    <row r="246" spans="2:3">
      <c r="B246" s="18" t="s">
        <v>3</v>
      </c>
      <c r="C246" s="19">
        <v>71.97</v>
      </c>
    </row>
    <row r="247" spans="2:3">
      <c r="B247" s="18" t="s">
        <v>3</v>
      </c>
      <c r="C247" s="19">
        <v>198.46</v>
      </c>
    </row>
    <row r="248" spans="2:3">
      <c r="B248" s="18" t="s">
        <v>3</v>
      </c>
      <c r="C248" s="19">
        <v>230.28000000000003</v>
      </c>
    </row>
    <row r="249" spans="2:3">
      <c r="B249" s="18" t="s">
        <v>3</v>
      </c>
      <c r="C249" s="19">
        <v>523.76400000000001</v>
      </c>
    </row>
    <row r="250" spans="2:3">
      <c r="B250" s="18" t="s">
        <v>3</v>
      </c>
      <c r="C250" s="19">
        <v>314.35199999999998</v>
      </c>
    </row>
    <row r="251" spans="2:3">
      <c r="B251" s="18" t="s">
        <v>3</v>
      </c>
      <c r="C251" s="19">
        <v>1458.65</v>
      </c>
    </row>
    <row r="252" spans="2:3">
      <c r="B252" s="18" t="s">
        <v>3</v>
      </c>
      <c r="C252" s="19">
        <v>26.64</v>
      </c>
    </row>
    <row r="253" spans="2:3">
      <c r="B253" s="18" t="s">
        <v>3</v>
      </c>
      <c r="C253" s="19">
        <v>476.8</v>
      </c>
    </row>
    <row r="254" spans="2:3">
      <c r="B254" s="18" t="s">
        <v>3</v>
      </c>
      <c r="C254" s="19">
        <v>4.95</v>
      </c>
    </row>
    <row r="255" spans="2:3">
      <c r="B255" s="18" t="s">
        <v>3</v>
      </c>
      <c r="C255" s="19">
        <v>480.96</v>
      </c>
    </row>
    <row r="256" spans="2:3">
      <c r="B256" s="18" t="s">
        <v>3</v>
      </c>
      <c r="C256" s="19">
        <v>9.82</v>
      </c>
    </row>
    <row r="257" spans="2:3">
      <c r="B257" s="18" t="s">
        <v>3</v>
      </c>
      <c r="C257" s="19">
        <v>801.59999999999991</v>
      </c>
    </row>
    <row r="258" spans="2:3">
      <c r="B258" s="18" t="s">
        <v>3</v>
      </c>
      <c r="C258" s="19">
        <v>161.56800000000001</v>
      </c>
    </row>
    <row r="259" spans="2:3">
      <c r="B259" s="18" t="s">
        <v>3</v>
      </c>
      <c r="C259" s="19">
        <v>311.97600000000006</v>
      </c>
    </row>
    <row r="260" spans="2:3">
      <c r="B260" s="18" t="s">
        <v>3</v>
      </c>
      <c r="C260" s="19">
        <v>14.56</v>
      </c>
    </row>
    <row r="261" spans="2:3">
      <c r="B261" s="18" t="s">
        <v>3</v>
      </c>
      <c r="C261" s="19">
        <v>44.67</v>
      </c>
    </row>
    <row r="262" spans="2:3">
      <c r="B262" s="18" t="s">
        <v>3</v>
      </c>
      <c r="C262" s="19">
        <v>22.77</v>
      </c>
    </row>
    <row r="263" spans="2:3">
      <c r="B263" s="18" t="s">
        <v>3</v>
      </c>
      <c r="C263" s="19">
        <v>474.43</v>
      </c>
    </row>
    <row r="264" spans="2:3">
      <c r="B264" s="18" t="s">
        <v>3</v>
      </c>
      <c r="C264" s="19">
        <v>556.66499999999996</v>
      </c>
    </row>
    <row r="265" spans="2:3">
      <c r="B265" s="18" t="s">
        <v>3</v>
      </c>
      <c r="C265" s="19">
        <v>232.88</v>
      </c>
    </row>
    <row r="266" spans="2:3">
      <c r="B266" s="18" t="s">
        <v>3</v>
      </c>
      <c r="C266" s="19">
        <v>276.69</v>
      </c>
    </row>
    <row r="267" spans="2:3">
      <c r="B267" s="18" t="s">
        <v>3</v>
      </c>
      <c r="C267" s="19">
        <v>172.76400000000001</v>
      </c>
    </row>
    <row r="268" spans="2:3">
      <c r="B268" s="18" t="s">
        <v>3</v>
      </c>
      <c r="C268" s="19">
        <v>220.06399999999999</v>
      </c>
    </row>
    <row r="269" spans="2:3">
      <c r="B269" s="18" t="s">
        <v>3</v>
      </c>
      <c r="C269" s="19">
        <v>339.13600000000002</v>
      </c>
    </row>
    <row r="270" spans="2:3">
      <c r="B270" s="18" t="s">
        <v>3</v>
      </c>
      <c r="C270" s="19">
        <v>15.92</v>
      </c>
    </row>
    <row r="271" spans="2:3">
      <c r="B271" s="18" t="s">
        <v>3</v>
      </c>
      <c r="C271" s="19">
        <v>91.032000000000011</v>
      </c>
    </row>
    <row r="272" spans="2:3">
      <c r="B272" s="18" t="s">
        <v>3</v>
      </c>
      <c r="C272" s="19">
        <v>79.12</v>
      </c>
    </row>
    <row r="273" spans="2:3">
      <c r="B273" s="18" t="s">
        <v>3</v>
      </c>
      <c r="C273" s="19">
        <v>120.78399999999999</v>
      </c>
    </row>
    <row r="274" spans="2:3">
      <c r="B274" s="18" t="s">
        <v>3</v>
      </c>
      <c r="C274" s="19">
        <v>482.66399999999999</v>
      </c>
    </row>
    <row r="275" spans="2:3">
      <c r="B275" s="18" t="s">
        <v>3</v>
      </c>
      <c r="C275" s="19">
        <v>174.42000000000002</v>
      </c>
    </row>
    <row r="276" spans="2:3">
      <c r="B276" s="18" t="s">
        <v>3</v>
      </c>
      <c r="C276" s="19">
        <v>332.02800000000002</v>
      </c>
    </row>
    <row r="277" spans="2:3">
      <c r="B277" s="18" t="s">
        <v>3</v>
      </c>
      <c r="C277" s="19">
        <v>1049.2</v>
      </c>
    </row>
    <row r="278" spans="2:3">
      <c r="B278" s="18" t="s">
        <v>3</v>
      </c>
      <c r="C278" s="19">
        <v>20.9</v>
      </c>
    </row>
    <row r="279" spans="2:3">
      <c r="B279" s="18" t="s">
        <v>3</v>
      </c>
      <c r="C279" s="19">
        <v>10.476000000000001</v>
      </c>
    </row>
    <row r="280" spans="2:3">
      <c r="B280" s="18" t="s">
        <v>3</v>
      </c>
      <c r="C280" s="19">
        <v>871.4</v>
      </c>
    </row>
    <row r="281" spans="2:3">
      <c r="B281" s="18" t="s">
        <v>3</v>
      </c>
      <c r="C281" s="19">
        <v>896.32799999999997</v>
      </c>
    </row>
    <row r="282" spans="2:3">
      <c r="B282" s="18" t="s">
        <v>3</v>
      </c>
      <c r="C282" s="19">
        <v>177.22499999999999</v>
      </c>
    </row>
    <row r="283" spans="2:3">
      <c r="B283" s="18" t="s">
        <v>3</v>
      </c>
      <c r="C283" s="19">
        <v>129.39000000000001</v>
      </c>
    </row>
    <row r="284" spans="2:3">
      <c r="B284" s="18" t="s">
        <v>3</v>
      </c>
      <c r="C284" s="19">
        <v>2.7840000000000003</v>
      </c>
    </row>
    <row r="285" spans="2:3">
      <c r="B285" s="18" t="s">
        <v>3</v>
      </c>
      <c r="C285" s="19">
        <v>82.38</v>
      </c>
    </row>
    <row r="286" spans="2:3">
      <c r="B286" s="18" t="s">
        <v>3</v>
      </c>
      <c r="C286" s="19">
        <v>77.720000000000013</v>
      </c>
    </row>
    <row r="287" spans="2:3">
      <c r="B287" s="18" t="s">
        <v>3</v>
      </c>
      <c r="C287" s="19">
        <v>520.46399999999994</v>
      </c>
    </row>
    <row r="288" spans="2:3">
      <c r="B288" s="18" t="s">
        <v>3</v>
      </c>
      <c r="C288" s="19">
        <v>183.96800000000002</v>
      </c>
    </row>
    <row r="289" spans="2:3">
      <c r="B289" s="18" t="s">
        <v>3</v>
      </c>
      <c r="C289" s="19">
        <v>302.94</v>
      </c>
    </row>
    <row r="290" spans="2:3">
      <c r="B290" s="18" t="s">
        <v>3</v>
      </c>
      <c r="C290" s="19">
        <v>1805.88</v>
      </c>
    </row>
    <row r="291" spans="2:3">
      <c r="B291" s="18" t="s">
        <v>3</v>
      </c>
      <c r="C291" s="19">
        <v>32.776000000000003</v>
      </c>
    </row>
    <row r="292" spans="2:3">
      <c r="B292" s="18" t="s">
        <v>3</v>
      </c>
      <c r="C292" s="19">
        <v>321.56799999999998</v>
      </c>
    </row>
    <row r="293" spans="2:3">
      <c r="B293" s="18" t="s">
        <v>3</v>
      </c>
      <c r="C293" s="19">
        <v>128.05799999999999</v>
      </c>
    </row>
    <row r="294" spans="2:3">
      <c r="B294" s="18" t="s">
        <v>3</v>
      </c>
      <c r="C294" s="19">
        <v>63.686</v>
      </c>
    </row>
    <row r="295" spans="2:3">
      <c r="B295" s="18" t="s">
        <v>3</v>
      </c>
      <c r="C295" s="19">
        <v>344.22</v>
      </c>
    </row>
    <row r="296" spans="2:3">
      <c r="B296" s="18" t="s">
        <v>3</v>
      </c>
      <c r="C296" s="19">
        <v>21.248000000000001</v>
      </c>
    </row>
    <row r="297" spans="2:3">
      <c r="B297" s="18" t="s">
        <v>3</v>
      </c>
      <c r="C297" s="19">
        <v>248.98</v>
      </c>
    </row>
    <row r="298" spans="2:3">
      <c r="B298" s="18" t="s">
        <v>3</v>
      </c>
      <c r="C298" s="19">
        <v>418.29599999999994</v>
      </c>
    </row>
    <row r="299" spans="2:3">
      <c r="B299" s="18" t="s">
        <v>3</v>
      </c>
      <c r="C299" s="19">
        <v>917.92349999999988</v>
      </c>
    </row>
    <row r="300" spans="2:3">
      <c r="B300" s="18" t="s">
        <v>3</v>
      </c>
      <c r="C300" s="19">
        <v>171.28800000000001</v>
      </c>
    </row>
    <row r="301" spans="2:3">
      <c r="B301" s="18" t="s">
        <v>3</v>
      </c>
      <c r="C301" s="19">
        <v>39.08</v>
      </c>
    </row>
    <row r="302" spans="2:3">
      <c r="B302" s="18" t="s">
        <v>3</v>
      </c>
      <c r="C302" s="19">
        <v>15.84</v>
      </c>
    </row>
    <row r="303" spans="2:3">
      <c r="B303" s="18" t="s">
        <v>3</v>
      </c>
      <c r="C303" s="19">
        <v>419.13599999999997</v>
      </c>
    </row>
    <row r="304" spans="2:3">
      <c r="B304" s="18" t="s">
        <v>3</v>
      </c>
      <c r="C304" s="19">
        <v>25.02</v>
      </c>
    </row>
    <row r="305" spans="2:3">
      <c r="B305" s="18" t="s">
        <v>3</v>
      </c>
      <c r="C305" s="19">
        <v>47.12</v>
      </c>
    </row>
    <row r="306" spans="2:3">
      <c r="B306" s="18" t="s">
        <v>3</v>
      </c>
      <c r="C306" s="19">
        <v>14.135999999999999</v>
      </c>
    </row>
    <row r="307" spans="2:3">
      <c r="B307" s="18" t="s">
        <v>3</v>
      </c>
      <c r="C307" s="19">
        <v>123.96000000000001</v>
      </c>
    </row>
    <row r="308" spans="2:3">
      <c r="B308" s="18" t="s">
        <v>3</v>
      </c>
      <c r="C308" s="19">
        <v>579.13599999999997</v>
      </c>
    </row>
    <row r="309" spans="2:3">
      <c r="B309" s="18" t="s">
        <v>3</v>
      </c>
      <c r="C309" s="19">
        <v>623.46479999999997</v>
      </c>
    </row>
    <row r="310" spans="2:3">
      <c r="B310" s="18" t="s">
        <v>3</v>
      </c>
      <c r="C310" s="19">
        <v>15.008000000000003</v>
      </c>
    </row>
    <row r="311" spans="2:3">
      <c r="B311" s="18" t="s">
        <v>3</v>
      </c>
      <c r="C311" s="19">
        <v>7.9959999999999996</v>
      </c>
    </row>
    <row r="312" spans="2:3">
      <c r="B312" s="18" t="s">
        <v>3</v>
      </c>
      <c r="C312" s="19">
        <v>521.96</v>
      </c>
    </row>
    <row r="313" spans="2:3">
      <c r="B313" s="18" t="s">
        <v>3</v>
      </c>
      <c r="C313" s="19">
        <v>209.56799999999998</v>
      </c>
    </row>
    <row r="314" spans="2:3">
      <c r="B314" s="18" t="s">
        <v>3</v>
      </c>
      <c r="C314" s="19">
        <v>6.4640000000000004</v>
      </c>
    </row>
    <row r="315" spans="2:3">
      <c r="B315" s="18" t="s">
        <v>3</v>
      </c>
      <c r="C315" s="19">
        <v>91.00800000000001</v>
      </c>
    </row>
    <row r="316" spans="2:3">
      <c r="B316" s="18" t="s">
        <v>3</v>
      </c>
      <c r="C316" s="19">
        <v>27.58</v>
      </c>
    </row>
    <row r="317" spans="2:3">
      <c r="B317" s="18" t="s">
        <v>3</v>
      </c>
      <c r="C317" s="19">
        <v>2404.7040000000002</v>
      </c>
    </row>
    <row r="318" spans="2:3">
      <c r="B318" s="18" t="s">
        <v>3</v>
      </c>
      <c r="C318" s="19">
        <v>975.92</v>
      </c>
    </row>
    <row r="319" spans="2:3">
      <c r="B319" s="18" t="s">
        <v>3</v>
      </c>
      <c r="C319" s="19">
        <v>254.05799999999999</v>
      </c>
    </row>
    <row r="320" spans="2:3">
      <c r="B320" s="18" t="s">
        <v>3</v>
      </c>
      <c r="C320" s="19">
        <v>91.275000000000006</v>
      </c>
    </row>
    <row r="321" spans="2:3">
      <c r="B321" s="18" t="s">
        <v>3</v>
      </c>
      <c r="C321" s="19">
        <v>897.15000000000009</v>
      </c>
    </row>
    <row r="322" spans="2:3">
      <c r="B322" s="18" t="s">
        <v>3</v>
      </c>
      <c r="C322" s="19">
        <v>18.84</v>
      </c>
    </row>
    <row r="323" spans="2:3">
      <c r="B323" s="18" t="s">
        <v>3</v>
      </c>
      <c r="C323" s="19">
        <v>209.97900000000001</v>
      </c>
    </row>
    <row r="324" spans="2:3">
      <c r="B324" s="18" t="s">
        <v>3</v>
      </c>
      <c r="C324" s="19">
        <v>302.67</v>
      </c>
    </row>
    <row r="325" spans="2:3">
      <c r="B325" s="18" t="s">
        <v>3</v>
      </c>
      <c r="C325" s="19">
        <v>1781.6819999999998</v>
      </c>
    </row>
    <row r="326" spans="2:3">
      <c r="B326" s="18" t="s">
        <v>3</v>
      </c>
      <c r="C326" s="19">
        <v>359.49899999999997</v>
      </c>
    </row>
    <row r="327" spans="2:3">
      <c r="B327" s="18" t="s">
        <v>3</v>
      </c>
      <c r="C327" s="19">
        <v>101.12</v>
      </c>
    </row>
    <row r="328" spans="2:3">
      <c r="B328" s="18" t="s">
        <v>3</v>
      </c>
      <c r="C328" s="19">
        <v>86.26</v>
      </c>
    </row>
    <row r="329" spans="2:3">
      <c r="B329" s="18" t="s">
        <v>3</v>
      </c>
      <c r="C329" s="19">
        <v>8.5440000000000005</v>
      </c>
    </row>
    <row r="330" spans="2:3">
      <c r="B330" s="18" t="s">
        <v>3</v>
      </c>
      <c r="C330" s="19">
        <v>842.37600000000009</v>
      </c>
    </row>
    <row r="331" spans="2:3">
      <c r="B331" s="18" t="s">
        <v>3</v>
      </c>
      <c r="C331" s="19">
        <v>569.05799999999999</v>
      </c>
    </row>
    <row r="332" spans="2:3">
      <c r="B332" s="18" t="s">
        <v>3</v>
      </c>
      <c r="C332" s="19">
        <v>14.224000000000002</v>
      </c>
    </row>
    <row r="333" spans="2:3">
      <c r="B333" s="18" t="s">
        <v>3</v>
      </c>
      <c r="C333" s="19">
        <v>328.39919999999995</v>
      </c>
    </row>
    <row r="334" spans="2:3">
      <c r="B334" s="18" t="s">
        <v>3</v>
      </c>
      <c r="C334" s="19">
        <v>498.26000000000005</v>
      </c>
    </row>
    <row r="335" spans="2:3">
      <c r="B335" s="18" t="s">
        <v>3</v>
      </c>
      <c r="C335" s="19">
        <v>697.16</v>
      </c>
    </row>
    <row r="336" spans="2:3">
      <c r="B336" s="18" t="s">
        <v>3</v>
      </c>
      <c r="C336" s="19">
        <v>30.93</v>
      </c>
    </row>
    <row r="337" spans="2:3">
      <c r="B337" s="18" t="s">
        <v>3</v>
      </c>
      <c r="C337" s="19">
        <v>210.00800000000001</v>
      </c>
    </row>
    <row r="338" spans="2:3">
      <c r="B338" s="18" t="s">
        <v>3</v>
      </c>
      <c r="C338" s="19">
        <v>32.36</v>
      </c>
    </row>
    <row r="339" spans="2:3">
      <c r="B339" s="18" t="s">
        <v>3</v>
      </c>
      <c r="C339" s="19">
        <v>27.92</v>
      </c>
    </row>
    <row r="340" spans="2:3">
      <c r="B340" s="18" t="s">
        <v>3</v>
      </c>
      <c r="C340" s="19">
        <v>399.67200000000003</v>
      </c>
    </row>
    <row r="341" spans="2:3">
      <c r="B341" s="18" t="s">
        <v>3</v>
      </c>
      <c r="C341" s="19">
        <v>89.991000000000014</v>
      </c>
    </row>
    <row r="342" spans="2:3">
      <c r="B342" s="18" t="s">
        <v>3</v>
      </c>
      <c r="C342" s="19">
        <v>14.89</v>
      </c>
    </row>
    <row r="343" spans="2:3">
      <c r="B343" s="18" t="s">
        <v>3</v>
      </c>
      <c r="C343" s="19">
        <v>191.05799999999999</v>
      </c>
    </row>
    <row r="344" spans="2:3">
      <c r="B344" s="18" t="s">
        <v>3</v>
      </c>
      <c r="C344" s="19">
        <v>64.959999999999994</v>
      </c>
    </row>
    <row r="345" spans="2:3">
      <c r="B345" s="18" t="s">
        <v>3</v>
      </c>
      <c r="C345" s="19">
        <v>11.808</v>
      </c>
    </row>
    <row r="346" spans="2:3">
      <c r="B346" s="18" t="s">
        <v>3</v>
      </c>
      <c r="C346" s="19">
        <v>9.6560000000000006</v>
      </c>
    </row>
    <row r="347" spans="2:3">
      <c r="B347" s="18" t="s">
        <v>3</v>
      </c>
      <c r="C347" s="19">
        <v>2314.116</v>
      </c>
    </row>
    <row r="348" spans="2:3">
      <c r="B348" s="18" t="s">
        <v>3</v>
      </c>
      <c r="C348" s="19">
        <v>19.760000000000002</v>
      </c>
    </row>
    <row r="349" spans="2:3">
      <c r="B349" s="18" t="s">
        <v>3</v>
      </c>
      <c r="C349" s="19">
        <v>198.27200000000002</v>
      </c>
    </row>
    <row r="350" spans="2:3">
      <c r="B350" s="18" t="s">
        <v>3</v>
      </c>
      <c r="C350" s="19">
        <v>273.95999999999998</v>
      </c>
    </row>
    <row r="351" spans="2:3">
      <c r="B351" s="18" t="s">
        <v>3</v>
      </c>
      <c r="C351" s="19">
        <v>306.89999999999998</v>
      </c>
    </row>
    <row r="352" spans="2:3">
      <c r="B352" s="18" t="s">
        <v>3</v>
      </c>
      <c r="C352" s="19">
        <v>68.459999999999994</v>
      </c>
    </row>
    <row r="353" spans="2:3">
      <c r="B353" s="18" t="s">
        <v>3</v>
      </c>
      <c r="C353" s="19">
        <v>1478.2719999999999</v>
      </c>
    </row>
    <row r="354" spans="2:3">
      <c r="B354" s="18" t="s">
        <v>3</v>
      </c>
      <c r="C354" s="19">
        <v>9.24</v>
      </c>
    </row>
    <row r="355" spans="2:3">
      <c r="B355" s="18" t="s">
        <v>3</v>
      </c>
      <c r="C355" s="19">
        <v>13.360000000000001</v>
      </c>
    </row>
    <row r="356" spans="2:3">
      <c r="B356" s="18" t="s">
        <v>3</v>
      </c>
      <c r="C356" s="19">
        <v>102.01800000000001</v>
      </c>
    </row>
    <row r="357" spans="2:3">
      <c r="B357" s="18" t="s">
        <v>3</v>
      </c>
      <c r="C357" s="19">
        <v>419.13599999999997</v>
      </c>
    </row>
    <row r="358" spans="2:3">
      <c r="B358" s="18" t="s">
        <v>3</v>
      </c>
      <c r="C358" s="19">
        <v>218.35200000000003</v>
      </c>
    </row>
    <row r="359" spans="2:3">
      <c r="B359" s="18" t="s">
        <v>3</v>
      </c>
      <c r="C359" s="19">
        <v>664.14599999999996</v>
      </c>
    </row>
    <row r="360" spans="2:3">
      <c r="B360" s="18" t="s">
        <v>3</v>
      </c>
      <c r="C360" s="19">
        <v>3.3119999999999998</v>
      </c>
    </row>
    <row r="361" spans="2:3">
      <c r="B361" s="18" t="s">
        <v>3</v>
      </c>
      <c r="C361" s="19">
        <v>239.95999999999998</v>
      </c>
    </row>
    <row r="362" spans="2:3">
      <c r="B362" s="18" t="s">
        <v>3</v>
      </c>
      <c r="C362" s="19">
        <v>54.768000000000001</v>
      </c>
    </row>
    <row r="363" spans="2:3">
      <c r="B363" s="18" t="s">
        <v>3</v>
      </c>
      <c r="C363" s="19">
        <v>181.98599999999999</v>
      </c>
    </row>
    <row r="364" spans="2:3">
      <c r="B364" s="18" t="s">
        <v>3</v>
      </c>
      <c r="C364" s="19">
        <v>25.16</v>
      </c>
    </row>
    <row r="365" spans="2:3">
      <c r="B365" s="18" t="s">
        <v>3</v>
      </c>
      <c r="C365" s="19">
        <v>10.16</v>
      </c>
    </row>
    <row r="366" spans="2:3">
      <c r="B366" s="18" t="s">
        <v>3</v>
      </c>
      <c r="C366" s="19">
        <v>89.768000000000001</v>
      </c>
    </row>
    <row r="367" spans="2:3">
      <c r="B367" s="18" t="s">
        <v>3</v>
      </c>
      <c r="C367" s="19">
        <v>243.92</v>
      </c>
    </row>
    <row r="368" spans="2:3">
      <c r="B368" s="18" t="s">
        <v>3</v>
      </c>
      <c r="C368" s="19">
        <v>19.98</v>
      </c>
    </row>
    <row r="369" spans="2:3">
      <c r="B369" s="18" t="s">
        <v>3</v>
      </c>
      <c r="C369" s="19">
        <v>19.52</v>
      </c>
    </row>
    <row r="370" spans="2:3">
      <c r="B370" s="18" t="s">
        <v>3</v>
      </c>
      <c r="C370" s="19">
        <v>273.55200000000002</v>
      </c>
    </row>
    <row r="371" spans="2:3">
      <c r="B371" s="18" t="s">
        <v>3</v>
      </c>
      <c r="C371" s="19">
        <v>60.84</v>
      </c>
    </row>
    <row r="372" spans="2:3">
      <c r="B372" s="18" t="s">
        <v>3</v>
      </c>
      <c r="C372" s="19">
        <v>74.45</v>
      </c>
    </row>
    <row r="373" spans="2:3">
      <c r="B373" s="18" t="s">
        <v>3</v>
      </c>
      <c r="C373" s="19">
        <v>1194.165</v>
      </c>
    </row>
    <row r="374" spans="2:3">
      <c r="B374" s="18" t="s">
        <v>3</v>
      </c>
      <c r="C374" s="19">
        <v>459.92</v>
      </c>
    </row>
    <row r="375" spans="2:3">
      <c r="B375" s="18" t="s">
        <v>3</v>
      </c>
      <c r="C375" s="19">
        <v>638.82000000000005</v>
      </c>
    </row>
    <row r="376" spans="2:3">
      <c r="B376" s="18" t="s">
        <v>3</v>
      </c>
      <c r="C376" s="19">
        <v>25.16</v>
      </c>
    </row>
    <row r="377" spans="2:3">
      <c r="B377" s="18" t="s">
        <v>3</v>
      </c>
      <c r="C377" s="19">
        <v>26.48</v>
      </c>
    </row>
    <row r="378" spans="2:3">
      <c r="B378" s="18" t="s">
        <v>3</v>
      </c>
      <c r="C378" s="19">
        <v>21.560000000000002</v>
      </c>
    </row>
    <row r="379" spans="2:3">
      <c r="B379" s="18" t="s">
        <v>3</v>
      </c>
      <c r="C379" s="19">
        <v>54.92</v>
      </c>
    </row>
    <row r="380" spans="2:3">
      <c r="B380" s="18" t="s">
        <v>3</v>
      </c>
      <c r="C380" s="19">
        <v>217.76400000000001</v>
      </c>
    </row>
    <row r="381" spans="2:3">
      <c r="B381" s="18" t="s">
        <v>3</v>
      </c>
      <c r="C381" s="19">
        <v>12.320000000000002</v>
      </c>
    </row>
    <row r="382" spans="2:3">
      <c r="B382" s="18" t="s">
        <v>3</v>
      </c>
      <c r="C382" s="19">
        <v>72.784000000000006</v>
      </c>
    </row>
    <row r="383" spans="2:3">
      <c r="B383" s="18" t="s">
        <v>3</v>
      </c>
      <c r="C383" s="19">
        <v>51.75</v>
      </c>
    </row>
    <row r="384" spans="2:3">
      <c r="B384" s="18" t="s">
        <v>3</v>
      </c>
      <c r="C384" s="19">
        <v>205.99919999999997</v>
      </c>
    </row>
    <row r="385" spans="2:3">
      <c r="B385" s="18" t="s">
        <v>3</v>
      </c>
      <c r="C385" s="19">
        <v>285.48</v>
      </c>
    </row>
    <row r="386" spans="2:3">
      <c r="B386" s="18" t="s">
        <v>3</v>
      </c>
      <c r="C386" s="19">
        <v>90.801000000000002</v>
      </c>
    </row>
    <row r="387" spans="2:3">
      <c r="B387" s="18" t="s">
        <v>3</v>
      </c>
      <c r="C387" s="19">
        <v>181.76400000000001</v>
      </c>
    </row>
    <row r="388" spans="2:3">
      <c r="B388" s="18" t="s">
        <v>3</v>
      </c>
      <c r="C388" s="19">
        <v>239.66599999999997</v>
      </c>
    </row>
    <row r="389" spans="2:3">
      <c r="B389" s="18" t="s">
        <v>3</v>
      </c>
      <c r="C389" s="19">
        <v>87.210000000000008</v>
      </c>
    </row>
    <row r="390" spans="2:3">
      <c r="B390" s="18" t="s">
        <v>3</v>
      </c>
      <c r="C390" s="19">
        <v>21.12</v>
      </c>
    </row>
    <row r="391" spans="2:3">
      <c r="B391" s="18" t="s">
        <v>3</v>
      </c>
      <c r="C391" s="19">
        <v>240.78400000000002</v>
      </c>
    </row>
    <row r="392" spans="2:3">
      <c r="B392" s="18" t="s">
        <v>3</v>
      </c>
      <c r="C392" s="19">
        <v>184.75200000000001</v>
      </c>
    </row>
    <row r="393" spans="2:3">
      <c r="B393" s="18" t="s">
        <v>3</v>
      </c>
      <c r="C393" s="19">
        <v>19.760000000000002</v>
      </c>
    </row>
    <row r="394" spans="2:3">
      <c r="B394" s="18" t="s">
        <v>3</v>
      </c>
      <c r="C394" s="19">
        <v>127.94999999999999</v>
      </c>
    </row>
    <row r="395" spans="2:3">
      <c r="B395" s="18" t="s">
        <v>3</v>
      </c>
      <c r="C395" s="19">
        <v>239.24</v>
      </c>
    </row>
    <row r="396" spans="2:3">
      <c r="B396" s="18" t="s">
        <v>3</v>
      </c>
      <c r="C396" s="19">
        <v>314.35199999999998</v>
      </c>
    </row>
    <row r="397" spans="2:3">
      <c r="B397" s="18" t="s">
        <v>3</v>
      </c>
      <c r="C397" s="19">
        <v>518.27200000000005</v>
      </c>
    </row>
    <row r="398" spans="2:3">
      <c r="B398" s="18" t="s">
        <v>3</v>
      </c>
      <c r="C398" s="19">
        <v>6.98</v>
      </c>
    </row>
    <row r="399" spans="2:3">
      <c r="B399" s="18" t="s">
        <v>3</v>
      </c>
      <c r="C399" s="19">
        <v>272.64600000000002</v>
      </c>
    </row>
    <row r="400" spans="2:3">
      <c r="B400" s="18" t="s">
        <v>3</v>
      </c>
      <c r="C400" s="19">
        <v>80.991</v>
      </c>
    </row>
    <row r="401" spans="2:3">
      <c r="B401" s="18" t="s">
        <v>3</v>
      </c>
      <c r="C401" s="19">
        <v>2888.1270000000004</v>
      </c>
    </row>
    <row r="402" spans="2:3">
      <c r="B402" s="18" t="s">
        <v>3</v>
      </c>
      <c r="C402" s="19">
        <v>2254.41</v>
      </c>
    </row>
    <row r="403" spans="2:3">
      <c r="B403" s="18" t="s">
        <v>3</v>
      </c>
      <c r="C403" s="19">
        <v>314.53199999999998</v>
      </c>
    </row>
    <row r="404" spans="2:3">
      <c r="B404" s="18" t="s">
        <v>3</v>
      </c>
      <c r="C404" s="19">
        <v>409.21600000000001</v>
      </c>
    </row>
    <row r="405" spans="2:3">
      <c r="B405" s="18" t="s">
        <v>3</v>
      </c>
      <c r="C405" s="19">
        <v>72.588000000000008</v>
      </c>
    </row>
    <row r="406" spans="2:3">
      <c r="B406" s="18" t="s">
        <v>3</v>
      </c>
      <c r="C406" s="19">
        <v>340.70400000000006</v>
      </c>
    </row>
    <row r="407" spans="2:3">
      <c r="B407" s="18" t="s">
        <v>3</v>
      </c>
      <c r="C407" s="19">
        <v>51.967999999999996</v>
      </c>
    </row>
    <row r="408" spans="2:3">
      <c r="B408" s="18" t="s">
        <v>3</v>
      </c>
      <c r="C408" s="19">
        <v>42.408000000000008</v>
      </c>
    </row>
    <row r="409" spans="2:3">
      <c r="B409" s="18" t="s">
        <v>3</v>
      </c>
      <c r="C409" s="19">
        <v>7.7120000000000006</v>
      </c>
    </row>
    <row r="410" spans="2:3">
      <c r="B410" s="18" t="s">
        <v>3</v>
      </c>
      <c r="C410" s="19">
        <v>65.94</v>
      </c>
    </row>
    <row r="411" spans="2:3">
      <c r="B411" s="18" t="s">
        <v>3</v>
      </c>
      <c r="C411" s="19">
        <v>72.703999999999994</v>
      </c>
    </row>
    <row r="412" spans="2:3">
      <c r="B412" s="18" t="s">
        <v>3</v>
      </c>
      <c r="C412" s="19">
        <v>177.56800000000001</v>
      </c>
    </row>
    <row r="413" spans="2:3">
      <c r="B413" s="18" t="s">
        <v>3</v>
      </c>
      <c r="C413" s="19">
        <v>247.44</v>
      </c>
    </row>
    <row r="414" spans="2:3">
      <c r="B414" s="18" t="s">
        <v>3</v>
      </c>
      <c r="C414" s="19">
        <v>6.24</v>
      </c>
    </row>
    <row r="415" spans="2:3">
      <c r="B415" s="18" t="s">
        <v>3</v>
      </c>
      <c r="C415" s="19">
        <v>1159.056</v>
      </c>
    </row>
    <row r="416" spans="2:3">
      <c r="B416" s="18" t="s">
        <v>3</v>
      </c>
      <c r="C416" s="19">
        <v>701.96</v>
      </c>
    </row>
    <row r="417" spans="2:3">
      <c r="B417" s="18" t="s">
        <v>3</v>
      </c>
      <c r="C417" s="19">
        <v>25.83</v>
      </c>
    </row>
    <row r="418" spans="2:3">
      <c r="B418" s="18" t="s">
        <v>3</v>
      </c>
      <c r="C418" s="19">
        <v>221.38200000000001</v>
      </c>
    </row>
    <row r="419" spans="2:3">
      <c r="B419" s="18" t="s">
        <v>3</v>
      </c>
      <c r="C419" s="19">
        <v>108.40000000000002</v>
      </c>
    </row>
    <row r="420" spans="2:3">
      <c r="B420" s="18" t="s">
        <v>3</v>
      </c>
      <c r="C420" s="19">
        <v>83.92</v>
      </c>
    </row>
    <row r="421" spans="2:3">
      <c r="B421" s="18" t="s">
        <v>3</v>
      </c>
      <c r="C421" s="19">
        <v>241.96</v>
      </c>
    </row>
    <row r="422" spans="2:3">
      <c r="B422" s="18" t="s">
        <v>3</v>
      </c>
      <c r="C422" s="19">
        <v>8.01</v>
      </c>
    </row>
    <row r="423" spans="2:3">
      <c r="B423" s="18" t="s">
        <v>3</v>
      </c>
      <c r="C423" s="19">
        <v>569.5680000000001</v>
      </c>
    </row>
    <row r="424" spans="2:3">
      <c r="B424" s="18" t="s">
        <v>3</v>
      </c>
      <c r="C424" s="19">
        <v>899.43</v>
      </c>
    </row>
    <row r="425" spans="2:3">
      <c r="B425" s="18" t="s">
        <v>3</v>
      </c>
      <c r="C425" s="19">
        <v>35</v>
      </c>
    </row>
    <row r="426" spans="2:3">
      <c r="B426" s="18" t="s">
        <v>3</v>
      </c>
      <c r="C426" s="19">
        <v>974.98799999999983</v>
      </c>
    </row>
    <row r="427" spans="2:3">
      <c r="B427" s="18" t="s">
        <v>3</v>
      </c>
      <c r="C427" s="19">
        <v>103.50000000000001</v>
      </c>
    </row>
    <row r="428" spans="2:3">
      <c r="B428" s="18" t="s">
        <v>3</v>
      </c>
      <c r="C428" s="19">
        <v>36.96</v>
      </c>
    </row>
    <row r="429" spans="2:3">
      <c r="B429" s="18" t="s">
        <v>3</v>
      </c>
      <c r="C429" s="19">
        <v>261.95999999999998</v>
      </c>
    </row>
    <row r="430" spans="2:3">
      <c r="B430" s="18" t="s">
        <v>3</v>
      </c>
      <c r="C430" s="19">
        <v>241.56799999999998</v>
      </c>
    </row>
    <row r="431" spans="2:3">
      <c r="B431" s="18" t="s">
        <v>3</v>
      </c>
      <c r="C431" s="19">
        <v>384.76799999999997</v>
      </c>
    </row>
    <row r="432" spans="2:3">
      <c r="B432" s="18" t="s">
        <v>3</v>
      </c>
      <c r="C432" s="19">
        <v>218.35200000000003</v>
      </c>
    </row>
    <row r="433" spans="2:3">
      <c r="B433" s="18" t="s">
        <v>3</v>
      </c>
      <c r="C433" s="19">
        <v>529.9</v>
      </c>
    </row>
    <row r="434" spans="2:3">
      <c r="B434" s="18" t="s">
        <v>3</v>
      </c>
      <c r="C434" s="19">
        <v>302.67</v>
      </c>
    </row>
    <row r="435" spans="2:3">
      <c r="B435" s="18" t="s">
        <v>3</v>
      </c>
      <c r="C435" s="19">
        <v>139.91999999999999</v>
      </c>
    </row>
    <row r="436" spans="2:3">
      <c r="B436" s="18" t="s">
        <v>3</v>
      </c>
      <c r="C436" s="19">
        <v>170.35200000000003</v>
      </c>
    </row>
    <row r="437" spans="2:3">
      <c r="B437" s="18" t="s">
        <v>3</v>
      </c>
      <c r="C437" s="19">
        <v>8.8000000000000007</v>
      </c>
    </row>
    <row r="438" spans="2:3">
      <c r="B438" s="18" t="s">
        <v>3</v>
      </c>
      <c r="C438" s="19">
        <v>302.94</v>
      </c>
    </row>
    <row r="439" spans="2:3">
      <c r="B439" s="18" t="s">
        <v>3</v>
      </c>
      <c r="C439" s="19">
        <v>212.94</v>
      </c>
    </row>
    <row r="440" spans="2:3">
      <c r="B440" s="18" t="s">
        <v>3</v>
      </c>
      <c r="C440" s="19">
        <v>21.184000000000001</v>
      </c>
    </row>
    <row r="441" spans="2:3">
      <c r="B441" s="18" t="s">
        <v>3</v>
      </c>
      <c r="C441" s="19">
        <v>213.42999999999995</v>
      </c>
    </row>
    <row r="442" spans="2:3">
      <c r="B442" s="18" t="s">
        <v>3</v>
      </c>
      <c r="C442" s="19">
        <v>68.703999999999994</v>
      </c>
    </row>
    <row r="443" spans="2:3">
      <c r="B443" s="18" t="s">
        <v>3</v>
      </c>
      <c r="C443" s="19">
        <v>386.91</v>
      </c>
    </row>
    <row r="444" spans="2:3">
      <c r="B444" s="18" t="s">
        <v>3</v>
      </c>
      <c r="C444" s="19">
        <v>356.85</v>
      </c>
    </row>
    <row r="445" spans="2:3">
      <c r="B445" s="18" t="s">
        <v>3</v>
      </c>
      <c r="C445" s="19">
        <v>42.85</v>
      </c>
    </row>
    <row r="446" spans="2:3">
      <c r="B446" s="18" t="s">
        <v>3</v>
      </c>
      <c r="C446" s="19">
        <v>225.29600000000002</v>
      </c>
    </row>
    <row r="447" spans="2:3">
      <c r="B447" s="18" t="s">
        <v>3</v>
      </c>
      <c r="C447" s="19">
        <v>266.35200000000003</v>
      </c>
    </row>
    <row r="448" spans="2:3">
      <c r="B448" s="18" t="s">
        <v>3</v>
      </c>
      <c r="C448" s="19">
        <v>56.328000000000003</v>
      </c>
    </row>
    <row r="449" spans="2:3">
      <c r="B449" s="18" t="s">
        <v>3</v>
      </c>
      <c r="C449" s="19">
        <v>122.13600000000001</v>
      </c>
    </row>
    <row r="450" spans="2:3">
      <c r="B450" s="18" t="s">
        <v>3</v>
      </c>
      <c r="C450" s="19">
        <v>47.400000000000006</v>
      </c>
    </row>
    <row r="451" spans="2:3">
      <c r="B451" s="18" t="s">
        <v>3</v>
      </c>
      <c r="C451" s="19">
        <v>512.96</v>
      </c>
    </row>
    <row r="452" spans="2:3">
      <c r="B452" s="18" t="s">
        <v>3</v>
      </c>
      <c r="C452" s="19">
        <v>317.05799999999999</v>
      </c>
    </row>
    <row r="453" spans="2:3">
      <c r="B453" s="18" t="s">
        <v>3</v>
      </c>
      <c r="C453" s="19">
        <v>14.560000000000002</v>
      </c>
    </row>
    <row r="454" spans="2:3">
      <c r="B454" s="18" t="s">
        <v>3</v>
      </c>
      <c r="C454" s="19">
        <v>20.096000000000004</v>
      </c>
    </row>
    <row r="455" spans="2:3">
      <c r="B455" s="18" t="s">
        <v>3</v>
      </c>
      <c r="C455" s="19">
        <v>138.58799999999999</v>
      </c>
    </row>
    <row r="456" spans="2:3">
      <c r="B456" s="18" t="s">
        <v>3</v>
      </c>
      <c r="C456" s="19">
        <v>113.372</v>
      </c>
    </row>
    <row r="457" spans="2:3">
      <c r="B457" s="18" t="s">
        <v>3</v>
      </c>
      <c r="C457" s="19">
        <v>127.93599999999999</v>
      </c>
    </row>
    <row r="458" spans="2:3">
      <c r="B458" s="18" t="s">
        <v>3</v>
      </c>
      <c r="C458" s="19">
        <v>7.968</v>
      </c>
    </row>
    <row r="459" spans="2:3">
      <c r="B459" s="18" t="s">
        <v>3</v>
      </c>
      <c r="C459" s="19">
        <v>113.372</v>
      </c>
    </row>
    <row r="460" spans="2:3">
      <c r="B460" s="18" t="s">
        <v>3</v>
      </c>
      <c r="C460" s="19">
        <v>2.9600000000000004</v>
      </c>
    </row>
    <row r="461" spans="2:3">
      <c r="B461" s="18" t="s">
        <v>3</v>
      </c>
      <c r="C461" s="19">
        <v>22.72</v>
      </c>
    </row>
    <row r="462" spans="2:3">
      <c r="B462" s="18" t="s">
        <v>3</v>
      </c>
      <c r="C462" s="19">
        <v>218.35200000000003</v>
      </c>
    </row>
    <row r="463" spans="2:3">
      <c r="B463" s="18" t="s">
        <v>3</v>
      </c>
      <c r="C463" s="19">
        <v>20.32</v>
      </c>
    </row>
    <row r="464" spans="2:3">
      <c r="B464" s="18" t="s">
        <v>3</v>
      </c>
      <c r="C464" s="19">
        <v>14.76</v>
      </c>
    </row>
    <row r="465" spans="2:3">
      <c r="B465" s="18" t="s">
        <v>3</v>
      </c>
      <c r="C465" s="19">
        <v>115.96</v>
      </c>
    </row>
    <row r="466" spans="2:3">
      <c r="B466" s="18" t="s">
        <v>3</v>
      </c>
      <c r="C466" s="19">
        <v>79.97399999999999</v>
      </c>
    </row>
    <row r="467" spans="2:3">
      <c r="B467" s="18" t="s">
        <v>3</v>
      </c>
      <c r="C467" s="19">
        <v>148.25700000000001</v>
      </c>
    </row>
    <row r="468" spans="2:3">
      <c r="B468" s="18" t="s">
        <v>3</v>
      </c>
      <c r="C468" s="19">
        <v>523.39200000000005</v>
      </c>
    </row>
    <row r="469" spans="2:3">
      <c r="B469" s="18" t="s">
        <v>3</v>
      </c>
      <c r="C469" s="19">
        <v>124.36</v>
      </c>
    </row>
    <row r="470" spans="2:3">
      <c r="B470" s="18" t="s">
        <v>3</v>
      </c>
      <c r="C470" s="19">
        <v>198.744</v>
      </c>
    </row>
    <row r="471" spans="2:3">
      <c r="B471" s="18" t="s">
        <v>3</v>
      </c>
      <c r="C471" s="19">
        <v>760.11599999999987</v>
      </c>
    </row>
    <row r="472" spans="2:3">
      <c r="B472" s="18" t="s">
        <v>3</v>
      </c>
      <c r="C472" s="19">
        <v>38.784000000000006</v>
      </c>
    </row>
    <row r="473" spans="2:3">
      <c r="B473" s="18" t="s">
        <v>3</v>
      </c>
      <c r="C473" s="19">
        <v>141.96</v>
      </c>
    </row>
    <row r="474" spans="2:3">
      <c r="B474" s="18" t="s">
        <v>3</v>
      </c>
      <c r="C474" s="19">
        <v>257.94</v>
      </c>
    </row>
    <row r="475" spans="2:3">
      <c r="B475" s="18" t="s">
        <v>3</v>
      </c>
      <c r="C475" s="19">
        <v>27.46</v>
      </c>
    </row>
    <row r="476" spans="2:3">
      <c r="B476" s="18" t="s">
        <v>3</v>
      </c>
      <c r="C476" s="19">
        <v>828.59999999999991</v>
      </c>
    </row>
    <row r="477" spans="2:3">
      <c r="B477" s="18" t="s">
        <v>3</v>
      </c>
      <c r="C477" s="19">
        <v>135.29999999999998</v>
      </c>
    </row>
    <row r="478" spans="2:3">
      <c r="B478" s="18" t="s">
        <v>3</v>
      </c>
      <c r="C478" s="19">
        <v>154.76400000000001</v>
      </c>
    </row>
    <row r="479" spans="2:3">
      <c r="B479" s="18" t="s">
        <v>3</v>
      </c>
      <c r="C479" s="19">
        <v>141.96</v>
      </c>
    </row>
    <row r="480" spans="2:3">
      <c r="B480" s="18" t="s">
        <v>3</v>
      </c>
      <c r="C480" s="19">
        <v>182.55</v>
      </c>
    </row>
    <row r="481" spans="2:3">
      <c r="B481" s="18" t="s">
        <v>3</v>
      </c>
      <c r="C481" s="19">
        <v>145.76400000000001</v>
      </c>
    </row>
    <row r="482" spans="2:3">
      <c r="B482" s="18" t="s">
        <v>3</v>
      </c>
      <c r="C482" s="19">
        <v>908.82</v>
      </c>
    </row>
    <row r="483" spans="2:3">
      <c r="B483" s="18" t="s">
        <v>3</v>
      </c>
      <c r="C483" s="19">
        <v>74.591999999999999</v>
      </c>
    </row>
    <row r="484" spans="2:3">
      <c r="B484" s="18" t="s">
        <v>3</v>
      </c>
      <c r="C484" s="19">
        <v>16.784000000000002</v>
      </c>
    </row>
    <row r="485" spans="2:3">
      <c r="B485" s="18" t="s">
        <v>3</v>
      </c>
      <c r="C485" s="19">
        <v>17.46</v>
      </c>
    </row>
    <row r="486" spans="2:3">
      <c r="B486" s="18" t="s">
        <v>3</v>
      </c>
      <c r="C486" s="19">
        <v>66.36</v>
      </c>
    </row>
    <row r="487" spans="2:3">
      <c r="B487" s="18" t="s">
        <v>3</v>
      </c>
      <c r="C487" s="19">
        <v>24.14</v>
      </c>
    </row>
    <row r="488" spans="2:3">
      <c r="B488" s="18" t="s">
        <v>3</v>
      </c>
      <c r="C488" s="19">
        <v>4416.174</v>
      </c>
    </row>
    <row r="489" spans="2:3">
      <c r="B489" s="18" t="s">
        <v>3</v>
      </c>
      <c r="C489" s="19">
        <v>66.112000000000009</v>
      </c>
    </row>
    <row r="490" spans="2:3">
      <c r="B490" s="18" t="s">
        <v>3</v>
      </c>
      <c r="C490" s="19">
        <v>97.184000000000012</v>
      </c>
    </row>
    <row r="491" spans="2:3">
      <c r="B491" s="18" t="s">
        <v>3</v>
      </c>
      <c r="C491" s="19">
        <v>135.29999999999998</v>
      </c>
    </row>
    <row r="492" spans="2:3">
      <c r="B492" s="18" t="s">
        <v>3</v>
      </c>
      <c r="C492" s="19">
        <v>41.96</v>
      </c>
    </row>
    <row r="493" spans="2:3">
      <c r="B493" s="18" t="s">
        <v>3</v>
      </c>
      <c r="C493" s="19">
        <v>721.87500000000011</v>
      </c>
    </row>
    <row r="494" spans="2:3">
      <c r="B494" s="18" t="s">
        <v>3</v>
      </c>
      <c r="C494" s="19">
        <v>64.784000000000006</v>
      </c>
    </row>
    <row r="495" spans="2:3">
      <c r="B495" s="18" t="s">
        <v>3</v>
      </c>
      <c r="C495" s="19">
        <v>390.36799999999999</v>
      </c>
    </row>
    <row r="496" spans="2:3">
      <c r="B496" s="18" t="s">
        <v>3</v>
      </c>
      <c r="C496" s="19">
        <v>101.52000000000001</v>
      </c>
    </row>
    <row r="497" spans="2:3">
      <c r="B497" s="18" t="s">
        <v>3</v>
      </c>
      <c r="C497" s="19">
        <v>13.591999999999999</v>
      </c>
    </row>
    <row r="498" spans="2:3">
      <c r="B498" s="18" t="s">
        <v>3</v>
      </c>
      <c r="C498" s="19">
        <v>36.671999999999997</v>
      </c>
    </row>
    <row r="499" spans="2:3">
      <c r="B499" s="18" t="s">
        <v>3</v>
      </c>
      <c r="C499" s="19">
        <v>236.52800000000002</v>
      </c>
    </row>
    <row r="500" spans="2:3">
      <c r="B500" s="18" t="s">
        <v>3</v>
      </c>
      <c r="C500" s="19">
        <v>22.200000000000003</v>
      </c>
    </row>
    <row r="501" spans="2:3">
      <c r="B501" s="18" t="s">
        <v>3</v>
      </c>
      <c r="C501" s="19">
        <v>88.920000000000016</v>
      </c>
    </row>
    <row r="502" spans="2:3">
      <c r="B502" s="18" t="s">
        <v>3</v>
      </c>
      <c r="C502" s="19">
        <v>318.43</v>
      </c>
    </row>
    <row r="503" spans="2:3">
      <c r="B503" s="18" t="s">
        <v>3</v>
      </c>
      <c r="C503" s="19">
        <v>34.92</v>
      </c>
    </row>
    <row r="504" spans="2:3">
      <c r="B504" s="18" t="s">
        <v>3</v>
      </c>
      <c r="C504" s="19">
        <v>512.19000000000005</v>
      </c>
    </row>
    <row r="505" spans="2:3">
      <c r="B505" s="18" t="s">
        <v>3</v>
      </c>
      <c r="C505" s="19">
        <v>276.69</v>
      </c>
    </row>
    <row r="506" spans="2:3">
      <c r="B506" s="18" t="s">
        <v>3</v>
      </c>
      <c r="C506" s="19">
        <v>18.84</v>
      </c>
    </row>
    <row r="507" spans="2:3">
      <c r="B507" s="18" t="s">
        <v>3</v>
      </c>
      <c r="C507" s="19">
        <v>396.92000000000007</v>
      </c>
    </row>
    <row r="508" spans="2:3">
      <c r="B508" s="18" t="s">
        <v>3</v>
      </c>
      <c r="C508" s="19">
        <v>9.24</v>
      </c>
    </row>
    <row r="509" spans="2:3">
      <c r="B509" s="18" t="s">
        <v>3</v>
      </c>
      <c r="C509" s="19">
        <v>196.78399999999999</v>
      </c>
    </row>
    <row r="510" spans="2:3">
      <c r="B510" s="18" t="s">
        <v>3</v>
      </c>
      <c r="C510" s="19">
        <v>231.92000000000002</v>
      </c>
    </row>
    <row r="511" spans="2:3">
      <c r="B511" s="18" t="s">
        <v>3</v>
      </c>
      <c r="C511" s="19">
        <v>13.591999999999999</v>
      </c>
    </row>
    <row r="512" spans="2:3">
      <c r="B512" s="18" t="s">
        <v>3</v>
      </c>
      <c r="C512" s="19">
        <v>242.35200000000003</v>
      </c>
    </row>
    <row r="513" spans="2:3">
      <c r="B513" s="18" t="s">
        <v>3</v>
      </c>
      <c r="C513" s="19">
        <v>508.70400000000006</v>
      </c>
    </row>
    <row r="514" spans="2:3">
      <c r="B514" s="18" t="s">
        <v>3</v>
      </c>
      <c r="C514" s="19">
        <v>906.68000000000006</v>
      </c>
    </row>
    <row r="515" spans="2:3">
      <c r="B515" s="18" t="s">
        <v>3</v>
      </c>
      <c r="C515" s="19">
        <v>17.309999999999999</v>
      </c>
    </row>
    <row r="516" spans="2:3">
      <c r="B516" s="18" t="s">
        <v>3</v>
      </c>
      <c r="C516" s="19">
        <v>189.57600000000002</v>
      </c>
    </row>
    <row r="517" spans="2:3">
      <c r="B517" s="18" t="s">
        <v>3</v>
      </c>
      <c r="C517" s="19">
        <v>1207.8399999999999</v>
      </c>
    </row>
    <row r="518" spans="2:3">
      <c r="B518" s="18" t="s">
        <v>3</v>
      </c>
      <c r="C518" s="19">
        <v>300.98</v>
      </c>
    </row>
    <row r="519" spans="2:3">
      <c r="B519" s="18" t="s">
        <v>3</v>
      </c>
      <c r="C519" s="19">
        <v>258.75</v>
      </c>
    </row>
    <row r="520" spans="2:3">
      <c r="B520" s="18" t="s">
        <v>3</v>
      </c>
      <c r="C520" s="19">
        <v>441.96</v>
      </c>
    </row>
    <row r="521" spans="2:3">
      <c r="B521" s="18" t="s">
        <v>3</v>
      </c>
      <c r="C521" s="19">
        <v>872.94</v>
      </c>
    </row>
    <row r="522" spans="2:3">
      <c r="B522" s="18" t="s">
        <v>3</v>
      </c>
      <c r="C522" s="19">
        <v>526.58199999999999</v>
      </c>
    </row>
    <row r="523" spans="2:3">
      <c r="B523" s="18" t="s">
        <v>3</v>
      </c>
      <c r="C523" s="19">
        <v>77.951999999999998</v>
      </c>
    </row>
    <row r="524" spans="2:3">
      <c r="B524" s="18" t="s">
        <v>3</v>
      </c>
      <c r="C524" s="19">
        <v>291.13600000000002</v>
      </c>
    </row>
    <row r="525" spans="2:3">
      <c r="B525" s="18" t="s">
        <v>3</v>
      </c>
      <c r="C525" s="19">
        <v>154.94999999999999</v>
      </c>
    </row>
    <row r="526" spans="2:3">
      <c r="B526" s="18" t="s">
        <v>3</v>
      </c>
      <c r="C526" s="19">
        <v>1779.9</v>
      </c>
    </row>
    <row r="527" spans="2:3">
      <c r="B527" s="18" t="s">
        <v>3</v>
      </c>
      <c r="C527" s="19">
        <v>207.84600000000003</v>
      </c>
    </row>
    <row r="528" spans="2:3">
      <c r="B528" s="18" t="s">
        <v>3</v>
      </c>
      <c r="C528" s="19">
        <v>1497.6659999999999</v>
      </c>
    </row>
    <row r="529" spans="2:3">
      <c r="B529" s="18" t="s">
        <v>3</v>
      </c>
      <c r="C529" s="19">
        <v>124.404</v>
      </c>
    </row>
    <row r="530" spans="2:3">
      <c r="B530" s="18" t="s">
        <v>3</v>
      </c>
      <c r="C530" s="19">
        <v>23.376000000000001</v>
      </c>
    </row>
    <row r="531" spans="2:3">
      <c r="B531" s="18" t="s">
        <v>3</v>
      </c>
      <c r="C531" s="19">
        <v>16.72</v>
      </c>
    </row>
    <row r="532" spans="2:3">
      <c r="B532" s="18" t="s">
        <v>3</v>
      </c>
      <c r="C532" s="19">
        <v>16.192</v>
      </c>
    </row>
    <row r="533" spans="2:3">
      <c r="B533" s="18" t="s">
        <v>3</v>
      </c>
      <c r="C533" s="19">
        <v>31.983999999999998</v>
      </c>
    </row>
    <row r="534" spans="2:3">
      <c r="B534" s="18" t="s">
        <v>3</v>
      </c>
      <c r="C534" s="19">
        <v>423.64799999999997</v>
      </c>
    </row>
    <row r="535" spans="2:3">
      <c r="B535" s="18" t="s">
        <v>3</v>
      </c>
      <c r="C535" s="19">
        <v>50.97</v>
      </c>
    </row>
    <row r="536" spans="2:3">
      <c r="B536" s="18" t="s">
        <v>3</v>
      </c>
      <c r="C536" s="19">
        <v>298.11599999999999</v>
      </c>
    </row>
    <row r="537" spans="2:3">
      <c r="B537" s="18" t="s">
        <v>3</v>
      </c>
      <c r="C537" s="19">
        <v>435.16800000000006</v>
      </c>
    </row>
    <row r="538" spans="2:3">
      <c r="B538" s="18" t="s">
        <v>3</v>
      </c>
      <c r="C538" s="19">
        <v>72.900000000000006</v>
      </c>
    </row>
    <row r="539" spans="2:3">
      <c r="B539" s="18" t="s">
        <v>3</v>
      </c>
      <c r="C539" s="19">
        <v>206.35200000000003</v>
      </c>
    </row>
    <row r="540" spans="2:3">
      <c r="B540" s="18" t="s">
        <v>3</v>
      </c>
      <c r="C540" s="19">
        <v>1673.1839999999997</v>
      </c>
    </row>
    <row r="541" spans="2:3">
      <c r="B541" s="18" t="s">
        <v>3</v>
      </c>
      <c r="C541" s="19">
        <v>18.84</v>
      </c>
    </row>
    <row r="542" spans="2:3">
      <c r="B542" s="18" t="s">
        <v>3</v>
      </c>
      <c r="C542" s="19">
        <v>435.99900000000002</v>
      </c>
    </row>
    <row r="543" spans="2:3">
      <c r="B543" s="18" t="s">
        <v>3</v>
      </c>
      <c r="C543" s="19">
        <v>388.70400000000006</v>
      </c>
    </row>
    <row r="544" spans="2:3">
      <c r="B544" s="18" t="s">
        <v>3</v>
      </c>
      <c r="C544" s="19">
        <v>26.72</v>
      </c>
    </row>
    <row r="545" spans="2:3">
      <c r="B545" s="18" t="s">
        <v>3</v>
      </c>
      <c r="C545" s="19">
        <v>141.41999999999999</v>
      </c>
    </row>
    <row r="546" spans="2:3">
      <c r="B546" s="18" t="s">
        <v>3</v>
      </c>
      <c r="C546" s="19">
        <v>310.74399999999997</v>
      </c>
    </row>
    <row r="547" spans="2:3">
      <c r="B547" s="18" t="s">
        <v>3</v>
      </c>
      <c r="C547" s="19">
        <v>23.88</v>
      </c>
    </row>
    <row r="548" spans="2:3">
      <c r="B548" s="18" t="s">
        <v>3</v>
      </c>
      <c r="C548" s="19">
        <v>89.066399999999987</v>
      </c>
    </row>
    <row r="549" spans="2:3">
      <c r="B549" s="18" t="s">
        <v>3</v>
      </c>
      <c r="C549" s="19">
        <v>215.54400000000001</v>
      </c>
    </row>
    <row r="550" spans="2:3">
      <c r="B550" s="18" t="s">
        <v>3</v>
      </c>
      <c r="C550" s="19">
        <v>127.38599999999998</v>
      </c>
    </row>
    <row r="551" spans="2:3">
      <c r="B551" s="18" t="s">
        <v>3</v>
      </c>
      <c r="C551" s="19">
        <v>148.02000000000001</v>
      </c>
    </row>
    <row r="552" spans="2:3">
      <c r="B552" s="18" t="s">
        <v>3</v>
      </c>
      <c r="C552" s="19">
        <v>526.34399999999994</v>
      </c>
    </row>
    <row r="553" spans="2:3">
      <c r="B553" s="18" t="s">
        <v>3</v>
      </c>
      <c r="C553" s="19">
        <v>161.56800000000001</v>
      </c>
    </row>
    <row r="554" spans="2:3">
      <c r="B554" s="18" t="s">
        <v>3</v>
      </c>
      <c r="C554" s="19">
        <v>64.959999999999994</v>
      </c>
    </row>
    <row r="555" spans="2:3">
      <c r="B555" s="18" t="s">
        <v>3</v>
      </c>
      <c r="C555" s="19">
        <v>2036.8600000000001</v>
      </c>
    </row>
    <row r="556" spans="2:3">
      <c r="B556" s="18" t="s">
        <v>3</v>
      </c>
      <c r="C556" s="19">
        <v>449.56800000000004</v>
      </c>
    </row>
    <row r="557" spans="2:3">
      <c r="B557" s="18" t="s">
        <v>3</v>
      </c>
      <c r="C557" s="19">
        <v>22.608000000000001</v>
      </c>
    </row>
    <row r="558" spans="2:3">
      <c r="B558" s="18" t="s">
        <v>3</v>
      </c>
      <c r="C558" s="19">
        <v>1.8920000000000003</v>
      </c>
    </row>
    <row r="559" spans="2:3">
      <c r="B559" s="18" t="s">
        <v>3</v>
      </c>
      <c r="C559" s="19">
        <v>187.76</v>
      </c>
    </row>
    <row r="560" spans="2:3">
      <c r="B560" s="18" t="s">
        <v>3</v>
      </c>
      <c r="C560" s="19">
        <v>933.26200000000006</v>
      </c>
    </row>
    <row r="561" spans="2:3">
      <c r="B561" s="18" t="s">
        <v>3</v>
      </c>
      <c r="C561" s="19">
        <v>2803.92</v>
      </c>
    </row>
    <row r="562" spans="2:3">
      <c r="B562" s="18" t="s">
        <v>3</v>
      </c>
      <c r="C562" s="19">
        <v>43.936000000000007</v>
      </c>
    </row>
    <row r="563" spans="2:3">
      <c r="B563" s="18" t="s">
        <v>3</v>
      </c>
      <c r="C563" s="19">
        <v>69.375</v>
      </c>
    </row>
    <row r="564" spans="2:3">
      <c r="B564" s="18" t="s">
        <v>3</v>
      </c>
      <c r="C564" s="19">
        <v>207</v>
      </c>
    </row>
    <row r="565" spans="2:3">
      <c r="B565" s="18" t="s">
        <v>3</v>
      </c>
      <c r="C565" s="19">
        <v>362.35199999999998</v>
      </c>
    </row>
    <row r="566" spans="2:3">
      <c r="B566" s="18" t="s">
        <v>3</v>
      </c>
      <c r="C566" s="19">
        <v>486.36800000000005</v>
      </c>
    </row>
    <row r="567" spans="2:3">
      <c r="B567" s="18" t="s">
        <v>3</v>
      </c>
      <c r="C567" s="19">
        <v>62.72</v>
      </c>
    </row>
    <row r="568" spans="2:3">
      <c r="B568" s="18" t="s">
        <v>3</v>
      </c>
      <c r="C568" s="19">
        <v>436.70400000000006</v>
      </c>
    </row>
    <row r="569" spans="2:3">
      <c r="B569" s="18" t="s">
        <v>3</v>
      </c>
      <c r="C569" s="19">
        <v>32.448</v>
      </c>
    </row>
    <row r="570" spans="2:3">
      <c r="B570" s="18" t="s">
        <v>3</v>
      </c>
      <c r="C570" s="19">
        <v>373.46999999999991</v>
      </c>
    </row>
    <row r="571" spans="2:3">
      <c r="B571" s="18" t="s">
        <v>3</v>
      </c>
      <c r="C571" s="19">
        <v>913.43000000000006</v>
      </c>
    </row>
    <row r="572" spans="2:3">
      <c r="B572" s="18" t="s">
        <v>3</v>
      </c>
      <c r="C572" s="19">
        <v>27.46</v>
      </c>
    </row>
    <row r="573" spans="2:3">
      <c r="B573" s="18" t="s">
        <v>3</v>
      </c>
      <c r="C573" s="19">
        <v>155.37199999999999</v>
      </c>
    </row>
    <row r="574" spans="2:3">
      <c r="B574" s="18" t="s">
        <v>3</v>
      </c>
      <c r="C574" s="19">
        <v>83.92</v>
      </c>
    </row>
    <row r="575" spans="2:3">
      <c r="B575" s="18" t="s">
        <v>3</v>
      </c>
      <c r="C575" s="19">
        <v>39.979999999999997</v>
      </c>
    </row>
    <row r="576" spans="2:3">
      <c r="B576" s="18" t="s">
        <v>3</v>
      </c>
      <c r="C576" s="19">
        <v>933.40800000000002</v>
      </c>
    </row>
    <row r="577" spans="2:3">
      <c r="B577" s="18" t="s">
        <v>3</v>
      </c>
      <c r="C577" s="19">
        <v>286.85000000000002</v>
      </c>
    </row>
    <row r="578" spans="2:3">
      <c r="B578" s="18" t="s">
        <v>3</v>
      </c>
      <c r="C578" s="19">
        <v>40.479999999999997</v>
      </c>
    </row>
    <row r="579" spans="2:3">
      <c r="B579" s="18" t="s">
        <v>3</v>
      </c>
      <c r="C579" s="19">
        <v>2154.9</v>
      </c>
    </row>
    <row r="580" spans="2:3">
      <c r="B580" s="18" t="s">
        <v>3</v>
      </c>
      <c r="C580" s="19">
        <v>274.20000000000005</v>
      </c>
    </row>
    <row r="581" spans="2:3">
      <c r="B581" s="18" t="s">
        <v>3</v>
      </c>
      <c r="C581" s="19">
        <v>240.744</v>
      </c>
    </row>
    <row r="582" spans="2:3">
      <c r="B582" s="18" t="s">
        <v>3</v>
      </c>
      <c r="C582" s="19">
        <v>35</v>
      </c>
    </row>
    <row r="583" spans="2:3">
      <c r="B583" s="18" t="s">
        <v>3</v>
      </c>
      <c r="C583" s="19">
        <v>210.68</v>
      </c>
    </row>
    <row r="584" spans="2:3">
      <c r="B584" s="18" t="s">
        <v>3</v>
      </c>
      <c r="C584" s="19">
        <v>637.89599999999996</v>
      </c>
    </row>
    <row r="585" spans="2:3">
      <c r="B585" s="18" t="s">
        <v>3</v>
      </c>
      <c r="C585" s="19">
        <v>106.869</v>
      </c>
    </row>
    <row r="586" spans="2:3">
      <c r="B586" s="18" t="s">
        <v>3</v>
      </c>
      <c r="C586" s="19">
        <v>387.13600000000002</v>
      </c>
    </row>
    <row r="587" spans="2:3">
      <c r="B587" s="18" t="s">
        <v>3</v>
      </c>
      <c r="C587" s="19">
        <v>77.951999999999998</v>
      </c>
    </row>
    <row r="588" spans="2:3">
      <c r="B588" s="18" t="s">
        <v>3</v>
      </c>
      <c r="C588" s="19">
        <v>199.8</v>
      </c>
    </row>
    <row r="589" spans="2:3">
      <c r="B589" s="18" t="s">
        <v>3</v>
      </c>
      <c r="C589" s="19">
        <v>30.336000000000006</v>
      </c>
    </row>
    <row r="590" spans="2:3">
      <c r="B590" s="18" t="s">
        <v>3</v>
      </c>
      <c r="C590" s="19">
        <v>12.99</v>
      </c>
    </row>
    <row r="591" spans="2:3">
      <c r="B591" s="18" t="s">
        <v>3</v>
      </c>
      <c r="C591" s="19">
        <v>182.22</v>
      </c>
    </row>
    <row r="592" spans="2:3">
      <c r="B592" s="18" t="s">
        <v>3</v>
      </c>
      <c r="C592" s="19">
        <v>302.94</v>
      </c>
    </row>
    <row r="593" spans="2:3">
      <c r="B593" s="18" t="s">
        <v>3</v>
      </c>
      <c r="C593" s="19">
        <v>51.264000000000003</v>
      </c>
    </row>
    <row r="594" spans="2:3">
      <c r="B594" s="18" t="s">
        <v>3</v>
      </c>
      <c r="C594" s="19">
        <v>241.42399999999998</v>
      </c>
    </row>
    <row r="595" spans="2:3">
      <c r="B595" s="18" t="s">
        <v>3</v>
      </c>
      <c r="C595" s="19">
        <v>220.70400000000001</v>
      </c>
    </row>
    <row r="596" spans="2:3">
      <c r="B596" s="18" t="s">
        <v>3</v>
      </c>
      <c r="C596" s="19">
        <v>102.3</v>
      </c>
    </row>
    <row r="597" spans="2:3">
      <c r="B597" s="18" t="s">
        <v>3</v>
      </c>
      <c r="C597" s="19">
        <v>607.52</v>
      </c>
    </row>
    <row r="598" spans="2:3">
      <c r="B598" s="18" t="s">
        <v>3</v>
      </c>
      <c r="C598" s="19">
        <v>11.664000000000001</v>
      </c>
    </row>
    <row r="599" spans="2:3">
      <c r="B599" s="18" t="s">
        <v>3</v>
      </c>
      <c r="C599" s="19">
        <v>399.67200000000003</v>
      </c>
    </row>
    <row r="600" spans="2:3">
      <c r="B600" s="18" t="s">
        <v>3</v>
      </c>
      <c r="C600" s="19">
        <v>30.560000000000002</v>
      </c>
    </row>
    <row r="601" spans="2:3">
      <c r="B601" s="18" t="s">
        <v>3</v>
      </c>
      <c r="C601" s="19">
        <v>130.97999999999999</v>
      </c>
    </row>
    <row r="602" spans="2:3">
      <c r="B602" s="18" t="s">
        <v>3</v>
      </c>
      <c r="C602" s="19">
        <v>139.58000000000001</v>
      </c>
    </row>
    <row r="603" spans="2:3">
      <c r="B603" s="18" t="s">
        <v>3</v>
      </c>
      <c r="C603" s="19">
        <v>723.92</v>
      </c>
    </row>
    <row r="604" spans="2:3">
      <c r="B604" s="18" t="s">
        <v>3</v>
      </c>
      <c r="C604" s="19">
        <v>94.2</v>
      </c>
    </row>
    <row r="605" spans="2:3">
      <c r="B605" s="18" t="s">
        <v>3</v>
      </c>
      <c r="C605" s="19">
        <v>600.55799999999999</v>
      </c>
    </row>
    <row r="606" spans="2:3">
      <c r="B606" s="18" t="s">
        <v>3</v>
      </c>
      <c r="C606" s="19">
        <v>7.6920000000000002</v>
      </c>
    </row>
    <row r="607" spans="2:3">
      <c r="B607" s="18" t="s">
        <v>3</v>
      </c>
      <c r="C607" s="19">
        <v>517.40500000000009</v>
      </c>
    </row>
    <row r="608" spans="2:3">
      <c r="B608" s="18" t="s">
        <v>3</v>
      </c>
      <c r="C608" s="19">
        <v>300.904</v>
      </c>
    </row>
    <row r="609" spans="2:3">
      <c r="B609" s="18" t="s">
        <v>3</v>
      </c>
      <c r="C609" s="19">
        <v>31.168000000000003</v>
      </c>
    </row>
    <row r="610" spans="2:3">
      <c r="B610" s="18" t="s">
        <v>3</v>
      </c>
      <c r="C610" s="19">
        <v>120.96</v>
      </c>
    </row>
    <row r="611" spans="2:3">
      <c r="B611" s="18" t="s">
        <v>3</v>
      </c>
      <c r="C611" s="19">
        <v>126.30000000000001</v>
      </c>
    </row>
    <row r="612" spans="2:3">
      <c r="B612" s="18" t="s">
        <v>3</v>
      </c>
      <c r="C612" s="19">
        <v>210.58</v>
      </c>
    </row>
    <row r="613" spans="2:3">
      <c r="B613" s="18" t="s">
        <v>3</v>
      </c>
      <c r="C613" s="19">
        <v>287.976</v>
      </c>
    </row>
    <row r="614" spans="2:3">
      <c r="B614" s="18" t="s">
        <v>3</v>
      </c>
      <c r="C614" s="19">
        <v>698.35200000000009</v>
      </c>
    </row>
    <row r="615" spans="2:3">
      <c r="B615" s="18" t="s">
        <v>3</v>
      </c>
      <c r="C615" s="19">
        <v>77.728000000000009</v>
      </c>
    </row>
    <row r="616" spans="2:3">
      <c r="B616" s="18" t="s">
        <v>3</v>
      </c>
      <c r="C616" s="19">
        <v>70.679999999999993</v>
      </c>
    </row>
    <row r="617" spans="2:3">
      <c r="B617" s="18" t="s">
        <v>3</v>
      </c>
      <c r="C617" s="19">
        <v>629.64</v>
      </c>
    </row>
    <row r="618" spans="2:3">
      <c r="B618" s="18" t="s">
        <v>3</v>
      </c>
      <c r="C618" s="19">
        <v>99.949999999999989</v>
      </c>
    </row>
    <row r="619" spans="2:3">
      <c r="B619" s="18" t="s">
        <v>3</v>
      </c>
      <c r="C619" s="19">
        <v>239.358</v>
      </c>
    </row>
    <row r="620" spans="2:3">
      <c r="B620" s="18" t="s">
        <v>3</v>
      </c>
      <c r="C620" s="19">
        <v>934.9559999999999</v>
      </c>
    </row>
    <row r="621" spans="2:3">
      <c r="B621" s="18" t="s">
        <v>3</v>
      </c>
      <c r="C621" s="19">
        <v>21</v>
      </c>
    </row>
    <row r="622" spans="2:3">
      <c r="B622" s="18" t="s">
        <v>3</v>
      </c>
      <c r="C622" s="19">
        <v>853.92999999999984</v>
      </c>
    </row>
    <row r="623" spans="2:3">
      <c r="B623" s="18" t="s">
        <v>3</v>
      </c>
      <c r="C623" s="19">
        <v>271.76400000000001</v>
      </c>
    </row>
    <row r="624" spans="2:3">
      <c r="B624" s="18" t="s">
        <v>3</v>
      </c>
      <c r="C624" s="19">
        <v>344.98099999999994</v>
      </c>
    </row>
    <row r="625" spans="2:3">
      <c r="B625" s="18" t="s">
        <v>3</v>
      </c>
      <c r="C625" s="19">
        <v>127.785</v>
      </c>
    </row>
    <row r="626" spans="2:3">
      <c r="B626" s="18" t="s">
        <v>3</v>
      </c>
      <c r="C626" s="19">
        <v>1875.258</v>
      </c>
    </row>
    <row r="627" spans="2:3">
      <c r="B627" s="18" t="s">
        <v>3</v>
      </c>
      <c r="C627" s="19">
        <v>458.42999999999995</v>
      </c>
    </row>
    <row r="628" spans="2:3">
      <c r="B628" s="18" t="s">
        <v>3</v>
      </c>
      <c r="C628" s="19">
        <v>5.82</v>
      </c>
    </row>
    <row r="629" spans="2:3">
      <c r="B629" s="18" t="s">
        <v>3</v>
      </c>
      <c r="C629" s="19">
        <v>283.56</v>
      </c>
    </row>
    <row r="630" spans="2:3">
      <c r="B630" s="18" t="s">
        <v>3</v>
      </c>
      <c r="C630" s="19">
        <v>487.96</v>
      </c>
    </row>
    <row r="631" spans="2:3">
      <c r="B631" s="18" t="s">
        <v>3</v>
      </c>
      <c r="C631" s="19">
        <v>11.352000000000002</v>
      </c>
    </row>
    <row r="632" spans="2:3">
      <c r="B632" s="18" t="s">
        <v>3</v>
      </c>
      <c r="C632" s="19">
        <v>31.968000000000004</v>
      </c>
    </row>
    <row r="633" spans="2:3">
      <c r="B633" s="18" t="s">
        <v>3</v>
      </c>
      <c r="C633" s="19">
        <v>887.27099999999984</v>
      </c>
    </row>
    <row r="634" spans="2:3">
      <c r="B634" s="18" t="s">
        <v>3</v>
      </c>
      <c r="C634" s="19">
        <v>27.46</v>
      </c>
    </row>
    <row r="635" spans="2:3">
      <c r="B635" s="18" t="s">
        <v>3</v>
      </c>
      <c r="C635" s="19">
        <v>51.75</v>
      </c>
    </row>
    <row r="636" spans="2:3">
      <c r="B636" s="18" t="s">
        <v>3</v>
      </c>
      <c r="C636" s="19">
        <v>207.18400000000003</v>
      </c>
    </row>
    <row r="637" spans="2:3">
      <c r="B637" s="18" t="s">
        <v>3</v>
      </c>
      <c r="C637" s="19">
        <v>1504.52</v>
      </c>
    </row>
    <row r="638" spans="2:3">
      <c r="B638" s="18" t="s">
        <v>3</v>
      </c>
      <c r="C638" s="19">
        <v>147.56800000000001</v>
      </c>
    </row>
    <row r="639" spans="2:3">
      <c r="B639" s="18" t="s">
        <v>3</v>
      </c>
      <c r="C639" s="19">
        <v>215.976</v>
      </c>
    </row>
    <row r="640" spans="2:3">
      <c r="B640" s="18" t="s">
        <v>3</v>
      </c>
      <c r="C640" s="19">
        <v>398.97199999999998</v>
      </c>
    </row>
    <row r="641" spans="2:3">
      <c r="B641" s="18" t="s">
        <v>3</v>
      </c>
      <c r="C641" s="19">
        <v>457.4849999999999</v>
      </c>
    </row>
    <row r="642" spans="2:3">
      <c r="B642" s="18" t="s">
        <v>3</v>
      </c>
      <c r="C642" s="19">
        <v>1079.316</v>
      </c>
    </row>
    <row r="643" spans="2:3">
      <c r="B643" s="18" t="s">
        <v>3</v>
      </c>
      <c r="C643" s="19">
        <v>115.96</v>
      </c>
    </row>
    <row r="644" spans="2:3">
      <c r="B644" s="18" t="s">
        <v>3</v>
      </c>
      <c r="C644" s="19">
        <v>163.76400000000001</v>
      </c>
    </row>
    <row r="645" spans="2:3">
      <c r="B645" s="18" t="s">
        <v>3</v>
      </c>
      <c r="C645" s="19">
        <v>183.92</v>
      </c>
    </row>
    <row r="646" spans="2:3">
      <c r="B646" s="18" t="s">
        <v>3</v>
      </c>
      <c r="C646" s="19">
        <v>594.81600000000003</v>
      </c>
    </row>
    <row r="647" spans="2:3">
      <c r="B647" s="18" t="s">
        <v>3</v>
      </c>
      <c r="C647" s="19">
        <v>80.959999999999994</v>
      </c>
    </row>
    <row r="648" spans="2:3">
      <c r="B648" s="18" t="s">
        <v>3</v>
      </c>
      <c r="C648" s="19">
        <v>314.35199999999998</v>
      </c>
    </row>
    <row r="649" spans="2:3">
      <c r="B649" s="18" t="s">
        <v>3</v>
      </c>
      <c r="C649" s="19">
        <v>455.97</v>
      </c>
    </row>
    <row r="650" spans="2:3">
      <c r="B650" s="18" t="s">
        <v>3</v>
      </c>
      <c r="C650" s="19">
        <v>30.144000000000002</v>
      </c>
    </row>
    <row r="651" spans="2:3">
      <c r="B651" s="18" t="s">
        <v>3</v>
      </c>
      <c r="C651" s="19">
        <v>899.43</v>
      </c>
    </row>
    <row r="652" spans="2:3">
      <c r="B652" s="18" t="s">
        <v>3</v>
      </c>
      <c r="C652" s="19">
        <v>520.46399999999994</v>
      </c>
    </row>
    <row r="653" spans="2:3">
      <c r="B653" s="18" t="s">
        <v>3</v>
      </c>
      <c r="C653" s="19">
        <v>22.14</v>
      </c>
    </row>
    <row r="654" spans="2:3">
      <c r="B654" s="18" t="s">
        <v>3</v>
      </c>
      <c r="C654" s="19">
        <v>272.96999999999997</v>
      </c>
    </row>
    <row r="655" spans="2:3">
      <c r="B655" s="18" t="s">
        <v>3</v>
      </c>
      <c r="C655" s="19">
        <v>120.57600000000001</v>
      </c>
    </row>
    <row r="656" spans="2:3">
      <c r="B656" s="18" t="s">
        <v>3</v>
      </c>
      <c r="C656" s="19">
        <v>12.07</v>
      </c>
    </row>
    <row r="657" spans="2:3">
      <c r="B657" s="18" t="s">
        <v>3</v>
      </c>
      <c r="C657" s="19">
        <v>87.92</v>
      </c>
    </row>
    <row r="658" spans="2:3">
      <c r="B658" s="18" t="s">
        <v>3</v>
      </c>
      <c r="C658" s="19">
        <v>477.29999999999995</v>
      </c>
    </row>
    <row r="659" spans="2:3">
      <c r="B659" s="18" t="s">
        <v>3</v>
      </c>
      <c r="C659" s="19">
        <v>701.96</v>
      </c>
    </row>
    <row r="660" spans="2:3">
      <c r="B660" s="18" t="s">
        <v>3</v>
      </c>
      <c r="C660" s="19">
        <v>166.5</v>
      </c>
    </row>
    <row r="661" spans="2:3">
      <c r="B661" s="18" t="s">
        <v>3</v>
      </c>
      <c r="C661" s="19">
        <v>128.12400000000002</v>
      </c>
    </row>
    <row r="662" spans="2:3">
      <c r="B662" s="18" t="s">
        <v>3</v>
      </c>
      <c r="C662" s="19">
        <v>101.4</v>
      </c>
    </row>
    <row r="663" spans="2:3">
      <c r="B663" s="18" t="s">
        <v>3</v>
      </c>
      <c r="C663" s="19">
        <v>673.34399999999994</v>
      </c>
    </row>
    <row r="664" spans="2:3">
      <c r="B664" s="18" t="s">
        <v>3</v>
      </c>
      <c r="C664" s="19">
        <v>204.66639999999998</v>
      </c>
    </row>
    <row r="665" spans="2:3">
      <c r="B665" s="18" t="s">
        <v>3</v>
      </c>
      <c r="C665" s="19">
        <v>199.89999999999998</v>
      </c>
    </row>
    <row r="666" spans="2:3">
      <c r="B666" s="18" t="s">
        <v>3</v>
      </c>
      <c r="C666" s="19">
        <v>8.8559999999999999</v>
      </c>
    </row>
    <row r="667" spans="2:3">
      <c r="B667" s="18" t="s">
        <v>3</v>
      </c>
      <c r="C667" s="19">
        <v>589.41</v>
      </c>
    </row>
    <row r="668" spans="2:3">
      <c r="B668" s="18" t="s">
        <v>3</v>
      </c>
      <c r="C668" s="19">
        <v>400.78400000000005</v>
      </c>
    </row>
    <row r="669" spans="2:3">
      <c r="B669" s="18" t="s">
        <v>3</v>
      </c>
      <c r="C669" s="19">
        <v>307.31400000000002</v>
      </c>
    </row>
    <row r="670" spans="2:3">
      <c r="B670" s="18" t="s">
        <v>3</v>
      </c>
      <c r="C670" s="19">
        <v>409.99919999999997</v>
      </c>
    </row>
    <row r="671" spans="2:3">
      <c r="B671" s="18" t="s">
        <v>3</v>
      </c>
      <c r="C671" s="19">
        <v>119.94</v>
      </c>
    </row>
    <row r="672" spans="2:3">
      <c r="B672" s="18" t="s">
        <v>3</v>
      </c>
      <c r="C672" s="19">
        <v>12.419999999999998</v>
      </c>
    </row>
    <row r="673" spans="2:3">
      <c r="B673" s="18" t="s">
        <v>3</v>
      </c>
      <c r="C673" s="19">
        <v>201.04</v>
      </c>
    </row>
    <row r="674" spans="2:3">
      <c r="B674" s="18" t="s">
        <v>3</v>
      </c>
      <c r="C674" s="19">
        <v>364.08000000000004</v>
      </c>
    </row>
    <row r="675" spans="2:3">
      <c r="B675" s="18" t="s">
        <v>3</v>
      </c>
      <c r="C675" s="19">
        <v>71.088000000000008</v>
      </c>
    </row>
    <row r="676" spans="2:3">
      <c r="B676" s="18" t="s">
        <v>3</v>
      </c>
      <c r="C676" s="19">
        <v>292.10000000000002</v>
      </c>
    </row>
    <row r="677" spans="2:3">
      <c r="B677" s="18" t="s">
        <v>3</v>
      </c>
      <c r="C677" s="19">
        <v>1023.3319999999999</v>
      </c>
    </row>
    <row r="678" spans="2:3">
      <c r="B678" s="18" t="s">
        <v>3</v>
      </c>
      <c r="C678" s="19">
        <v>600.55799999999999</v>
      </c>
    </row>
    <row r="679" spans="2:3">
      <c r="B679" s="18" t="s">
        <v>3</v>
      </c>
      <c r="C679" s="19">
        <v>211.24599999999998</v>
      </c>
    </row>
    <row r="680" spans="2:3">
      <c r="B680" s="18" t="s">
        <v>3</v>
      </c>
      <c r="C680" s="19">
        <v>194.84800000000001</v>
      </c>
    </row>
    <row r="681" spans="2:3">
      <c r="B681" s="18" t="s">
        <v>3</v>
      </c>
      <c r="C681" s="19">
        <v>242.35200000000003</v>
      </c>
    </row>
    <row r="682" spans="2:3">
      <c r="B682" s="18" t="s">
        <v>3</v>
      </c>
      <c r="C682" s="19">
        <v>511.5</v>
      </c>
    </row>
    <row r="683" spans="2:3">
      <c r="B683" s="18" t="s">
        <v>3</v>
      </c>
      <c r="C683" s="19">
        <v>50.32</v>
      </c>
    </row>
    <row r="684" spans="2:3">
      <c r="B684" s="18" t="s">
        <v>3</v>
      </c>
      <c r="C684" s="19">
        <v>18.96</v>
      </c>
    </row>
    <row r="685" spans="2:3">
      <c r="B685" s="18" t="s">
        <v>3</v>
      </c>
      <c r="C685" s="19">
        <v>22.752000000000002</v>
      </c>
    </row>
    <row r="686" spans="2:3">
      <c r="B686" s="18" t="s">
        <v>3</v>
      </c>
      <c r="C686" s="19">
        <v>14.91</v>
      </c>
    </row>
    <row r="687" spans="2:3">
      <c r="B687" s="18" t="s">
        <v>3</v>
      </c>
      <c r="C687" s="19">
        <v>1925.88</v>
      </c>
    </row>
    <row r="688" spans="2:3">
      <c r="B688" s="18" t="s">
        <v>3</v>
      </c>
      <c r="C688" s="19">
        <v>91.96</v>
      </c>
    </row>
    <row r="689" spans="2:3">
      <c r="B689" s="18" t="s">
        <v>5</v>
      </c>
      <c r="C689" s="19">
        <v>15.552000000000003</v>
      </c>
    </row>
    <row r="690" spans="2:3">
      <c r="B690" s="18" t="s">
        <v>5</v>
      </c>
      <c r="C690" s="19">
        <v>29.472000000000001</v>
      </c>
    </row>
    <row r="691" spans="2:3">
      <c r="B691" s="18" t="s">
        <v>5</v>
      </c>
      <c r="C691" s="19">
        <v>95.616</v>
      </c>
    </row>
    <row r="692" spans="2:3">
      <c r="B692" s="18" t="s">
        <v>5</v>
      </c>
      <c r="C692" s="19">
        <v>19.049999999999997</v>
      </c>
    </row>
    <row r="693" spans="2:3">
      <c r="B693" s="18" t="s">
        <v>5</v>
      </c>
      <c r="C693" s="19">
        <v>1.2479999999999998</v>
      </c>
    </row>
    <row r="694" spans="2:3">
      <c r="B694" s="18" t="s">
        <v>5</v>
      </c>
      <c r="C694" s="19">
        <v>27.240000000000002</v>
      </c>
    </row>
    <row r="695" spans="2:3">
      <c r="B695" s="18" t="s">
        <v>5</v>
      </c>
      <c r="C695" s="19">
        <v>230.376</v>
      </c>
    </row>
    <row r="696" spans="2:3">
      <c r="B696" s="18" t="s">
        <v>5</v>
      </c>
      <c r="C696" s="19">
        <v>6.16</v>
      </c>
    </row>
    <row r="697" spans="2:3">
      <c r="B697" s="18" t="s">
        <v>5</v>
      </c>
      <c r="C697" s="19">
        <v>5.6820000000000013</v>
      </c>
    </row>
    <row r="698" spans="2:3">
      <c r="B698" s="18" t="s">
        <v>5</v>
      </c>
      <c r="C698" s="19">
        <v>51.311999999999998</v>
      </c>
    </row>
    <row r="699" spans="2:3">
      <c r="B699" s="18" t="s">
        <v>5</v>
      </c>
      <c r="C699" s="19">
        <v>3.3040000000000003</v>
      </c>
    </row>
    <row r="700" spans="2:3">
      <c r="B700" s="18" t="s">
        <v>5</v>
      </c>
      <c r="C700" s="19">
        <v>2.3880000000000003</v>
      </c>
    </row>
    <row r="701" spans="2:3">
      <c r="B701" s="18" t="s">
        <v>5</v>
      </c>
      <c r="C701" s="19">
        <v>243.99200000000002</v>
      </c>
    </row>
    <row r="702" spans="2:3">
      <c r="B702" s="18" t="s">
        <v>5</v>
      </c>
      <c r="C702" s="19">
        <v>78.304000000000002</v>
      </c>
    </row>
    <row r="703" spans="2:3">
      <c r="B703" s="18" t="s">
        <v>5</v>
      </c>
      <c r="C703" s="19">
        <v>21.456</v>
      </c>
    </row>
    <row r="704" spans="2:3">
      <c r="B704" s="18" t="s">
        <v>5</v>
      </c>
      <c r="C704" s="19">
        <v>8.82</v>
      </c>
    </row>
    <row r="705" spans="2:3">
      <c r="B705" s="18" t="s">
        <v>5</v>
      </c>
      <c r="C705" s="19">
        <v>10.86</v>
      </c>
    </row>
    <row r="706" spans="2:3">
      <c r="B706" s="18" t="s">
        <v>5</v>
      </c>
      <c r="C706" s="19">
        <v>143.69999999999999</v>
      </c>
    </row>
    <row r="707" spans="2:3">
      <c r="B707" s="18" t="s">
        <v>5</v>
      </c>
      <c r="C707" s="19">
        <v>839.43000000000006</v>
      </c>
    </row>
    <row r="708" spans="2:3">
      <c r="B708" s="18" t="s">
        <v>5</v>
      </c>
      <c r="C708" s="19">
        <v>97.263999999999982</v>
      </c>
    </row>
    <row r="709" spans="2:3">
      <c r="B709" s="18" t="s">
        <v>5</v>
      </c>
      <c r="C709" s="19">
        <v>46.26</v>
      </c>
    </row>
    <row r="710" spans="2:3">
      <c r="B710" s="18" t="s">
        <v>5</v>
      </c>
      <c r="C710" s="19">
        <v>2.9460000000000006</v>
      </c>
    </row>
    <row r="711" spans="2:3">
      <c r="B711" s="18" t="s">
        <v>5</v>
      </c>
      <c r="C711" s="19">
        <v>16.056000000000001</v>
      </c>
    </row>
    <row r="712" spans="2:3">
      <c r="B712" s="18" t="s">
        <v>5</v>
      </c>
      <c r="C712" s="19">
        <v>21.744000000000003</v>
      </c>
    </row>
    <row r="713" spans="2:3">
      <c r="B713" s="18" t="s">
        <v>5</v>
      </c>
      <c r="C713" s="19">
        <v>66.283999999999992</v>
      </c>
    </row>
    <row r="714" spans="2:3">
      <c r="B714" s="18" t="s">
        <v>5</v>
      </c>
      <c r="C714" s="19">
        <v>83.92</v>
      </c>
    </row>
    <row r="715" spans="2:3">
      <c r="B715" s="18" t="s">
        <v>5</v>
      </c>
      <c r="C715" s="19">
        <v>15.92</v>
      </c>
    </row>
    <row r="716" spans="2:3">
      <c r="B716" s="18" t="s">
        <v>5</v>
      </c>
      <c r="C716" s="19">
        <v>52.29</v>
      </c>
    </row>
    <row r="717" spans="2:3">
      <c r="B717" s="18" t="s">
        <v>5</v>
      </c>
      <c r="C717" s="19">
        <v>91.99</v>
      </c>
    </row>
    <row r="718" spans="2:3">
      <c r="B718" s="18" t="s">
        <v>5</v>
      </c>
      <c r="C718" s="19">
        <v>5.3280000000000012</v>
      </c>
    </row>
    <row r="719" spans="2:3">
      <c r="B719" s="18" t="s">
        <v>5</v>
      </c>
      <c r="C719" s="19">
        <v>10.56</v>
      </c>
    </row>
    <row r="720" spans="2:3">
      <c r="B720" s="18" t="s">
        <v>5</v>
      </c>
      <c r="C720" s="19">
        <v>221.54999999999998</v>
      </c>
    </row>
    <row r="721" spans="2:3">
      <c r="B721" s="18" t="s">
        <v>5</v>
      </c>
      <c r="C721" s="19">
        <v>17.52</v>
      </c>
    </row>
    <row r="722" spans="2:3">
      <c r="B722" s="18" t="s">
        <v>5</v>
      </c>
      <c r="C722" s="19">
        <v>1.6239999999999994</v>
      </c>
    </row>
    <row r="723" spans="2:3">
      <c r="B723" s="18" t="s">
        <v>5</v>
      </c>
      <c r="C723" s="19">
        <v>14.015999999999998</v>
      </c>
    </row>
    <row r="724" spans="2:3">
      <c r="B724" s="18" t="s">
        <v>5</v>
      </c>
      <c r="C724" s="19">
        <v>37.207999999999998</v>
      </c>
    </row>
    <row r="725" spans="2:3">
      <c r="B725" s="18" t="s">
        <v>5</v>
      </c>
      <c r="C725" s="19">
        <v>57.576000000000001</v>
      </c>
    </row>
    <row r="726" spans="2:3">
      <c r="B726" s="18" t="s">
        <v>5</v>
      </c>
      <c r="C726" s="19">
        <v>725.84</v>
      </c>
    </row>
    <row r="727" spans="2:3">
      <c r="B727" s="18" t="s">
        <v>5</v>
      </c>
      <c r="C727" s="19">
        <v>8.82</v>
      </c>
    </row>
    <row r="728" spans="2:3">
      <c r="B728" s="18" t="s">
        <v>5</v>
      </c>
      <c r="C728" s="19">
        <v>5.98</v>
      </c>
    </row>
    <row r="729" spans="2:3">
      <c r="B729" s="18" t="s">
        <v>5</v>
      </c>
      <c r="C729" s="19">
        <v>11.648000000000001</v>
      </c>
    </row>
    <row r="730" spans="2:3">
      <c r="B730" s="18" t="s">
        <v>5</v>
      </c>
      <c r="C730" s="19">
        <v>18.175999999999998</v>
      </c>
    </row>
    <row r="731" spans="2:3">
      <c r="B731" s="18" t="s">
        <v>5</v>
      </c>
      <c r="C731" s="19">
        <v>59.712000000000003</v>
      </c>
    </row>
    <row r="732" spans="2:3">
      <c r="B732" s="18" t="s">
        <v>5</v>
      </c>
      <c r="C732" s="19">
        <v>24.839999999999996</v>
      </c>
    </row>
    <row r="733" spans="2:3">
      <c r="B733" s="18" t="s">
        <v>5</v>
      </c>
      <c r="C733" s="19">
        <v>4.8899999999999997</v>
      </c>
    </row>
    <row r="734" spans="2:3">
      <c r="B734" s="18" t="s">
        <v>5</v>
      </c>
      <c r="C734" s="19">
        <v>7.5600000000000005</v>
      </c>
    </row>
    <row r="735" spans="2:3">
      <c r="B735" s="18" t="s">
        <v>5</v>
      </c>
      <c r="C735" s="19">
        <v>24.56</v>
      </c>
    </row>
    <row r="736" spans="2:3">
      <c r="B736" s="18" t="s">
        <v>5</v>
      </c>
      <c r="C736" s="19">
        <v>12.96</v>
      </c>
    </row>
    <row r="737" spans="2:3">
      <c r="B737" s="18" t="s">
        <v>5</v>
      </c>
      <c r="C737" s="19">
        <v>647.84</v>
      </c>
    </row>
    <row r="738" spans="2:3">
      <c r="B738" s="18" t="s">
        <v>5</v>
      </c>
      <c r="C738" s="19">
        <v>20.7</v>
      </c>
    </row>
    <row r="739" spans="2:3">
      <c r="B739" s="18" t="s">
        <v>5</v>
      </c>
      <c r="C739" s="19">
        <v>20.7</v>
      </c>
    </row>
    <row r="740" spans="2:3">
      <c r="B740" s="18" t="s">
        <v>5</v>
      </c>
      <c r="C740" s="19">
        <v>5.56</v>
      </c>
    </row>
    <row r="741" spans="2:3">
      <c r="B741" s="18" t="s">
        <v>5</v>
      </c>
      <c r="C741" s="19">
        <v>25.920000000000005</v>
      </c>
    </row>
    <row r="742" spans="2:3">
      <c r="B742" s="18" t="s">
        <v>5</v>
      </c>
      <c r="C742" s="19">
        <v>53.424000000000007</v>
      </c>
    </row>
    <row r="743" spans="2:3">
      <c r="B743" s="18" t="s">
        <v>5</v>
      </c>
      <c r="C743" s="19">
        <v>23.36</v>
      </c>
    </row>
    <row r="744" spans="2:3">
      <c r="B744" s="18" t="s">
        <v>5</v>
      </c>
      <c r="C744" s="19">
        <v>75.792000000000002</v>
      </c>
    </row>
    <row r="745" spans="2:3">
      <c r="B745" s="18" t="s">
        <v>5</v>
      </c>
      <c r="C745" s="19">
        <v>49.96</v>
      </c>
    </row>
    <row r="746" spans="2:3">
      <c r="B746" s="18" t="s">
        <v>5</v>
      </c>
      <c r="C746" s="19">
        <v>12.96</v>
      </c>
    </row>
    <row r="747" spans="2:3">
      <c r="B747" s="18" t="s">
        <v>5</v>
      </c>
      <c r="C747" s="19">
        <v>35.910000000000004</v>
      </c>
    </row>
    <row r="748" spans="2:3">
      <c r="B748" s="18" t="s">
        <v>5</v>
      </c>
      <c r="C748" s="19">
        <v>27.15</v>
      </c>
    </row>
    <row r="749" spans="2:3">
      <c r="B749" s="18" t="s">
        <v>5</v>
      </c>
      <c r="C749" s="19">
        <v>9.68</v>
      </c>
    </row>
    <row r="750" spans="2:3">
      <c r="B750" s="18" t="s">
        <v>5</v>
      </c>
      <c r="C750" s="19">
        <v>28.349999999999998</v>
      </c>
    </row>
    <row r="751" spans="2:3">
      <c r="B751" s="18" t="s">
        <v>5</v>
      </c>
      <c r="C751" s="19">
        <v>55.98</v>
      </c>
    </row>
    <row r="752" spans="2:3">
      <c r="B752" s="18" t="s">
        <v>5</v>
      </c>
      <c r="C752" s="19">
        <v>139.86000000000001</v>
      </c>
    </row>
    <row r="753" spans="2:3">
      <c r="B753" s="18" t="s">
        <v>5</v>
      </c>
      <c r="C753" s="19">
        <v>95.92</v>
      </c>
    </row>
    <row r="754" spans="2:3">
      <c r="B754" s="18" t="s">
        <v>5</v>
      </c>
      <c r="C754" s="19">
        <v>5.78</v>
      </c>
    </row>
    <row r="755" spans="2:3">
      <c r="B755" s="18" t="s">
        <v>5</v>
      </c>
      <c r="C755" s="19">
        <v>9.32</v>
      </c>
    </row>
    <row r="756" spans="2:3">
      <c r="B756" s="18" t="s">
        <v>5</v>
      </c>
      <c r="C756" s="19">
        <v>15.25</v>
      </c>
    </row>
    <row r="757" spans="2:3">
      <c r="B757" s="18" t="s">
        <v>5</v>
      </c>
      <c r="C757" s="19">
        <v>32.700000000000003</v>
      </c>
    </row>
    <row r="758" spans="2:3">
      <c r="B758" s="18" t="s">
        <v>5</v>
      </c>
      <c r="C758" s="19">
        <v>287.92</v>
      </c>
    </row>
    <row r="759" spans="2:3">
      <c r="B759" s="18" t="s">
        <v>5</v>
      </c>
      <c r="C759" s="19">
        <v>6.6719999999999988</v>
      </c>
    </row>
    <row r="760" spans="2:3">
      <c r="B760" s="18" t="s">
        <v>5</v>
      </c>
      <c r="C760" s="19">
        <v>31.872000000000003</v>
      </c>
    </row>
    <row r="761" spans="2:3">
      <c r="B761" s="18" t="s">
        <v>5</v>
      </c>
      <c r="C761" s="19">
        <v>665.40800000000002</v>
      </c>
    </row>
    <row r="762" spans="2:3">
      <c r="B762" s="18" t="s">
        <v>5</v>
      </c>
      <c r="C762" s="19">
        <v>29.6</v>
      </c>
    </row>
    <row r="763" spans="2:3">
      <c r="B763" s="18" t="s">
        <v>5</v>
      </c>
      <c r="C763" s="19">
        <v>15.920000000000002</v>
      </c>
    </row>
    <row r="764" spans="2:3">
      <c r="B764" s="18" t="s">
        <v>5</v>
      </c>
      <c r="C764" s="19">
        <v>6.63</v>
      </c>
    </row>
    <row r="765" spans="2:3">
      <c r="B765" s="18" t="s">
        <v>5</v>
      </c>
      <c r="C765" s="19">
        <v>5.88</v>
      </c>
    </row>
    <row r="766" spans="2:3">
      <c r="B766" s="18" t="s">
        <v>5</v>
      </c>
      <c r="C766" s="19">
        <v>51.449999999999996</v>
      </c>
    </row>
    <row r="767" spans="2:3">
      <c r="B767" s="18" t="s">
        <v>5</v>
      </c>
      <c r="C767" s="19">
        <v>11.96</v>
      </c>
    </row>
    <row r="768" spans="2:3">
      <c r="B768" s="18" t="s">
        <v>5</v>
      </c>
      <c r="C768" s="19">
        <v>1126.02</v>
      </c>
    </row>
    <row r="769" spans="2:3">
      <c r="B769" s="18" t="s">
        <v>5</v>
      </c>
      <c r="C769" s="19">
        <v>42.615999999999993</v>
      </c>
    </row>
    <row r="770" spans="2:3">
      <c r="B770" s="18" t="s">
        <v>5</v>
      </c>
      <c r="C770" s="19">
        <v>41.28</v>
      </c>
    </row>
    <row r="771" spans="2:3">
      <c r="B771" s="18" t="s">
        <v>5</v>
      </c>
      <c r="C771" s="19">
        <v>13.36</v>
      </c>
    </row>
    <row r="772" spans="2:3">
      <c r="B772" s="18" t="s">
        <v>5</v>
      </c>
      <c r="C772" s="19">
        <v>10.824</v>
      </c>
    </row>
    <row r="773" spans="2:3">
      <c r="B773" s="18" t="s">
        <v>5</v>
      </c>
      <c r="C773" s="19">
        <v>1295.78</v>
      </c>
    </row>
    <row r="774" spans="2:3">
      <c r="B774" s="18" t="s">
        <v>5</v>
      </c>
      <c r="C774" s="19">
        <v>84.056000000000012</v>
      </c>
    </row>
    <row r="775" spans="2:3">
      <c r="B775" s="18" t="s">
        <v>5</v>
      </c>
      <c r="C775" s="19">
        <v>91.84</v>
      </c>
    </row>
    <row r="776" spans="2:3">
      <c r="B776" s="18" t="s">
        <v>5</v>
      </c>
      <c r="C776" s="19">
        <v>81.088000000000008</v>
      </c>
    </row>
    <row r="777" spans="2:3">
      <c r="B777" s="18" t="s">
        <v>5</v>
      </c>
      <c r="C777" s="19">
        <v>19.440000000000001</v>
      </c>
    </row>
    <row r="778" spans="2:3">
      <c r="B778" s="18" t="s">
        <v>5</v>
      </c>
      <c r="C778" s="19">
        <v>72.45</v>
      </c>
    </row>
    <row r="779" spans="2:3">
      <c r="B779" s="18" t="s">
        <v>5</v>
      </c>
      <c r="C779" s="19">
        <v>13.96</v>
      </c>
    </row>
    <row r="780" spans="2:3">
      <c r="B780" s="18" t="s">
        <v>5</v>
      </c>
      <c r="C780" s="19">
        <v>33.264000000000003</v>
      </c>
    </row>
    <row r="781" spans="2:3">
      <c r="B781" s="18" t="s">
        <v>5</v>
      </c>
      <c r="C781" s="19">
        <v>69.712000000000003</v>
      </c>
    </row>
    <row r="782" spans="2:3">
      <c r="B782" s="18" t="s">
        <v>5</v>
      </c>
      <c r="C782" s="19">
        <v>31.152000000000001</v>
      </c>
    </row>
    <row r="783" spans="2:3">
      <c r="B783" s="18" t="s">
        <v>5</v>
      </c>
      <c r="C783" s="19">
        <v>6.7830000000000004</v>
      </c>
    </row>
    <row r="784" spans="2:3">
      <c r="B784" s="18" t="s">
        <v>5</v>
      </c>
      <c r="C784" s="19">
        <v>3.6480000000000006</v>
      </c>
    </row>
    <row r="785" spans="2:3">
      <c r="B785" s="18" t="s">
        <v>5</v>
      </c>
      <c r="C785" s="19">
        <v>107.42400000000001</v>
      </c>
    </row>
    <row r="786" spans="2:3">
      <c r="B786" s="18" t="s">
        <v>5</v>
      </c>
      <c r="C786" s="19">
        <v>97.16</v>
      </c>
    </row>
    <row r="787" spans="2:3">
      <c r="B787" s="18" t="s">
        <v>5</v>
      </c>
      <c r="C787" s="19">
        <v>15.24</v>
      </c>
    </row>
    <row r="788" spans="2:3">
      <c r="B788" s="18" t="s">
        <v>5</v>
      </c>
      <c r="C788" s="19">
        <v>13.23</v>
      </c>
    </row>
    <row r="789" spans="2:3">
      <c r="B789" s="18" t="s">
        <v>5</v>
      </c>
      <c r="C789" s="19">
        <v>235.94400000000002</v>
      </c>
    </row>
    <row r="790" spans="2:3">
      <c r="B790" s="18" t="s">
        <v>5</v>
      </c>
      <c r="C790" s="19">
        <v>330.4</v>
      </c>
    </row>
    <row r="791" spans="2:3">
      <c r="B791" s="18" t="s">
        <v>5</v>
      </c>
      <c r="C791" s="19">
        <v>26.25</v>
      </c>
    </row>
    <row r="792" spans="2:3">
      <c r="B792" s="18" t="s">
        <v>5</v>
      </c>
      <c r="C792" s="19">
        <v>6.48</v>
      </c>
    </row>
    <row r="793" spans="2:3">
      <c r="B793" s="18" t="s">
        <v>5</v>
      </c>
      <c r="C793" s="19">
        <v>209.3</v>
      </c>
    </row>
    <row r="794" spans="2:3">
      <c r="B794" s="18" t="s">
        <v>5</v>
      </c>
      <c r="C794" s="19">
        <v>97.82</v>
      </c>
    </row>
    <row r="795" spans="2:3">
      <c r="B795" s="18" t="s">
        <v>5</v>
      </c>
      <c r="C795" s="19">
        <v>23.76</v>
      </c>
    </row>
    <row r="796" spans="2:3">
      <c r="B796" s="18" t="s">
        <v>5</v>
      </c>
      <c r="C796" s="19">
        <v>85.055999999999997</v>
      </c>
    </row>
    <row r="797" spans="2:3">
      <c r="B797" s="18" t="s">
        <v>5</v>
      </c>
      <c r="C797" s="19">
        <v>36.351999999999997</v>
      </c>
    </row>
    <row r="798" spans="2:3">
      <c r="B798" s="18" t="s">
        <v>5</v>
      </c>
      <c r="C798" s="19">
        <v>19.559999999999999</v>
      </c>
    </row>
    <row r="799" spans="2:3">
      <c r="B799" s="18" t="s">
        <v>5</v>
      </c>
      <c r="C799" s="19">
        <v>61.44</v>
      </c>
    </row>
    <row r="800" spans="2:3">
      <c r="B800" s="18" t="s">
        <v>5</v>
      </c>
      <c r="C800" s="19">
        <v>38.9</v>
      </c>
    </row>
    <row r="801" spans="2:3">
      <c r="B801" s="18" t="s">
        <v>5</v>
      </c>
      <c r="C801" s="19">
        <v>2.6879999999999997</v>
      </c>
    </row>
    <row r="802" spans="2:3">
      <c r="B802" s="18" t="s">
        <v>5</v>
      </c>
      <c r="C802" s="19">
        <v>182.99399999999997</v>
      </c>
    </row>
    <row r="803" spans="2:3">
      <c r="B803" s="18" t="s">
        <v>5</v>
      </c>
      <c r="C803" s="19">
        <v>167.44000000000003</v>
      </c>
    </row>
    <row r="804" spans="2:3">
      <c r="B804" s="18" t="s">
        <v>5</v>
      </c>
      <c r="C804" s="19">
        <v>24.448</v>
      </c>
    </row>
    <row r="805" spans="2:3">
      <c r="B805" s="18" t="s">
        <v>5</v>
      </c>
      <c r="C805" s="19">
        <v>281.34000000000003</v>
      </c>
    </row>
    <row r="806" spans="2:3">
      <c r="B806" s="18" t="s">
        <v>5</v>
      </c>
      <c r="C806" s="19">
        <v>17.568000000000001</v>
      </c>
    </row>
    <row r="807" spans="2:3">
      <c r="B807" s="18" t="s">
        <v>5</v>
      </c>
      <c r="C807" s="19">
        <v>242.94</v>
      </c>
    </row>
    <row r="808" spans="2:3">
      <c r="B808" s="18" t="s">
        <v>5</v>
      </c>
      <c r="C808" s="19">
        <v>99.695999999999998</v>
      </c>
    </row>
    <row r="809" spans="2:3">
      <c r="B809" s="18" t="s">
        <v>5</v>
      </c>
      <c r="C809" s="19">
        <v>27.936000000000003</v>
      </c>
    </row>
    <row r="810" spans="2:3">
      <c r="B810" s="18" t="s">
        <v>5</v>
      </c>
      <c r="C810" s="19">
        <v>18.72</v>
      </c>
    </row>
    <row r="811" spans="2:3">
      <c r="B811" s="18" t="s">
        <v>5</v>
      </c>
      <c r="C811" s="19">
        <v>58.050000000000004</v>
      </c>
    </row>
    <row r="812" spans="2:3">
      <c r="B812" s="18" t="s">
        <v>5</v>
      </c>
      <c r="C812" s="19">
        <v>56.980000000000004</v>
      </c>
    </row>
    <row r="813" spans="2:3">
      <c r="B813" s="18" t="s">
        <v>5</v>
      </c>
      <c r="C813" s="19">
        <v>2.88</v>
      </c>
    </row>
    <row r="814" spans="2:3">
      <c r="B814" s="18" t="s">
        <v>5</v>
      </c>
      <c r="C814" s="19">
        <v>13.128</v>
      </c>
    </row>
    <row r="815" spans="2:3">
      <c r="B815" s="18" t="s">
        <v>5</v>
      </c>
      <c r="C815" s="19">
        <v>22.72</v>
      </c>
    </row>
    <row r="816" spans="2:3">
      <c r="B816" s="18" t="s">
        <v>5</v>
      </c>
      <c r="C816" s="19">
        <v>12.39</v>
      </c>
    </row>
    <row r="817" spans="2:3">
      <c r="B817" s="18" t="s">
        <v>5</v>
      </c>
      <c r="C817" s="19">
        <v>18.28</v>
      </c>
    </row>
    <row r="818" spans="2:3">
      <c r="B818" s="18" t="s">
        <v>5</v>
      </c>
      <c r="C818" s="19">
        <v>32.35</v>
      </c>
    </row>
    <row r="819" spans="2:3">
      <c r="B819" s="18" t="s">
        <v>5</v>
      </c>
      <c r="C819" s="19">
        <v>7.71</v>
      </c>
    </row>
    <row r="820" spans="2:3">
      <c r="B820" s="18" t="s">
        <v>5</v>
      </c>
      <c r="C820" s="19">
        <v>40.299999999999997</v>
      </c>
    </row>
    <row r="821" spans="2:3">
      <c r="B821" s="18" t="s">
        <v>5</v>
      </c>
      <c r="C821" s="19">
        <v>17.456</v>
      </c>
    </row>
    <row r="822" spans="2:3">
      <c r="B822" s="18" t="s">
        <v>5</v>
      </c>
      <c r="C822" s="19">
        <v>20.16</v>
      </c>
    </row>
    <row r="823" spans="2:3">
      <c r="B823" s="18" t="s">
        <v>5</v>
      </c>
      <c r="C823" s="19">
        <v>9.82</v>
      </c>
    </row>
    <row r="824" spans="2:3">
      <c r="B824" s="18" t="s">
        <v>5</v>
      </c>
      <c r="C824" s="19">
        <v>35</v>
      </c>
    </row>
    <row r="825" spans="2:3">
      <c r="B825" s="18" t="s">
        <v>5</v>
      </c>
      <c r="C825" s="19">
        <v>37.24</v>
      </c>
    </row>
    <row r="826" spans="2:3">
      <c r="B826" s="18" t="s">
        <v>5</v>
      </c>
      <c r="C826" s="19">
        <v>15.28</v>
      </c>
    </row>
    <row r="827" spans="2:3">
      <c r="B827" s="18" t="s">
        <v>5</v>
      </c>
      <c r="C827" s="19">
        <v>180.66</v>
      </c>
    </row>
    <row r="828" spans="2:3">
      <c r="B828" s="18" t="s">
        <v>5</v>
      </c>
      <c r="C828" s="19">
        <v>9.6640000000000015</v>
      </c>
    </row>
    <row r="829" spans="2:3">
      <c r="B829" s="18" t="s">
        <v>5</v>
      </c>
      <c r="C829" s="19">
        <v>7.61</v>
      </c>
    </row>
    <row r="830" spans="2:3">
      <c r="B830" s="18" t="s">
        <v>5</v>
      </c>
      <c r="C830" s="19">
        <v>7.16</v>
      </c>
    </row>
    <row r="831" spans="2:3">
      <c r="B831" s="18" t="s">
        <v>5</v>
      </c>
      <c r="C831" s="19">
        <v>192.16000000000003</v>
      </c>
    </row>
    <row r="832" spans="2:3">
      <c r="B832" s="18" t="s">
        <v>5</v>
      </c>
      <c r="C832" s="19">
        <v>68.472000000000008</v>
      </c>
    </row>
    <row r="833" spans="2:3">
      <c r="B833" s="18" t="s">
        <v>5</v>
      </c>
      <c r="C833" s="19">
        <v>13.48</v>
      </c>
    </row>
    <row r="834" spans="2:3">
      <c r="B834" s="18" t="s">
        <v>5</v>
      </c>
      <c r="C834" s="19">
        <v>83.76</v>
      </c>
    </row>
    <row r="835" spans="2:3">
      <c r="B835" s="18" t="s">
        <v>5</v>
      </c>
      <c r="C835" s="19">
        <v>37.659999999999997</v>
      </c>
    </row>
    <row r="836" spans="2:3">
      <c r="B836" s="18" t="s">
        <v>5</v>
      </c>
      <c r="C836" s="19">
        <v>51.311999999999998</v>
      </c>
    </row>
    <row r="837" spans="2:3">
      <c r="B837" s="18" t="s">
        <v>5</v>
      </c>
      <c r="C837" s="19">
        <v>4.54</v>
      </c>
    </row>
    <row r="838" spans="2:3">
      <c r="B838" s="18" t="s">
        <v>5</v>
      </c>
      <c r="C838" s="19">
        <v>15.92</v>
      </c>
    </row>
    <row r="839" spans="2:3">
      <c r="B839" s="18" t="s">
        <v>5</v>
      </c>
      <c r="C839" s="19">
        <v>46.96</v>
      </c>
    </row>
    <row r="840" spans="2:3">
      <c r="B840" s="18" t="s">
        <v>5</v>
      </c>
      <c r="C840" s="19">
        <v>10.440000000000001</v>
      </c>
    </row>
    <row r="841" spans="2:3">
      <c r="B841" s="18" t="s">
        <v>5</v>
      </c>
      <c r="C841" s="19">
        <v>18.335999999999999</v>
      </c>
    </row>
    <row r="842" spans="2:3">
      <c r="B842" s="18" t="s">
        <v>5</v>
      </c>
      <c r="C842" s="19">
        <v>52.775999999999996</v>
      </c>
    </row>
    <row r="843" spans="2:3">
      <c r="B843" s="18" t="s">
        <v>5</v>
      </c>
      <c r="C843" s="19">
        <v>352.38</v>
      </c>
    </row>
    <row r="844" spans="2:3">
      <c r="B844" s="18" t="s">
        <v>5</v>
      </c>
      <c r="C844" s="19">
        <v>14.592000000000002</v>
      </c>
    </row>
    <row r="845" spans="2:3">
      <c r="B845" s="18" t="s">
        <v>5</v>
      </c>
      <c r="C845" s="19">
        <v>89.855999999999995</v>
      </c>
    </row>
    <row r="846" spans="2:3">
      <c r="B846" s="18" t="s">
        <v>5</v>
      </c>
      <c r="C846" s="19">
        <v>13.872000000000002</v>
      </c>
    </row>
    <row r="847" spans="2:3">
      <c r="B847" s="18" t="s">
        <v>5</v>
      </c>
      <c r="C847" s="19">
        <v>12.192</v>
      </c>
    </row>
    <row r="848" spans="2:3">
      <c r="B848" s="18" t="s">
        <v>5</v>
      </c>
      <c r="C848" s="19">
        <v>15.552000000000003</v>
      </c>
    </row>
    <row r="849" spans="2:3">
      <c r="B849" s="18" t="s">
        <v>5</v>
      </c>
      <c r="C849" s="19">
        <v>25.344000000000001</v>
      </c>
    </row>
    <row r="850" spans="2:3">
      <c r="B850" s="18" t="s">
        <v>5</v>
      </c>
      <c r="C850" s="19">
        <v>27.168000000000003</v>
      </c>
    </row>
    <row r="851" spans="2:3">
      <c r="B851" s="18" t="s">
        <v>5</v>
      </c>
      <c r="C851" s="19">
        <v>173.79999999999998</v>
      </c>
    </row>
    <row r="852" spans="2:3">
      <c r="B852" s="18" t="s">
        <v>5</v>
      </c>
      <c r="C852" s="19">
        <v>4.7520000000000007</v>
      </c>
    </row>
    <row r="853" spans="2:3">
      <c r="B853" s="18" t="s">
        <v>5</v>
      </c>
      <c r="C853" s="19">
        <v>15.552000000000003</v>
      </c>
    </row>
    <row r="854" spans="2:3">
      <c r="B854" s="18" t="s">
        <v>5</v>
      </c>
      <c r="C854" s="19">
        <v>9.82</v>
      </c>
    </row>
    <row r="855" spans="2:3">
      <c r="B855" s="18" t="s">
        <v>5</v>
      </c>
      <c r="C855" s="19">
        <v>35.97</v>
      </c>
    </row>
    <row r="856" spans="2:3">
      <c r="B856" s="18" t="s">
        <v>5</v>
      </c>
      <c r="C856" s="19">
        <v>12.96</v>
      </c>
    </row>
    <row r="857" spans="2:3">
      <c r="B857" s="18" t="s">
        <v>5</v>
      </c>
      <c r="C857" s="19">
        <v>191.6</v>
      </c>
    </row>
    <row r="858" spans="2:3">
      <c r="B858" s="18" t="s">
        <v>5</v>
      </c>
      <c r="C858" s="19">
        <v>8.64</v>
      </c>
    </row>
    <row r="859" spans="2:3">
      <c r="B859" s="18" t="s">
        <v>5</v>
      </c>
      <c r="C859" s="19">
        <v>501.81000000000006</v>
      </c>
    </row>
    <row r="860" spans="2:3">
      <c r="B860" s="18" t="s">
        <v>5</v>
      </c>
      <c r="C860" s="19">
        <v>75.792000000000002</v>
      </c>
    </row>
    <row r="861" spans="2:3">
      <c r="B861" s="18" t="s">
        <v>5</v>
      </c>
      <c r="C861" s="19">
        <v>1.0800000000000003</v>
      </c>
    </row>
    <row r="862" spans="2:3">
      <c r="B862" s="18" t="s">
        <v>5</v>
      </c>
      <c r="C862" s="19">
        <v>7.9680000000000009</v>
      </c>
    </row>
    <row r="863" spans="2:3">
      <c r="B863" s="18" t="s">
        <v>5</v>
      </c>
      <c r="C863" s="19">
        <v>27.968000000000004</v>
      </c>
    </row>
    <row r="864" spans="2:3">
      <c r="B864" s="18" t="s">
        <v>5</v>
      </c>
      <c r="C864" s="19">
        <v>17.97</v>
      </c>
    </row>
    <row r="865" spans="2:3">
      <c r="B865" s="18" t="s">
        <v>5</v>
      </c>
      <c r="C865" s="19">
        <v>44.75</v>
      </c>
    </row>
    <row r="866" spans="2:3">
      <c r="B866" s="18" t="s">
        <v>5</v>
      </c>
      <c r="C866" s="19">
        <v>14.03</v>
      </c>
    </row>
    <row r="867" spans="2:3">
      <c r="B867" s="18" t="s">
        <v>5</v>
      </c>
      <c r="C867" s="19">
        <v>11.808</v>
      </c>
    </row>
    <row r="868" spans="2:3">
      <c r="B868" s="18" t="s">
        <v>5</v>
      </c>
      <c r="C868" s="19">
        <v>23.968000000000004</v>
      </c>
    </row>
    <row r="869" spans="2:3">
      <c r="B869" s="18" t="s">
        <v>5</v>
      </c>
      <c r="C869" s="19">
        <v>28.728000000000002</v>
      </c>
    </row>
    <row r="870" spans="2:3">
      <c r="B870" s="18" t="s">
        <v>5</v>
      </c>
      <c r="C870" s="19">
        <v>8.84</v>
      </c>
    </row>
    <row r="871" spans="2:3">
      <c r="B871" s="18" t="s">
        <v>5</v>
      </c>
      <c r="C871" s="19">
        <v>58.463999999999977</v>
      </c>
    </row>
    <row r="872" spans="2:3">
      <c r="B872" s="18" t="s">
        <v>5</v>
      </c>
      <c r="C872" s="19">
        <v>19.936000000000003</v>
      </c>
    </row>
    <row r="873" spans="2:3">
      <c r="B873" s="18" t="s">
        <v>5</v>
      </c>
      <c r="C873" s="19">
        <v>65.567999999999998</v>
      </c>
    </row>
    <row r="874" spans="2:3">
      <c r="B874" s="18" t="s">
        <v>5</v>
      </c>
      <c r="C874" s="19">
        <v>1.7440000000000002</v>
      </c>
    </row>
    <row r="875" spans="2:3">
      <c r="B875" s="18" t="s">
        <v>5</v>
      </c>
      <c r="C875" s="19">
        <v>8.64</v>
      </c>
    </row>
    <row r="876" spans="2:3">
      <c r="B876" s="18" t="s">
        <v>5</v>
      </c>
      <c r="C876" s="19">
        <v>119.96</v>
      </c>
    </row>
    <row r="877" spans="2:3">
      <c r="B877" s="18" t="s">
        <v>5</v>
      </c>
      <c r="C877" s="19">
        <v>31.44</v>
      </c>
    </row>
    <row r="878" spans="2:3">
      <c r="B878" s="18" t="s">
        <v>5</v>
      </c>
      <c r="C878" s="19">
        <v>6.88</v>
      </c>
    </row>
    <row r="879" spans="2:3">
      <c r="B879" s="18" t="s">
        <v>5</v>
      </c>
      <c r="C879" s="19">
        <v>348.20799999999997</v>
      </c>
    </row>
    <row r="880" spans="2:3">
      <c r="B880" s="18" t="s">
        <v>5</v>
      </c>
      <c r="C880" s="19">
        <v>35.783999999999999</v>
      </c>
    </row>
    <row r="881" spans="2:3">
      <c r="B881" s="18" t="s">
        <v>5</v>
      </c>
      <c r="C881" s="19">
        <v>2.6939999999999995</v>
      </c>
    </row>
    <row r="882" spans="2:3">
      <c r="B882" s="18" t="s">
        <v>5</v>
      </c>
      <c r="C882" s="19">
        <v>2.9339999999999993</v>
      </c>
    </row>
    <row r="883" spans="2:3">
      <c r="B883" s="18" t="s">
        <v>5</v>
      </c>
      <c r="C883" s="19">
        <v>46.672000000000004</v>
      </c>
    </row>
    <row r="884" spans="2:3">
      <c r="B884" s="18" t="s">
        <v>5</v>
      </c>
      <c r="C884" s="19">
        <v>362.94</v>
      </c>
    </row>
    <row r="885" spans="2:3">
      <c r="B885" s="18" t="s">
        <v>5</v>
      </c>
      <c r="C885" s="19">
        <v>11.54</v>
      </c>
    </row>
    <row r="886" spans="2:3">
      <c r="B886" s="18" t="s">
        <v>5</v>
      </c>
      <c r="C886" s="19">
        <v>272.94</v>
      </c>
    </row>
    <row r="887" spans="2:3">
      <c r="B887" s="18" t="s">
        <v>5</v>
      </c>
      <c r="C887" s="19">
        <v>19.440000000000001</v>
      </c>
    </row>
    <row r="888" spans="2:3">
      <c r="B888" s="18" t="s">
        <v>5</v>
      </c>
      <c r="C888" s="19">
        <v>31.92</v>
      </c>
    </row>
    <row r="889" spans="2:3">
      <c r="B889" s="18" t="s">
        <v>5</v>
      </c>
      <c r="C889" s="19">
        <v>21.744</v>
      </c>
    </row>
    <row r="890" spans="2:3">
      <c r="B890" s="18" t="s">
        <v>5</v>
      </c>
      <c r="C890" s="19">
        <v>81.92</v>
      </c>
    </row>
    <row r="891" spans="2:3">
      <c r="B891" s="18" t="s">
        <v>5</v>
      </c>
      <c r="C891" s="19">
        <v>223.92</v>
      </c>
    </row>
    <row r="892" spans="2:3">
      <c r="B892" s="18" t="s">
        <v>5</v>
      </c>
      <c r="C892" s="19">
        <v>23.12</v>
      </c>
    </row>
    <row r="893" spans="2:3">
      <c r="B893" s="18" t="s">
        <v>5</v>
      </c>
      <c r="C893" s="19">
        <v>3.036</v>
      </c>
    </row>
    <row r="894" spans="2:3">
      <c r="B894" s="18" t="s">
        <v>5</v>
      </c>
      <c r="C894" s="19">
        <v>4.503000000000001</v>
      </c>
    </row>
    <row r="895" spans="2:3">
      <c r="B895" s="18" t="s">
        <v>5</v>
      </c>
      <c r="C895" s="19">
        <v>4.6719999999999997</v>
      </c>
    </row>
    <row r="896" spans="2:3">
      <c r="B896" s="18" t="s">
        <v>5</v>
      </c>
      <c r="C896" s="19">
        <v>15.28</v>
      </c>
    </row>
    <row r="897" spans="2:3">
      <c r="B897" s="18" t="s">
        <v>5</v>
      </c>
      <c r="C897" s="19">
        <v>5.68</v>
      </c>
    </row>
    <row r="898" spans="2:3">
      <c r="B898" s="18" t="s">
        <v>5</v>
      </c>
      <c r="C898" s="19">
        <v>48.69</v>
      </c>
    </row>
    <row r="899" spans="2:3">
      <c r="B899" s="18" t="s">
        <v>5</v>
      </c>
      <c r="C899" s="19">
        <v>38.82</v>
      </c>
    </row>
    <row r="900" spans="2:3">
      <c r="B900" s="18" t="s">
        <v>5</v>
      </c>
      <c r="C900" s="19">
        <v>1704.56</v>
      </c>
    </row>
    <row r="901" spans="2:3">
      <c r="B901" s="18" t="s">
        <v>5</v>
      </c>
      <c r="C901" s="19">
        <v>3.2</v>
      </c>
    </row>
    <row r="902" spans="2:3">
      <c r="B902" s="18" t="s">
        <v>5</v>
      </c>
      <c r="C902" s="19">
        <v>5.2480000000000002</v>
      </c>
    </row>
    <row r="903" spans="2:3">
      <c r="B903" s="18" t="s">
        <v>5</v>
      </c>
      <c r="C903" s="19">
        <v>17.472000000000001</v>
      </c>
    </row>
    <row r="904" spans="2:3">
      <c r="B904" s="18" t="s">
        <v>5</v>
      </c>
      <c r="C904" s="19">
        <v>6.57</v>
      </c>
    </row>
    <row r="905" spans="2:3">
      <c r="B905" s="18" t="s">
        <v>5</v>
      </c>
      <c r="C905" s="19">
        <v>12.48</v>
      </c>
    </row>
    <row r="906" spans="2:3">
      <c r="B906" s="18" t="s">
        <v>5</v>
      </c>
      <c r="C906" s="19">
        <v>15.120000000000001</v>
      </c>
    </row>
    <row r="907" spans="2:3">
      <c r="B907" s="18" t="s">
        <v>5</v>
      </c>
      <c r="C907" s="19">
        <v>17.430000000000003</v>
      </c>
    </row>
    <row r="908" spans="2:3">
      <c r="B908" s="18" t="s">
        <v>5</v>
      </c>
      <c r="C908" s="19">
        <v>251.64</v>
      </c>
    </row>
    <row r="909" spans="2:3">
      <c r="B909" s="18" t="s">
        <v>5</v>
      </c>
      <c r="C909" s="19">
        <v>13.904</v>
      </c>
    </row>
    <row r="910" spans="2:3">
      <c r="B910" s="18" t="s">
        <v>5</v>
      </c>
      <c r="C910" s="19">
        <v>20.72</v>
      </c>
    </row>
    <row r="911" spans="2:3">
      <c r="B911" s="18" t="s">
        <v>5</v>
      </c>
      <c r="C911" s="19">
        <v>5.2290000000000001</v>
      </c>
    </row>
    <row r="912" spans="2:3">
      <c r="B912" s="18" t="s">
        <v>5</v>
      </c>
      <c r="C912" s="19">
        <v>285.55200000000002</v>
      </c>
    </row>
    <row r="913" spans="2:3">
      <c r="B913" s="18" t="s">
        <v>5</v>
      </c>
      <c r="C913" s="19">
        <v>72.8</v>
      </c>
    </row>
    <row r="914" spans="2:3">
      <c r="B914" s="18" t="s">
        <v>5</v>
      </c>
      <c r="C914" s="19">
        <v>10.816000000000001</v>
      </c>
    </row>
    <row r="915" spans="2:3">
      <c r="B915" s="18" t="s">
        <v>5</v>
      </c>
      <c r="C915" s="19">
        <v>87.92</v>
      </c>
    </row>
    <row r="916" spans="2:3">
      <c r="B916" s="18" t="s">
        <v>5</v>
      </c>
      <c r="C916" s="19">
        <v>27.439999999999998</v>
      </c>
    </row>
    <row r="917" spans="2:3">
      <c r="B917" s="18" t="s">
        <v>5</v>
      </c>
      <c r="C917" s="19">
        <v>75.040000000000006</v>
      </c>
    </row>
    <row r="918" spans="2:3">
      <c r="B918" s="18" t="s">
        <v>5</v>
      </c>
      <c r="C918" s="19">
        <v>15.66</v>
      </c>
    </row>
    <row r="919" spans="2:3">
      <c r="B919" s="18" t="s">
        <v>5</v>
      </c>
      <c r="C919" s="19">
        <v>28.854000000000006</v>
      </c>
    </row>
    <row r="920" spans="2:3">
      <c r="B920" s="18" t="s">
        <v>5</v>
      </c>
      <c r="C920" s="19">
        <v>17.61</v>
      </c>
    </row>
    <row r="921" spans="2:3">
      <c r="B921" s="18" t="s">
        <v>5</v>
      </c>
      <c r="C921" s="19">
        <v>123.256</v>
      </c>
    </row>
    <row r="922" spans="2:3">
      <c r="B922" s="18" t="s">
        <v>5</v>
      </c>
      <c r="C922" s="19">
        <v>23.680000000000003</v>
      </c>
    </row>
    <row r="923" spans="2:3">
      <c r="B923" s="18" t="s">
        <v>5</v>
      </c>
      <c r="C923" s="19">
        <v>38.388000000000005</v>
      </c>
    </row>
    <row r="924" spans="2:3">
      <c r="B924" s="18" t="s">
        <v>5</v>
      </c>
      <c r="C924" s="19">
        <v>9.5519999999999996</v>
      </c>
    </row>
    <row r="925" spans="2:3">
      <c r="B925" s="18" t="s">
        <v>5</v>
      </c>
      <c r="C925" s="19">
        <v>23.680000000000003</v>
      </c>
    </row>
    <row r="926" spans="2:3">
      <c r="B926" s="18" t="s">
        <v>5</v>
      </c>
      <c r="C926" s="19">
        <v>31.104000000000006</v>
      </c>
    </row>
    <row r="927" spans="2:3">
      <c r="B927" s="18" t="s">
        <v>5</v>
      </c>
      <c r="C927" s="19">
        <v>5.2480000000000002</v>
      </c>
    </row>
    <row r="928" spans="2:3">
      <c r="B928" s="18" t="s">
        <v>5</v>
      </c>
      <c r="C928" s="19">
        <v>29.700000000000003</v>
      </c>
    </row>
    <row r="929" spans="2:3">
      <c r="B929" s="18" t="s">
        <v>5</v>
      </c>
      <c r="C929" s="19">
        <v>39.96</v>
      </c>
    </row>
    <row r="930" spans="2:3">
      <c r="B930" s="18" t="s">
        <v>5</v>
      </c>
      <c r="C930" s="19">
        <v>36.672000000000004</v>
      </c>
    </row>
    <row r="931" spans="2:3">
      <c r="B931" s="18" t="s">
        <v>5</v>
      </c>
      <c r="C931" s="19">
        <v>13.76</v>
      </c>
    </row>
    <row r="932" spans="2:3">
      <c r="B932" s="18" t="s">
        <v>5</v>
      </c>
      <c r="C932" s="19">
        <v>164.73599999999999</v>
      </c>
    </row>
    <row r="933" spans="2:3">
      <c r="B933" s="18" t="s">
        <v>5</v>
      </c>
      <c r="C933" s="19">
        <v>91.199999999999989</v>
      </c>
    </row>
    <row r="934" spans="2:3">
      <c r="B934" s="18" t="s">
        <v>5</v>
      </c>
      <c r="C934" s="19">
        <v>41.54</v>
      </c>
    </row>
    <row r="935" spans="2:3">
      <c r="B935" s="18" t="s">
        <v>5</v>
      </c>
      <c r="C935" s="19">
        <v>12.96</v>
      </c>
    </row>
    <row r="936" spans="2:3">
      <c r="B936" s="18" t="s">
        <v>5</v>
      </c>
      <c r="C936" s="19">
        <v>8.67</v>
      </c>
    </row>
    <row r="937" spans="2:3">
      <c r="B937" s="18" t="s">
        <v>5</v>
      </c>
      <c r="C937" s="19">
        <v>28.91</v>
      </c>
    </row>
    <row r="938" spans="2:3">
      <c r="B938" s="18" t="s">
        <v>5</v>
      </c>
      <c r="C938" s="19">
        <v>9.7280000000000015</v>
      </c>
    </row>
    <row r="939" spans="2:3">
      <c r="B939" s="18" t="s">
        <v>5</v>
      </c>
      <c r="C939" s="19">
        <v>3.4240000000000004</v>
      </c>
    </row>
    <row r="940" spans="2:3">
      <c r="B940" s="18" t="s">
        <v>5</v>
      </c>
      <c r="C940" s="19">
        <v>62.96</v>
      </c>
    </row>
    <row r="941" spans="2:3">
      <c r="B941" s="18" t="s">
        <v>5</v>
      </c>
      <c r="C941" s="19">
        <v>5.88</v>
      </c>
    </row>
    <row r="942" spans="2:3">
      <c r="B942" s="18" t="s">
        <v>5</v>
      </c>
      <c r="C942" s="19">
        <v>10.192000000000002</v>
      </c>
    </row>
    <row r="943" spans="2:3">
      <c r="B943" s="18" t="s">
        <v>5</v>
      </c>
      <c r="C943" s="19">
        <v>16.784000000000002</v>
      </c>
    </row>
    <row r="944" spans="2:3">
      <c r="B944" s="18" t="s">
        <v>5</v>
      </c>
      <c r="C944" s="19">
        <v>13.120000000000001</v>
      </c>
    </row>
    <row r="945" spans="2:3">
      <c r="B945" s="18" t="s">
        <v>5</v>
      </c>
      <c r="C945" s="19">
        <v>16.056000000000001</v>
      </c>
    </row>
    <row r="946" spans="2:3">
      <c r="B946" s="18" t="s">
        <v>5</v>
      </c>
      <c r="C946" s="19">
        <v>223.05600000000001</v>
      </c>
    </row>
    <row r="947" spans="2:3">
      <c r="B947" s="18" t="s">
        <v>5</v>
      </c>
      <c r="C947" s="19">
        <v>540.048</v>
      </c>
    </row>
    <row r="948" spans="2:3">
      <c r="B948" s="18" t="s">
        <v>5</v>
      </c>
      <c r="C948" s="19">
        <v>17.880000000000003</v>
      </c>
    </row>
    <row r="949" spans="2:3">
      <c r="B949" s="18" t="s">
        <v>5</v>
      </c>
      <c r="C949" s="19">
        <v>34.5</v>
      </c>
    </row>
    <row r="950" spans="2:3">
      <c r="B950" s="18" t="s">
        <v>5</v>
      </c>
      <c r="C950" s="19">
        <v>385.6</v>
      </c>
    </row>
    <row r="951" spans="2:3">
      <c r="B951" s="18" t="s">
        <v>5</v>
      </c>
      <c r="C951" s="19">
        <v>35.82</v>
      </c>
    </row>
    <row r="952" spans="2:3">
      <c r="B952" s="18" t="s">
        <v>5</v>
      </c>
      <c r="C952" s="19">
        <v>200.06400000000002</v>
      </c>
    </row>
    <row r="953" spans="2:3">
      <c r="B953" s="18" t="s">
        <v>5</v>
      </c>
      <c r="C953" s="19">
        <v>21.379999999999995</v>
      </c>
    </row>
    <row r="954" spans="2:3">
      <c r="B954" s="18" t="s">
        <v>5</v>
      </c>
      <c r="C954" s="19">
        <v>6.743999999999998</v>
      </c>
    </row>
    <row r="955" spans="2:3">
      <c r="B955" s="18" t="s">
        <v>5</v>
      </c>
      <c r="C955" s="19">
        <v>21.335999999999999</v>
      </c>
    </row>
    <row r="956" spans="2:3">
      <c r="B956" s="18" t="s">
        <v>5</v>
      </c>
      <c r="C956" s="19">
        <v>16.520000000000003</v>
      </c>
    </row>
    <row r="957" spans="2:3">
      <c r="B957" s="18" t="s">
        <v>5</v>
      </c>
      <c r="C957" s="19">
        <v>10.744</v>
      </c>
    </row>
    <row r="958" spans="2:3">
      <c r="B958" s="18" t="s">
        <v>5</v>
      </c>
      <c r="C958" s="19">
        <v>8.3760000000000012</v>
      </c>
    </row>
    <row r="959" spans="2:3">
      <c r="B959" s="18" t="s">
        <v>5</v>
      </c>
      <c r="C959" s="19">
        <v>16.28</v>
      </c>
    </row>
    <row r="960" spans="2:3">
      <c r="B960" s="18" t="s">
        <v>5</v>
      </c>
      <c r="C960" s="19">
        <v>242.48000000000002</v>
      </c>
    </row>
    <row r="961" spans="2:3">
      <c r="B961" s="18" t="s">
        <v>5</v>
      </c>
      <c r="C961" s="19">
        <v>9.3239999999999981</v>
      </c>
    </row>
    <row r="962" spans="2:3">
      <c r="B962" s="18" t="s">
        <v>5</v>
      </c>
      <c r="C962" s="19">
        <v>124.75</v>
      </c>
    </row>
    <row r="963" spans="2:3">
      <c r="B963" s="18" t="s">
        <v>5</v>
      </c>
      <c r="C963" s="19">
        <v>2.78</v>
      </c>
    </row>
    <row r="964" spans="2:3">
      <c r="B964" s="18" t="s">
        <v>5</v>
      </c>
      <c r="C964" s="19">
        <v>122.97</v>
      </c>
    </row>
    <row r="965" spans="2:3">
      <c r="B965" s="18" t="s">
        <v>5</v>
      </c>
      <c r="C965" s="19">
        <v>12.84</v>
      </c>
    </row>
    <row r="966" spans="2:3">
      <c r="B966" s="18" t="s">
        <v>5</v>
      </c>
      <c r="C966" s="19">
        <v>16.896000000000001</v>
      </c>
    </row>
    <row r="967" spans="2:3">
      <c r="B967" s="18" t="s">
        <v>5</v>
      </c>
      <c r="C967" s="19">
        <v>6.6720000000000006</v>
      </c>
    </row>
    <row r="968" spans="2:3">
      <c r="B968" s="18" t="s">
        <v>5</v>
      </c>
      <c r="C968" s="19">
        <v>99.13600000000001</v>
      </c>
    </row>
    <row r="969" spans="2:3">
      <c r="B969" s="18" t="s">
        <v>5</v>
      </c>
      <c r="C969" s="19">
        <v>155.94</v>
      </c>
    </row>
    <row r="970" spans="2:3">
      <c r="B970" s="18" t="s">
        <v>5</v>
      </c>
      <c r="C970" s="19">
        <v>1000.0200000000001</v>
      </c>
    </row>
    <row r="971" spans="2:3">
      <c r="B971" s="18" t="s">
        <v>5</v>
      </c>
      <c r="C971" s="19">
        <v>786.48</v>
      </c>
    </row>
    <row r="972" spans="2:3">
      <c r="B972" s="18" t="s">
        <v>5</v>
      </c>
      <c r="C972" s="19">
        <v>23.168000000000003</v>
      </c>
    </row>
    <row r="973" spans="2:3">
      <c r="B973" s="18" t="s">
        <v>5</v>
      </c>
      <c r="C973" s="19">
        <v>41.256000000000007</v>
      </c>
    </row>
    <row r="974" spans="2:3">
      <c r="B974" s="18" t="s">
        <v>5</v>
      </c>
      <c r="C974" s="19">
        <v>169.68</v>
      </c>
    </row>
    <row r="975" spans="2:3">
      <c r="B975" s="18" t="s">
        <v>5</v>
      </c>
      <c r="C975" s="19">
        <v>2.96</v>
      </c>
    </row>
    <row r="976" spans="2:3">
      <c r="B976" s="18" t="s">
        <v>5</v>
      </c>
      <c r="C976" s="19">
        <v>8.4480000000000004</v>
      </c>
    </row>
    <row r="977" spans="2:3">
      <c r="B977" s="18" t="s">
        <v>5</v>
      </c>
      <c r="C977" s="19">
        <v>95.94</v>
      </c>
    </row>
    <row r="978" spans="2:3">
      <c r="B978" s="18" t="s">
        <v>5</v>
      </c>
      <c r="C978" s="19">
        <v>88.751999999999995</v>
      </c>
    </row>
    <row r="979" spans="2:3">
      <c r="B979" s="18" t="s">
        <v>5</v>
      </c>
      <c r="C979" s="19">
        <v>13.904</v>
      </c>
    </row>
    <row r="980" spans="2:3">
      <c r="B980" s="18" t="s">
        <v>5</v>
      </c>
      <c r="C980" s="19">
        <v>13.896000000000001</v>
      </c>
    </row>
    <row r="981" spans="2:3">
      <c r="B981" s="18" t="s">
        <v>5</v>
      </c>
      <c r="C981" s="19">
        <v>99.28</v>
      </c>
    </row>
    <row r="982" spans="2:3">
      <c r="B982" s="18" t="s">
        <v>5</v>
      </c>
      <c r="C982" s="19">
        <v>1.1880000000000002</v>
      </c>
    </row>
    <row r="983" spans="2:3">
      <c r="B983" s="18" t="s">
        <v>5</v>
      </c>
      <c r="C983" s="19">
        <v>7.5180000000000007</v>
      </c>
    </row>
    <row r="984" spans="2:3">
      <c r="B984" s="18" t="s">
        <v>5</v>
      </c>
      <c r="C984" s="19">
        <v>10.368000000000002</v>
      </c>
    </row>
    <row r="985" spans="2:3">
      <c r="B985" s="18" t="s">
        <v>5</v>
      </c>
      <c r="C985" s="19">
        <v>33.450000000000003</v>
      </c>
    </row>
    <row r="986" spans="2:3">
      <c r="B986" s="18" t="s">
        <v>5</v>
      </c>
      <c r="C986" s="19">
        <v>10.4</v>
      </c>
    </row>
    <row r="987" spans="2:3">
      <c r="B987" s="18" t="s">
        <v>5</v>
      </c>
      <c r="C987" s="19">
        <v>43.86</v>
      </c>
    </row>
    <row r="988" spans="2:3">
      <c r="B988" s="18" t="s">
        <v>5</v>
      </c>
      <c r="C988" s="19">
        <v>7.42</v>
      </c>
    </row>
    <row r="989" spans="2:3">
      <c r="B989" s="18" t="s">
        <v>5</v>
      </c>
      <c r="C989" s="19">
        <v>19.899999999999999</v>
      </c>
    </row>
    <row r="990" spans="2:3">
      <c r="B990" s="18" t="s">
        <v>5</v>
      </c>
      <c r="C990" s="19">
        <v>1702.12</v>
      </c>
    </row>
    <row r="991" spans="2:3">
      <c r="B991" s="18" t="s">
        <v>5</v>
      </c>
      <c r="C991" s="19">
        <v>34.848000000000006</v>
      </c>
    </row>
    <row r="992" spans="2:3">
      <c r="B992" s="18" t="s">
        <v>5</v>
      </c>
      <c r="C992" s="19">
        <v>4.3680000000000003</v>
      </c>
    </row>
    <row r="993" spans="2:3">
      <c r="B993" s="18" t="s">
        <v>5</v>
      </c>
      <c r="C993" s="19">
        <v>20.736000000000004</v>
      </c>
    </row>
    <row r="994" spans="2:3">
      <c r="B994" s="18" t="s">
        <v>5</v>
      </c>
      <c r="C994" s="19">
        <v>11.168000000000001</v>
      </c>
    </row>
    <row r="995" spans="2:3">
      <c r="B995" s="18" t="s">
        <v>5</v>
      </c>
      <c r="C995" s="19">
        <v>559.62</v>
      </c>
    </row>
    <row r="996" spans="2:3">
      <c r="B996" s="18" t="s">
        <v>5</v>
      </c>
      <c r="C996" s="19">
        <v>109.92</v>
      </c>
    </row>
    <row r="997" spans="2:3">
      <c r="B997" s="18" t="s">
        <v>5</v>
      </c>
      <c r="C997" s="19">
        <v>8.56</v>
      </c>
    </row>
    <row r="998" spans="2:3">
      <c r="B998" s="18" t="s">
        <v>5</v>
      </c>
      <c r="C998" s="19">
        <v>6.9760000000000009</v>
      </c>
    </row>
    <row r="999" spans="2:3">
      <c r="B999" s="18" t="s">
        <v>5</v>
      </c>
      <c r="C999" s="19">
        <v>12.221999999999998</v>
      </c>
    </row>
    <row r="1000" spans="2:3">
      <c r="B1000" s="18" t="s">
        <v>5</v>
      </c>
      <c r="C1000" s="19">
        <v>219.84</v>
      </c>
    </row>
    <row r="1001" spans="2:3">
      <c r="B1001" s="18" t="s">
        <v>5</v>
      </c>
      <c r="C1001" s="19">
        <v>33.04</v>
      </c>
    </row>
    <row r="1002" spans="2:3">
      <c r="B1002" s="18" t="s">
        <v>5</v>
      </c>
      <c r="C1002" s="19">
        <v>63.84</v>
      </c>
    </row>
    <row r="1003" spans="2:3">
      <c r="B1003" s="18" t="s">
        <v>5</v>
      </c>
      <c r="C1003" s="19">
        <v>37.008000000000003</v>
      </c>
    </row>
    <row r="1004" spans="2:3">
      <c r="B1004" s="18" t="s">
        <v>5</v>
      </c>
      <c r="C1004" s="19">
        <v>5.6070000000000011</v>
      </c>
    </row>
    <row r="1005" spans="2:3">
      <c r="B1005" s="18" t="s">
        <v>5</v>
      </c>
      <c r="C1005" s="19">
        <v>4663.7360000000008</v>
      </c>
    </row>
    <row r="1006" spans="2:3">
      <c r="B1006" s="18" t="s">
        <v>5</v>
      </c>
      <c r="C1006" s="19">
        <v>36.288000000000011</v>
      </c>
    </row>
    <row r="1007" spans="2:3">
      <c r="B1007" s="18" t="s">
        <v>5</v>
      </c>
      <c r="C1007" s="19">
        <v>1245.8599999999999</v>
      </c>
    </row>
    <row r="1008" spans="2:3">
      <c r="B1008" s="18" t="s">
        <v>5</v>
      </c>
      <c r="C1008" s="19">
        <v>40.08</v>
      </c>
    </row>
    <row r="1009" spans="2:3">
      <c r="B1009" s="18" t="s">
        <v>5</v>
      </c>
      <c r="C1009" s="19">
        <v>7.1840000000000011</v>
      </c>
    </row>
    <row r="1010" spans="2:3">
      <c r="B1010" s="18" t="s">
        <v>5</v>
      </c>
      <c r="C1010" s="19">
        <v>127.92000000000002</v>
      </c>
    </row>
    <row r="1011" spans="2:3">
      <c r="B1011" s="18" t="s">
        <v>5</v>
      </c>
      <c r="C1011" s="19">
        <v>34.239999999999988</v>
      </c>
    </row>
    <row r="1012" spans="2:3">
      <c r="B1012" s="18" t="s">
        <v>5</v>
      </c>
      <c r="C1012" s="19">
        <v>68.742000000000019</v>
      </c>
    </row>
    <row r="1013" spans="2:3">
      <c r="B1013" s="18" t="s">
        <v>5</v>
      </c>
      <c r="C1013" s="19">
        <v>6</v>
      </c>
    </row>
    <row r="1014" spans="2:3">
      <c r="B1014" s="18" t="s">
        <v>5</v>
      </c>
      <c r="C1014" s="19">
        <v>7.8239999999999998</v>
      </c>
    </row>
    <row r="1015" spans="2:3">
      <c r="B1015" s="18" t="s">
        <v>5</v>
      </c>
      <c r="C1015" s="19">
        <v>34.650000000000006</v>
      </c>
    </row>
    <row r="1016" spans="2:3">
      <c r="B1016" s="18" t="s">
        <v>5</v>
      </c>
      <c r="C1016" s="19">
        <v>1793.98</v>
      </c>
    </row>
    <row r="1017" spans="2:3">
      <c r="B1017" s="18" t="s">
        <v>5</v>
      </c>
      <c r="C1017" s="19">
        <v>5.1840000000000011</v>
      </c>
    </row>
    <row r="1018" spans="2:3">
      <c r="B1018" s="18" t="s">
        <v>5</v>
      </c>
      <c r="C1018" s="19">
        <v>909.12</v>
      </c>
    </row>
    <row r="1019" spans="2:3">
      <c r="B1019" s="18" t="s">
        <v>5</v>
      </c>
      <c r="C1019" s="19">
        <v>273.89600000000002</v>
      </c>
    </row>
    <row r="1020" spans="2:3">
      <c r="B1020" s="18" t="s">
        <v>5</v>
      </c>
      <c r="C1020" s="19">
        <v>4.6079999999999997</v>
      </c>
    </row>
    <row r="1021" spans="2:3">
      <c r="B1021" s="18" t="s">
        <v>5</v>
      </c>
      <c r="C1021" s="19">
        <v>15.528</v>
      </c>
    </row>
    <row r="1022" spans="2:3">
      <c r="B1022" s="18" t="s">
        <v>5</v>
      </c>
      <c r="C1022" s="19">
        <v>11.952000000000002</v>
      </c>
    </row>
    <row r="1023" spans="2:3">
      <c r="B1023" s="18" t="s">
        <v>5</v>
      </c>
      <c r="C1023" s="19">
        <v>895.92</v>
      </c>
    </row>
    <row r="1024" spans="2:3">
      <c r="B1024" s="18" t="s">
        <v>5</v>
      </c>
      <c r="C1024" s="19">
        <v>92.94</v>
      </c>
    </row>
    <row r="1025" spans="2:3">
      <c r="B1025" s="18" t="s">
        <v>5</v>
      </c>
      <c r="C1025" s="19">
        <v>88.768000000000001</v>
      </c>
    </row>
    <row r="1026" spans="2:3">
      <c r="B1026" s="18" t="s">
        <v>5</v>
      </c>
      <c r="C1026" s="19">
        <v>6.48</v>
      </c>
    </row>
    <row r="1027" spans="2:3">
      <c r="B1027" s="18" t="s">
        <v>5</v>
      </c>
      <c r="C1027" s="19">
        <v>46.51</v>
      </c>
    </row>
    <row r="1028" spans="2:3">
      <c r="B1028" s="18" t="s">
        <v>5</v>
      </c>
      <c r="C1028" s="19">
        <v>244.54999999999998</v>
      </c>
    </row>
    <row r="1029" spans="2:3">
      <c r="B1029" s="18" t="s">
        <v>5</v>
      </c>
      <c r="C1029" s="19">
        <v>47.360000000000007</v>
      </c>
    </row>
    <row r="1030" spans="2:3">
      <c r="B1030" s="18" t="s">
        <v>5</v>
      </c>
      <c r="C1030" s="19">
        <v>27.439999999999998</v>
      </c>
    </row>
    <row r="1031" spans="2:3">
      <c r="B1031" s="18" t="s">
        <v>5</v>
      </c>
      <c r="C1031" s="19">
        <v>3.2399999999999993</v>
      </c>
    </row>
    <row r="1032" spans="2:3">
      <c r="B1032" s="18" t="s">
        <v>5</v>
      </c>
      <c r="C1032" s="19">
        <v>23.1</v>
      </c>
    </row>
    <row r="1033" spans="2:3">
      <c r="B1033" s="18" t="s">
        <v>5</v>
      </c>
      <c r="C1033" s="19">
        <v>12.98</v>
      </c>
    </row>
    <row r="1034" spans="2:3">
      <c r="B1034" s="18" t="s">
        <v>5</v>
      </c>
      <c r="C1034" s="19">
        <v>26.432000000000002</v>
      </c>
    </row>
    <row r="1035" spans="2:3">
      <c r="B1035" s="18" t="s">
        <v>5</v>
      </c>
      <c r="C1035" s="19">
        <v>18.899999999999999</v>
      </c>
    </row>
    <row r="1036" spans="2:3">
      <c r="B1036" s="18" t="s">
        <v>5</v>
      </c>
      <c r="C1036" s="19">
        <v>4.92</v>
      </c>
    </row>
    <row r="1037" spans="2:3">
      <c r="B1037" s="18" t="s">
        <v>5</v>
      </c>
      <c r="C1037" s="19">
        <v>17.12</v>
      </c>
    </row>
    <row r="1038" spans="2:3">
      <c r="B1038" s="18" t="s">
        <v>5</v>
      </c>
      <c r="C1038" s="19">
        <v>16.200000000000003</v>
      </c>
    </row>
    <row r="1039" spans="2:3">
      <c r="B1039" s="18" t="s">
        <v>5</v>
      </c>
      <c r="C1039" s="19">
        <v>33.99</v>
      </c>
    </row>
    <row r="1040" spans="2:3">
      <c r="B1040" s="18" t="s">
        <v>5</v>
      </c>
      <c r="C1040" s="19">
        <v>13.71</v>
      </c>
    </row>
    <row r="1041" spans="2:3">
      <c r="B1041" s="18" t="s">
        <v>5</v>
      </c>
      <c r="C1041" s="19">
        <v>24.900000000000002</v>
      </c>
    </row>
    <row r="1042" spans="2:3">
      <c r="B1042" s="18" t="s">
        <v>5</v>
      </c>
      <c r="C1042" s="19">
        <v>286.29000000000002</v>
      </c>
    </row>
    <row r="1043" spans="2:3">
      <c r="B1043" s="18" t="s">
        <v>5</v>
      </c>
      <c r="C1043" s="19">
        <v>24.18</v>
      </c>
    </row>
    <row r="1044" spans="2:3">
      <c r="B1044" s="18" t="s">
        <v>5</v>
      </c>
      <c r="C1044" s="19">
        <v>69.5</v>
      </c>
    </row>
    <row r="1045" spans="2:3">
      <c r="B1045" s="18" t="s">
        <v>5</v>
      </c>
      <c r="C1045" s="19">
        <v>166.44</v>
      </c>
    </row>
    <row r="1046" spans="2:3">
      <c r="B1046" s="18" t="s">
        <v>5</v>
      </c>
      <c r="C1046" s="19">
        <v>6.4080000000000004</v>
      </c>
    </row>
    <row r="1047" spans="2:3">
      <c r="B1047" s="18" t="s">
        <v>5</v>
      </c>
      <c r="C1047" s="19">
        <v>4.9560000000000004</v>
      </c>
    </row>
    <row r="1048" spans="2:3">
      <c r="B1048" s="18" t="s">
        <v>5</v>
      </c>
      <c r="C1048" s="19">
        <v>71.040000000000006</v>
      </c>
    </row>
    <row r="1049" spans="2:3">
      <c r="B1049" s="18" t="s">
        <v>5</v>
      </c>
      <c r="C1049" s="19">
        <v>5.3440000000000003</v>
      </c>
    </row>
    <row r="1050" spans="2:3">
      <c r="B1050" s="18" t="s">
        <v>5</v>
      </c>
      <c r="C1050" s="19">
        <v>11.304</v>
      </c>
    </row>
    <row r="1051" spans="2:3">
      <c r="B1051" s="18" t="s">
        <v>5</v>
      </c>
      <c r="C1051" s="19">
        <v>294.61999999999995</v>
      </c>
    </row>
    <row r="1052" spans="2:3">
      <c r="B1052" s="18" t="s">
        <v>5</v>
      </c>
      <c r="C1052" s="19">
        <v>41.86</v>
      </c>
    </row>
    <row r="1053" spans="2:3">
      <c r="B1053" s="18" t="s">
        <v>5</v>
      </c>
      <c r="C1053" s="19">
        <v>95.94</v>
      </c>
    </row>
    <row r="1054" spans="2:3">
      <c r="B1054" s="18" t="s">
        <v>5</v>
      </c>
      <c r="C1054" s="19">
        <v>11.363999999999997</v>
      </c>
    </row>
    <row r="1055" spans="2:3">
      <c r="B1055" s="18" t="s">
        <v>5</v>
      </c>
      <c r="C1055" s="19">
        <v>239.12000000000003</v>
      </c>
    </row>
    <row r="1056" spans="2:3">
      <c r="B1056" s="18" t="s">
        <v>5</v>
      </c>
      <c r="C1056" s="19">
        <v>8.26</v>
      </c>
    </row>
    <row r="1057" spans="2:3">
      <c r="B1057" s="18" t="s">
        <v>5</v>
      </c>
      <c r="C1057" s="19">
        <v>38.864000000000004</v>
      </c>
    </row>
    <row r="1058" spans="2:3">
      <c r="B1058" s="18" t="s">
        <v>5</v>
      </c>
      <c r="C1058" s="19">
        <v>39.900000000000006</v>
      </c>
    </row>
    <row r="1059" spans="2:3">
      <c r="B1059" s="18" t="s">
        <v>5</v>
      </c>
      <c r="C1059" s="19">
        <v>90.86</v>
      </c>
    </row>
    <row r="1060" spans="2:3">
      <c r="B1060" s="18" t="s">
        <v>5</v>
      </c>
      <c r="C1060" s="19">
        <v>94.85</v>
      </c>
    </row>
    <row r="1061" spans="2:3">
      <c r="B1061" s="18" t="s">
        <v>5</v>
      </c>
      <c r="C1061" s="19">
        <v>37.44</v>
      </c>
    </row>
    <row r="1062" spans="2:3">
      <c r="B1062" s="18" t="s">
        <v>5</v>
      </c>
      <c r="C1062" s="19">
        <v>26.549999999999997</v>
      </c>
    </row>
    <row r="1063" spans="2:3">
      <c r="B1063" s="18" t="s">
        <v>5</v>
      </c>
      <c r="C1063" s="19">
        <v>37.68</v>
      </c>
    </row>
    <row r="1064" spans="2:3">
      <c r="B1064" s="18" t="s">
        <v>5</v>
      </c>
      <c r="C1064" s="19">
        <v>221.92</v>
      </c>
    </row>
    <row r="1065" spans="2:3">
      <c r="B1065" s="18" t="s">
        <v>5</v>
      </c>
      <c r="C1065" s="19">
        <v>5.28</v>
      </c>
    </row>
    <row r="1066" spans="2:3">
      <c r="B1066" s="18" t="s">
        <v>5</v>
      </c>
      <c r="C1066" s="19">
        <v>895.92</v>
      </c>
    </row>
    <row r="1067" spans="2:3">
      <c r="B1067" s="18" t="s">
        <v>5</v>
      </c>
      <c r="C1067" s="19">
        <v>2.8080000000000007</v>
      </c>
    </row>
    <row r="1068" spans="2:3">
      <c r="B1068" s="18" t="s">
        <v>5</v>
      </c>
      <c r="C1068" s="19">
        <v>27.72</v>
      </c>
    </row>
    <row r="1069" spans="2:3">
      <c r="B1069" s="18" t="s">
        <v>5</v>
      </c>
      <c r="C1069" s="19">
        <v>104.68000000000002</v>
      </c>
    </row>
    <row r="1070" spans="2:3">
      <c r="B1070" s="18" t="s">
        <v>5</v>
      </c>
      <c r="C1070" s="19">
        <v>146.82</v>
      </c>
    </row>
    <row r="1071" spans="2:3">
      <c r="B1071" s="18" t="s">
        <v>5</v>
      </c>
      <c r="C1071" s="19">
        <v>17.856000000000002</v>
      </c>
    </row>
    <row r="1072" spans="2:3">
      <c r="B1072" s="18" t="s">
        <v>5</v>
      </c>
      <c r="C1072" s="19">
        <v>314.54999999999995</v>
      </c>
    </row>
    <row r="1073" spans="2:3">
      <c r="B1073" s="18" t="s">
        <v>5</v>
      </c>
      <c r="C1073" s="19">
        <v>14.015999999999998</v>
      </c>
    </row>
    <row r="1074" spans="2:3">
      <c r="B1074" s="18" t="s">
        <v>5</v>
      </c>
      <c r="C1074" s="19">
        <v>54.896000000000008</v>
      </c>
    </row>
    <row r="1075" spans="2:3">
      <c r="B1075" s="18" t="s">
        <v>5</v>
      </c>
      <c r="C1075" s="19">
        <v>70.08</v>
      </c>
    </row>
    <row r="1076" spans="2:3">
      <c r="B1076" s="18" t="s">
        <v>5</v>
      </c>
      <c r="C1076" s="19">
        <v>1.4400000000000002</v>
      </c>
    </row>
    <row r="1077" spans="2:3">
      <c r="B1077" s="18" t="s">
        <v>5</v>
      </c>
      <c r="C1077" s="19">
        <v>61.77600000000001</v>
      </c>
    </row>
    <row r="1078" spans="2:3">
      <c r="B1078" s="18" t="s">
        <v>5</v>
      </c>
      <c r="C1078" s="19">
        <v>241.96</v>
      </c>
    </row>
    <row r="1079" spans="2:3">
      <c r="B1079" s="18" t="s">
        <v>5</v>
      </c>
      <c r="C1079" s="19">
        <v>9.9840000000000018</v>
      </c>
    </row>
    <row r="1080" spans="2:3">
      <c r="B1080" s="18" t="s">
        <v>5</v>
      </c>
      <c r="C1080" s="19">
        <v>14.98</v>
      </c>
    </row>
    <row r="1081" spans="2:3">
      <c r="B1081" s="18" t="s">
        <v>5</v>
      </c>
      <c r="C1081" s="19">
        <v>54.816000000000003</v>
      </c>
    </row>
    <row r="1082" spans="2:3">
      <c r="B1082" s="18" t="s">
        <v>5</v>
      </c>
      <c r="C1082" s="19">
        <v>2.8960000000000004</v>
      </c>
    </row>
    <row r="1083" spans="2:3">
      <c r="B1083" s="18" t="s">
        <v>5</v>
      </c>
      <c r="C1083" s="19">
        <v>228.92</v>
      </c>
    </row>
    <row r="1084" spans="2:3">
      <c r="B1084" s="18" t="s">
        <v>5</v>
      </c>
      <c r="C1084" s="19">
        <v>56.56</v>
      </c>
    </row>
    <row r="1085" spans="2:3">
      <c r="B1085" s="18" t="s">
        <v>5</v>
      </c>
      <c r="C1085" s="19">
        <v>5.56</v>
      </c>
    </row>
    <row r="1086" spans="2:3">
      <c r="B1086" s="18" t="s">
        <v>5</v>
      </c>
      <c r="C1086" s="19">
        <v>9.02</v>
      </c>
    </row>
    <row r="1087" spans="2:3">
      <c r="B1087" s="18" t="s">
        <v>5</v>
      </c>
      <c r="C1087" s="19">
        <v>8.6199999999999992</v>
      </c>
    </row>
    <row r="1088" spans="2:3">
      <c r="B1088" s="18" t="s">
        <v>5</v>
      </c>
      <c r="C1088" s="19">
        <v>18.54</v>
      </c>
    </row>
    <row r="1089" spans="2:3">
      <c r="B1089" s="18" t="s">
        <v>5</v>
      </c>
      <c r="C1089" s="19">
        <v>7.9680000000000009</v>
      </c>
    </row>
    <row r="1090" spans="2:3">
      <c r="B1090" s="18" t="s">
        <v>5</v>
      </c>
      <c r="C1090" s="19">
        <v>12.96</v>
      </c>
    </row>
    <row r="1091" spans="2:3">
      <c r="B1091" s="18" t="s">
        <v>5</v>
      </c>
      <c r="C1091" s="19">
        <v>6.48</v>
      </c>
    </row>
    <row r="1092" spans="2:3">
      <c r="B1092" s="18" t="s">
        <v>5</v>
      </c>
      <c r="C1092" s="19">
        <v>6.9840000000000009</v>
      </c>
    </row>
    <row r="1093" spans="2:3">
      <c r="B1093" s="18" t="s">
        <v>5</v>
      </c>
      <c r="C1093" s="19">
        <v>47.96</v>
      </c>
    </row>
    <row r="1094" spans="2:3">
      <c r="B1094" s="18" t="s">
        <v>5</v>
      </c>
      <c r="C1094" s="19">
        <v>35.04</v>
      </c>
    </row>
    <row r="1095" spans="2:3">
      <c r="B1095" s="18" t="s">
        <v>5</v>
      </c>
      <c r="C1095" s="19">
        <v>17.480000000000004</v>
      </c>
    </row>
    <row r="1096" spans="2:3">
      <c r="B1096" s="18" t="s">
        <v>5</v>
      </c>
      <c r="C1096" s="19">
        <v>16.399999999999999</v>
      </c>
    </row>
    <row r="1097" spans="2:3">
      <c r="B1097" s="18" t="s">
        <v>5</v>
      </c>
      <c r="C1097" s="19">
        <v>106.32</v>
      </c>
    </row>
    <row r="1098" spans="2:3">
      <c r="B1098" s="18" t="s">
        <v>5</v>
      </c>
      <c r="C1098" s="19">
        <v>68.448000000000008</v>
      </c>
    </row>
    <row r="1099" spans="2:3">
      <c r="B1099" s="18" t="s">
        <v>5</v>
      </c>
      <c r="C1099" s="19">
        <v>88.04</v>
      </c>
    </row>
    <row r="1100" spans="2:3">
      <c r="B1100" s="18" t="s">
        <v>5</v>
      </c>
      <c r="C1100" s="19">
        <v>15.872</v>
      </c>
    </row>
    <row r="1101" spans="2:3">
      <c r="B1101" s="18" t="s">
        <v>5</v>
      </c>
      <c r="C1101" s="19">
        <v>215.59200000000001</v>
      </c>
    </row>
    <row r="1102" spans="2:3">
      <c r="B1102" s="18" t="s">
        <v>5</v>
      </c>
      <c r="C1102" s="19">
        <v>14.62</v>
      </c>
    </row>
    <row r="1103" spans="2:3">
      <c r="B1103" s="18" t="s">
        <v>5</v>
      </c>
      <c r="C1103" s="19">
        <v>416.32</v>
      </c>
    </row>
    <row r="1104" spans="2:3">
      <c r="B1104" s="18" t="s">
        <v>5</v>
      </c>
      <c r="C1104" s="19">
        <v>43</v>
      </c>
    </row>
    <row r="1105" spans="2:3">
      <c r="B1105" s="18" t="s">
        <v>5</v>
      </c>
      <c r="C1105" s="19">
        <v>60.83</v>
      </c>
    </row>
    <row r="1106" spans="2:3">
      <c r="B1106" s="18" t="s">
        <v>5</v>
      </c>
      <c r="C1106" s="19">
        <v>14.352000000000002</v>
      </c>
    </row>
    <row r="1107" spans="2:3">
      <c r="B1107" s="18" t="s">
        <v>5</v>
      </c>
      <c r="C1107" s="19">
        <v>277.39999999999998</v>
      </c>
    </row>
    <row r="1108" spans="2:3">
      <c r="B1108" s="18" t="s">
        <v>5</v>
      </c>
      <c r="C1108" s="19">
        <v>5.78</v>
      </c>
    </row>
    <row r="1109" spans="2:3">
      <c r="B1109" s="18" t="s">
        <v>5</v>
      </c>
      <c r="C1109" s="19">
        <v>10.86</v>
      </c>
    </row>
    <row r="1110" spans="2:3">
      <c r="B1110" s="18" t="s">
        <v>5</v>
      </c>
      <c r="C1110" s="19">
        <v>426.78999999999996</v>
      </c>
    </row>
    <row r="1111" spans="2:3">
      <c r="B1111" s="18" t="s">
        <v>5</v>
      </c>
      <c r="C1111" s="19">
        <v>9.0240000000000009</v>
      </c>
    </row>
    <row r="1112" spans="2:3">
      <c r="B1112" s="18" t="s">
        <v>5</v>
      </c>
      <c r="C1112" s="19">
        <v>69.456000000000003</v>
      </c>
    </row>
    <row r="1113" spans="2:3">
      <c r="B1113" s="18" t="s">
        <v>5</v>
      </c>
      <c r="C1113" s="19">
        <v>10.86</v>
      </c>
    </row>
    <row r="1114" spans="2:3">
      <c r="B1114" s="18" t="s">
        <v>5</v>
      </c>
      <c r="C1114" s="19">
        <v>79.47</v>
      </c>
    </row>
    <row r="1115" spans="2:3">
      <c r="B1115" s="18" t="s">
        <v>5</v>
      </c>
      <c r="C1115" s="19">
        <v>10.08</v>
      </c>
    </row>
    <row r="1116" spans="2:3">
      <c r="B1116" s="18" t="s">
        <v>5</v>
      </c>
      <c r="C1116" s="19">
        <v>13.710000000000003</v>
      </c>
    </row>
    <row r="1117" spans="2:3">
      <c r="B1117" s="18" t="s">
        <v>5</v>
      </c>
      <c r="C1117" s="19">
        <v>23.12</v>
      </c>
    </row>
    <row r="1118" spans="2:3">
      <c r="B1118" s="18" t="s">
        <v>5</v>
      </c>
      <c r="C1118" s="19">
        <v>5.67</v>
      </c>
    </row>
    <row r="1119" spans="2:3">
      <c r="B1119" s="18" t="s">
        <v>5</v>
      </c>
      <c r="C1119" s="19">
        <v>176.04</v>
      </c>
    </row>
    <row r="1120" spans="2:3">
      <c r="B1120" s="18" t="s">
        <v>5</v>
      </c>
      <c r="C1120" s="19">
        <v>16.02</v>
      </c>
    </row>
    <row r="1121" spans="2:3">
      <c r="B1121" s="18" t="s">
        <v>5</v>
      </c>
      <c r="C1121" s="19">
        <v>185.92000000000002</v>
      </c>
    </row>
    <row r="1122" spans="2:3">
      <c r="B1122" s="18" t="s">
        <v>5</v>
      </c>
      <c r="C1122" s="19">
        <v>5.76</v>
      </c>
    </row>
    <row r="1123" spans="2:3">
      <c r="B1123" s="18" t="s">
        <v>5</v>
      </c>
      <c r="C1123" s="19">
        <v>16.68</v>
      </c>
    </row>
    <row r="1124" spans="2:3">
      <c r="B1124" s="18" t="s">
        <v>5</v>
      </c>
      <c r="C1124" s="19">
        <v>628.80999999999995</v>
      </c>
    </row>
    <row r="1125" spans="2:3">
      <c r="B1125" s="18" t="s">
        <v>5</v>
      </c>
      <c r="C1125" s="19">
        <v>56.449999999999996</v>
      </c>
    </row>
    <row r="1126" spans="2:3">
      <c r="B1126" s="18" t="s">
        <v>5</v>
      </c>
      <c r="C1126" s="19">
        <v>94.199999999999989</v>
      </c>
    </row>
    <row r="1127" spans="2:3">
      <c r="B1127" s="18" t="s">
        <v>5</v>
      </c>
      <c r="C1127" s="19">
        <v>28.4</v>
      </c>
    </row>
    <row r="1128" spans="2:3">
      <c r="B1128" s="18" t="s">
        <v>5</v>
      </c>
      <c r="C1128" s="19">
        <v>24.2</v>
      </c>
    </row>
    <row r="1129" spans="2:3">
      <c r="B1129" s="18" t="s">
        <v>5</v>
      </c>
      <c r="C1129" s="19">
        <v>79.872000000000014</v>
      </c>
    </row>
    <row r="1130" spans="2:3">
      <c r="B1130" s="18" t="s">
        <v>5</v>
      </c>
      <c r="C1130" s="19">
        <v>63.56</v>
      </c>
    </row>
    <row r="1131" spans="2:3">
      <c r="B1131" s="18" t="s">
        <v>5</v>
      </c>
      <c r="C1131" s="19">
        <v>13.023000000000001</v>
      </c>
    </row>
    <row r="1132" spans="2:3">
      <c r="B1132" s="18" t="s">
        <v>5</v>
      </c>
      <c r="C1132" s="19">
        <v>39.311999999999998</v>
      </c>
    </row>
    <row r="1133" spans="2:3">
      <c r="B1133" s="18" t="s">
        <v>5</v>
      </c>
      <c r="C1133" s="19">
        <v>58.48</v>
      </c>
    </row>
    <row r="1134" spans="2:3">
      <c r="B1134" s="18" t="s">
        <v>5</v>
      </c>
      <c r="C1134" s="19">
        <v>18.75</v>
      </c>
    </row>
    <row r="1135" spans="2:3">
      <c r="B1135" s="18" t="s">
        <v>5</v>
      </c>
      <c r="C1135" s="19">
        <v>9.1440000000000001</v>
      </c>
    </row>
    <row r="1136" spans="2:3">
      <c r="B1136" s="18" t="s">
        <v>5</v>
      </c>
      <c r="C1136" s="19">
        <v>107.44</v>
      </c>
    </row>
    <row r="1137" spans="2:3">
      <c r="B1137" s="18" t="s">
        <v>5</v>
      </c>
      <c r="C1137" s="19">
        <v>7.31</v>
      </c>
    </row>
    <row r="1138" spans="2:3">
      <c r="B1138" s="18" t="s">
        <v>5</v>
      </c>
      <c r="C1138" s="19">
        <v>59.099999999999994</v>
      </c>
    </row>
    <row r="1139" spans="2:3">
      <c r="B1139" s="18" t="s">
        <v>5</v>
      </c>
      <c r="C1139" s="19">
        <v>46.53</v>
      </c>
    </row>
    <row r="1140" spans="2:3">
      <c r="B1140" s="18" t="s">
        <v>5</v>
      </c>
      <c r="C1140" s="19">
        <v>97.84</v>
      </c>
    </row>
    <row r="1141" spans="2:3">
      <c r="B1141" s="18" t="s">
        <v>5</v>
      </c>
      <c r="C1141" s="19">
        <v>83.920000000000016</v>
      </c>
    </row>
    <row r="1142" spans="2:3">
      <c r="B1142" s="18" t="s">
        <v>5</v>
      </c>
      <c r="C1142" s="19">
        <v>14.624000000000002</v>
      </c>
    </row>
    <row r="1143" spans="2:3">
      <c r="B1143" s="18" t="s">
        <v>5</v>
      </c>
      <c r="C1143" s="19">
        <v>3.15</v>
      </c>
    </row>
    <row r="1144" spans="2:3">
      <c r="B1144" s="18" t="s">
        <v>5</v>
      </c>
      <c r="C1144" s="19">
        <v>9.11</v>
      </c>
    </row>
    <row r="1145" spans="2:3">
      <c r="B1145" s="18" t="s">
        <v>5</v>
      </c>
      <c r="C1145" s="19">
        <v>571.44000000000005</v>
      </c>
    </row>
    <row r="1146" spans="2:3">
      <c r="B1146" s="18" t="s">
        <v>5</v>
      </c>
      <c r="C1146" s="19">
        <v>32.400000000000006</v>
      </c>
    </row>
    <row r="1147" spans="2:3">
      <c r="B1147" s="18" t="s">
        <v>5</v>
      </c>
      <c r="C1147" s="19">
        <v>16.91</v>
      </c>
    </row>
    <row r="1148" spans="2:3">
      <c r="B1148" s="18" t="s">
        <v>5</v>
      </c>
      <c r="C1148" s="19">
        <v>11.184000000000001</v>
      </c>
    </row>
    <row r="1149" spans="2:3">
      <c r="B1149" s="18" t="s">
        <v>5</v>
      </c>
      <c r="C1149" s="19">
        <v>153.584</v>
      </c>
    </row>
    <row r="1150" spans="2:3">
      <c r="B1150" s="18" t="s">
        <v>5</v>
      </c>
      <c r="C1150" s="19">
        <v>1003.6200000000001</v>
      </c>
    </row>
    <row r="1151" spans="2:3">
      <c r="B1151" s="18" t="s">
        <v>5</v>
      </c>
      <c r="C1151" s="19">
        <v>99.680000000000021</v>
      </c>
    </row>
    <row r="1152" spans="2:3">
      <c r="B1152" s="18" t="s">
        <v>5</v>
      </c>
      <c r="C1152" s="19">
        <v>5.56</v>
      </c>
    </row>
    <row r="1153" spans="2:3">
      <c r="B1153" s="18" t="s">
        <v>5</v>
      </c>
      <c r="C1153" s="19">
        <v>37.608000000000004</v>
      </c>
    </row>
    <row r="1154" spans="2:3">
      <c r="B1154" s="18" t="s">
        <v>5</v>
      </c>
      <c r="C1154" s="19">
        <v>12.224</v>
      </c>
    </row>
    <row r="1155" spans="2:3">
      <c r="B1155" s="18" t="s">
        <v>5</v>
      </c>
      <c r="C1155" s="19">
        <v>2.3039999999999994</v>
      </c>
    </row>
    <row r="1156" spans="2:3">
      <c r="B1156" s="18" t="s">
        <v>5</v>
      </c>
      <c r="C1156" s="19">
        <v>9.3599999999999977</v>
      </c>
    </row>
    <row r="1157" spans="2:3">
      <c r="B1157" s="18" t="s">
        <v>5</v>
      </c>
      <c r="C1157" s="19">
        <v>45.660000000000011</v>
      </c>
    </row>
    <row r="1158" spans="2:3">
      <c r="B1158" s="18" t="s">
        <v>5</v>
      </c>
      <c r="C1158" s="19">
        <v>1801.6320000000001</v>
      </c>
    </row>
    <row r="1159" spans="2:3">
      <c r="B1159" s="18" t="s">
        <v>5</v>
      </c>
      <c r="C1159" s="19">
        <v>205.92</v>
      </c>
    </row>
    <row r="1160" spans="2:3">
      <c r="B1160" s="18" t="s">
        <v>5</v>
      </c>
      <c r="C1160" s="19">
        <v>21.96</v>
      </c>
    </row>
    <row r="1161" spans="2:3">
      <c r="B1161" s="18" t="s">
        <v>5</v>
      </c>
      <c r="C1161" s="19">
        <v>25.120000000000005</v>
      </c>
    </row>
    <row r="1162" spans="2:3">
      <c r="B1162" s="18" t="s">
        <v>5</v>
      </c>
      <c r="C1162" s="19">
        <v>478.08</v>
      </c>
    </row>
    <row r="1163" spans="2:3">
      <c r="B1163" s="18" t="s">
        <v>5</v>
      </c>
      <c r="C1163" s="19">
        <v>13.247999999999999</v>
      </c>
    </row>
    <row r="1164" spans="2:3">
      <c r="B1164" s="18" t="s">
        <v>5</v>
      </c>
      <c r="C1164" s="19">
        <v>2.9120000000000004</v>
      </c>
    </row>
    <row r="1165" spans="2:3">
      <c r="B1165" s="18" t="s">
        <v>5</v>
      </c>
      <c r="C1165" s="19">
        <v>248.57</v>
      </c>
    </row>
    <row r="1166" spans="2:3">
      <c r="B1166" s="18" t="s">
        <v>5</v>
      </c>
      <c r="C1166" s="19">
        <v>327.84</v>
      </c>
    </row>
    <row r="1167" spans="2:3">
      <c r="B1167" s="18" t="s">
        <v>5</v>
      </c>
      <c r="C1167" s="19">
        <v>180.96</v>
      </c>
    </row>
    <row r="1168" spans="2:3">
      <c r="B1168" s="18" t="s">
        <v>5</v>
      </c>
      <c r="C1168" s="19">
        <v>914.97</v>
      </c>
    </row>
    <row r="1169" spans="2:3">
      <c r="B1169" s="18" t="s">
        <v>5</v>
      </c>
      <c r="C1169" s="19">
        <v>530.34</v>
      </c>
    </row>
    <row r="1170" spans="2:3">
      <c r="B1170" s="18" t="s">
        <v>5</v>
      </c>
      <c r="C1170" s="19">
        <v>14.940000000000001</v>
      </c>
    </row>
    <row r="1171" spans="2:3">
      <c r="B1171" s="18" t="s">
        <v>5</v>
      </c>
      <c r="C1171" s="19">
        <v>121.94</v>
      </c>
    </row>
    <row r="1172" spans="2:3">
      <c r="B1172" s="18" t="s">
        <v>5</v>
      </c>
      <c r="C1172" s="19">
        <v>122.71000000000001</v>
      </c>
    </row>
    <row r="1173" spans="2:3">
      <c r="B1173" s="18" t="s">
        <v>5</v>
      </c>
      <c r="C1173" s="19">
        <v>5.78</v>
      </c>
    </row>
    <row r="1174" spans="2:3">
      <c r="B1174" s="18" t="s">
        <v>5</v>
      </c>
      <c r="C1174" s="19">
        <v>121.67999999999999</v>
      </c>
    </row>
    <row r="1175" spans="2:3">
      <c r="B1175" s="18" t="s">
        <v>5</v>
      </c>
      <c r="C1175" s="19">
        <v>4.17</v>
      </c>
    </row>
    <row r="1176" spans="2:3">
      <c r="B1176" s="18" t="s">
        <v>5</v>
      </c>
      <c r="C1176" s="19">
        <v>37.32</v>
      </c>
    </row>
    <row r="1177" spans="2:3">
      <c r="B1177" s="18" t="s">
        <v>5</v>
      </c>
      <c r="C1177" s="19">
        <v>18.45</v>
      </c>
    </row>
    <row r="1178" spans="2:3">
      <c r="B1178" s="18" t="s">
        <v>5</v>
      </c>
      <c r="C1178" s="19">
        <v>63.9</v>
      </c>
    </row>
    <row r="1179" spans="2:3">
      <c r="B1179" s="18" t="s">
        <v>5</v>
      </c>
      <c r="C1179" s="19">
        <v>11.220000000000002</v>
      </c>
    </row>
    <row r="1180" spans="2:3">
      <c r="B1180" s="18" t="s">
        <v>5</v>
      </c>
      <c r="C1180" s="19">
        <v>19.04</v>
      </c>
    </row>
    <row r="1181" spans="2:3">
      <c r="B1181" s="18" t="s">
        <v>5</v>
      </c>
      <c r="C1181" s="19">
        <v>13.128</v>
      </c>
    </row>
    <row r="1182" spans="2:3">
      <c r="B1182" s="18" t="s">
        <v>5</v>
      </c>
      <c r="C1182" s="19">
        <v>64.14</v>
      </c>
    </row>
    <row r="1183" spans="2:3">
      <c r="B1183" s="18" t="s">
        <v>5</v>
      </c>
      <c r="C1183" s="19">
        <v>10.776000000000002</v>
      </c>
    </row>
    <row r="1184" spans="2:3">
      <c r="B1184" s="18" t="s">
        <v>5</v>
      </c>
      <c r="C1184" s="19">
        <v>11.784000000000001</v>
      </c>
    </row>
    <row r="1185" spans="2:3">
      <c r="B1185" s="18" t="s">
        <v>5</v>
      </c>
      <c r="C1185" s="19">
        <v>164.88</v>
      </c>
    </row>
    <row r="1186" spans="2:3">
      <c r="B1186" s="18" t="s">
        <v>5</v>
      </c>
      <c r="C1186" s="19">
        <v>25.584000000000003</v>
      </c>
    </row>
    <row r="1187" spans="2:3">
      <c r="B1187" s="18" t="s">
        <v>5</v>
      </c>
      <c r="C1187" s="19">
        <v>261.74</v>
      </c>
    </row>
    <row r="1188" spans="2:3">
      <c r="B1188" s="18" t="s">
        <v>5</v>
      </c>
      <c r="C1188" s="19">
        <v>14.399999999999999</v>
      </c>
    </row>
    <row r="1189" spans="2:3">
      <c r="B1189" s="18" t="s">
        <v>5</v>
      </c>
      <c r="C1189" s="19">
        <v>79.959999999999994</v>
      </c>
    </row>
    <row r="1190" spans="2:3">
      <c r="B1190" s="18" t="s">
        <v>5</v>
      </c>
      <c r="C1190" s="19">
        <v>8.76</v>
      </c>
    </row>
    <row r="1191" spans="2:3">
      <c r="B1191" s="18" t="s">
        <v>5</v>
      </c>
      <c r="C1191" s="19">
        <v>166.44</v>
      </c>
    </row>
    <row r="1192" spans="2:3">
      <c r="B1192" s="18" t="s">
        <v>5</v>
      </c>
      <c r="C1192" s="19">
        <v>8.76</v>
      </c>
    </row>
    <row r="1193" spans="2:3">
      <c r="B1193" s="18" t="s">
        <v>5</v>
      </c>
      <c r="C1193" s="19">
        <v>43.584000000000003</v>
      </c>
    </row>
    <row r="1194" spans="2:3">
      <c r="B1194" s="18" t="s">
        <v>5</v>
      </c>
      <c r="C1194" s="19">
        <v>14.399999999999999</v>
      </c>
    </row>
    <row r="1195" spans="2:3">
      <c r="B1195" s="18" t="s">
        <v>5</v>
      </c>
      <c r="C1195" s="19">
        <v>89.52</v>
      </c>
    </row>
    <row r="1196" spans="2:3">
      <c r="B1196" s="18" t="s">
        <v>5</v>
      </c>
      <c r="C1196" s="19">
        <v>312.55200000000002</v>
      </c>
    </row>
    <row r="1197" spans="2:3">
      <c r="B1197" s="18" t="s">
        <v>5</v>
      </c>
      <c r="C1197" s="19">
        <v>5.3460000000000019</v>
      </c>
    </row>
    <row r="1198" spans="2:3">
      <c r="B1198" s="18" t="s">
        <v>5</v>
      </c>
      <c r="C1198" s="19">
        <v>16.68</v>
      </c>
    </row>
    <row r="1199" spans="2:3">
      <c r="B1199" s="18" t="s">
        <v>5</v>
      </c>
      <c r="C1199" s="19">
        <v>19.440000000000001</v>
      </c>
    </row>
    <row r="1200" spans="2:3">
      <c r="B1200" s="18" t="s">
        <v>5</v>
      </c>
      <c r="C1200" s="19">
        <v>192.16</v>
      </c>
    </row>
    <row r="1201" spans="2:3">
      <c r="B1201" s="18" t="s">
        <v>5</v>
      </c>
      <c r="C1201" s="19">
        <v>60.12</v>
      </c>
    </row>
    <row r="1202" spans="2:3">
      <c r="B1202" s="18" t="s">
        <v>5</v>
      </c>
      <c r="C1202" s="19">
        <v>124.36</v>
      </c>
    </row>
    <row r="1203" spans="2:3">
      <c r="B1203" s="18" t="s">
        <v>5</v>
      </c>
      <c r="C1203" s="19">
        <v>1.6410000000000002</v>
      </c>
    </row>
    <row r="1204" spans="2:3">
      <c r="B1204" s="18" t="s">
        <v>5</v>
      </c>
      <c r="C1204" s="19">
        <v>6.63</v>
      </c>
    </row>
    <row r="1205" spans="2:3">
      <c r="B1205" s="18" t="s">
        <v>5</v>
      </c>
      <c r="C1205" s="19">
        <v>477.24</v>
      </c>
    </row>
    <row r="1206" spans="2:3">
      <c r="B1206" s="18" t="s">
        <v>5</v>
      </c>
      <c r="C1206" s="19">
        <v>101.84</v>
      </c>
    </row>
    <row r="1207" spans="2:3">
      <c r="B1207" s="18" t="s">
        <v>5</v>
      </c>
      <c r="C1207" s="19">
        <v>10.332000000000003</v>
      </c>
    </row>
    <row r="1208" spans="2:3">
      <c r="B1208" s="18" t="s">
        <v>5</v>
      </c>
      <c r="C1208" s="19">
        <v>31.155000000000005</v>
      </c>
    </row>
    <row r="1209" spans="2:3">
      <c r="B1209" s="18" t="s">
        <v>5</v>
      </c>
      <c r="C1209" s="19">
        <v>8.9280000000000008</v>
      </c>
    </row>
    <row r="1210" spans="2:3">
      <c r="B1210" s="18" t="s">
        <v>5</v>
      </c>
      <c r="C1210" s="19">
        <v>34.384</v>
      </c>
    </row>
    <row r="1211" spans="2:3">
      <c r="B1211" s="18" t="s">
        <v>5</v>
      </c>
      <c r="C1211" s="19">
        <v>1924.1599999999999</v>
      </c>
    </row>
    <row r="1212" spans="2:3">
      <c r="B1212" s="18" t="s">
        <v>5</v>
      </c>
      <c r="C1212" s="19">
        <v>10.368000000000002</v>
      </c>
    </row>
    <row r="1213" spans="2:3">
      <c r="B1213" s="18" t="s">
        <v>5</v>
      </c>
      <c r="C1213" s="19">
        <v>59.2</v>
      </c>
    </row>
    <row r="1214" spans="2:3">
      <c r="B1214" s="18" t="s">
        <v>5</v>
      </c>
      <c r="C1214" s="19">
        <v>22</v>
      </c>
    </row>
    <row r="1215" spans="2:3">
      <c r="B1215" s="18" t="s">
        <v>5</v>
      </c>
      <c r="C1215" s="19">
        <v>13.36</v>
      </c>
    </row>
    <row r="1216" spans="2:3">
      <c r="B1216" s="18" t="s">
        <v>5</v>
      </c>
      <c r="C1216" s="19">
        <v>39.96</v>
      </c>
    </row>
    <row r="1217" spans="2:3">
      <c r="B1217" s="18" t="s">
        <v>5</v>
      </c>
      <c r="C1217" s="19">
        <v>145.85000000000002</v>
      </c>
    </row>
    <row r="1218" spans="2:3">
      <c r="B1218" s="18" t="s">
        <v>5</v>
      </c>
      <c r="C1218" s="19">
        <v>8.9280000000000008</v>
      </c>
    </row>
    <row r="1219" spans="2:3">
      <c r="B1219" s="18" t="s">
        <v>5</v>
      </c>
      <c r="C1219" s="19">
        <v>47.584000000000003</v>
      </c>
    </row>
    <row r="1220" spans="2:3">
      <c r="B1220" s="18" t="s">
        <v>5</v>
      </c>
      <c r="C1220" s="19">
        <v>15.469999999999999</v>
      </c>
    </row>
    <row r="1221" spans="2:3">
      <c r="B1221" s="18" t="s">
        <v>5</v>
      </c>
      <c r="C1221" s="19">
        <v>7.16</v>
      </c>
    </row>
    <row r="1222" spans="2:3">
      <c r="B1222" s="18" t="s">
        <v>5</v>
      </c>
      <c r="C1222" s="19">
        <v>10.89</v>
      </c>
    </row>
    <row r="1223" spans="2:3">
      <c r="B1223" s="18" t="s">
        <v>5</v>
      </c>
      <c r="C1223" s="19">
        <v>19.440000000000001</v>
      </c>
    </row>
    <row r="1224" spans="2:3">
      <c r="B1224" s="18" t="s">
        <v>5</v>
      </c>
      <c r="C1224" s="19">
        <v>121.6</v>
      </c>
    </row>
    <row r="1225" spans="2:3">
      <c r="B1225" s="18" t="s">
        <v>5</v>
      </c>
      <c r="C1225" s="19">
        <v>229.54400000000001</v>
      </c>
    </row>
    <row r="1226" spans="2:3">
      <c r="B1226" s="18" t="s">
        <v>5</v>
      </c>
      <c r="C1226" s="19">
        <v>143.72800000000001</v>
      </c>
    </row>
    <row r="1227" spans="2:3">
      <c r="B1227" s="18" t="s">
        <v>5</v>
      </c>
      <c r="C1227" s="19">
        <v>50.94</v>
      </c>
    </row>
    <row r="1228" spans="2:3">
      <c r="B1228" s="18" t="s">
        <v>5</v>
      </c>
      <c r="C1228" s="19">
        <v>762.59399999999982</v>
      </c>
    </row>
    <row r="1229" spans="2:3">
      <c r="B1229" s="18" t="s">
        <v>5</v>
      </c>
      <c r="C1229" s="19">
        <v>2690.9700000000003</v>
      </c>
    </row>
    <row r="1230" spans="2:3">
      <c r="B1230" s="18" t="s">
        <v>5</v>
      </c>
      <c r="C1230" s="19">
        <v>28.16</v>
      </c>
    </row>
    <row r="1231" spans="2:3">
      <c r="B1231" s="18" t="s">
        <v>5</v>
      </c>
      <c r="C1231" s="19">
        <v>40.29</v>
      </c>
    </row>
    <row r="1232" spans="2:3">
      <c r="B1232" s="18" t="s">
        <v>5</v>
      </c>
      <c r="C1232" s="19">
        <v>20.23</v>
      </c>
    </row>
    <row r="1233" spans="2:3">
      <c r="B1233" s="18" t="s">
        <v>5</v>
      </c>
      <c r="C1233" s="19">
        <v>286.93</v>
      </c>
    </row>
    <row r="1234" spans="2:3">
      <c r="B1234" s="18" t="s">
        <v>5</v>
      </c>
      <c r="C1234" s="19">
        <v>20.736000000000004</v>
      </c>
    </row>
    <row r="1235" spans="2:3">
      <c r="B1235" s="18" t="s">
        <v>5</v>
      </c>
      <c r="C1235" s="19">
        <v>31.44</v>
      </c>
    </row>
    <row r="1236" spans="2:3">
      <c r="B1236" s="18" t="s">
        <v>5</v>
      </c>
      <c r="C1236" s="19">
        <v>83.79</v>
      </c>
    </row>
    <row r="1237" spans="2:3">
      <c r="B1237" s="18" t="s">
        <v>5</v>
      </c>
      <c r="C1237" s="19">
        <v>59.519999999999996</v>
      </c>
    </row>
    <row r="1238" spans="2:3">
      <c r="B1238" s="18" t="s">
        <v>5</v>
      </c>
      <c r="C1238" s="19">
        <v>31.92</v>
      </c>
    </row>
    <row r="1239" spans="2:3">
      <c r="B1239" s="18" t="s">
        <v>5</v>
      </c>
      <c r="C1239" s="19">
        <v>4.26</v>
      </c>
    </row>
    <row r="1240" spans="2:3">
      <c r="B1240" s="18" t="s">
        <v>5</v>
      </c>
      <c r="C1240" s="19">
        <v>811.28</v>
      </c>
    </row>
    <row r="1241" spans="2:3">
      <c r="B1241" s="18" t="s">
        <v>5</v>
      </c>
      <c r="C1241" s="19">
        <v>6.0299999999999994</v>
      </c>
    </row>
    <row r="1242" spans="2:3">
      <c r="B1242" s="18" t="s">
        <v>5</v>
      </c>
      <c r="C1242" s="19">
        <v>6.63</v>
      </c>
    </row>
    <row r="1243" spans="2:3">
      <c r="B1243" s="18" t="s">
        <v>5</v>
      </c>
      <c r="C1243" s="19">
        <v>12.96</v>
      </c>
    </row>
    <row r="1244" spans="2:3">
      <c r="B1244" s="18" t="s">
        <v>5</v>
      </c>
      <c r="C1244" s="19">
        <v>32.400000000000006</v>
      </c>
    </row>
    <row r="1245" spans="2:3">
      <c r="B1245" s="18" t="s">
        <v>5</v>
      </c>
      <c r="C1245" s="19">
        <v>23.849999999999998</v>
      </c>
    </row>
    <row r="1246" spans="2:3">
      <c r="B1246" s="18" t="s">
        <v>5</v>
      </c>
      <c r="C1246" s="19">
        <v>11.56</v>
      </c>
    </row>
    <row r="1247" spans="2:3">
      <c r="B1247" s="18" t="s">
        <v>5</v>
      </c>
      <c r="C1247" s="19">
        <v>26.400000000000002</v>
      </c>
    </row>
    <row r="1248" spans="2:3">
      <c r="B1248" s="18" t="s">
        <v>5</v>
      </c>
      <c r="C1248" s="19">
        <v>184.66</v>
      </c>
    </row>
    <row r="1249" spans="2:3">
      <c r="B1249" s="18" t="s">
        <v>5</v>
      </c>
      <c r="C1249" s="19">
        <v>8.56</v>
      </c>
    </row>
    <row r="1250" spans="2:3">
      <c r="B1250" s="18" t="s">
        <v>5</v>
      </c>
      <c r="C1250" s="19">
        <v>52.400000000000006</v>
      </c>
    </row>
    <row r="1251" spans="2:3">
      <c r="B1251" s="18" t="s">
        <v>5</v>
      </c>
      <c r="C1251" s="19">
        <v>14.940000000000001</v>
      </c>
    </row>
    <row r="1252" spans="2:3">
      <c r="B1252" s="18" t="s">
        <v>5</v>
      </c>
      <c r="C1252" s="19">
        <v>11.22</v>
      </c>
    </row>
    <row r="1253" spans="2:3">
      <c r="B1253" s="18" t="s">
        <v>5</v>
      </c>
      <c r="C1253" s="19">
        <v>5.9520000000000008</v>
      </c>
    </row>
    <row r="1254" spans="2:3">
      <c r="B1254" s="18" t="s">
        <v>5</v>
      </c>
      <c r="C1254" s="19">
        <v>129.30000000000001</v>
      </c>
    </row>
    <row r="1255" spans="2:3">
      <c r="B1255" s="18" t="s">
        <v>5</v>
      </c>
      <c r="C1255" s="19">
        <v>8.64</v>
      </c>
    </row>
    <row r="1256" spans="2:3">
      <c r="B1256" s="18" t="s">
        <v>5</v>
      </c>
      <c r="C1256" s="19">
        <v>1633.1880000000003</v>
      </c>
    </row>
    <row r="1257" spans="2:3">
      <c r="B1257" s="18" t="s">
        <v>5</v>
      </c>
      <c r="C1257" s="19">
        <v>305.01</v>
      </c>
    </row>
    <row r="1258" spans="2:3">
      <c r="B1258" s="18" t="s">
        <v>5</v>
      </c>
      <c r="C1258" s="19">
        <v>64.959999999999994</v>
      </c>
    </row>
    <row r="1259" spans="2:3">
      <c r="B1259" s="18" t="s">
        <v>5</v>
      </c>
      <c r="C1259" s="19">
        <v>43.7</v>
      </c>
    </row>
    <row r="1260" spans="2:3">
      <c r="B1260" s="18" t="s">
        <v>5</v>
      </c>
      <c r="C1260" s="19">
        <v>23.120000000000005</v>
      </c>
    </row>
    <row r="1261" spans="2:3">
      <c r="B1261" s="18" t="s">
        <v>5</v>
      </c>
      <c r="C1261" s="19">
        <v>2.3130000000000002</v>
      </c>
    </row>
    <row r="1262" spans="2:3">
      <c r="B1262" s="18" t="s">
        <v>5</v>
      </c>
      <c r="C1262" s="19">
        <v>20.34</v>
      </c>
    </row>
    <row r="1263" spans="2:3">
      <c r="B1263" s="18" t="s">
        <v>5</v>
      </c>
      <c r="C1263" s="19">
        <v>39.28</v>
      </c>
    </row>
    <row r="1264" spans="2:3">
      <c r="B1264" s="18" t="s">
        <v>5</v>
      </c>
      <c r="C1264" s="19">
        <v>24.320000000000004</v>
      </c>
    </row>
    <row r="1265" spans="2:3">
      <c r="B1265" s="18" t="s">
        <v>5</v>
      </c>
      <c r="C1265" s="19">
        <v>499.58400000000006</v>
      </c>
    </row>
    <row r="1266" spans="2:3">
      <c r="B1266" s="18" t="s">
        <v>5</v>
      </c>
      <c r="C1266" s="19">
        <v>31.104000000000006</v>
      </c>
    </row>
    <row r="1267" spans="2:3">
      <c r="B1267" s="18" t="s">
        <v>5</v>
      </c>
      <c r="C1267" s="19">
        <v>13.272000000000002</v>
      </c>
    </row>
    <row r="1268" spans="2:3">
      <c r="B1268" s="18" t="s">
        <v>5</v>
      </c>
      <c r="C1268" s="19">
        <v>259.13600000000002</v>
      </c>
    </row>
    <row r="1269" spans="2:3">
      <c r="B1269" s="18" t="s">
        <v>5</v>
      </c>
      <c r="C1269" s="19">
        <v>10.8</v>
      </c>
    </row>
    <row r="1270" spans="2:3">
      <c r="B1270" s="18" t="s">
        <v>5</v>
      </c>
      <c r="C1270" s="19">
        <v>22.58</v>
      </c>
    </row>
    <row r="1271" spans="2:3">
      <c r="B1271" s="18" t="s">
        <v>5</v>
      </c>
      <c r="C1271" s="19">
        <v>895.92</v>
      </c>
    </row>
    <row r="1272" spans="2:3">
      <c r="B1272" s="18" t="s">
        <v>5</v>
      </c>
      <c r="C1272" s="19">
        <v>33.375999999999998</v>
      </c>
    </row>
    <row r="1273" spans="2:3">
      <c r="B1273" s="18" t="s">
        <v>5</v>
      </c>
      <c r="C1273" s="19">
        <v>904.9</v>
      </c>
    </row>
    <row r="1274" spans="2:3">
      <c r="B1274" s="18" t="s">
        <v>5</v>
      </c>
      <c r="C1274" s="19">
        <v>12.030000000000001</v>
      </c>
    </row>
    <row r="1275" spans="2:3">
      <c r="B1275" s="18" t="s">
        <v>5</v>
      </c>
      <c r="C1275" s="19">
        <v>21.594000000000005</v>
      </c>
    </row>
    <row r="1276" spans="2:3">
      <c r="B1276" s="18" t="s">
        <v>5</v>
      </c>
      <c r="C1276" s="19">
        <v>8.9640000000000022</v>
      </c>
    </row>
    <row r="1277" spans="2:3">
      <c r="B1277" s="18" t="s">
        <v>5</v>
      </c>
      <c r="C1277" s="19">
        <v>20.736000000000004</v>
      </c>
    </row>
    <row r="1278" spans="2:3">
      <c r="B1278" s="18" t="s">
        <v>5</v>
      </c>
      <c r="C1278" s="19">
        <v>20.736000000000004</v>
      </c>
    </row>
    <row r="1279" spans="2:3">
      <c r="B1279" s="18" t="s">
        <v>5</v>
      </c>
      <c r="C1279" s="19">
        <v>12.96</v>
      </c>
    </row>
    <row r="1280" spans="2:3">
      <c r="B1280" s="18" t="s">
        <v>5</v>
      </c>
      <c r="C1280" s="19">
        <v>22.18</v>
      </c>
    </row>
    <row r="1281" spans="2:3">
      <c r="B1281" s="18" t="s">
        <v>5</v>
      </c>
      <c r="C1281" s="19">
        <v>13.899999999999999</v>
      </c>
    </row>
    <row r="1282" spans="2:3">
      <c r="B1282" s="18" t="s">
        <v>5</v>
      </c>
      <c r="C1282" s="19">
        <v>26.38</v>
      </c>
    </row>
    <row r="1283" spans="2:3">
      <c r="B1283" s="18" t="s">
        <v>5</v>
      </c>
      <c r="C1283" s="19">
        <v>227.84</v>
      </c>
    </row>
    <row r="1284" spans="2:3">
      <c r="B1284" s="18" t="s">
        <v>5</v>
      </c>
      <c r="C1284" s="19">
        <v>37.94</v>
      </c>
    </row>
    <row r="1285" spans="2:3">
      <c r="B1285" s="18" t="s">
        <v>5</v>
      </c>
      <c r="C1285" s="19">
        <v>8.9600000000000009</v>
      </c>
    </row>
    <row r="1286" spans="2:3">
      <c r="B1286" s="18" t="s">
        <v>5</v>
      </c>
      <c r="C1286" s="19">
        <v>31.5</v>
      </c>
    </row>
    <row r="1287" spans="2:3">
      <c r="B1287" s="18" t="s">
        <v>5</v>
      </c>
      <c r="C1287" s="19">
        <v>26.880000000000003</v>
      </c>
    </row>
    <row r="1288" spans="2:3">
      <c r="B1288" s="18" t="s">
        <v>5</v>
      </c>
      <c r="C1288" s="19">
        <v>90.8</v>
      </c>
    </row>
    <row r="1289" spans="2:3">
      <c r="B1289" s="18" t="s">
        <v>5</v>
      </c>
      <c r="C1289" s="19">
        <v>45.36</v>
      </c>
    </row>
    <row r="1290" spans="2:3">
      <c r="B1290" s="18" t="s">
        <v>5</v>
      </c>
      <c r="C1290" s="19">
        <v>288.24</v>
      </c>
    </row>
    <row r="1291" spans="2:3">
      <c r="B1291" s="18" t="s">
        <v>5</v>
      </c>
      <c r="C1291" s="19">
        <v>663.93600000000004</v>
      </c>
    </row>
    <row r="1292" spans="2:3">
      <c r="B1292" s="18" t="s">
        <v>5</v>
      </c>
      <c r="C1292" s="19">
        <v>12.96</v>
      </c>
    </row>
    <row r="1293" spans="2:3">
      <c r="B1293" s="18" t="s">
        <v>5</v>
      </c>
      <c r="C1293" s="19">
        <v>58.34</v>
      </c>
    </row>
    <row r="1294" spans="2:3">
      <c r="B1294" s="18" t="s">
        <v>5</v>
      </c>
      <c r="C1294" s="19">
        <v>252.78399999999996</v>
      </c>
    </row>
    <row r="1295" spans="2:3">
      <c r="B1295" s="18" t="s">
        <v>5</v>
      </c>
      <c r="C1295" s="19">
        <v>12.991999999999996</v>
      </c>
    </row>
    <row r="1296" spans="2:3">
      <c r="B1296" s="18" t="s">
        <v>5</v>
      </c>
      <c r="C1296" s="19">
        <v>33.119999999999997</v>
      </c>
    </row>
    <row r="1297" spans="2:3">
      <c r="B1297" s="18" t="s">
        <v>5</v>
      </c>
      <c r="C1297" s="19">
        <v>10.776000000000002</v>
      </c>
    </row>
    <row r="1298" spans="2:3">
      <c r="B1298" s="18" t="s">
        <v>5</v>
      </c>
      <c r="C1298" s="19">
        <v>695.16</v>
      </c>
    </row>
    <row r="1299" spans="2:3">
      <c r="B1299" s="18" t="s">
        <v>5</v>
      </c>
      <c r="C1299" s="19">
        <v>25.68</v>
      </c>
    </row>
    <row r="1300" spans="2:3">
      <c r="B1300" s="18" t="s">
        <v>5</v>
      </c>
      <c r="C1300" s="19">
        <v>298.464</v>
      </c>
    </row>
    <row r="1301" spans="2:3">
      <c r="B1301" s="18" t="s">
        <v>5</v>
      </c>
      <c r="C1301" s="19">
        <v>49.12</v>
      </c>
    </row>
    <row r="1302" spans="2:3">
      <c r="B1302" s="18" t="s">
        <v>5</v>
      </c>
      <c r="C1302" s="19">
        <v>30.559999999999992</v>
      </c>
    </row>
    <row r="1303" spans="2:3">
      <c r="B1303" s="18" t="s">
        <v>5</v>
      </c>
      <c r="C1303" s="19">
        <v>77.951999999999998</v>
      </c>
    </row>
    <row r="1304" spans="2:3">
      <c r="B1304" s="18" t="s">
        <v>5</v>
      </c>
      <c r="C1304" s="19">
        <v>12.224</v>
      </c>
    </row>
    <row r="1305" spans="2:3">
      <c r="B1305" s="18" t="s">
        <v>5</v>
      </c>
      <c r="C1305" s="19">
        <v>10.608000000000001</v>
      </c>
    </row>
    <row r="1306" spans="2:3">
      <c r="B1306" s="18" t="s">
        <v>5</v>
      </c>
      <c r="C1306" s="19">
        <v>735.98</v>
      </c>
    </row>
    <row r="1307" spans="2:3">
      <c r="B1307" s="18" t="s">
        <v>5</v>
      </c>
      <c r="C1307" s="19">
        <v>23.88</v>
      </c>
    </row>
    <row r="1308" spans="2:3">
      <c r="B1308" s="18" t="s">
        <v>5</v>
      </c>
      <c r="C1308" s="19">
        <v>181.86</v>
      </c>
    </row>
    <row r="1309" spans="2:3">
      <c r="B1309" s="18" t="s">
        <v>5</v>
      </c>
      <c r="C1309" s="19">
        <v>18.760000000000002</v>
      </c>
    </row>
    <row r="1310" spans="2:3">
      <c r="B1310" s="18" t="s">
        <v>5</v>
      </c>
      <c r="C1310" s="19">
        <v>254.89999999999998</v>
      </c>
    </row>
    <row r="1311" spans="2:3">
      <c r="B1311" s="18" t="s">
        <v>5</v>
      </c>
      <c r="C1311" s="19">
        <v>9.64</v>
      </c>
    </row>
    <row r="1312" spans="2:3">
      <c r="B1312" s="18" t="s">
        <v>5</v>
      </c>
      <c r="C1312" s="19">
        <v>1633.14</v>
      </c>
    </row>
    <row r="1313" spans="2:3">
      <c r="B1313" s="18" t="s">
        <v>5</v>
      </c>
      <c r="C1313" s="19">
        <v>544.38</v>
      </c>
    </row>
    <row r="1314" spans="2:3">
      <c r="B1314" s="18" t="s">
        <v>5</v>
      </c>
      <c r="C1314" s="19">
        <v>3.75</v>
      </c>
    </row>
    <row r="1315" spans="2:3">
      <c r="B1315" s="18" t="s">
        <v>5</v>
      </c>
      <c r="C1315" s="19">
        <v>20.928000000000001</v>
      </c>
    </row>
    <row r="1316" spans="2:3">
      <c r="B1316" s="18" t="s">
        <v>5</v>
      </c>
      <c r="C1316" s="19">
        <v>6.3699999999999983</v>
      </c>
    </row>
    <row r="1317" spans="2:3">
      <c r="B1317" s="18" t="s">
        <v>5</v>
      </c>
      <c r="C1317" s="19">
        <v>18.704000000000001</v>
      </c>
    </row>
    <row r="1318" spans="2:3">
      <c r="B1318" s="18" t="s">
        <v>5</v>
      </c>
      <c r="C1318" s="19">
        <v>13.392000000000001</v>
      </c>
    </row>
    <row r="1319" spans="2:3">
      <c r="B1319" s="18" t="s">
        <v>5</v>
      </c>
      <c r="C1319" s="19">
        <v>11.227999999999998</v>
      </c>
    </row>
    <row r="1320" spans="2:3">
      <c r="B1320" s="18" t="s">
        <v>5</v>
      </c>
      <c r="C1320" s="19">
        <v>75.179999999999993</v>
      </c>
    </row>
    <row r="1321" spans="2:3">
      <c r="B1321" s="18" t="s">
        <v>5</v>
      </c>
      <c r="C1321" s="19">
        <v>931.17600000000016</v>
      </c>
    </row>
    <row r="1322" spans="2:3">
      <c r="B1322" s="18" t="s">
        <v>5</v>
      </c>
      <c r="C1322" s="19">
        <v>26.045999999999992</v>
      </c>
    </row>
    <row r="1323" spans="2:3">
      <c r="B1323" s="18" t="s">
        <v>5</v>
      </c>
      <c r="C1323" s="19">
        <v>2.8959999999999995</v>
      </c>
    </row>
    <row r="1324" spans="2:3">
      <c r="B1324" s="18" t="s">
        <v>5</v>
      </c>
      <c r="C1324" s="19">
        <v>32.544000000000004</v>
      </c>
    </row>
    <row r="1325" spans="2:3">
      <c r="B1325" s="18" t="s">
        <v>5</v>
      </c>
      <c r="C1325" s="19">
        <v>13.467999999999998</v>
      </c>
    </row>
    <row r="1326" spans="2:3">
      <c r="B1326" s="18" t="s">
        <v>5</v>
      </c>
      <c r="C1326" s="19">
        <v>324.90000000000003</v>
      </c>
    </row>
    <row r="1327" spans="2:3">
      <c r="B1327" s="18" t="s">
        <v>5</v>
      </c>
      <c r="C1327" s="19">
        <v>18.240000000000002</v>
      </c>
    </row>
    <row r="1328" spans="2:3">
      <c r="B1328" s="18" t="s">
        <v>5</v>
      </c>
      <c r="C1328" s="19">
        <v>7.0559999999999992</v>
      </c>
    </row>
    <row r="1329" spans="2:3">
      <c r="B1329" s="18" t="s">
        <v>5</v>
      </c>
      <c r="C1329" s="19">
        <v>18.240000000000002</v>
      </c>
    </row>
    <row r="1330" spans="2:3">
      <c r="B1330" s="18" t="s">
        <v>5</v>
      </c>
      <c r="C1330" s="19">
        <v>27.78</v>
      </c>
    </row>
    <row r="1331" spans="2:3">
      <c r="B1331" s="18" t="s">
        <v>5</v>
      </c>
      <c r="C1331" s="19">
        <v>6.56</v>
      </c>
    </row>
    <row r="1332" spans="2:3">
      <c r="B1332" s="18" t="s">
        <v>5</v>
      </c>
      <c r="C1332" s="19">
        <v>13.11</v>
      </c>
    </row>
    <row r="1333" spans="2:3">
      <c r="B1333" s="18" t="s">
        <v>5</v>
      </c>
      <c r="C1333" s="19">
        <v>14.376000000000001</v>
      </c>
    </row>
    <row r="1334" spans="2:3">
      <c r="B1334" s="18" t="s">
        <v>5</v>
      </c>
      <c r="C1334" s="19">
        <v>17.12</v>
      </c>
    </row>
    <row r="1335" spans="2:3">
      <c r="B1335" s="18" t="s">
        <v>5</v>
      </c>
      <c r="C1335" s="19">
        <v>117.14400000000001</v>
      </c>
    </row>
    <row r="1336" spans="2:3">
      <c r="B1336" s="18" t="s">
        <v>5</v>
      </c>
      <c r="C1336" s="19">
        <v>203.52</v>
      </c>
    </row>
    <row r="1337" spans="2:3">
      <c r="B1337" s="18" t="s">
        <v>5</v>
      </c>
      <c r="C1337" s="19">
        <v>51.75</v>
      </c>
    </row>
    <row r="1338" spans="2:3">
      <c r="B1338" s="18" t="s">
        <v>5</v>
      </c>
      <c r="C1338" s="19">
        <v>16.029999999999998</v>
      </c>
    </row>
    <row r="1339" spans="2:3">
      <c r="B1339" s="18" t="s">
        <v>5</v>
      </c>
      <c r="C1339" s="19">
        <v>73.007999999999996</v>
      </c>
    </row>
    <row r="1340" spans="2:3">
      <c r="B1340" s="18" t="s">
        <v>5</v>
      </c>
      <c r="C1340" s="19">
        <v>25.824000000000002</v>
      </c>
    </row>
    <row r="1341" spans="2:3">
      <c r="B1341" s="18" t="s">
        <v>5</v>
      </c>
      <c r="C1341" s="19">
        <v>160.96</v>
      </c>
    </row>
    <row r="1342" spans="2:3">
      <c r="B1342" s="18" t="s">
        <v>5</v>
      </c>
      <c r="C1342" s="19">
        <v>13.775999999999996</v>
      </c>
    </row>
    <row r="1343" spans="2:3">
      <c r="B1343" s="18" t="s">
        <v>5</v>
      </c>
      <c r="C1343" s="19">
        <v>10.272000000000002</v>
      </c>
    </row>
    <row r="1344" spans="2:3">
      <c r="B1344" s="18" t="s">
        <v>5</v>
      </c>
      <c r="C1344" s="19">
        <v>2.8960000000000004</v>
      </c>
    </row>
    <row r="1345" spans="2:3">
      <c r="B1345" s="18" t="s">
        <v>5</v>
      </c>
      <c r="C1345" s="19">
        <v>580.67200000000003</v>
      </c>
    </row>
    <row r="1346" spans="2:3">
      <c r="B1346" s="18" t="s">
        <v>5</v>
      </c>
      <c r="C1346" s="19">
        <v>18.936</v>
      </c>
    </row>
    <row r="1347" spans="2:3">
      <c r="B1347" s="18" t="s">
        <v>5</v>
      </c>
      <c r="C1347" s="19">
        <v>50.454000000000015</v>
      </c>
    </row>
    <row r="1348" spans="2:3">
      <c r="B1348" s="18" t="s">
        <v>5</v>
      </c>
      <c r="C1348" s="19">
        <v>6.8480000000000008</v>
      </c>
    </row>
    <row r="1349" spans="2:3">
      <c r="B1349" s="18" t="s">
        <v>5</v>
      </c>
      <c r="C1349" s="19">
        <v>40.032000000000004</v>
      </c>
    </row>
    <row r="1350" spans="2:3">
      <c r="B1350" s="18" t="s">
        <v>5</v>
      </c>
      <c r="C1350" s="19">
        <v>443.92</v>
      </c>
    </row>
    <row r="1351" spans="2:3">
      <c r="B1351" s="18" t="s">
        <v>5</v>
      </c>
      <c r="C1351" s="19">
        <v>169.99</v>
      </c>
    </row>
    <row r="1352" spans="2:3">
      <c r="B1352" s="18" t="s">
        <v>5</v>
      </c>
      <c r="C1352" s="19">
        <v>25.92</v>
      </c>
    </row>
    <row r="1353" spans="2:3">
      <c r="B1353" s="18" t="s">
        <v>5</v>
      </c>
      <c r="C1353" s="19">
        <v>10.368000000000002</v>
      </c>
    </row>
    <row r="1354" spans="2:3">
      <c r="B1354" s="18" t="s">
        <v>5</v>
      </c>
      <c r="C1354" s="19">
        <v>32.896000000000001</v>
      </c>
    </row>
    <row r="1355" spans="2:3">
      <c r="B1355" s="18" t="s">
        <v>5</v>
      </c>
      <c r="C1355" s="19">
        <v>30.96</v>
      </c>
    </row>
    <row r="1356" spans="2:3">
      <c r="B1356" s="18" t="s">
        <v>5</v>
      </c>
      <c r="C1356" s="19">
        <v>29.79</v>
      </c>
    </row>
    <row r="1357" spans="2:3">
      <c r="B1357" s="18" t="s">
        <v>5</v>
      </c>
      <c r="C1357" s="19">
        <v>60.12</v>
      </c>
    </row>
    <row r="1358" spans="2:3">
      <c r="B1358" s="18" t="s">
        <v>5</v>
      </c>
      <c r="C1358" s="19">
        <v>24.816000000000003</v>
      </c>
    </row>
    <row r="1359" spans="2:3">
      <c r="B1359" s="18" t="s">
        <v>5</v>
      </c>
      <c r="C1359" s="19">
        <v>14.976000000000003</v>
      </c>
    </row>
    <row r="1360" spans="2:3">
      <c r="B1360" s="18" t="s">
        <v>5</v>
      </c>
      <c r="C1360" s="19">
        <v>54.192</v>
      </c>
    </row>
    <row r="1361" spans="2:3">
      <c r="B1361" s="18" t="s">
        <v>5</v>
      </c>
      <c r="C1361" s="19">
        <v>16.740000000000002</v>
      </c>
    </row>
    <row r="1362" spans="2:3">
      <c r="B1362" s="18" t="s">
        <v>5</v>
      </c>
      <c r="C1362" s="19">
        <v>2504.7399999999998</v>
      </c>
    </row>
    <row r="1363" spans="2:3">
      <c r="B1363" s="18" t="s">
        <v>5</v>
      </c>
      <c r="C1363" s="19">
        <v>3.76</v>
      </c>
    </row>
    <row r="1364" spans="2:3">
      <c r="B1364" s="18" t="s">
        <v>5</v>
      </c>
      <c r="C1364" s="19">
        <v>3.4440000000000008</v>
      </c>
    </row>
    <row r="1365" spans="2:3">
      <c r="B1365" s="18" t="s">
        <v>5</v>
      </c>
      <c r="C1365" s="19">
        <v>538.19400000000007</v>
      </c>
    </row>
    <row r="1366" spans="2:3">
      <c r="B1366" s="18" t="s">
        <v>5</v>
      </c>
      <c r="C1366" s="19">
        <v>10.848000000000001</v>
      </c>
    </row>
    <row r="1367" spans="2:3">
      <c r="B1367" s="18" t="s">
        <v>5</v>
      </c>
      <c r="C1367" s="19">
        <v>147.184</v>
      </c>
    </row>
    <row r="1368" spans="2:3">
      <c r="B1368" s="18" t="s">
        <v>5</v>
      </c>
      <c r="C1368" s="19">
        <v>10.368000000000002</v>
      </c>
    </row>
    <row r="1369" spans="2:3">
      <c r="B1369" s="18" t="s">
        <v>5</v>
      </c>
      <c r="C1369" s="19">
        <v>17.760000000000002</v>
      </c>
    </row>
    <row r="1370" spans="2:3">
      <c r="B1370" s="18" t="s">
        <v>5</v>
      </c>
      <c r="C1370" s="19">
        <v>6.911999999999999</v>
      </c>
    </row>
    <row r="1371" spans="2:3">
      <c r="B1371" s="18" t="s">
        <v>5</v>
      </c>
      <c r="C1371" s="19">
        <v>45.84</v>
      </c>
    </row>
    <row r="1372" spans="2:3">
      <c r="B1372" s="18" t="s">
        <v>5</v>
      </c>
      <c r="C1372" s="19">
        <v>28.672000000000004</v>
      </c>
    </row>
    <row r="1373" spans="2:3">
      <c r="B1373" s="18" t="s">
        <v>5</v>
      </c>
      <c r="C1373" s="19">
        <v>29.311999999999994</v>
      </c>
    </row>
    <row r="1374" spans="2:3">
      <c r="B1374" s="18" t="s">
        <v>5</v>
      </c>
      <c r="C1374" s="19">
        <v>105.98</v>
      </c>
    </row>
    <row r="1375" spans="2:3">
      <c r="B1375" s="18" t="s">
        <v>5</v>
      </c>
      <c r="C1375" s="19">
        <v>35.06</v>
      </c>
    </row>
    <row r="1376" spans="2:3">
      <c r="B1376" s="18" t="s">
        <v>5</v>
      </c>
      <c r="C1376" s="19">
        <v>30</v>
      </c>
    </row>
    <row r="1377" spans="2:3">
      <c r="B1377" s="18" t="s">
        <v>5</v>
      </c>
      <c r="C1377" s="19">
        <v>7.4760000000000018</v>
      </c>
    </row>
    <row r="1378" spans="2:3">
      <c r="B1378" s="18" t="s">
        <v>5</v>
      </c>
      <c r="C1378" s="19">
        <v>45.36</v>
      </c>
    </row>
    <row r="1379" spans="2:3">
      <c r="B1379" s="18" t="s">
        <v>5</v>
      </c>
      <c r="C1379" s="19">
        <v>10.128</v>
      </c>
    </row>
    <row r="1380" spans="2:3">
      <c r="B1380" s="18" t="s">
        <v>5</v>
      </c>
      <c r="C1380" s="19">
        <v>21.792000000000002</v>
      </c>
    </row>
    <row r="1381" spans="2:3">
      <c r="B1381" s="18" t="s">
        <v>5</v>
      </c>
      <c r="C1381" s="19">
        <v>8.2560000000000002</v>
      </c>
    </row>
    <row r="1382" spans="2:3">
      <c r="B1382" s="18" t="s">
        <v>5</v>
      </c>
      <c r="C1382" s="19">
        <v>25.560000000000002</v>
      </c>
    </row>
    <row r="1383" spans="2:3">
      <c r="B1383" s="18" t="s">
        <v>5</v>
      </c>
      <c r="C1383" s="19">
        <v>4.3680000000000012</v>
      </c>
    </row>
    <row r="1384" spans="2:3">
      <c r="B1384" s="18" t="s">
        <v>5</v>
      </c>
      <c r="C1384" s="19">
        <v>11.520000000000001</v>
      </c>
    </row>
    <row r="1385" spans="2:3">
      <c r="B1385" s="18" t="s">
        <v>5</v>
      </c>
      <c r="C1385" s="19">
        <v>1577.94</v>
      </c>
    </row>
    <row r="1386" spans="2:3">
      <c r="B1386" s="18" t="s">
        <v>5</v>
      </c>
      <c r="C1386" s="19">
        <v>5.1840000000000011</v>
      </c>
    </row>
    <row r="1387" spans="2:3">
      <c r="B1387" s="18" t="s">
        <v>5</v>
      </c>
      <c r="C1387" s="19">
        <v>11.68</v>
      </c>
    </row>
    <row r="1388" spans="2:3">
      <c r="B1388" s="18" t="s">
        <v>5</v>
      </c>
      <c r="C1388" s="19">
        <v>104.80000000000001</v>
      </c>
    </row>
    <row r="1389" spans="2:3">
      <c r="B1389" s="18" t="s">
        <v>5</v>
      </c>
      <c r="C1389" s="19">
        <v>104.85</v>
      </c>
    </row>
    <row r="1390" spans="2:3">
      <c r="B1390" s="18" t="s">
        <v>5</v>
      </c>
      <c r="C1390" s="19">
        <v>5.96</v>
      </c>
    </row>
    <row r="1391" spans="2:3">
      <c r="B1391" s="18" t="s">
        <v>5</v>
      </c>
      <c r="C1391" s="19">
        <v>1665.62</v>
      </c>
    </row>
    <row r="1392" spans="2:3">
      <c r="B1392" s="18" t="s">
        <v>5</v>
      </c>
      <c r="C1392" s="19">
        <v>2.88</v>
      </c>
    </row>
    <row r="1393" spans="2:3">
      <c r="B1393" s="18" t="s">
        <v>5</v>
      </c>
      <c r="C1393" s="19">
        <v>1443.96</v>
      </c>
    </row>
    <row r="1394" spans="2:3">
      <c r="B1394" s="18" t="s">
        <v>5</v>
      </c>
      <c r="C1394" s="19">
        <v>2.6240000000000001</v>
      </c>
    </row>
    <row r="1395" spans="2:3">
      <c r="B1395" s="18" t="s">
        <v>5</v>
      </c>
      <c r="C1395" s="19">
        <v>277.39999999999998</v>
      </c>
    </row>
    <row r="1396" spans="2:3">
      <c r="B1396" s="18" t="s">
        <v>5</v>
      </c>
      <c r="C1396" s="19">
        <v>31.776</v>
      </c>
    </row>
    <row r="1397" spans="2:3">
      <c r="B1397" s="18" t="s">
        <v>5</v>
      </c>
      <c r="C1397" s="19">
        <v>487.98400000000004</v>
      </c>
    </row>
    <row r="1398" spans="2:3">
      <c r="B1398" s="18" t="s">
        <v>5</v>
      </c>
      <c r="C1398" s="19">
        <v>217.85</v>
      </c>
    </row>
    <row r="1399" spans="2:3">
      <c r="B1399" s="18" t="s">
        <v>5</v>
      </c>
      <c r="C1399" s="19">
        <v>3.52</v>
      </c>
    </row>
    <row r="1400" spans="2:3">
      <c r="B1400" s="18" t="s">
        <v>5</v>
      </c>
      <c r="C1400" s="19">
        <v>5.58</v>
      </c>
    </row>
    <row r="1401" spans="2:3">
      <c r="B1401" s="18" t="s">
        <v>5</v>
      </c>
      <c r="C1401" s="19">
        <v>52.272000000000006</v>
      </c>
    </row>
    <row r="1402" spans="2:3">
      <c r="B1402" s="18" t="s">
        <v>5</v>
      </c>
      <c r="C1402" s="19">
        <v>213.13600000000002</v>
      </c>
    </row>
    <row r="1403" spans="2:3">
      <c r="B1403" s="18" t="s">
        <v>5</v>
      </c>
      <c r="C1403" s="19">
        <v>69.52</v>
      </c>
    </row>
    <row r="1404" spans="2:3">
      <c r="B1404" s="18" t="s">
        <v>5</v>
      </c>
      <c r="C1404" s="19">
        <v>763.44</v>
      </c>
    </row>
    <row r="1405" spans="2:3">
      <c r="B1405" s="18" t="s">
        <v>5</v>
      </c>
      <c r="C1405" s="19">
        <v>34.700000000000003</v>
      </c>
    </row>
    <row r="1406" spans="2:3">
      <c r="B1406" s="18" t="s">
        <v>5</v>
      </c>
      <c r="C1406" s="19">
        <v>33.72</v>
      </c>
    </row>
    <row r="1407" spans="2:3">
      <c r="B1407" s="18" t="s">
        <v>5</v>
      </c>
      <c r="C1407" s="19">
        <v>14.940000000000001</v>
      </c>
    </row>
    <row r="1408" spans="2:3">
      <c r="B1408" s="18" t="s">
        <v>5</v>
      </c>
      <c r="C1408" s="19">
        <v>638.73</v>
      </c>
    </row>
    <row r="1409" spans="2:3">
      <c r="B1409" s="18" t="s">
        <v>5</v>
      </c>
      <c r="C1409" s="19">
        <v>113.56800000000001</v>
      </c>
    </row>
    <row r="1410" spans="2:3">
      <c r="B1410" s="18" t="s">
        <v>5</v>
      </c>
      <c r="C1410" s="19">
        <v>24.56</v>
      </c>
    </row>
    <row r="1411" spans="2:3">
      <c r="B1411" s="18" t="s">
        <v>5</v>
      </c>
      <c r="C1411" s="19">
        <v>47.952000000000005</v>
      </c>
    </row>
    <row r="1412" spans="2:3">
      <c r="B1412" s="18" t="s">
        <v>5</v>
      </c>
      <c r="C1412" s="19">
        <v>25.344000000000001</v>
      </c>
    </row>
    <row r="1413" spans="2:3">
      <c r="B1413" s="18" t="s">
        <v>5</v>
      </c>
      <c r="C1413" s="19">
        <v>43.92</v>
      </c>
    </row>
    <row r="1414" spans="2:3">
      <c r="B1414" s="18" t="s">
        <v>5</v>
      </c>
      <c r="C1414" s="19">
        <v>23.832000000000001</v>
      </c>
    </row>
    <row r="1415" spans="2:3">
      <c r="B1415" s="18" t="s">
        <v>5</v>
      </c>
      <c r="C1415" s="19">
        <v>204.95000000000002</v>
      </c>
    </row>
    <row r="1416" spans="2:3">
      <c r="B1416" s="18" t="s">
        <v>5</v>
      </c>
      <c r="C1416" s="19">
        <v>23.55</v>
      </c>
    </row>
    <row r="1417" spans="2:3">
      <c r="B1417" s="18" t="s">
        <v>5</v>
      </c>
      <c r="C1417" s="19">
        <v>35.712000000000003</v>
      </c>
    </row>
    <row r="1418" spans="2:3">
      <c r="B1418" s="18" t="s">
        <v>5</v>
      </c>
      <c r="C1418" s="19">
        <v>7.0559999999999992</v>
      </c>
    </row>
    <row r="1419" spans="2:3">
      <c r="B1419" s="18" t="s">
        <v>5</v>
      </c>
      <c r="C1419" s="19">
        <v>26.38</v>
      </c>
    </row>
    <row r="1420" spans="2:3">
      <c r="B1420" s="18" t="s">
        <v>5</v>
      </c>
      <c r="C1420" s="19">
        <v>321.92</v>
      </c>
    </row>
    <row r="1421" spans="2:3">
      <c r="B1421" s="18" t="s">
        <v>5</v>
      </c>
      <c r="C1421" s="19">
        <v>28.4</v>
      </c>
    </row>
    <row r="1422" spans="2:3">
      <c r="B1422" s="18" t="s">
        <v>5</v>
      </c>
      <c r="C1422" s="19">
        <v>116.28</v>
      </c>
    </row>
    <row r="1423" spans="2:3">
      <c r="B1423" s="18" t="s">
        <v>5</v>
      </c>
      <c r="C1423" s="19">
        <v>841.5680000000001</v>
      </c>
    </row>
    <row r="1424" spans="2:3">
      <c r="B1424" s="18" t="s">
        <v>5</v>
      </c>
      <c r="C1424" s="19">
        <v>354.90000000000003</v>
      </c>
    </row>
    <row r="1425" spans="2:3">
      <c r="B1425" s="18" t="s">
        <v>5</v>
      </c>
      <c r="C1425" s="19">
        <v>87.6</v>
      </c>
    </row>
    <row r="1426" spans="2:3">
      <c r="B1426" s="18" t="s">
        <v>5</v>
      </c>
      <c r="C1426" s="19">
        <v>1.7879999999999996</v>
      </c>
    </row>
    <row r="1427" spans="2:3">
      <c r="B1427" s="18" t="s">
        <v>5</v>
      </c>
      <c r="C1427" s="19">
        <v>37.94</v>
      </c>
    </row>
    <row r="1428" spans="2:3">
      <c r="B1428" s="18" t="s">
        <v>5</v>
      </c>
      <c r="C1428" s="19">
        <v>8.9039999999999999</v>
      </c>
    </row>
    <row r="1429" spans="2:3">
      <c r="B1429" s="18" t="s">
        <v>5</v>
      </c>
      <c r="C1429" s="19">
        <v>720.06400000000008</v>
      </c>
    </row>
    <row r="1430" spans="2:3">
      <c r="B1430" s="18" t="s">
        <v>5</v>
      </c>
      <c r="C1430" s="19">
        <v>3.1320000000000001</v>
      </c>
    </row>
    <row r="1431" spans="2:3">
      <c r="B1431" s="18" t="s">
        <v>5</v>
      </c>
      <c r="C1431" s="19">
        <v>251.64</v>
      </c>
    </row>
    <row r="1432" spans="2:3">
      <c r="B1432" s="18" t="s">
        <v>5</v>
      </c>
      <c r="C1432" s="19">
        <v>25.06</v>
      </c>
    </row>
    <row r="1433" spans="2:3">
      <c r="B1433" s="18" t="s">
        <v>5</v>
      </c>
      <c r="C1433" s="19">
        <v>12.816000000000001</v>
      </c>
    </row>
    <row r="1434" spans="2:3">
      <c r="B1434" s="18" t="s">
        <v>5</v>
      </c>
      <c r="C1434" s="19">
        <v>18.98</v>
      </c>
    </row>
    <row r="1435" spans="2:3">
      <c r="B1435" s="18" t="s">
        <v>5</v>
      </c>
      <c r="C1435" s="19">
        <v>18.240000000000002</v>
      </c>
    </row>
    <row r="1436" spans="2:3">
      <c r="B1436" s="18" t="s">
        <v>5</v>
      </c>
      <c r="C1436" s="19">
        <v>87.444000000000003</v>
      </c>
    </row>
    <row r="1437" spans="2:3">
      <c r="B1437" s="18" t="s">
        <v>5</v>
      </c>
      <c r="C1437" s="19">
        <v>501.81000000000006</v>
      </c>
    </row>
    <row r="1438" spans="2:3">
      <c r="B1438" s="18" t="s">
        <v>5</v>
      </c>
      <c r="C1438" s="19">
        <v>691.96</v>
      </c>
    </row>
    <row r="1439" spans="2:3">
      <c r="B1439" s="18" t="s">
        <v>5</v>
      </c>
      <c r="C1439" s="19">
        <v>33.567999999999991</v>
      </c>
    </row>
    <row r="1440" spans="2:3">
      <c r="B1440" s="18" t="s">
        <v>5</v>
      </c>
      <c r="C1440" s="19">
        <v>26.400000000000002</v>
      </c>
    </row>
    <row r="1441" spans="2:3">
      <c r="B1441" s="18" t="s">
        <v>5</v>
      </c>
      <c r="C1441" s="19">
        <v>3.5639999999999992</v>
      </c>
    </row>
    <row r="1442" spans="2:3">
      <c r="B1442" s="18" t="s">
        <v>5</v>
      </c>
      <c r="C1442" s="19">
        <v>10.272000000000002</v>
      </c>
    </row>
    <row r="1443" spans="2:3">
      <c r="B1443" s="18" t="s">
        <v>5</v>
      </c>
      <c r="C1443" s="19">
        <v>10.64</v>
      </c>
    </row>
    <row r="1444" spans="2:3">
      <c r="B1444" s="18" t="s">
        <v>5</v>
      </c>
      <c r="C1444" s="19">
        <v>12.127999999999997</v>
      </c>
    </row>
    <row r="1445" spans="2:3">
      <c r="B1445" s="18" t="s">
        <v>5</v>
      </c>
      <c r="C1445" s="19">
        <v>3.5519999999999996</v>
      </c>
    </row>
    <row r="1446" spans="2:3">
      <c r="B1446" s="18" t="s">
        <v>5</v>
      </c>
      <c r="C1446" s="19">
        <v>15.552000000000003</v>
      </c>
    </row>
    <row r="1447" spans="2:3">
      <c r="B1447" s="18" t="s">
        <v>5</v>
      </c>
      <c r="C1447" s="19">
        <v>2.3679999999999999</v>
      </c>
    </row>
    <row r="1448" spans="2:3">
      <c r="B1448" s="18" t="s">
        <v>5</v>
      </c>
      <c r="C1448" s="19">
        <v>19.440000000000001</v>
      </c>
    </row>
    <row r="1449" spans="2:3">
      <c r="B1449" s="18" t="s">
        <v>5</v>
      </c>
      <c r="C1449" s="19">
        <v>16.096</v>
      </c>
    </row>
    <row r="1450" spans="2:3">
      <c r="B1450" s="18" t="s">
        <v>5</v>
      </c>
      <c r="C1450" s="19">
        <v>7.6560000000000006</v>
      </c>
    </row>
    <row r="1451" spans="2:3">
      <c r="B1451" s="18" t="s">
        <v>5</v>
      </c>
      <c r="C1451" s="19">
        <v>25.344000000000001</v>
      </c>
    </row>
    <row r="1452" spans="2:3">
      <c r="B1452" s="18" t="s">
        <v>5</v>
      </c>
      <c r="C1452" s="19">
        <v>26.720000000000002</v>
      </c>
    </row>
    <row r="1453" spans="2:3">
      <c r="B1453" s="18" t="s">
        <v>5</v>
      </c>
      <c r="C1453" s="19">
        <v>9.3999999999999986</v>
      </c>
    </row>
    <row r="1454" spans="2:3">
      <c r="B1454" s="18" t="s">
        <v>5</v>
      </c>
      <c r="C1454" s="19">
        <v>74</v>
      </c>
    </row>
    <row r="1455" spans="2:3">
      <c r="B1455" s="18" t="s">
        <v>5</v>
      </c>
      <c r="C1455" s="19">
        <v>3.048</v>
      </c>
    </row>
    <row r="1456" spans="2:3">
      <c r="B1456" s="18" t="s">
        <v>5</v>
      </c>
      <c r="C1456" s="19">
        <v>25.920000000000005</v>
      </c>
    </row>
    <row r="1457" spans="2:3">
      <c r="B1457" s="18" t="s">
        <v>5</v>
      </c>
      <c r="C1457" s="19">
        <v>44.384</v>
      </c>
    </row>
    <row r="1458" spans="2:3">
      <c r="B1458" s="18" t="s">
        <v>5</v>
      </c>
      <c r="C1458" s="19">
        <v>2.9440000000000004</v>
      </c>
    </row>
    <row r="1459" spans="2:3">
      <c r="B1459" s="18" t="s">
        <v>5</v>
      </c>
      <c r="C1459" s="19">
        <v>12.7</v>
      </c>
    </row>
    <row r="1460" spans="2:3">
      <c r="B1460" s="18" t="s">
        <v>5</v>
      </c>
      <c r="C1460" s="19">
        <v>12.84</v>
      </c>
    </row>
    <row r="1461" spans="2:3">
      <c r="B1461" s="18" t="s">
        <v>5</v>
      </c>
      <c r="C1461" s="19">
        <v>8.94</v>
      </c>
    </row>
    <row r="1462" spans="2:3">
      <c r="B1462" s="18" t="s">
        <v>5</v>
      </c>
      <c r="C1462" s="19">
        <v>2591.56</v>
      </c>
    </row>
    <row r="1463" spans="2:3">
      <c r="B1463" s="18" t="s">
        <v>5</v>
      </c>
      <c r="C1463" s="19">
        <v>41.95</v>
      </c>
    </row>
    <row r="1464" spans="2:3">
      <c r="B1464" s="18" t="s">
        <v>5</v>
      </c>
      <c r="C1464" s="19">
        <v>8.4480000000000004</v>
      </c>
    </row>
    <row r="1465" spans="2:3">
      <c r="B1465" s="18" t="s">
        <v>5</v>
      </c>
      <c r="C1465" s="19">
        <v>39.295999999999999</v>
      </c>
    </row>
    <row r="1466" spans="2:3">
      <c r="B1466" s="18" t="s">
        <v>5</v>
      </c>
      <c r="C1466" s="19">
        <v>29.664000000000001</v>
      </c>
    </row>
    <row r="1467" spans="2:3">
      <c r="B1467" s="18" t="s">
        <v>5</v>
      </c>
      <c r="C1467" s="19">
        <v>9.1840000000000011</v>
      </c>
    </row>
    <row r="1468" spans="2:3">
      <c r="B1468" s="18" t="s">
        <v>5</v>
      </c>
      <c r="C1468" s="19">
        <v>12.863999999999995</v>
      </c>
    </row>
    <row r="1469" spans="2:3">
      <c r="B1469" s="18" t="s">
        <v>5</v>
      </c>
      <c r="C1469" s="19">
        <v>23.991999999999994</v>
      </c>
    </row>
    <row r="1470" spans="2:3">
      <c r="B1470" s="18" t="s">
        <v>5</v>
      </c>
      <c r="C1470" s="19">
        <v>182.99399999999997</v>
      </c>
    </row>
    <row r="1471" spans="2:3">
      <c r="B1471" s="18" t="s">
        <v>5</v>
      </c>
      <c r="C1471" s="19">
        <v>10.272000000000002</v>
      </c>
    </row>
    <row r="1472" spans="2:3">
      <c r="B1472" s="18" t="s">
        <v>5</v>
      </c>
      <c r="C1472" s="19">
        <v>7.857000000000002</v>
      </c>
    </row>
    <row r="1473" spans="2:3">
      <c r="B1473" s="18" t="s">
        <v>5</v>
      </c>
      <c r="C1473" s="19">
        <v>221.024</v>
      </c>
    </row>
    <row r="1474" spans="2:3">
      <c r="B1474" s="18" t="s">
        <v>5</v>
      </c>
      <c r="C1474" s="19">
        <v>2.2639999999999993</v>
      </c>
    </row>
    <row r="1475" spans="2:3">
      <c r="B1475" s="18" t="s">
        <v>5</v>
      </c>
      <c r="C1475" s="19">
        <v>0.44399999999999995</v>
      </c>
    </row>
    <row r="1476" spans="2:3">
      <c r="B1476" s="18" t="s">
        <v>5</v>
      </c>
      <c r="C1476" s="19">
        <v>146.17600000000002</v>
      </c>
    </row>
    <row r="1477" spans="2:3">
      <c r="B1477" s="18" t="s">
        <v>5</v>
      </c>
      <c r="C1477" s="19">
        <v>13.76</v>
      </c>
    </row>
    <row r="1478" spans="2:3">
      <c r="B1478" s="18" t="s">
        <v>5</v>
      </c>
      <c r="C1478" s="19">
        <v>37.44</v>
      </c>
    </row>
    <row r="1479" spans="2:3">
      <c r="B1479" s="18" t="s">
        <v>5</v>
      </c>
      <c r="C1479" s="19">
        <v>37.589999999999996</v>
      </c>
    </row>
    <row r="1480" spans="2:3">
      <c r="B1480" s="18" t="s">
        <v>5</v>
      </c>
      <c r="C1480" s="19">
        <v>26.032</v>
      </c>
    </row>
    <row r="1481" spans="2:3">
      <c r="B1481" s="18" t="s">
        <v>5</v>
      </c>
      <c r="C1481" s="19">
        <v>54.66</v>
      </c>
    </row>
    <row r="1482" spans="2:3">
      <c r="B1482" s="18" t="s">
        <v>5</v>
      </c>
      <c r="C1482" s="19">
        <v>112.12000000000002</v>
      </c>
    </row>
    <row r="1483" spans="2:3">
      <c r="B1483" s="18" t="s">
        <v>5</v>
      </c>
      <c r="C1483" s="19">
        <v>1575.14</v>
      </c>
    </row>
    <row r="1484" spans="2:3">
      <c r="B1484" s="18" t="s">
        <v>5</v>
      </c>
      <c r="C1484" s="19">
        <v>25.060000000000002</v>
      </c>
    </row>
    <row r="1485" spans="2:3">
      <c r="B1485" s="18" t="s">
        <v>5</v>
      </c>
      <c r="C1485" s="19">
        <v>37.392000000000003</v>
      </c>
    </row>
    <row r="1486" spans="2:3">
      <c r="B1486" s="18" t="s">
        <v>5</v>
      </c>
      <c r="C1486" s="19">
        <v>12.74</v>
      </c>
    </row>
    <row r="1487" spans="2:3">
      <c r="B1487" s="18" t="s">
        <v>5</v>
      </c>
      <c r="C1487" s="19">
        <v>8.82</v>
      </c>
    </row>
    <row r="1488" spans="2:3">
      <c r="B1488" s="18" t="s">
        <v>5</v>
      </c>
      <c r="C1488" s="19">
        <v>9.7619999999999969</v>
      </c>
    </row>
    <row r="1489" spans="2:3">
      <c r="B1489" s="18" t="s">
        <v>5</v>
      </c>
      <c r="C1489" s="19">
        <v>13.719999999999999</v>
      </c>
    </row>
    <row r="1490" spans="2:3">
      <c r="B1490" s="18" t="s">
        <v>5</v>
      </c>
      <c r="C1490" s="19">
        <v>259.13600000000002</v>
      </c>
    </row>
    <row r="1491" spans="2:3">
      <c r="B1491" s="18" t="s">
        <v>5</v>
      </c>
      <c r="C1491" s="19">
        <v>29.24</v>
      </c>
    </row>
    <row r="1492" spans="2:3">
      <c r="B1492" s="18" t="s">
        <v>5</v>
      </c>
      <c r="C1492" s="19">
        <v>15.552000000000003</v>
      </c>
    </row>
    <row r="1493" spans="2:3">
      <c r="B1493" s="18" t="s">
        <v>5</v>
      </c>
      <c r="C1493" s="19">
        <v>4.8960000000000008</v>
      </c>
    </row>
    <row r="1494" spans="2:3">
      <c r="B1494" s="18" t="s">
        <v>5</v>
      </c>
      <c r="C1494" s="19">
        <v>22.58</v>
      </c>
    </row>
    <row r="1495" spans="2:3">
      <c r="B1495" s="18" t="s">
        <v>5</v>
      </c>
      <c r="C1495" s="19">
        <v>168.624</v>
      </c>
    </row>
    <row r="1496" spans="2:3">
      <c r="B1496" s="18" t="s">
        <v>5</v>
      </c>
      <c r="C1496" s="19">
        <v>48.86</v>
      </c>
    </row>
    <row r="1497" spans="2:3">
      <c r="B1497" s="18" t="s">
        <v>5</v>
      </c>
      <c r="C1497" s="19">
        <v>14.976000000000001</v>
      </c>
    </row>
    <row r="1498" spans="2:3">
      <c r="B1498" s="18" t="s">
        <v>5</v>
      </c>
      <c r="C1498" s="19">
        <v>4.2399999999999993</v>
      </c>
    </row>
    <row r="1499" spans="2:3">
      <c r="B1499" s="18" t="s">
        <v>5</v>
      </c>
      <c r="C1499" s="19">
        <v>17.04</v>
      </c>
    </row>
    <row r="1500" spans="2:3">
      <c r="B1500" s="18" t="s">
        <v>5</v>
      </c>
      <c r="C1500" s="19">
        <v>344.90999999999997</v>
      </c>
    </row>
    <row r="1501" spans="2:3">
      <c r="B1501" s="18" t="s">
        <v>5</v>
      </c>
      <c r="C1501" s="19">
        <v>6.8739999999999988</v>
      </c>
    </row>
    <row r="1502" spans="2:3">
      <c r="B1502" s="18" t="s">
        <v>5</v>
      </c>
      <c r="C1502" s="19">
        <v>1.9959999999999996</v>
      </c>
    </row>
    <row r="1503" spans="2:3">
      <c r="B1503" s="18" t="s">
        <v>5</v>
      </c>
      <c r="C1503" s="19">
        <v>8.9280000000000008</v>
      </c>
    </row>
    <row r="1504" spans="2:3">
      <c r="B1504" s="18" t="s">
        <v>5</v>
      </c>
      <c r="C1504" s="19">
        <v>15.984000000000002</v>
      </c>
    </row>
    <row r="1505" spans="2:3">
      <c r="B1505" s="18" t="s">
        <v>5</v>
      </c>
      <c r="C1505" s="19">
        <v>37.94</v>
      </c>
    </row>
    <row r="1506" spans="2:3">
      <c r="B1506" s="18" t="s">
        <v>5</v>
      </c>
      <c r="C1506" s="19">
        <v>18.288</v>
      </c>
    </row>
    <row r="1507" spans="2:3">
      <c r="B1507" s="18" t="s">
        <v>5</v>
      </c>
      <c r="C1507" s="19">
        <v>102.96</v>
      </c>
    </row>
    <row r="1508" spans="2:3">
      <c r="B1508" s="18" t="s">
        <v>5</v>
      </c>
      <c r="C1508" s="19">
        <v>45.92</v>
      </c>
    </row>
    <row r="1509" spans="2:3">
      <c r="B1509" s="18" t="s">
        <v>5</v>
      </c>
      <c r="C1509" s="19">
        <v>11.393999999999998</v>
      </c>
    </row>
    <row r="1510" spans="2:3">
      <c r="B1510" s="18" t="s">
        <v>5</v>
      </c>
      <c r="C1510" s="19">
        <v>15.552000000000003</v>
      </c>
    </row>
    <row r="1511" spans="2:3">
      <c r="B1511" s="18" t="s">
        <v>5</v>
      </c>
      <c r="C1511" s="19">
        <v>31.104000000000006</v>
      </c>
    </row>
    <row r="1512" spans="2:3">
      <c r="B1512" s="18" t="s">
        <v>5</v>
      </c>
      <c r="C1512" s="19">
        <v>6.3159999999999981</v>
      </c>
    </row>
    <row r="1513" spans="2:3">
      <c r="B1513" s="18" t="s">
        <v>5</v>
      </c>
      <c r="C1513" s="19">
        <v>9.4080000000000013</v>
      </c>
    </row>
    <row r="1514" spans="2:3">
      <c r="B1514" s="18" t="s">
        <v>5</v>
      </c>
      <c r="C1514" s="19">
        <v>19.829999999999998</v>
      </c>
    </row>
    <row r="1515" spans="2:3">
      <c r="B1515" s="18" t="s">
        <v>5</v>
      </c>
      <c r="C1515" s="19">
        <v>209.7</v>
      </c>
    </row>
    <row r="1516" spans="2:3">
      <c r="B1516" s="18" t="s">
        <v>5</v>
      </c>
      <c r="C1516" s="19">
        <v>1.64</v>
      </c>
    </row>
    <row r="1517" spans="2:3">
      <c r="B1517" s="18" t="s">
        <v>5</v>
      </c>
      <c r="C1517" s="19">
        <v>63.311999999999998</v>
      </c>
    </row>
    <row r="1518" spans="2:3">
      <c r="B1518" s="18" t="s">
        <v>5</v>
      </c>
      <c r="C1518" s="19">
        <v>96.783999999999978</v>
      </c>
    </row>
    <row r="1519" spans="2:3">
      <c r="B1519" s="18" t="s">
        <v>5</v>
      </c>
      <c r="C1519" s="19">
        <v>47.98</v>
      </c>
    </row>
    <row r="1520" spans="2:3">
      <c r="B1520" s="18" t="s">
        <v>5</v>
      </c>
      <c r="C1520" s="19">
        <v>13.049999999999999</v>
      </c>
    </row>
    <row r="1521" spans="2:3">
      <c r="B1521" s="18" t="s">
        <v>5</v>
      </c>
      <c r="C1521" s="19">
        <v>80.48</v>
      </c>
    </row>
    <row r="1522" spans="2:3">
      <c r="B1522" s="18" t="s">
        <v>5</v>
      </c>
      <c r="C1522" s="19">
        <v>11.673000000000002</v>
      </c>
    </row>
    <row r="1523" spans="2:3">
      <c r="B1523" s="18" t="s">
        <v>5</v>
      </c>
      <c r="C1523" s="19">
        <v>25.99</v>
      </c>
    </row>
    <row r="1524" spans="2:3">
      <c r="B1524" s="18" t="s">
        <v>5</v>
      </c>
      <c r="C1524" s="19">
        <v>323.10000000000002</v>
      </c>
    </row>
    <row r="1525" spans="2:3">
      <c r="B1525" s="18" t="s">
        <v>5</v>
      </c>
      <c r="C1525" s="19">
        <v>64.784000000000006</v>
      </c>
    </row>
    <row r="1526" spans="2:3">
      <c r="B1526" s="18" t="s">
        <v>5</v>
      </c>
      <c r="C1526" s="19">
        <v>11.16</v>
      </c>
    </row>
    <row r="1527" spans="2:3">
      <c r="B1527" s="18" t="s">
        <v>5</v>
      </c>
      <c r="C1527" s="19">
        <v>189</v>
      </c>
    </row>
    <row r="1528" spans="2:3">
      <c r="B1528" s="18" t="s">
        <v>5</v>
      </c>
      <c r="C1528" s="19">
        <v>54.32</v>
      </c>
    </row>
    <row r="1529" spans="2:3">
      <c r="B1529" s="18" t="s">
        <v>5</v>
      </c>
      <c r="C1529" s="19">
        <v>49.568000000000005</v>
      </c>
    </row>
    <row r="1530" spans="2:3">
      <c r="B1530" s="18" t="s">
        <v>5</v>
      </c>
      <c r="C1530" s="19">
        <v>161.376</v>
      </c>
    </row>
    <row r="1531" spans="2:3">
      <c r="B1531" s="18" t="s">
        <v>5</v>
      </c>
      <c r="C1531" s="19">
        <v>8.7200000000000006</v>
      </c>
    </row>
    <row r="1532" spans="2:3">
      <c r="B1532" s="18" t="s">
        <v>5</v>
      </c>
      <c r="C1532" s="19">
        <v>42.929999999999993</v>
      </c>
    </row>
    <row r="1533" spans="2:3">
      <c r="B1533" s="18" t="s">
        <v>5</v>
      </c>
      <c r="C1533" s="19">
        <v>15.552000000000003</v>
      </c>
    </row>
    <row r="1534" spans="2:3">
      <c r="B1534" s="18" t="s">
        <v>5</v>
      </c>
      <c r="C1534" s="19">
        <v>17.920000000000002</v>
      </c>
    </row>
    <row r="1535" spans="2:3">
      <c r="B1535" s="18" t="s">
        <v>5</v>
      </c>
      <c r="C1535" s="19">
        <v>22.92</v>
      </c>
    </row>
    <row r="1536" spans="2:3">
      <c r="B1536" s="18" t="s">
        <v>5</v>
      </c>
      <c r="C1536" s="19">
        <v>5.1840000000000011</v>
      </c>
    </row>
    <row r="1537" spans="2:3">
      <c r="B1537" s="18" t="s">
        <v>5</v>
      </c>
      <c r="C1537" s="19">
        <v>544.38</v>
      </c>
    </row>
    <row r="1538" spans="2:3">
      <c r="B1538" s="18" t="s">
        <v>5</v>
      </c>
      <c r="C1538" s="19">
        <v>19.824000000000002</v>
      </c>
    </row>
    <row r="1539" spans="2:3">
      <c r="B1539" s="18" t="s">
        <v>5</v>
      </c>
      <c r="C1539" s="19">
        <v>20.724000000000004</v>
      </c>
    </row>
    <row r="1540" spans="2:3">
      <c r="B1540" s="18" t="s">
        <v>5</v>
      </c>
      <c r="C1540" s="19">
        <v>415.87200000000007</v>
      </c>
    </row>
    <row r="1541" spans="2:3">
      <c r="B1541" s="18" t="s">
        <v>5</v>
      </c>
      <c r="C1541" s="19">
        <v>16.768000000000001</v>
      </c>
    </row>
    <row r="1542" spans="2:3">
      <c r="B1542" s="18" t="s">
        <v>5</v>
      </c>
      <c r="C1542" s="19">
        <v>12.96</v>
      </c>
    </row>
    <row r="1543" spans="2:3">
      <c r="B1543" s="18" t="s">
        <v>5</v>
      </c>
      <c r="C1543" s="19">
        <v>19.008000000000003</v>
      </c>
    </row>
    <row r="1544" spans="2:3">
      <c r="B1544" s="18" t="s">
        <v>5</v>
      </c>
      <c r="C1544" s="19">
        <v>10.368000000000002</v>
      </c>
    </row>
    <row r="1545" spans="2:3">
      <c r="B1545" s="18" t="s">
        <v>5</v>
      </c>
      <c r="C1545" s="19">
        <v>131.94</v>
      </c>
    </row>
    <row r="1546" spans="2:3">
      <c r="B1546" s="18" t="s">
        <v>5</v>
      </c>
      <c r="C1546" s="19">
        <v>25.92</v>
      </c>
    </row>
    <row r="1547" spans="2:3">
      <c r="B1547" s="18" t="s">
        <v>5</v>
      </c>
      <c r="C1547" s="19">
        <v>704.76</v>
      </c>
    </row>
    <row r="1548" spans="2:3">
      <c r="B1548" s="18" t="s">
        <v>5</v>
      </c>
      <c r="C1548" s="19">
        <v>7.41</v>
      </c>
    </row>
    <row r="1549" spans="2:3">
      <c r="B1549" s="18" t="s">
        <v>5</v>
      </c>
      <c r="C1549" s="19">
        <v>21.5</v>
      </c>
    </row>
    <row r="1550" spans="2:3">
      <c r="B1550" s="18" t="s">
        <v>5</v>
      </c>
      <c r="C1550" s="19">
        <v>10.528</v>
      </c>
    </row>
    <row r="1551" spans="2:3">
      <c r="B1551" s="18" t="s">
        <v>5</v>
      </c>
      <c r="C1551" s="19">
        <v>20.544000000000004</v>
      </c>
    </row>
    <row r="1552" spans="2:3">
      <c r="B1552" s="18" t="s">
        <v>5</v>
      </c>
      <c r="C1552" s="19">
        <v>11.68</v>
      </c>
    </row>
    <row r="1553" spans="2:3">
      <c r="B1553" s="18" t="s">
        <v>5</v>
      </c>
      <c r="C1553" s="19">
        <v>46.76</v>
      </c>
    </row>
    <row r="1554" spans="2:3">
      <c r="B1554" s="18" t="s">
        <v>5</v>
      </c>
      <c r="C1554" s="19">
        <v>68.97</v>
      </c>
    </row>
    <row r="1555" spans="2:3">
      <c r="B1555" s="18" t="s">
        <v>5</v>
      </c>
      <c r="C1555" s="19">
        <v>387.99</v>
      </c>
    </row>
    <row r="1556" spans="2:3">
      <c r="B1556" s="18" t="s">
        <v>5</v>
      </c>
      <c r="C1556" s="19">
        <v>478.24</v>
      </c>
    </row>
    <row r="1557" spans="2:3">
      <c r="B1557" s="18" t="s">
        <v>5</v>
      </c>
      <c r="C1557" s="19">
        <v>17.239999999999998</v>
      </c>
    </row>
    <row r="1558" spans="2:3">
      <c r="B1558" s="18" t="s">
        <v>5</v>
      </c>
      <c r="C1558" s="19">
        <v>113.94</v>
      </c>
    </row>
    <row r="1559" spans="2:3">
      <c r="B1559" s="18" t="s">
        <v>5</v>
      </c>
      <c r="C1559" s="19">
        <v>27.18</v>
      </c>
    </row>
    <row r="1560" spans="2:3">
      <c r="B1560" s="18" t="s">
        <v>5</v>
      </c>
      <c r="C1560" s="19">
        <v>70.949999999999989</v>
      </c>
    </row>
    <row r="1561" spans="2:3">
      <c r="B1561" s="18" t="s">
        <v>5</v>
      </c>
      <c r="C1561" s="19">
        <v>244.54999999999998</v>
      </c>
    </row>
    <row r="1562" spans="2:3">
      <c r="B1562" s="18" t="s">
        <v>5</v>
      </c>
      <c r="C1562" s="19">
        <v>1332.4960000000001</v>
      </c>
    </row>
    <row r="1563" spans="2:3">
      <c r="B1563" s="18" t="s">
        <v>5</v>
      </c>
      <c r="C1563" s="19">
        <v>147.184</v>
      </c>
    </row>
    <row r="1564" spans="2:3">
      <c r="B1564" s="18" t="s">
        <v>5</v>
      </c>
      <c r="C1564" s="19">
        <v>76.77600000000001</v>
      </c>
    </row>
    <row r="1565" spans="2:3">
      <c r="B1565" s="18" t="s">
        <v>5</v>
      </c>
      <c r="C1565" s="19">
        <v>14.352000000000002</v>
      </c>
    </row>
    <row r="1566" spans="2:3">
      <c r="B1566" s="18" t="s">
        <v>5</v>
      </c>
      <c r="C1566" s="19">
        <v>209.79200000000003</v>
      </c>
    </row>
    <row r="1567" spans="2:3">
      <c r="B1567" s="18" t="s">
        <v>5</v>
      </c>
      <c r="C1567" s="19">
        <v>16.38</v>
      </c>
    </row>
    <row r="1568" spans="2:3">
      <c r="B1568" s="18" t="s">
        <v>5</v>
      </c>
      <c r="C1568" s="19">
        <v>167.96</v>
      </c>
    </row>
    <row r="1569" spans="2:3">
      <c r="B1569" s="18" t="s">
        <v>5</v>
      </c>
      <c r="C1569" s="19">
        <v>12.96</v>
      </c>
    </row>
    <row r="1570" spans="2:3">
      <c r="B1570" s="18" t="s">
        <v>5</v>
      </c>
      <c r="C1570" s="19">
        <v>15.552000000000003</v>
      </c>
    </row>
    <row r="1571" spans="2:3">
      <c r="B1571" s="18" t="s">
        <v>5</v>
      </c>
      <c r="C1571" s="19">
        <v>8.4480000000000004</v>
      </c>
    </row>
    <row r="1572" spans="2:3">
      <c r="B1572" s="18" t="s">
        <v>5</v>
      </c>
      <c r="C1572" s="19">
        <v>333.09000000000003</v>
      </c>
    </row>
    <row r="1573" spans="2:3">
      <c r="B1573" s="18" t="s">
        <v>5</v>
      </c>
      <c r="C1573" s="19">
        <v>38.880000000000003</v>
      </c>
    </row>
    <row r="1574" spans="2:3">
      <c r="B1574" s="18" t="s">
        <v>5</v>
      </c>
      <c r="C1574" s="19">
        <v>631.17600000000016</v>
      </c>
    </row>
    <row r="1575" spans="2:3">
      <c r="B1575" s="18" t="s">
        <v>5</v>
      </c>
      <c r="C1575" s="19">
        <v>36.44</v>
      </c>
    </row>
    <row r="1576" spans="2:3">
      <c r="B1576" s="18" t="s">
        <v>5</v>
      </c>
      <c r="C1576" s="19">
        <v>1347.5200000000002</v>
      </c>
    </row>
    <row r="1577" spans="2:3">
      <c r="B1577" s="18" t="s">
        <v>5</v>
      </c>
      <c r="C1577" s="19">
        <v>9.4320000000000004</v>
      </c>
    </row>
    <row r="1578" spans="2:3">
      <c r="B1578" s="18" t="s">
        <v>5</v>
      </c>
      <c r="C1578" s="19">
        <v>99.9</v>
      </c>
    </row>
    <row r="1579" spans="2:3">
      <c r="B1579" s="18" t="s">
        <v>5</v>
      </c>
      <c r="C1579" s="19">
        <v>86.376000000000005</v>
      </c>
    </row>
    <row r="1580" spans="2:3">
      <c r="B1580" s="18" t="s">
        <v>5</v>
      </c>
      <c r="C1580" s="19">
        <v>18.240000000000002</v>
      </c>
    </row>
    <row r="1581" spans="2:3">
      <c r="B1581" s="18" t="s">
        <v>5</v>
      </c>
      <c r="C1581" s="19">
        <v>13.12</v>
      </c>
    </row>
    <row r="1582" spans="2:3">
      <c r="B1582" s="18" t="s">
        <v>5</v>
      </c>
      <c r="C1582" s="19">
        <v>5.9359999999999991</v>
      </c>
    </row>
    <row r="1583" spans="2:3">
      <c r="B1583" s="18" t="s">
        <v>5</v>
      </c>
      <c r="C1583" s="19">
        <v>325.86</v>
      </c>
    </row>
    <row r="1584" spans="2:3">
      <c r="B1584" s="18" t="s">
        <v>5</v>
      </c>
      <c r="C1584" s="19">
        <v>5.76</v>
      </c>
    </row>
    <row r="1585" spans="2:3">
      <c r="B1585" s="18" t="s">
        <v>5</v>
      </c>
      <c r="C1585" s="19">
        <v>8.5590000000000011</v>
      </c>
    </row>
    <row r="1586" spans="2:3">
      <c r="B1586" s="18" t="s">
        <v>5</v>
      </c>
      <c r="C1586" s="19">
        <v>45.216000000000001</v>
      </c>
    </row>
    <row r="1587" spans="2:3">
      <c r="B1587" s="18" t="s">
        <v>5</v>
      </c>
      <c r="C1587" s="19">
        <v>28.782000000000004</v>
      </c>
    </row>
    <row r="1588" spans="2:3">
      <c r="B1588" s="18" t="s">
        <v>5</v>
      </c>
      <c r="C1588" s="19">
        <v>24.448</v>
      </c>
    </row>
    <row r="1589" spans="2:3">
      <c r="B1589" s="18" t="s">
        <v>5</v>
      </c>
      <c r="C1589" s="19">
        <v>76.58</v>
      </c>
    </row>
    <row r="1590" spans="2:3">
      <c r="B1590" s="18" t="s">
        <v>5</v>
      </c>
      <c r="C1590" s="19">
        <v>8.8000000000000007</v>
      </c>
    </row>
    <row r="1591" spans="2:3">
      <c r="B1591" s="18" t="s">
        <v>5</v>
      </c>
      <c r="C1591" s="19">
        <v>590.35199999999998</v>
      </c>
    </row>
    <row r="1592" spans="2:3">
      <c r="B1592" s="18" t="s">
        <v>5</v>
      </c>
      <c r="C1592" s="19">
        <v>5.58</v>
      </c>
    </row>
    <row r="1593" spans="2:3">
      <c r="B1593" s="18" t="s">
        <v>5</v>
      </c>
      <c r="C1593" s="19">
        <v>452.55000000000007</v>
      </c>
    </row>
    <row r="1594" spans="2:3">
      <c r="B1594" s="18" t="s">
        <v>5</v>
      </c>
      <c r="C1594" s="19">
        <v>21.81</v>
      </c>
    </row>
    <row r="1595" spans="2:3">
      <c r="B1595" s="18" t="s">
        <v>5</v>
      </c>
      <c r="C1595" s="19">
        <v>91.6</v>
      </c>
    </row>
    <row r="1596" spans="2:3">
      <c r="B1596" s="18" t="s">
        <v>5</v>
      </c>
      <c r="C1596" s="19">
        <v>90.480000000000018</v>
      </c>
    </row>
    <row r="1597" spans="2:3">
      <c r="B1597" s="18" t="s">
        <v>5</v>
      </c>
      <c r="C1597" s="19">
        <v>8.8320000000000007</v>
      </c>
    </row>
    <row r="1598" spans="2:3">
      <c r="B1598" s="18" t="s">
        <v>5</v>
      </c>
      <c r="C1598" s="19">
        <v>177.536</v>
      </c>
    </row>
    <row r="1599" spans="2:3">
      <c r="B1599" s="18" t="s">
        <v>5</v>
      </c>
      <c r="C1599" s="19">
        <v>258.48</v>
      </c>
    </row>
    <row r="1600" spans="2:3">
      <c r="B1600" s="18" t="s">
        <v>5</v>
      </c>
      <c r="C1600" s="19">
        <v>51.75</v>
      </c>
    </row>
    <row r="1601" spans="2:3">
      <c r="B1601" s="18" t="s">
        <v>5</v>
      </c>
      <c r="C1601" s="19">
        <v>242.94</v>
      </c>
    </row>
    <row r="1602" spans="2:3">
      <c r="B1602" s="18" t="s">
        <v>5</v>
      </c>
      <c r="C1602" s="19">
        <v>123.92</v>
      </c>
    </row>
    <row r="1603" spans="2:3">
      <c r="B1603" s="18" t="s">
        <v>5</v>
      </c>
      <c r="C1603" s="19">
        <v>12.39</v>
      </c>
    </row>
    <row r="1604" spans="2:3">
      <c r="B1604" s="18" t="s">
        <v>5</v>
      </c>
      <c r="C1604" s="19">
        <v>47.3</v>
      </c>
    </row>
    <row r="1605" spans="2:3">
      <c r="B1605" s="18" t="s">
        <v>5</v>
      </c>
      <c r="C1605" s="19">
        <v>3.1680000000000006</v>
      </c>
    </row>
    <row r="1606" spans="2:3">
      <c r="B1606" s="18" t="s">
        <v>5</v>
      </c>
      <c r="C1606" s="19">
        <v>440.18999999999994</v>
      </c>
    </row>
    <row r="1607" spans="2:3">
      <c r="B1607" s="18" t="s">
        <v>5</v>
      </c>
      <c r="C1607" s="19">
        <v>64.400000000000006</v>
      </c>
    </row>
    <row r="1608" spans="2:3">
      <c r="B1608" s="18" t="s">
        <v>5</v>
      </c>
      <c r="C1608" s="19">
        <v>244.54999999999998</v>
      </c>
    </row>
    <row r="1609" spans="2:3">
      <c r="B1609" s="18" t="s">
        <v>5</v>
      </c>
      <c r="C1609" s="19">
        <v>195.76</v>
      </c>
    </row>
    <row r="1610" spans="2:3">
      <c r="B1610" s="18" t="s">
        <v>5</v>
      </c>
      <c r="C1610" s="19">
        <v>11.76</v>
      </c>
    </row>
    <row r="1611" spans="2:3">
      <c r="B1611" s="18" t="s">
        <v>5</v>
      </c>
      <c r="C1611" s="19">
        <v>166.45</v>
      </c>
    </row>
    <row r="1612" spans="2:3">
      <c r="B1612" s="18" t="s">
        <v>5</v>
      </c>
      <c r="C1612" s="19">
        <v>2.88</v>
      </c>
    </row>
    <row r="1613" spans="2:3">
      <c r="B1613" s="18" t="s">
        <v>5</v>
      </c>
      <c r="C1613" s="19">
        <v>11.059999999999999</v>
      </c>
    </row>
    <row r="1614" spans="2:3">
      <c r="B1614" s="18" t="s">
        <v>5</v>
      </c>
      <c r="C1614" s="19">
        <v>772.68000000000006</v>
      </c>
    </row>
    <row r="1615" spans="2:3">
      <c r="B1615" s="18" t="s">
        <v>5</v>
      </c>
      <c r="C1615" s="19">
        <v>5.7150000000000016</v>
      </c>
    </row>
    <row r="1616" spans="2:3">
      <c r="B1616" s="18" t="s">
        <v>5</v>
      </c>
      <c r="C1616" s="19">
        <v>5.2480000000000002</v>
      </c>
    </row>
    <row r="1617" spans="2:3">
      <c r="B1617" s="18" t="s">
        <v>5</v>
      </c>
      <c r="C1617" s="19">
        <v>74.415999999999997</v>
      </c>
    </row>
    <row r="1618" spans="2:3">
      <c r="B1618" s="18" t="s">
        <v>5</v>
      </c>
      <c r="C1618" s="19">
        <v>6.8480000000000008</v>
      </c>
    </row>
    <row r="1619" spans="2:3">
      <c r="B1619" s="18" t="s">
        <v>5</v>
      </c>
      <c r="C1619" s="19">
        <v>895.92</v>
      </c>
    </row>
    <row r="1620" spans="2:3">
      <c r="B1620" s="18" t="s">
        <v>5</v>
      </c>
      <c r="C1620" s="19">
        <v>130.71</v>
      </c>
    </row>
    <row r="1621" spans="2:3">
      <c r="B1621" s="18" t="s">
        <v>5</v>
      </c>
      <c r="C1621" s="19">
        <v>11.68</v>
      </c>
    </row>
    <row r="1622" spans="2:3">
      <c r="B1622" s="18" t="s">
        <v>5</v>
      </c>
      <c r="C1622" s="19">
        <v>7.58</v>
      </c>
    </row>
    <row r="1623" spans="2:3">
      <c r="B1623" s="18" t="s">
        <v>5</v>
      </c>
      <c r="C1623" s="19">
        <v>9.9600000000000009</v>
      </c>
    </row>
    <row r="1624" spans="2:3">
      <c r="B1624" s="18" t="s">
        <v>5</v>
      </c>
      <c r="C1624" s="19">
        <v>9.2099999999999991</v>
      </c>
    </row>
    <row r="1625" spans="2:3">
      <c r="B1625" s="18" t="s">
        <v>5</v>
      </c>
      <c r="C1625" s="19">
        <v>27.93</v>
      </c>
    </row>
    <row r="1626" spans="2:3">
      <c r="B1626" s="18" t="s">
        <v>5</v>
      </c>
      <c r="C1626" s="19">
        <v>7.9</v>
      </c>
    </row>
    <row r="1627" spans="2:3">
      <c r="B1627" s="18" t="s">
        <v>5</v>
      </c>
      <c r="C1627" s="19">
        <v>221.16</v>
      </c>
    </row>
    <row r="1628" spans="2:3">
      <c r="B1628" s="18" t="s">
        <v>5</v>
      </c>
      <c r="C1628" s="19">
        <v>127.96</v>
      </c>
    </row>
    <row r="1629" spans="2:3">
      <c r="B1629" s="18" t="s">
        <v>5</v>
      </c>
      <c r="C1629" s="19">
        <v>18.690000000000001</v>
      </c>
    </row>
    <row r="1630" spans="2:3">
      <c r="B1630" s="18" t="s">
        <v>5</v>
      </c>
      <c r="C1630" s="19">
        <v>3.8820000000000006</v>
      </c>
    </row>
    <row r="1631" spans="2:3">
      <c r="B1631" s="18" t="s">
        <v>5</v>
      </c>
      <c r="C1631" s="19">
        <v>115.29600000000001</v>
      </c>
    </row>
    <row r="1632" spans="2:3">
      <c r="B1632" s="18" t="s">
        <v>5</v>
      </c>
      <c r="C1632" s="19">
        <v>1.9080000000000004</v>
      </c>
    </row>
    <row r="1633" spans="2:3">
      <c r="B1633" s="18" t="s">
        <v>5</v>
      </c>
      <c r="C1633" s="19">
        <v>43.371999999999993</v>
      </c>
    </row>
    <row r="1634" spans="2:3">
      <c r="B1634" s="18" t="s">
        <v>5</v>
      </c>
      <c r="C1634" s="19">
        <v>27.76</v>
      </c>
    </row>
    <row r="1635" spans="2:3">
      <c r="B1635" s="18" t="s">
        <v>5</v>
      </c>
      <c r="C1635" s="19">
        <v>25.344000000000001</v>
      </c>
    </row>
    <row r="1636" spans="2:3">
      <c r="B1636" s="18" t="s">
        <v>5</v>
      </c>
      <c r="C1636" s="19">
        <v>11.52</v>
      </c>
    </row>
    <row r="1637" spans="2:3">
      <c r="B1637" s="18" t="s">
        <v>5</v>
      </c>
      <c r="C1637" s="19">
        <v>23.36</v>
      </c>
    </row>
    <row r="1638" spans="2:3">
      <c r="B1638" s="18" t="s">
        <v>5</v>
      </c>
      <c r="C1638" s="19">
        <v>100.94</v>
      </c>
    </row>
    <row r="1639" spans="2:3">
      <c r="B1639" s="18" t="s">
        <v>5</v>
      </c>
      <c r="C1639" s="19">
        <v>279.89999999999998</v>
      </c>
    </row>
    <row r="1640" spans="2:3">
      <c r="B1640" s="18" t="s">
        <v>5</v>
      </c>
      <c r="C1640" s="19">
        <v>10.36</v>
      </c>
    </row>
    <row r="1641" spans="2:3">
      <c r="B1641" s="18" t="s">
        <v>5</v>
      </c>
      <c r="C1641" s="19">
        <v>14.016</v>
      </c>
    </row>
    <row r="1642" spans="2:3">
      <c r="B1642" s="18" t="s">
        <v>5</v>
      </c>
      <c r="C1642" s="19">
        <v>39.92</v>
      </c>
    </row>
    <row r="1643" spans="2:3">
      <c r="B1643" s="18" t="s">
        <v>5</v>
      </c>
      <c r="C1643" s="19">
        <v>61.96</v>
      </c>
    </row>
    <row r="1644" spans="2:3">
      <c r="B1644" s="18" t="s">
        <v>5</v>
      </c>
      <c r="C1644" s="19">
        <v>19.936000000000003</v>
      </c>
    </row>
    <row r="1645" spans="2:3">
      <c r="B1645" s="18" t="s">
        <v>5</v>
      </c>
      <c r="C1645" s="19">
        <v>3.7980000000000005</v>
      </c>
    </row>
    <row r="1646" spans="2:3">
      <c r="B1646" s="18" t="s">
        <v>5</v>
      </c>
      <c r="C1646" s="19">
        <v>27.744000000000003</v>
      </c>
    </row>
    <row r="1647" spans="2:3">
      <c r="B1647" s="18" t="s">
        <v>5</v>
      </c>
      <c r="C1647" s="19">
        <v>243.92</v>
      </c>
    </row>
    <row r="1648" spans="2:3">
      <c r="B1648" s="18" t="s">
        <v>5</v>
      </c>
      <c r="C1648" s="19">
        <v>10.192000000000002</v>
      </c>
    </row>
    <row r="1649" spans="2:3">
      <c r="B1649" s="18" t="s">
        <v>5</v>
      </c>
      <c r="C1649" s="19">
        <v>563.024</v>
      </c>
    </row>
    <row r="1650" spans="2:3">
      <c r="B1650" s="18" t="s">
        <v>5</v>
      </c>
      <c r="C1650" s="19">
        <v>344.90999999999997</v>
      </c>
    </row>
    <row r="1651" spans="2:3">
      <c r="B1651" s="18" t="s">
        <v>5</v>
      </c>
      <c r="C1651" s="19">
        <v>8.64</v>
      </c>
    </row>
    <row r="1652" spans="2:3">
      <c r="B1652" s="18" t="s">
        <v>5</v>
      </c>
      <c r="C1652" s="19">
        <v>229.54400000000001</v>
      </c>
    </row>
    <row r="1653" spans="2:3">
      <c r="B1653" s="18" t="s">
        <v>5</v>
      </c>
      <c r="C1653" s="19">
        <v>1.8239999999999998</v>
      </c>
    </row>
    <row r="1654" spans="2:3">
      <c r="B1654" s="18" t="s">
        <v>5</v>
      </c>
      <c r="C1654" s="19">
        <v>18.319999999999997</v>
      </c>
    </row>
    <row r="1655" spans="2:3">
      <c r="B1655" s="18" t="s">
        <v>5</v>
      </c>
      <c r="C1655" s="19">
        <v>48.816000000000003</v>
      </c>
    </row>
    <row r="1656" spans="2:3">
      <c r="B1656" s="18" t="s">
        <v>5</v>
      </c>
      <c r="C1656" s="19">
        <v>1.1879999999999997</v>
      </c>
    </row>
    <row r="1657" spans="2:3">
      <c r="B1657" s="18" t="s">
        <v>5</v>
      </c>
      <c r="C1657" s="19">
        <v>5.32</v>
      </c>
    </row>
    <row r="1658" spans="2:3">
      <c r="B1658" s="18" t="s">
        <v>5</v>
      </c>
      <c r="C1658" s="19">
        <v>59.92</v>
      </c>
    </row>
    <row r="1659" spans="2:3">
      <c r="B1659" s="18" t="s">
        <v>5</v>
      </c>
      <c r="C1659" s="19">
        <v>171.20000000000002</v>
      </c>
    </row>
    <row r="1660" spans="2:3">
      <c r="B1660" s="18" t="s">
        <v>5</v>
      </c>
      <c r="C1660" s="19">
        <v>3.36</v>
      </c>
    </row>
    <row r="1661" spans="2:3">
      <c r="B1661" s="18" t="s">
        <v>5</v>
      </c>
      <c r="C1661" s="19">
        <v>481.32</v>
      </c>
    </row>
    <row r="1662" spans="2:3">
      <c r="B1662" s="18" t="s">
        <v>5</v>
      </c>
      <c r="C1662" s="19">
        <v>13.98</v>
      </c>
    </row>
    <row r="1663" spans="2:3">
      <c r="B1663" s="18" t="s">
        <v>5</v>
      </c>
      <c r="C1663" s="19">
        <v>25.92</v>
      </c>
    </row>
    <row r="1664" spans="2:3">
      <c r="B1664" s="18" t="s">
        <v>5</v>
      </c>
      <c r="C1664" s="19">
        <v>91.59</v>
      </c>
    </row>
    <row r="1665" spans="2:3">
      <c r="B1665" s="18" t="s">
        <v>5</v>
      </c>
      <c r="C1665" s="19">
        <v>18.335999999999999</v>
      </c>
    </row>
    <row r="1666" spans="2:3">
      <c r="B1666" s="18" t="s">
        <v>5</v>
      </c>
      <c r="C1666" s="19">
        <v>36.288000000000011</v>
      </c>
    </row>
    <row r="1667" spans="2:3">
      <c r="B1667" s="18" t="s">
        <v>5</v>
      </c>
      <c r="C1667" s="19">
        <v>5.9700000000000006</v>
      </c>
    </row>
    <row r="1668" spans="2:3">
      <c r="B1668" s="18" t="s">
        <v>5</v>
      </c>
      <c r="C1668" s="19">
        <v>2.508</v>
      </c>
    </row>
    <row r="1669" spans="2:3">
      <c r="B1669" s="18" t="s">
        <v>5</v>
      </c>
      <c r="C1669" s="19">
        <v>67.144000000000005</v>
      </c>
    </row>
    <row r="1670" spans="2:3">
      <c r="B1670" s="18" t="s">
        <v>5</v>
      </c>
      <c r="C1670" s="19">
        <v>2.2959999999999994</v>
      </c>
    </row>
    <row r="1671" spans="2:3">
      <c r="B1671" s="18" t="s">
        <v>5</v>
      </c>
      <c r="C1671" s="19">
        <v>96.08</v>
      </c>
    </row>
    <row r="1672" spans="2:3">
      <c r="B1672" s="18" t="s">
        <v>5</v>
      </c>
      <c r="C1672" s="19">
        <v>3.62</v>
      </c>
    </row>
    <row r="1673" spans="2:3">
      <c r="B1673" s="18" t="s">
        <v>5</v>
      </c>
      <c r="C1673" s="19">
        <v>629.09999999999991</v>
      </c>
    </row>
    <row r="1674" spans="2:3">
      <c r="B1674" s="18" t="s">
        <v>5</v>
      </c>
      <c r="C1674" s="19">
        <v>14.88</v>
      </c>
    </row>
    <row r="1675" spans="2:3">
      <c r="B1675" s="18" t="s">
        <v>5</v>
      </c>
      <c r="C1675" s="19">
        <v>19.440000000000001</v>
      </c>
    </row>
    <row r="1676" spans="2:3">
      <c r="B1676" s="18" t="s">
        <v>5</v>
      </c>
      <c r="C1676" s="19">
        <v>23.1</v>
      </c>
    </row>
    <row r="1677" spans="2:3">
      <c r="B1677" s="18" t="s">
        <v>5</v>
      </c>
      <c r="C1677" s="19">
        <v>33.74</v>
      </c>
    </row>
    <row r="1678" spans="2:3">
      <c r="B1678" s="18" t="s">
        <v>5</v>
      </c>
      <c r="C1678" s="19">
        <v>375.34</v>
      </c>
    </row>
    <row r="1679" spans="2:3">
      <c r="B1679" s="18" t="s">
        <v>5</v>
      </c>
      <c r="C1679" s="19">
        <v>117.48800000000001</v>
      </c>
    </row>
    <row r="1680" spans="2:3">
      <c r="B1680" s="18" t="s">
        <v>5</v>
      </c>
      <c r="C1680" s="19">
        <v>69.48</v>
      </c>
    </row>
    <row r="1681" spans="2:3">
      <c r="B1681" s="18" t="s">
        <v>5</v>
      </c>
      <c r="C1681" s="19">
        <v>6.6719999999999988</v>
      </c>
    </row>
    <row r="1682" spans="2:3">
      <c r="B1682" s="18" t="s">
        <v>5</v>
      </c>
      <c r="C1682" s="19">
        <v>1889.9899999999998</v>
      </c>
    </row>
    <row r="1683" spans="2:3">
      <c r="B1683" s="18" t="s">
        <v>5</v>
      </c>
      <c r="C1683" s="19">
        <v>48.783999999999999</v>
      </c>
    </row>
    <row r="1684" spans="2:3">
      <c r="B1684" s="18" t="s">
        <v>5</v>
      </c>
      <c r="C1684" s="19">
        <v>13.092000000000002</v>
      </c>
    </row>
    <row r="1685" spans="2:3">
      <c r="B1685" s="18" t="s">
        <v>5</v>
      </c>
      <c r="C1685" s="19">
        <v>33.930000000000007</v>
      </c>
    </row>
    <row r="1686" spans="2:3">
      <c r="B1686" s="18" t="s">
        <v>5</v>
      </c>
      <c r="C1686" s="19">
        <v>222.32000000000005</v>
      </c>
    </row>
    <row r="1687" spans="2:3">
      <c r="B1687" s="18" t="s">
        <v>5</v>
      </c>
      <c r="C1687" s="19">
        <v>347.58</v>
      </c>
    </row>
    <row r="1688" spans="2:3">
      <c r="B1688" s="18" t="s">
        <v>5</v>
      </c>
      <c r="C1688" s="19">
        <v>33.479999999999997</v>
      </c>
    </row>
    <row r="1689" spans="2:3">
      <c r="B1689" s="18" t="s">
        <v>5</v>
      </c>
      <c r="C1689" s="19">
        <v>137.62</v>
      </c>
    </row>
    <row r="1690" spans="2:3">
      <c r="B1690" s="18" t="s">
        <v>5</v>
      </c>
      <c r="C1690" s="19">
        <v>8.34</v>
      </c>
    </row>
    <row r="1691" spans="2:3">
      <c r="B1691" s="18" t="s">
        <v>5</v>
      </c>
      <c r="C1691" s="19">
        <v>8.57</v>
      </c>
    </row>
    <row r="1692" spans="2:3">
      <c r="B1692" s="18" t="s">
        <v>5</v>
      </c>
      <c r="C1692" s="19">
        <v>119.61600000000001</v>
      </c>
    </row>
    <row r="1693" spans="2:3">
      <c r="B1693" s="18" t="s">
        <v>5</v>
      </c>
      <c r="C1693" s="19">
        <v>195.64</v>
      </c>
    </row>
    <row r="1694" spans="2:3">
      <c r="B1694" s="18" t="s">
        <v>5</v>
      </c>
      <c r="C1694" s="19">
        <v>21.400000000000002</v>
      </c>
    </row>
    <row r="1695" spans="2:3">
      <c r="B1695" s="18" t="s">
        <v>5</v>
      </c>
      <c r="C1695" s="19">
        <v>13.904</v>
      </c>
    </row>
    <row r="1696" spans="2:3">
      <c r="B1696" s="18" t="s">
        <v>5</v>
      </c>
      <c r="C1696" s="19">
        <v>18.240000000000002</v>
      </c>
    </row>
    <row r="1697" spans="2:3">
      <c r="B1697" s="18" t="s">
        <v>5</v>
      </c>
      <c r="C1697" s="19">
        <v>10.48</v>
      </c>
    </row>
    <row r="1698" spans="2:3">
      <c r="B1698" s="18" t="s">
        <v>5</v>
      </c>
      <c r="C1698" s="19">
        <v>7.9680000000000009</v>
      </c>
    </row>
    <row r="1699" spans="2:3">
      <c r="B1699" s="18" t="s">
        <v>5</v>
      </c>
      <c r="C1699" s="19">
        <v>8.7840000000000007</v>
      </c>
    </row>
    <row r="1700" spans="2:3">
      <c r="B1700" s="18" t="s">
        <v>5</v>
      </c>
      <c r="C1700" s="19">
        <v>3.024</v>
      </c>
    </row>
    <row r="1701" spans="2:3">
      <c r="B1701" s="18" t="s">
        <v>5</v>
      </c>
      <c r="C1701" s="19">
        <v>42.047999999999995</v>
      </c>
    </row>
    <row r="1702" spans="2:3">
      <c r="B1702" s="18" t="s">
        <v>5</v>
      </c>
      <c r="C1702" s="19">
        <v>67.92</v>
      </c>
    </row>
    <row r="1703" spans="2:3">
      <c r="B1703" s="18" t="s">
        <v>5</v>
      </c>
      <c r="C1703" s="19">
        <v>3.3040000000000003</v>
      </c>
    </row>
    <row r="1704" spans="2:3">
      <c r="B1704" s="18" t="s">
        <v>5</v>
      </c>
      <c r="C1704" s="19">
        <v>35.479999999999997</v>
      </c>
    </row>
    <row r="1705" spans="2:3">
      <c r="B1705" s="18" t="s">
        <v>5</v>
      </c>
      <c r="C1705" s="19">
        <v>58.730000000000004</v>
      </c>
    </row>
    <row r="1706" spans="2:3">
      <c r="B1706" s="18" t="s">
        <v>5</v>
      </c>
      <c r="C1706" s="19">
        <v>93.344000000000008</v>
      </c>
    </row>
    <row r="1707" spans="2:3">
      <c r="B1707" s="18" t="s">
        <v>5</v>
      </c>
      <c r="C1707" s="19">
        <v>23.34</v>
      </c>
    </row>
    <row r="1708" spans="2:3">
      <c r="B1708" s="18" t="s">
        <v>5</v>
      </c>
      <c r="C1708" s="19">
        <v>51.550000000000004</v>
      </c>
    </row>
    <row r="1709" spans="2:3">
      <c r="B1709" s="18" t="s">
        <v>5</v>
      </c>
      <c r="C1709" s="19">
        <v>139.04</v>
      </c>
    </row>
    <row r="1710" spans="2:3">
      <c r="B1710" s="18" t="s">
        <v>5</v>
      </c>
      <c r="C1710" s="19">
        <v>46.8</v>
      </c>
    </row>
    <row r="1711" spans="2:3">
      <c r="B1711" s="18" t="s">
        <v>5</v>
      </c>
      <c r="C1711" s="19">
        <v>67.78</v>
      </c>
    </row>
    <row r="1712" spans="2:3">
      <c r="B1712" s="18" t="s">
        <v>5</v>
      </c>
      <c r="C1712" s="19">
        <v>39.900000000000006</v>
      </c>
    </row>
    <row r="1713" spans="2:3">
      <c r="B1713" s="18" t="s">
        <v>5</v>
      </c>
      <c r="C1713" s="19">
        <v>2.0719999999999996</v>
      </c>
    </row>
    <row r="1714" spans="2:3">
      <c r="B1714" s="18" t="s">
        <v>5</v>
      </c>
      <c r="C1714" s="19">
        <v>45.36</v>
      </c>
    </row>
    <row r="1715" spans="2:3">
      <c r="B1715" s="18" t="s">
        <v>5</v>
      </c>
      <c r="C1715" s="19">
        <v>45.78</v>
      </c>
    </row>
    <row r="1716" spans="2:3">
      <c r="B1716" s="18" t="s">
        <v>5</v>
      </c>
      <c r="C1716" s="19">
        <v>40.29</v>
      </c>
    </row>
    <row r="1717" spans="2:3">
      <c r="B1717" s="18" t="s">
        <v>5</v>
      </c>
      <c r="C1717" s="19">
        <v>38.71</v>
      </c>
    </row>
    <row r="1718" spans="2:3">
      <c r="B1718" s="18" t="s">
        <v>5</v>
      </c>
      <c r="C1718" s="19">
        <v>45.04</v>
      </c>
    </row>
    <row r="1719" spans="2:3">
      <c r="B1719" s="18" t="s">
        <v>5</v>
      </c>
      <c r="C1719" s="19">
        <v>23.16</v>
      </c>
    </row>
    <row r="1720" spans="2:3">
      <c r="B1720" s="18" t="s">
        <v>5</v>
      </c>
      <c r="C1720" s="19">
        <v>17.48</v>
      </c>
    </row>
    <row r="1721" spans="2:3">
      <c r="B1721" s="18" t="s">
        <v>5</v>
      </c>
      <c r="C1721" s="19">
        <v>79.14</v>
      </c>
    </row>
    <row r="1722" spans="2:3">
      <c r="B1722" s="18" t="s">
        <v>5</v>
      </c>
      <c r="C1722" s="19">
        <v>8.4</v>
      </c>
    </row>
    <row r="1723" spans="2:3">
      <c r="B1723" s="18" t="s">
        <v>5</v>
      </c>
      <c r="C1723" s="19">
        <v>706.86</v>
      </c>
    </row>
    <row r="1724" spans="2:3">
      <c r="B1724" s="18" t="s">
        <v>5</v>
      </c>
      <c r="C1724" s="19">
        <v>43.19</v>
      </c>
    </row>
    <row r="1725" spans="2:3">
      <c r="B1725" s="18" t="s">
        <v>5</v>
      </c>
      <c r="C1725" s="19">
        <v>166.44</v>
      </c>
    </row>
    <row r="1726" spans="2:3">
      <c r="B1726" s="18" t="s">
        <v>5</v>
      </c>
      <c r="C1726" s="19">
        <v>14.624000000000002</v>
      </c>
    </row>
    <row r="1727" spans="2:3">
      <c r="B1727" s="18" t="s">
        <v>5</v>
      </c>
      <c r="C1727" s="19">
        <v>27.496000000000002</v>
      </c>
    </row>
    <row r="1728" spans="2:3">
      <c r="B1728" s="18" t="s">
        <v>5</v>
      </c>
      <c r="C1728" s="19">
        <v>3.3179999999999996</v>
      </c>
    </row>
    <row r="1729" spans="2:3">
      <c r="B1729" s="18" t="s">
        <v>5</v>
      </c>
      <c r="C1729" s="19">
        <v>38.880000000000003</v>
      </c>
    </row>
    <row r="1730" spans="2:3">
      <c r="B1730" s="18" t="s">
        <v>5</v>
      </c>
      <c r="C1730" s="19">
        <v>35.200000000000003</v>
      </c>
    </row>
    <row r="1731" spans="2:3">
      <c r="B1731" s="18" t="s">
        <v>5</v>
      </c>
      <c r="C1731" s="19">
        <v>45.527999999999999</v>
      </c>
    </row>
    <row r="1732" spans="2:3">
      <c r="B1732" s="18" t="s">
        <v>5</v>
      </c>
      <c r="C1732" s="19">
        <v>11.76</v>
      </c>
    </row>
    <row r="1733" spans="2:3">
      <c r="B1733" s="18" t="s">
        <v>5</v>
      </c>
      <c r="C1733" s="19">
        <v>167.94</v>
      </c>
    </row>
    <row r="1734" spans="2:3">
      <c r="B1734" s="18" t="s">
        <v>5</v>
      </c>
      <c r="C1734" s="19">
        <v>3.89</v>
      </c>
    </row>
    <row r="1735" spans="2:3">
      <c r="B1735" s="18" t="s">
        <v>5</v>
      </c>
      <c r="C1735" s="19">
        <v>406.59999999999997</v>
      </c>
    </row>
    <row r="1736" spans="2:3">
      <c r="B1736" s="18" t="s">
        <v>5</v>
      </c>
      <c r="C1736" s="19">
        <v>85.52</v>
      </c>
    </row>
    <row r="1737" spans="2:3">
      <c r="B1737" s="18" t="s">
        <v>5</v>
      </c>
      <c r="C1737" s="19">
        <v>21.240000000000002</v>
      </c>
    </row>
    <row r="1738" spans="2:3">
      <c r="B1738" s="18" t="s">
        <v>5</v>
      </c>
      <c r="C1738" s="19">
        <v>9.5520000000000014</v>
      </c>
    </row>
    <row r="1739" spans="2:3">
      <c r="B1739" s="18" t="s">
        <v>5</v>
      </c>
      <c r="C1739" s="19">
        <v>163.96</v>
      </c>
    </row>
    <row r="1740" spans="2:3">
      <c r="B1740" s="18" t="s">
        <v>5</v>
      </c>
      <c r="C1740" s="19">
        <v>4.4640000000000004</v>
      </c>
    </row>
    <row r="1741" spans="2:3">
      <c r="B1741" s="18" t="s">
        <v>5</v>
      </c>
      <c r="C1741" s="19">
        <v>50.4</v>
      </c>
    </row>
    <row r="1742" spans="2:3">
      <c r="B1742" s="18" t="s">
        <v>5</v>
      </c>
      <c r="C1742" s="19">
        <v>89.567999999999998</v>
      </c>
    </row>
    <row r="1743" spans="2:3">
      <c r="B1743" s="18" t="s">
        <v>5</v>
      </c>
      <c r="C1743" s="19">
        <v>13.040000000000001</v>
      </c>
    </row>
    <row r="1744" spans="2:3">
      <c r="B1744" s="18" t="s">
        <v>5</v>
      </c>
      <c r="C1744" s="19">
        <v>1525.1879999999996</v>
      </c>
    </row>
    <row r="1745" spans="2:3">
      <c r="B1745" s="18" t="s">
        <v>5</v>
      </c>
      <c r="C1745" s="19">
        <v>30.56</v>
      </c>
    </row>
    <row r="1746" spans="2:3">
      <c r="B1746" s="18" t="s">
        <v>5</v>
      </c>
      <c r="C1746" s="19">
        <v>20.736000000000004</v>
      </c>
    </row>
    <row r="1747" spans="2:3">
      <c r="B1747" s="18" t="s">
        <v>5</v>
      </c>
      <c r="C1747" s="19">
        <v>27.360000000000003</v>
      </c>
    </row>
    <row r="1748" spans="2:3">
      <c r="B1748" s="18" t="s">
        <v>5</v>
      </c>
      <c r="C1748" s="19">
        <v>34.236000000000004</v>
      </c>
    </row>
    <row r="1749" spans="2:3">
      <c r="B1749" s="18" t="s">
        <v>5</v>
      </c>
      <c r="C1749" s="19">
        <v>15.96</v>
      </c>
    </row>
    <row r="1750" spans="2:3">
      <c r="B1750" s="18" t="s">
        <v>5</v>
      </c>
      <c r="C1750" s="19">
        <v>307.77600000000001</v>
      </c>
    </row>
    <row r="1751" spans="2:3">
      <c r="B1751" s="18" t="s">
        <v>5</v>
      </c>
      <c r="C1751" s="19">
        <v>725.84</v>
      </c>
    </row>
    <row r="1752" spans="2:3">
      <c r="B1752" s="18" t="s">
        <v>5</v>
      </c>
      <c r="C1752" s="19">
        <v>10.896000000000001</v>
      </c>
    </row>
    <row r="1753" spans="2:3">
      <c r="B1753" s="18" t="s">
        <v>5</v>
      </c>
      <c r="C1753" s="19">
        <v>8.5440000000000005</v>
      </c>
    </row>
    <row r="1754" spans="2:3">
      <c r="B1754" s="18" t="s">
        <v>5</v>
      </c>
      <c r="C1754" s="19">
        <v>143.85600000000002</v>
      </c>
    </row>
    <row r="1755" spans="2:3">
      <c r="B1755" s="18" t="s">
        <v>5</v>
      </c>
      <c r="C1755" s="19">
        <v>720.7600000000001</v>
      </c>
    </row>
    <row r="1756" spans="2:3">
      <c r="B1756" s="18" t="s">
        <v>5</v>
      </c>
      <c r="C1756" s="19">
        <v>11.56</v>
      </c>
    </row>
    <row r="1757" spans="2:3">
      <c r="B1757" s="18" t="s">
        <v>5</v>
      </c>
      <c r="C1757" s="19">
        <v>15.58</v>
      </c>
    </row>
    <row r="1758" spans="2:3">
      <c r="B1758" s="18" t="s">
        <v>5</v>
      </c>
      <c r="C1758" s="19">
        <v>85.055999999999997</v>
      </c>
    </row>
    <row r="1759" spans="2:3">
      <c r="B1759" s="18" t="s">
        <v>5</v>
      </c>
      <c r="C1759" s="19">
        <v>31.44</v>
      </c>
    </row>
    <row r="1760" spans="2:3">
      <c r="B1760" s="18" t="s">
        <v>5</v>
      </c>
      <c r="C1760" s="19">
        <v>40.410000000000004</v>
      </c>
    </row>
    <row r="1761" spans="2:3">
      <c r="B1761" s="18" t="s">
        <v>5</v>
      </c>
      <c r="C1761" s="19">
        <v>9.82</v>
      </c>
    </row>
    <row r="1762" spans="2:3">
      <c r="B1762" s="18" t="s">
        <v>5</v>
      </c>
      <c r="C1762" s="19">
        <v>26.352000000000004</v>
      </c>
    </row>
    <row r="1763" spans="2:3">
      <c r="B1763" s="18" t="s">
        <v>5</v>
      </c>
      <c r="C1763" s="19">
        <v>24.672000000000001</v>
      </c>
    </row>
    <row r="1764" spans="2:3">
      <c r="B1764" s="18" t="s">
        <v>5</v>
      </c>
      <c r="C1764" s="19">
        <v>3.7439999999999998</v>
      </c>
    </row>
    <row r="1765" spans="2:3">
      <c r="B1765" s="18" t="s">
        <v>5</v>
      </c>
      <c r="C1765" s="19">
        <v>87.92</v>
      </c>
    </row>
    <row r="1766" spans="2:3">
      <c r="B1766" s="18" t="s">
        <v>5</v>
      </c>
      <c r="C1766" s="19">
        <v>22.424000000000003</v>
      </c>
    </row>
    <row r="1767" spans="2:3">
      <c r="B1767" s="18" t="s">
        <v>5</v>
      </c>
      <c r="C1767" s="19">
        <v>90.480000000000018</v>
      </c>
    </row>
    <row r="1768" spans="2:3">
      <c r="B1768" s="18" t="s">
        <v>5</v>
      </c>
      <c r="C1768" s="19">
        <v>42.76</v>
      </c>
    </row>
    <row r="1769" spans="2:3">
      <c r="B1769" s="18" t="s">
        <v>5</v>
      </c>
      <c r="C1769" s="19">
        <v>10.080000000000002</v>
      </c>
    </row>
    <row r="1770" spans="2:3">
      <c r="B1770" s="18" t="s">
        <v>5</v>
      </c>
      <c r="C1770" s="19">
        <v>73.175999999999974</v>
      </c>
    </row>
    <row r="1771" spans="2:3">
      <c r="B1771" s="18" t="s">
        <v>5</v>
      </c>
      <c r="C1771" s="19">
        <v>20.736000000000004</v>
      </c>
    </row>
    <row r="1772" spans="2:3">
      <c r="B1772" s="18" t="s">
        <v>5</v>
      </c>
      <c r="C1772" s="19">
        <v>26.400000000000002</v>
      </c>
    </row>
    <row r="1773" spans="2:3">
      <c r="B1773" s="18" t="s">
        <v>5</v>
      </c>
      <c r="C1773" s="19">
        <v>3.52</v>
      </c>
    </row>
    <row r="1774" spans="2:3">
      <c r="B1774" s="18" t="s">
        <v>5</v>
      </c>
      <c r="C1774" s="19">
        <v>161.56800000000001</v>
      </c>
    </row>
    <row r="1775" spans="2:3">
      <c r="B1775" s="18" t="s">
        <v>5</v>
      </c>
      <c r="C1775" s="19">
        <v>4.0640000000000001</v>
      </c>
    </row>
    <row r="1776" spans="2:3">
      <c r="B1776" s="18" t="s">
        <v>5</v>
      </c>
      <c r="C1776" s="19">
        <v>6.2160000000000002</v>
      </c>
    </row>
    <row r="1777" spans="2:3">
      <c r="B1777" s="18" t="s">
        <v>5</v>
      </c>
      <c r="C1777" s="19">
        <v>8.895999999999999</v>
      </c>
    </row>
    <row r="1778" spans="2:3">
      <c r="B1778" s="18" t="s">
        <v>5</v>
      </c>
      <c r="C1778" s="19">
        <v>2.0640000000000001</v>
      </c>
    </row>
    <row r="1779" spans="2:3">
      <c r="B1779" s="18" t="s">
        <v>5</v>
      </c>
      <c r="C1779" s="19">
        <v>6.3680000000000003</v>
      </c>
    </row>
    <row r="1780" spans="2:3">
      <c r="B1780" s="18" t="s">
        <v>5</v>
      </c>
      <c r="C1780" s="19">
        <v>38.016000000000005</v>
      </c>
    </row>
    <row r="1781" spans="2:3">
      <c r="B1781" s="18" t="s">
        <v>5</v>
      </c>
      <c r="C1781" s="19">
        <v>8.3840000000000003</v>
      </c>
    </row>
    <row r="1782" spans="2:3">
      <c r="B1782" s="18" t="s">
        <v>5</v>
      </c>
      <c r="C1782" s="19">
        <v>6.8480000000000008</v>
      </c>
    </row>
    <row r="1783" spans="2:3">
      <c r="B1783" s="18" t="s">
        <v>5</v>
      </c>
      <c r="C1783" s="19">
        <v>19.600000000000001</v>
      </c>
    </row>
    <row r="1784" spans="2:3">
      <c r="B1784" s="18" t="s">
        <v>5</v>
      </c>
      <c r="C1784" s="19">
        <v>13.343999999999998</v>
      </c>
    </row>
    <row r="1785" spans="2:3">
      <c r="B1785" s="18" t="s">
        <v>5</v>
      </c>
      <c r="C1785" s="19">
        <v>78.256</v>
      </c>
    </row>
    <row r="1786" spans="2:3">
      <c r="B1786" s="18" t="s">
        <v>5</v>
      </c>
      <c r="C1786" s="19">
        <v>750.68</v>
      </c>
    </row>
    <row r="1787" spans="2:3">
      <c r="B1787" s="18" t="s">
        <v>5</v>
      </c>
      <c r="C1787" s="19">
        <v>44.400000000000006</v>
      </c>
    </row>
    <row r="1788" spans="2:3">
      <c r="B1788" s="18" t="s">
        <v>5</v>
      </c>
      <c r="C1788" s="19">
        <v>84.55</v>
      </c>
    </row>
    <row r="1789" spans="2:3">
      <c r="B1789" s="18" t="s">
        <v>5</v>
      </c>
      <c r="C1789" s="19">
        <v>17.940000000000001</v>
      </c>
    </row>
    <row r="1790" spans="2:3">
      <c r="B1790" s="18" t="s">
        <v>5</v>
      </c>
      <c r="C1790" s="19">
        <v>40.68</v>
      </c>
    </row>
    <row r="1791" spans="2:3">
      <c r="B1791" s="18" t="s">
        <v>5</v>
      </c>
      <c r="C1791" s="19">
        <v>6.2640000000000002</v>
      </c>
    </row>
    <row r="1792" spans="2:3">
      <c r="B1792" s="18" t="s">
        <v>5</v>
      </c>
      <c r="C1792" s="19">
        <v>20.808</v>
      </c>
    </row>
    <row r="1793" spans="2:3">
      <c r="B1793" s="18" t="s">
        <v>5</v>
      </c>
      <c r="C1793" s="19">
        <v>18.16</v>
      </c>
    </row>
    <row r="1794" spans="2:3">
      <c r="B1794" s="18" t="s">
        <v>5</v>
      </c>
      <c r="C1794" s="19">
        <v>6.56</v>
      </c>
    </row>
    <row r="1795" spans="2:3">
      <c r="B1795" s="18" t="s">
        <v>5</v>
      </c>
      <c r="C1795" s="19">
        <v>7.83</v>
      </c>
    </row>
    <row r="1796" spans="2:3">
      <c r="B1796" s="18" t="s">
        <v>5</v>
      </c>
      <c r="C1796" s="19">
        <v>8.9600000000000009</v>
      </c>
    </row>
    <row r="1797" spans="2:3">
      <c r="B1797" s="18" t="s">
        <v>5</v>
      </c>
      <c r="C1797" s="19">
        <v>20.136000000000003</v>
      </c>
    </row>
    <row r="1798" spans="2:3">
      <c r="B1798" s="18" t="s">
        <v>5</v>
      </c>
      <c r="C1798" s="19">
        <v>8.8559999999999999</v>
      </c>
    </row>
    <row r="1799" spans="2:3">
      <c r="B1799" s="18" t="s">
        <v>5</v>
      </c>
      <c r="C1799" s="19">
        <v>56.704000000000001</v>
      </c>
    </row>
    <row r="1800" spans="2:3">
      <c r="B1800" s="18" t="s">
        <v>5</v>
      </c>
      <c r="C1800" s="19">
        <v>13.392000000000001</v>
      </c>
    </row>
    <row r="1801" spans="2:3">
      <c r="B1801" s="18" t="s">
        <v>5</v>
      </c>
      <c r="C1801" s="19">
        <v>23.92</v>
      </c>
    </row>
    <row r="1802" spans="2:3">
      <c r="B1802" s="18" t="s">
        <v>5</v>
      </c>
      <c r="C1802" s="19">
        <v>9.7799999999999994</v>
      </c>
    </row>
    <row r="1803" spans="2:3">
      <c r="B1803" s="18" t="s">
        <v>5</v>
      </c>
      <c r="C1803" s="19">
        <v>1.81</v>
      </c>
    </row>
    <row r="1804" spans="2:3">
      <c r="B1804" s="18" t="s">
        <v>5</v>
      </c>
      <c r="C1804" s="19">
        <v>115.29600000000001</v>
      </c>
    </row>
    <row r="1805" spans="2:3">
      <c r="B1805" s="18" t="s">
        <v>5</v>
      </c>
      <c r="C1805" s="19">
        <v>1.5919999999999996</v>
      </c>
    </row>
    <row r="1806" spans="2:3">
      <c r="B1806" s="18" t="s">
        <v>5</v>
      </c>
      <c r="C1806" s="19">
        <v>22.344000000000001</v>
      </c>
    </row>
    <row r="1807" spans="2:3">
      <c r="B1807" s="18" t="s">
        <v>5</v>
      </c>
      <c r="C1807" s="19">
        <v>67.400000000000006</v>
      </c>
    </row>
    <row r="1808" spans="2:3">
      <c r="B1808" s="18" t="s">
        <v>5</v>
      </c>
      <c r="C1808" s="19">
        <v>34.54</v>
      </c>
    </row>
    <row r="1809" spans="2:3">
      <c r="B1809" s="18" t="s">
        <v>5</v>
      </c>
      <c r="C1809" s="19">
        <v>64.12</v>
      </c>
    </row>
    <row r="1810" spans="2:3">
      <c r="B1810" s="18" t="s">
        <v>5</v>
      </c>
      <c r="C1810" s="19">
        <v>19.456000000000003</v>
      </c>
    </row>
    <row r="1811" spans="2:3">
      <c r="B1811" s="18" t="s">
        <v>5</v>
      </c>
      <c r="C1811" s="19">
        <v>29.760000000000005</v>
      </c>
    </row>
    <row r="1812" spans="2:3">
      <c r="B1812" s="18" t="s">
        <v>5</v>
      </c>
      <c r="C1812" s="19">
        <v>15.552000000000003</v>
      </c>
    </row>
    <row r="1813" spans="2:3">
      <c r="B1813" s="18" t="s">
        <v>5</v>
      </c>
      <c r="C1813" s="19">
        <v>6.56</v>
      </c>
    </row>
    <row r="1814" spans="2:3">
      <c r="B1814" s="18" t="s">
        <v>5</v>
      </c>
      <c r="C1814" s="19">
        <v>47.52</v>
      </c>
    </row>
    <row r="1815" spans="2:3">
      <c r="B1815" s="18" t="s">
        <v>5</v>
      </c>
      <c r="C1815" s="19">
        <v>83.56</v>
      </c>
    </row>
    <row r="1816" spans="2:3">
      <c r="B1816" s="18" t="s">
        <v>5</v>
      </c>
      <c r="C1816" s="19">
        <v>269.49</v>
      </c>
    </row>
    <row r="1817" spans="2:3">
      <c r="B1817" s="18" t="s">
        <v>5</v>
      </c>
      <c r="C1817" s="19">
        <v>59.913000000000011</v>
      </c>
    </row>
    <row r="1818" spans="2:3">
      <c r="B1818" s="18" t="s">
        <v>5</v>
      </c>
      <c r="C1818" s="19">
        <v>25.02</v>
      </c>
    </row>
    <row r="1819" spans="2:3">
      <c r="B1819" s="18" t="s">
        <v>5</v>
      </c>
      <c r="C1819" s="19">
        <v>10.709999999999999</v>
      </c>
    </row>
    <row r="1820" spans="2:3">
      <c r="B1820" s="18" t="s">
        <v>5</v>
      </c>
      <c r="C1820" s="19">
        <v>11.05</v>
      </c>
    </row>
    <row r="1821" spans="2:3">
      <c r="B1821" s="18" t="s">
        <v>5</v>
      </c>
      <c r="C1821" s="19">
        <v>13.872000000000002</v>
      </c>
    </row>
    <row r="1822" spans="2:3">
      <c r="B1822" s="18" t="s">
        <v>5</v>
      </c>
      <c r="C1822" s="19">
        <v>82.56</v>
      </c>
    </row>
    <row r="1823" spans="2:3">
      <c r="B1823" s="18" t="s">
        <v>5</v>
      </c>
      <c r="C1823" s="19">
        <v>11.12</v>
      </c>
    </row>
    <row r="1824" spans="2:3">
      <c r="B1824" s="18" t="s">
        <v>5</v>
      </c>
      <c r="C1824" s="19">
        <v>34.76</v>
      </c>
    </row>
    <row r="1825" spans="2:3">
      <c r="B1825" s="18" t="s">
        <v>5</v>
      </c>
      <c r="C1825" s="19">
        <v>19.440000000000001</v>
      </c>
    </row>
    <row r="1826" spans="2:3">
      <c r="B1826" s="18" t="s">
        <v>5</v>
      </c>
      <c r="C1826" s="19">
        <v>32.400000000000006</v>
      </c>
    </row>
    <row r="1827" spans="2:3">
      <c r="B1827" s="18" t="s">
        <v>5</v>
      </c>
      <c r="C1827" s="19">
        <v>57.9</v>
      </c>
    </row>
    <row r="1828" spans="2:3">
      <c r="B1828" s="18" t="s">
        <v>5</v>
      </c>
      <c r="C1828" s="19">
        <v>10.56</v>
      </c>
    </row>
    <row r="1829" spans="2:3">
      <c r="B1829" s="18" t="s">
        <v>5</v>
      </c>
      <c r="C1829" s="19">
        <v>40.99</v>
      </c>
    </row>
    <row r="1830" spans="2:3">
      <c r="B1830" s="18" t="s">
        <v>5</v>
      </c>
      <c r="C1830" s="19">
        <v>15.840000000000002</v>
      </c>
    </row>
    <row r="1831" spans="2:3">
      <c r="B1831" s="18" t="s">
        <v>5</v>
      </c>
      <c r="C1831" s="19">
        <v>8.4480000000000004</v>
      </c>
    </row>
    <row r="1832" spans="2:3">
      <c r="B1832" s="18" t="s">
        <v>5</v>
      </c>
      <c r="C1832" s="19">
        <v>27.395999999999997</v>
      </c>
    </row>
    <row r="1833" spans="2:3">
      <c r="B1833" s="18" t="s">
        <v>5</v>
      </c>
      <c r="C1833" s="19">
        <v>13.455999999999998</v>
      </c>
    </row>
    <row r="1834" spans="2:3">
      <c r="B1834" s="18" t="s">
        <v>5</v>
      </c>
      <c r="C1834" s="19">
        <v>35.880000000000003</v>
      </c>
    </row>
    <row r="1835" spans="2:3">
      <c r="B1835" s="18" t="s">
        <v>5</v>
      </c>
      <c r="C1835" s="19">
        <v>40.176000000000002</v>
      </c>
    </row>
    <row r="1836" spans="2:3">
      <c r="B1836" s="18" t="s">
        <v>5</v>
      </c>
      <c r="C1836" s="19">
        <v>177.54999999999998</v>
      </c>
    </row>
    <row r="1837" spans="2:3">
      <c r="B1837" s="18" t="s">
        <v>5</v>
      </c>
      <c r="C1837" s="19">
        <v>81.400000000000006</v>
      </c>
    </row>
    <row r="1838" spans="2:3">
      <c r="B1838" s="18" t="s">
        <v>5</v>
      </c>
      <c r="C1838" s="19">
        <v>1089.75</v>
      </c>
    </row>
    <row r="1839" spans="2:3">
      <c r="B1839" s="18" t="s">
        <v>5</v>
      </c>
      <c r="C1839" s="19">
        <v>61.06</v>
      </c>
    </row>
    <row r="1840" spans="2:3">
      <c r="B1840" s="18" t="s">
        <v>5</v>
      </c>
      <c r="C1840" s="19">
        <v>27.52</v>
      </c>
    </row>
    <row r="1841" spans="2:3">
      <c r="B1841" s="18" t="s">
        <v>5</v>
      </c>
      <c r="C1841" s="19">
        <v>30.69</v>
      </c>
    </row>
    <row r="1842" spans="2:3">
      <c r="B1842" s="18" t="s">
        <v>5</v>
      </c>
      <c r="C1842" s="19">
        <v>12.96</v>
      </c>
    </row>
    <row r="1843" spans="2:3">
      <c r="B1843" s="18" t="s">
        <v>5</v>
      </c>
      <c r="C1843" s="19">
        <v>26.72</v>
      </c>
    </row>
    <row r="1844" spans="2:3">
      <c r="B1844" s="18" t="s">
        <v>5</v>
      </c>
      <c r="C1844" s="19">
        <v>20.04</v>
      </c>
    </row>
    <row r="1845" spans="2:3">
      <c r="B1845" s="18" t="s">
        <v>5</v>
      </c>
      <c r="C1845" s="19">
        <v>795.48</v>
      </c>
    </row>
    <row r="1846" spans="2:3">
      <c r="B1846" s="18" t="s">
        <v>5</v>
      </c>
      <c r="C1846" s="19">
        <v>542.93999999999994</v>
      </c>
    </row>
    <row r="1847" spans="2:3">
      <c r="B1847" s="18" t="s">
        <v>5</v>
      </c>
      <c r="C1847" s="19">
        <v>39.072000000000003</v>
      </c>
    </row>
    <row r="1848" spans="2:3">
      <c r="B1848" s="18" t="s">
        <v>5</v>
      </c>
      <c r="C1848" s="19">
        <v>22.638000000000002</v>
      </c>
    </row>
    <row r="1849" spans="2:3">
      <c r="B1849" s="18" t="s">
        <v>5</v>
      </c>
      <c r="C1849" s="19">
        <v>95.143999999999991</v>
      </c>
    </row>
    <row r="1850" spans="2:3">
      <c r="B1850" s="18" t="s">
        <v>5</v>
      </c>
      <c r="C1850" s="19">
        <v>4.4190000000000005</v>
      </c>
    </row>
    <row r="1851" spans="2:3">
      <c r="B1851" s="18" t="s">
        <v>5</v>
      </c>
      <c r="C1851" s="19">
        <v>35</v>
      </c>
    </row>
    <row r="1852" spans="2:3">
      <c r="B1852" s="18" t="s">
        <v>5</v>
      </c>
      <c r="C1852" s="19">
        <v>97.84</v>
      </c>
    </row>
    <row r="1853" spans="2:3">
      <c r="B1853" s="18" t="s">
        <v>5</v>
      </c>
      <c r="C1853" s="19">
        <v>46.672000000000004</v>
      </c>
    </row>
    <row r="1854" spans="2:3">
      <c r="B1854" s="18" t="s">
        <v>5</v>
      </c>
      <c r="C1854" s="19">
        <v>10.272000000000002</v>
      </c>
    </row>
    <row r="1855" spans="2:3">
      <c r="B1855" s="18" t="s">
        <v>5</v>
      </c>
      <c r="C1855" s="19">
        <v>61.792000000000002</v>
      </c>
    </row>
    <row r="1856" spans="2:3">
      <c r="B1856" s="18" t="s">
        <v>5</v>
      </c>
      <c r="C1856" s="19">
        <v>238.62</v>
      </c>
    </row>
    <row r="1857" spans="2:3">
      <c r="B1857" s="18" t="s">
        <v>5</v>
      </c>
      <c r="C1857" s="19">
        <v>7.77</v>
      </c>
    </row>
    <row r="1858" spans="2:3">
      <c r="B1858" s="18" t="s">
        <v>5</v>
      </c>
      <c r="C1858" s="19">
        <v>19.168000000000003</v>
      </c>
    </row>
    <row r="1859" spans="2:3">
      <c r="B1859" s="18" t="s">
        <v>5</v>
      </c>
      <c r="C1859" s="19">
        <v>419.4</v>
      </c>
    </row>
    <row r="1860" spans="2:3">
      <c r="B1860" s="18" t="s">
        <v>5</v>
      </c>
      <c r="C1860" s="19">
        <v>5.56</v>
      </c>
    </row>
    <row r="1861" spans="2:3">
      <c r="B1861" s="18" t="s">
        <v>5</v>
      </c>
      <c r="C1861" s="19">
        <v>59.76</v>
      </c>
    </row>
    <row r="1862" spans="2:3">
      <c r="B1862" s="18" t="s">
        <v>5</v>
      </c>
      <c r="C1862" s="19">
        <v>108.08</v>
      </c>
    </row>
    <row r="1863" spans="2:3">
      <c r="B1863" s="18" t="s">
        <v>5</v>
      </c>
      <c r="C1863" s="19">
        <v>9.5400000000000009</v>
      </c>
    </row>
    <row r="1864" spans="2:3">
      <c r="B1864" s="18" t="s">
        <v>5</v>
      </c>
      <c r="C1864" s="19">
        <v>42.76</v>
      </c>
    </row>
    <row r="1865" spans="2:3">
      <c r="B1865" s="18" t="s">
        <v>5</v>
      </c>
      <c r="C1865" s="19">
        <v>2.78</v>
      </c>
    </row>
    <row r="1866" spans="2:3">
      <c r="B1866" s="18" t="s">
        <v>5</v>
      </c>
      <c r="C1866" s="19">
        <v>99.87</v>
      </c>
    </row>
    <row r="1867" spans="2:3">
      <c r="B1867" s="18" t="s">
        <v>5</v>
      </c>
      <c r="C1867" s="19">
        <v>9.7799999999999994</v>
      </c>
    </row>
    <row r="1868" spans="2:3">
      <c r="B1868" s="18" t="s">
        <v>5</v>
      </c>
      <c r="C1868" s="19">
        <v>59.94</v>
      </c>
    </row>
    <row r="1869" spans="2:3">
      <c r="B1869" s="18" t="s">
        <v>5</v>
      </c>
      <c r="C1869" s="19">
        <v>45.36</v>
      </c>
    </row>
    <row r="1870" spans="2:3">
      <c r="B1870" s="18" t="s">
        <v>5</v>
      </c>
      <c r="C1870" s="19">
        <v>26.400000000000002</v>
      </c>
    </row>
    <row r="1871" spans="2:3">
      <c r="B1871" s="18" t="s">
        <v>5</v>
      </c>
      <c r="C1871" s="19">
        <v>41.4</v>
      </c>
    </row>
    <row r="1872" spans="2:3">
      <c r="B1872" s="18" t="s">
        <v>5</v>
      </c>
      <c r="C1872" s="19">
        <v>22.959999999999997</v>
      </c>
    </row>
    <row r="1873" spans="2:3">
      <c r="B1873" s="18" t="s">
        <v>5</v>
      </c>
      <c r="C1873" s="19">
        <v>15.552000000000003</v>
      </c>
    </row>
    <row r="1874" spans="2:3">
      <c r="B1874" s="18" t="s">
        <v>5</v>
      </c>
      <c r="C1874" s="19">
        <v>13.392000000000001</v>
      </c>
    </row>
    <row r="1875" spans="2:3">
      <c r="B1875" s="18" t="s">
        <v>5</v>
      </c>
      <c r="C1875" s="19">
        <v>13.216000000000001</v>
      </c>
    </row>
    <row r="1876" spans="2:3">
      <c r="B1876" s="18" t="s">
        <v>5</v>
      </c>
      <c r="C1876" s="19">
        <v>5.88</v>
      </c>
    </row>
    <row r="1877" spans="2:3">
      <c r="B1877" s="18" t="s">
        <v>5</v>
      </c>
      <c r="C1877" s="19">
        <v>42.68</v>
      </c>
    </row>
    <row r="1878" spans="2:3">
      <c r="B1878" s="18" t="s">
        <v>5</v>
      </c>
      <c r="C1878" s="19">
        <v>262.24</v>
      </c>
    </row>
    <row r="1879" spans="2:3">
      <c r="B1879" s="18" t="s">
        <v>5</v>
      </c>
      <c r="C1879" s="19">
        <v>234.36</v>
      </c>
    </row>
    <row r="1880" spans="2:3">
      <c r="B1880" s="18" t="s">
        <v>5</v>
      </c>
      <c r="C1880" s="19">
        <v>20.736000000000004</v>
      </c>
    </row>
    <row r="1881" spans="2:3">
      <c r="B1881" s="18" t="s">
        <v>5</v>
      </c>
      <c r="C1881" s="19">
        <v>17.22</v>
      </c>
    </row>
    <row r="1882" spans="2:3">
      <c r="B1882" s="18" t="s">
        <v>5</v>
      </c>
      <c r="C1882" s="19">
        <v>226.56</v>
      </c>
    </row>
    <row r="1883" spans="2:3">
      <c r="B1883" s="18" t="s">
        <v>5</v>
      </c>
      <c r="C1883" s="19">
        <v>360.38</v>
      </c>
    </row>
    <row r="1884" spans="2:3">
      <c r="B1884" s="18" t="s">
        <v>5</v>
      </c>
      <c r="C1884" s="19">
        <v>13.56</v>
      </c>
    </row>
    <row r="1885" spans="2:3">
      <c r="B1885" s="18" t="s">
        <v>5</v>
      </c>
      <c r="C1885" s="19">
        <v>20.544000000000004</v>
      </c>
    </row>
    <row r="1886" spans="2:3">
      <c r="B1886" s="18" t="s">
        <v>5</v>
      </c>
      <c r="C1886" s="19">
        <v>2357.4880000000003</v>
      </c>
    </row>
    <row r="1887" spans="2:3">
      <c r="B1887" s="18" t="s">
        <v>5</v>
      </c>
      <c r="C1887" s="19">
        <v>12.294</v>
      </c>
    </row>
    <row r="1888" spans="2:3">
      <c r="B1888" s="18" t="s">
        <v>5</v>
      </c>
      <c r="C1888" s="19">
        <v>646.27200000000005</v>
      </c>
    </row>
    <row r="1889" spans="2:3">
      <c r="B1889" s="18" t="s">
        <v>5</v>
      </c>
      <c r="C1889" s="19">
        <v>10.368000000000002</v>
      </c>
    </row>
    <row r="1890" spans="2:3">
      <c r="B1890" s="18" t="s">
        <v>5</v>
      </c>
      <c r="C1890" s="19">
        <v>8.4</v>
      </c>
    </row>
    <row r="1891" spans="2:3">
      <c r="B1891" s="18" t="s">
        <v>5</v>
      </c>
      <c r="C1891" s="19">
        <v>54.900000000000006</v>
      </c>
    </row>
    <row r="1892" spans="2:3">
      <c r="B1892" s="18" t="s">
        <v>5</v>
      </c>
      <c r="C1892" s="19">
        <v>27.888000000000002</v>
      </c>
    </row>
    <row r="1893" spans="2:3">
      <c r="B1893" s="18" t="s">
        <v>5</v>
      </c>
      <c r="C1893" s="19">
        <v>17.544</v>
      </c>
    </row>
    <row r="1894" spans="2:3">
      <c r="B1894" s="18" t="s">
        <v>5</v>
      </c>
      <c r="C1894" s="19">
        <v>153.55199999999999</v>
      </c>
    </row>
    <row r="1895" spans="2:3">
      <c r="B1895" s="18" t="s">
        <v>5</v>
      </c>
      <c r="C1895" s="19">
        <v>270.62</v>
      </c>
    </row>
    <row r="1896" spans="2:3">
      <c r="B1896" s="18" t="s">
        <v>5</v>
      </c>
      <c r="C1896" s="19">
        <v>151.05600000000001</v>
      </c>
    </row>
    <row r="1897" spans="2:3">
      <c r="B1897" s="18" t="s">
        <v>5</v>
      </c>
      <c r="C1897" s="19">
        <v>1.1880000000000002</v>
      </c>
    </row>
    <row r="1898" spans="2:3">
      <c r="B1898" s="18" t="s">
        <v>5</v>
      </c>
      <c r="C1898" s="19">
        <v>38.520000000000003</v>
      </c>
    </row>
    <row r="1899" spans="2:3">
      <c r="B1899" s="18" t="s">
        <v>5</v>
      </c>
      <c r="C1899" s="19">
        <v>45.4</v>
      </c>
    </row>
    <row r="1900" spans="2:3">
      <c r="B1900" s="18" t="s">
        <v>5</v>
      </c>
      <c r="C1900" s="19">
        <v>13.76</v>
      </c>
    </row>
    <row r="1901" spans="2:3">
      <c r="B1901" s="18" t="s">
        <v>5</v>
      </c>
      <c r="C1901" s="19">
        <v>11.784000000000001</v>
      </c>
    </row>
    <row r="1902" spans="2:3">
      <c r="B1902" s="18" t="s">
        <v>5</v>
      </c>
      <c r="C1902" s="19">
        <v>4.3600000000000003</v>
      </c>
    </row>
    <row r="1903" spans="2:3">
      <c r="B1903" s="18" t="s">
        <v>5</v>
      </c>
      <c r="C1903" s="19">
        <v>23.832000000000001</v>
      </c>
    </row>
    <row r="1904" spans="2:3">
      <c r="B1904" s="18" t="s">
        <v>5</v>
      </c>
      <c r="C1904" s="19">
        <v>61.567999999999998</v>
      </c>
    </row>
    <row r="1905" spans="2:3">
      <c r="B1905" s="18" t="s">
        <v>5</v>
      </c>
      <c r="C1905" s="19">
        <v>11.96</v>
      </c>
    </row>
    <row r="1906" spans="2:3">
      <c r="B1906" s="18" t="s">
        <v>5</v>
      </c>
      <c r="C1906" s="19">
        <v>3.9119999999999999</v>
      </c>
    </row>
    <row r="1907" spans="2:3">
      <c r="B1907" s="18" t="s">
        <v>5</v>
      </c>
      <c r="C1907" s="19">
        <v>3.76</v>
      </c>
    </row>
    <row r="1908" spans="2:3">
      <c r="B1908" s="18" t="s">
        <v>5</v>
      </c>
      <c r="C1908" s="19">
        <v>163.96</v>
      </c>
    </row>
    <row r="1909" spans="2:3">
      <c r="B1909" s="18" t="s">
        <v>5</v>
      </c>
      <c r="C1909" s="19">
        <v>274.8</v>
      </c>
    </row>
    <row r="1910" spans="2:3">
      <c r="B1910" s="18" t="s">
        <v>5</v>
      </c>
      <c r="C1910" s="19">
        <v>195.64</v>
      </c>
    </row>
    <row r="1911" spans="2:3">
      <c r="B1911" s="18" t="s">
        <v>5</v>
      </c>
      <c r="C1911" s="19">
        <v>119.03999999999999</v>
      </c>
    </row>
    <row r="1912" spans="2:3">
      <c r="B1912" s="18" t="s">
        <v>5</v>
      </c>
      <c r="C1912" s="19">
        <v>20.07</v>
      </c>
    </row>
    <row r="1913" spans="2:3">
      <c r="B1913" s="18" t="s">
        <v>5</v>
      </c>
      <c r="C1913" s="19">
        <v>11.76</v>
      </c>
    </row>
    <row r="1914" spans="2:3">
      <c r="B1914" s="18" t="s">
        <v>5</v>
      </c>
      <c r="C1914" s="19">
        <v>40.736000000000004</v>
      </c>
    </row>
    <row r="1915" spans="2:3">
      <c r="B1915" s="18" t="s">
        <v>5</v>
      </c>
      <c r="C1915" s="19">
        <v>87.92</v>
      </c>
    </row>
    <row r="1916" spans="2:3">
      <c r="B1916" s="18" t="s">
        <v>5</v>
      </c>
      <c r="C1916" s="19">
        <v>51.336000000000006</v>
      </c>
    </row>
    <row r="1917" spans="2:3">
      <c r="B1917" s="18" t="s">
        <v>5</v>
      </c>
      <c r="C1917" s="19">
        <v>332.70400000000001</v>
      </c>
    </row>
    <row r="1918" spans="2:3">
      <c r="B1918" s="18" t="s">
        <v>5</v>
      </c>
      <c r="C1918" s="19">
        <v>31.44</v>
      </c>
    </row>
    <row r="1919" spans="2:3">
      <c r="B1919" s="18" t="s">
        <v>5</v>
      </c>
      <c r="C1919" s="19">
        <v>25.920000000000005</v>
      </c>
    </row>
    <row r="1920" spans="2:3">
      <c r="B1920" s="18" t="s">
        <v>5</v>
      </c>
      <c r="C1920" s="19">
        <v>6.3299999999999992</v>
      </c>
    </row>
    <row r="1921" spans="2:3">
      <c r="B1921" s="18" t="s">
        <v>5</v>
      </c>
      <c r="C1921" s="19">
        <v>75.88</v>
      </c>
    </row>
    <row r="1922" spans="2:3">
      <c r="B1922" s="18" t="s">
        <v>5</v>
      </c>
      <c r="C1922" s="19">
        <v>71.376000000000005</v>
      </c>
    </row>
    <row r="1923" spans="2:3">
      <c r="B1923" s="18" t="s">
        <v>5</v>
      </c>
      <c r="C1923" s="19">
        <v>51.168000000000006</v>
      </c>
    </row>
    <row r="1924" spans="2:3">
      <c r="B1924" s="18" t="s">
        <v>5</v>
      </c>
      <c r="C1924" s="19">
        <v>2793.5280000000002</v>
      </c>
    </row>
    <row r="1925" spans="2:3">
      <c r="B1925" s="18" t="s">
        <v>5</v>
      </c>
      <c r="C1925" s="19">
        <v>1000.0200000000001</v>
      </c>
    </row>
    <row r="1926" spans="2:3">
      <c r="B1926" s="18" t="s">
        <v>5</v>
      </c>
      <c r="C1926" s="19">
        <v>18.240000000000002</v>
      </c>
    </row>
    <row r="1927" spans="2:3">
      <c r="B1927" s="18" t="s">
        <v>5</v>
      </c>
      <c r="C1927" s="19">
        <v>76.12</v>
      </c>
    </row>
    <row r="1928" spans="2:3">
      <c r="B1928" s="18" t="s">
        <v>5</v>
      </c>
      <c r="C1928" s="19">
        <v>56.699999999999996</v>
      </c>
    </row>
    <row r="1929" spans="2:3">
      <c r="B1929" s="18" t="s">
        <v>5</v>
      </c>
      <c r="C1929" s="19">
        <v>12.263999999999999</v>
      </c>
    </row>
    <row r="1930" spans="2:3">
      <c r="B1930" s="18" t="s">
        <v>5</v>
      </c>
      <c r="C1930" s="19">
        <v>218.35200000000003</v>
      </c>
    </row>
    <row r="1931" spans="2:3">
      <c r="B1931" s="18" t="s">
        <v>5</v>
      </c>
      <c r="C1931" s="19">
        <v>30.32</v>
      </c>
    </row>
    <row r="1932" spans="2:3">
      <c r="B1932" s="18" t="s">
        <v>5</v>
      </c>
      <c r="C1932" s="19">
        <v>19.440000000000001</v>
      </c>
    </row>
    <row r="1933" spans="2:3">
      <c r="B1933" s="18" t="s">
        <v>5</v>
      </c>
      <c r="C1933" s="19">
        <v>71.28</v>
      </c>
    </row>
    <row r="1934" spans="2:3">
      <c r="B1934" s="18" t="s">
        <v>5</v>
      </c>
      <c r="C1934" s="19">
        <v>1471.96</v>
      </c>
    </row>
    <row r="1935" spans="2:3">
      <c r="B1935" s="18" t="s">
        <v>5</v>
      </c>
      <c r="C1935" s="19">
        <v>43.41</v>
      </c>
    </row>
    <row r="1936" spans="2:3">
      <c r="B1936" s="18" t="s">
        <v>5</v>
      </c>
      <c r="C1936" s="19">
        <v>465.16</v>
      </c>
    </row>
    <row r="1937" spans="2:3">
      <c r="B1937" s="18" t="s">
        <v>5</v>
      </c>
      <c r="C1937" s="19">
        <v>7.98</v>
      </c>
    </row>
    <row r="1938" spans="2:3">
      <c r="B1938" s="18" t="s">
        <v>5</v>
      </c>
      <c r="C1938" s="19">
        <v>9.8560000000000016</v>
      </c>
    </row>
    <row r="1939" spans="2:3">
      <c r="B1939" s="18" t="s">
        <v>5</v>
      </c>
      <c r="C1939" s="19">
        <v>384.59200000000004</v>
      </c>
    </row>
    <row r="1940" spans="2:3">
      <c r="B1940" s="18" t="s">
        <v>5</v>
      </c>
      <c r="C1940" s="19">
        <v>41.4</v>
      </c>
    </row>
    <row r="1941" spans="2:3">
      <c r="B1941" s="18" t="s">
        <v>5</v>
      </c>
      <c r="C1941" s="19">
        <v>34.5</v>
      </c>
    </row>
    <row r="1942" spans="2:3">
      <c r="B1942" s="18" t="s">
        <v>5</v>
      </c>
      <c r="C1942" s="19">
        <v>179.89999999999998</v>
      </c>
    </row>
    <row r="1943" spans="2:3">
      <c r="B1943" s="18" t="s">
        <v>5</v>
      </c>
      <c r="C1943" s="19">
        <v>5.9039999999999999</v>
      </c>
    </row>
    <row r="1944" spans="2:3">
      <c r="B1944" s="18" t="s">
        <v>5</v>
      </c>
      <c r="C1944" s="19">
        <v>74.352000000000004</v>
      </c>
    </row>
    <row r="1945" spans="2:3">
      <c r="B1945" s="18" t="s">
        <v>5</v>
      </c>
      <c r="C1945" s="19">
        <v>6.68</v>
      </c>
    </row>
    <row r="1946" spans="2:3">
      <c r="B1946" s="18" t="s">
        <v>5</v>
      </c>
      <c r="C1946" s="19">
        <v>579.51</v>
      </c>
    </row>
    <row r="1947" spans="2:3">
      <c r="B1947" s="18" t="s">
        <v>5</v>
      </c>
      <c r="C1947" s="19">
        <v>34.08</v>
      </c>
    </row>
    <row r="1948" spans="2:3">
      <c r="B1948" s="18" t="s">
        <v>5</v>
      </c>
      <c r="C1948" s="19">
        <v>10.368000000000002</v>
      </c>
    </row>
    <row r="1949" spans="2:3">
      <c r="B1949" s="18" t="s">
        <v>5</v>
      </c>
      <c r="C1949" s="19">
        <v>24.55</v>
      </c>
    </row>
    <row r="1950" spans="2:3">
      <c r="B1950" s="18" t="s">
        <v>5</v>
      </c>
      <c r="C1950" s="19">
        <v>19.68</v>
      </c>
    </row>
    <row r="1951" spans="2:3">
      <c r="B1951" s="18" t="s">
        <v>5</v>
      </c>
      <c r="C1951" s="19">
        <v>25.92</v>
      </c>
    </row>
    <row r="1952" spans="2:3">
      <c r="B1952" s="18" t="s">
        <v>5</v>
      </c>
      <c r="C1952" s="19">
        <v>6.48</v>
      </c>
    </row>
    <row r="1953" spans="2:3">
      <c r="B1953" s="18" t="s">
        <v>5</v>
      </c>
      <c r="C1953" s="19">
        <v>150.80000000000001</v>
      </c>
    </row>
    <row r="1954" spans="2:3">
      <c r="B1954" s="18" t="s">
        <v>5</v>
      </c>
      <c r="C1954" s="19">
        <v>51.84</v>
      </c>
    </row>
    <row r="1955" spans="2:3">
      <c r="B1955" s="18" t="s">
        <v>5</v>
      </c>
      <c r="C1955" s="19">
        <v>240.37</v>
      </c>
    </row>
    <row r="1956" spans="2:3">
      <c r="B1956" s="18" t="s">
        <v>5</v>
      </c>
      <c r="C1956" s="19">
        <v>133.12</v>
      </c>
    </row>
    <row r="1957" spans="2:3">
      <c r="B1957" s="18" t="s">
        <v>5</v>
      </c>
      <c r="C1957" s="19">
        <v>6.63</v>
      </c>
    </row>
    <row r="1958" spans="2:3">
      <c r="B1958" s="18" t="s">
        <v>5</v>
      </c>
      <c r="C1958" s="19">
        <v>286.14999999999998</v>
      </c>
    </row>
    <row r="1959" spans="2:3">
      <c r="B1959" s="18" t="s">
        <v>5</v>
      </c>
      <c r="C1959" s="19">
        <v>32.783999999999992</v>
      </c>
    </row>
    <row r="1960" spans="2:3">
      <c r="B1960" s="18" t="s">
        <v>5</v>
      </c>
      <c r="C1960" s="19">
        <v>4.2759999999999989</v>
      </c>
    </row>
    <row r="1961" spans="2:3">
      <c r="B1961" s="18" t="s">
        <v>5</v>
      </c>
      <c r="C1961" s="19">
        <v>5.2480000000000002</v>
      </c>
    </row>
    <row r="1962" spans="2:3">
      <c r="B1962" s="18" t="s">
        <v>5</v>
      </c>
      <c r="C1962" s="19">
        <v>24.64</v>
      </c>
    </row>
    <row r="1963" spans="2:3">
      <c r="B1963" s="18" t="s">
        <v>5</v>
      </c>
      <c r="C1963" s="19">
        <v>227.88</v>
      </c>
    </row>
    <row r="1964" spans="2:3">
      <c r="B1964" s="18" t="s">
        <v>5</v>
      </c>
      <c r="C1964" s="19">
        <v>3.89</v>
      </c>
    </row>
    <row r="1965" spans="2:3">
      <c r="B1965" s="18" t="s">
        <v>5</v>
      </c>
      <c r="C1965" s="19">
        <v>149.73000000000002</v>
      </c>
    </row>
    <row r="1966" spans="2:3">
      <c r="B1966" s="18" t="s">
        <v>5</v>
      </c>
      <c r="C1966" s="19">
        <v>46.2</v>
      </c>
    </row>
    <row r="1967" spans="2:3">
      <c r="B1967" s="18" t="s">
        <v>5</v>
      </c>
      <c r="C1967" s="19">
        <v>47.952000000000005</v>
      </c>
    </row>
    <row r="1968" spans="2:3">
      <c r="B1968" s="18" t="s">
        <v>5</v>
      </c>
      <c r="C1968" s="19">
        <v>76.864000000000004</v>
      </c>
    </row>
    <row r="1969" spans="2:3">
      <c r="B1969" s="18" t="s">
        <v>5</v>
      </c>
      <c r="C1969" s="19">
        <v>102.93</v>
      </c>
    </row>
    <row r="1970" spans="2:3">
      <c r="B1970" s="18" t="s">
        <v>5</v>
      </c>
      <c r="C1970" s="19">
        <v>11.520000000000001</v>
      </c>
    </row>
    <row r="1971" spans="2:3">
      <c r="B1971" s="18" t="s">
        <v>5</v>
      </c>
      <c r="C1971" s="19">
        <v>83.88</v>
      </c>
    </row>
    <row r="1972" spans="2:3">
      <c r="B1972" s="18" t="s">
        <v>5</v>
      </c>
      <c r="C1972" s="19">
        <v>19.440000000000001</v>
      </c>
    </row>
    <row r="1973" spans="2:3">
      <c r="B1973" s="18" t="s">
        <v>5</v>
      </c>
      <c r="C1973" s="19">
        <v>477.15000000000003</v>
      </c>
    </row>
    <row r="1974" spans="2:3">
      <c r="B1974" s="18" t="s">
        <v>5</v>
      </c>
      <c r="C1974" s="19">
        <v>2.4640000000000004</v>
      </c>
    </row>
    <row r="1975" spans="2:3">
      <c r="B1975" s="18" t="s">
        <v>5</v>
      </c>
      <c r="C1975" s="19">
        <v>8.7200000000000006</v>
      </c>
    </row>
    <row r="1976" spans="2:3">
      <c r="B1976" s="18" t="s">
        <v>5</v>
      </c>
      <c r="C1976" s="19">
        <v>56.56</v>
      </c>
    </row>
    <row r="1977" spans="2:3">
      <c r="B1977" s="18" t="s">
        <v>5</v>
      </c>
      <c r="C1977" s="19">
        <v>3.76</v>
      </c>
    </row>
    <row r="1978" spans="2:3">
      <c r="B1978" s="18" t="s">
        <v>5</v>
      </c>
      <c r="C1978" s="19">
        <v>14.7</v>
      </c>
    </row>
    <row r="1979" spans="2:3">
      <c r="B1979" s="18" t="s">
        <v>5</v>
      </c>
      <c r="C1979" s="19">
        <v>37.200000000000003</v>
      </c>
    </row>
    <row r="1980" spans="2:3">
      <c r="B1980" s="18" t="s">
        <v>5</v>
      </c>
      <c r="C1980" s="19">
        <v>74</v>
      </c>
    </row>
    <row r="1981" spans="2:3">
      <c r="B1981" s="18" t="s">
        <v>5</v>
      </c>
      <c r="C1981" s="19">
        <v>4.5540000000000003</v>
      </c>
    </row>
    <row r="1982" spans="2:3">
      <c r="B1982" s="18" t="s">
        <v>5</v>
      </c>
      <c r="C1982" s="19">
        <v>5.2</v>
      </c>
    </row>
    <row r="1983" spans="2:3">
      <c r="B1983" s="18" t="s">
        <v>5</v>
      </c>
      <c r="C1983" s="19">
        <v>15.552000000000003</v>
      </c>
    </row>
    <row r="1984" spans="2:3">
      <c r="B1984" s="18" t="s">
        <v>5</v>
      </c>
      <c r="C1984" s="19">
        <v>24.472000000000001</v>
      </c>
    </row>
    <row r="1985" spans="2:3">
      <c r="B1985" s="18" t="s">
        <v>5</v>
      </c>
      <c r="C1985" s="19">
        <v>45.36</v>
      </c>
    </row>
    <row r="1986" spans="2:3">
      <c r="B1986" s="18" t="s">
        <v>5</v>
      </c>
      <c r="C1986" s="19">
        <v>32.400000000000006</v>
      </c>
    </row>
    <row r="1987" spans="2:3">
      <c r="B1987" s="18" t="s">
        <v>5</v>
      </c>
      <c r="C1987" s="19">
        <v>15.552000000000003</v>
      </c>
    </row>
    <row r="1988" spans="2:3">
      <c r="B1988" s="18" t="s">
        <v>5</v>
      </c>
      <c r="C1988" s="19">
        <v>1247.6399999999999</v>
      </c>
    </row>
    <row r="1989" spans="2:3">
      <c r="B1989" s="18" t="s">
        <v>5</v>
      </c>
      <c r="C1989" s="19">
        <v>279.89999999999998</v>
      </c>
    </row>
    <row r="1990" spans="2:3">
      <c r="B1990" s="18" t="s">
        <v>5</v>
      </c>
      <c r="C1990" s="19">
        <v>50.352000000000004</v>
      </c>
    </row>
    <row r="1991" spans="2:3">
      <c r="B1991" s="18" t="s">
        <v>5</v>
      </c>
      <c r="C1991" s="19">
        <v>34.019999999999996</v>
      </c>
    </row>
    <row r="1992" spans="2:3">
      <c r="B1992" s="18" t="s">
        <v>5</v>
      </c>
      <c r="C1992" s="19">
        <v>23.88</v>
      </c>
    </row>
    <row r="1993" spans="2:3">
      <c r="B1993" s="18" t="s">
        <v>5</v>
      </c>
      <c r="C1993" s="19">
        <v>11.52</v>
      </c>
    </row>
    <row r="1994" spans="2:3">
      <c r="B1994" s="18" t="s">
        <v>5</v>
      </c>
      <c r="C1994" s="19">
        <v>286.93</v>
      </c>
    </row>
    <row r="1995" spans="2:3">
      <c r="B1995" s="18" t="s">
        <v>5</v>
      </c>
      <c r="C1995" s="19">
        <v>99.3</v>
      </c>
    </row>
    <row r="1996" spans="2:3">
      <c r="B1996" s="18" t="s">
        <v>5</v>
      </c>
      <c r="C1996" s="19">
        <v>108.96</v>
      </c>
    </row>
    <row r="1997" spans="2:3">
      <c r="B1997" s="18" t="s">
        <v>5</v>
      </c>
      <c r="C1997" s="19">
        <v>2.6880000000000002</v>
      </c>
    </row>
    <row r="1998" spans="2:3">
      <c r="B1998" s="18" t="s">
        <v>5</v>
      </c>
      <c r="C1998" s="19">
        <v>5443.96</v>
      </c>
    </row>
    <row r="1999" spans="2:3">
      <c r="B1999" s="18" t="s">
        <v>5</v>
      </c>
      <c r="C1999" s="19">
        <v>56.07</v>
      </c>
    </row>
    <row r="2000" spans="2:3">
      <c r="B2000" s="18" t="s">
        <v>5</v>
      </c>
      <c r="C2000" s="19">
        <v>8.8000000000000007</v>
      </c>
    </row>
    <row r="2001" spans="2:3">
      <c r="B2001" s="18" t="s">
        <v>5</v>
      </c>
      <c r="C2001" s="19">
        <v>73.679999999999993</v>
      </c>
    </row>
    <row r="2002" spans="2:3">
      <c r="B2002" s="18" t="s">
        <v>5</v>
      </c>
      <c r="C2002" s="19">
        <v>33.29</v>
      </c>
    </row>
    <row r="2003" spans="2:3">
      <c r="B2003" s="18" t="s">
        <v>5</v>
      </c>
      <c r="C2003" s="19">
        <v>58.170000000000009</v>
      </c>
    </row>
    <row r="2004" spans="2:3">
      <c r="B2004" s="18" t="s">
        <v>5</v>
      </c>
      <c r="C2004" s="19">
        <v>5.04</v>
      </c>
    </row>
    <row r="2005" spans="2:3">
      <c r="B2005" s="18" t="s">
        <v>5</v>
      </c>
      <c r="C2005" s="19">
        <v>24.784000000000002</v>
      </c>
    </row>
    <row r="2006" spans="2:3">
      <c r="B2006" s="18" t="s">
        <v>5</v>
      </c>
      <c r="C2006" s="19">
        <v>13.36</v>
      </c>
    </row>
    <row r="2007" spans="2:3">
      <c r="B2007" s="18" t="s">
        <v>5</v>
      </c>
      <c r="C2007" s="19">
        <v>158.9</v>
      </c>
    </row>
    <row r="2008" spans="2:3">
      <c r="B2008" s="18" t="s">
        <v>5</v>
      </c>
      <c r="C2008" s="19">
        <v>33.61999999999999</v>
      </c>
    </row>
    <row r="2009" spans="2:3">
      <c r="B2009" s="18" t="s">
        <v>5</v>
      </c>
      <c r="C2009" s="19">
        <v>243.99199999999996</v>
      </c>
    </row>
    <row r="2010" spans="2:3">
      <c r="B2010" s="18" t="s">
        <v>5</v>
      </c>
      <c r="C2010" s="19">
        <v>7.120000000000001</v>
      </c>
    </row>
    <row r="2011" spans="2:3">
      <c r="B2011" s="18" t="s">
        <v>5</v>
      </c>
      <c r="C2011" s="19">
        <v>101.94</v>
      </c>
    </row>
    <row r="2012" spans="2:3">
      <c r="B2012" s="18" t="s">
        <v>5</v>
      </c>
      <c r="C2012" s="19">
        <v>19.68</v>
      </c>
    </row>
    <row r="2013" spans="2:3">
      <c r="B2013" s="18" t="s">
        <v>5</v>
      </c>
      <c r="C2013" s="19">
        <v>14.940000000000001</v>
      </c>
    </row>
    <row r="2014" spans="2:3">
      <c r="B2014" s="18" t="s">
        <v>5</v>
      </c>
      <c r="C2014" s="19">
        <v>231.72</v>
      </c>
    </row>
    <row r="2015" spans="2:3">
      <c r="B2015" s="18" t="s">
        <v>5</v>
      </c>
      <c r="C2015" s="19">
        <v>11.760000000000002</v>
      </c>
    </row>
    <row r="2016" spans="2:3">
      <c r="B2016" s="18" t="s">
        <v>5</v>
      </c>
      <c r="C2016" s="19">
        <v>5.3440000000000003</v>
      </c>
    </row>
    <row r="2017" spans="2:3">
      <c r="B2017" s="18" t="s">
        <v>5</v>
      </c>
      <c r="C2017" s="19">
        <v>146.352</v>
      </c>
    </row>
    <row r="2018" spans="2:3">
      <c r="B2018" s="18" t="s">
        <v>5</v>
      </c>
      <c r="C2018" s="19">
        <v>32.400000000000006</v>
      </c>
    </row>
    <row r="2019" spans="2:3">
      <c r="B2019" s="18" t="s">
        <v>5</v>
      </c>
      <c r="C2019" s="19">
        <v>209.94</v>
      </c>
    </row>
    <row r="2020" spans="2:3">
      <c r="B2020" s="18" t="s">
        <v>5</v>
      </c>
      <c r="C2020" s="19">
        <v>4164.0499999999993</v>
      </c>
    </row>
    <row r="2021" spans="2:3">
      <c r="B2021" s="18" t="s">
        <v>5</v>
      </c>
      <c r="C2021" s="19">
        <v>68.541000000000011</v>
      </c>
    </row>
    <row r="2022" spans="2:3">
      <c r="B2022" s="18" t="s">
        <v>5</v>
      </c>
      <c r="C2022" s="19">
        <v>122.12000000000002</v>
      </c>
    </row>
    <row r="2023" spans="2:3">
      <c r="B2023" s="18" t="s">
        <v>5</v>
      </c>
      <c r="C2023" s="19">
        <v>6.99</v>
      </c>
    </row>
    <row r="2024" spans="2:3">
      <c r="B2024" s="18" t="s">
        <v>5</v>
      </c>
      <c r="C2024" s="19">
        <v>107.42400000000001</v>
      </c>
    </row>
    <row r="2025" spans="2:3">
      <c r="B2025" s="18" t="s">
        <v>5</v>
      </c>
      <c r="C2025" s="19">
        <v>125.88</v>
      </c>
    </row>
    <row r="2026" spans="2:3">
      <c r="B2026" s="18" t="s">
        <v>5</v>
      </c>
      <c r="C2026" s="19">
        <v>133.20000000000002</v>
      </c>
    </row>
    <row r="2027" spans="2:3">
      <c r="B2027" s="18" t="s">
        <v>5</v>
      </c>
      <c r="C2027" s="19">
        <v>42.615999999999993</v>
      </c>
    </row>
    <row r="2028" spans="2:3">
      <c r="B2028" s="18" t="s">
        <v>5</v>
      </c>
      <c r="C2028" s="19">
        <v>45.92</v>
      </c>
    </row>
    <row r="2029" spans="2:3">
      <c r="B2029" s="18" t="s">
        <v>5</v>
      </c>
      <c r="C2029" s="19">
        <v>20.736000000000004</v>
      </c>
    </row>
    <row r="2030" spans="2:3">
      <c r="B2030" s="18" t="s">
        <v>5</v>
      </c>
      <c r="C2030" s="19">
        <v>51.168000000000006</v>
      </c>
    </row>
    <row r="2031" spans="2:3">
      <c r="B2031" s="18" t="s">
        <v>5</v>
      </c>
      <c r="C2031" s="19">
        <v>10.64</v>
      </c>
    </row>
    <row r="2032" spans="2:3">
      <c r="B2032" s="18" t="s">
        <v>5</v>
      </c>
      <c r="C2032" s="19">
        <v>251.57999999999998</v>
      </c>
    </row>
    <row r="2033" spans="2:3">
      <c r="B2033" s="18" t="s">
        <v>5</v>
      </c>
      <c r="C2033" s="19">
        <v>6.16</v>
      </c>
    </row>
    <row r="2034" spans="2:3">
      <c r="B2034" s="18" t="s">
        <v>5</v>
      </c>
      <c r="C2034" s="19">
        <v>17</v>
      </c>
    </row>
    <row r="2035" spans="2:3">
      <c r="B2035" s="18" t="s">
        <v>5</v>
      </c>
      <c r="C2035" s="19">
        <v>29.84</v>
      </c>
    </row>
    <row r="2036" spans="2:3">
      <c r="B2036" s="18" t="s">
        <v>5</v>
      </c>
      <c r="C2036" s="19">
        <v>10.9</v>
      </c>
    </row>
    <row r="2037" spans="2:3">
      <c r="B2037" s="18" t="s">
        <v>5</v>
      </c>
      <c r="C2037" s="19">
        <v>79.92</v>
      </c>
    </row>
    <row r="2038" spans="2:3">
      <c r="B2038" s="18" t="s">
        <v>5</v>
      </c>
      <c r="C2038" s="19">
        <v>146.82</v>
      </c>
    </row>
    <row r="2039" spans="2:3">
      <c r="B2039" s="18" t="s">
        <v>5</v>
      </c>
      <c r="C2039" s="19">
        <v>3.6</v>
      </c>
    </row>
    <row r="2040" spans="2:3">
      <c r="B2040" s="18" t="s">
        <v>5</v>
      </c>
      <c r="C2040" s="19">
        <v>12.160000000000002</v>
      </c>
    </row>
    <row r="2041" spans="2:3">
      <c r="B2041" s="18" t="s">
        <v>5</v>
      </c>
      <c r="C2041" s="19">
        <v>17.52</v>
      </c>
    </row>
    <row r="2042" spans="2:3">
      <c r="B2042" s="18" t="s">
        <v>5</v>
      </c>
      <c r="C2042" s="19">
        <v>155.88</v>
      </c>
    </row>
    <row r="2043" spans="2:3">
      <c r="B2043" s="18" t="s">
        <v>5</v>
      </c>
      <c r="C2043" s="19">
        <v>477.51</v>
      </c>
    </row>
    <row r="2044" spans="2:3">
      <c r="B2044" s="18" t="s">
        <v>5</v>
      </c>
      <c r="C2044" s="19">
        <v>164.88</v>
      </c>
    </row>
    <row r="2045" spans="2:3">
      <c r="B2045" s="18" t="s">
        <v>5</v>
      </c>
      <c r="C2045" s="19">
        <v>16.34</v>
      </c>
    </row>
    <row r="2046" spans="2:3">
      <c r="B2046" s="18" t="s">
        <v>5</v>
      </c>
      <c r="C2046" s="19">
        <v>50.352000000000004</v>
      </c>
    </row>
    <row r="2047" spans="2:3">
      <c r="B2047" s="18" t="s">
        <v>5</v>
      </c>
      <c r="C2047" s="19">
        <v>9.9120000000000008</v>
      </c>
    </row>
    <row r="2048" spans="2:3">
      <c r="B2048" s="18" t="s">
        <v>5</v>
      </c>
      <c r="C2048" s="19">
        <v>95.231999999999999</v>
      </c>
    </row>
    <row r="2049" spans="2:3">
      <c r="B2049" s="18" t="s">
        <v>5</v>
      </c>
      <c r="C2049" s="19">
        <v>23.32</v>
      </c>
    </row>
    <row r="2050" spans="2:3">
      <c r="B2050" s="18" t="s">
        <v>5</v>
      </c>
      <c r="C2050" s="19">
        <v>16.740000000000002</v>
      </c>
    </row>
    <row r="2051" spans="2:3">
      <c r="B2051" s="18" t="s">
        <v>5</v>
      </c>
      <c r="C2051" s="19">
        <v>14.82</v>
      </c>
    </row>
    <row r="2052" spans="2:3">
      <c r="B2052" s="18" t="s">
        <v>5</v>
      </c>
      <c r="C2052" s="19">
        <v>177.2</v>
      </c>
    </row>
    <row r="2053" spans="2:3">
      <c r="B2053" s="18" t="s">
        <v>5</v>
      </c>
      <c r="C2053" s="19">
        <v>23.92</v>
      </c>
    </row>
    <row r="2054" spans="2:3">
      <c r="B2054" s="18" t="s">
        <v>5</v>
      </c>
      <c r="C2054" s="19">
        <v>14.952000000000002</v>
      </c>
    </row>
    <row r="2055" spans="2:3">
      <c r="B2055" s="18" t="s">
        <v>5</v>
      </c>
      <c r="C2055" s="19">
        <v>17.940000000000001</v>
      </c>
    </row>
    <row r="2056" spans="2:3">
      <c r="B2056" s="18" t="s">
        <v>5</v>
      </c>
      <c r="C2056" s="19">
        <v>81.96</v>
      </c>
    </row>
    <row r="2057" spans="2:3">
      <c r="B2057" s="18" t="s">
        <v>5</v>
      </c>
      <c r="C2057" s="19">
        <v>32.776000000000003</v>
      </c>
    </row>
    <row r="2058" spans="2:3">
      <c r="B2058" s="18" t="s">
        <v>5</v>
      </c>
      <c r="C2058" s="19">
        <v>272.94</v>
      </c>
    </row>
    <row r="2059" spans="2:3">
      <c r="B2059" s="18" t="s">
        <v>5</v>
      </c>
      <c r="C2059" s="19">
        <v>15.76</v>
      </c>
    </row>
    <row r="2060" spans="2:3">
      <c r="B2060" s="18" t="s">
        <v>5</v>
      </c>
      <c r="C2060" s="19">
        <v>35.4</v>
      </c>
    </row>
    <row r="2061" spans="2:3">
      <c r="B2061" s="18" t="s">
        <v>5</v>
      </c>
      <c r="C2061" s="19">
        <v>419.4</v>
      </c>
    </row>
    <row r="2062" spans="2:3">
      <c r="B2062" s="18" t="s">
        <v>5</v>
      </c>
      <c r="C2062" s="19">
        <v>13.005000000000003</v>
      </c>
    </row>
    <row r="2063" spans="2:3">
      <c r="B2063" s="18" t="s">
        <v>5</v>
      </c>
      <c r="C2063" s="19">
        <v>37.752000000000002</v>
      </c>
    </row>
    <row r="2064" spans="2:3">
      <c r="B2064" s="18" t="s">
        <v>5</v>
      </c>
      <c r="C2064" s="19">
        <v>259.92000000000007</v>
      </c>
    </row>
    <row r="2065" spans="2:3">
      <c r="B2065" s="18" t="s">
        <v>5</v>
      </c>
      <c r="C2065" s="19">
        <v>20.736000000000004</v>
      </c>
    </row>
    <row r="2066" spans="2:3">
      <c r="B2066" s="18" t="s">
        <v>5</v>
      </c>
      <c r="C2066" s="19">
        <v>3.8560000000000003</v>
      </c>
    </row>
    <row r="2067" spans="2:3">
      <c r="B2067" s="18" t="s">
        <v>5</v>
      </c>
      <c r="C2067" s="19">
        <v>3.8820000000000006</v>
      </c>
    </row>
    <row r="2068" spans="2:3">
      <c r="B2068" s="18" t="s">
        <v>5</v>
      </c>
      <c r="C2068" s="19">
        <v>18.312000000000001</v>
      </c>
    </row>
    <row r="2069" spans="2:3">
      <c r="B2069" s="18" t="s">
        <v>5</v>
      </c>
      <c r="C2069" s="19">
        <v>1.6799999999999995</v>
      </c>
    </row>
    <row r="2070" spans="2:3">
      <c r="B2070" s="18" t="s">
        <v>5</v>
      </c>
      <c r="C2070" s="19">
        <v>168.1</v>
      </c>
    </row>
    <row r="2071" spans="2:3">
      <c r="B2071" s="18" t="s">
        <v>5</v>
      </c>
      <c r="C2071" s="19">
        <v>17.48</v>
      </c>
    </row>
    <row r="2072" spans="2:3">
      <c r="B2072" s="18" t="s">
        <v>5</v>
      </c>
      <c r="C2072" s="19">
        <v>152.65</v>
      </c>
    </row>
    <row r="2073" spans="2:3">
      <c r="B2073" s="18" t="s">
        <v>5</v>
      </c>
      <c r="C2073" s="19">
        <v>1640.6999999999998</v>
      </c>
    </row>
    <row r="2074" spans="2:3">
      <c r="B2074" s="18" t="s">
        <v>5</v>
      </c>
      <c r="C2074" s="19">
        <v>62.04</v>
      </c>
    </row>
    <row r="2075" spans="2:3">
      <c r="B2075" s="18" t="s">
        <v>5</v>
      </c>
      <c r="C2075" s="19">
        <v>367.96</v>
      </c>
    </row>
    <row r="2076" spans="2:3">
      <c r="B2076" s="18" t="s">
        <v>5</v>
      </c>
      <c r="C2076" s="19">
        <v>44.96</v>
      </c>
    </row>
    <row r="2077" spans="2:3">
      <c r="B2077" s="18" t="s">
        <v>5</v>
      </c>
      <c r="C2077" s="19">
        <v>182.94</v>
      </c>
    </row>
    <row r="2078" spans="2:3">
      <c r="B2078" s="18" t="s">
        <v>5</v>
      </c>
      <c r="C2078" s="19">
        <v>28.14</v>
      </c>
    </row>
    <row r="2079" spans="2:3">
      <c r="B2079" s="18" t="s">
        <v>5</v>
      </c>
      <c r="C2079" s="19">
        <v>7.38</v>
      </c>
    </row>
    <row r="2080" spans="2:3">
      <c r="B2080" s="18" t="s">
        <v>5</v>
      </c>
      <c r="C2080" s="19">
        <v>10.9</v>
      </c>
    </row>
    <row r="2081" spans="2:3">
      <c r="B2081" s="18" t="s">
        <v>5</v>
      </c>
      <c r="C2081" s="19">
        <v>23.04</v>
      </c>
    </row>
    <row r="2082" spans="2:3">
      <c r="B2082" s="18" t="s">
        <v>5</v>
      </c>
      <c r="C2082" s="19">
        <v>10.368000000000002</v>
      </c>
    </row>
    <row r="2083" spans="2:3">
      <c r="B2083" s="18" t="s">
        <v>5</v>
      </c>
      <c r="C2083" s="19">
        <v>19.049999999999997</v>
      </c>
    </row>
    <row r="2084" spans="2:3">
      <c r="B2084" s="18" t="s">
        <v>5</v>
      </c>
      <c r="C2084" s="19">
        <v>73.343999999999994</v>
      </c>
    </row>
    <row r="2085" spans="2:3">
      <c r="B2085" s="18" t="s">
        <v>5</v>
      </c>
      <c r="C2085" s="19">
        <v>50.96</v>
      </c>
    </row>
    <row r="2086" spans="2:3">
      <c r="B2086" s="18" t="s">
        <v>5</v>
      </c>
      <c r="C2086" s="19">
        <v>113.94</v>
      </c>
    </row>
    <row r="2087" spans="2:3">
      <c r="B2087" s="18" t="s">
        <v>5</v>
      </c>
      <c r="C2087" s="19">
        <v>25.92</v>
      </c>
    </row>
    <row r="2088" spans="2:3">
      <c r="B2088" s="18" t="s">
        <v>5</v>
      </c>
      <c r="C2088" s="19">
        <v>34.479999999999997</v>
      </c>
    </row>
    <row r="2089" spans="2:3">
      <c r="B2089" s="18" t="s">
        <v>5</v>
      </c>
      <c r="C2089" s="19">
        <v>244.54999999999998</v>
      </c>
    </row>
    <row r="2090" spans="2:3">
      <c r="B2090" s="18" t="s">
        <v>5</v>
      </c>
      <c r="C2090" s="19">
        <v>10.782000000000002</v>
      </c>
    </row>
    <row r="2091" spans="2:3">
      <c r="B2091" s="18" t="s">
        <v>5</v>
      </c>
      <c r="C2091" s="19">
        <v>16</v>
      </c>
    </row>
    <row r="2092" spans="2:3">
      <c r="B2092" s="18" t="s">
        <v>5</v>
      </c>
      <c r="C2092" s="19">
        <v>5.5879999999999992</v>
      </c>
    </row>
    <row r="2093" spans="2:3">
      <c r="B2093" s="18" t="s">
        <v>5</v>
      </c>
      <c r="C2093" s="19">
        <v>235.92</v>
      </c>
    </row>
    <row r="2094" spans="2:3">
      <c r="B2094" s="18" t="s">
        <v>5</v>
      </c>
      <c r="C2094" s="19">
        <v>10.68</v>
      </c>
    </row>
    <row r="2095" spans="2:3">
      <c r="B2095" s="18" t="s">
        <v>5</v>
      </c>
      <c r="C2095" s="19">
        <v>41.28</v>
      </c>
    </row>
    <row r="2096" spans="2:3">
      <c r="B2096" s="18" t="s">
        <v>5</v>
      </c>
      <c r="C2096" s="19">
        <v>186.54</v>
      </c>
    </row>
    <row r="2097" spans="2:3">
      <c r="B2097" s="18" t="s">
        <v>5</v>
      </c>
      <c r="C2097" s="19">
        <v>356.78999999999996</v>
      </c>
    </row>
    <row r="2098" spans="2:3">
      <c r="B2098" s="18" t="s">
        <v>5</v>
      </c>
      <c r="C2098" s="19">
        <v>16.98</v>
      </c>
    </row>
    <row r="2099" spans="2:3">
      <c r="B2099" s="18" t="s">
        <v>5</v>
      </c>
      <c r="C2099" s="19">
        <v>102.36799999999999</v>
      </c>
    </row>
    <row r="2100" spans="2:3">
      <c r="B2100" s="18" t="s">
        <v>5</v>
      </c>
      <c r="C2100" s="19">
        <v>28.4</v>
      </c>
    </row>
    <row r="2101" spans="2:3">
      <c r="B2101" s="18" t="s">
        <v>5</v>
      </c>
      <c r="C2101" s="19">
        <v>713.88</v>
      </c>
    </row>
    <row r="2102" spans="2:3">
      <c r="B2102" s="18" t="s">
        <v>5</v>
      </c>
      <c r="C2102" s="19">
        <v>68.52</v>
      </c>
    </row>
    <row r="2103" spans="2:3">
      <c r="B2103" s="18" t="s">
        <v>5</v>
      </c>
      <c r="C2103" s="19">
        <v>58.407999999999994</v>
      </c>
    </row>
    <row r="2104" spans="2:3">
      <c r="B2104" s="18" t="s">
        <v>5</v>
      </c>
      <c r="C2104" s="19">
        <v>7.8000000000000007</v>
      </c>
    </row>
    <row r="2105" spans="2:3">
      <c r="B2105" s="18" t="s">
        <v>5</v>
      </c>
      <c r="C2105" s="19">
        <v>12.624000000000001</v>
      </c>
    </row>
    <row r="2106" spans="2:3">
      <c r="B2106" s="18" t="s">
        <v>5</v>
      </c>
      <c r="C2106" s="19">
        <v>18.180000000000003</v>
      </c>
    </row>
    <row r="2107" spans="2:3">
      <c r="B2107" s="18" t="s">
        <v>5</v>
      </c>
      <c r="C2107" s="19">
        <v>31.744</v>
      </c>
    </row>
    <row r="2108" spans="2:3">
      <c r="B2108" s="18" t="s">
        <v>5</v>
      </c>
      <c r="C2108" s="19">
        <v>48.87</v>
      </c>
    </row>
    <row r="2109" spans="2:3">
      <c r="B2109" s="18" t="s">
        <v>5</v>
      </c>
      <c r="C2109" s="19">
        <v>154.9</v>
      </c>
    </row>
    <row r="2110" spans="2:3">
      <c r="B2110" s="18" t="s">
        <v>5</v>
      </c>
      <c r="C2110" s="19">
        <v>1158.1199999999999</v>
      </c>
    </row>
    <row r="2111" spans="2:3">
      <c r="B2111" s="18" t="s">
        <v>5</v>
      </c>
      <c r="C2111" s="19">
        <v>1.3919999999999997</v>
      </c>
    </row>
    <row r="2112" spans="2:3">
      <c r="B2112" s="18" t="s">
        <v>5</v>
      </c>
      <c r="C2112" s="19">
        <v>13.839999999999998</v>
      </c>
    </row>
    <row r="2113" spans="2:3">
      <c r="B2113" s="18" t="s">
        <v>5</v>
      </c>
      <c r="C2113" s="19">
        <v>175.87200000000001</v>
      </c>
    </row>
    <row r="2114" spans="2:3">
      <c r="B2114" s="18" t="s">
        <v>5</v>
      </c>
      <c r="C2114" s="19">
        <v>208.44</v>
      </c>
    </row>
    <row r="2115" spans="2:3">
      <c r="B2115" s="18" t="s">
        <v>5</v>
      </c>
      <c r="C2115" s="19">
        <v>25.76</v>
      </c>
    </row>
    <row r="2116" spans="2:3">
      <c r="B2116" s="18" t="s">
        <v>5</v>
      </c>
      <c r="C2116" s="19">
        <v>46.24</v>
      </c>
    </row>
    <row r="2117" spans="2:3">
      <c r="B2117" s="18" t="s">
        <v>5</v>
      </c>
      <c r="C2117" s="19">
        <v>5.22</v>
      </c>
    </row>
    <row r="2118" spans="2:3">
      <c r="B2118" s="18" t="s">
        <v>5</v>
      </c>
      <c r="C2118" s="19">
        <v>12.96</v>
      </c>
    </row>
    <row r="2119" spans="2:3">
      <c r="B2119" s="18" t="s">
        <v>5</v>
      </c>
      <c r="C2119" s="19">
        <v>17.940000000000001</v>
      </c>
    </row>
    <row r="2120" spans="2:3">
      <c r="B2120" s="18" t="s">
        <v>5</v>
      </c>
      <c r="C2120" s="19">
        <v>166.72</v>
      </c>
    </row>
    <row r="2121" spans="2:3">
      <c r="B2121" s="18" t="s">
        <v>5</v>
      </c>
      <c r="C2121" s="19">
        <v>24.816000000000003</v>
      </c>
    </row>
    <row r="2122" spans="2:3">
      <c r="B2122" s="18" t="s">
        <v>5</v>
      </c>
      <c r="C2122" s="19">
        <v>9.1840000000000011</v>
      </c>
    </row>
    <row r="2123" spans="2:3">
      <c r="B2123" s="18" t="s">
        <v>5</v>
      </c>
      <c r="C2123" s="19">
        <v>6.2080000000000002</v>
      </c>
    </row>
    <row r="2124" spans="2:3">
      <c r="B2124" s="18" t="s">
        <v>5</v>
      </c>
      <c r="C2124" s="19">
        <v>32.67</v>
      </c>
    </row>
    <row r="2125" spans="2:3">
      <c r="B2125" s="18" t="s">
        <v>5</v>
      </c>
      <c r="C2125" s="19">
        <v>3.52</v>
      </c>
    </row>
    <row r="2126" spans="2:3">
      <c r="B2126" s="18" t="s">
        <v>5</v>
      </c>
      <c r="C2126" s="19">
        <v>8.5950000000000024</v>
      </c>
    </row>
    <row r="2127" spans="2:3">
      <c r="B2127" s="18" t="s">
        <v>5</v>
      </c>
      <c r="C2127" s="19">
        <v>190.89600000000002</v>
      </c>
    </row>
    <row r="2128" spans="2:3">
      <c r="B2128" s="18" t="s">
        <v>5</v>
      </c>
      <c r="C2128" s="19">
        <v>99.87</v>
      </c>
    </row>
    <row r="2129" spans="2:3">
      <c r="B2129" s="18" t="s">
        <v>5</v>
      </c>
      <c r="C2129" s="19">
        <v>318.95999999999998</v>
      </c>
    </row>
    <row r="2130" spans="2:3">
      <c r="B2130" s="18" t="s">
        <v>5</v>
      </c>
      <c r="C2130" s="19">
        <v>421.1</v>
      </c>
    </row>
    <row r="2131" spans="2:3">
      <c r="B2131" s="18" t="s">
        <v>5</v>
      </c>
      <c r="C2131" s="19">
        <v>17.940000000000001</v>
      </c>
    </row>
    <row r="2132" spans="2:3">
      <c r="B2132" s="18" t="s">
        <v>5</v>
      </c>
      <c r="C2132" s="19">
        <v>13.904</v>
      </c>
    </row>
    <row r="2133" spans="2:3">
      <c r="B2133" s="18" t="s">
        <v>5</v>
      </c>
      <c r="C2133" s="19">
        <v>41.86</v>
      </c>
    </row>
    <row r="2134" spans="2:3">
      <c r="B2134" s="18" t="s">
        <v>5</v>
      </c>
      <c r="C2134" s="19">
        <v>12.294</v>
      </c>
    </row>
    <row r="2135" spans="2:3">
      <c r="B2135" s="18" t="s">
        <v>5</v>
      </c>
      <c r="C2135" s="19">
        <v>43.28</v>
      </c>
    </row>
    <row r="2136" spans="2:3">
      <c r="B2136" s="18" t="s">
        <v>5</v>
      </c>
      <c r="C2136" s="19">
        <v>4.91</v>
      </c>
    </row>
    <row r="2137" spans="2:3">
      <c r="B2137" s="18" t="s">
        <v>5</v>
      </c>
      <c r="C2137" s="19">
        <v>74.352000000000004</v>
      </c>
    </row>
    <row r="2138" spans="2:3">
      <c r="B2138" s="18" t="s">
        <v>5</v>
      </c>
      <c r="C2138" s="19">
        <v>87.167999999999978</v>
      </c>
    </row>
    <row r="2139" spans="2:3">
      <c r="B2139" s="18" t="s">
        <v>5</v>
      </c>
      <c r="C2139" s="19">
        <v>32.231999999999999</v>
      </c>
    </row>
    <row r="2140" spans="2:3">
      <c r="B2140" s="18" t="s">
        <v>5</v>
      </c>
      <c r="C2140" s="19">
        <v>2.2020000000000004</v>
      </c>
    </row>
    <row r="2141" spans="2:3">
      <c r="B2141" s="18" t="s">
        <v>5</v>
      </c>
      <c r="C2141" s="19">
        <v>9.3960000000000008</v>
      </c>
    </row>
    <row r="2142" spans="2:3">
      <c r="B2142" s="18" t="s">
        <v>5</v>
      </c>
      <c r="C2142" s="19">
        <v>23.24</v>
      </c>
    </row>
    <row r="2143" spans="2:3">
      <c r="B2143" s="18" t="s">
        <v>5</v>
      </c>
      <c r="C2143" s="19">
        <v>5.5520000000000005</v>
      </c>
    </row>
    <row r="2144" spans="2:3">
      <c r="B2144" s="18" t="s">
        <v>5</v>
      </c>
      <c r="C2144" s="19">
        <v>8.016</v>
      </c>
    </row>
    <row r="2145" spans="2:3">
      <c r="B2145" s="18" t="s">
        <v>5</v>
      </c>
      <c r="C2145" s="19">
        <v>38.86399999999999</v>
      </c>
    </row>
    <row r="2146" spans="2:3">
      <c r="B2146" s="18" t="s">
        <v>5</v>
      </c>
      <c r="C2146" s="19">
        <v>14.73</v>
      </c>
    </row>
    <row r="2147" spans="2:3">
      <c r="B2147" s="18" t="s">
        <v>5</v>
      </c>
      <c r="C2147" s="19">
        <v>274.49100000000004</v>
      </c>
    </row>
    <row r="2148" spans="2:3">
      <c r="B2148" s="18" t="s">
        <v>5</v>
      </c>
      <c r="C2148" s="19">
        <v>123.92000000000002</v>
      </c>
    </row>
    <row r="2149" spans="2:3">
      <c r="B2149" s="18" t="s">
        <v>5</v>
      </c>
      <c r="C2149" s="19">
        <v>30.88</v>
      </c>
    </row>
    <row r="2150" spans="2:3">
      <c r="B2150" s="18" t="s">
        <v>5</v>
      </c>
      <c r="C2150" s="19">
        <v>465.16</v>
      </c>
    </row>
    <row r="2151" spans="2:3">
      <c r="B2151" s="18" t="s">
        <v>5</v>
      </c>
      <c r="C2151" s="19">
        <v>27.12</v>
      </c>
    </row>
    <row r="2152" spans="2:3">
      <c r="B2152" s="18" t="s">
        <v>5</v>
      </c>
      <c r="C2152" s="19">
        <v>92.88000000000001</v>
      </c>
    </row>
    <row r="2153" spans="2:3">
      <c r="B2153" s="18" t="s">
        <v>5</v>
      </c>
      <c r="C2153" s="19">
        <v>49.56</v>
      </c>
    </row>
    <row r="2154" spans="2:3">
      <c r="B2154" s="18" t="s">
        <v>5</v>
      </c>
      <c r="C2154" s="19">
        <v>354.90000000000003</v>
      </c>
    </row>
    <row r="2155" spans="2:3">
      <c r="B2155" s="18" t="s">
        <v>5</v>
      </c>
      <c r="C2155" s="19">
        <v>14.700000000000001</v>
      </c>
    </row>
    <row r="2156" spans="2:3">
      <c r="B2156" s="18" t="s">
        <v>5</v>
      </c>
      <c r="C2156" s="19">
        <v>31.680000000000003</v>
      </c>
    </row>
    <row r="2157" spans="2:3">
      <c r="B2157" s="18" t="s">
        <v>5</v>
      </c>
      <c r="C2157" s="19">
        <v>181.86</v>
      </c>
    </row>
    <row r="2158" spans="2:3">
      <c r="B2158" s="18" t="s">
        <v>5</v>
      </c>
      <c r="C2158" s="19">
        <v>13.428000000000003</v>
      </c>
    </row>
    <row r="2159" spans="2:3">
      <c r="B2159" s="18" t="s">
        <v>5</v>
      </c>
      <c r="C2159" s="19">
        <v>67.13600000000001</v>
      </c>
    </row>
    <row r="2160" spans="2:3">
      <c r="B2160" s="18" t="s">
        <v>5</v>
      </c>
      <c r="C2160" s="19">
        <v>3.0359999999999996</v>
      </c>
    </row>
    <row r="2161" spans="2:3">
      <c r="B2161" s="18" t="s">
        <v>5</v>
      </c>
      <c r="C2161" s="19">
        <v>25.920000000000005</v>
      </c>
    </row>
    <row r="2162" spans="2:3">
      <c r="B2162" s="18" t="s">
        <v>5</v>
      </c>
      <c r="C2162" s="19">
        <v>10.368000000000002</v>
      </c>
    </row>
    <row r="2163" spans="2:3">
      <c r="B2163" s="18" t="s">
        <v>5</v>
      </c>
      <c r="C2163" s="19">
        <v>14.129999999999999</v>
      </c>
    </row>
    <row r="2164" spans="2:3">
      <c r="B2164" s="18" t="s">
        <v>5</v>
      </c>
      <c r="C2164" s="19">
        <v>43.92</v>
      </c>
    </row>
    <row r="2165" spans="2:3">
      <c r="B2165" s="18" t="s">
        <v>5</v>
      </c>
      <c r="C2165" s="19">
        <v>19.608000000000001</v>
      </c>
    </row>
    <row r="2166" spans="2:3">
      <c r="B2166" s="18" t="s">
        <v>5</v>
      </c>
      <c r="C2166" s="19">
        <v>4.1580000000000004</v>
      </c>
    </row>
    <row r="2167" spans="2:3">
      <c r="B2167" s="18" t="s">
        <v>5</v>
      </c>
      <c r="C2167" s="19">
        <v>8.9039999999999999</v>
      </c>
    </row>
    <row r="2168" spans="2:3">
      <c r="B2168" s="18" t="s">
        <v>5</v>
      </c>
      <c r="C2168" s="19">
        <v>9.4499999999999993</v>
      </c>
    </row>
    <row r="2169" spans="2:3">
      <c r="B2169" s="18" t="s">
        <v>5</v>
      </c>
      <c r="C2169" s="19">
        <v>400.79999999999995</v>
      </c>
    </row>
    <row r="2170" spans="2:3">
      <c r="B2170" s="18" t="s">
        <v>5</v>
      </c>
      <c r="C2170" s="19">
        <v>28.792000000000002</v>
      </c>
    </row>
    <row r="2171" spans="2:3">
      <c r="B2171" s="18" t="s">
        <v>5</v>
      </c>
      <c r="C2171" s="19">
        <v>81.438000000000017</v>
      </c>
    </row>
    <row r="2172" spans="2:3">
      <c r="B2172" s="18" t="s">
        <v>5</v>
      </c>
      <c r="C2172" s="19">
        <v>15.51</v>
      </c>
    </row>
    <row r="2173" spans="2:3">
      <c r="B2173" s="18" t="s">
        <v>5</v>
      </c>
      <c r="C2173" s="19">
        <v>13.584000000000001</v>
      </c>
    </row>
    <row r="2174" spans="2:3">
      <c r="B2174" s="18" t="s">
        <v>5</v>
      </c>
      <c r="C2174" s="19">
        <v>38.82</v>
      </c>
    </row>
    <row r="2175" spans="2:3">
      <c r="B2175" s="18" t="s">
        <v>5</v>
      </c>
      <c r="C2175" s="19">
        <v>21.9</v>
      </c>
    </row>
    <row r="2176" spans="2:3">
      <c r="B2176" s="18" t="s">
        <v>5</v>
      </c>
      <c r="C2176" s="19">
        <v>29.900000000000002</v>
      </c>
    </row>
    <row r="2177" spans="2:3">
      <c r="B2177" s="18" t="s">
        <v>5</v>
      </c>
      <c r="C2177" s="19">
        <v>15.570000000000004</v>
      </c>
    </row>
    <row r="2178" spans="2:3">
      <c r="B2178" s="18" t="s">
        <v>5</v>
      </c>
      <c r="C2178" s="19">
        <v>153.78</v>
      </c>
    </row>
    <row r="2179" spans="2:3">
      <c r="B2179" s="18" t="s">
        <v>5</v>
      </c>
      <c r="C2179" s="19">
        <v>61.019999999999996</v>
      </c>
    </row>
    <row r="2180" spans="2:3">
      <c r="B2180" s="18" t="s">
        <v>5</v>
      </c>
      <c r="C2180" s="19">
        <v>110.11</v>
      </c>
    </row>
    <row r="2181" spans="2:3">
      <c r="B2181" s="18" t="s">
        <v>5</v>
      </c>
      <c r="C2181" s="19">
        <v>7.89</v>
      </c>
    </row>
    <row r="2182" spans="2:3">
      <c r="B2182" s="18" t="s">
        <v>5</v>
      </c>
      <c r="C2182" s="19">
        <v>36.024000000000001</v>
      </c>
    </row>
    <row r="2183" spans="2:3">
      <c r="B2183" s="18" t="s">
        <v>5</v>
      </c>
      <c r="C2183" s="19">
        <v>54.336000000000006</v>
      </c>
    </row>
    <row r="2184" spans="2:3">
      <c r="B2184" s="18" t="s">
        <v>5</v>
      </c>
      <c r="C2184" s="19">
        <v>74.352000000000004</v>
      </c>
    </row>
    <row r="2185" spans="2:3">
      <c r="B2185" s="18" t="s">
        <v>5</v>
      </c>
      <c r="C2185" s="19">
        <v>15.700000000000001</v>
      </c>
    </row>
    <row r="2186" spans="2:3">
      <c r="B2186" s="18" t="s">
        <v>5</v>
      </c>
      <c r="C2186" s="19">
        <v>59.519999999999996</v>
      </c>
    </row>
    <row r="2187" spans="2:3">
      <c r="B2187" s="18" t="s">
        <v>5</v>
      </c>
      <c r="C2187" s="19">
        <v>34.4</v>
      </c>
    </row>
    <row r="2188" spans="2:3">
      <c r="B2188" s="18" t="s">
        <v>5</v>
      </c>
      <c r="C2188" s="19">
        <v>70.12</v>
      </c>
    </row>
    <row r="2189" spans="2:3">
      <c r="B2189" s="18" t="s">
        <v>5</v>
      </c>
      <c r="C2189" s="19">
        <v>11.52</v>
      </c>
    </row>
    <row r="2190" spans="2:3">
      <c r="B2190" s="18" t="s">
        <v>5</v>
      </c>
      <c r="C2190" s="19">
        <v>195.10400000000001</v>
      </c>
    </row>
    <row r="2191" spans="2:3">
      <c r="B2191" s="18" t="s">
        <v>5</v>
      </c>
      <c r="C2191" s="19">
        <v>18.72</v>
      </c>
    </row>
    <row r="2192" spans="2:3">
      <c r="B2192" s="18" t="s">
        <v>5</v>
      </c>
      <c r="C2192" s="19">
        <v>5.1840000000000011</v>
      </c>
    </row>
    <row r="2193" spans="2:3">
      <c r="B2193" s="18" t="s">
        <v>5</v>
      </c>
      <c r="C2193" s="19">
        <v>65.584000000000003</v>
      </c>
    </row>
    <row r="2194" spans="2:3">
      <c r="B2194" s="18" t="s">
        <v>5</v>
      </c>
      <c r="C2194" s="19">
        <v>419.4</v>
      </c>
    </row>
    <row r="2195" spans="2:3">
      <c r="B2195" s="18" t="s">
        <v>5</v>
      </c>
      <c r="C2195" s="19">
        <v>9.9120000000000008</v>
      </c>
    </row>
    <row r="2196" spans="2:3">
      <c r="B2196" s="18" t="s">
        <v>5</v>
      </c>
      <c r="C2196" s="19">
        <v>5.7999999999999989</v>
      </c>
    </row>
    <row r="2197" spans="2:3">
      <c r="B2197" s="18" t="s">
        <v>5</v>
      </c>
      <c r="C2197" s="19">
        <v>2.48</v>
      </c>
    </row>
    <row r="2198" spans="2:3">
      <c r="B2198" s="18" t="s">
        <v>5</v>
      </c>
      <c r="C2198" s="19">
        <v>25.9</v>
      </c>
    </row>
    <row r="2199" spans="2:3">
      <c r="B2199" s="18" t="s">
        <v>5</v>
      </c>
      <c r="C2199" s="19">
        <v>12.96</v>
      </c>
    </row>
    <row r="2200" spans="2:3">
      <c r="B2200" s="18" t="s">
        <v>5</v>
      </c>
      <c r="C2200" s="19">
        <v>10.272000000000002</v>
      </c>
    </row>
    <row r="2201" spans="2:3">
      <c r="B2201" s="18" t="s">
        <v>5</v>
      </c>
      <c r="C2201" s="19">
        <v>1.5559999999999996</v>
      </c>
    </row>
    <row r="2202" spans="2:3">
      <c r="B2202" s="18" t="s">
        <v>5</v>
      </c>
      <c r="C2202" s="19">
        <v>4.4479999999999995</v>
      </c>
    </row>
    <row r="2203" spans="2:3">
      <c r="B2203" s="18" t="s">
        <v>5</v>
      </c>
      <c r="C2203" s="19">
        <v>4.96</v>
      </c>
    </row>
    <row r="2204" spans="2:3">
      <c r="B2204" s="18" t="s">
        <v>5</v>
      </c>
      <c r="C2204" s="19">
        <v>71.92</v>
      </c>
    </row>
    <row r="2205" spans="2:3">
      <c r="B2205" s="18" t="s">
        <v>5</v>
      </c>
      <c r="C2205" s="19">
        <v>6.08</v>
      </c>
    </row>
    <row r="2206" spans="2:3">
      <c r="B2206" s="18" t="s">
        <v>5</v>
      </c>
      <c r="C2206" s="19">
        <v>12.175999999999998</v>
      </c>
    </row>
    <row r="2207" spans="2:3">
      <c r="B2207" s="18" t="s">
        <v>5</v>
      </c>
      <c r="C2207" s="19">
        <v>9.2480000000000011</v>
      </c>
    </row>
    <row r="2208" spans="2:3">
      <c r="B2208" s="18" t="s">
        <v>5</v>
      </c>
      <c r="C2208" s="19">
        <v>62.040000000000006</v>
      </c>
    </row>
    <row r="2209" spans="2:3">
      <c r="B2209" s="18" t="s">
        <v>5</v>
      </c>
      <c r="C2209" s="19">
        <v>239.45599999999999</v>
      </c>
    </row>
    <row r="2210" spans="2:3">
      <c r="B2210" s="18" t="s">
        <v>5</v>
      </c>
      <c r="C2210" s="19">
        <v>13.120000000000001</v>
      </c>
    </row>
    <row r="2211" spans="2:3">
      <c r="B2211" s="18" t="s">
        <v>5</v>
      </c>
      <c r="C2211" s="19">
        <v>29.36</v>
      </c>
    </row>
    <row r="2212" spans="2:3">
      <c r="B2212" s="18" t="s">
        <v>5</v>
      </c>
      <c r="C2212" s="19">
        <v>214.89999999999998</v>
      </c>
    </row>
    <row r="2213" spans="2:3">
      <c r="B2213" s="18" t="s">
        <v>5</v>
      </c>
      <c r="C2213" s="19">
        <v>15.92</v>
      </c>
    </row>
    <row r="2214" spans="2:3">
      <c r="B2214" s="18" t="s">
        <v>5</v>
      </c>
      <c r="C2214" s="19">
        <v>15.14</v>
      </c>
    </row>
    <row r="2215" spans="2:3">
      <c r="B2215" s="18" t="s">
        <v>5</v>
      </c>
      <c r="C2215" s="19">
        <v>5.76</v>
      </c>
    </row>
    <row r="2216" spans="2:3">
      <c r="B2216" s="18" t="s">
        <v>5</v>
      </c>
      <c r="C2216" s="19">
        <v>71.88</v>
      </c>
    </row>
    <row r="2217" spans="2:3">
      <c r="B2217" s="18" t="s">
        <v>5</v>
      </c>
      <c r="C2217" s="19">
        <v>35.880000000000003</v>
      </c>
    </row>
    <row r="2218" spans="2:3">
      <c r="B2218" s="18" t="s">
        <v>5</v>
      </c>
      <c r="C2218" s="19">
        <v>17.04</v>
      </c>
    </row>
    <row r="2219" spans="2:3">
      <c r="B2219" s="18" t="s">
        <v>5</v>
      </c>
      <c r="C2219" s="19">
        <v>931.17600000000016</v>
      </c>
    </row>
    <row r="2220" spans="2:3">
      <c r="B2220" s="18" t="s">
        <v>5</v>
      </c>
      <c r="C2220" s="19">
        <v>29.700000000000003</v>
      </c>
    </row>
    <row r="2221" spans="2:3">
      <c r="B2221" s="18" t="s">
        <v>5</v>
      </c>
      <c r="C2221" s="19">
        <v>114.28800000000001</v>
      </c>
    </row>
    <row r="2222" spans="2:3">
      <c r="B2222" s="18" t="s">
        <v>5</v>
      </c>
      <c r="C2222" s="19">
        <v>36.624000000000002</v>
      </c>
    </row>
    <row r="2223" spans="2:3">
      <c r="B2223" s="18" t="s">
        <v>5</v>
      </c>
      <c r="C2223" s="19">
        <v>158.28</v>
      </c>
    </row>
    <row r="2224" spans="2:3">
      <c r="B2224" s="18" t="s">
        <v>5</v>
      </c>
      <c r="C2224" s="19">
        <v>497.93999999999994</v>
      </c>
    </row>
    <row r="2225" spans="2:3">
      <c r="B2225" s="18" t="s">
        <v>5</v>
      </c>
      <c r="C2225" s="19">
        <v>20.736000000000004</v>
      </c>
    </row>
    <row r="2226" spans="2:3">
      <c r="B2226" s="18" t="s">
        <v>5</v>
      </c>
      <c r="C2226" s="19">
        <v>146.86000000000001</v>
      </c>
    </row>
    <row r="2227" spans="2:3">
      <c r="B2227" s="18" t="s">
        <v>5</v>
      </c>
      <c r="C2227" s="19">
        <v>36.56</v>
      </c>
    </row>
    <row r="2228" spans="2:3">
      <c r="B2228" s="18" t="s">
        <v>5</v>
      </c>
      <c r="C2228" s="19">
        <v>264.32</v>
      </c>
    </row>
    <row r="2229" spans="2:3">
      <c r="B2229" s="18" t="s">
        <v>5</v>
      </c>
      <c r="C2229" s="19">
        <v>25.92</v>
      </c>
    </row>
    <row r="2230" spans="2:3">
      <c r="B2230" s="18" t="s">
        <v>5</v>
      </c>
      <c r="C2230" s="19">
        <v>22.959999999999997</v>
      </c>
    </row>
    <row r="2231" spans="2:3">
      <c r="B2231" s="18" t="s">
        <v>5</v>
      </c>
      <c r="C2231" s="19">
        <v>12.53</v>
      </c>
    </row>
    <row r="2232" spans="2:3">
      <c r="B2232" s="18" t="s">
        <v>5</v>
      </c>
      <c r="C2232" s="19">
        <v>34.58</v>
      </c>
    </row>
    <row r="2233" spans="2:3">
      <c r="B2233" s="18" t="s">
        <v>5</v>
      </c>
      <c r="C2233" s="19">
        <v>59.519999999999996</v>
      </c>
    </row>
    <row r="2234" spans="2:3">
      <c r="B2234" s="18" t="s">
        <v>5</v>
      </c>
      <c r="C2234" s="19">
        <v>57.959999999999994</v>
      </c>
    </row>
    <row r="2235" spans="2:3">
      <c r="B2235" s="18" t="s">
        <v>5</v>
      </c>
      <c r="C2235" s="19">
        <v>68.039999999999992</v>
      </c>
    </row>
    <row r="2236" spans="2:3">
      <c r="B2236" s="18" t="s">
        <v>5</v>
      </c>
      <c r="C2236" s="19">
        <v>118.16</v>
      </c>
    </row>
    <row r="2237" spans="2:3">
      <c r="B2237" s="18" t="s">
        <v>5</v>
      </c>
      <c r="C2237" s="19">
        <v>76.77600000000001</v>
      </c>
    </row>
    <row r="2238" spans="2:3">
      <c r="B2238" s="18" t="s">
        <v>5</v>
      </c>
      <c r="C2238" s="19">
        <v>53.9</v>
      </c>
    </row>
    <row r="2239" spans="2:3">
      <c r="B2239" s="18" t="s">
        <v>5</v>
      </c>
      <c r="C2239" s="19">
        <v>99.2</v>
      </c>
    </row>
    <row r="2240" spans="2:3">
      <c r="B2240" s="18" t="s">
        <v>5</v>
      </c>
      <c r="C2240" s="19">
        <v>15.920000000000002</v>
      </c>
    </row>
    <row r="2241" spans="2:3">
      <c r="B2241" s="18" t="s">
        <v>5</v>
      </c>
      <c r="C2241" s="19">
        <v>152.94</v>
      </c>
    </row>
    <row r="2242" spans="2:3">
      <c r="B2242" s="18" t="s">
        <v>5</v>
      </c>
      <c r="C2242" s="19">
        <v>179.94</v>
      </c>
    </row>
    <row r="2243" spans="2:3">
      <c r="B2243" s="18" t="s">
        <v>5</v>
      </c>
      <c r="C2243" s="19">
        <v>12.96</v>
      </c>
    </row>
    <row r="2244" spans="2:3">
      <c r="B2244" s="18" t="s">
        <v>5</v>
      </c>
      <c r="C2244" s="19">
        <v>163.96</v>
      </c>
    </row>
    <row r="2245" spans="2:3">
      <c r="B2245" s="18" t="s">
        <v>5</v>
      </c>
      <c r="C2245" s="19">
        <v>5.2319999999999984</v>
      </c>
    </row>
    <row r="2246" spans="2:3">
      <c r="B2246" s="18" t="s">
        <v>5</v>
      </c>
      <c r="C2246" s="19">
        <v>73.849999999999994</v>
      </c>
    </row>
    <row r="2247" spans="2:3">
      <c r="B2247" s="18" t="s">
        <v>5</v>
      </c>
      <c r="C2247" s="19">
        <v>25.71</v>
      </c>
    </row>
    <row r="2248" spans="2:3">
      <c r="B2248" s="18" t="s">
        <v>5</v>
      </c>
      <c r="C2248" s="19">
        <v>17.28</v>
      </c>
    </row>
    <row r="2249" spans="2:3">
      <c r="B2249" s="18" t="s">
        <v>5</v>
      </c>
      <c r="C2249" s="19">
        <v>11.68</v>
      </c>
    </row>
    <row r="2250" spans="2:3">
      <c r="B2250" s="18" t="s">
        <v>5</v>
      </c>
      <c r="C2250" s="19">
        <v>147.184</v>
      </c>
    </row>
    <row r="2251" spans="2:3">
      <c r="B2251" s="18" t="s">
        <v>5</v>
      </c>
      <c r="C2251" s="19">
        <v>47.952000000000005</v>
      </c>
    </row>
    <row r="2252" spans="2:3">
      <c r="B2252" s="18" t="s">
        <v>5</v>
      </c>
      <c r="C2252" s="19">
        <v>40.74</v>
      </c>
    </row>
    <row r="2253" spans="2:3">
      <c r="B2253" s="18" t="s">
        <v>5</v>
      </c>
      <c r="C2253" s="19">
        <v>114.84800000000001</v>
      </c>
    </row>
    <row r="2254" spans="2:3">
      <c r="B2254" s="18" t="s">
        <v>5</v>
      </c>
      <c r="C2254" s="19">
        <v>10.688000000000001</v>
      </c>
    </row>
    <row r="2255" spans="2:3">
      <c r="B2255" s="18" t="s">
        <v>5</v>
      </c>
      <c r="C2255" s="19">
        <v>12.419999999999998</v>
      </c>
    </row>
    <row r="2256" spans="2:3">
      <c r="B2256" s="18" t="s">
        <v>5</v>
      </c>
      <c r="C2256" s="19">
        <v>12.672000000000001</v>
      </c>
    </row>
    <row r="2257" spans="2:3">
      <c r="B2257" s="18" t="s">
        <v>5</v>
      </c>
      <c r="C2257" s="19">
        <v>25.92</v>
      </c>
    </row>
    <row r="2258" spans="2:3">
      <c r="B2258" s="18" t="s">
        <v>5</v>
      </c>
      <c r="C2258" s="19">
        <v>268.24</v>
      </c>
    </row>
    <row r="2259" spans="2:3">
      <c r="B2259" s="18" t="s">
        <v>5</v>
      </c>
      <c r="C2259" s="19">
        <v>10.368000000000002</v>
      </c>
    </row>
    <row r="2260" spans="2:3">
      <c r="B2260" s="18" t="s">
        <v>5</v>
      </c>
      <c r="C2260" s="19">
        <v>2.2239999999999998</v>
      </c>
    </row>
    <row r="2261" spans="2:3">
      <c r="B2261" s="18" t="s">
        <v>5</v>
      </c>
      <c r="C2261" s="19">
        <v>17.52</v>
      </c>
    </row>
    <row r="2262" spans="2:3">
      <c r="B2262" s="18" t="s">
        <v>5</v>
      </c>
      <c r="C2262" s="19">
        <v>219.89999999999998</v>
      </c>
    </row>
    <row r="2263" spans="2:3">
      <c r="B2263" s="18" t="s">
        <v>5</v>
      </c>
      <c r="C2263" s="19">
        <v>26.720000000000002</v>
      </c>
    </row>
    <row r="2264" spans="2:3">
      <c r="B2264" s="18" t="s">
        <v>5</v>
      </c>
      <c r="C2264" s="19">
        <v>4.8420000000000005</v>
      </c>
    </row>
    <row r="2265" spans="2:3">
      <c r="B2265" s="18" t="s">
        <v>5</v>
      </c>
      <c r="C2265" s="19">
        <v>47.01</v>
      </c>
    </row>
    <row r="2266" spans="2:3">
      <c r="B2266" s="18" t="s">
        <v>5</v>
      </c>
      <c r="C2266" s="19">
        <v>324.74400000000003</v>
      </c>
    </row>
    <row r="2267" spans="2:3">
      <c r="B2267" s="18" t="s">
        <v>5</v>
      </c>
      <c r="C2267" s="19">
        <v>11.84</v>
      </c>
    </row>
    <row r="2268" spans="2:3">
      <c r="B2268" s="18" t="s">
        <v>5</v>
      </c>
      <c r="C2268" s="19">
        <v>592.74</v>
      </c>
    </row>
    <row r="2269" spans="2:3">
      <c r="B2269" s="18" t="s">
        <v>5</v>
      </c>
      <c r="C2269" s="19">
        <v>9.9120000000000008</v>
      </c>
    </row>
    <row r="2270" spans="2:3">
      <c r="B2270" s="18" t="s">
        <v>5</v>
      </c>
      <c r="C2270" s="19">
        <v>320.64</v>
      </c>
    </row>
    <row r="2271" spans="2:3">
      <c r="B2271" s="18" t="s">
        <v>5</v>
      </c>
      <c r="C2271" s="19">
        <v>18.528000000000002</v>
      </c>
    </row>
    <row r="2272" spans="2:3">
      <c r="B2272" s="18" t="s">
        <v>5</v>
      </c>
      <c r="C2272" s="19">
        <v>24.448</v>
      </c>
    </row>
    <row r="2273" spans="2:3">
      <c r="B2273" s="18" t="s">
        <v>5</v>
      </c>
      <c r="C2273" s="19">
        <v>31.104000000000006</v>
      </c>
    </row>
    <row r="2274" spans="2:3">
      <c r="B2274" s="18" t="s">
        <v>5</v>
      </c>
      <c r="C2274" s="19">
        <v>11.176000000000002</v>
      </c>
    </row>
    <row r="2275" spans="2:3">
      <c r="B2275" s="18" t="s">
        <v>5</v>
      </c>
      <c r="C2275" s="19">
        <v>13.343999999999998</v>
      </c>
    </row>
    <row r="2276" spans="2:3">
      <c r="B2276" s="18" t="s">
        <v>5</v>
      </c>
      <c r="C2276" s="19">
        <v>10.32</v>
      </c>
    </row>
    <row r="2277" spans="2:3">
      <c r="B2277" s="18" t="s">
        <v>5</v>
      </c>
      <c r="C2277" s="19">
        <v>47.32</v>
      </c>
    </row>
    <row r="2278" spans="2:3">
      <c r="B2278" s="18" t="s">
        <v>5</v>
      </c>
      <c r="C2278" s="19">
        <v>13.919999999999998</v>
      </c>
    </row>
    <row r="2279" spans="2:3">
      <c r="B2279" s="18" t="s">
        <v>5</v>
      </c>
      <c r="C2279" s="19">
        <v>82.4</v>
      </c>
    </row>
    <row r="2280" spans="2:3">
      <c r="B2280" s="18" t="s">
        <v>5</v>
      </c>
      <c r="C2280" s="19">
        <v>6.24</v>
      </c>
    </row>
    <row r="2281" spans="2:3">
      <c r="B2281" s="18" t="s">
        <v>5</v>
      </c>
      <c r="C2281" s="19">
        <v>447.84</v>
      </c>
    </row>
    <row r="2282" spans="2:3">
      <c r="B2282" s="18" t="s">
        <v>5</v>
      </c>
      <c r="C2282" s="19">
        <v>272.048</v>
      </c>
    </row>
    <row r="2283" spans="2:3">
      <c r="B2283" s="18" t="s">
        <v>5</v>
      </c>
      <c r="C2283" s="19">
        <v>1614.5820000000003</v>
      </c>
    </row>
    <row r="2284" spans="2:3">
      <c r="B2284" s="18" t="s">
        <v>5</v>
      </c>
      <c r="C2284" s="19">
        <v>24.320000000000004</v>
      </c>
    </row>
    <row r="2285" spans="2:3">
      <c r="B2285" s="18" t="s">
        <v>5</v>
      </c>
      <c r="C2285" s="19">
        <v>14.76</v>
      </c>
    </row>
    <row r="2286" spans="2:3">
      <c r="B2286" s="18" t="s">
        <v>5</v>
      </c>
      <c r="C2286" s="19">
        <v>25.695999999999998</v>
      </c>
    </row>
    <row r="2287" spans="2:3">
      <c r="B2287" s="18" t="s">
        <v>5</v>
      </c>
      <c r="C2287" s="19">
        <v>30.384</v>
      </c>
    </row>
    <row r="2288" spans="2:3">
      <c r="B2288" s="18" t="s">
        <v>5</v>
      </c>
      <c r="C2288" s="19">
        <v>38.619999999999997</v>
      </c>
    </row>
    <row r="2289" spans="2:3">
      <c r="B2289" s="18" t="s">
        <v>5</v>
      </c>
      <c r="C2289" s="19">
        <v>174.3</v>
      </c>
    </row>
    <row r="2290" spans="2:3">
      <c r="B2290" s="18" t="s">
        <v>5</v>
      </c>
      <c r="C2290" s="19">
        <v>15.570000000000004</v>
      </c>
    </row>
    <row r="2291" spans="2:3">
      <c r="B2291" s="18" t="s">
        <v>5</v>
      </c>
      <c r="C2291" s="19">
        <v>23.36</v>
      </c>
    </row>
    <row r="2292" spans="2:3">
      <c r="B2292" s="18" t="s">
        <v>5</v>
      </c>
      <c r="C2292" s="19">
        <v>8.56</v>
      </c>
    </row>
    <row r="2293" spans="2:3">
      <c r="B2293" s="18" t="s">
        <v>5</v>
      </c>
      <c r="C2293" s="19">
        <v>13.919999999999998</v>
      </c>
    </row>
    <row r="2294" spans="2:3">
      <c r="B2294" s="18" t="s">
        <v>5</v>
      </c>
      <c r="C2294" s="19">
        <v>2518.29</v>
      </c>
    </row>
    <row r="2295" spans="2:3">
      <c r="B2295" s="18" t="s">
        <v>5</v>
      </c>
      <c r="C2295" s="19">
        <v>540.56999999999994</v>
      </c>
    </row>
    <row r="2296" spans="2:3">
      <c r="B2296" s="18" t="s">
        <v>5</v>
      </c>
      <c r="C2296" s="19">
        <v>221.05600000000001</v>
      </c>
    </row>
    <row r="2297" spans="2:3">
      <c r="B2297" s="18" t="s">
        <v>5</v>
      </c>
      <c r="C2297" s="19">
        <v>39.581999999999987</v>
      </c>
    </row>
    <row r="2298" spans="2:3">
      <c r="B2298" s="18" t="s">
        <v>5</v>
      </c>
      <c r="C2298" s="19">
        <v>44.688000000000002</v>
      </c>
    </row>
    <row r="2299" spans="2:3">
      <c r="B2299" s="18" t="s">
        <v>5</v>
      </c>
      <c r="C2299" s="19">
        <v>31.744</v>
      </c>
    </row>
    <row r="2300" spans="2:3">
      <c r="B2300" s="18" t="s">
        <v>5</v>
      </c>
      <c r="C2300" s="19">
        <v>40.97999999999999</v>
      </c>
    </row>
    <row r="2301" spans="2:3">
      <c r="B2301" s="18" t="s">
        <v>5</v>
      </c>
      <c r="C2301" s="19">
        <v>3.1679999999999993</v>
      </c>
    </row>
    <row r="2302" spans="2:3">
      <c r="B2302" s="18" t="s">
        <v>5</v>
      </c>
      <c r="C2302" s="19">
        <v>14.9</v>
      </c>
    </row>
    <row r="2303" spans="2:3">
      <c r="B2303" s="18" t="s">
        <v>5</v>
      </c>
      <c r="C2303" s="19">
        <v>15.8</v>
      </c>
    </row>
    <row r="2304" spans="2:3">
      <c r="B2304" s="18" t="s">
        <v>5</v>
      </c>
      <c r="C2304" s="19">
        <v>81.360000000000014</v>
      </c>
    </row>
    <row r="2305" spans="2:3">
      <c r="B2305" s="18" t="s">
        <v>5</v>
      </c>
      <c r="C2305" s="19">
        <v>20.232000000000003</v>
      </c>
    </row>
    <row r="2306" spans="2:3">
      <c r="B2306" s="18" t="s">
        <v>5</v>
      </c>
      <c r="C2306" s="19">
        <v>389.05600000000004</v>
      </c>
    </row>
    <row r="2307" spans="2:3">
      <c r="B2307" s="18" t="s">
        <v>5</v>
      </c>
      <c r="C2307" s="19">
        <v>20.736000000000004</v>
      </c>
    </row>
    <row r="2308" spans="2:3">
      <c r="B2308" s="18" t="s">
        <v>5</v>
      </c>
      <c r="C2308" s="19">
        <v>41.472000000000008</v>
      </c>
    </row>
    <row r="2309" spans="2:3">
      <c r="B2309" s="18" t="s">
        <v>5</v>
      </c>
      <c r="C2309" s="19">
        <v>15.120000000000001</v>
      </c>
    </row>
    <row r="2310" spans="2:3">
      <c r="B2310" s="18" t="s">
        <v>5</v>
      </c>
      <c r="C2310" s="19">
        <v>7.8719999999999999</v>
      </c>
    </row>
    <row r="2311" spans="2:3">
      <c r="B2311" s="18" t="s">
        <v>5</v>
      </c>
      <c r="C2311" s="19">
        <v>663.92</v>
      </c>
    </row>
    <row r="2312" spans="2:3">
      <c r="B2312" s="18" t="s">
        <v>5</v>
      </c>
      <c r="C2312" s="19">
        <v>3.29</v>
      </c>
    </row>
    <row r="2313" spans="2:3">
      <c r="B2313" s="18" t="s">
        <v>5</v>
      </c>
      <c r="C2313" s="19">
        <v>83.9</v>
      </c>
    </row>
    <row r="2314" spans="2:3">
      <c r="B2314" s="18" t="s">
        <v>5</v>
      </c>
      <c r="C2314" s="19">
        <v>11.76</v>
      </c>
    </row>
    <row r="2315" spans="2:3">
      <c r="B2315" s="18" t="s">
        <v>5</v>
      </c>
      <c r="C2315" s="19">
        <v>41.910000000000004</v>
      </c>
    </row>
    <row r="2316" spans="2:3">
      <c r="B2316" s="18" t="s">
        <v>5</v>
      </c>
      <c r="C2316" s="19">
        <v>572.58000000000004</v>
      </c>
    </row>
    <row r="2317" spans="2:3">
      <c r="B2317" s="18" t="s">
        <v>5</v>
      </c>
      <c r="C2317" s="19">
        <v>295.05599999999998</v>
      </c>
    </row>
    <row r="2318" spans="2:3">
      <c r="B2318" s="18" t="s">
        <v>5</v>
      </c>
      <c r="C2318" s="19">
        <v>16.272000000000002</v>
      </c>
    </row>
    <row r="2319" spans="2:3">
      <c r="B2319" s="18" t="s">
        <v>5</v>
      </c>
      <c r="C2319" s="19">
        <v>2.6550000000000002</v>
      </c>
    </row>
    <row r="2320" spans="2:3">
      <c r="B2320" s="18" t="s">
        <v>5</v>
      </c>
      <c r="C2320" s="19">
        <v>454.56000000000006</v>
      </c>
    </row>
    <row r="2321" spans="2:3">
      <c r="B2321" s="18" t="s">
        <v>5</v>
      </c>
      <c r="C2321" s="19">
        <v>12.736000000000001</v>
      </c>
    </row>
    <row r="2322" spans="2:3">
      <c r="B2322" s="18" t="s">
        <v>5</v>
      </c>
      <c r="C2322" s="19">
        <v>6.469999999999998</v>
      </c>
    </row>
    <row r="2323" spans="2:3">
      <c r="B2323" s="18" t="s">
        <v>5</v>
      </c>
      <c r="C2323" s="19">
        <v>13.747999999999998</v>
      </c>
    </row>
    <row r="2324" spans="2:3">
      <c r="B2324" s="18" t="s">
        <v>5</v>
      </c>
      <c r="C2324" s="19">
        <v>15.223999999999997</v>
      </c>
    </row>
    <row r="2325" spans="2:3">
      <c r="B2325" s="18" t="s">
        <v>5</v>
      </c>
      <c r="C2325" s="19">
        <v>28.08</v>
      </c>
    </row>
    <row r="2326" spans="2:3">
      <c r="B2326" s="18" t="s">
        <v>5</v>
      </c>
      <c r="C2326" s="19">
        <v>109.9</v>
      </c>
    </row>
    <row r="2327" spans="2:3">
      <c r="B2327" s="18" t="s">
        <v>5</v>
      </c>
      <c r="C2327" s="19">
        <v>26.2</v>
      </c>
    </row>
    <row r="2328" spans="2:3">
      <c r="B2328" s="18" t="s">
        <v>5</v>
      </c>
      <c r="C2328" s="19">
        <v>12.96</v>
      </c>
    </row>
    <row r="2329" spans="2:3">
      <c r="B2329" s="18" t="s">
        <v>5</v>
      </c>
      <c r="C2329" s="19">
        <v>118.25</v>
      </c>
    </row>
    <row r="2330" spans="2:3">
      <c r="B2330" s="18" t="s">
        <v>5</v>
      </c>
      <c r="C2330" s="19">
        <v>4.28</v>
      </c>
    </row>
    <row r="2331" spans="2:3">
      <c r="B2331" s="18" t="s">
        <v>5</v>
      </c>
      <c r="C2331" s="19">
        <v>175.44</v>
      </c>
    </row>
    <row r="2332" spans="2:3">
      <c r="B2332" s="18" t="s">
        <v>5</v>
      </c>
      <c r="C2332" s="19">
        <v>55.584000000000003</v>
      </c>
    </row>
    <row r="2333" spans="2:3">
      <c r="B2333" s="18" t="s">
        <v>5</v>
      </c>
      <c r="C2333" s="19">
        <v>20.64</v>
      </c>
    </row>
    <row r="2334" spans="2:3">
      <c r="B2334" s="18" t="s">
        <v>5</v>
      </c>
      <c r="C2334" s="19">
        <v>33.29</v>
      </c>
    </row>
    <row r="2335" spans="2:3">
      <c r="B2335" s="18" t="s">
        <v>5</v>
      </c>
      <c r="C2335" s="19">
        <v>204.95000000000002</v>
      </c>
    </row>
    <row r="2336" spans="2:3">
      <c r="B2336" s="18" t="s">
        <v>5</v>
      </c>
      <c r="C2336" s="19">
        <v>49.12</v>
      </c>
    </row>
    <row r="2337" spans="2:3">
      <c r="B2337" s="18" t="s">
        <v>5</v>
      </c>
      <c r="C2337" s="19">
        <v>32.479999999999997</v>
      </c>
    </row>
    <row r="2338" spans="2:3">
      <c r="B2338" s="18" t="s">
        <v>5</v>
      </c>
      <c r="C2338" s="19">
        <v>20.04</v>
      </c>
    </row>
    <row r="2339" spans="2:3">
      <c r="B2339" s="18" t="s">
        <v>5</v>
      </c>
      <c r="C2339" s="19">
        <v>61.96</v>
      </c>
    </row>
    <row r="2340" spans="2:3">
      <c r="B2340" s="18" t="s">
        <v>5</v>
      </c>
      <c r="C2340" s="19">
        <v>16.032</v>
      </c>
    </row>
    <row r="2341" spans="2:3">
      <c r="B2341" s="18" t="s">
        <v>5</v>
      </c>
      <c r="C2341" s="19">
        <v>63.311999999999998</v>
      </c>
    </row>
    <row r="2342" spans="2:3">
      <c r="B2342" s="18" t="s">
        <v>5</v>
      </c>
      <c r="C2342" s="19">
        <v>38.880000000000003</v>
      </c>
    </row>
    <row r="2343" spans="2:3">
      <c r="B2343" s="18" t="s">
        <v>5</v>
      </c>
      <c r="C2343" s="19">
        <v>71.959999999999994</v>
      </c>
    </row>
    <row r="2344" spans="2:3">
      <c r="B2344" s="18" t="s">
        <v>5</v>
      </c>
      <c r="C2344" s="19">
        <v>15.552000000000003</v>
      </c>
    </row>
    <row r="2345" spans="2:3">
      <c r="B2345" s="18" t="s">
        <v>5</v>
      </c>
      <c r="C2345" s="19">
        <v>10.429999999999996</v>
      </c>
    </row>
    <row r="2346" spans="2:3">
      <c r="B2346" s="18" t="s">
        <v>5</v>
      </c>
      <c r="C2346" s="19">
        <v>72.784000000000006</v>
      </c>
    </row>
    <row r="2347" spans="2:3">
      <c r="B2347" s="18" t="s">
        <v>5</v>
      </c>
      <c r="C2347" s="19">
        <v>81.567999999999998</v>
      </c>
    </row>
    <row r="2348" spans="2:3">
      <c r="B2348" s="18" t="s">
        <v>5</v>
      </c>
      <c r="C2348" s="19">
        <v>189.7</v>
      </c>
    </row>
    <row r="2349" spans="2:3">
      <c r="B2349" s="18" t="s">
        <v>5</v>
      </c>
      <c r="C2349" s="19">
        <v>40.99</v>
      </c>
    </row>
    <row r="2350" spans="2:3">
      <c r="B2350" s="18" t="s">
        <v>5</v>
      </c>
      <c r="C2350" s="19">
        <v>3.3280000000000003</v>
      </c>
    </row>
    <row r="2351" spans="2:3">
      <c r="B2351" s="18" t="s">
        <v>5</v>
      </c>
      <c r="C2351" s="19">
        <v>4.7679999999999998</v>
      </c>
    </row>
    <row r="2352" spans="2:3">
      <c r="B2352" s="18" t="s">
        <v>5</v>
      </c>
      <c r="C2352" s="19">
        <v>6.6720000000000006</v>
      </c>
    </row>
    <row r="2353" spans="2:3">
      <c r="B2353" s="18" t="s">
        <v>5</v>
      </c>
      <c r="C2353" s="19">
        <v>4.4479999999999995</v>
      </c>
    </row>
    <row r="2354" spans="2:3">
      <c r="B2354" s="18" t="s">
        <v>5</v>
      </c>
      <c r="C2354" s="19">
        <v>192.16</v>
      </c>
    </row>
    <row r="2355" spans="2:3">
      <c r="B2355" s="18" t="s">
        <v>5</v>
      </c>
      <c r="C2355" s="19">
        <v>46.74</v>
      </c>
    </row>
    <row r="2356" spans="2:3">
      <c r="B2356" s="18" t="s">
        <v>5</v>
      </c>
      <c r="C2356" s="19">
        <v>100.70400000000001</v>
      </c>
    </row>
    <row r="2357" spans="2:3">
      <c r="B2357" s="18" t="s">
        <v>5</v>
      </c>
      <c r="C2357" s="19">
        <v>31.680000000000003</v>
      </c>
    </row>
    <row r="2358" spans="2:3">
      <c r="B2358" s="18" t="s">
        <v>5</v>
      </c>
      <c r="C2358" s="19">
        <v>9.3439999999999994</v>
      </c>
    </row>
    <row r="2359" spans="2:3">
      <c r="B2359" s="18" t="s">
        <v>5</v>
      </c>
      <c r="C2359" s="19">
        <v>1085.42</v>
      </c>
    </row>
    <row r="2360" spans="2:3">
      <c r="B2360" s="18" t="s">
        <v>5</v>
      </c>
      <c r="C2360" s="19">
        <v>675.06000000000006</v>
      </c>
    </row>
    <row r="2361" spans="2:3">
      <c r="B2361" s="18" t="s">
        <v>5</v>
      </c>
      <c r="C2361" s="19">
        <v>65.231999999999999</v>
      </c>
    </row>
    <row r="2362" spans="2:3">
      <c r="B2362" s="18" t="s">
        <v>5</v>
      </c>
      <c r="C2362" s="19">
        <v>18.368000000000002</v>
      </c>
    </row>
    <row r="2363" spans="2:3">
      <c r="B2363" s="18" t="s">
        <v>5</v>
      </c>
      <c r="C2363" s="19">
        <v>1.752</v>
      </c>
    </row>
    <row r="2364" spans="2:3">
      <c r="B2364" s="18" t="s">
        <v>5</v>
      </c>
      <c r="C2364" s="19">
        <v>20.992000000000001</v>
      </c>
    </row>
    <row r="2365" spans="2:3">
      <c r="B2365" s="18" t="s">
        <v>5</v>
      </c>
      <c r="C2365" s="19">
        <v>11.21</v>
      </c>
    </row>
    <row r="2366" spans="2:3">
      <c r="B2366" s="18" t="s">
        <v>5</v>
      </c>
      <c r="C2366" s="19">
        <v>61.68</v>
      </c>
    </row>
    <row r="2367" spans="2:3">
      <c r="B2367" s="18" t="s">
        <v>5</v>
      </c>
      <c r="C2367" s="19">
        <v>2.8639999999999994</v>
      </c>
    </row>
    <row r="2368" spans="2:3">
      <c r="B2368" s="18" t="s">
        <v>5</v>
      </c>
      <c r="C2368" s="19">
        <v>94.191999999999979</v>
      </c>
    </row>
    <row r="2369" spans="2:3">
      <c r="B2369" s="18" t="s">
        <v>5</v>
      </c>
      <c r="C2369" s="19">
        <v>143.69999999999999</v>
      </c>
    </row>
    <row r="2370" spans="2:3">
      <c r="B2370" s="18" t="s">
        <v>5</v>
      </c>
      <c r="C2370" s="19">
        <v>6.48</v>
      </c>
    </row>
    <row r="2371" spans="2:3">
      <c r="B2371" s="18" t="s">
        <v>5</v>
      </c>
      <c r="C2371" s="19">
        <v>299.52</v>
      </c>
    </row>
    <row r="2372" spans="2:3">
      <c r="B2372" s="18" t="s">
        <v>5</v>
      </c>
      <c r="C2372" s="19">
        <v>61.44</v>
      </c>
    </row>
    <row r="2373" spans="2:3">
      <c r="B2373" s="18" t="s">
        <v>5</v>
      </c>
      <c r="C2373" s="19">
        <v>26.388000000000002</v>
      </c>
    </row>
    <row r="2374" spans="2:3">
      <c r="B2374" s="18" t="s">
        <v>5</v>
      </c>
      <c r="C2374" s="19">
        <v>64.2</v>
      </c>
    </row>
    <row r="2375" spans="2:3">
      <c r="B2375" s="18" t="s">
        <v>5</v>
      </c>
      <c r="C2375" s="19">
        <v>8</v>
      </c>
    </row>
    <row r="2376" spans="2:3">
      <c r="B2376" s="18" t="s">
        <v>5</v>
      </c>
      <c r="C2376" s="19">
        <v>31.744</v>
      </c>
    </row>
    <row r="2377" spans="2:3">
      <c r="B2377" s="18" t="s">
        <v>5</v>
      </c>
      <c r="C2377" s="19">
        <v>5.4319999999999986</v>
      </c>
    </row>
    <row r="2378" spans="2:3">
      <c r="B2378" s="18" t="s">
        <v>5</v>
      </c>
      <c r="C2378" s="19">
        <v>372.14400000000001</v>
      </c>
    </row>
    <row r="2379" spans="2:3">
      <c r="B2379" s="18" t="s">
        <v>5</v>
      </c>
      <c r="C2379" s="19">
        <v>64.384</v>
      </c>
    </row>
    <row r="2380" spans="2:3">
      <c r="B2380" s="18" t="s">
        <v>5</v>
      </c>
      <c r="C2380" s="19">
        <v>11.808</v>
      </c>
    </row>
    <row r="2381" spans="2:3">
      <c r="B2381" s="18" t="s">
        <v>5</v>
      </c>
      <c r="C2381" s="19">
        <v>11.76</v>
      </c>
    </row>
    <row r="2382" spans="2:3">
      <c r="B2382" s="18" t="s">
        <v>5</v>
      </c>
      <c r="C2382" s="19">
        <v>28.91</v>
      </c>
    </row>
    <row r="2383" spans="2:3">
      <c r="B2383" s="18" t="s">
        <v>5</v>
      </c>
      <c r="C2383" s="19">
        <v>174.95000000000002</v>
      </c>
    </row>
    <row r="2384" spans="2:3">
      <c r="B2384" s="18" t="s">
        <v>5</v>
      </c>
      <c r="C2384" s="19">
        <v>106.32</v>
      </c>
    </row>
    <row r="2385" spans="2:3">
      <c r="B2385" s="18" t="s">
        <v>5</v>
      </c>
      <c r="C2385" s="19">
        <v>147.91999999999999</v>
      </c>
    </row>
    <row r="2386" spans="2:3">
      <c r="B2386" s="18" t="s">
        <v>5</v>
      </c>
      <c r="C2386" s="19">
        <v>104.28</v>
      </c>
    </row>
    <row r="2387" spans="2:3">
      <c r="B2387" s="18" t="s">
        <v>5</v>
      </c>
      <c r="C2387" s="19">
        <v>66.959999999999994</v>
      </c>
    </row>
    <row r="2388" spans="2:3">
      <c r="B2388" s="18" t="s">
        <v>5</v>
      </c>
      <c r="C2388" s="19">
        <v>17.899999999999999</v>
      </c>
    </row>
    <row r="2389" spans="2:3">
      <c r="B2389" s="18" t="s">
        <v>5</v>
      </c>
      <c r="C2389" s="19">
        <v>4.3600000000000003</v>
      </c>
    </row>
    <row r="2390" spans="2:3">
      <c r="B2390" s="18" t="s">
        <v>5</v>
      </c>
      <c r="C2390" s="19">
        <v>84.415999999999997</v>
      </c>
    </row>
    <row r="2391" spans="2:3">
      <c r="B2391" s="18" t="s">
        <v>5</v>
      </c>
      <c r="C2391" s="19">
        <v>43.44</v>
      </c>
    </row>
    <row r="2392" spans="2:3">
      <c r="B2392" s="18" t="s">
        <v>5</v>
      </c>
      <c r="C2392" s="19">
        <v>2.2200000000000002</v>
      </c>
    </row>
    <row r="2393" spans="2:3">
      <c r="B2393" s="18" t="s">
        <v>5</v>
      </c>
      <c r="C2393" s="19">
        <v>3.5639999999999992</v>
      </c>
    </row>
    <row r="2394" spans="2:3">
      <c r="B2394" s="18" t="s">
        <v>5</v>
      </c>
      <c r="C2394" s="19">
        <v>3</v>
      </c>
    </row>
    <row r="2395" spans="2:3">
      <c r="B2395" s="18" t="s">
        <v>5</v>
      </c>
      <c r="C2395" s="19">
        <v>37.896000000000001</v>
      </c>
    </row>
    <row r="2396" spans="2:3">
      <c r="B2396" s="18" t="s">
        <v>5</v>
      </c>
      <c r="C2396" s="19">
        <v>65.584000000000003</v>
      </c>
    </row>
    <row r="2397" spans="2:3">
      <c r="B2397" s="18" t="s">
        <v>5</v>
      </c>
      <c r="C2397" s="19">
        <v>44.783999999999999</v>
      </c>
    </row>
    <row r="2398" spans="2:3">
      <c r="B2398" s="18" t="s">
        <v>5</v>
      </c>
      <c r="C2398" s="19">
        <v>5.76</v>
      </c>
    </row>
    <row r="2399" spans="2:3">
      <c r="B2399" s="18" t="s">
        <v>5</v>
      </c>
      <c r="C2399" s="19">
        <v>20.7</v>
      </c>
    </row>
    <row r="2400" spans="2:3">
      <c r="B2400" s="18" t="s">
        <v>5</v>
      </c>
      <c r="C2400" s="19">
        <v>45.68</v>
      </c>
    </row>
    <row r="2401" spans="2:3">
      <c r="B2401" s="18" t="s">
        <v>5</v>
      </c>
      <c r="C2401" s="19">
        <v>110.96</v>
      </c>
    </row>
    <row r="2402" spans="2:3">
      <c r="B2402" s="18" t="s">
        <v>5</v>
      </c>
      <c r="C2402" s="19">
        <v>11.94</v>
      </c>
    </row>
    <row r="2403" spans="2:3">
      <c r="B2403" s="18" t="s">
        <v>5</v>
      </c>
      <c r="C2403" s="19">
        <v>5.9399999999999995</v>
      </c>
    </row>
    <row r="2404" spans="2:3">
      <c r="B2404" s="18" t="s">
        <v>5</v>
      </c>
      <c r="C2404" s="19">
        <v>20.736000000000004</v>
      </c>
    </row>
    <row r="2405" spans="2:3">
      <c r="B2405" s="18" t="s">
        <v>5</v>
      </c>
      <c r="C2405" s="19">
        <v>55.86</v>
      </c>
    </row>
    <row r="2406" spans="2:3">
      <c r="B2406" s="18" t="s">
        <v>5</v>
      </c>
      <c r="C2406" s="19">
        <v>5.1930000000000005</v>
      </c>
    </row>
    <row r="2407" spans="2:3">
      <c r="B2407" s="18" t="s">
        <v>5</v>
      </c>
      <c r="C2407" s="19">
        <v>54.224000000000004</v>
      </c>
    </row>
    <row r="2408" spans="2:3">
      <c r="B2408" s="18" t="s">
        <v>5</v>
      </c>
      <c r="C2408" s="19">
        <v>30.84</v>
      </c>
    </row>
    <row r="2409" spans="2:3">
      <c r="B2409" s="18" t="s">
        <v>5</v>
      </c>
      <c r="C2409" s="19">
        <v>4.8420000000000005</v>
      </c>
    </row>
    <row r="2410" spans="2:3">
      <c r="B2410" s="18" t="s">
        <v>5</v>
      </c>
      <c r="C2410" s="19">
        <v>14.336000000000002</v>
      </c>
    </row>
    <row r="2411" spans="2:3">
      <c r="B2411" s="18" t="s">
        <v>5</v>
      </c>
      <c r="C2411" s="19">
        <v>31.16</v>
      </c>
    </row>
    <row r="2412" spans="2:3">
      <c r="B2412" s="18" t="s">
        <v>5</v>
      </c>
      <c r="C2412" s="19">
        <v>11.088000000000003</v>
      </c>
    </row>
    <row r="2413" spans="2:3">
      <c r="B2413" s="18" t="s">
        <v>5</v>
      </c>
      <c r="C2413" s="19">
        <v>168.1</v>
      </c>
    </row>
    <row r="2414" spans="2:3">
      <c r="B2414" s="18" t="s">
        <v>5</v>
      </c>
      <c r="C2414" s="19">
        <v>4.7679999999999998</v>
      </c>
    </row>
    <row r="2415" spans="2:3">
      <c r="B2415" s="18" t="s">
        <v>5</v>
      </c>
      <c r="C2415" s="19">
        <v>7.98</v>
      </c>
    </row>
    <row r="2416" spans="2:3">
      <c r="B2416" s="18" t="s">
        <v>5</v>
      </c>
      <c r="C2416" s="19">
        <v>18.687999999999999</v>
      </c>
    </row>
    <row r="2417" spans="2:3">
      <c r="B2417" s="18" t="s">
        <v>5</v>
      </c>
      <c r="C2417" s="19">
        <v>65.12</v>
      </c>
    </row>
    <row r="2418" spans="2:3">
      <c r="B2418" s="18" t="s">
        <v>5</v>
      </c>
      <c r="C2418" s="19">
        <v>20.768000000000001</v>
      </c>
    </row>
    <row r="2419" spans="2:3">
      <c r="B2419" s="18" t="s">
        <v>5</v>
      </c>
      <c r="C2419" s="19">
        <v>760.97999999999979</v>
      </c>
    </row>
    <row r="2420" spans="2:3">
      <c r="B2420" s="18" t="s">
        <v>5</v>
      </c>
      <c r="C2420" s="19">
        <v>67.860000000000014</v>
      </c>
    </row>
    <row r="2421" spans="2:3">
      <c r="B2421" s="18" t="s">
        <v>5</v>
      </c>
      <c r="C2421" s="19">
        <v>18.368000000000002</v>
      </c>
    </row>
    <row r="2422" spans="2:3">
      <c r="B2422" s="18" t="s">
        <v>5</v>
      </c>
      <c r="C2422" s="19">
        <v>50.352000000000004</v>
      </c>
    </row>
    <row r="2423" spans="2:3">
      <c r="B2423" s="18" t="s">
        <v>5</v>
      </c>
      <c r="C2423" s="19">
        <v>28.031999999999996</v>
      </c>
    </row>
    <row r="2424" spans="2:3">
      <c r="B2424" s="18" t="s">
        <v>5</v>
      </c>
      <c r="C2424" s="19">
        <v>5.16</v>
      </c>
    </row>
    <row r="2425" spans="2:3">
      <c r="B2425" s="18" t="s">
        <v>5</v>
      </c>
      <c r="C2425" s="19">
        <v>96.359999999999985</v>
      </c>
    </row>
    <row r="2426" spans="2:3">
      <c r="B2426" s="18" t="s">
        <v>5</v>
      </c>
      <c r="C2426" s="19">
        <v>76.608000000000004</v>
      </c>
    </row>
    <row r="2427" spans="2:3">
      <c r="B2427" s="18" t="s">
        <v>5</v>
      </c>
      <c r="C2427" s="19">
        <v>142.77600000000001</v>
      </c>
    </row>
    <row r="2428" spans="2:3">
      <c r="B2428" s="18" t="s">
        <v>5</v>
      </c>
      <c r="C2428" s="19">
        <v>91.360000000000014</v>
      </c>
    </row>
    <row r="2429" spans="2:3">
      <c r="B2429" s="18" t="s">
        <v>5</v>
      </c>
      <c r="C2429" s="19">
        <v>29.800000000000004</v>
      </c>
    </row>
    <row r="2430" spans="2:3">
      <c r="B2430" s="18" t="s">
        <v>5</v>
      </c>
      <c r="C2430" s="19">
        <v>1.8240000000000003</v>
      </c>
    </row>
    <row r="2431" spans="2:3">
      <c r="B2431" s="18" t="s">
        <v>5</v>
      </c>
      <c r="C2431" s="19">
        <v>46.2</v>
      </c>
    </row>
    <row r="2432" spans="2:3">
      <c r="B2432" s="18" t="s">
        <v>5</v>
      </c>
      <c r="C2432" s="19">
        <v>19.440000000000001</v>
      </c>
    </row>
    <row r="2433" spans="2:3">
      <c r="B2433" s="18" t="s">
        <v>5</v>
      </c>
      <c r="C2433" s="19">
        <v>8.1000000000000014</v>
      </c>
    </row>
    <row r="2434" spans="2:3">
      <c r="B2434" s="18" t="s">
        <v>5</v>
      </c>
      <c r="C2434" s="19">
        <v>13.247999999999999</v>
      </c>
    </row>
    <row r="2435" spans="2:3">
      <c r="B2435" s="18" t="s">
        <v>5</v>
      </c>
      <c r="C2435" s="19">
        <v>30.960000000000004</v>
      </c>
    </row>
    <row r="2436" spans="2:3">
      <c r="B2436" s="18" t="s">
        <v>5</v>
      </c>
      <c r="C2436" s="19">
        <v>17.712</v>
      </c>
    </row>
    <row r="2437" spans="2:3">
      <c r="B2437" s="18" t="s">
        <v>5</v>
      </c>
      <c r="C2437" s="19">
        <v>4.8600000000000012</v>
      </c>
    </row>
    <row r="2438" spans="2:3">
      <c r="B2438" s="18" t="s">
        <v>5</v>
      </c>
      <c r="C2438" s="19">
        <v>6.2580000000000009</v>
      </c>
    </row>
    <row r="2439" spans="2:3">
      <c r="B2439" s="18" t="s">
        <v>5</v>
      </c>
      <c r="C2439" s="19">
        <v>942.78400000000011</v>
      </c>
    </row>
    <row r="2440" spans="2:3">
      <c r="B2440" s="18" t="s">
        <v>5</v>
      </c>
      <c r="C2440" s="19">
        <v>74.352000000000004</v>
      </c>
    </row>
    <row r="2441" spans="2:3">
      <c r="B2441" s="18" t="s">
        <v>5</v>
      </c>
      <c r="C2441" s="19">
        <v>4.6079999999999997</v>
      </c>
    </row>
    <row r="2442" spans="2:3">
      <c r="B2442" s="18" t="s">
        <v>5</v>
      </c>
      <c r="C2442" s="19">
        <v>15.552000000000003</v>
      </c>
    </row>
    <row r="2443" spans="2:3">
      <c r="B2443" s="18" t="s">
        <v>5</v>
      </c>
      <c r="C2443" s="19">
        <v>10.688000000000001</v>
      </c>
    </row>
    <row r="2444" spans="2:3">
      <c r="B2444" s="18" t="s">
        <v>5</v>
      </c>
      <c r="C2444" s="19">
        <v>102.72</v>
      </c>
    </row>
    <row r="2445" spans="2:3">
      <c r="B2445" s="18" t="s">
        <v>5</v>
      </c>
      <c r="C2445" s="19">
        <v>33.282000000000004</v>
      </c>
    </row>
    <row r="2446" spans="2:3">
      <c r="B2446" s="18" t="s">
        <v>5</v>
      </c>
      <c r="C2446" s="19">
        <v>14.76</v>
      </c>
    </row>
    <row r="2447" spans="2:3">
      <c r="B2447" s="18" t="s">
        <v>5</v>
      </c>
      <c r="C2447" s="19">
        <v>37.520000000000003</v>
      </c>
    </row>
    <row r="2448" spans="2:3">
      <c r="B2448" s="18" t="s">
        <v>5</v>
      </c>
      <c r="C2448" s="19">
        <v>4.0860000000000003</v>
      </c>
    </row>
    <row r="2449" spans="2:3">
      <c r="B2449" s="18" t="s">
        <v>5</v>
      </c>
      <c r="C2449" s="19">
        <v>55.984000000000009</v>
      </c>
    </row>
    <row r="2450" spans="2:3">
      <c r="B2450" s="18" t="s">
        <v>5</v>
      </c>
      <c r="C2450" s="19">
        <v>10.688000000000001</v>
      </c>
    </row>
    <row r="2451" spans="2:3">
      <c r="B2451" s="18" t="s">
        <v>5</v>
      </c>
      <c r="C2451" s="19">
        <v>8.8559999999999999</v>
      </c>
    </row>
    <row r="2452" spans="2:3">
      <c r="B2452" s="18" t="s">
        <v>5</v>
      </c>
      <c r="C2452" s="19">
        <v>15.51</v>
      </c>
    </row>
    <row r="2453" spans="2:3">
      <c r="B2453" s="18" t="s">
        <v>5</v>
      </c>
      <c r="C2453" s="19">
        <v>14.28</v>
      </c>
    </row>
    <row r="2454" spans="2:3">
      <c r="B2454" s="18" t="s">
        <v>5</v>
      </c>
      <c r="C2454" s="19">
        <v>12.72</v>
      </c>
    </row>
    <row r="2455" spans="2:3">
      <c r="B2455" s="18" t="s">
        <v>5</v>
      </c>
      <c r="C2455" s="19">
        <v>15.75</v>
      </c>
    </row>
    <row r="2456" spans="2:3">
      <c r="B2456" s="18" t="s">
        <v>5</v>
      </c>
      <c r="C2456" s="19">
        <v>7.2359999999999998</v>
      </c>
    </row>
    <row r="2457" spans="2:3">
      <c r="B2457" s="18" t="s">
        <v>5</v>
      </c>
      <c r="C2457" s="19">
        <v>4.8239999999999998</v>
      </c>
    </row>
    <row r="2458" spans="2:3">
      <c r="B2458" s="18" t="s">
        <v>5</v>
      </c>
      <c r="C2458" s="19">
        <v>91.360000000000014</v>
      </c>
    </row>
    <row r="2459" spans="2:3">
      <c r="B2459" s="18" t="s">
        <v>5</v>
      </c>
      <c r="C2459" s="19">
        <v>130.11199999999999</v>
      </c>
    </row>
    <row r="2460" spans="2:3">
      <c r="B2460" s="18" t="s">
        <v>5</v>
      </c>
      <c r="C2460" s="19">
        <v>21.312000000000005</v>
      </c>
    </row>
    <row r="2461" spans="2:3">
      <c r="B2461" s="18" t="s">
        <v>5</v>
      </c>
      <c r="C2461" s="19">
        <v>5083.96</v>
      </c>
    </row>
    <row r="2462" spans="2:3">
      <c r="B2462" s="18" t="s">
        <v>5</v>
      </c>
      <c r="C2462" s="19">
        <v>15.920000000000002</v>
      </c>
    </row>
    <row r="2463" spans="2:3">
      <c r="B2463" s="18" t="s">
        <v>5</v>
      </c>
      <c r="C2463" s="19">
        <v>541.24</v>
      </c>
    </row>
    <row r="2464" spans="2:3">
      <c r="B2464" s="18" t="s">
        <v>5</v>
      </c>
      <c r="C2464" s="19">
        <v>21.989999999999995</v>
      </c>
    </row>
    <row r="2465" spans="2:3">
      <c r="B2465" s="18" t="s">
        <v>5</v>
      </c>
      <c r="C2465" s="19">
        <v>34.049999999999997</v>
      </c>
    </row>
    <row r="2466" spans="2:3">
      <c r="B2466" s="18" t="s">
        <v>5</v>
      </c>
      <c r="C2466" s="19">
        <v>14.352000000000002</v>
      </c>
    </row>
    <row r="2467" spans="2:3">
      <c r="B2467" s="18" t="s">
        <v>5</v>
      </c>
      <c r="C2467" s="19">
        <v>21.93</v>
      </c>
    </row>
    <row r="2468" spans="2:3">
      <c r="B2468" s="18" t="s">
        <v>5</v>
      </c>
      <c r="C2468" s="19">
        <v>3.5640000000000009</v>
      </c>
    </row>
    <row r="2469" spans="2:3">
      <c r="B2469" s="18" t="s">
        <v>5</v>
      </c>
      <c r="C2469" s="19">
        <v>4.9280000000000008</v>
      </c>
    </row>
    <row r="2470" spans="2:3">
      <c r="B2470" s="18" t="s">
        <v>5</v>
      </c>
      <c r="C2470" s="19">
        <v>4.572000000000001</v>
      </c>
    </row>
    <row r="2471" spans="2:3">
      <c r="B2471" s="18" t="s">
        <v>5</v>
      </c>
      <c r="C2471" s="19">
        <v>12.672000000000001</v>
      </c>
    </row>
    <row r="2472" spans="2:3">
      <c r="B2472" s="18" t="s">
        <v>5</v>
      </c>
      <c r="C2472" s="19">
        <v>19.440000000000001</v>
      </c>
    </row>
    <row r="2473" spans="2:3">
      <c r="B2473" s="18" t="s">
        <v>5</v>
      </c>
      <c r="C2473" s="19">
        <v>12.3</v>
      </c>
    </row>
    <row r="2474" spans="2:3">
      <c r="B2474" s="18" t="s">
        <v>5</v>
      </c>
      <c r="C2474" s="19">
        <v>26.160000000000004</v>
      </c>
    </row>
    <row r="2475" spans="2:3">
      <c r="B2475" s="18" t="s">
        <v>5</v>
      </c>
      <c r="C2475" s="19">
        <v>23.128</v>
      </c>
    </row>
    <row r="2476" spans="2:3">
      <c r="B2476" s="18" t="s">
        <v>5</v>
      </c>
      <c r="C2476" s="19">
        <v>59.24</v>
      </c>
    </row>
    <row r="2477" spans="2:3">
      <c r="B2477" s="18" t="s">
        <v>5</v>
      </c>
      <c r="C2477" s="19">
        <v>67.839999999999989</v>
      </c>
    </row>
    <row r="2478" spans="2:3">
      <c r="B2478" s="18" t="s">
        <v>5</v>
      </c>
      <c r="C2478" s="19">
        <v>18.687999999999999</v>
      </c>
    </row>
    <row r="2479" spans="2:3">
      <c r="B2479" s="18" t="s">
        <v>5</v>
      </c>
      <c r="C2479" s="19">
        <v>1.2479999999999998</v>
      </c>
    </row>
    <row r="2480" spans="2:3">
      <c r="B2480" s="18" t="s">
        <v>5</v>
      </c>
      <c r="C2480" s="19">
        <v>19.728000000000002</v>
      </c>
    </row>
    <row r="2481" spans="2:3">
      <c r="B2481" s="18" t="s">
        <v>5</v>
      </c>
      <c r="C2481" s="19">
        <v>36.288000000000011</v>
      </c>
    </row>
    <row r="2482" spans="2:3">
      <c r="B2482" s="18" t="s">
        <v>5</v>
      </c>
      <c r="C2482" s="19">
        <v>78.304000000000002</v>
      </c>
    </row>
    <row r="2483" spans="2:3">
      <c r="B2483" s="18" t="s">
        <v>5</v>
      </c>
      <c r="C2483" s="19">
        <v>6.1039999999999983</v>
      </c>
    </row>
    <row r="2484" spans="2:3">
      <c r="B2484" s="18" t="s">
        <v>5</v>
      </c>
      <c r="C2484" s="19">
        <v>56.704000000000001</v>
      </c>
    </row>
    <row r="2485" spans="2:3">
      <c r="B2485" s="18" t="s">
        <v>5</v>
      </c>
      <c r="C2485" s="19">
        <v>274.06400000000002</v>
      </c>
    </row>
    <row r="2486" spans="2:3">
      <c r="B2486" s="18" t="s">
        <v>5</v>
      </c>
      <c r="C2486" s="19">
        <v>92.52</v>
      </c>
    </row>
    <row r="2487" spans="2:3">
      <c r="B2487" s="18" t="s">
        <v>5</v>
      </c>
      <c r="C2487" s="19">
        <v>37.76</v>
      </c>
    </row>
    <row r="2488" spans="2:3">
      <c r="B2488" s="18" t="s">
        <v>5</v>
      </c>
      <c r="C2488" s="19">
        <v>7.38</v>
      </c>
    </row>
    <row r="2489" spans="2:3">
      <c r="B2489" s="18" t="s">
        <v>5</v>
      </c>
      <c r="C2489" s="19">
        <v>3.8159999999999998</v>
      </c>
    </row>
    <row r="2490" spans="2:3">
      <c r="B2490" s="18" t="s">
        <v>5</v>
      </c>
      <c r="C2490" s="19">
        <v>26.16</v>
      </c>
    </row>
    <row r="2491" spans="2:3">
      <c r="B2491" s="18" t="s">
        <v>5</v>
      </c>
      <c r="C2491" s="19">
        <v>13.899999999999999</v>
      </c>
    </row>
    <row r="2492" spans="2:3">
      <c r="B2492" s="18" t="s">
        <v>5</v>
      </c>
      <c r="C2492" s="19">
        <v>19.399999999999999</v>
      </c>
    </row>
    <row r="2493" spans="2:3">
      <c r="B2493" s="18" t="s">
        <v>5</v>
      </c>
      <c r="C2493" s="19">
        <v>314.60000000000002</v>
      </c>
    </row>
    <row r="2494" spans="2:3">
      <c r="B2494" s="18" t="s">
        <v>5</v>
      </c>
      <c r="C2494" s="19">
        <v>5.9840000000000009</v>
      </c>
    </row>
    <row r="2495" spans="2:3">
      <c r="B2495" s="18" t="s">
        <v>5</v>
      </c>
      <c r="C2495" s="19">
        <v>29.950000000000003</v>
      </c>
    </row>
    <row r="2496" spans="2:3">
      <c r="B2496" s="18" t="s">
        <v>5</v>
      </c>
      <c r="C2496" s="19">
        <v>44.400000000000006</v>
      </c>
    </row>
    <row r="2497" spans="2:3">
      <c r="B2497" s="18" t="s">
        <v>5</v>
      </c>
      <c r="C2497" s="19">
        <v>21.96</v>
      </c>
    </row>
    <row r="2498" spans="2:3">
      <c r="B2498" s="18" t="s">
        <v>5</v>
      </c>
      <c r="C2498" s="19">
        <v>19.440000000000001</v>
      </c>
    </row>
    <row r="2499" spans="2:3">
      <c r="B2499" s="18" t="s">
        <v>5</v>
      </c>
      <c r="C2499" s="19">
        <v>5.56</v>
      </c>
    </row>
    <row r="2500" spans="2:3">
      <c r="B2500" s="18" t="s">
        <v>5</v>
      </c>
      <c r="C2500" s="19">
        <v>348.56</v>
      </c>
    </row>
    <row r="2501" spans="2:3">
      <c r="B2501" s="18" t="s">
        <v>5</v>
      </c>
      <c r="C2501" s="19">
        <v>10.368000000000002</v>
      </c>
    </row>
    <row r="2502" spans="2:3">
      <c r="B2502" s="18" t="s">
        <v>5</v>
      </c>
      <c r="C2502" s="19">
        <v>21.696000000000002</v>
      </c>
    </row>
    <row r="2503" spans="2:3">
      <c r="B2503" s="18" t="s">
        <v>5</v>
      </c>
      <c r="C2503" s="19">
        <v>90.86</v>
      </c>
    </row>
    <row r="2504" spans="2:3">
      <c r="B2504" s="18" t="s">
        <v>5</v>
      </c>
      <c r="C2504" s="19">
        <v>7.78</v>
      </c>
    </row>
    <row r="2505" spans="2:3">
      <c r="B2505" s="18" t="s">
        <v>5</v>
      </c>
      <c r="C2505" s="19">
        <v>50.135999999999996</v>
      </c>
    </row>
    <row r="2506" spans="2:3">
      <c r="B2506" s="18" t="s">
        <v>5</v>
      </c>
      <c r="C2506" s="19">
        <v>88.074000000000012</v>
      </c>
    </row>
    <row r="2507" spans="2:3">
      <c r="B2507" s="18" t="s">
        <v>5</v>
      </c>
      <c r="C2507" s="19">
        <v>125.13</v>
      </c>
    </row>
    <row r="2508" spans="2:3">
      <c r="B2508" s="18" t="s">
        <v>5</v>
      </c>
      <c r="C2508" s="19">
        <v>8.2880000000000003</v>
      </c>
    </row>
    <row r="2509" spans="2:3">
      <c r="B2509" s="18" t="s">
        <v>5</v>
      </c>
      <c r="C2509" s="19">
        <v>64.900000000000006</v>
      </c>
    </row>
    <row r="2510" spans="2:3">
      <c r="B2510" s="18" t="s">
        <v>5</v>
      </c>
      <c r="C2510" s="19">
        <v>19.440000000000001</v>
      </c>
    </row>
    <row r="2511" spans="2:3">
      <c r="B2511" s="18" t="s">
        <v>5</v>
      </c>
      <c r="C2511" s="19">
        <v>11.952000000000002</v>
      </c>
    </row>
    <row r="2512" spans="2:3">
      <c r="B2512" s="18" t="s">
        <v>5</v>
      </c>
      <c r="C2512" s="19">
        <v>31.128000000000004</v>
      </c>
    </row>
    <row r="2513" spans="2:3">
      <c r="B2513" s="18" t="s">
        <v>5</v>
      </c>
      <c r="C2513" s="19">
        <v>24.56</v>
      </c>
    </row>
    <row r="2514" spans="2:3">
      <c r="B2514" s="18" t="s">
        <v>5</v>
      </c>
      <c r="C2514" s="19">
        <v>1473.1</v>
      </c>
    </row>
    <row r="2515" spans="2:3">
      <c r="B2515" s="18" t="s">
        <v>5</v>
      </c>
      <c r="C2515" s="19">
        <v>16.059999999999999</v>
      </c>
    </row>
    <row r="2516" spans="2:3">
      <c r="B2516" s="18" t="s">
        <v>5</v>
      </c>
      <c r="C2516" s="19">
        <v>7.28</v>
      </c>
    </row>
    <row r="2517" spans="2:3">
      <c r="B2517" s="18" t="s">
        <v>5</v>
      </c>
      <c r="C2517" s="19">
        <v>5.4</v>
      </c>
    </row>
    <row r="2518" spans="2:3">
      <c r="B2518" s="18" t="s">
        <v>5</v>
      </c>
      <c r="C2518" s="19">
        <v>20.664000000000001</v>
      </c>
    </row>
    <row r="2519" spans="2:3">
      <c r="B2519" s="18" t="s">
        <v>5</v>
      </c>
      <c r="C2519" s="19">
        <v>13.761999999999997</v>
      </c>
    </row>
    <row r="2520" spans="2:3">
      <c r="B2520" s="18" t="s">
        <v>5</v>
      </c>
      <c r="C2520" s="19">
        <v>15.28</v>
      </c>
    </row>
    <row r="2521" spans="2:3">
      <c r="B2521" s="18" t="s">
        <v>5</v>
      </c>
      <c r="C2521" s="19">
        <v>11.07</v>
      </c>
    </row>
    <row r="2522" spans="2:3">
      <c r="B2522" s="18" t="s">
        <v>5</v>
      </c>
      <c r="C2522" s="19">
        <v>25.92</v>
      </c>
    </row>
    <row r="2523" spans="2:3">
      <c r="B2523" s="18" t="s">
        <v>5</v>
      </c>
      <c r="C2523" s="19">
        <v>7.5359999999999987</v>
      </c>
    </row>
    <row r="2524" spans="2:3">
      <c r="B2524" s="18" t="s">
        <v>5</v>
      </c>
      <c r="C2524" s="19">
        <v>1.4079999999999997</v>
      </c>
    </row>
    <row r="2525" spans="2:3">
      <c r="B2525" s="18" t="s">
        <v>5</v>
      </c>
      <c r="C2525" s="19">
        <v>4.1439999999999992</v>
      </c>
    </row>
    <row r="2526" spans="2:3">
      <c r="B2526" s="18" t="s">
        <v>5</v>
      </c>
      <c r="C2526" s="19">
        <v>52.751999999999995</v>
      </c>
    </row>
    <row r="2527" spans="2:3">
      <c r="B2527" s="18" t="s">
        <v>5</v>
      </c>
      <c r="C2527" s="19">
        <v>381.35999999999996</v>
      </c>
    </row>
    <row r="2528" spans="2:3">
      <c r="B2528" s="18" t="s">
        <v>5</v>
      </c>
      <c r="C2528" s="19">
        <v>15.192</v>
      </c>
    </row>
    <row r="2529" spans="2:3">
      <c r="B2529" s="18" t="s">
        <v>5</v>
      </c>
      <c r="C2529" s="19">
        <v>58.320000000000007</v>
      </c>
    </row>
    <row r="2530" spans="2:3">
      <c r="B2530" s="18" t="s">
        <v>5</v>
      </c>
      <c r="C2530" s="19">
        <v>56.783999999999999</v>
      </c>
    </row>
    <row r="2531" spans="2:3">
      <c r="B2531" s="18" t="s">
        <v>5</v>
      </c>
      <c r="C2531" s="19">
        <v>5.6070000000000011</v>
      </c>
    </row>
    <row r="2532" spans="2:3">
      <c r="B2532" s="18" t="s">
        <v>5</v>
      </c>
      <c r="C2532" s="19">
        <v>6.5760000000000005</v>
      </c>
    </row>
    <row r="2533" spans="2:3">
      <c r="B2533" s="18" t="s">
        <v>5</v>
      </c>
      <c r="C2533" s="19">
        <v>9.84</v>
      </c>
    </row>
    <row r="2534" spans="2:3">
      <c r="B2534" s="18" t="s">
        <v>5</v>
      </c>
      <c r="C2534" s="19">
        <v>2.78</v>
      </c>
    </row>
    <row r="2535" spans="2:3">
      <c r="B2535" s="18" t="s">
        <v>5</v>
      </c>
      <c r="C2535" s="19">
        <v>107.64800000000001</v>
      </c>
    </row>
    <row r="2536" spans="2:3">
      <c r="B2536" s="18" t="s">
        <v>5</v>
      </c>
      <c r="C2536" s="19">
        <v>12.96</v>
      </c>
    </row>
    <row r="2537" spans="2:3">
      <c r="B2537" s="18" t="s">
        <v>5</v>
      </c>
      <c r="C2537" s="19">
        <v>25.5</v>
      </c>
    </row>
    <row r="2538" spans="2:3">
      <c r="B2538" s="18" t="s">
        <v>5</v>
      </c>
      <c r="C2538" s="19">
        <v>11.673000000000002</v>
      </c>
    </row>
    <row r="2539" spans="2:3">
      <c r="B2539" s="18" t="s">
        <v>5</v>
      </c>
      <c r="C2539" s="19">
        <v>64.848000000000013</v>
      </c>
    </row>
    <row r="2540" spans="2:3">
      <c r="B2540" s="18" t="s">
        <v>5</v>
      </c>
      <c r="C2540" s="19">
        <v>32.088000000000001</v>
      </c>
    </row>
    <row r="2541" spans="2:3">
      <c r="B2541" s="18" t="s">
        <v>5</v>
      </c>
      <c r="C2541" s="19">
        <v>4305.5520000000006</v>
      </c>
    </row>
    <row r="2542" spans="2:3">
      <c r="B2542" s="18" t="s">
        <v>5</v>
      </c>
      <c r="C2542" s="19">
        <v>1577.94</v>
      </c>
    </row>
    <row r="2543" spans="2:3">
      <c r="B2543" s="18" t="s">
        <v>5</v>
      </c>
      <c r="C2543" s="19">
        <v>15.936000000000002</v>
      </c>
    </row>
    <row r="2544" spans="2:3">
      <c r="B2544" s="18" t="s">
        <v>5</v>
      </c>
      <c r="C2544" s="19">
        <v>8.0010000000000012</v>
      </c>
    </row>
    <row r="2545" spans="2:3">
      <c r="B2545" s="18" t="s">
        <v>5</v>
      </c>
      <c r="C2545" s="19">
        <v>67.900000000000006</v>
      </c>
    </row>
    <row r="2546" spans="2:3">
      <c r="B2546" s="18" t="s">
        <v>5</v>
      </c>
      <c r="C2546" s="19">
        <v>11.696</v>
      </c>
    </row>
    <row r="2547" spans="2:3">
      <c r="B2547" s="18" t="s">
        <v>5</v>
      </c>
      <c r="C2547" s="19">
        <v>6.8879999999999981</v>
      </c>
    </row>
    <row r="2548" spans="2:3">
      <c r="B2548" s="18" t="s">
        <v>5</v>
      </c>
      <c r="C2548" s="19">
        <v>0.55599999999999983</v>
      </c>
    </row>
    <row r="2549" spans="2:3">
      <c r="B2549" s="18" t="s">
        <v>5</v>
      </c>
      <c r="C2549" s="19">
        <v>43.8</v>
      </c>
    </row>
    <row r="2550" spans="2:3">
      <c r="B2550" s="18" t="s">
        <v>5</v>
      </c>
      <c r="C2550" s="19">
        <v>13.872000000000002</v>
      </c>
    </row>
    <row r="2551" spans="2:3">
      <c r="B2551" s="18" t="s">
        <v>5</v>
      </c>
      <c r="C2551" s="19">
        <v>4.9280000000000008</v>
      </c>
    </row>
    <row r="2552" spans="2:3">
      <c r="B2552" s="18" t="s">
        <v>5</v>
      </c>
      <c r="C2552" s="19">
        <v>63.488</v>
      </c>
    </row>
    <row r="2553" spans="2:3">
      <c r="B2553" s="18" t="s">
        <v>5</v>
      </c>
      <c r="C2553" s="19">
        <v>13.36</v>
      </c>
    </row>
    <row r="2554" spans="2:3">
      <c r="B2554" s="18" t="s">
        <v>5</v>
      </c>
      <c r="C2554" s="19">
        <v>211.04</v>
      </c>
    </row>
    <row r="2555" spans="2:3">
      <c r="B2555" s="18" t="s">
        <v>5</v>
      </c>
      <c r="C2555" s="19">
        <v>72.960000000000008</v>
      </c>
    </row>
    <row r="2556" spans="2:3">
      <c r="B2556" s="18" t="s">
        <v>5</v>
      </c>
      <c r="C2556" s="19">
        <v>25.98</v>
      </c>
    </row>
    <row r="2557" spans="2:3">
      <c r="B2557" s="18" t="s">
        <v>5</v>
      </c>
      <c r="C2557" s="19">
        <v>195.68</v>
      </c>
    </row>
    <row r="2558" spans="2:3">
      <c r="B2558" s="18" t="s">
        <v>5</v>
      </c>
      <c r="C2558" s="19">
        <v>14.2</v>
      </c>
    </row>
    <row r="2559" spans="2:3">
      <c r="B2559" s="18" t="s">
        <v>5</v>
      </c>
      <c r="C2559" s="19">
        <v>4.6079999999999997</v>
      </c>
    </row>
    <row r="2560" spans="2:3">
      <c r="B2560" s="18" t="s">
        <v>5</v>
      </c>
      <c r="C2560" s="19">
        <v>17.899999999999999</v>
      </c>
    </row>
    <row r="2561" spans="2:3">
      <c r="B2561" s="18" t="s">
        <v>5</v>
      </c>
      <c r="C2561" s="19">
        <v>5.7150000000000016</v>
      </c>
    </row>
    <row r="2562" spans="2:3">
      <c r="B2562" s="18" t="s">
        <v>5</v>
      </c>
      <c r="C2562" s="19">
        <v>11.423999999999999</v>
      </c>
    </row>
    <row r="2563" spans="2:3">
      <c r="B2563" s="18" t="s">
        <v>5</v>
      </c>
      <c r="C2563" s="19">
        <v>30.576000000000001</v>
      </c>
    </row>
    <row r="2564" spans="2:3">
      <c r="B2564" s="18" t="s">
        <v>5</v>
      </c>
      <c r="C2564" s="19">
        <v>13.020000000000001</v>
      </c>
    </row>
    <row r="2565" spans="2:3">
      <c r="B2565" s="18" t="s">
        <v>5</v>
      </c>
      <c r="C2565" s="19">
        <v>359.32</v>
      </c>
    </row>
    <row r="2566" spans="2:3">
      <c r="B2566" s="18" t="s">
        <v>5</v>
      </c>
      <c r="C2566" s="19">
        <v>32.56</v>
      </c>
    </row>
    <row r="2567" spans="2:3">
      <c r="B2567" s="18" t="s">
        <v>5</v>
      </c>
      <c r="C2567" s="19">
        <v>25.92</v>
      </c>
    </row>
    <row r="2568" spans="2:3">
      <c r="B2568" s="18" t="s">
        <v>5</v>
      </c>
      <c r="C2568" s="19">
        <v>79.92</v>
      </c>
    </row>
    <row r="2569" spans="2:3">
      <c r="B2569" s="18" t="s">
        <v>5</v>
      </c>
      <c r="C2569" s="19">
        <v>12.28</v>
      </c>
    </row>
    <row r="2570" spans="2:3">
      <c r="B2570" s="18" t="s">
        <v>5</v>
      </c>
      <c r="C2570" s="19">
        <v>542.93999999999994</v>
      </c>
    </row>
    <row r="2571" spans="2:3">
      <c r="B2571" s="18" t="s">
        <v>5</v>
      </c>
      <c r="C2571" s="19">
        <v>2.04</v>
      </c>
    </row>
    <row r="2572" spans="2:3">
      <c r="B2572" s="18" t="s">
        <v>5</v>
      </c>
      <c r="C2572" s="19">
        <v>7.92</v>
      </c>
    </row>
    <row r="2573" spans="2:3">
      <c r="B2573" s="18" t="s">
        <v>5</v>
      </c>
      <c r="C2573" s="19">
        <v>3.2730000000000006</v>
      </c>
    </row>
    <row r="2574" spans="2:3">
      <c r="B2574" s="18" t="s">
        <v>5</v>
      </c>
      <c r="C2574" s="19">
        <v>15.223999999999997</v>
      </c>
    </row>
    <row r="2575" spans="2:3">
      <c r="B2575" s="18" t="s">
        <v>5</v>
      </c>
      <c r="C2575" s="19">
        <v>21.983999999999995</v>
      </c>
    </row>
    <row r="2576" spans="2:3">
      <c r="B2576" s="18" t="s">
        <v>5</v>
      </c>
      <c r="C2576" s="19">
        <v>12.96</v>
      </c>
    </row>
    <row r="2577" spans="2:3">
      <c r="B2577" s="18" t="s">
        <v>5</v>
      </c>
      <c r="C2577" s="19">
        <v>16.256</v>
      </c>
    </row>
    <row r="2578" spans="2:3">
      <c r="B2578" s="18" t="s">
        <v>5</v>
      </c>
      <c r="C2578" s="19">
        <v>136.26</v>
      </c>
    </row>
    <row r="2579" spans="2:3">
      <c r="B2579" s="18" t="s">
        <v>5</v>
      </c>
      <c r="C2579" s="19">
        <v>12.059999999999999</v>
      </c>
    </row>
    <row r="2580" spans="2:3">
      <c r="B2580" s="18" t="s">
        <v>5</v>
      </c>
      <c r="C2580" s="19">
        <v>164.68800000000002</v>
      </c>
    </row>
    <row r="2581" spans="2:3">
      <c r="B2581" s="18" t="s">
        <v>5</v>
      </c>
      <c r="C2581" s="19">
        <v>12.96</v>
      </c>
    </row>
    <row r="2582" spans="2:3">
      <c r="B2582" s="18" t="s">
        <v>5</v>
      </c>
      <c r="C2582" s="19">
        <v>110.96</v>
      </c>
    </row>
    <row r="2583" spans="2:3">
      <c r="B2583" s="18" t="s">
        <v>5</v>
      </c>
      <c r="C2583" s="19">
        <v>11.423999999999999</v>
      </c>
    </row>
    <row r="2584" spans="2:3">
      <c r="B2584" s="18" t="s">
        <v>5</v>
      </c>
      <c r="C2584" s="19">
        <v>18.16</v>
      </c>
    </row>
    <row r="2585" spans="2:3">
      <c r="B2585" s="18" t="s">
        <v>5</v>
      </c>
      <c r="C2585" s="19">
        <v>6.5400000000000009</v>
      </c>
    </row>
    <row r="2586" spans="2:3">
      <c r="B2586" s="18" t="s">
        <v>5</v>
      </c>
      <c r="C2586" s="19">
        <v>2022.2720000000002</v>
      </c>
    </row>
    <row r="2587" spans="2:3">
      <c r="B2587" s="18" t="s">
        <v>5</v>
      </c>
      <c r="C2587" s="19">
        <v>9.120000000000001</v>
      </c>
    </row>
    <row r="2588" spans="2:3">
      <c r="B2588" s="18" t="s">
        <v>5</v>
      </c>
      <c r="C2588" s="19">
        <v>38.160000000000004</v>
      </c>
    </row>
    <row r="2589" spans="2:3">
      <c r="B2589" s="18" t="s">
        <v>5</v>
      </c>
      <c r="C2589" s="19">
        <v>4.41</v>
      </c>
    </row>
    <row r="2590" spans="2:3">
      <c r="B2590" s="18" t="s">
        <v>5</v>
      </c>
      <c r="C2590" s="19">
        <v>167.94</v>
      </c>
    </row>
    <row r="2591" spans="2:3">
      <c r="B2591" s="18" t="s">
        <v>5</v>
      </c>
      <c r="C2591" s="19">
        <v>67.8</v>
      </c>
    </row>
    <row r="2592" spans="2:3">
      <c r="B2592" s="18" t="s">
        <v>5</v>
      </c>
      <c r="C2592" s="19">
        <v>81.08</v>
      </c>
    </row>
    <row r="2593" spans="2:3">
      <c r="B2593" s="18" t="s">
        <v>5</v>
      </c>
      <c r="C2593" s="19">
        <v>83.920000000000016</v>
      </c>
    </row>
    <row r="2594" spans="2:3">
      <c r="B2594" s="18" t="s">
        <v>5</v>
      </c>
      <c r="C2594" s="19">
        <v>172.75200000000001</v>
      </c>
    </row>
    <row r="2595" spans="2:3">
      <c r="B2595" s="18" t="s">
        <v>5</v>
      </c>
      <c r="C2595" s="19">
        <v>9.2959999999999994</v>
      </c>
    </row>
    <row r="2596" spans="2:3">
      <c r="B2596" s="18" t="s">
        <v>5</v>
      </c>
      <c r="C2596" s="19">
        <v>12.768000000000001</v>
      </c>
    </row>
    <row r="2597" spans="2:3">
      <c r="B2597" s="18" t="s">
        <v>5</v>
      </c>
      <c r="C2597" s="19">
        <v>52.76</v>
      </c>
    </row>
    <row r="2598" spans="2:3">
      <c r="B2598" s="18" t="s">
        <v>5</v>
      </c>
      <c r="C2598" s="19">
        <v>55.616</v>
      </c>
    </row>
    <row r="2599" spans="2:3">
      <c r="B2599" s="18" t="s">
        <v>5</v>
      </c>
      <c r="C2599" s="19">
        <v>16.899999999999999</v>
      </c>
    </row>
    <row r="2600" spans="2:3">
      <c r="B2600" s="18" t="s">
        <v>5</v>
      </c>
      <c r="C2600" s="19">
        <v>39.96</v>
      </c>
    </row>
    <row r="2601" spans="2:3">
      <c r="B2601" s="18" t="s">
        <v>5</v>
      </c>
      <c r="C2601" s="19">
        <v>70.98</v>
      </c>
    </row>
    <row r="2602" spans="2:3">
      <c r="B2602" s="18" t="s">
        <v>5</v>
      </c>
      <c r="C2602" s="19">
        <v>29.950000000000003</v>
      </c>
    </row>
    <row r="2603" spans="2:3">
      <c r="B2603" s="18" t="s">
        <v>5</v>
      </c>
      <c r="C2603" s="19">
        <v>53.72</v>
      </c>
    </row>
    <row r="2604" spans="2:3">
      <c r="B2604" s="18" t="s">
        <v>5</v>
      </c>
      <c r="C2604" s="19">
        <v>195.136</v>
      </c>
    </row>
    <row r="2605" spans="2:3">
      <c r="B2605" s="18" t="s">
        <v>5</v>
      </c>
      <c r="C2605" s="19">
        <v>121.536</v>
      </c>
    </row>
    <row r="2606" spans="2:3">
      <c r="B2606" s="18" t="s">
        <v>5</v>
      </c>
      <c r="C2606" s="19">
        <v>8.56</v>
      </c>
    </row>
    <row r="2607" spans="2:3">
      <c r="B2607" s="18" t="s">
        <v>5</v>
      </c>
      <c r="C2607" s="19">
        <v>11.56</v>
      </c>
    </row>
    <row r="2608" spans="2:3">
      <c r="B2608" s="18" t="s">
        <v>5</v>
      </c>
      <c r="C2608" s="19">
        <v>25.86</v>
      </c>
    </row>
    <row r="2609" spans="2:3">
      <c r="B2609" s="18" t="s">
        <v>5</v>
      </c>
      <c r="C2609" s="19">
        <v>276.78400000000005</v>
      </c>
    </row>
    <row r="2610" spans="2:3">
      <c r="B2610" s="18" t="s">
        <v>5</v>
      </c>
      <c r="C2610" s="19">
        <v>41.472000000000008</v>
      </c>
    </row>
    <row r="2611" spans="2:3">
      <c r="B2611" s="18" t="s">
        <v>5</v>
      </c>
      <c r="C2611" s="19">
        <v>194.35200000000003</v>
      </c>
    </row>
    <row r="2612" spans="2:3">
      <c r="B2612" s="18" t="s">
        <v>5</v>
      </c>
      <c r="C2612" s="19">
        <v>21.6</v>
      </c>
    </row>
    <row r="2613" spans="2:3">
      <c r="B2613" s="18" t="s">
        <v>5</v>
      </c>
      <c r="C2613" s="19">
        <v>11.07</v>
      </c>
    </row>
    <row r="2614" spans="2:3">
      <c r="B2614" s="18" t="s">
        <v>5</v>
      </c>
      <c r="C2614" s="19">
        <v>11.68</v>
      </c>
    </row>
    <row r="2615" spans="2:3">
      <c r="B2615" s="18" t="s">
        <v>5</v>
      </c>
      <c r="C2615" s="19">
        <v>86.352000000000004</v>
      </c>
    </row>
    <row r="2616" spans="2:3">
      <c r="B2616" s="18" t="s">
        <v>5</v>
      </c>
      <c r="C2616" s="19">
        <v>21.391999999999992</v>
      </c>
    </row>
    <row r="2617" spans="2:3">
      <c r="B2617" s="18" t="s">
        <v>5</v>
      </c>
      <c r="C2617" s="19">
        <v>9.2480000000000011</v>
      </c>
    </row>
    <row r="2618" spans="2:3">
      <c r="B2618" s="18" t="s">
        <v>5</v>
      </c>
      <c r="C2618" s="19">
        <v>90.64</v>
      </c>
    </row>
    <row r="2619" spans="2:3">
      <c r="B2619" s="18" t="s">
        <v>5</v>
      </c>
      <c r="C2619" s="19">
        <v>11.56</v>
      </c>
    </row>
    <row r="2620" spans="2:3">
      <c r="B2620" s="18" t="s">
        <v>5</v>
      </c>
      <c r="C2620" s="19">
        <v>35.167999999999999</v>
      </c>
    </row>
    <row r="2621" spans="2:3">
      <c r="B2621" s="18" t="s">
        <v>5</v>
      </c>
      <c r="C2621" s="19">
        <v>72.588000000000008</v>
      </c>
    </row>
    <row r="2622" spans="2:3">
      <c r="B2622" s="18" t="s">
        <v>5</v>
      </c>
      <c r="C2622" s="19">
        <v>4.9380000000000006</v>
      </c>
    </row>
    <row r="2623" spans="2:3">
      <c r="B2623" s="18" t="s">
        <v>5</v>
      </c>
      <c r="C2623" s="19">
        <v>193.95000000000002</v>
      </c>
    </row>
    <row r="2624" spans="2:3">
      <c r="B2624" s="18" t="s">
        <v>5</v>
      </c>
      <c r="C2624" s="19">
        <v>14.940000000000001</v>
      </c>
    </row>
    <row r="2625" spans="2:3">
      <c r="B2625" s="18" t="s">
        <v>5</v>
      </c>
      <c r="C2625" s="19">
        <v>8.64</v>
      </c>
    </row>
    <row r="2626" spans="2:3">
      <c r="B2626" s="18" t="s">
        <v>5</v>
      </c>
      <c r="C2626" s="19">
        <v>38.880000000000003</v>
      </c>
    </row>
    <row r="2627" spans="2:3">
      <c r="B2627" s="18" t="s">
        <v>5</v>
      </c>
      <c r="C2627" s="19">
        <v>12.96</v>
      </c>
    </row>
    <row r="2628" spans="2:3">
      <c r="B2628" s="18" t="s">
        <v>5</v>
      </c>
      <c r="C2628" s="19">
        <v>35.099999999999994</v>
      </c>
    </row>
    <row r="2629" spans="2:3">
      <c r="B2629" s="18" t="s">
        <v>5</v>
      </c>
      <c r="C2629" s="19">
        <v>11.645999999999997</v>
      </c>
    </row>
    <row r="2630" spans="2:3">
      <c r="B2630" s="18" t="s">
        <v>5</v>
      </c>
      <c r="C2630" s="19">
        <v>32.400000000000006</v>
      </c>
    </row>
    <row r="2631" spans="2:3">
      <c r="B2631" s="18" t="s">
        <v>5</v>
      </c>
      <c r="C2631" s="19">
        <v>7.04</v>
      </c>
    </row>
    <row r="2632" spans="2:3">
      <c r="B2632" s="18" t="s">
        <v>5</v>
      </c>
      <c r="C2632" s="19">
        <v>31.08</v>
      </c>
    </row>
    <row r="2633" spans="2:3">
      <c r="B2633" s="18" t="s">
        <v>5</v>
      </c>
      <c r="C2633" s="19">
        <v>7.3</v>
      </c>
    </row>
    <row r="2634" spans="2:3">
      <c r="B2634" s="18" t="s">
        <v>5</v>
      </c>
      <c r="C2634" s="19">
        <v>22.830000000000002</v>
      </c>
    </row>
    <row r="2635" spans="2:3">
      <c r="B2635" s="18" t="s">
        <v>5</v>
      </c>
      <c r="C2635" s="19">
        <v>54.32</v>
      </c>
    </row>
    <row r="2636" spans="2:3">
      <c r="B2636" s="18" t="s">
        <v>5</v>
      </c>
      <c r="C2636" s="19">
        <v>11.54</v>
      </c>
    </row>
    <row r="2637" spans="2:3">
      <c r="B2637" s="18" t="s">
        <v>5</v>
      </c>
      <c r="C2637" s="19">
        <v>849.95</v>
      </c>
    </row>
    <row r="2638" spans="2:3">
      <c r="B2638" s="18" t="s">
        <v>5</v>
      </c>
      <c r="C2638" s="19">
        <v>11.01</v>
      </c>
    </row>
    <row r="2639" spans="2:3">
      <c r="B2639" s="18" t="s">
        <v>5</v>
      </c>
      <c r="C2639" s="19">
        <v>39.624000000000009</v>
      </c>
    </row>
    <row r="2640" spans="2:3">
      <c r="B2640" s="18" t="s">
        <v>5</v>
      </c>
      <c r="C2640" s="19">
        <v>221.024</v>
      </c>
    </row>
    <row r="2641" spans="2:3">
      <c r="B2641" s="18" t="s">
        <v>5</v>
      </c>
      <c r="C2641" s="19">
        <v>286.85999999999996</v>
      </c>
    </row>
    <row r="2642" spans="2:3">
      <c r="B2642" s="18" t="s">
        <v>5</v>
      </c>
      <c r="C2642" s="19">
        <v>4.3600000000000003</v>
      </c>
    </row>
    <row r="2643" spans="2:3">
      <c r="B2643" s="18" t="s">
        <v>5</v>
      </c>
      <c r="C2643" s="19">
        <v>34.24</v>
      </c>
    </row>
    <row r="2644" spans="2:3">
      <c r="B2644" s="18" t="s">
        <v>5</v>
      </c>
      <c r="C2644" s="19">
        <v>310.12</v>
      </c>
    </row>
    <row r="2645" spans="2:3">
      <c r="B2645" s="18" t="s">
        <v>5</v>
      </c>
      <c r="C2645" s="19">
        <v>70.463999999999999</v>
      </c>
    </row>
    <row r="2646" spans="2:3">
      <c r="B2646" s="18" t="s">
        <v>5</v>
      </c>
      <c r="C2646" s="19">
        <v>19.68</v>
      </c>
    </row>
    <row r="2647" spans="2:3">
      <c r="B2647" s="18" t="s">
        <v>5</v>
      </c>
      <c r="C2647" s="19">
        <v>140.67000000000002</v>
      </c>
    </row>
    <row r="2648" spans="2:3">
      <c r="B2648" s="18" t="s">
        <v>5</v>
      </c>
      <c r="C2648" s="19">
        <v>62.65</v>
      </c>
    </row>
    <row r="2649" spans="2:3">
      <c r="B2649" s="18" t="s">
        <v>5</v>
      </c>
      <c r="C2649" s="19">
        <v>268.57600000000002</v>
      </c>
    </row>
    <row r="2650" spans="2:3">
      <c r="B2650" s="18" t="s">
        <v>5</v>
      </c>
      <c r="C2650" s="19">
        <v>8.26</v>
      </c>
    </row>
    <row r="2651" spans="2:3">
      <c r="B2651" s="18" t="s">
        <v>5</v>
      </c>
      <c r="C2651" s="19">
        <v>17.760000000000002</v>
      </c>
    </row>
    <row r="2652" spans="2:3">
      <c r="B2652" s="18" t="s">
        <v>5</v>
      </c>
      <c r="C2652" s="19">
        <v>332.94</v>
      </c>
    </row>
    <row r="2653" spans="2:3">
      <c r="B2653" s="18" t="s">
        <v>5</v>
      </c>
      <c r="C2653" s="19">
        <v>17.64</v>
      </c>
    </row>
    <row r="2654" spans="2:3">
      <c r="B2654" s="18" t="s">
        <v>5</v>
      </c>
      <c r="C2654" s="19">
        <v>4.3</v>
      </c>
    </row>
    <row r="2655" spans="2:3">
      <c r="B2655" s="18" t="s">
        <v>5</v>
      </c>
      <c r="C2655" s="19">
        <v>9.84</v>
      </c>
    </row>
    <row r="2656" spans="2:3">
      <c r="B2656" s="18" t="s">
        <v>5</v>
      </c>
      <c r="C2656" s="19">
        <v>7.78</v>
      </c>
    </row>
    <row r="2657" spans="2:3">
      <c r="B2657" s="18" t="s">
        <v>5</v>
      </c>
      <c r="C2657" s="19">
        <v>54.900000000000006</v>
      </c>
    </row>
    <row r="2658" spans="2:3">
      <c r="B2658" s="18" t="s">
        <v>5</v>
      </c>
      <c r="C2658" s="19">
        <v>50.04</v>
      </c>
    </row>
    <row r="2659" spans="2:3">
      <c r="B2659" s="18" t="s">
        <v>5</v>
      </c>
      <c r="C2659" s="19">
        <v>97.3</v>
      </c>
    </row>
    <row r="2660" spans="2:3">
      <c r="B2660" s="18" t="s">
        <v>5</v>
      </c>
      <c r="C2660" s="19">
        <v>2.1119999999999997</v>
      </c>
    </row>
    <row r="2661" spans="2:3">
      <c r="B2661" s="18" t="s">
        <v>5</v>
      </c>
      <c r="C2661" s="19">
        <v>129.30000000000001</v>
      </c>
    </row>
    <row r="2662" spans="2:3">
      <c r="B2662" s="18" t="s">
        <v>5</v>
      </c>
      <c r="C2662" s="19">
        <v>11.568000000000001</v>
      </c>
    </row>
    <row r="2663" spans="2:3">
      <c r="B2663" s="18" t="s">
        <v>5</v>
      </c>
      <c r="C2663" s="19">
        <v>43.099999999999994</v>
      </c>
    </row>
    <row r="2664" spans="2:3">
      <c r="B2664" s="18" t="s">
        <v>5</v>
      </c>
      <c r="C2664" s="19">
        <v>147.91999999999999</v>
      </c>
    </row>
    <row r="2665" spans="2:3">
      <c r="B2665" s="18" t="s">
        <v>5</v>
      </c>
      <c r="C2665" s="19">
        <v>24.56</v>
      </c>
    </row>
    <row r="2666" spans="2:3">
      <c r="B2666" s="18" t="s">
        <v>5</v>
      </c>
      <c r="C2666" s="19">
        <v>67.400000000000006</v>
      </c>
    </row>
    <row r="2667" spans="2:3">
      <c r="B2667" s="18" t="s">
        <v>5</v>
      </c>
      <c r="C2667" s="19">
        <v>2.52</v>
      </c>
    </row>
    <row r="2668" spans="2:3">
      <c r="B2668" s="18" t="s">
        <v>5</v>
      </c>
      <c r="C2668" s="19">
        <v>18.760000000000002</v>
      </c>
    </row>
    <row r="2669" spans="2:3">
      <c r="B2669" s="18" t="s">
        <v>5</v>
      </c>
      <c r="C2669" s="19">
        <v>11.34</v>
      </c>
    </row>
    <row r="2670" spans="2:3">
      <c r="B2670" s="18" t="s">
        <v>5</v>
      </c>
      <c r="C2670" s="19">
        <v>290.33600000000001</v>
      </c>
    </row>
    <row r="2671" spans="2:3">
      <c r="B2671" s="18" t="s">
        <v>5</v>
      </c>
      <c r="C2671" s="19">
        <v>19.152000000000001</v>
      </c>
    </row>
    <row r="2672" spans="2:3">
      <c r="B2672" s="18" t="s">
        <v>5</v>
      </c>
      <c r="C2672" s="19">
        <v>848.5440000000001</v>
      </c>
    </row>
    <row r="2673" spans="2:3">
      <c r="B2673" s="18" t="s">
        <v>5</v>
      </c>
      <c r="C2673" s="19">
        <v>8.7000000000000011</v>
      </c>
    </row>
    <row r="2674" spans="2:3">
      <c r="B2674" s="18" t="s">
        <v>5</v>
      </c>
      <c r="C2674" s="19">
        <v>9.9600000000000009</v>
      </c>
    </row>
    <row r="2675" spans="2:3">
      <c r="B2675" s="18" t="s">
        <v>5</v>
      </c>
      <c r="C2675" s="19">
        <v>8.94</v>
      </c>
    </row>
    <row r="2676" spans="2:3">
      <c r="B2676" s="18" t="s">
        <v>5</v>
      </c>
      <c r="C2676" s="19">
        <v>237.09600000000003</v>
      </c>
    </row>
    <row r="2677" spans="2:3">
      <c r="B2677" s="18" t="s">
        <v>5</v>
      </c>
      <c r="C2677" s="19">
        <v>6.6720000000000006</v>
      </c>
    </row>
    <row r="2678" spans="2:3">
      <c r="B2678" s="18" t="s">
        <v>5</v>
      </c>
      <c r="C2678" s="19">
        <v>12.96</v>
      </c>
    </row>
    <row r="2679" spans="2:3">
      <c r="B2679" s="18" t="s">
        <v>5</v>
      </c>
      <c r="C2679" s="19">
        <v>94.85</v>
      </c>
    </row>
    <row r="2680" spans="2:3">
      <c r="B2680" s="18" t="s">
        <v>5</v>
      </c>
      <c r="C2680" s="19">
        <v>13.48</v>
      </c>
    </row>
    <row r="2681" spans="2:3">
      <c r="B2681" s="18" t="s">
        <v>5</v>
      </c>
      <c r="C2681" s="19">
        <v>102.93</v>
      </c>
    </row>
    <row r="2682" spans="2:3">
      <c r="B2682" s="18" t="s">
        <v>5</v>
      </c>
      <c r="C2682" s="19">
        <v>2405.1999999999998</v>
      </c>
    </row>
    <row r="2683" spans="2:3">
      <c r="B2683" s="18" t="s">
        <v>5</v>
      </c>
      <c r="C2683" s="19">
        <v>17.38</v>
      </c>
    </row>
    <row r="2684" spans="2:3">
      <c r="B2684" s="18" t="s">
        <v>5</v>
      </c>
      <c r="C2684" s="19">
        <v>9.3439999999999994</v>
      </c>
    </row>
    <row r="2685" spans="2:3">
      <c r="B2685" s="18" t="s">
        <v>5</v>
      </c>
      <c r="C2685" s="19">
        <v>40.199999999999996</v>
      </c>
    </row>
    <row r="2686" spans="2:3">
      <c r="B2686" s="18" t="s">
        <v>5</v>
      </c>
      <c r="C2686" s="19">
        <v>735.98</v>
      </c>
    </row>
    <row r="2687" spans="2:3">
      <c r="B2687" s="18" t="s">
        <v>5</v>
      </c>
      <c r="C2687" s="19">
        <v>22.75</v>
      </c>
    </row>
    <row r="2688" spans="2:3">
      <c r="B2688" s="18" t="s">
        <v>5</v>
      </c>
      <c r="C2688" s="19">
        <v>16.520000000000003</v>
      </c>
    </row>
    <row r="2689" spans="2:3">
      <c r="B2689" s="18" t="s">
        <v>5</v>
      </c>
      <c r="C2689" s="19">
        <v>29.6</v>
      </c>
    </row>
    <row r="2690" spans="2:3">
      <c r="B2690" s="18" t="s">
        <v>5</v>
      </c>
      <c r="C2690" s="19">
        <v>243.16</v>
      </c>
    </row>
    <row r="2691" spans="2:3">
      <c r="B2691" s="18" t="s">
        <v>4</v>
      </c>
      <c r="C2691" s="19">
        <v>147.16800000000001</v>
      </c>
    </row>
    <row r="2692" spans="2:3">
      <c r="B2692" s="18" t="s">
        <v>4</v>
      </c>
      <c r="C2692" s="19">
        <v>19.989999999999998</v>
      </c>
    </row>
    <row r="2693" spans="2:3">
      <c r="B2693" s="18" t="s">
        <v>4</v>
      </c>
      <c r="C2693" s="19">
        <v>74.112000000000009</v>
      </c>
    </row>
    <row r="2694" spans="2:3">
      <c r="B2694" s="18" t="s">
        <v>4</v>
      </c>
      <c r="C2694" s="19">
        <v>27.992000000000004</v>
      </c>
    </row>
    <row r="2695" spans="2:3">
      <c r="B2695" s="18" t="s">
        <v>4</v>
      </c>
      <c r="C2695" s="19">
        <v>59.969999999999992</v>
      </c>
    </row>
    <row r="2696" spans="2:3">
      <c r="B2696" s="18" t="s">
        <v>4</v>
      </c>
      <c r="C2696" s="19">
        <v>444.76800000000003</v>
      </c>
    </row>
    <row r="2697" spans="2:3">
      <c r="B2697" s="18" t="s">
        <v>4</v>
      </c>
      <c r="C2697" s="19">
        <v>131.97999999999999</v>
      </c>
    </row>
    <row r="2698" spans="2:3">
      <c r="B2698" s="18" t="s">
        <v>4</v>
      </c>
      <c r="C2698" s="19">
        <v>617.97600000000011</v>
      </c>
    </row>
    <row r="2699" spans="2:3">
      <c r="B2699" s="18" t="s">
        <v>4</v>
      </c>
      <c r="C2699" s="19">
        <v>20.37</v>
      </c>
    </row>
    <row r="2700" spans="2:3">
      <c r="B2700" s="18" t="s">
        <v>4</v>
      </c>
      <c r="C2700" s="19">
        <v>47.975999999999999</v>
      </c>
    </row>
    <row r="2701" spans="2:3">
      <c r="B2701" s="18" t="s">
        <v>4</v>
      </c>
      <c r="C2701" s="19">
        <v>39.979999999999997</v>
      </c>
    </row>
    <row r="2702" spans="2:3">
      <c r="B2702" s="18" t="s">
        <v>4</v>
      </c>
      <c r="C2702" s="19">
        <v>179.95000000000002</v>
      </c>
    </row>
    <row r="2703" spans="2:3">
      <c r="B2703" s="18" t="s">
        <v>4</v>
      </c>
      <c r="C2703" s="19">
        <v>1199.9760000000001</v>
      </c>
    </row>
    <row r="2704" spans="2:3">
      <c r="B2704" s="18" t="s">
        <v>4</v>
      </c>
      <c r="C2704" s="19">
        <v>279.95999999999998</v>
      </c>
    </row>
    <row r="2705" spans="2:3">
      <c r="B2705" s="18" t="s">
        <v>4</v>
      </c>
      <c r="C2705" s="19">
        <v>38.04</v>
      </c>
    </row>
    <row r="2706" spans="2:3">
      <c r="B2706" s="18" t="s">
        <v>4</v>
      </c>
      <c r="C2706" s="19">
        <v>2999.95</v>
      </c>
    </row>
    <row r="2707" spans="2:3">
      <c r="B2707" s="18" t="s">
        <v>4</v>
      </c>
      <c r="C2707" s="19">
        <v>374.37600000000003</v>
      </c>
    </row>
    <row r="2708" spans="2:3">
      <c r="B2708" s="18" t="s">
        <v>4</v>
      </c>
      <c r="C2708" s="19">
        <v>14.850000000000001</v>
      </c>
    </row>
    <row r="2709" spans="2:3">
      <c r="B2709" s="18" t="s">
        <v>4</v>
      </c>
      <c r="C2709" s="19">
        <v>470.37600000000009</v>
      </c>
    </row>
    <row r="2710" spans="2:3">
      <c r="B2710" s="18" t="s">
        <v>4</v>
      </c>
      <c r="C2710" s="19">
        <v>105.584</v>
      </c>
    </row>
    <row r="2711" spans="2:3">
      <c r="B2711" s="18" t="s">
        <v>4</v>
      </c>
      <c r="C2711" s="19">
        <v>406.36799999999999</v>
      </c>
    </row>
    <row r="2712" spans="2:3">
      <c r="B2712" s="18" t="s">
        <v>4</v>
      </c>
      <c r="C2712" s="19">
        <v>119.93999999999998</v>
      </c>
    </row>
    <row r="2713" spans="2:3">
      <c r="B2713" s="18" t="s">
        <v>4</v>
      </c>
      <c r="C2713" s="19">
        <v>37.909999999999997</v>
      </c>
    </row>
    <row r="2714" spans="2:3">
      <c r="B2714" s="18" t="s">
        <v>4</v>
      </c>
      <c r="C2714" s="19">
        <v>17.880000000000003</v>
      </c>
    </row>
    <row r="2715" spans="2:3">
      <c r="B2715" s="18" t="s">
        <v>4</v>
      </c>
      <c r="C2715" s="19">
        <v>132.52000000000001</v>
      </c>
    </row>
    <row r="2716" spans="2:3">
      <c r="B2716" s="18" t="s">
        <v>4</v>
      </c>
      <c r="C2716" s="19">
        <v>103.12</v>
      </c>
    </row>
    <row r="2717" spans="2:3">
      <c r="B2717" s="18" t="s">
        <v>4</v>
      </c>
      <c r="C2717" s="19">
        <v>381.57600000000002</v>
      </c>
    </row>
    <row r="2718" spans="2:3">
      <c r="B2718" s="18" t="s">
        <v>4</v>
      </c>
      <c r="C2718" s="19">
        <v>99.390000000000015</v>
      </c>
    </row>
    <row r="2719" spans="2:3">
      <c r="B2719" s="18" t="s">
        <v>4</v>
      </c>
      <c r="C2719" s="19">
        <v>27.816000000000003</v>
      </c>
    </row>
    <row r="2720" spans="2:3">
      <c r="B2720" s="18" t="s">
        <v>4</v>
      </c>
      <c r="C2720" s="19">
        <v>7999.98</v>
      </c>
    </row>
    <row r="2721" spans="2:3">
      <c r="B2721" s="18" t="s">
        <v>4</v>
      </c>
      <c r="C2721" s="19">
        <v>307.98</v>
      </c>
    </row>
    <row r="2722" spans="2:3">
      <c r="B2722" s="18" t="s">
        <v>4</v>
      </c>
      <c r="C2722" s="19">
        <v>299.96999999999997</v>
      </c>
    </row>
    <row r="2723" spans="2:3">
      <c r="B2723" s="18" t="s">
        <v>4</v>
      </c>
      <c r="C2723" s="19">
        <v>55.991999999999997</v>
      </c>
    </row>
    <row r="2724" spans="2:3">
      <c r="B2724" s="18" t="s">
        <v>4</v>
      </c>
      <c r="C2724" s="19">
        <v>179.97</v>
      </c>
    </row>
    <row r="2725" spans="2:3">
      <c r="B2725" s="18" t="s">
        <v>4</v>
      </c>
      <c r="C2725" s="19">
        <v>207</v>
      </c>
    </row>
    <row r="2726" spans="2:3">
      <c r="B2726" s="18" t="s">
        <v>4</v>
      </c>
      <c r="C2726" s="19">
        <v>215.96799999999999</v>
      </c>
    </row>
    <row r="2727" spans="2:3">
      <c r="B2727" s="18" t="s">
        <v>4</v>
      </c>
      <c r="C2727" s="19">
        <v>1399.93</v>
      </c>
    </row>
    <row r="2728" spans="2:3">
      <c r="B2728" s="18" t="s">
        <v>4</v>
      </c>
      <c r="C2728" s="19">
        <v>239.96999999999997</v>
      </c>
    </row>
    <row r="2729" spans="2:3">
      <c r="B2729" s="18" t="s">
        <v>4</v>
      </c>
      <c r="C2729" s="19">
        <v>191.98</v>
      </c>
    </row>
    <row r="2730" spans="2:3">
      <c r="B2730" s="18" t="s">
        <v>4</v>
      </c>
      <c r="C2730" s="19">
        <v>65.989999999999995</v>
      </c>
    </row>
    <row r="2731" spans="2:3">
      <c r="B2731" s="18" t="s">
        <v>4</v>
      </c>
      <c r="C2731" s="19">
        <v>149.94999999999999</v>
      </c>
    </row>
    <row r="2732" spans="2:3">
      <c r="B2732" s="18" t="s">
        <v>4</v>
      </c>
      <c r="C2732" s="19">
        <v>543.91999999999996</v>
      </c>
    </row>
    <row r="2733" spans="2:3">
      <c r="B2733" s="18" t="s">
        <v>4</v>
      </c>
      <c r="C2733" s="19">
        <v>323.97600000000006</v>
      </c>
    </row>
    <row r="2734" spans="2:3">
      <c r="B2734" s="18" t="s">
        <v>4</v>
      </c>
      <c r="C2734" s="19">
        <v>90.93</v>
      </c>
    </row>
    <row r="2735" spans="2:3">
      <c r="B2735" s="18" t="s">
        <v>4</v>
      </c>
      <c r="C2735" s="19">
        <v>1199.8</v>
      </c>
    </row>
    <row r="2736" spans="2:3">
      <c r="B2736" s="18" t="s">
        <v>4</v>
      </c>
      <c r="C2736" s="19">
        <v>1928.7800000000002</v>
      </c>
    </row>
    <row r="2737" spans="2:3">
      <c r="B2737" s="18" t="s">
        <v>4</v>
      </c>
      <c r="C2737" s="19">
        <v>143.73000000000002</v>
      </c>
    </row>
    <row r="2738" spans="2:3">
      <c r="B2738" s="18" t="s">
        <v>4</v>
      </c>
      <c r="C2738" s="19">
        <v>159.99</v>
      </c>
    </row>
    <row r="2739" spans="2:3">
      <c r="B2739" s="18" t="s">
        <v>4</v>
      </c>
      <c r="C2739" s="19">
        <v>29.592000000000002</v>
      </c>
    </row>
    <row r="2740" spans="2:3">
      <c r="B2740" s="18" t="s">
        <v>4</v>
      </c>
      <c r="C2740" s="19">
        <v>160.92999999999998</v>
      </c>
    </row>
    <row r="2741" spans="2:3">
      <c r="B2741" s="18" t="s">
        <v>4</v>
      </c>
      <c r="C2741" s="19">
        <v>3059.982</v>
      </c>
    </row>
    <row r="2742" spans="2:3">
      <c r="B2742" s="18" t="s">
        <v>4</v>
      </c>
      <c r="C2742" s="19">
        <v>336.51</v>
      </c>
    </row>
    <row r="2743" spans="2:3">
      <c r="B2743" s="18" t="s">
        <v>4</v>
      </c>
      <c r="C2743" s="19">
        <v>95.984000000000009</v>
      </c>
    </row>
    <row r="2744" spans="2:3">
      <c r="B2744" s="18" t="s">
        <v>4</v>
      </c>
      <c r="C2744" s="19">
        <v>71.984000000000009</v>
      </c>
    </row>
    <row r="2745" spans="2:3">
      <c r="B2745" s="18" t="s">
        <v>4</v>
      </c>
      <c r="C2745" s="19">
        <v>119.98</v>
      </c>
    </row>
    <row r="2746" spans="2:3">
      <c r="B2746" s="18" t="s">
        <v>4</v>
      </c>
      <c r="C2746" s="19">
        <v>7.92</v>
      </c>
    </row>
    <row r="2747" spans="2:3">
      <c r="B2747" s="18" t="s">
        <v>4</v>
      </c>
      <c r="C2747" s="19">
        <v>889.53600000000006</v>
      </c>
    </row>
    <row r="2748" spans="2:3">
      <c r="B2748" s="18" t="s">
        <v>4</v>
      </c>
      <c r="C2748" s="19">
        <v>271.95999999999998</v>
      </c>
    </row>
    <row r="2749" spans="2:3">
      <c r="B2749" s="18" t="s">
        <v>4</v>
      </c>
      <c r="C2749" s="19">
        <v>95.88000000000001</v>
      </c>
    </row>
    <row r="2750" spans="2:3">
      <c r="B2750" s="18" t="s">
        <v>4</v>
      </c>
      <c r="C2750" s="19">
        <v>258.69600000000003</v>
      </c>
    </row>
    <row r="2751" spans="2:3">
      <c r="B2751" s="18" t="s">
        <v>4</v>
      </c>
      <c r="C2751" s="19">
        <v>1931.9579999999999</v>
      </c>
    </row>
    <row r="2752" spans="2:3">
      <c r="B2752" s="18" t="s">
        <v>4</v>
      </c>
      <c r="C2752" s="19">
        <v>35.909999999999997</v>
      </c>
    </row>
    <row r="2753" spans="2:3">
      <c r="B2753" s="18" t="s">
        <v>4</v>
      </c>
      <c r="C2753" s="19">
        <v>863.87999999999988</v>
      </c>
    </row>
    <row r="2754" spans="2:3">
      <c r="B2754" s="18" t="s">
        <v>4</v>
      </c>
      <c r="C2754" s="19">
        <v>287.96999999999997</v>
      </c>
    </row>
    <row r="2755" spans="2:3">
      <c r="B2755" s="18" t="s">
        <v>4</v>
      </c>
      <c r="C2755" s="19">
        <v>14.200000000000001</v>
      </c>
    </row>
    <row r="2756" spans="2:3">
      <c r="B2756" s="18" t="s">
        <v>4</v>
      </c>
      <c r="C2756" s="19">
        <v>2.97</v>
      </c>
    </row>
    <row r="2757" spans="2:3">
      <c r="B2757" s="18" t="s">
        <v>4</v>
      </c>
      <c r="C2757" s="19">
        <v>677.58</v>
      </c>
    </row>
    <row r="2758" spans="2:3">
      <c r="B2758" s="18" t="s">
        <v>4</v>
      </c>
      <c r="C2758" s="19">
        <v>695.7</v>
      </c>
    </row>
    <row r="2759" spans="2:3">
      <c r="B2759" s="18" t="s">
        <v>4</v>
      </c>
      <c r="C2759" s="19">
        <v>183.96</v>
      </c>
    </row>
    <row r="2760" spans="2:3">
      <c r="B2760" s="18" t="s">
        <v>4</v>
      </c>
      <c r="C2760" s="19">
        <v>309.57600000000002</v>
      </c>
    </row>
    <row r="2761" spans="2:3">
      <c r="B2761" s="18" t="s">
        <v>4</v>
      </c>
      <c r="C2761" s="19">
        <v>95.994000000000014</v>
      </c>
    </row>
    <row r="2762" spans="2:3">
      <c r="B2762" s="18" t="s">
        <v>4</v>
      </c>
      <c r="C2762" s="19">
        <v>239.95200000000003</v>
      </c>
    </row>
    <row r="2763" spans="2:3">
      <c r="B2763" s="18" t="s">
        <v>4</v>
      </c>
      <c r="C2763" s="19">
        <v>201.584</v>
      </c>
    </row>
    <row r="2764" spans="2:3">
      <c r="B2764" s="18" t="s">
        <v>4</v>
      </c>
      <c r="C2764" s="19">
        <v>49.08</v>
      </c>
    </row>
    <row r="2765" spans="2:3">
      <c r="B2765" s="18" t="s">
        <v>4</v>
      </c>
      <c r="C2765" s="19">
        <v>239.96999999999997</v>
      </c>
    </row>
    <row r="2766" spans="2:3">
      <c r="B2766" s="18" t="s">
        <v>4</v>
      </c>
      <c r="C2766" s="19">
        <v>220.75200000000001</v>
      </c>
    </row>
    <row r="2767" spans="2:3">
      <c r="B2767" s="18" t="s">
        <v>4</v>
      </c>
      <c r="C2767" s="19">
        <v>47.984000000000002</v>
      </c>
    </row>
    <row r="2768" spans="2:3">
      <c r="B2768" s="18" t="s">
        <v>4</v>
      </c>
      <c r="C2768" s="19">
        <v>31.968000000000004</v>
      </c>
    </row>
    <row r="2769" spans="2:3">
      <c r="B2769" s="18" t="s">
        <v>4</v>
      </c>
      <c r="C2769" s="19">
        <v>39.99</v>
      </c>
    </row>
    <row r="2770" spans="2:3">
      <c r="B2770" s="18" t="s">
        <v>4</v>
      </c>
      <c r="C2770" s="19">
        <v>91.96</v>
      </c>
    </row>
    <row r="2771" spans="2:3">
      <c r="B2771" s="18" t="s">
        <v>4</v>
      </c>
      <c r="C2771" s="19">
        <v>50</v>
      </c>
    </row>
    <row r="2772" spans="2:3">
      <c r="B2772" s="18" t="s">
        <v>4</v>
      </c>
      <c r="C2772" s="19">
        <v>132.52000000000001</v>
      </c>
    </row>
    <row r="2773" spans="2:3">
      <c r="B2773" s="18" t="s">
        <v>4</v>
      </c>
      <c r="C2773" s="19">
        <v>160.77600000000001</v>
      </c>
    </row>
    <row r="2774" spans="2:3">
      <c r="B2774" s="18" t="s">
        <v>4</v>
      </c>
      <c r="C2774" s="19">
        <v>677.57999999999993</v>
      </c>
    </row>
    <row r="2775" spans="2:3">
      <c r="B2775" s="18" t="s">
        <v>4</v>
      </c>
      <c r="C2775" s="19">
        <v>16.68</v>
      </c>
    </row>
    <row r="2776" spans="2:3">
      <c r="B2776" s="18" t="s">
        <v>4</v>
      </c>
      <c r="C2776" s="19">
        <v>167.96800000000002</v>
      </c>
    </row>
    <row r="2777" spans="2:3">
      <c r="B2777" s="18" t="s">
        <v>4</v>
      </c>
      <c r="C2777" s="19">
        <v>148.47999999999999</v>
      </c>
    </row>
    <row r="2778" spans="2:3">
      <c r="B2778" s="18" t="s">
        <v>4</v>
      </c>
      <c r="C2778" s="19">
        <v>22</v>
      </c>
    </row>
    <row r="2779" spans="2:3">
      <c r="B2779" s="18" t="s">
        <v>4</v>
      </c>
      <c r="C2779" s="19">
        <v>442.40000000000003</v>
      </c>
    </row>
    <row r="2780" spans="2:3">
      <c r="B2780" s="18" t="s">
        <v>4</v>
      </c>
      <c r="C2780" s="19">
        <v>98.16</v>
      </c>
    </row>
    <row r="2781" spans="2:3">
      <c r="B2781" s="18" t="s">
        <v>4</v>
      </c>
      <c r="C2781" s="19">
        <v>86.97</v>
      </c>
    </row>
    <row r="2782" spans="2:3">
      <c r="B2782" s="18" t="s">
        <v>4</v>
      </c>
      <c r="C2782" s="19">
        <v>347.96999999999997</v>
      </c>
    </row>
    <row r="2783" spans="2:3">
      <c r="B2783" s="18" t="s">
        <v>4</v>
      </c>
      <c r="C2783" s="19">
        <v>79.984000000000009</v>
      </c>
    </row>
    <row r="2784" spans="2:3">
      <c r="B2784" s="18" t="s">
        <v>4</v>
      </c>
      <c r="C2784" s="19">
        <v>1439.92</v>
      </c>
    </row>
    <row r="2785" spans="2:3">
      <c r="B2785" s="18" t="s">
        <v>4</v>
      </c>
      <c r="C2785" s="19">
        <v>1439.982</v>
      </c>
    </row>
    <row r="2786" spans="2:3">
      <c r="B2786" s="18" t="s">
        <v>4</v>
      </c>
      <c r="C2786" s="19">
        <v>90.570000000000007</v>
      </c>
    </row>
    <row r="2787" spans="2:3">
      <c r="B2787" s="18" t="s">
        <v>4</v>
      </c>
      <c r="C2787" s="19">
        <v>119.96</v>
      </c>
    </row>
    <row r="2788" spans="2:3">
      <c r="B2788" s="18" t="s">
        <v>4</v>
      </c>
      <c r="C2788" s="19">
        <v>370.78199999999998</v>
      </c>
    </row>
    <row r="2789" spans="2:3">
      <c r="B2789" s="18" t="s">
        <v>4</v>
      </c>
      <c r="C2789" s="19">
        <v>470.37600000000009</v>
      </c>
    </row>
    <row r="2790" spans="2:3">
      <c r="B2790" s="18" t="s">
        <v>4</v>
      </c>
      <c r="C2790" s="19">
        <v>302.37599999999998</v>
      </c>
    </row>
    <row r="2791" spans="2:3">
      <c r="B2791" s="18" t="s">
        <v>4</v>
      </c>
      <c r="C2791" s="19">
        <v>28.400000000000002</v>
      </c>
    </row>
    <row r="2792" spans="2:3">
      <c r="B2792" s="18" t="s">
        <v>4</v>
      </c>
      <c r="C2792" s="19">
        <v>597.13200000000006</v>
      </c>
    </row>
    <row r="2793" spans="2:3">
      <c r="B2793" s="18" t="s">
        <v>4</v>
      </c>
      <c r="C2793" s="19">
        <v>199.98</v>
      </c>
    </row>
    <row r="2794" spans="2:3">
      <c r="B2794" s="18" t="s">
        <v>4</v>
      </c>
      <c r="C2794" s="19">
        <v>659.97600000000011</v>
      </c>
    </row>
    <row r="2795" spans="2:3">
      <c r="B2795" s="18" t="s">
        <v>4</v>
      </c>
      <c r="C2795" s="19">
        <v>166.16</v>
      </c>
    </row>
    <row r="2796" spans="2:3">
      <c r="B2796" s="18" t="s">
        <v>4</v>
      </c>
      <c r="C2796" s="19">
        <v>197.96999999999997</v>
      </c>
    </row>
    <row r="2797" spans="2:3">
      <c r="B2797" s="18" t="s">
        <v>4</v>
      </c>
      <c r="C2797" s="19">
        <v>238</v>
      </c>
    </row>
    <row r="2798" spans="2:3">
      <c r="B2798" s="18" t="s">
        <v>4</v>
      </c>
      <c r="C2798" s="19">
        <v>167.97</v>
      </c>
    </row>
    <row r="2799" spans="2:3">
      <c r="B2799" s="18" t="s">
        <v>4</v>
      </c>
      <c r="C2799" s="19">
        <v>296.84999999999997</v>
      </c>
    </row>
    <row r="2800" spans="2:3">
      <c r="B2800" s="18" t="s">
        <v>4</v>
      </c>
      <c r="C2800" s="19">
        <v>112.80000000000001</v>
      </c>
    </row>
    <row r="2801" spans="2:3">
      <c r="B2801" s="18" t="s">
        <v>4</v>
      </c>
      <c r="C2801" s="19">
        <v>281.96999999999997</v>
      </c>
    </row>
    <row r="2802" spans="2:3">
      <c r="B2802" s="18" t="s">
        <v>4</v>
      </c>
      <c r="C2802" s="19">
        <v>291.95999999999998</v>
      </c>
    </row>
    <row r="2803" spans="2:3">
      <c r="B2803" s="18" t="s">
        <v>4</v>
      </c>
      <c r="C2803" s="19">
        <v>408.74399999999997</v>
      </c>
    </row>
    <row r="2804" spans="2:3">
      <c r="B2804" s="18" t="s">
        <v>4</v>
      </c>
      <c r="C2804" s="19">
        <v>199.95000000000002</v>
      </c>
    </row>
    <row r="2805" spans="2:3">
      <c r="B2805" s="18" t="s">
        <v>4</v>
      </c>
      <c r="C2805" s="19">
        <v>199.95000000000002</v>
      </c>
    </row>
    <row r="2806" spans="2:3">
      <c r="B2806" s="18" t="s">
        <v>4</v>
      </c>
      <c r="C2806" s="19">
        <v>84.99</v>
      </c>
    </row>
    <row r="2807" spans="2:3">
      <c r="B2807" s="18" t="s">
        <v>4</v>
      </c>
      <c r="C2807" s="19">
        <v>59.97</v>
      </c>
    </row>
    <row r="2808" spans="2:3">
      <c r="B2808" s="18" t="s">
        <v>4</v>
      </c>
      <c r="C2808" s="19">
        <v>761.5440000000001</v>
      </c>
    </row>
    <row r="2809" spans="2:3">
      <c r="B2809" s="18" t="s">
        <v>4</v>
      </c>
      <c r="C2809" s="19">
        <v>279.94400000000002</v>
      </c>
    </row>
    <row r="2810" spans="2:3">
      <c r="B2810" s="18" t="s">
        <v>4</v>
      </c>
      <c r="C2810" s="19">
        <v>26</v>
      </c>
    </row>
    <row r="2811" spans="2:3">
      <c r="B2811" s="18" t="s">
        <v>4</v>
      </c>
      <c r="C2811" s="19">
        <v>62.957999999999998</v>
      </c>
    </row>
    <row r="2812" spans="2:3">
      <c r="B2812" s="18" t="s">
        <v>4</v>
      </c>
      <c r="C2812" s="19">
        <v>84.949999999999989</v>
      </c>
    </row>
    <row r="2813" spans="2:3">
      <c r="B2813" s="18" t="s">
        <v>4</v>
      </c>
      <c r="C2813" s="19">
        <v>71.975999999999999</v>
      </c>
    </row>
    <row r="2814" spans="2:3">
      <c r="B2814" s="18" t="s">
        <v>4</v>
      </c>
      <c r="C2814" s="19">
        <v>107.982</v>
      </c>
    </row>
    <row r="2815" spans="2:3">
      <c r="B2815" s="18" t="s">
        <v>4</v>
      </c>
      <c r="C2815" s="19">
        <v>1454.4900000000002</v>
      </c>
    </row>
    <row r="2816" spans="2:3">
      <c r="B2816" s="18" t="s">
        <v>4</v>
      </c>
      <c r="C2816" s="19">
        <v>1145.6000000000001</v>
      </c>
    </row>
    <row r="2817" spans="2:3">
      <c r="B2817" s="18" t="s">
        <v>4</v>
      </c>
      <c r="C2817" s="19">
        <v>124.79200000000002</v>
      </c>
    </row>
    <row r="2818" spans="2:3">
      <c r="B2818" s="18" t="s">
        <v>4</v>
      </c>
      <c r="C2818" s="19">
        <v>205.03</v>
      </c>
    </row>
    <row r="2819" spans="2:3">
      <c r="B2819" s="18" t="s">
        <v>4</v>
      </c>
      <c r="C2819" s="19">
        <v>659.97600000000011</v>
      </c>
    </row>
    <row r="2820" spans="2:3">
      <c r="B2820" s="18" t="s">
        <v>4</v>
      </c>
      <c r="C2820" s="19">
        <v>390.75</v>
      </c>
    </row>
    <row r="2821" spans="2:3">
      <c r="B2821" s="18" t="s">
        <v>4</v>
      </c>
      <c r="C2821" s="19">
        <v>389.97</v>
      </c>
    </row>
    <row r="2822" spans="2:3">
      <c r="B2822" s="18" t="s">
        <v>4</v>
      </c>
      <c r="C2822" s="19">
        <v>265.93</v>
      </c>
    </row>
    <row r="2823" spans="2:3">
      <c r="B2823" s="18" t="s">
        <v>4</v>
      </c>
      <c r="C2823" s="19">
        <v>252</v>
      </c>
    </row>
    <row r="2824" spans="2:3">
      <c r="B2824" s="18" t="s">
        <v>4</v>
      </c>
      <c r="C2824" s="19">
        <v>211.16800000000001</v>
      </c>
    </row>
    <row r="2825" spans="2:3">
      <c r="B2825" s="18" t="s">
        <v>4</v>
      </c>
      <c r="C2825" s="19">
        <v>479.98400000000004</v>
      </c>
    </row>
    <row r="2826" spans="2:3">
      <c r="B2826" s="18" t="s">
        <v>4</v>
      </c>
      <c r="C2826" s="19">
        <v>1115.9099999999999</v>
      </c>
    </row>
    <row r="2827" spans="2:3">
      <c r="B2827" s="18" t="s">
        <v>4</v>
      </c>
      <c r="C2827" s="19">
        <v>128.744</v>
      </c>
    </row>
    <row r="2828" spans="2:3">
      <c r="B2828" s="18" t="s">
        <v>4</v>
      </c>
      <c r="C2828" s="19">
        <v>79.920000000000016</v>
      </c>
    </row>
    <row r="2829" spans="2:3">
      <c r="B2829" s="18" t="s">
        <v>4</v>
      </c>
      <c r="C2829" s="19">
        <v>359.97600000000006</v>
      </c>
    </row>
    <row r="2830" spans="2:3">
      <c r="B2830" s="18" t="s">
        <v>4</v>
      </c>
      <c r="C2830" s="19">
        <v>595</v>
      </c>
    </row>
    <row r="2831" spans="2:3">
      <c r="B2831" s="18" t="s">
        <v>4</v>
      </c>
      <c r="C2831" s="19">
        <v>99.99</v>
      </c>
    </row>
    <row r="2832" spans="2:3">
      <c r="B2832" s="18" t="s">
        <v>4</v>
      </c>
      <c r="C2832" s="19">
        <v>158.928</v>
      </c>
    </row>
    <row r="2833" spans="2:3">
      <c r="B2833" s="18" t="s">
        <v>4</v>
      </c>
      <c r="C2833" s="19">
        <v>54.367999999999995</v>
      </c>
    </row>
    <row r="2834" spans="2:3">
      <c r="B2834" s="18" t="s">
        <v>4</v>
      </c>
      <c r="C2834" s="19">
        <v>119.69999999999999</v>
      </c>
    </row>
    <row r="2835" spans="2:3">
      <c r="B2835" s="18" t="s">
        <v>4</v>
      </c>
      <c r="C2835" s="19">
        <v>57.06</v>
      </c>
    </row>
    <row r="2836" spans="2:3">
      <c r="B2836" s="18" t="s">
        <v>4</v>
      </c>
      <c r="C2836" s="19">
        <v>71.599999999999994</v>
      </c>
    </row>
    <row r="2837" spans="2:3">
      <c r="B2837" s="18" t="s">
        <v>4</v>
      </c>
      <c r="C2837" s="19">
        <v>136.99</v>
      </c>
    </row>
    <row r="2838" spans="2:3">
      <c r="B2838" s="18" t="s">
        <v>4</v>
      </c>
      <c r="C2838" s="19">
        <v>35.167999999999999</v>
      </c>
    </row>
    <row r="2839" spans="2:3">
      <c r="B2839" s="18" t="s">
        <v>4</v>
      </c>
      <c r="C2839" s="19">
        <v>196.77600000000001</v>
      </c>
    </row>
    <row r="2840" spans="2:3">
      <c r="B2840" s="18" t="s">
        <v>4</v>
      </c>
      <c r="C2840" s="19">
        <v>479.93999999999994</v>
      </c>
    </row>
    <row r="2841" spans="2:3">
      <c r="B2841" s="18" t="s">
        <v>4</v>
      </c>
      <c r="C2841" s="19">
        <v>71</v>
      </c>
    </row>
    <row r="2842" spans="2:3">
      <c r="B2842" s="18" t="s">
        <v>4</v>
      </c>
      <c r="C2842" s="19">
        <v>164.38800000000001</v>
      </c>
    </row>
    <row r="2843" spans="2:3">
      <c r="B2843" s="18" t="s">
        <v>4</v>
      </c>
      <c r="C2843" s="19">
        <v>79.099999999999994</v>
      </c>
    </row>
    <row r="2844" spans="2:3">
      <c r="B2844" s="18" t="s">
        <v>4</v>
      </c>
      <c r="C2844" s="19">
        <v>587.97</v>
      </c>
    </row>
    <row r="2845" spans="2:3">
      <c r="B2845" s="18" t="s">
        <v>4</v>
      </c>
      <c r="C2845" s="19">
        <v>67.040000000000006</v>
      </c>
    </row>
    <row r="2846" spans="2:3">
      <c r="B2846" s="18" t="s">
        <v>4</v>
      </c>
      <c r="C2846" s="19">
        <v>11199.968000000001</v>
      </c>
    </row>
    <row r="2847" spans="2:3">
      <c r="B2847" s="18" t="s">
        <v>4</v>
      </c>
      <c r="C2847" s="19">
        <v>2399.6</v>
      </c>
    </row>
    <row r="2848" spans="2:3">
      <c r="B2848" s="18" t="s">
        <v>4</v>
      </c>
      <c r="C2848" s="19">
        <v>52.99</v>
      </c>
    </row>
    <row r="2849" spans="2:3">
      <c r="B2849" s="18" t="s">
        <v>4</v>
      </c>
      <c r="C2849" s="19">
        <v>60.864000000000004</v>
      </c>
    </row>
    <row r="2850" spans="2:3">
      <c r="B2850" s="18" t="s">
        <v>4</v>
      </c>
      <c r="C2850" s="19">
        <v>652.99500000000012</v>
      </c>
    </row>
    <row r="2851" spans="2:3">
      <c r="B2851" s="18" t="s">
        <v>4</v>
      </c>
      <c r="C2851" s="19">
        <v>1979.89</v>
      </c>
    </row>
    <row r="2852" spans="2:3">
      <c r="B2852" s="18" t="s">
        <v>4</v>
      </c>
      <c r="C2852" s="19">
        <v>619.94999999999993</v>
      </c>
    </row>
    <row r="2853" spans="2:3">
      <c r="B2853" s="18" t="s">
        <v>4</v>
      </c>
      <c r="C2853" s="19">
        <v>350.97300000000007</v>
      </c>
    </row>
    <row r="2854" spans="2:3">
      <c r="B2854" s="18" t="s">
        <v>4</v>
      </c>
      <c r="C2854" s="19">
        <v>164.99</v>
      </c>
    </row>
    <row r="2855" spans="2:3">
      <c r="B2855" s="18" t="s">
        <v>4</v>
      </c>
      <c r="C2855" s="19">
        <v>132.60000000000002</v>
      </c>
    </row>
    <row r="2856" spans="2:3">
      <c r="B2856" s="18" t="s">
        <v>4</v>
      </c>
      <c r="C2856" s="19">
        <v>71.98</v>
      </c>
    </row>
    <row r="2857" spans="2:3">
      <c r="B2857" s="18" t="s">
        <v>4</v>
      </c>
      <c r="C2857" s="19">
        <v>359.97</v>
      </c>
    </row>
    <row r="2858" spans="2:3">
      <c r="B2858" s="18" t="s">
        <v>4</v>
      </c>
      <c r="C2858" s="19">
        <v>629.95799999999997</v>
      </c>
    </row>
    <row r="2859" spans="2:3">
      <c r="B2859" s="18" t="s">
        <v>4</v>
      </c>
      <c r="C2859" s="19">
        <v>799.96</v>
      </c>
    </row>
    <row r="2860" spans="2:3">
      <c r="B2860" s="18" t="s">
        <v>4</v>
      </c>
      <c r="C2860" s="19">
        <v>25.98</v>
      </c>
    </row>
    <row r="2861" spans="2:3">
      <c r="B2861" s="18" t="s">
        <v>4</v>
      </c>
      <c r="C2861" s="19">
        <v>79.992000000000004</v>
      </c>
    </row>
    <row r="2862" spans="2:3">
      <c r="B2862" s="18" t="s">
        <v>4</v>
      </c>
      <c r="C2862" s="19">
        <v>0.99</v>
      </c>
    </row>
    <row r="2863" spans="2:3">
      <c r="B2863" s="18" t="s">
        <v>4</v>
      </c>
      <c r="C2863" s="19">
        <v>2.3760000000000003</v>
      </c>
    </row>
    <row r="2864" spans="2:3">
      <c r="B2864" s="18" t="s">
        <v>4</v>
      </c>
      <c r="C2864" s="19">
        <v>36.048000000000002</v>
      </c>
    </row>
    <row r="2865" spans="2:3">
      <c r="B2865" s="18" t="s">
        <v>4</v>
      </c>
      <c r="C2865" s="19">
        <v>67.8</v>
      </c>
    </row>
    <row r="2866" spans="2:3">
      <c r="B2866" s="18" t="s">
        <v>4</v>
      </c>
      <c r="C2866" s="19">
        <v>377.96999999999997</v>
      </c>
    </row>
    <row r="2867" spans="2:3">
      <c r="B2867" s="18" t="s">
        <v>4</v>
      </c>
      <c r="C2867" s="19">
        <v>35.880000000000003</v>
      </c>
    </row>
    <row r="2868" spans="2:3">
      <c r="B2868" s="18" t="s">
        <v>4</v>
      </c>
      <c r="C2868" s="19">
        <v>41.6</v>
      </c>
    </row>
    <row r="2869" spans="2:3">
      <c r="B2869" s="18" t="s">
        <v>4</v>
      </c>
      <c r="C2869" s="19">
        <v>7.9200000000000008</v>
      </c>
    </row>
    <row r="2870" spans="2:3">
      <c r="B2870" s="18" t="s">
        <v>4</v>
      </c>
      <c r="C2870" s="19">
        <v>671.98400000000004</v>
      </c>
    </row>
    <row r="2871" spans="2:3">
      <c r="B2871" s="18" t="s">
        <v>4</v>
      </c>
      <c r="C2871" s="19">
        <v>2549.9850000000006</v>
      </c>
    </row>
    <row r="2872" spans="2:3">
      <c r="B2872" s="18" t="s">
        <v>4</v>
      </c>
      <c r="C2872" s="19">
        <v>360</v>
      </c>
    </row>
    <row r="2873" spans="2:3">
      <c r="B2873" s="18" t="s">
        <v>4</v>
      </c>
      <c r="C2873" s="19">
        <v>140.73599999999999</v>
      </c>
    </row>
    <row r="2874" spans="2:3">
      <c r="B2874" s="18" t="s">
        <v>4</v>
      </c>
      <c r="C2874" s="19">
        <v>214.95000000000002</v>
      </c>
    </row>
    <row r="2875" spans="2:3">
      <c r="B2875" s="18" t="s">
        <v>4</v>
      </c>
      <c r="C2875" s="19">
        <v>43.176000000000002</v>
      </c>
    </row>
    <row r="2876" spans="2:3">
      <c r="B2876" s="18" t="s">
        <v>4</v>
      </c>
      <c r="C2876" s="19">
        <v>539.97</v>
      </c>
    </row>
    <row r="2877" spans="2:3">
      <c r="B2877" s="18" t="s">
        <v>4</v>
      </c>
      <c r="C2877" s="19">
        <v>127.98399999999999</v>
      </c>
    </row>
    <row r="2878" spans="2:3">
      <c r="B2878" s="18" t="s">
        <v>4</v>
      </c>
      <c r="C2878" s="19">
        <v>671.93</v>
      </c>
    </row>
    <row r="2879" spans="2:3">
      <c r="B2879" s="18" t="s">
        <v>4</v>
      </c>
      <c r="C2879" s="19">
        <v>258.52799999999996</v>
      </c>
    </row>
    <row r="2880" spans="2:3">
      <c r="B2880" s="18" t="s">
        <v>4</v>
      </c>
      <c r="C2880" s="19">
        <v>67.992000000000004</v>
      </c>
    </row>
    <row r="2881" spans="2:3">
      <c r="B2881" s="18" t="s">
        <v>4</v>
      </c>
      <c r="C2881" s="19">
        <v>44.783999999999999</v>
      </c>
    </row>
    <row r="2882" spans="2:3">
      <c r="B2882" s="18" t="s">
        <v>4</v>
      </c>
      <c r="C2882" s="19">
        <v>119.96000000000001</v>
      </c>
    </row>
    <row r="2883" spans="2:3">
      <c r="B2883" s="18" t="s">
        <v>4</v>
      </c>
      <c r="C2883" s="19">
        <v>88.77600000000001</v>
      </c>
    </row>
    <row r="2884" spans="2:3">
      <c r="B2884" s="18" t="s">
        <v>4</v>
      </c>
      <c r="C2884" s="19">
        <v>47.984000000000002</v>
      </c>
    </row>
    <row r="2885" spans="2:3">
      <c r="B2885" s="18" t="s">
        <v>4</v>
      </c>
      <c r="C2885" s="19">
        <v>826.62000000000012</v>
      </c>
    </row>
    <row r="2886" spans="2:3">
      <c r="B2886" s="18" t="s">
        <v>4</v>
      </c>
      <c r="C2886" s="19">
        <v>69.930000000000007</v>
      </c>
    </row>
    <row r="2887" spans="2:3">
      <c r="B2887" s="18" t="s">
        <v>4</v>
      </c>
      <c r="C2887" s="19">
        <v>65.989999999999995</v>
      </c>
    </row>
    <row r="2888" spans="2:3">
      <c r="B2888" s="18" t="s">
        <v>4</v>
      </c>
      <c r="C2888" s="19">
        <v>29.97</v>
      </c>
    </row>
    <row r="2889" spans="2:3">
      <c r="B2889" s="18" t="s">
        <v>4</v>
      </c>
      <c r="C2889" s="19">
        <v>430.88</v>
      </c>
    </row>
    <row r="2890" spans="2:3">
      <c r="B2890" s="18" t="s">
        <v>4</v>
      </c>
      <c r="C2890" s="19">
        <v>219.80000000000004</v>
      </c>
    </row>
    <row r="2891" spans="2:3">
      <c r="B2891" s="18" t="s">
        <v>4</v>
      </c>
      <c r="C2891" s="19">
        <v>49.08</v>
      </c>
    </row>
    <row r="2892" spans="2:3">
      <c r="B2892" s="18" t="s">
        <v>4</v>
      </c>
      <c r="C2892" s="19">
        <v>27.183999999999997</v>
      </c>
    </row>
    <row r="2893" spans="2:3">
      <c r="B2893" s="18" t="s">
        <v>4</v>
      </c>
      <c r="C2893" s="19">
        <v>3359.9520000000002</v>
      </c>
    </row>
    <row r="2894" spans="2:3">
      <c r="B2894" s="18" t="s">
        <v>4</v>
      </c>
      <c r="C2894" s="19">
        <v>1704.89</v>
      </c>
    </row>
    <row r="2895" spans="2:3">
      <c r="B2895" s="18" t="s">
        <v>4</v>
      </c>
      <c r="C2895" s="19">
        <v>1919.9760000000001</v>
      </c>
    </row>
    <row r="2896" spans="2:3">
      <c r="B2896" s="18" t="s">
        <v>4</v>
      </c>
      <c r="C2896" s="19">
        <v>227.976</v>
      </c>
    </row>
    <row r="2897" spans="2:3">
      <c r="B2897" s="18" t="s">
        <v>4</v>
      </c>
      <c r="C2897" s="19">
        <v>52.679999999999993</v>
      </c>
    </row>
    <row r="2898" spans="2:3">
      <c r="B2898" s="18" t="s">
        <v>4</v>
      </c>
      <c r="C2898" s="19">
        <v>431.96800000000007</v>
      </c>
    </row>
    <row r="2899" spans="2:3">
      <c r="B2899" s="18" t="s">
        <v>4</v>
      </c>
      <c r="C2899" s="19">
        <v>222.38400000000001</v>
      </c>
    </row>
    <row r="2900" spans="2:3">
      <c r="B2900" s="18" t="s">
        <v>4</v>
      </c>
      <c r="C2900" s="19">
        <v>71.975999999999999</v>
      </c>
    </row>
    <row r="2901" spans="2:3">
      <c r="B2901" s="18" t="s">
        <v>4</v>
      </c>
      <c r="C2901" s="19">
        <v>47.984000000000002</v>
      </c>
    </row>
    <row r="2902" spans="2:3">
      <c r="B2902" s="18" t="s">
        <v>4</v>
      </c>
      <c r="C2902" s="19">
        <v>492.76800000000003</v>
      </c>
    </row>
    <row r="2903" spans="2:3">
      <c r="B2903" s="18" t="s">
        <v>4</v>
      </c>
      <c r="C2903" s="19">
        <v>47.992000000000004</v>
      </c>
    </row>
    <row r="2904" spans="2:3">
      <c r="B2904" s="18" t="s">
        <v>4</v>
      </c>
      <c r="C2904" s="19">
        <v>18.544</v>
      </c>
    </row>
    <row r="2905" spans="2:3">
      <c r="B2905" s="18" t="s">
        <v>4</v>
      </c>
      <c r="C2905" s="19">
        <v>99.98</v>
      </c>
    </row>
    <row r="2906" spans="2:3">
      <c r="B2906" s="18" t="s">
        <v>4</v>
      </c>
      <c r="C2906" s="19">
        <v>72</v>
      </c>
    </row>
    <row r="2907" spans="2:3">
      <c r="B2907" s="18" t="s">
        <v>4</v>
      </c>
      <c r="C2907" s="19">
        <v>655.90000000000009</v>
      </c>
    </row>
    <row r="2908" spans="2:3">
      <c r="B2908" s="18" t="s">
        <v>4</v>
      </c>
      <c r="C2908" s="19">
        <v>95.736000000000004</v>
      </c>
    </row>
    <row r="2909" spans="2:3">
      <c r="B2909" s="18" t="s">
        <v>4</v>
      </c>
      <c r="C2909" s="19">
        <v>599.97</v>
      </c>
    </row>
    <row r="2910" spans="2:3">
      <c r="B2910" s="18" t="s">
        <v>4</v>
      </c>
      <c r="C2910" s="19">
        <v>38.97</v>
      </c>
    </row>
    <row r="2911" spans="2:3">
      <c r="B2911" s="18" t="s">
        <v>4</v>
      </c>
      <c r="C2911" s="19">
        <v>439.8</v>
      </c>
    </row>
    <row r="2912" spans="2:3">
      <c r="B2912" s="18" t="s">
        <v>4</v>
      </c>
      <c r="C2912" s="19">
        <v>59.98</v>
      </c>
    </row>
    <row r="2913" spans="2:3">
      <c r="B2913" s="18" t="s">
        <v>4</v>
      </c>
      <c r="C2913" s="19">
        <v>2395.2000000000003</v>
      </c>
    </row>
    <row r="2914" spans="2:3">
      <c r="B2914" s="18" t="s">
        <v>4</v>
      </c>
      <c r="C2914" s="19">
        <v>1687.8</v>
      </c>
    </row>
    <row r="2915" spans="2:3">
      <c r="B2915" s="18" t="s">
        <v>4</v>
      </c>
      <c r="C2915" s="19">
        <v>7.9920000000000009</v>
      </c>
    </row>
    <row r="2916" spans="2:3">
      <c r="B2916" s="18" t="s">
        <v>4</v>
      </c>
      <c r="C2916" s="19">
        <v>1169.694</v>
      </c>
    </row>
    <row r="2917" spans="2:3">
      <c r="B2917" s="18" t="s">
        <v>4</v>
      </c>
      <c r="C2917" s="19">
        <v>431.92800000000005</v>
      </c>
    </row>
    <row r="2918" spans="2:3">
      <c r="B2918" s="18" t="s">
        <v>4</v>
      </c>
      <c r="C2918" s="19">
        <v>5.5600000000000005</v>
      </c>
    </row>
    <row r="2919" spans="2:3">
      <c r="B2919" s="18" t="s">
        <v>4</v>
      </c>
      <c r="C2919" s="19">
        <v>36.32</v>
      </c>
    </row>
    <row r="2920" spans="2:3">
      <c r="B2920" s="18" t="s">
        <v>4</v>
      </c>
      <c r="C2920" s="19">
        <v>104.88</v>
      </c>
    </row>
    <row r="2921" spans="2:3">
      <c r="B2921" s="18" t="s">
        <v>4</v>
      </c>
      <c r="C2921" s="19">
        <v>9.0960000000000001</v>
      </c>
    </row>
    <row r="2922" spans="2:3">
      <c r="B2922" s="18" t="s">
        <v>4</v>
      </c>
      <c r="C2922" s="19">
        <v>258.89999999999998</v>
      </c>
    </row>
    <row r="2923" spans="2:3">
      <c r="B2923" s="18" t="s">
        <v>4</v>
      </c>
      <c r="C2923" s="19">
        <v>163.96</v>
      </c>
    </row>
    <row r="2924" spans="2:3">
      <c r="B2924" s="18" t="s">
        <v>4</v>
      </c>
      <c r="C2924" s="19">
        <v>11.54</v>
      </c>
    </row>
    <row r="2925" spans="2:3">
      <c r="B2925" s="18" t="s">
        <v>4</v>
      </c>
      <c r="C2925" s="19">
        <v>879.98400000000004</v>
      </c>
    </row>
    <row r="2926" spans="2:3">
      <c r="B2926" s="18" t="s">
        <v>4</v>
      </c>
      <c r="C2926" s="19">
        <v>71.975999999999999</v>
      </c>
    </row>
    <row r="2927" spans="2:3">
      <c r="B2927" s="18" t="s">
        <v>4</v>
      </c>
      <c r="C2927" s="19">
        <v>41.424000000000007</v>
      </c>
    </row>
    <row r="2928" spans="2:3">
      <c r="B2928" s="18" t="s">
        <v>4</v>
      </c>
      <c r="C2928" s="19">
        <v>1359.96</v>
      </c>
    </row>
    <row r="2929" spans="2:3">
      <c r="B2929" s="18" t="s">
        <v>4</v>
      </c>
      <c r="C2929" s="19">
        <v>34.950000000000003</v>
      </c>
    </row>
    <row r="2930" spans="2:3">
      <c r="B2930" s="18" t="s">
        <v>4</v>
      </c>
      <c r="C2930" s="19">
        <v>823.96000000000015</v>
      </c>
    </row>
    <row r="2931" spans="2:3">
      <c r="B2931" s="18" t="s">
        <v>4</v>
      </c>
      <c r="C2931" s="19">
        <v>124.79200000000002</v>
      </c>
    </row>
    <row r="2932" spans="2:3">
      <c r="B2932" s="18" t="s">
        <v>4</v>
      </c>
      <c r="C2932" s="19">
        <v>155.34</v>
      </c>
    </row>
    <row r="2933" spans="2:3">
      <c r="B2933" s="18" t="s">
        <v>4</v>
      </c>
      <c r="C2933" s="19">
        <v>48.9</v>
      </c>
    </row>
    <row r="2934" spans="2:3">
      <c r="B2934" s="18" t="s">
        <v>4</v>
      </c>
      <c r="C2934" s="19">
        <v>127.98399999999999</v>
      </c>
    </row>
    <row r="2935" spans="2:3">
      <c r="B2935" s="18" t="s">
        <v>4</v>
      </c>
      <c r="C2935" s="19">
        <v>470.37600000000009</v>
      </c>
    </row>
    <row r="2936" spans="2:3">
      <c r="B2936" s="18" t="s">
        <v>4</v>
      </c>
      <c r="C2936" s="19">
        <v>201.584</v>
      </c>
    </row>
    <row r="2937" spans="2:3">
      <c r="B2937" s="18" t="s">
        <v>4</v>
      </c>
      <c r="C2937" s="19">
        <v>84.784000000000006</v>
      </c>
    </row>
    <row r="2938" spans="2:3">
      <c r="B2938" s="18" t="s">
        <v>4</v>
      </c>
      <c r="C2938" s="19">
        <v>95.84</v>
      </c>
    </row>
    <row r="2939" spans="2:3">
      <c r="B2939" s="18" t="s">
        <v>4</v>
      </c>
      <c r="C2939" s="19">
        <v>153.584</v>
      </c>
    </row>
    <row r="2940" spans="2:3">
      <c r="B2940" s="18" t="s">
        <v>4</v>
      </c>
      <c r="C2940" s="19">
        <v>479.97</v>
      </c>
    </row>
    <row r="2941" spans="2:3">
      <c r="B2941" s="18" t="s">
        <v>4</v>
      </c>
      <c r="C2941" s="19">
        <v>159.96000000000004</v>
      </c>
    </row>
    <row r="2942" spans="2:3">
      <c r="B2942" s="18" t="s">
        <v>4</v>
      </c>
      <c r="C2942" s="19">
        <v>19.040000000000003</v>
      </c>
    </row>
    <row r="2943" spans="2:3">
      <c r="B2943" s="18" t="s">
        <v>4</v>
      </c>
      <c r="C2943" s="19">
        <v>55.2</v>
      </c>
    </row>
    <row r="2944" spans="2:3">
      <c r="B2944" s="18" t="s">
        <v>4</v>
      </c>
      <c r="C2944" s="19">
        <v>539.97</v>
      </c>
    </row>
    <row r="2945" spans="2:3">
      <c r="B2945" s="18" t="s">
        <v>4</v>
      </c>
      <c r="C2945" s="19">
        <v>169.06400000000002</v>
      </c>
    </row>
    <row r="2946" spans="2:3">
      <c r="B2946" s="18" t="s">
        <v>4</v>
      </c>
      <c r="C2946" s="19">
        <v>319.95999999999998</v>
      </c>
    </row>
    <row r="2947" spans="2:3">
      <c r="B2947" s="18" t="s">
        <v>4</v>
      </c>
      <c r="C2947" s="19">
        <v>10499.97</v>
      </c>
    </row>
    <row r="2948" spans="2:3">
      <c r="B2948" s="18" t="s">
        <v>4</v>
      </c>
      <c r="C2948" s="19">
        <v>4799.9839999999995</v>
      </c>
    </row>
    <row r="2949" spans="2:3">
      <c r="B2949" s="18" t="s">
        <v>4</v>
      </c>
      <c r="C2949" s="19">
        <v>385.80000000000007</v>
      </c>
    </row>
    <row r="2950" spans="2:3">
      <c r="B2950" s="18" t="s">
        <v>4</v>
      </c>
      <c r="C2950" s="19">
        <v>63.96</v>
      </c>
    </row>
    <row r="2951" spans="2:3">
      <c r="B2951" s="18" t="s">
        <v>4</v>
      </c>
      <c r="C2951" s="19">
        <v>71.928000000000011</v>
      </c>
    </row>
    <row r="2952" spans="2:3">
      <c r="B2952" s="18" t="s">
        <v>4</v>
      </c>
      <c r="C2952" s="19">
        <v>53.981999999999999</v>
      </c>
    </row>
    <row r="2953" spans="2:3">
      <c r="B2953" s="18" t="s">
        <v>4</v>
      </c>
      <c r="C2953" s="19">
        <v>4367.8960000000006</v>
      </c>
    </row>
    <row r="2954" spans="2:3">
      <c r="B2954" s="18" t="s">
        <v>4</v>
      </c>
      <c r="C2954" s="19">
        <v>19.989999999999998</v>
      </c>
    </row>
    <row r="2955" spans="2:3">
      <c r="B2955" s="18" t="s">
        <v>4</v>
      </c>
      <c r="C2955" s="19">
        <v>657.50400000000002</v>
      </c>
    </row>
    <row r="2956" spans="2:3">
      <c r="B2956" s="18" t="s">
        <v>4</v>
      </c>
      <c r="C2956" s="19">
        <v>99.54</v>
      </c>
    </row>
    <row r="2957" spans="2:3">
      <c r="B2957" s="18" t="s">
        <v>4</v>
      </c>
      <c r="C2957" s="19">
        <v>199.96</v>
      </c>
    </row>
    <row r="2958" spans="2:3">
      <c r="B2958" s="18" t="s">
        <v>4</v>
      </c>
      <c r="C2958" s="19">
        <v>27.12</v>
      </c>
    </row>
    <row r="2959" spans="2:3">
      <c r="B2959" s="18" t="s">
        <v>4</v>
      </c>
      <c r="C2959" s="19">
        <v>95.84</v>
      </c>
    </row>
    <row r="2960" spans="2:3">
      <c r="B2960" s="18" t="s">
        <v>4</v>
      </c>
      <c r="C2960" s="19">
        <v>29.160000000000004</v>
      </c>
    </row>
    <row r="2961" spans="2:3">
      <c r="B2961" s="18" t="s">
        <v>4</v>
      </c>
      <c r="C2961" s="19">
        <v>159.75</v>
      </c>
    </row>
    <row r="2962" spans="2:3">
      <c r="B2962" s="18" t="s">
        <v>4</v>
      </c>
      <c r="C2962" s="19">
        <v>1259.97</v>
      </c>
    </row>
    <row r="2963" spans="2:3">
      <c r="B2963" s="18" t="s">
        <v>4</v>
      </c>
      <c r="C2963" s="19">
        <v>34.75</v>
      </c>
    </row>
    <row r="2964" spans="2:3">
      <c r="B2964" s="18" t="s">
        <v>4</v>
      </c>
      <c r="C2964" s="19">
        <v>55.98</v>
      </c>
    </row>
    <row r="2965" spans="2:3">
      <c r="B2965" s="18" t="s">
        <v>4</v>
      </c>
      <c r="C2965" s="19">
        <v>54.384000000000007</v>
      </c>
    </row>
    <row r="2966" spans="2:3">
      <c r="B2966" s="18" t="s">
        <v>4</v>
      </c>
      <c r="C2966" s="19">
        <v>239.976</v>
      </c>
    </row>
    <row r="2967" spans="2:3">
      <c r="B2967" s="18" t="s">
        <v>4</v>
      </c>
      <c r="C2967" s="19">
        <v>269.98</v>
      </c>
    </row>
    <row r="2968" spans="2:3">
      <c r="B2968" s="18" t="s">
        <v>4</v>
      </c>
      <c r="C2968" s="19">
        <v>116.83199999999999</v>
      </c>
    </row>
    <row r="2969" spans="2:3">
      <c r="B2969" s="18" t="s">
        <v>4</v>
      </c>
      <c r="C2969" s="19">
        <v>479.98400000000004</v>
      </c>
    </row>
    <row r="2970" spans="2:3">
      <c r="B2970" s="18" t="s">
        <v>4</v>
      </c>
      <c r="C2970" s="19">
        <v>2879.9520000000002</v>
      </c>
    </row>
    <row r="2971" spans="2:3">
      <c r="B2971" s="18" t="s">
        <v>4</v>
      </c>
      <c r="C2971" s="19">
        <v>62.31</v>
      </c>
    </row>
    <row r="2972" spans="2:3">
      <c r="B2972" s="18" t="s">
        <v>4</v>
      </c>
      <c r="C2972" s="19">
        <v>344.70400000000001</v>
      </c>
    </row>
    <row r="2973" spans="2:3">
      <c r="B2973" s="18" t="s">
        <v>4</v>
      </c>
      <c r="C2973" s="19">
        <v>222.38400000000001</v>
      </c>
    </row>
    <row r="2974" spans="2:3">
      <c r="B2974" s="18" t="s">
        <v>4</v>
      </c>
      <c r="C2974" s="19">
        <v>39.593999999999994</v>
      </c>
    </row>
    <row r="2975" spans="2:3">
      <c r="B2975" s="18" t="s">
        <v>4</v>
      </c>
      <c r="C2975" s="19">
        <v>158.37599999999998</v>
      </c>
    </row>
    <row r="2976" spans="2:3">
      <c r="B2976" s="18" t="s">
        <v>4</v>
      </c>
      <c r="C2976" s="19">
        <v>239.96999999999997</v>
      </c>
    </row>
    <row r="2977" spans="2:3">
      <c r="B2977" s="18" t="s">
        <v>4</v>
      </c>
      <c r="C2977" s="19">
        <v>89.987999999999985</v>
      </c>
    </row>
    <row r="2978" spans="2:3">
      <c r="B2978" s="18" t="s">
        <v>4</v>
      </c>
      <c r="C2978" s="19">
        <v>2249.91</v>
      </c>
    </row>
    <row r="2979" spans="2:3">
      <c r="B2979" s="18" t="s">
        <v>4</v>
      </c>
      <c r="C2979" s="19">
        <v>111.98399999999999</v>
      </c>
    </row>
    <row r="2980" spans="2:3">
      <c r="B2980" s="18" t="s">
        <v>4</v>
      </c>
      <c r="C2980" s="19">
        <v>90.48</v>
      </c>
    </row>
    <row r="2981" spans="2:3">
      <c r="B2981" s="18" t="s">
        <v>4</v>
      </c>
      <c r="C2981" s="19">
        <v>689.40800000000002</v>
      </c>
    </row>
    <row r="2982" spans="2:3">
      <c r="B2982" s="18" t="s">
        <v>4</v>
      </c>
      <c r="C2982" s="19">
        <v>79.989999999999995</v>
      </c>
    </row>
    <row r="2983" spans="2:3">
      <c r="B2983" s="18" t="s">
        <v>4</v>
      </c>
      <c r="C2983" s="19">
        <v>210.56400000000002</v>
      </c>
    </row>
    <row r="2984" spans="2:3">
      <c r="B2984" s="18" t="s">
        <v>4</v>
      </c>
      <c r="C2984" s="19">
        <v>461.97</v>
      </c>
    </row>
    <row r="2985" spans="2:3">
      <c r="B2985" s="18" t="s">
        <v>4</v>
      </c>
      <c r="C2985" s="19">
        <v>239.96000000000004</v>
      </c>
    </row>
    <row r="2986" spans="2:3">
      <c r="B2986" s="18" t="s">
        <v>4</v>
      </c>
      <c r="C2986" s="19">
        <v>391.98</v>
      </c>
    </row>
    <row r="2987" spans="2:3">
      <c r="B2987" s="18" t="s">
        <v>4</v>
      </c>
      <c r="C2987" s="19">
        <v>383.97600000000006</v>
      </c>
    </row>
    <row r="2988" spans="2:3">
      <c r="B2988" s="18" t="s">
        <v>4</v>
      </c>
      <c r="C2988" s="19">
        <v>1001.5840000000001</v>
      </c>
    </row>
    <row r="2989" spans="2:3">
      <c r="B2989" s="18" t="s">
        <v>4</v>
      </c>
      <c r="C2989" s="19">
        <v>167.95200000000003</v>
      </c>
    </row>
    <row r="2990" spans="2:3">
      <c r="B2990" s="18" t="s">
        <v>4</v>
      </c>
      <c r="C2990" s="19">
        <v>114.94999999999999</v>
      </c>
    </row>
    <row r="2991" spans="2:3">
      <c r="B2991" s="18" t="s">
        <v>4</v>
      </c>
      <c r="C2991" s="19">
        <v>43.5</v>
      </c>
    </row>
    <row r="2992" spans="2:3">
      <c r="B2992" s="18" t="s">
        <v>4</v>
      </c>
      <c r="C2992" s="19">
        <v>52.44</v>
      </c>
    </row>
    <row r="2993" spans="2:3">
      <c r="B2993" s="18" t="s">
        <v>4</v>
      </c>
      <c r="C2993" s="19">
        <v>159.80000000000001</v>
      </c>
    </row>
    <row r="2994" spans="2:3">
      <c r="B2994" s="18" t="s">
        <v>4</v>
      </c>
      <c r="C2994" s="19">
        <v>44.75</v>
      </c>
    </row>
    <row r="2995" spans="2:3">
      <c r="B2995" s="18" t="s">
        <v>4</v>
      </c>
      <c r="C2995" s="19">
        <v>13.48</v>
      </c>
    </row>
    <row r="2996" spans="2:3">
      <c r="B2996" s="18" t="s">
        <v>4</v>
      </c>
      <c r="C2996" s="19">
        <v>543.91999999999996</v>
      </c>
    </row>
    <row r="2997" spans="2:3">
      <c r="B2997" s="18" t="s">
        <v>4</v>
      </c>
      <c r="C2997" s="19">
        <v>88.77600000000001</v>
      </c>
    </row>
    <row r="2998" spans="2:3">
      <c r="B2998" s="18" t="s">
        <v>4</v>
      </c>
      <c r="C2998" s="19">
        <v>98.16</v>
      </c>
    </row>
    <row r="2999" spans="2:3">
      <c r="B2999" s="18" t="s">
        <v>4</v>
      </c>
      <c r="C2999" s="19">
        <v>358.2</v>
      </c>
    </row>
    <row r="3000" spans="2:3">
      <c r="B3000" s="18" t="s">
        <v>4</v>
      </c>
      <c r="C3000" s="19">
        <v>545.91599999999994</v>
      </c>
    </row>
    <row r="3001" spans="2:3">
      <c r="B3001" s="18" t="s">
        <v>4</v>
      </c>
      <c r="C3001" s="19">
        <v>167.976</v>
      </c>
    </row>
    <row r="3002" spans="2:3">
      <c r="B3002" s="18" t="s">
        <v>4</v>
      </c>
      <c r="C3002" s="19">
        <v>109.53</v>
      </c>
    </row>
    <row r="3003" spans="2:3">
      <c r="B3003" s="18" t="s">
        <v>4</v>
      </c>
      <c r="C3003" s="19">
        <v>71.98</v>
      </c>
    </row>
    <row r="3004" spans="2:3">
      <c r="B3004" s="18" t="s">
        <v>4</v>
      </c>
      <c r="C3004" s="19">
        <v>79.98</v>
      </c>
    </row>
    <row r="3005" spans="2:3">
      <c r="B3005" s="18" t="s">
        <v>4</v>
      </c>
      <c r="C3005" s="19">
        <v>101.34</v>
      </c>
    </row>
    <row r="3006" spans="2:3">
      <c r="B3006" s="18" t="s">
        <v>4</v>
      </c>
      <c r="C3006" s="19">
        <v>39.984000000000002</v>
      </c>
    </row>
    <row r="3007" spans="2:3">
      <c r="B3007" s="18" t="s">
        <v>4</v>
      </c>
      <c r="C3007" s="19">
        <v>103.19200000000001</v>
      </c>
    </row>
    <row r="3008" spans="2:3">
      <c r="B3008" s="18" t="s">
        <v>4</v>
      </c>
      <c r="C3008" s="19">
        <v>36</v>
      </c>
    </row>
    <row r="3009" spans="2:3">
      <c r="B3009" s="18" t="s">
        <v>4</v>
      </c>
      <c r="C3009" s="19">
        <v>239.96</v>
      </c>
    </row>
    <row r="3010" spans="2:3">
      <c r="B3010" s="18" t="s">
        <v>4</v>
      </c>
      <c r="C3010" s="19">
        <v>23.976000000000003</v>
      </c>
    </row>
    <row r="3011" spans="2:3">
      <c r="B3011" s="18" t="s">
        <v>4</v>
      </c>
      <c r="C3011" s="19">
        <v>63.920000000000009</v>
      </c>
    </row>
    <row r="3012" spans="2:3">
      <c r="B3012" s="18" t="s">
        <v>4</v>
      </c>
      <c r="C3012" s="19">
        <v>41.9</v>
      </c>
    </row>
    <row r="3013" spans="2:3">
      <c r="B3013" s="18" t="s">
        <v>4</v>
      </c>
      <c r="C3013" s="19">
        <v>859.19999999999993</v>
      </c>
    </row>
    <row r="3014" spans="2:3">
      <c r="B3014" s="18" t="s">
        <v>4</v>
      </c>
      <c r="C3014" s="19">
        <v>11.120000000000001</v>
      </c>
    </row>
    <row r="3015" spans="2:3">
      <c r="B3015" s="18" t="s">
        <v>4</v>
      </c>
      <c r="C3015" s="19">
        <v>255.96799999999999</v>
      </c>
    </row>
    <row r="3016" spans="2:3">
      <c r="B3016" s="18" t="s">
        <v>4</v>
      </c>
      <c r="C3016" s="19">
        <v>2479.96</v>
      </c>
    </row>
    <row r="3017" spans="2:3">
      <c r="B3017" s="18" t="s">
        <v>4</v>
      </c>
      <c r="C3017" s="19">
        <v>126.56</v>
      </c>
    </row>
    <row r="3018" spans="2:3">
      <c r="B3018" s="18" t="s">
        <v>4</v>
      </c>
      <c r="C3018" s="19">
        <v>2999.95</v>
      </c>
    </row>
    <row r="3019" spans="2:3">
      <c r="B3019" s="18" t="s">
        <v>4</v>
      </c>
      <c r="C3019" s="19">
        <v>209.98599999999999</v>
      </c>
    </row>
    <row r="3020" spans="2:3">
      <c r="B3020" s="18" t="s">
        <v>4</v>
      </c>
      <c r="C3020" s="19">
        <v>959.98400000000004</v>
      </c>
    </row>
    <row r="3021" spans="2:3">
      <c r="B3021" s="18" t="s">
        <v>4</v>
      </c>
      <c r="C3021" s="19">
        <v>34.360000000000007</v>
      </c>
    </row>
    <row r="3022" spans="2:3">
      <c r="B3022" s="18" t="s">
        <v>4</v>
      </c>
      <c r="C3022" s="19">
        <v>546.06000000000006</v>
      </c>
    </row>
    <row r="3023" spans="2:3">
      <c r="B3023" s="18" t="s">
        <v>4</v>
      </c>
      <c r="C3023" s="19">
        <v>391.98</v>
      </c>
    </row>
    <row r="3024" spans="2:3">
      <c r="B3024" s="18" t="s">
        <v>4</v>
      </c>
      <c r="C3024" s="19">
        <v>437.84999999999997</v>
      </c>
    </row>
    <row r="3025" spans="2:3">
      <c r="B3025" s="18" t="s">
        <v>4</v>
      </c>
      <c r="C3025" s="19">
        <v>659.9</v>
      </c>
    </row>
    <row r="3026" spans="2:3">
      <c r="B3026" s="18" t="s">
        <v>4</v>
      </c>
      <c r="C3026" s="19">
        <v>843.9</v>
      </c>
    </row>
    <row r="3027" spans="2:3">
      <c r="B3027" s="18" t="s">
        <v>4</v>
      </c>
      <c r="C3027" s="19">
        <v>1496.16</v>
      </c>
    </row>
    <row r="3028" spans="2:3">
      <c r="B3028" s="18" t="s">
        <v>4</v>
      </c>
      <c r="C3028" s="19">
        <v>284.96999999999997</v>
      </c>
    </row>
    <row r="3029" spans="2:3">
      <c r="B3029" s="18" t="s">
        <v>4</v>
      </c>
      <c r="C3029" s="19">
        <v>36.792000000000002</v>
      </c>
    </row>
    <row r="3030" spans="2:3">
      <c r="B3030" s="18" t="s">
        <v>4</v>
      </c>
      <c r="C3030" s="19">
        <v>178.10999999999999</v>
      </c>
    </row>
    <row r="3031" spans="2:3">
      <c r="B3031" s="18" t="s">
        <v>4</v>
      </c>
      <c r="C3031" s="19">
        <v>532.72</v>
      </c>
    </row>
    <row r="3032" spans="2:3">
      <c r="B3032" s="18" t="s">
        <v>4</v>
      </c>
      <c r="C3032" s="19">
        <v>74.95</v>
      </c>
    </row>
    <row r="3033" spans="2:3">
      <c r="B3033" s="18" t="s">
        <v>4</v>
      </c>
      <c r="C3033" s="19">
        <v>85.2</v>
      </c>
    </row>
    <row r="3034" spans="2:3">
      <c r="B3034" s="18" t="s">
        <v>4</v>
      </c>
      <c r="C3034" s="19">
        <v>57.567999999999998</v>
      </c>
    </row>
    <row r="3035" spans="2:3">
      <c r="B3035" s="18" t="s">
        <v>4</v>
      </c>
      <c r="C3035" s="19">
        <v>16.95</v>
      </c>
    </row>
    <row r="3036" spans="2:3">
      <c r="B3036" s="18" t="s">
        <v>4</v>
      </c>
      <c r="C3036" s="19">
        <v>1099.5</v>
      </c>
    </row>
    <row r="3037" spans="2:3">
      <c r="B3037" s="18" t="s">
        <v>4</v>
      </c>
      <c r="C3037" s="19">
        <v>683.98799999999994</v>
      </c>
    </row>
    <row r="3038" spans="2:3">
      <c r="B3038" s="18" t="s">
        <v>4</v>
      </c>
      <c r="C3038" s="19">
        <v>16.776000000000003</v>
      </c>
    </row>
    <row r="3039" spans="2:3">
      <c r="B3039" s="18" t="s">
        <v>4</v>
      </c>
      <c r="C3039" s="19">
        <v>527.91999999999996</v>
      </c>
    </row>
    <row r="3040" spans="2:3">
      <c r="B3040" s="18" t="s">
        <v>4</v>
      </c>
      <c r="C3040" s="19">
        <v>95.992000000000004</v>
      </c>
    </row>
    <row r="3041" spans="2:3">
      <c r="B3041" s="18" t="s">
        <v>4</v>
      </c>
      <c r="C3041" s="19">
        <v>435.84000000000003</v>
      </c>
    </row>
    <row r="3042" spans="2:3">
      <c r="B3042" s="18" t="s">
        <v>4</v>
      </c>
      <c r="C3042" s="19">
        <v>299.96999999999997</v>
      </c>
    </row>
    <row r="3043" spans="2:3">
      <c r="B3043" s="18" t="s">
        <v>4</v>
      </c>
      <c r="C3043" s="19">
        <v>107.88</v>
      </c>
    </row>
    <row r="3044" spans="2:3">
      <c r="B3044" s="18" t="s">
        <v>4</v>
      </c>
      <c r="C3044" s="19">
        <v>552</v>
      </c>
    </row>
    <row r="3045" spans="2:3">
      <c r="B3045" s="18" t="s">
        <v>4</v>
      </c>
      <c r="C3045" s="19">
        <v>369.54399999999998</v>
      </c>
    </row>
    <row r="3046" spans="2:3">
      <c r="B3046" s="18" t="s">
        <v>4</v>
      </c>
      <c r="C3046" s="19">
        <v>128.85000000000002</v>
      </c>
    </row>
    <row r="3047" spans="2:3">
      <c r="B3047" s="18" t="s">
        <v>4</v>
      </c>
      <c r="C3047" s="19">
        <v>69.98</v>
      </c>
    </row>
    <row r="3048" spans="2:3">
      <c r="B3048" s="18" t="s">
        <v>4</v>
      </c>
      <c r="C3048" s="19">
        <v>71.959999999999994</v>
      </c>
    </row>
    <row r="3049" spans="2:3">
      <c r="B3049" s="18" t="s">
        <v>4</v>
      </c>
      <c r="C3049" s="19">
        <v>859.2</v>
      </c>
    </row>
    <row r="3050" spans="2:3">
      <c r="B3050" s="18" t="s">
        <v>4</v>
      </c>
      <c r="C3050" s="19">
        <v>506.28</v>
      </c>
    </row>
    <row r="3051" spans="2:3">
      <c r="B3051" s="18" t="s">
        <v>4</v>
      </c>
      <c r="C3051" s="19">
        <v>343.20000000000005</v>
      </c>
    </row>
    <row r="3052" spans="2:3">
      <c r="B3052" s="18" t="s">
        <v>4</v>
      </c>
      <c r="C3052" s="19">
        <v>212.8</v>
      </c>
    </row>
    <row r="3053" spans="2:3">
      <c r="B3053" s="18" t="s">
        <v>4</v>
      </c>
      <c r="C3053" s="19">
        <v>72.64</v>
      </c>
    </row>
    <row r="3054" spans="2:3">
      <c r="B3054" s="18" t="s">
        <v>4</v>
      </c>
      <c r="C3054" s="19">
        <v>1299.6600000000001</v>
      </c>
    </row>
    <row r="3055" spans="2:3">
      <c r="B3055" s="18" t="s">
        <v>4</v>
      </c>
      <c r="C3055" s="19">
        <v>104.85000000000001</v>
      </c>
    </row>
    <row r="3056" spans="2:3">
      <c r="B3056" s="18" t="s">
        <v>4</v>
      </c>
      <c r="C3056" s="19">
        <v>59.97</v>
      </c>
    </row>
    <row r="3057" spans="2:3">
      <c r="B3057" s="18" t="s">
        <v>4</v>
      </c>
      <c r="C3057" s="19">
        <v>191.976</v>
      </c>
    </row>
    <row r="3058" spans="2:3">
      <c r="B3058" s="18" t="s">
        <v>4</v>
      </c>
      <c r="C3058" s="19">
        <v>44.75</v>
      </c>
    </row>
    <row r="3059" spans="2:3">
      <c r="B3059" s="18" t="s">
        <v>4</v>
      </c>
      <c r="C3059" s="19">
        <v>53.25</v>
      </c>
    </row>
    <row r="3060" spans="2:3">
      <c r="B3060" s="18" t="s">
        <v>4</v>
      </c>
      <c r="C3060" s="19">
        <v>257.98</v>
      </c>
    </row>
    <row r="3061" spans="2:3">
      <c r="B3061" s="18" t="s">
        <v>4</v>
      </c>
      <c r="C3061" s="19">
        <v>383.84000000000003</v>
      </c>
    </row>
    <row r="3062" spans="2:3">
      <c r="B3062" s="18" t="s">
        <v>4</v>
      </c>
      <c r="C3062" s="19">
        <v>329.988</v>
      </c>
    </row>
    <row r="3063" spans="2:3">
      <c r="B3063" s="18" t="s">
        <v>4</v>
      </c>
      <c r="C3063" s="19">
        <v>79.959999999999994</v>
      </c>
    </row>
    <row r="3064" spans="2:3">
      <c r="B3064" s="18" t="s">
        <v>4</v>
      </c>
      <c r="C3064" s="19">
        <v>39.992000000000004</v>
      </c>
    </row>
    <row r="3065" spans="2:3">
      <c r="B3065" s="18" t="s">
        <v>4</v>
      </c>
      <c r="C3065" s="19">
        <v>116.312</v>
      </c>
    </row>
    <row r="3066" spans="2:3">
      <c r="B3066" s="18" t="s">
        <v>4</v>
      </c>
      <c r="C3066" s="19">
        <v>195.96000000000004</v>
      </c>
    </row>
    <row r="3067" spans="2:3">
      <c r="B3067" s="18" t="s">
        <v>4</v>
      </c>
      <c r="C3067" s="19">
        <v>14.99</v>
      </c>
    </row>
    <row r="3068" spans="2:3">
      <c r="B3068" s="18" t="s">
        <v>4</v>
      </c>
      <c r="C3068" s="19">
        <v>39.960000000000008</v>
      </c>
    </row>
    <row r="3069" spans="2:3">
      <c r="B3069" s="18" t="s">
        <v>4</v>
      </c>
      <c r="C3069" s="19">
        <v>87.8</v>
      </c>
    </row>
    <row r="3070" spans="2:3">
      <c r="B3070" s="18" t="s">
        <v>4</v>
      </c>
      <c r="C3070" s="19">
        <v>5199.96</v>
      </c>
    </row>
    <row r="3071" spans="2:3">
      <c r="B3071" s="18" t="s">
        <v>4</v>
      </c>
      <c r="C3071" s="19">
        <v>361.37600000000003</v>
      </c>
    </row>
    <row r="3072" spans="2:3">
      <c r="B3072" s="18" t="s">
        <v>4</v>
      </c>
      <c r="C3072" s="19">
        <v>86.352000000000004</v>
      </c>
    </row>
    <row r="3073" spans="2:3">
      <c r="B3073" s="18" t="s">
        <v>4</v>
      </c>
      <c r="C3073" s="19">
        <v>1039.992</v>
      </c>
    </row>
    <row r="3074" spans="2:3">
      <c r="B3074" s="18" t="s">
        <v>4</v>
      </c>
      <c r="C3074" s="19">
        <v>41.22</v>
      </c>
    </row>
    <row r="3075" spans="2:3">
      <c r="B3075" s="18" t="s">
        <v>4</v>
      </c>
      <c r="C3075" s="19">
        <v>119.02</v>
      </c>
    </row>
    <row r="3076" spans="2:3">
      <c r="B3076" s="18" t="s">
        <v>4</v>
      </c>
      <c r="C3076" s="19">
        <v>371.96999999999997</v>
      </c>
    </row>
    <row r="3077" spans="2:3">
      <c r="B3077" s="18" t="s">
        <v>4</v>
      </c>
      <c r="C3077" s="19">
        <v>99.99</v>
      </c>
    </row>
    <row r="3078" spans="2:3">
      <c r="B3078" s="18" t="s">
        <v>4</v>
      </c>
      <c r="C3078" s="19">
        <v>47.984000000000002</v>
      </c>
    </row>
    <row r="3079" spans="2:3">
      <c r="B3079" s="18" t="s">
        <v>4</v>
      </c>
      <c r="C3079" s="19">
        <v>62.591999999999999</v>
      </c>
    </row>
    <row r="3080" spans="2:3">
      <c r="B3080" s="18" t="s">
        <v>4</v>
      </c>
      <c r="C3080" s="19">
        <v>824.95</v>
      </c>
    </row>
    <row r="3081" spans="2:3">
      <c r="B3081" s="18" t="s">
        <v>4</v>
      </c>
      <c r="C3081" s="19">
        <v>7.9920000000000009</v>
      </c>
    </row>
    <row r="3082" spans="2:3">
      <c r="B3082" s="18" t="s">
        <v>4</v>
      </c>
      <c r="C3082" s="19">
        <v>98.16</v>
      </c>
    </row>
    <row r="3083" spans="2:3">
      <c r="B3083" s="18" t="s">
        <v>4</v>
      </c>
      <c r="C3083" s="19">
        <v>302.37599999999998</v>
      </c>
    </row>
    <row r="3084" spans="2:3">
      <c r="B3084" s="18" t="s">
        <v>4</v>
      </c>
      <c r="C3084" s="19">
        <v>89.97</v>
      </c>
    </row>
    <row r="3085" spans="2:3">
      <c r="B3085" s="18" t="s">
        <v>4</v>
      </c>
      <c r="C3085" s="19">
        <v>68.459999999999994</v>
      </c>
    </row>
    <row r="3086" spans="2:3">
      <c r="B3086" s="18" t="s">
        <v>4</v>
      </c>
      <c r="C3086" s="19">
        <v>205.99200000000002</v>
      </c>
    </row>
    <row r="3087" spans="2:3">
      <c r="B3087" s="18" t="s">
        <v>4</v>
      </c>
      <c r="C3087" s="19">
        <v>503.96000000000004</v>
      </c>
    </row>
    <row r="3088" spans="2:3">
      <c r="B3088" s="18" t="s">
        <v>4</v>
      </c>
      <c r="C3088" s="19">
        <v>110.4</v>
      </c>
    </row>
    <row r="3089" spans="2:3">
      <c r="B3089" s="18" t="s">
        <v>4</v>
      </c>
      <c r="C3089" s="19">
        <v>78.66</v>
      </c>
    </row>
    <row r="3090" spans="2:3">
      <c r="B3090" s="18" t="s">
        <v>4</v>
      </c>
      <c r="C3090" s="19">
        <v>24</v>
      </c>
    </row>
    <row r="3091" spans="2:3">
      <c r="B3091" s="18" t="s">
        <v>4</v>
      </c>
      <c r="C3091" s="19">
        <v>26.176000000000002</v>
      </c>
    </row>
    <row r="3092" spans="2:3">
      <c r="B3092" s="18" t="s">
        <v>4</v>
      </c>
      <c r="C3092" s="19">
        <v>206.38400000000001</v>
      </c>
    </row>
    <row r="3093" spans="2:3">
      <c r="B3093" s="18" t="s">
        <v>4</v>
      </c>
      <c r="C3093" s="19">
        <v>142.80000000000001</v>
      </c>
    </row>
    <row r="3094" spans="2:3">
      <c r="B3094" s="18" t="s">
        <v>4</v>
      </c>
      <c r="C3094" s="19">
        <v>399.95</v>
      </c>
    </row>
    <row r="3095" spans="2:3">
      <c r="B3095" s="18" t="s">
        <v>4</v>
      </c>
      <c r="C3095" s="19">
        <v>107.88</v>
      </c>
    </row>
    <row r="3096" spans="2:3">
      <c r="B3096" s="18" t="s">
        <v>4</v>
      </c>
      <c r="C3096" s="19">
        <v>1049.44</v>
      </c>
    </row>
    <row r="3097" spans="2:3">
      <c r="B3097" s="18" t="s">
        <v>4</v>
      </c>
      <c r="C3097" s="19">
        <v>271.95999999999998</v>
      </c>
    </row>
    <row r="3098" spans="2:3">
      <c r="B3098" s="18" t="s">
        <v>4</v>
      </c>
      <c r="C3098" s="19">
        <v>627.16800000000012</v>
      </c>
    </row>
    <row r="3099" spans="2:3">
      <c r="B3099" s="18" t="s">
        <v>4</v>
      </c>
      <c r="C3099" s="19">
        <v>79.78</v>
      </c>
    </row>
    <row r="3100" spans="2:3">
      <c r="B3100" s="18" t="s">
        <v>4</v>
      </c>
      <c r="C3100" s="19">
        <v>319.98400000000004</v>
      </c>
    </row>
    <row r="3101" spans="2:3">
      <c r="B3101" s="18" t="s">
        <v>4</v>
      </c>
      <c r="C3101" s="19">
        <v>333.57600000000002</v>
      </c>
    </row>
    <row r="3102" spans="2:3">
      <c r="B3102" s="18" t="s">
        <v>4</v>
      </c>
      <c r="C3102" s="19">
        <v>31.992000000000004</v>
      </c>
    </row>
    <row r="3103" spans="2:3">
      <c r="B3103" s="18" t="s">
        <v>4</v>
      </c>
      <c r="C3103" s="19">
        <v>87.4</v>
      </c>
    </row>
    <row r="3104" spans="2:3">
      <c r="B3104" s="18" t="s">
        <v>4</v>
      </c>
      <c r="C3104" s="19">
        <v>111.96</v>
      </c>
    </row>
    <row r="3105" spans="2:3">
      <c r="B3105" s="18" t="s">
        <v>4</v>
      </c>
      <c r="C3105" s="19">
        <v>39.264000000000003</v>
      </c>
    </row>
    <row r="3106" spans="2:3">
      <c r="B3106" s="18" t="s">
        <v>4</v>
      </c>
      <c r="C3106" s="19">
        <v>149.94999999999999</v>
      </c>
    </row>
    <row r="3107" spans="2:3">
      <c r="B3107" s="18" t="s">
        <v>4</v>
      </c>
      <c r="C3107" s="19">
        <v>479.952</v>
      </c>
    </row>
    <row r="3108" spans="2:3">
      <c r="B3108" s="18" t="s">
        <v>4</v>
      </c>
      <c r="C3108" s="19">
        <v>629.94999999999993</v>
      </c>
    </row>
    <row r="3109" spans="2:3">
      <c r="B3109" s="18" t="s">
        <v>4</v>
      </c>
      <c r="C3109" s="19">
        <v>116.98</v>
      </c>
    </row>
    <row r="3110" spans="2:3">
      <c r="B3110" s="18" t="s">
        <v>4</v>
      </c>
      <c r="C3110" s="19">
        <v>395.93999999999994</v>
      </c>
    </row>
    <row r="3111" spans="2:3">
      <c r="B3111" s="18" t="s">
        <v>4</v>
      </c>
      <c r="C3111" s="19">
        <v>449.91</v>
      </c>
    </row>
    <row r="3112" spans="2:3">
      <c r="B3112" s="18" t="s">
        <v>4</v>
      </c>
      <c r="C3112" s="19">
        <v>12.585000000000003</v>
      </c>
    </row>
    <row r="3113" spans="2:3">
      <c r="B3113" s="18" t="s">
        <v>4</v>
      </c>
      <c r="C3113" s="19">
        <v>241.17000000000002</v>
      </c>
    </row>
    <row r="3114" spans="2:3">
      <c r="B3114" s="18" t="s">
        <v>4</v>
      </c>
      <c r="C3114" s="19">
        <v>371.2</v>
      </c>
    </row>
    <row r="3115" spans="2:3">
      <c r="B3115" s="18" t="s">
        <v>4</v>
      </c>
      <c r="C3115" s="19">
        <v>494.97</v>
      </c>
    </row>
    <row r="3116" spans="2:3">
      <c r="B3116" s="18" t="s">
        <v>4</v>
      </c>
      <c r="C3116" s="19">
        <v>274.89</v>
      </c>
    </row>
    <row r="3117" spans="2:3">
      <c r="B3117" s="18" t="s">
        <v>4</v>
      </c>
      <c r="C3117" s="19">
        <v>37.056000000000004</v>
      </c>
    </row>
    <row r="3118" spans="2:3">
      <c r="B3118" s="18" t="s">
        <v>4</v>
      </c>
      <c r="C3118" s="19">
        <v>259.89600000000002</v>
      </c>
    </row>
    <row r="3119" spans="2:3">
      <c r="B3119" s="18" t="s">
        <v>4</v>
      </c>
      <c r="C3119" s="19">
        <v>95.68</v>
      </c>
    </row>
    <row r="3120" spans="2:3">
      <c r="B3120" s="18" t="s">
        <v>4</v>
      </c>
      <c r="C3120" s="19">
        <v>411.98</v>
      </c>
    </row>
    <row r="3121" spans="2:3">
      <c r="B3121" s="18" t="s">
        <v>4</v>
      </c>
      <c r="C3121" s="19">
        <v>2399.96</v>
      </c>
    </row>
    <row r="3122" spans="2:3">
      <c r="B3122" s="18" t="s">
        <v>4</v>
      </c>
      <c r="C3122" s="19">
        <v>159.56</v>
      </c>
    </row>
    <row r="3123" spans="2:3">
      <c r="B3123" s="18" t="s">
        <v>4</v>
      </c>
      <c r="C3123" s="19">
        <v>95.976000000000013</v>
      </c>
    </row>
    <row r="3124" spans="2:3">
      <c r="B3124" s="18" t="s">
        <v>4</v>
      </c>
      <c r="C3124" s="19">
        <v>89.584000000000003</v>
      </c>
    </row>
    <row r="3125" spans="2:3">
      <c r="B3125" s="18" t="s">
        <v>4</v>
      </c>
      <c r="C3125" s="19">
        <v>471.92</v>
      </c>
    </row>
    <row r="3126" spans="2:3">
      <c r="B3126" s="18" t="s">
        <v>4</v>
      </c>
      <c r="C3126" s="19">
        <v>227.45999999999998</v>
      </c>
    </row>
    <row r="3127" spans="2:3">
      <c r="B3127" s="18" t="s">
        <v>4</v>
      </c>
      <c r="C3127" s="19">
        <v>599.97</v>
      </c>
    </row>
    <row r="3128" spans="2:3">
      <c r="B3128" s="18" t="s">
        <v>4</v>
      </c>
      <c r="C3128" s="19">
        <v>1626.1920000000002</v>
      </c>
    </row>
    <row r="3129" spans="2:3">
      <c r="B3129" s="18" t="s">
        <v>4</v>
      </c>
      <c r="C3129" s="19">
        <v>119.96</v>
      </c>
    </row>
    <row r="3130" spans="2:3">
      <c r="B3130" s="18" t="s">
        <v>4</v>
      </c>
      <c r="C3130" s="19">
        <v>122.32799999999999</v>
      </c>
    </row>
    <row r="3131" spans="2:3">
      <c r="B3131" s="18" t="s">
        <v>4</v>
      </c>
      <c r="C3131" s="19">
        <v>1879.96</v>
      </c>
    </row>
    <row r="3132" spans="2:3">
      <c r="B3132" s="18" t="s">
        <v>4</v>
      </c>
      <c r="C3132" s="19">
        <v>89.98</v>
      </c>
    </row>
    <row r="3133" spans="2:3">
      <c r="B3133" s="18" t="s">
        <v>4</v>
      </c>
      <c r="C3133" s="19">
        <v>113.52</v>
      </c>
    </row>
    <row r="3134" spans="2:3">
      <c r="B3134" s="18" t="s">
        <v>4</v>
      </c>
      <c r="C3134" s="19">
        <v>776.84999999999991</v>
      </c>
    </row>
    <row r="3135" spans="2:3">
      <c r="B3135" s="18" t="s">
        <v>4</v>
      </c>
      <c r="C3135" s="19">
        <v>107.97</v>
      </c>
    </row>
    <row r="3136" spans="2:3">
      <c r="B3136" s="18" t="s">
        <v>4</v>
      </c>
      <c r="C3136" s="19">
        <v>143.96</v>
      </c>
    </row>
    <row r="3137" spans="2:3">
      <c r="B3137" s="18" t="s">
        <v>4</v>
      </c>
      <c r="C3137" s="19">
        <v>2399.96</v>
      </c>
    </row>
    <row r="3138" spans="2:3">
      <c r="B3138" s="18" t="s">
        <v>4</v>
      </c>
      <c r="C3138" s="19">
        <v>369.16</v>
      </c>
    </row>
    <row r="3139" spans="2:3">
      <c r="B3139" s="18" t="s">
        <v>4</v>
      </c>
      <c r="C3139" s="19">
        <v>137.94</v>
      </c>
    </row>
    <row r="3140" spans="2:3">
      <c r="B3140" s="18" t="s">
        <v>4</v>
      </c>
      <c r="C3140" s="19">
        <v>40.68</v>
      </c>
    </row>
    <row r="3141" spans="2:3">
      <c r="B3141" s="18" t="s">
        <v>4</v>
      </c>
      <c r="C3141" s="19">
        <v>1319.8</v>
      </c>
    </row>
    <row r="3142" spans="2:3">
      <c r="B3142" s="18" t="s">
        <v>4</v>
      </c>
      <c r="C3142" s="19">
        <v>32.700000000000003</v>
      </c>
    </row>
    <row r="3143" spans="2:3">
      <c r="B3143" s="18" t="s">
        <v>4</v>
      </c>
      <c r="C3143" s="19">
        <v>599.98500000000013</v>
      </c>
    </row>
    <row r="3144" spans="2:3">
      <c r="B3144" s="18" t="s">
        <v>4</v>
      </c>
      <c r="C3144" s="19">
        <v>46.36</v>
      </c>
    </row>
    <row r="3145" spans="2:3">
      <c r="B3145" s="18" t="s">
        <v>4</v>
      </c>
      <c r="C3145" s="19">
        <v>649</v>
      </c>
    </row>
    <row r="3146" spans="2:3">
      <c r="B3146" s="18" t="s">
        <v>4</v>
      </c>
      <c r="C3146" s="19">
        <v>979.95</v>
      </c>
    </row>
    <row r="3147" spans="2:3">
      <c r="B3147" s="18" t="s">
        <v>4</v>
      </c>
      <c r="C3147" s="19">
        <v>100.80000000000001</v>
      </c>
    </row>
    <row r="3148" spans="2:3">
      <c r="B3148" s="18" t="s">
        <v>4</v>
      </c>
      <c r="C3148" s="19">
        <v>61.541999999999994</v>
      </c>
    </row>
    <row r="3149" spans="2:3">
      <c r="B3149" s="18" t="s">
        <v>4</v>
      </c>
      <c r="C3149" s="19">
        <v>73.567999999999998</v>
      </c>
    </row>
    <row r="3150" spans="2:3">
      <c r="B3150" s="18" t="s">
        <v>4</v>
      </c>
      <c r="C3150" s="19">
        <v>111.79</v>
      </c>
    </row>
    <row r="3151" spans="2:3">
      <c r="B3151" s="18" t="s">
        <v>4</v>
      </c>
      <c r="C3151" s="19">
        <v>445.44</v>
      </c>
    </row>
    <row r="3152" spans="2:3">
      <c r="B3152" s="18" t="s">
        <v>4</v>
      </c>
      <c r="C3152" s="19">
        <v>156.79200000000003</v>
      </c>
    </row>
    <row r="3153" spans="2:3">
      <c r="B3153" s="18" t="s">
        <v>4</v>
      </c>
      <c r="C3153" s="19">
        <v>35.360000000000007</v>
      </c>
    </row>
    <row r="3154" spans="2:3">
      <c r="B3154" s="18" t="s">
        <v>4</v>
      </c>
      <c r="C3154" s="19">
        <v>1415.76</v>
      </c>
    </row>
    <row r="3155" spans="2:3">
      <c r="B3155" s="18" t="s">
        <v>4</v>
      </c>
      <c r="C3155" s="19">
        <v>148.47999999999999</v>
      </c>
    </row>
    <row r="3156" spans="2:3">
      <c r="B3156" s="18" t="s">
        <v>4</v>
      </c>
      <c r="C3156" s="19">
        <v>119.94</v>
      </c>
    </row>
    <row r="3157" spans="2:3">
      <c r="B3157" s="18" t="s">
        <v>4</v>
      </c>
      <c r="C3157" s="19">
        <v>140.97</v>
      </c>
    </row>
    <row r="3158" spans="2:3">
      <c r="B3158" s="18" t="s">
        <v>4</v>
      </c>
      <c r="C3158" s="19">
        <v>470.37600000000009</v>
      </c>
    </row>
    <row r="3159" spans="2:3">
      <c r="B3159" s="18" t="s">
        <v>4</v>
      </c>
      <c r="C3159" s="19">
        <v>164.79200000000003</v>
      </c>
    </row>
    <row r="3160" spans="2:3">
      <c r="B3160" s="18" t="s">
        <v>4</v>
      </c>
      <c r="C3160" s="19">
        <v>1889.9459999999999</v>
      </c>
    </row>
    <row r="3161" spans="2:3">
      <c r="B3161" s="18" t="s">
        <v>4</v>
      </c>
      <c r="C3161" s="19">
        <v>146.44999999999999</v>
      </c>
    </row>
    <row r="3162" spans="2:3">
      <c r="B3162" s="18" t="s">
        <v>4</v>
      </c>
      <c r="C3162" s="19">
        <v>1399.98</v>
      </c>
    </row>
    <row r="3163" spans="2:3">
      <c r="B3163" s="18" t="s">
        <v>4</v>
      </c>
      <c r="C3163" s="19">
        <v>49.616000000000007</v>
      </c>
    </row>
    <row r="3164" spans="2:3">
      <c r="B3164" s="18" t="s">
        <v>4</v>
      </c>
      <c r="C3164" s="19">
        <v>57.36</v>
      </c>
    </row>
    <row r="3165" spans="2:3">
      <c r="B3165" s="18" t="s">
        <v>4</v>
      </c>
      <c r="C3165" s="19">
        <v>63.824000000000005</v>
      </c>
    </row>
    <row r="3166" spans="2:3">
      <c r="B3166" s="18" t="s">
        <v>4</v>
      </c>
      <c r="C3166" s="19">
        <v>47.975999999999999</v>
      </c>
    </row>
    <row r="3167" spans="2:3">
      <c r="B3167" s="18" t="s">
        <v>4</v>
      </c>
      <c r="C3167" s="19">
        <v>71.959999999999994</v>
      </c>
    </row>
    <row r="3168" spans="2:3">
      <c r="B3168" s="18" t="s">
        <v>4</v>
      </c>
      <c r="C3168" s="19">
        <v>119.44800000000001</v>
      </c>
    </row>
    <row r="3169" spans="2:3">
      <c r="B3169" s="18" t="s">
        <v>4</v>
      </c>
      <c r="C3169" s="19">
        <v>1199.98</v>
      </c>
    </row>
    <row r="3170" spans="2:3">
      <c r="B3170" s="18" t="s">
        <v>4</v>
      </c>
      <c r="C3170" s="19">
        <v>40.775999999999996</v>
      </c>
    </row>
    <row r="3171" spans="2:3">
      <c r="B3171" s="18" t="s">
        <v>4</v>
      </c>
      <c r="C3171" s="19">
        <v>159.96</v>
      </c>
    </row>
    <row r="3172" spans="2:3">
      <c r="B3172" s="18" t="s">
        <v>4</v>
      </c>
      <c r="C3172" s="19">
        <v>89.949999999999989</v>
      </c>
    </row>
    <row r="3173" spans="2:3">
      <c r="B3173" s="18" t="s">
        <v>4</v>
      </c>
      <c r="C3173" s="19">
        <v>431.16000000000008</v>
      </c>
    </row>
    <row r="3174" spans="2:3">
      <c r="B3174" s="18" t="s">
        <v>4</v>
      </c>
      <c r="C3174" s="19">
        <v>43.6</v>
      </c>
    </row>
    <row r="3175" spans="2:3">
      <c r="B3175" s="18" t="s">
        <v>4</v>
      </c>
      <c r="C3175" s="19">
        <v>39.984000000000002</v>
      </c>
    </row>
    <row r="3176" spans="2:3">
      <c r="B3176" s="18" t="s">
        <v>4</v>
      </c>
      <c r="C3176" s="19">
        <v>469.99</v>
      </c>
    </row>
    <row r="3177" spans="2:3">
      <c r="B3177" s="18" t="s">
        <v>4</v>
      </c>
      <c r="C3177" s="19">
        <v>17.52</v>
      </c>
    </row>
    <row r="3178" spans="2:3">
      <c r="B3178" s="18" t="s">
        <v>4</v>
      </c>
      <c r="C3178" s="19">
        <v>508.76800000000003</v>
      </c>
    </row>
    <row r="3179" spans="2:3">
      <c r="B3179" s="18" t="s">
        <v>4</v>
      </c>
      <c r="C3179" s="19">
        <v>52</v>
      </c>
    </row>
    <row r="3180" spans="2:3">
      <c r="B3180" s="18" t="s">
        <v>4</v>
      </c>
      <c r="C3180" s="19">
        <v>24</v>
      </c>
    </row>
    <row r="3181" spans="2:3">
      <c r="B3181" s="18" t="s">
        <v>4</v>
      </c>
      <c r="C3181" s="19">
        <v>76.75200000000001</v>
      </c>
    </row>
    <row r="3182" spans="2:3">
      <c r="B3182" s="18" t="s">
        <v>4</v>
      </c>
      <c r="C3182" s="19">
        <v>102.33600000000001</v>
      </c>
    </row>
    <row r="3183" spans="2:3">
      <c r="B3183" s="18" t="s">
        <v>4</v>
      </c>
      <c r="C3183" s="19">
        <v>1.5840000000000001</v>
      </c>
    </row>
    <row r="3184" spans="2:3">
      <c r="B3184" s="18" t="s">
        <v>4</v>
      </c>
      <c r="C3184" s="19">
        <v>3404.5</v>
      </c>
    </row>
    <row r="3185" spans="2:3">
      <c r="B3185" s="18" t="s">
        <v>4</v>
      </c>
      <c r="C3185" s="19">
        <v>101.34</v>
      </c>
    </row>
    <row r="3186" spans="2:3">
      <c r="B3186" s="18" t="s">
        <v>4</v>
      </c>
      <c r="C3186" s="19">
        <v>59.98</v>
      </c>
    </row>
    <row r="3187" spans="2:3">
      <c r="B3187" s="18" t="s">
        <v>4</v>
      </c>
      <c r="C3187" s="19">
        <v>383.96000000000004</v>
      </c>
    </row>
    <row r="3188" spans="2:3">
      <c r="B3188" s="18" t="s">
        <v>4</v>
      </c>
      <c r="C3188" s="19">
        <v>2.9699999999999998</v>
      </c>
    </row>
    <row r="3189" spans="2:3">
      <c r="B3189" s="18" t="s">
        <v>4</v>
      </c>
      <c r="C3189" s="19">
        <v>569.99</v>
      </c>
    </row>
    <row r="3190" spans="2:3">
      <c r="B3190" s="18" t="s">
        <v>4</v>
      </c>
      <c r="C3190" s="19">
        <v>71.975999999999999</v>
      </c>
    </row>
    <row r="3191" spans="2:3">
      <c r="B3191" s="18" t="s">
        <v>4</v>
      </c>
      <c r="C3191" s="19">
        <v>7.9920000000000009</v>
      </c>
    </row>
    <row r="3192" spans="2:3">
      <c r="B3192" s="18" t="s">
        <v>4</v>
      </c>
      <c r="C3192" s="19">
        <v>199.75</v>
      </c>
    </row>
    <row r="3193" spans="2:3">
      <c r="B3193" s="18" t="s">
        <v>4</v>
      </c>
      <c r="C3193" s="19">
        <v>120</v>
      </c>
    </row>
    <row r="3194" spans="2:3">
      <c r="B3194" s="18" t="s">
        <v>4</v>
      </c>
      <c r="C3194" s="19">
        <v>52.792000000000002</v>
      </c>
    </row>
    <row r="3195" spans="2:3">
      <c r="B3195" s="18" t="s">
        <v>4</v>
      </c>
      <c r="C3195" s="19">
        <v>33.18</v>
      </c>
    </row>
    <row r="3196" spans="2:3">
      <c r="B3196" s="18" t="s">
        <v>4</v>
      </c>
      <c r="C3196" s="19">
        <v>63.88</v>
      </c>
    </row>
    <row r="3197" spans="2:3">
      <c r="B3197" s="18" t="s">
        <v>4</v>
      </c>
      <c r="C3197" s="19">
        <v>234.95000000000002</v>
      </c>
    </row>
    <row r="3198" spans="2:3">
      <c r="B3198" s="18" t="s">
        <v>4</v>
      </c>
      <c r="C3198" s="19">
        <v>438.33600000000001</v>
      </c>
    </row>
    <row r="3199" spans="2:3">
      <c r="B3199" s="18" t="s">
        <v>4</v>
      </c>
      <c r="C3199" s="19">
        <v>13999.96</v>
      </c>
    </row>
    <row r="3200" spans="2:3">
      <c r="B3200" s="18" t="s">
        <v>4</v>
      </c>
      <c r="C3200" s="19">
        <v>238</v>
      </c>
    </row>
    <row r="3201" spans="2:3">
      <c r="B3201" s="18" t="s">
        <v>4</v>
      </c>
      <c r="C3201" s="19">
        <v>108.96000000000001</v>
      </c>
    </row>
    <row r="3202" spans="2:3">
      <c r="B3202" s="18" t="s">
        <v>4</v>
      </c>
      <c r="C3202" s="19">
        <v>474.95</v>
      </c>
    </row>
    <row r="3203" spans="2:3">
      <c r="B3203" s="18" t="s">
        <v>4</v>
      </c>
      <c r="C3203" s="19">
        <v>89.567999999999998</v>
      </c>
    </row>
    <row r="3204" spans="2:3">
      <c r="B3204" s="18" t="s">
        <v>4</v>
      </c>
      <c r="C3204" s="19">
        <v>299.99</v>
      </c>
    </row>
    <row r="3205" spans="2:3">
      <c r="B3205" s="18" t="s">
        <v>4</v>
      </c>
      <c r="C3205" s="19">
        <v>242.624</v>
      </c>
    </row>
    <row r="3206" spans="2:3">
      <c r="B3206" s="18" t="s">
        <v>4</v>
      </c>
      <c r="C3206" s="19">
        <v>174.95000000000002</v>
      </c>
    </row>
    <row r="3207" spans="2:3">
      <c r="B3207" s="18" t="s">
        <v>4</v>
      </c>
      <c r="C3207" s="19">
        <v>2003.1680000000001</v>
      </c>
    </row>
    <row r="3208" spans="2:3">
      <c r="B3208" s="18" t="s">
        <v>4</v>
      </c>
      <c r="C3208" s="19">
        <v>299.89999999999998</v>
      </c>
    </row>
    <row r="3209" spans="2:3">
      <c r="B3209" s="18" t="s">
        <v>4</v>
      </c>
      <c r="C3209" s="19">
        <v>1649.95</v>
      </c>
    </row>
    <row r="3210" spans="2:3">
      <c r="B3210" s="18" t="s">
        <v>4</v>
      </c>
      <c r="C3210" s="19">
        <v>2939.9300000000003</v>
      </c>
    </row>
    <row r="3211" spans="2:3">
      <c r="B3211" s="18" t="s">
        <v>4</v>
      </c>
      <c r="C3211" s="19">
        <v>158.376</v>
      </c>
    </row>
    <row r="3212" spans="2:3">
      <c r="B3212" s="18" t="s">
        <v>4</v>
      </c>
      <c r="C3212" s="19">
        <v>7.88</v>
      </c>
    </row>
    <row r="3213" spans="2:3">
      <c r="B3213" s="18" t="s">
        <v>4</v>
      </c>
      <c r="C3213" s="19">
        <v>751.98400000000004</v>
      </c>
    </row>
    <row r="3214" spans="2:3">
      <c r="B3214" s="18" t="s">
        <v>4</v>
      </c>
      <c r="C3214" s="19">
        <v>604.76800000000003</v>
      </c>
    </row>
    <row r="3215" spans="2:3">
      <c r="B3215" s="18" t="s">
        <v>4</v>
      </c>
      <c r="C3215" s="19">
        <v>141.9</v>
      </c>
    </row>
    <row r="3216" spans="2:3">
      <c r="B3216" s="18" t="s">
        <v>4</v>
      </c>
      <c r="C3216" s="19">
        <v>199.98</v>
      </c>
    </row>
    <row r="3217" spans="2:3">
      <c r="B3217" s="18" t="s">
        <v>4</v>
      </c>
      <c r="C3217" s="19">
        <v>45</v>
      </c>
    </row>
    <row r="3218" spans="2:3">
      <c r="B3218" s="18" t="s">
        <v>4</v>
      </c>
      <c r="C3218" s="19">
        <v>62.352000000000004</v>
      </c>
    </row>
    <row r="3219" spans="2:3">
      <c r="B3219" s="18" t="s">
        <v>4</v>
      </c>
      <c r="C3219" s="19">
        <v>49.616000000000007</v>
      </c>
    </row>
    <row r="3220" spans="2:3">
      <c r="B3220" s="18" t="s">
        <v>4</v>
      </c>
      <c r="C3220" s="19">
        <v>45.408000000000001</v>
      </c>
    </row>
    <row r="3221" spans="2:3">
      <c r="B3221" s="18" t="s">
        <v>4</v>
      </c>
      <c r="C3221" s="19">
        <v>44.375999999999998</v>
      </c>
    </row>
    <row r="3222" spans="2:3">
      <c r="B3222" s="18" t="s">
        <v>4</v>
      </c>
      <c r="C3222" s="19">
        <v>159.98400000000001</v>
      </c>
    </row>
    <row r="3223" spans="2:3">
      <c r="B3223" s="18" t="s">
        <v>4</v>
      </c>
      <c r="C3223" s="19">
        <v>479.98400000000004</v>
      </c>
    </row>
    <row r="3224" spans="2:3">
      <c r="B3224" s="18" t="s">
        <v>4</v>
      </c>
      <c r="C3224" s="19">
        <v>239.92</v>
      </c>
    </row>
    <row r="3225" spans="2:3">
      <c r="B3225" s="18" t="s">
        <v>4</v>
      </c>
      <c r="C3225" s="19">
        <v>1287.45</v>
      </c>
    </row>
    <row r="3226" spans="2:3">
      <c r="B3226" s="18" t="s">
        <v>4</v>
      </c>
      <c r="C3226" s="19">
        <v>191.976</v>
      </c>
    </row>
    <row r="3227" spans="2:3">
      <c r="B3227" s="18" t="s">
        <v>4</v>
      </c>
      <c r="C3227" s="19">
        <v>499.16800000000006</v>
      </c>
    </row>
    <row r="3228" spans="2:3">
      <c r="B3228" s="18" t="s">
        <v>4</v>
      </c>
      <c r="C3228" s="19">
        <v>23.18</v>
      </c>
    </row>
    <row r="3229" spans="2:3">
      <c r="B3229" s="18" t="s">
        <v>4</v>
      </c>
      <c r="C3229" s="19">
        <v>82.95</v>
      </c>
    </row>
    <row r="3230" spans="2:3">
      <c r="B3230" s="18" t="s">
        <v>4</v>
      </c>
      <c r="C3230" s="19">
        <v>399.95</v>
      </c>
    </row>
    <row r="3231" spans="2:3">
      <c r="B3231" s="18" t="s">
        <v>4</v>
      </c>
      <c r="C3231" s="19">
        <v>239.976</v>
      </c>
    </row>
    <row r="3232" spans="2:3">
      <c r="B3232" s="18" t="s">
        <v>4</v>
      </c>
      <c r="C3232" s="19">
        <v>2239.9360000000001</v>
      </c>
    </row>
    <row r="3233" spans="2:3">
      <c r="B3233" s="18" t="s">
        <v>4</v>
      </c>
      <c r="C3233" s="19">
        <v>71.951999999999998</v>
      </c>
    </row>
    <row r="3234" spans="2:3">
      <c r="B3234" s="18" t="s">
        <v>4</v>
      </c>
      <c r="C3234" s="19">
        <v>1287.45</v>
      </c>
    </row>
    <row r="3235" spans="2:3">
      <c r="B3235" s="18" t="s">
        <v>4</v>
      </c>
      <c r="C3235" s="19">
        <v>83.987999999999985</v>
      </c>
    </row>
    <row r="3236" spans="2:3">
      <c r="B3236" s="18" t="s">
        <v>4</v>
      </c>
      <c r="C3236" s="19">
        <v>239.98400000000004</v>
      </c>
    </row>
    <row r="3237" spans="2:3">
      <c r="B3237" s="18" t="s">
        <v>4</v>
      </c>
      <c r="C3237" s="19">
        <v>195.96000000000004</v>
      </c>
    </row>
    <row r="3238" spans="2:3">
      <c r="B3238" s="18" t="s">
        <v>4</v>
      </c>
      <c r="C3238" s="19">
        <v>271.96800000000002</v>
      </c>
    </row>
    <row r="3239" spans="2:3">
      <c r="B3239" s="18" t="s">
        <v>4</v>
      </c>
      <c r="C3239" s="19">
        <v>537.54399999999998</v>
      </c>
    </row>
    <row r="3240" spans="2:3">
      <c r="B3240" s="18" t="s">
        <v>4</v>
      </c>
      <c r="C3240" s="19">
        <v>118.64999999999998</v>
      </c>
    </row>
    <row r="3241" spans="2:3">
      <c r="B3241" s="18" t="s">
        <v>4</v>
      </c>
      <c r="C3241" s="19">
        <v>959.98400000000004</v>
      </c>
    </row>
    <row r="3242" spans="2:3">
      <c r="B3242" s="18" t="s">
        <v>4</v>
      </c>
      <c r="C3242" s="19">
        <v>89.9</v>
      </c>
    </row>
    <row r="3243" spans="2:3">
      <c r="B3243" s="18" t="s">
        <v>4</v>
      </c>
      <c r="C3243" s="19">
        <v>209.94</v>
      </c>
    </row>
    <row r="3244" spans="2:3">
      <c r="B3244" s="18" t="s">
        <v>4</v>
      </c>
      <c r="C3244" s="19">
        <v>31.983999999999998</v>
      </c>
    </row>
    <row r="3245" spans="2:3">
      <c r="B3245" s="18" t="s">
        <v>4</v>
      </c>
      <c r="C3245" s="19">
        <v>35.96</v>
      </c>
    </row>
    <row r="3246" spans="2:3">
      <c r="B3246" s="18" t="s">
        <v>4</v>
      </c>
      <c r="C3246" s="19">
        <v>480</v>
      </c>
    </row>
    <row r="3247" spans="2:3">
      <c r="B3247" s="18" t="s">
        <v>4</v>
      </c>
      <c r="C3247" s="19">
        <v>15.984000000000002</v>
      </c>
    </row>
    <row r="3248" spans="2:3">
      <c r="B3248" s="18" t="s">
        <v>4</v>
      </c>
      <c r="C3248" s="19">
        <v>95.976000000000013</v>
      </c>
    </row>
    <row r="3249" spans="2:3">
      <c r="B3249" s="18" t="s">
        <v>4</v>
      </c>
      <c r="C3249" s="19">
        <v>143.928</v>
      </c>
    </row>
    <row r="3250" spans="2:3">
      <c r="B3250" s="18" t="s">
        <v>4</v>
      </c>
      <c r="C3250" s="19">
        <v>29.339999999999996</v>
      </c>
    </row>
    <row r="3251" spans="2:3">
      <c r="B3251" s="18" t="s">
        <v>4</v>
      </c>
      <c r="C3251" s="19">
        <v>1119.8880000000001</v>
      </c>
    </row>
    <row r="3252" spans="2:3">
      <c r="B3252" s="18" t="s">
        <v>4</v>
      </c>
      <c r="C3252" s="19">
        <v>46.864000000000004</v>
      </c>
    </row>
    <row r="3253" spans="2:3">
      <c r="B3253" s="18" t="s">
        <v>4</v>
      </c>
      <c r="C3253" s="19">
        <v>120</v>
      </c>
    </row>
    <row r="3254" spans="2:3">
      <c r="B3254" s="18" t="s">
        <v>4</v>
      </c>
      <c r="C3254" s="19">
        <v>299.95999999999998</v>
      </c>
    </row>
    <row r="3255" spans="2:3">
      <c r="B3255" s="18" t="s">
        <v>4</v>
      </c>
      <c r="C3255" s="19">
        <v>151.18799999999999</v>
      </c>
    </row>
    <row r="3256" spans="2:3">
      <c r="B3256" s="18" t="s">
        <v>4</v>
      </c>
      <c r="C3256" s="19">
        <v>104.75</v>
      </c>
    </row>
    <row r="3257" spans="2:3">
      <c r="B3257" s="18" t="s">
        <v>4</v>
      </c>
      <c r="C3257" s="19">
        <v>18.528000000000002</v>
      </c>
    </row>
    <row r="3258" spans="2:3">
      <c r="B3258" s="18" t="s">
        <v>4</v>
      </c>
      <c r="C3258" s="19">
        <v>35.183999999999997</v>
      </c>
    </row>
    <row r="3259" spans="2:3">
      <c r="B3259" s="18" t="s">
        <v>4</v>
      </c>
      <c r="C3259" s="19">
        <v>55.176000000000002</v>
      </c>
    </row>
    <row r="3260" spans="2:3">
      <c r="B3260" s="18" t="s">
        <v>4</v>
      </c>
      <c r="C3260" s="19">
        <v>189.95000000000002</v>
      </c>
    </row>
    <row r="3261" spans="2:3">
      <c r="B3261" s="18" t="s">
        <v>4</v>
      </c>
      <c r="C3261" s="19">
        <v>149.94999999999999</v>
      </c>
    </row>
    <row r="3262" spans="2:3">
      <c r="B3262" s="18" t="s">
        <v>4</v>
      </c>
      <c r="C3262" s="19">
        <v>23.08</v>
      </c>
    </row>
    <row r="3263" spans="2:3">
      <c r="B3263" s="18" t="s">
        <v>4</v>
      </c>
      <c r="C3263" s="19">
        <v>143.952</v>
      </c>
    </row>
    <row r="3264" spans="2:3">
      <c r="B3264" s="18" t="s">
        <v>4</v>
      </c>
      <c r="C3264" s="19">
        <v>369.54399999999998</v>
      </c>
    </row>
    <row r="3265" spans="2:3">
      <c r="B3265" s="18" t="s">
        <v>4</v>
      </c>
      <c r="C3265" s="19">
        <v>791.87999999999988</v>
      </c>
    </row>
    <row r="3266" spans="2:3">
      <c r="B3266" s="18" t="s">
        <v>4</v>
      </c>
      <c r="C3266" s="19">
        <v>429.59999999999997</v>
      </c>
    </row>
    <row r="3267" spans="2:3">
      <c r="B3267" s="18" t="s">
        <v>4</v>
      </c>
      <c r="C3267" s="19">
        <v>159.97999999999999</v>
      </c>
    </row>
    <row r="3268" spans="2:3">
      <c r="B3268" s="18" t="s">
        <v>4</v>
      </c>
      <c r="C3268" s="19">
        <v>1123.1280000000002</v>
      </c>
    </row>
    <row r="3269" spans="2:3">
      <c r="B3269" s="18" t="s">
        <v>4</v>
      </c>
      <c r="C3269" s="19">
        <v>71.975999999999999</v>
      </c>
    </row>
    <row r="3270" spans="2:3">
      <c r="B3270" s="18" t="s">
        <v>4</v>
      </c>
      <c r="C3270" s="19">
        <v>707.88</v>
      </c>
    </row>
    <row r="3271" spans="2:3">
      <c r="B3271" s="18" t="s">
        <v>4</v>
      </c>
      <c r="C3271" s="19">
        <v>55.76</v>
      </c>
    </row>
    <row r="3272" spans="2:3">
      <c r="B3272" s="18" t="s">
        <v>4</v>
      </c>
      <c r="C3272" s="19">
        <v>39.816000000000003</v>
      </c>
    </row>
    <row r="3273" spans="2:3">
      <c r="B3273" s="18" t="s">
        <v>4</v>
      </c>
      <c r="C3273" s="19">
        <v>199.95000000000002</v>
      </c>
    </row>
    <row r="3274" spans="2:3">
      <c r="B3274" s="18" t="s">
        <v>4</v>
      </c>
      <c r="C3274" s="19">
        <v>47.904000000000003</v>
      </c>
    </row>
    <row r="3275" spans="2:3">
      <c r="B3275" s="18" t="s">
        <v>4</v>
      </c>
      <c r="C3275" s="19">
        <v>455.71199999999999</v>
      </c>
    </row>
    <row r="3276" spans="2:3">
      <c r="B3276" s="18" t="s">
        <v>4</v>
      </c>
      <c r="C3276" s="19">
        <v>57.593999999999994</v>
      </c>
    </row>
    <row r="3277" spans="2:3">
      <c r="B3277" s="18" t="s">
        <v>4</v>
      </c>
      <c r="C3277" s="19">
        <v>419.94399999999996</v>
      </c>
    </row>
    <row r="3278" spans="2:3">
      <c r="B3278" s="18" t="s">
        <v>4</v>
      </c>
      <c r="C3278" s="19">
        <v>31.799999999999997</v>
      </c>
    </row>
    <row r="3279" spans="2:3">
      <c r="B3279" s="18" t="s">
        <v>4</v>
      </c>
      <c r="C3279" s="19">
        <v>7.9920000000000009</v>
      </c>
    </row>
    <row r="3280" spans="2:3">
      <c r="B3280" s="18" t="s">
        <v>4</v>
      </c>
      <c r="C3280" s="19">
        <v>1071</v>
      </c>
    </row>
    <row r="3281" spans="2:3">
      <c r="B3281" s="18" t="s">
        <v>4</v>
      </c>
      <c r="C3281" s="19">
        <v>285.57599999999996</v>
      </c>
    </row>
    <row r="3282" spans="2:3">
      <c r="B3282" s="18" t="s">
        <v>4</v>
      </c>
      <c r="C3282" s="19">
        <v>219.18400000000003</v>
      </c>
    </row>
    <row r="3283" spans="2:3">
      <c r="B3283" s="18" t="s">
        <v>4</v>
      </c>
      <c r="C3283" s="19">
        <v>27.192</v>
      </c>
    </row>
    <row r="3284" spans="2:3">
      <c r="B3284" s="18" t="s">
        <v>4</v>
      </c>
      <c r="C3284" s="19">
        <v>99.98</v>
      </c>
    </row>
    <row r="3285" spans="2:3">
      <c r="B3285" s="18" t="s">
        <v>4</v>
      </c>
      <c r="C3285" s="19">
        <v>31.176000000000002</v>
      </c>
    </row>
    <row r="3286" spans="2:3">
      <c r="B3286" s="18" t="s">
        <v>4</v>
      </c>
      <c r="C3286" s="19">
        <v>79.959999999999994</v>
      </c>
    </row>
    <row r="3287" spans="2:3">
      <c r="B3287" s="18" t="s">
        <v>4</v>
      </c>
      <c r="C3287" s="19">
        <v>1079.8499999999999</v>
      </c>
    </row>
    <row r="3288" spans="2:3">
      <c r="B3288" s="18" t="s">
        <v>4</v>
      </c>
      <c r="C3288" s="19">
        <v>110.352</v>
      </c>
    </row>
    <row r="3289" spans="2:3">
      <c r="B3289" s="18" t="s">
        <v>4</v>
      </c>
      <c r="C3289" s="19">
        <v>70.720000000000013</v>
      </c>
    </row>
    <row r="3290" spans="2:3">
      <c r="B3290" s="18" t="s">
        <v>4</v>
      </c>
      <c r="C3290" s="19">
        <v>899.98199999999997</v>
      </c>
    </row>
    <row r="3291" spans="2:3">
      <c r="B3291" s="18" t="s">
        <v>4</v>
      </c>
      <c r="C3291" s="19">
        <v>139.96000000000004</v>
      </c>
    </row>
    <row r="3292" spans="2:3">
      <c r="B3292" s="18" t="s">
        <v>4</v>
      </c>
      <c r="C3292" s="19">
        <v>89.544000000000011</v>
      </c>
    </row>
    <row r="3293" spans="2:3">
      <c r="B3293" s="18" t="s">
        <v>4</v>
      </c>
      <c r="C3293" s="19">
        <v>95.984000000000009</v>
      </c>
    </row>
    <row r="3294" spans="2:3">
      <c r="B3294" s="18" t="s">
        <v>4</v>
      </c>
      <c r="C3294" s="19">
        <v>22</v>
      </c>
    </row>
    <row r="3295" spans="2:3">
      <c r="B3295" s="18" t="s">
        <v>4</v>
      </c>
      <c r="C3295" s="19">
        <v>16.59</v>
      </c>
    </row>
    <row r="3296" spans="2:3">
      <c r="B3296" s="18" t="s">
        <v>4</v>
      </c>
      <c r="C3296" s="19">
        <v>503.96</v>
      </c>
    </row>
    <row r="3297" spans="2:3">
      <c r="B3297" s="18" t="s">
        <v>4</v>
      </c>
      <c r="C3297" s="19">
        <v>196.77600000000001</v>
      </c>
    </row>
    <row r="3298" spans="2:3">
      <c r="B3298" s="18" t="s">
        <v>4</v>
      </c>
      <c r="C3298" s="19">
        <v>89.97</v>
      </c>
    </row>
    <row r="3299" spans="2:3">
      <c r="B3299" s="18" t="s">
        <v>4</v>
      </c>
      <c r="C3299" s="19">
        <v>979.95</v>
      </c>
    </row>
    <row r="3300" spans="2:3">
      <c r="B3300" s="18" t="s">
        <v>4</v>
      </c>
      <c r="C3300" s="19">
        <v>206.1</v>
      </c>
    </row>
    <row r="3301" spans="2:3">
      <c r="B3301" s="18" t="s">
        <v>4</v>
      </c>
      <c r="C3301" s="19">
        <v>39.992000000000004</v>
      </c>
    </row>
    <row r="3302" spans="2:3">
      <c r="B3302" s="18" t="s">
        <v>4</v>
      </c>
      <c r="C3302" s="19">
        <v>895.94400000000019</v>
      </c>
    </row>
    <row r="3303" spans="2:3">
      <c r="B3303" s="18" t="s">
        <v>4</v>
      </c>
      <c r="C3303" s="19">
        <v>67.8</v>
      </c>
    </row>
    <row r="3304" spans="2:3">
      <c r="B3304" s="18" t="s">
        <v>4</v>
      </c>
      <c r="C3304" s="19">
        <v>12.12</v>
      </c>
    </row>
    <row r="3305" spans="2:3">
      <c r="B3305" s="18" t="s">
        <v>4</v>
      </c>
      <c r="C3305" s="19">
        <v>159.80000000000001</v>
      </c>
    </row>
    <row r="3306" spans="2:3">
      <c r="B3306" s="18" t="s">
        <v>4</v>
      </c>
      <c r="C3306" s="19">
        <v>122.38199999999999</v>
      </c>
    </row>
    <row r="3307" spans="2:3">
      <c r="B3307" s="18" t="s">
        <v>4</v>
      </c>
      <c r="C3307" s="19">
        <v>191.96800000000002</v>
      </c>
    </row>
    <row r="3308" spans="2:3">
      <c r="B3308" s="18" t="s">
        <v>4</v>
      </c>
      <c r="C3308" s="19">
        <v>223.58</v>
      </c>
    </row>
    <row r="3309" spans="2:3">
      <c r="B3309" s="18" t="s">
        <v>4</v>
      </c>
      <c r="C3309" s="19">
        <v>83.97</v>
      </c>
    </row>
    <row r="3310" spans="2:3">
      <c r="B3310" s="18" t="s">
        <v>4</v>
      </c>
      <c r="C3310" s="19">
        <v>39.89</v>
      </c>
    </row>
    <row r="3311" spans="2:3">
      <c r="B3311" s="18" t="s">
        <v>4</v>
      </c>
      <c r="C3311" s="19">
        <v>18</v>
      </c>
    </row>
    <row r="3312" spans="2:3">
      <c r="B3312" s="18" t="s">
        <v>4</v>
      </c>
      <c r="C3312" s="19">
        <v>79.989999999999995</v>
      </c>
    </row>
    <row r="3313" spans="2:3">
      <c r="B3313" s="18" t="s">
        <v>4</v>
      </c>
      <c r="C3313" s="19">
        <v>206.1</v>
      </c>
    </row>
    <row r="3314" spans="2:3">
      <c r="B3314" s="20" t="s">
        <v>4</v>
      </c>
      <c r="C3314" s="21">
        <v>258.57600000000002</v>
      </c>
    </row>
  </sheetData>
  <conditionalFormatting sqref="B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{A686D4EE-9AB7-4CF5-9309-8E241AE90860}</x14:id>
        </ext>
      </extLst>
    </cfRule>
  </conditionalFormatting>
  <conditionalFormatting sqref="C3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{A0C6D5CB-A2F2-40C0-84FF-3F9A05577B16}</x14:id>
        </ext>
      </extLst>
    </cfRule>
  </conditionalFormatting>
  <conditionalFormatting sqref="C3:C3314">
    <cfRule type="iconSet" priority="1">
      <iconSet iconSet="3Arrows">
        <cfvo type="percent" val="0"/>
        <cfvo type="num" val="100"/>
        <cfvo type="num" val="230"/>
      </iconSet>
    </cfRule>
    <cfRule type="iconSet" priority="3">
      <iconSet iconSet="3Symbols"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{251B2C47-90A4-4543-B359-3AD4D546A90D}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{85621874-FBDC-4DE6-80BF-9266122DEB2E}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86D4EE-9AB7-4CF5-9309-8E241AE908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A0C6D5CB-A2F2-40C0-84FF-3F9A05577B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251B2C47-90A4-4543-B359-3AD4D546A90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85621874-FBDC-4DE6-80BF-9266122DE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C3:C3314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817A-8A4A-42C3-80F2-60C3548CE110}">
  <sheetPr codeName="Sheet5"/>
  <dimension ref="A1:N24"/>
  <sheetViews>
    <sheetView workbookViewId="0">
      <selection activeCell="Q19" sqref="Q19"/>
    </sheetView>
  </sheetViews>
  <sheetFormatPr defaultRowHeight="14.4"/>
  <cols>
    <col min="1" max="1" width="10.44140625" bestFit="1" customWidth="1"/>
    <col min="7" max="7" width="9.77734375" bestFit="1" customWidth="1"/>
    <col min="11" max="11" width="10.44140625" bestFit="1" customWidth="1"/>
  </cols>
  <sheetData>
    <row r="1" spans="1:14">
      <c r="A1" s="13" t="s">
        <v>3141</v>
      </c>
      <c r="B1" s="13" t="s">
        <v>3148</v>
      </c>
      <c r="C1" s="13" t="s">
        <v>3149</v>
      </c>
      <c r="D1" s="13" t="s">
        <v>3150</v>
      </c>
      <c r="K1" s="13" t="s">
        <v>3141</v>
      </c>
      <c r="L1" s="13" t="s">
        <v>3148</v>
      </c>
      <c r="M1" s="13" t="s">
        <v>3149</v>
      </c>
      <c r="N1" s="13" t="s">
        <v>3150</v>
      </c>
    </row>
    <row r="2" spans="1:14">
      <c r="A2" s="13" t="s">
        <v>3142</v>
      </c>
      <c r="B2" s="13">
        <v>1600</v>
      </c>
      <c r="C2" s="13"/>
      <c r="D2" s="13">
        <v>3690</v>
      </c>
      <c r="K2" s="13" t="s">
        <v>3142</v>
      </c>
      <c r="L2" s="13">
        <v>1600</v>
      </c>
      <c r="M2" s="13"/>
      <c r="N2" s="13">
        <v>3690</v>
      </c>
    </row>
    <row r="3" spans="1:14">
      <c r="A3" s="13" t="s">
        <v>3143</v>
      </c>
      <c r="B3" s="13"/>
      <c r="C3" s="13"/>
      <c r="D3" s="13">
        <v>1500</v>
      </c>
      <c r="K3" s="13" t="s">
        <v>3143</v>
      </c>
      <c r="L3" s="13"/>
      <c r="M3" s="13"/>
      <c r="N3" s="13">
        <v>1500</v>
      </c>
    </row>
    <row r="4" spans="1:14">
      <c r="A4" s="13" t="s">
        <v>3144</v>
      </c>
      <c r="B4" s="13">
        <v>240</v>
      </c>
      <c r="C4" s="13">
        <v>1050</v>
      </c>
      <c r="D4" s="13">
        <v>2300</v>
      </c>
      <c r="K4" s="13" t="s">
        <v>3144</v>
      </c>
      <c r="L4" s="13">
        <v>240</v>
      </c>
      <c r="M4" s="13">
        <v>1050</v>
      </c>
      <c r="N4" s="13">
        <v>2300</v>
      </c>
    </row>
    <row r="5" spans="1:14">
      <c r="A5" s="13" t="s">
        <v>3145</v>
      </c>
      <c r="B5" s="13">
        <v>90</v>
      </c>
      <c r="C5" s="13">
        <v>180</v>
      </c>
      <c r="D5" s="13"/>
      <c r="K5" s="13" t="s">
        <v>3145</v>
      </c>
      <c r="L5" s="13">
        <v>90</v>
      </c>
      <c r="M5" s="13">
        <v>180</v>
      </c>
      <c r="N5" s="13"/>
    </row>
    <row r="6" spans="1:14">
      <c r="A6" s="13" t="s">
        <v>3146</v>
      </c>
      <c r="B6" s="13">
        <v>2450</v>
      </c>
      <c r="C6" s="13">
        <v>1005</v>
      </c>
      <c r="D6" s="13">
        <v>1200</v>
      </c>
      <c r="K6" s="13" t="s">
        <v>3146</v>
      </c>
      <c r="L6" s="13">
        <v>2450</v>
      </c>
      <c r="M6" s="13">
        <v>1005</v>
      </c>
      <c r="N6" s="13">
        <v>1200</v>
      </c>
    </row>
    <row r="7" spans="1:14">
      <c r="A7" s="13" t="s">
        <v>3147</v>
      </c>
      <c r="B7" s="13"/>
      <c r="C7" s="13"/>
      <c r="D7" s="13">
        <v>5450</v>
      </c>
      <c r="K7" s="13" t="s">
        <v>3147</v>
      </c>
      <c r="L7" s="13"/>
      <c r="M7" s="13"/>
      <c r="N7" s="13">
        <v>5450</v>
      </c>
    </row>
    <row r="8" spans="1:14">
      <c r="A8" s="13"/>
      <c r="B8" s="13"/>
      <c r="C8" s="13"/>
      <c r="D8" s="13"/>
    </row>
    <row r="10" spans="1:14">
      <c r="K10" s="6" t="s">
        <v>3156</v>
      </c>
    </row>
    <row r="11" spans="1:14">
      <c r="A11" s="13" t="s">
        <v>3141</v>
      </c>
      <c r="B11" s="13" t="s">
        <v>3148</v>
      </c>
      <c r="D11" s="13" t="s">
        <v>3141</v>
      </c>
      <c r="E11" s="13" t="s">
        <v>3149</v>
      </c>
      <c r="G11" s="13" t="s">
        <v>3141</v>
      </c>
      <c r="H11" s="13" t="s">
        <v>3150</v>
      </c>
      <c r="K11" s="8"/>
    </row>
    <row r="12" spans="1:14">
      <c r="A12" s="13" t="s">
        <v>3142</v>
      </c>
      <c r="B12" s="13">
        <v>1600</v>
      </c>
      <c r="D12" s="13" t="s">
        <v>3144</v>
      </c>
      <c r="E12" s="13">
        <v>1050</v>
      </c>
      <c r="G12" s="13" t="s">
        <v>3142</v>
      </c>
      <c r="H12" s="13">
        <v>3690</v>
      </c>
      <c r="K12" s="9" t="s">
        <v>3157</v>
      </c>
    </row>
    <row r="13" spans="1:14">
      <c r="A13" s="13" t="s">
        <v>3144</v>
      </c>
      <c r="B13" s="13">
        <v>240</v>
      </c>
      <c r="D13" s="13" t="s">
        <v>3145</v>
      </c>
      <c r="E13" s="13">
        <v>180</v>
      </c>
      <c r="G13" s="13" t="s">
        <v>3143</v>
      </c>
      <c r="H13" s="13">
        <v>1500</v>
      </c>
      <c r="K13" s="9" t="s">
        <v>3158</v>
      </c>
    </row>
    <row r="14" spans="1:14">
      <c r="A14" s="13" t="s">
        <v>3145</v>
      </c>
      <c r="B14" s="13">
        <v>90</v>
      </c>
      <c r="D14" s="13" t="s">
        <v>3146</v>
      </c>
      <c r="E14" s="13">
        <v>1005</v>
      </c>
      <c r="G14" s="13" t="s">
        <v>3144</v>
      </c>
      <c r="H14" s="13">
        <v>2300</v>
      </c>
      <c r="K14" s="9" t="s">
        <v>3159</v>
      </c>
    </row>
    <row r="15" spans="1:14">
      <c r="A15" s="13" t="s">
        <v>3146</v>
      </c>
      <c r="B15" s="13">
        <v>2450</v>
      </c>
      <c r="G15" s="13" t="s">
        <v>3146</v>
      </c>
      <c r="H15" s="13">
        <v>1200</v>
      </c>
      <c r="K15" s="9" t="s">
        <v>3160</v>
      </c>
    </row>
    <row r="16" spans="1:14">
      <c r="G16" s="13" t="s">
        <v>3147</v>
      </c>
      <c r="H16" s="13">
        <v>5450</v>
      </c>
    </row>
    <row r="19" spans="2:2">
      <c r="B19" s="6" t="s">
        <v>3161</v>
      </c>
    </row>
    <row r="20" spans="2:2">
      <c r="B20" s="8"/>
    </row>
    <row r="21" spans="2:2">
      <c r="B21" s="9" t="s">
        <v>3162</v>
      </c>
    </row>
    <row r="22" spans="2:2">
      <c r="B22" s="9" t="s">
        <v>3163</v>
      </c>
    </row>
    <row r="23" spans="2:2">
      <c r="B23" s="9" t="s">
        <v>3164</v>
      </c>
    </row>
    <row r="24" spans="2:2">
      <c r="B24" s="9" t="s">
        <v>3165</v>
      </c>
    </row>
  </sheetData>
  <dataConsolidate function="average" topLabels="1">
    <dataRefs count="3">
      <dataRef ref="A11:B15" sheet="Consolidation"/>
      <dataRef ref="D11:E14" sheet="Consolidation"/>
      <dataRef ref="G11:H16" sheet="Consolidation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12B4-7371-4533-BF8D-99FD96855AC9}">
  <sheetPr codeName="Sheet6"/>
  <dimension ref="A1:D160"/>
  <sheetViews>
    <sheetView workbookViewId="0">
      <selection activeCell="J15" sqref="J15"/>
    </sheetView>
  </sheetViews>
  <sheetFormatPr defaultRowHeight="14.4" outlineLevelRow="2"/>
  <cols>
    <col min="1" max="1" width="18.33203125" bestFit="1" customWidth="1"/>
  </cols>
  <sheetData>
    <row r="1" spans="1:4" ht="15" thickBot="1">
      <c r="A1" s="22" t="s">
        <v>2</v>
      </c>
      <c r="B1" s="23" t="s">
        <v>0</v>
      </c>
    </row>
    <row r="2" spans="1:4" ht="15" outlineLevel="2" thickTop="1">
      <c r="A2" s="24" t="s">
        <v>3</v>
      </c>
      <c r="B2" s="25">
        <v>14.91</v>
      </c>
      <c r="D2" s="6" t="s">
        <v>3169</v>
      </c>
    </row>
    <row r="3" spans="1:4" outlineLevel="2">
      <c r="A3" s="26" t="s">
        <v>3</v>
      </c>
      <c r="B3" s="27">
        <v>18.96</v>
      </c>
      <c r="D3" s="8"/>
    </row>
    <row r="4" spans="1:4" outlineLevel="2">
      <c r="A4" s="24" t="s">
        <v>3</v>
      </c>
      <c r="B4" s="25">
        <v>887.27099999999984</v>
      </c>
      <c r="D4" s="9" t="s">
        <v>3170</v>
      </c>
    </row>
    <row r="5" spans="1:4" outlineLevel="2">
      <c r="A5" s="26" t="s">
        <v>3</v>
      </c>
      <c r="B5" s="27">
        <v>31.968000000000004</v>
      </c>
      <c r="D5" s="9" t="s">
        <v>3171</v>
      </c>
    </row>
    <row r="6" spans="1:4" outlineLevel="2">
      <c r="A6" s="24" t="s">
        <v>3</v>
      </c>
      <c r="B6" s="25">
        <v>913.43000000000006</v>
      </c>
      <c r="D6" s="9" t="s">
        <v>3172</v>
      </c>
    </row>
    <row r="7" spans="1:4" outlineLevel="2">
      <c r="A7" s="26" t="s">
        <v>3</v>
      </c>
      <c r="B7" s="27">
        <v>62.72</v>
      </c>
      <c r="D7" s="9" t="s">
        <v>3173</v>
      </c>
    </row>
    <row r="8" spans="1:4" outlineLevel="2">
      <c r="A8" s="24" t="s">
        <v>3</v>
      </c>
      <c r="B8" s="25">
        <v>69.375</v>
      </c>
    </row>
    <row r="9" spans="1:4" outlineLevel="2">
      <c r="A9" s="26" t="s">
        <v>3</v>
      </c>
      <c r="B9" s="27">
        <v>310.74399999999997</v>
      </c>
    </row>
    <row r="10" spans="1:4" outlineLevel="2">
      <c r="A10" s="24" t="s">
        <v>3</v>
      </c>
      <c r="B10" s="25">
        <v>141.41999999999999</v>
      </c>
    </row>
    <row r="11" spans="1:4" outlineLevel="2">
      <c r="A11" s="26" t="s">
        <v>3</v>
      </c>
      <c r="B11" s="27">
        <v>212.94</v>
      </c>
    </row>
    <row r="12" spans="1:4" outlineLevel="2">
      <c r="A12" s="24" t="s">
        <v>3</v>
      </c>
      <c r="B12" s="25">
        <v>302.67</v>
      </c>
    </row>
    <row r="13" spans="1:4" outlineLevel="2">
      <c r="A13" s="26" t="s">
        <v>3</v>
      </c>
      <c r="B13" s="27">
        <v>419.13599999999997</v>
      </c>
    </row>
    <row r="14" spans="1:4" outlineLevel="2">
      <c r="A14" s="24" t="s">
        <v>3</v>
      </c>
      <c r="B14" s="25">
        <v>399.67200000000003</v>
      </c>
    </row>
    <row r="15" spans="1:4" outlineLevel="2">
      <c r="A15" s="26" t="s">
        <v>3</v>
      </c>
      <c r="B15" s="27">
        <v>27.92</v>
      </c>
    </row>
    <row r="16" spans="1:4" outlineLevel="2">
      <c r="A16" s="24" t="s">
        <v>3</v>
      </c>
      <c r="B16" s="25">
        <v>120.78399999999999</v>
      </c>
    </row>
    <row r="17" spans="1:2" outlineLevel="2">
      <c r="A17" s="26" t="s">
        <v>3</v>
      </c>
      <c r="B17" s="27">
        <v>474.43</v>
      </c>
    </row>
    <row r="18" spans="1:2" outlineLevel="2">
      <c r="A18" s="24" t="s">
        <v>3</v>
      </c>
      <c r="B18" s="25">
        <v>207.84600000000003</v>
      </c>
    </row>
    <row r="19" spans="1:2" outlineLevel="2">
      <c r="A19" s="26" t="s">
        <v>3</v>
      </c>
      <c r="B19" s="27">
        <v>892.98</v>
      </c>
    </row>
    <row r="20" spans="1:2" outlineLevel="2">
      <c r="A20" s="24" t="s">
        <v>3</v>
      </c>
      <c r="B20" s="25">
        <v>210.98</v>
      </c>
    </row>
    <row r="21" spans="1:2" outlineLevel="2">
      <c r="A21" s="26" t="s">
        <v>3</v>
      </c>
      <c r="B21" s="27">
        <v>37.68</v>
      </c>
    </row>
    <row r="22" spans="1:2" outlineLevel="2">
      <c r="A22" s="24" t="s">
        <v>3</v>
      </c>
      <c r="B22" s="25">
        <v>37.74</v>
      </c>
    </row>
    <row r="23" spans="1:2" outlineLevel="2">
      <c r="A23" s="26" t="s">
        <v>3</v>
      </c>
      <c r="B23" s="27">
        <v>48.896000000000001</v>
      </c>
    </row>
    <row r="24" spans="1:2" outlineLevel="2">
      <c r="A24" s="24" t="s">
        <v>3</v>
      </c>
      <c r="B24" s="25">
        <v>34.580000000000005</v>
      </c>
    </row>
    <row r="25" spans="1:2" outlineLevel="2">
      <c r="A25" s="26" t="s">
        <v>3</v>
      </c>
      <c r="B25" s="27">
        <v>84.98</v>
      </c>
    </row>
    <row r="26" spans="1:2" outlineLevel="1">
      <c r="A26" s="30" t="s">
        <v>3166</v>
      </c>
      <c r="B26" s="31">
        <f>SUBTOTAL(9,B2:B25)</f>
        <v>5964.0320000000002</v>
      </c>
    </row>
    <row r="27" spans="1:2" outlineLevel="2">
      <c r="A27" s="24" t="s">
        <v>5</v>
      </c>
      <c r="B27" s="25">
        <v>13.48</v>
      </c>
    </row>
    <row r="28" spans="1:2" outlineLevel="2">
      <c r="A28" s="26" t="s">
        <v>5</v>
      </c>
      <c r="B28" s="27">
        <v>94.85</v>
      </c>
    </row>
    <row r="29" spans="1:2" outlineLevel="2">
      <c r="A29" s="24" t="s">
        <v>5</v>
      </c>
      <c r="B29" s="25">
        <v>12.96</v>
      </c>
    </row>
    <row r="30" spans="1:2" outlineLevel="2">
      <c r="A30" s="26" t="s">
        <v>5</v>
      </c>
      <c r="B30" s="27">
        <v>11.34</v>
      </c>
    </row>
    <row r="31" spans="1:2" outlineLevel="2">
      <c r="A31" s="24" t="s">
        <v>5</v>
      </c>
      <c r="B31" s="25">
        <v>18.760000000000002</v>
      </c>
    </row>
    <row r="32" spans="1:2" outlineLevel="2">
      <c r="A32" s="26" t="s">
        <v>5</v>
      </c>
      <c r="B32" s="27">
        <v>2.52</v>
      </c>
    </row>
    <row r="33" spans="1:2" outlineLevel="2">
      <c r="A33" s="24" t="s">
        <v>5</v>
      </c>
      <c r="B33" s="25">
        <v>67.400000000000006</v>
      </c>
    </row>
    <row r="34" spans="1:2" outlineLevel="2">
      <c r="A34" s="26" t="s">
        <v>5</v>
      </c>
      <c r="B34" s="27">
        <v>268.57600000000002</v>
      </c>
    </row>
    <row r="35" spans="1:2" outlineLevel="2">
      <c r="A35" s="24" t="s">
        <v>5</v>
      </c>
      <c r="B35" s="25">
        <v>4.9380000000000006</v>
      </c>
    </row>
    <row r="36" spans="1:2" outlineLevel="2">
      <c r="A36" s="26" t="s">
        <v>5</v>
      </c>
      <c r="B36" s="27">
        <v>276.78400000000005</v>
      </c>
    </row>
    <row r="37" spans="1:2" outlineLevel="2">
      <c r="A37" s="24" t="s">
        <v>5</v>
      </c>
      <c r="B37" s="25">
        <v>25.86</v>
      </c>
    </row>
    <row r="38" spans="1:2" outlineLevel="2">
      <c r="A38" s="26" t="s">
        <v>5</v>
      </c>
      <c r="B38" s="27">
        <v>9.120000000000001</v>
      </c>
    </row>
    <row r="39" spans="1:2" outlineLevel="2">
      <c r="A39" s="24" t="s">
        <v>5</v>
      </c>
      <c r="B39" s="25">
        <v>2022.2720000000002</v>
      </c>
    </row>
    <row r="40" spans="1:2" outlineLevel="2">
      <c r="A40" s="26" t="s">
        <v>5</v>
      </c>
      <c r="B40" s="27">
        <v>2.04</v>
      </c>
    </row>
    <row r="41" spans="1:2" outlineLevel="2">
      <c r="A41" s="24" t="s">
        <v>5</v>
      </c>
      <c r="B41" s="25">
        <v>542.93999999999994</v>
      </c>
    </row>
    <row r="42" spans="1:2" outlineLevel="2">
      <c r="A42" s="26" t="s">
        <v>5</v>
      </c>
      <c r="B42" s="27">
        <v>12.28</v>
      </c>
    </row>
    <row r="43" spans="1:2" outlineLevel="2">
      <c r="A43" s="24" t="s">
        <v>5</v>
      </c>
      <c r="B43" s="25">
        <v>79.92</v>
      </c>
    </row>
    <row r="44" spans="1:2" outlineLevel="2">
      <c r="A44" s="26" t="s">
        <v>5</v>
      </c>
      <c r="B44" s="27">
        <v>21.696000000000002</v>
      </c>
    </row>
    <row r="45" spans="1:2" outlineLevel="2">
      <c r="A45" s="24" t="s">
        <v>5</v>
      </c>
      <c r="B45" s="25">
        <v>760.97999999999979</v>
      </c>
    </row>
    <row r="46" spans="1:2" outlineLevel="2">
      <c r="A46" s="26" t="s">
        <v>5</v>
      </c>
      <c r="B46" s="27">
        <v>4.7679999999999998</v>
      </c>
    </row>
    <row r="47" spans="1:2" outlineLevel="2">
      <c r="A47" s="24" t="s">
        <v>5</v>
      </c>
      <c r="B47" s="25">
        <v>372.14400000000001</v>
      </c>
    </row>
    <row r="48" spans="1:2" outlineLevel="2">
      <c r="A48" s="26" t="s">
        <v>5</v>
      </c>
      <c r="B48" s="27">
        <v>5.4319999999999986</v>
      </c>
    </row>
    <row r="49" spans="1:2" outlineLevel="2">
      <c r="A49" s="24" t="s">
        <v>5</v>
      </c>
      <c r="B49" s="25">
        <v>31.744</v>
      </c>
    </row>
    <row r="50" spans="1:2" outlineLevel="2">
      <c r="A50" s="26" t="s">
        <v>5</v>
      </c>
      <c r="B50" s="27">
        <v>9.3439999999999994</v>
      </c>
    </row>
    <row r="51" spans="1:2" outlineLevel="2">
      <c r="A51" s="24" t="s">
        <v>5</v>
      </c>
      <c r="B51" s="25">
        <v>31.680000000000003</v>
      </c>
    </row>
    <row r="52" spans="1:2" outlineLevel="2">
      <c r="A52" s="26" t="s">
        <v>5</v>
      </c>
      <c r="B52" s="27">
        <v>15.223999999999997</v>
      </c>
    </row>
    <row r="53" spans="1:2" outlineLevel="2">
      <c r="A53" s="24" t="s">
        <v>5</v>
      </c>
      <c r="B53" s="25">
        <v>13.747999999999998</v>
      </c>
    </row>
    <row r="54" spans="1:2" outlineLevel="2">
      <c r="A54" s="26" t="s">
        <v>5</v>
      </c>
      <c r="B54" s="27">
        <v>6.469999999999998</v>
      </c>
    </row>
    <row r="55" spans="1:2" outlineLevel="2">
      <c r="A55" s="24" t="s">
        <v>5</v>
      </c>
      <c r="B55" s="25">
        <v>12.736000000000001</v>
      </c>
    </row>
    <row r="56" spans="1:2" outlineLevel="2">
      <c r="A56" s="26" t="s">
        <v>5</v>
      </c>
      <c r="B56" s="27">
        <v>454.56000000000006</v>
      </c>
    </row>
    <row r="57" spans="1:2" outlineLevel="2">
      <c r="A57" s="24" t="s">
        <v>5</v>
      </c>
      <c r="B57" s="25">
        <v>7.8719999999999999</v>
      </c>
    </row>
    <row r="58" spans="1:2" outlineLevel="2">
      <c r="A58" s="26" t="s">
        <v>5</v>
      </c>
      <c r="B58" s="27">
        <v>15.120000000000001</v>
      </c>
    </row>
    <row r="59" spans="1:2" outlineLevel="2">
      <c r="A59" s="24" t="s">
        <v>5</v>
      </c>
      <c r="B59" s="25">
        <v>11.84</v>
      </c>
    </row>
    <row r="60" spans="1:2" outlineLevel="2">
      <c r="A60" s="26" t="s">
        <v>5</v>
      </c>
      <c r="B60" s="27">
        <v>11.52</v>
      </c>
    </row>
    <row r="61" spans="1:2" outlineLevel="2">
      <c r="A61" s="24" t="s">
        <v>5</v>
      </c>
      <c r="B61" s="25">
        <v>7.89</v>
      </c>
    </row>
    <row r="62" spans="1:2" outlineLevel="2">
      <c r="A62" s="26" t="s">
        <v>5</v>
      </c>
      <c r="B62" s="27">
        <v>110.11</v>
      </c>
    </row>
    <row r="63" spans="1:2" outlineLevel="2">
      <c r="A63" s="24" t="s">
        <v>5</v>
      </c>
      <c r="B63" s="25">
        <v>61.019999999999996</v>
      </c>
    </row>
    <row r="64" spans="1:2" outlineLevel="2">
      <c r="A64" s="26" t="s">
        <v>5</v>
      </c>
      <c r="B64" s="27">
        <v>153.78</v>
      </c>
    </row>
    <row r="65" spans="1:2" outlineLevel="2">
      <c r="A65" s="24" t="s">
        <v>5</v>
      </c>
      <c r="B65" s="25">
        <v>274.49100000000004</v>
      </c>
    </row>
    <row r="66" spans="1:2" outlineLevel="2">
      <c r="A66" s="26" t="s">
        <v>5</v>
      </c>
      <c r="B66" s="27">
        <v>5.22</v>
      </c>
    </row>
    <row r="67" spans="1:2" outlineLevel="2">
      <c r="A67" s="24" t="s">
        <v>5</v>
      </c>
      <c r="B67" s="25">
        <v>154.9</v>
      </c>
    </row>
    <row r="68" spans="1:2" outlineLevel="2">
      <c r="A68" s="26" t="s">
        <v>5</v>
      </c>
      <c r="B68" s="27">
        <v>3.6</v>
      </c>
    </row>
    <row r="69" spans="1:2" outlineLevel="2">
      <c r="A69" s="24" t="s">
        <v>5</v>
      </c>
      <c r="B69" s="25">
        <v>4164.0499999999993</v>
      </c>
    </row>
    <row r="70" spans="1:2" outlineLevel="2">
      <c r="A70" s="26" t="s">
        <v>5</v>
      </c>
      <c r="B70" s="27">
        <v>209.94</v>
      </c>
    </row>
    <row r="71" spans="1:2" outlineLevel="2">
      <c r="A71" s="24" t="s">
        <v>5</v>
      </c>
      <c r="B71" s="25">
        <v>32.400000000000006</v>
      </c>
    </row>
    <row r="72" spans="1:2" outlineLevel="2">
      <c r="A72" s="26" t="s">
        <v>5</v>
      </c>
      <c r="B72" s="27">
        <v>56.07</v>
      </c>
    </row>
    <row r="73" spans="1:2" outlineLevel="2">
      <c r="A73" s="24" t="s">
        <v>5</v>
      </c>
      <c r="B73" s="25">
        <v>5443.96</v>
      </c>
    </row>
    <row r="74" spans="1:2" outlineLevel="2">
      <c r="A74" s="26" t="s">
        <v>5</v>
      </c>
      <c r="B74" s="27">
        <v>4.2759999999999989</v>
      </c>
    </row>
    <row r="75" spans="1:2" outlineLevel="2">
      <c r="A75" s="24" t="s">
        <v>5</v>
      </c>
      <c r="B75" s="25">
        <v>32.783999999999992</v>
      </c>
    </row>
    <row r="76" spans="1:2" outlineLevel="2">
      <c r="A76" s="26" t="s">
        <v>5</v>
      </c>
      <c r="B76" s="27">
        <v>6.48</v>
      </c>
    </row>
    <row r="77" spans="1:2" outlineLevel="2">
      <c r="A77" s="24" t="s">
        <v>5</v>
      </c>
      <c r="B77" s="25">
        <v>25.92</v>
      </c>
    </row>
    <row r="78" spans="1:2" outlineLevel="2">
      <c r="A78" s="26" t="s">
        <v>5</v>
      </c>
      <c r="B78" s="27">
        <v>19.68</v>
      </c>
    </row>
    <row r="79" spans="1:2" outlineLevel="2">
      <c r="A79" s="24" t="s">
        <v>5</v>
      </c>
      <c r="B79" s="25">
        <v>9.7799999999999994</v>
      </c>
    </row>
    <row r="80" spans="1:2" outlineLevel="2">
      <c r="A80" s="26" t="s">
        <v>5</v>
      </c>
      <c r="B80" s="27">
        <v>18.16</v>
      </c>
    </row>
    <row r="81" spans="1:2" outlineLevel="2">
      <c r="A81" s="24" t="s">
        <v>5</v>
      </c>
      <c r="B81" s="25">
        <v>3.52</v>
      </c>
    </row>
    <row r="82" spans="1:2" outlineLevel="2">
      <c r="A82" s="26" t="s">
        <v>5</v>
      </c>
      <c r="B82" s="27">
        <v>38.880000000000003</v>
      </c>
    </row>
    <row r="83" spans="1:2" outlineLevel="2">
      <c r="A83" s="24" t="s">
        <v>5</v>
      </c>
      <c r="B83" s="25">
        <v>21.400000000000002</v>
      </c>
    </row>
    <row r="84" spans="1:2" outlineLevel="2">
      <c r="A84" s="26" t="s">
        <v>5</v>
      </c>
      <c r="B84" s="27">
        <v>119.61600000000001</v>
      </c>
    </row>
    <row r="85" spans="1:2" outlineLevel="2">
      <c r="A85" s="24" t="s">
        <v>5</v>
      </c>
      <c r="B85" s="25">
        <v>8.57</v>
      </c>
    </row>
    <row r="86" spans="1:2" outlineLevel="2">
      <c r="A86" s="26" t="s">
        <v>5</v>
      </c>
      <c r="B86" s="27">
        <v>8.34</v>
      </c>
    </row>
    <row r="87" spans="1:2" outlineLevel="2">
      <c r="A87" s="24" t="s">
        <v>5</v>
      </c>
      <c r="B87" s="25">
        <v>33.74</v>
      </c>
    </row>
    <row r="88" spans="1:2" outlineLevel="2">
      <c r="A88" s="26" t="s">
        <v>5</v>
      </c>
      <c r="B88" s="27">
        <v>2.508</v>
      </c>
    </row>
    <row r="89" spans="1:2" outlineLevel="2">
      <c r="A89" s="24" t="s">
        <v>5</v>
      </c>
      <c r="B89" s="25">
        <v>5.9700000000000006</v>
      </c>
    </row>
    <row r="90" spans="1:2" outlineLevel="2">
      <c r="A90" s="26" t="s">
        <v>5</v>
      </c>
      <c r="B90" s="27">
        <v>36.288000000000011</v>
      </c>
    </row>
    <row r="91" spans="1:2" outlineLevel="2">
      <c r="A91" s="24" t="s">
        <v>5</v>
      </c>
      <c r="B91" s="25">
        <v>18.335999999999999</v>
      </c>
    </row>
    <row r="92" spans="1:2" outlineLevel="2">
      <c r="A92" s="26" t="s">
        <v>5</v>
      </c>
      <c r="B92" s="27">
        <v>279.89999999999998</v>
      </c>
    </row>
    <row r="93" spans="1:2" outlineLevel="2">
      <c r="A93" s="24" t="s">
        <v>5</v>
      </c>
      <c r="B93" s="25">
        <v>168.624</v>
      </c>
    </row>
    <row r="94" spans="1:2" outlineLevel="2">
      <c r="A94" s="26" t="s">
        <v>5</v>
      </c>
      <c r="B94" s="27">
        <v>8.82</v>
      </c>
    </row>
    <row r="95" spans="1:2" outlineLevel="2">
      <c r="A95" s="24" t="s">
        <v>5</v>
      </c>
      <c r="B95" s="25">
        <v>12.74</v>
      </c>
    </row>
    <row r="96" spans="1:2" outlineLevel="2">
      <c r="A96" s="26" t="s">
        <v>5</v>
      </c>
      <c r="B96" s="27">
        <v>12.7</v>
      </c>
    </row>
    <row r="97" spans="1:2" outlineLevel="2">
      <c r="A97" s="24" t="s">
        <v>5</v>
      </c>
      <c r="B97" s="25">
        <v>12.127999999999997</v>
      </c>
    </row>
    <row r="98" spans="1:2" outlineLevel="2">
      <c r="A98" s="26" t="s">
        <v>5</v>
      </c>
      <c r="B98" s="27">
        <v>129.30000000000001</v>
      </c>
    </row>
    <row r="99" spans="1:2" outlineLevel="2">
      <c r="A99" s="24" t="s">
        <v>5</v>
      </c>
      <c r="B99" s="25">
        <v>7.16</v>
      </c>
    </row>
    <row r="100" spans="1:2" outlineLevel="2">
      <c r="A100" s="26" t="s">
        <v>5</v>
      </c>
      <c r="B100" s="27">
        <v>15.469999999999999</v>
      </c>
    </row>
    <row r="101" spans="1:2" outlineLevel="2">
      <c r="A101" s="24" t="s">
        <v>5</v>
      </c>
      <c r="B101" s="25">
        <v>1924.1599999999999</v>
      </c>
    </row>
    <row r="102" spans="1:2" outlineLevel="2">
      <c r="A102" s="26" t="s">
        <v>5</v>
      </c>
      <c r="B102" s="27">
        <v>34.384</v>
      </c>
    </row>
    <row r="103" spans="1:2" outlineLevel="2">
      <c r="A103" s="24" t="s">
        <v>5</v>
      </c>
      <c r="B103" s="25">
        <v>89.52</v>
      </c>
    </row>
    <row r="104" spans="1:2" outlineLevel="2">
      <c r="A104" s="26" t="s">
        <v>5</v>
      </c>
      <c r="B104" s="27">
        <v>14.399999999999999</v>
      </c>
    </row>
    <row r="105" spans="1:2" outlineLevel="2">
      <c r="A105" s="24" t="s">
        <v>5</v>
      </c>
      <c r="B105" s="25">
        <v>24.2</v>
      </c>
    </row>
    <row r="106" spans="1:2" outlineLevel="2">
      <c r="A106" s="26" t="s">
        <v>5</v>
      </c>
      <c r="B106" s="27">
        <v>5.67</v>
      </c>
    </row>
    <row r="107" spans="1:2" outlineLevel="2">
      <c r="A107" s="24" t="s">
        <v>5</v>
      </c>
      <c r="B107" s="25">
        <v>51.449999999999996</v>
      </c>
    </row>
    <row r="108" spans="1:2" outlineLevel="2">
      <c r="A108" s="26" t="s">
        <v>5</v>
      </c>
      <c r="B108" s="27">
        <v>11.96</v>
      </c>
    </row>
    <row r="109" spans="1:2" outlineLevel="2">
      <c r="A109" s="24" t="s">
        <v>5</v>
      </c>
      <c r="B109" s="25">
        <v>1126.02</v>
      </c>
    </row>
    <row r="110" spans="1:2" outlineLevel="2">
      <c r="A110" s="26" t="s">
        <v>5</v>
      </c>
      <c r="B110" s="27">
        <v>14.015999999999998</v>
      </c>
    </row>
    <row r="111" spans="1:2" outlineLevel="2">
      <c r="A111" s="24" t="s">
        <v>5</v>
      </c>
      <c r="B111" s="25">
        <v>2.8080000000000007</v>
      </c>
    </row>
    <row r="112" spans="1:2" outlineLevel="2">
      <c r="A112" s="26" t="s">
        <v>5</v>
      </c>
      <c r="B112" s="27">
        <v>6</v>
      </c>
    </row>
    <row r="113" spans="1:2" outlineLevel="2">
      <c r="A113" s="24" t="s">
        <v>5</v>
      </c>
      <c r="B113" s="25">
        <v>40.08</v>
      </c>
    </row>
    <row r="114" spans="1:2" outlineLevel="2">
      <c r="A114" s="26" t="s">
        <v>5</v>
      </c>
      <c r="B114" s="27">
        <v>28.854000000000006</v>
      </c>
    </row>
    <row r="115" spans="1:2" outlineLevel="2">
      <c r="A115" s="24" t="s">
        <v>5</v>
      </c>
      <c r="B115" s="25">
        <v>15.66</v>
      </c>
    </row>
    <row r="116" spans="1:2" outlineLevel="2">
      <c r="A116" s="26" t="s">
        <v>5</v>
      </c>
      <c r="B116" s="27">
        <v>21.744</v>
      </c>
    </row>
    <row r="117" spans="1:2" outlineLevel="2">
      <c r="A117" s="24" t="s">
        <v>5</v>
      </c>
      <c r="B117" s="25">
        <v>35.783999999999999</v>
      </c>
    </row>
    <row r="118" spans="1:2" outlineLevel="2">
      <c r="A118" s="26" t="s">
        <v>5</v>
      </c>
      <c r="B118" s="27">
        <v>348.20799999999997</v>
      </c>
    </row>
    <row r="119" spans="1:2" outlineLevel="2">
      <c r="A119" s="24" t="s">
        <v>5</v>
      </c>
      <c r="B119" s="25">
        <v>40.299999999999997</v>
      </c>
    </row>
    <row r="120" spans="1:2" outlineLevel="2">
      <c r="A120" s="26" t="s">
        <v>5</v>
      </c>
      <c r="B120" s="27">
        <v>7.71</v>
      </c>
    </row>
    <row r="121" spans="1:2" outlineLevel="2">
      <c r="A121" s="24" t="s">
        <v>5</v>
      </c>
      <c r="B121" s="25">
        <v>32.35</v>
      </c>
    </row>
    <row r="122" spans="1:2" outlineLevel="2">
      <c r="A122" s="26" t="s">
        <v>5</v>
      </c>
      <c r="B122" s="27">
        <v>18.28</v>
      </c>
    </row>
    <row r="123" spans="1:2" outlineLevel="2">
      <c r="A123" s="24" t="s">
        <v>5</v>
      </c>
      <c r="B123" s="25">
        <v>18.72</v>
      </c>
    </row>
    <row r="124" spans="1:2" outlineLevel="2">
      <c r="A124" s="26" t="s">
        <v>5</v>
      </c>
      <c r="B124" s="27">
        <v>27.936000000000003</v>
      </c>
    </row>
    <row r="125" spans="1:2" outlineLevel="2">
      <c r="A125" s="24" t="s">
        <v>5</v>
      </c>
      <c r="B125" s="25">
        <v>99.695999999999998</v>
      </c>
    </row>
    <row r="126" spans="1:2" outlineLevel="2">
      <c r="A126" s="26" t="s">
        <v>5</v>
      </c>
      <c r="B126" s="27">
        <v>242.94</v>
      </c>
    </row>
    <row r="127" spans="1:2" outlineLevel="1">
      <c r="A127" s="30" t="s">
        <v>3167</v>
      </c>
      <c r="B127" s="31">
        <f>SUBTOTAL(9,B27:B126)</f>
        <v>21274.288999999997</v>
      </c>
    </row>
    <row r="128" spans="1:2" outlineLevel="2">
      <c r="A128" s="24" t="s">
        <v>4</v>
      </c>
      <c r="B128" s="25">
        <v>159.80000000000001</v>
      </c>
    </row>
    <row r="129" spans="1:2" outlineLevel="2">
      <c r="A129" s="26" t="s">
        <v>4</v>
      </c>
      <c r="B129" s="27">
        <v>12.12</v>
      </c>
    </row>
    <row r="130" spans="1:2" outlineLevel="2">
      <c r="A130" s="24" t="s">
        <v>4</v>
      </c>
      <c r="B130" s="25">
        <v>67.8</v>
      </c>
    </row>
    <row r="131" spans="1:2" outlineLevel="2">
      <c r="A131" s="26" t="s">
        <v>4</v>
      </c>
      <c r="B131" s="27">
        <v>16.59</v>
      </c>
    </row>
    <row r="132" spans="1:2" outlineLevel="2">
      <c r="A132" s="24" t="s">
        <v>4</v>
      </c>
      <c r="B132" s="25">
        <v>95.984000000000009</v>
      </c>
    </row>
    <row r="133" spans="1:2" outlineLevel="2">
      <c r="A133" s="26" t="s">
        <v>4</v>
      </c>
      <c r="B133" s="27">
        <v>110.352</v>
      </c>
    </row>
    <row r="134" spans="1:2" outlineLevel="2">
      <c r="A134" s="24" t="s">
        <v>4</v>
      </c>
      <c r="B134" s="25">
        <v>429.59999999999997</v>
      </c>
    </row>
    <row r="135" spans="1:2" outlineLevel="2">
      <c r="A135" s="26" t="s">
        <v>4</v>
      </c>
      <c r="B135" s="27">
        <v>604.76800000000003</v>
      </c>
    </row>
    <row r="136" spans="1:2" outlineLevel="2">
      <c r="A136" s="24" t="s">
        <v>4</v>
      </c>
      <c r="B136" s="25">
        <v>2939.9300000000003</v>
      </c>
    </row>
    <row r="137" spans="1:2" outlineLevel="2">
      <c r="A137" s="26" t="s">
        <v>4</v>
      </c>
      <c r="B137" s="27">
        <v>2003.1680000000001</v>
      </c>
    </row>
    <row r="138" spans="1:2" outlineLevel="2">
      <c r="A138" s="24" t="s">
        <v>4</v>
      </c>
      <c r="B138" s="25">
        <v>137.94</v>
      </c>
    </row>
    <row r="139" spans="1:2" outlineLevel="2">
      <c r="A139" s="26" t="s">
        <v>4</v>
      </c>
      <c r="B139" s="27">
        <v>449.91</v>
      </c>
    </row>
    <row r="140" spans="1:2" outlineLevel="2">
      <c r="A140" s="24" t="s">
        <v>4</v>
      </c>
      <c r="B140" s="25">
        <v>62.591999999999999</v>
      </c>
    </row>
    <row r="141" spans="1:2" outlineLevel="2">
      <c r="A141" s="26" t="s">
        <v>4</v>
      </c>
      <c r="B141" s="27">
        <v>47.984000000000002</v>
      </c>
    </row>
    <row r="142" spans="1:2" outlineLevel="2">
      <c r="A142" s="24" t="s">
        <v>4</v>
      </c>
      <c r="B142" s="25">
        <v>86.352000000000004</v>
      </c>
    </row>
    <row r="143" spans="1:2" outlineLevel="2">
      <c r="A143" s="26" t="s">
        <v>4</v>
      </c>
      <c r="B143" s="27">
        <v>111.98399999999999</v>
      </c>
    </row>
    <row r="144" spans="1:2" outlineLevel="2">
      <c r="A144" s="24" t="s">
        <v>4</v>
      </c>
      <c r="B144" s="25">
        <v>169.06400000000002</v>
      </c>
    </row>
    <row r="145" spans="1:2" outlineLevel="2">
      <c r="A145" s="26" t="s">
        <v>4</v>
      </c>
      <c r="B145" s="27">
        <v>164.99</v>
      </c>
    </row>
    <row r="146" spans="1:2" outlineLevel="2">
      <c r="A146" s="24" t="s">
        <v>4</v>
      </c>
      <c r="B146" s="25">
        <v>350.97300000000007</v>
      </c>
    </row>
    <row r="147" spans="1:2" outlineLevel="2">
      <c r="A147" s="26" t="s">
        <v>4</v>
      </c>
      <c r="B147" s="27">
        <v>619.94999999999993</v>
      </c>
    </row>
    <row r="148" spans="1:2" outlineLevel="2">
      <c r="A148" s="24" t="s">
        <v>4</v>
      </c>
      <c r="B148" s="25">
        <v>359.97600000000006</v>
      </c>
    </row>
    <row r="149" spans="1:2" outlineLevel="2">
      <c r="A149" s="26" t="s">
        <v>4</v>
      </c>
      <c r="B149" s="27">
        <v>2999.95</v>
      </c>
    </row>
    <row r="150" spans="1:2" outlineLevel="2">
      <c r="A150" s="24" t="s">
        <v>4</v>
      </c>
      <c r="B150" s="25">
        <v>107.982</v>
      </c>
    </row>
    <row r="151" spans="1:2" outlineLevel="2">
      <c r="A151" s="26" t="s">
        <v>4</v>
      </c>
      <c r="B151" s="27">
        <v>71.975999999999999</v>
      </c>
    </row>
    <row r="152" spans="1:2" outlineLevel="2">
      <c r="A152" s="24" t="s">
        <v>4</v>
      </c>
      <c r="B152" s="25">
        <v>160.77600000000001</v>
      </c>
    </row>
    <row r="153" spans="1:2" outlineLevel="2">
      <c r="A153" s="26" t="s">
        <v>4</v>
      </c>
      <c r="B153" s="27">
        <v>239.96999999999997</v>
      </c>
    </row>
    <row r="154" spans="1:2" outlineLevel="2">
      <c r="A154" s="24" t="s">
        <v>4</v>
      </c>
      <c r="B154" s="25">
        <v>695.7</v>
      </c>
    </row>
    <row r="155" spans="1:2" outlineLevel="2">
      <c r="A155" s="26" t="s">
        <v>4</v>
      </c>
      <c r="B155" s="27">
        <v>7.92</v>
      </c>
    </row>
    <row r="156" spans="1:2" outlineLevel="2">
      <c r="A156" s="24" t="s">
        <v>4</v>
      </c>
      <c r="B156" s="25">
        <v>3059.982</v>
      </c>
    </row>
    <row r="157" spans="1:2" outlineLevel="2">
      <c r="A157" s="26" t="s">
        <v>4</v>
      </c>
      <c r="B157" s="27">
        <v>207</v>
      </c>
    </row>
    <row r="158" spans="1:2" outlineLevel="2">
      <c r="A158" s="28" t="s">
        <v>4</v>
      </c>
      <c r="B158" s="29">
        <v>179.97</v>
      </c>
    </row>
    <row r="159" spans="1:2" outlineLevel="1">
      <c r="A159" s="32" t="s">
        <v>3168</v>
      </c>
      <c r="B159" s="33">
        <f>SUBTOTAL(9,B128:B158)</f>
        <v>16733.053000000004</v>
      </c>
    </row>
    <row r="160" spans="1:2">
      <c r="A160" s="34" t="s">
        <v>7</v>
      </c>
      <c r="B160" s="35">
        <f>SUBTOTAL(9,B2:B158)</f>
        <v>43971.373999999996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B98A-E2C2-406A-BFB3-371CAA4B12E7}">
  <sheetPr codeName="Sheet7"/>
  <dimension ref="A1:B21"/>
  <sheetViews>
    <sheetView tabSelected="1" workbookViewId="0">
      <selection activeCell="D4" sqref="D4"/>
    </sheetView>
  </sheetViews>
  <sheetFormatPr defaultRowHeight="14.4"/>
  <cols>
    <col min="1" max="1" width="9.5546875" customWidth="1"/>
    <col min="2" max="2" width="14.6640625" bestFit="1" customWidth="1"/>
  </cols>
  <sheetData>
    <row r="1" spans="1:2" ht="15.6">
      <c r="A1" s="36" t="s">
        <v>3174</v>
      </c>
      <c r="B1" s="37" t="s">
        <v>3175</v>
      </c>
    </row>
    <row r="2" spans="1:2">
      <c r="A2" s="38">
        <v>1</v>
      </c>
      <c r="B2" s="39" t="s">
        <v>3176</v>
      </c>
    </row>
    <row r="3" spans="1:2">
      <c r="A3" s="38">
        <v>2</v>
      </c>
      <c r="B3" s="39" t="s">
        <v>3176</v>
      </c>
    </row>
    <row r="4" spans="1:2">
      <c r="A4" s="38">
        <v>3</v>
      </c>
      <c r="B4" s="39" t="s">
        <v>3177</v>
      </c>
    </row>
    <row r="5" spans="1:2">
      <c r="A5" s="38">
        <v>4</v>
      </c>
      <c r="B5" s="39" t="s">
        <v>3178</v>
      </c>
    </row>
    <row r="6" spans="1:2">
      <c r="A6" s="38">
        <v>5</v>
      </c>
      <c r="B6" s="39" t="s">
        <v>3178</v>
      </c>
    </row>
    <row r="7" spans="1:2">
      <c r="A7" s="38">
        <v>6</v>
      </c>
      <c r="B7" s="39" t="s">
        <v>3179</v>
      </c>
    </row>
    <row r="8" spans="1:2">
      <c r="A8" s="38">
        <v>7</v>
      </c>
      <c r="B8" s="39" t="s">
        <v>3179</v>
      </c>
    </row>
    <row r="9" spans="1:2">
      <c r="A9" s="38">
        <v>8</v>
      </c>
      <c r="B9" s="39" t="s">
        <v>3179</v>
      </c>
    </row>
    <row r="10" spans="1:2">
      <c r="A10" s="38">
        <v>9</v>
      </c>
      <c r="B10" s="39" t="s">
        <v>3179</v>
      </c>
    </row>
    <row r="11" spans="1:2">
      <c r="A11" s="38">
        <v>10</v>
      </c>
      <c r="B11" s="39" t="s">
        <v>3179</v>
      </c>
    </row>
    <row r="12" spans="1:2">
      <c r="A12" s="38">
        <v>11</v>
      </c>
      <c r="B12" s="39" t="s">
        <v>3179</v>
      </c>
    </row>
    <row r="13" spans="1:2">
      <c r="A13" s="38">
        <v>12</v>
      </c>
      <c r="B13" s="39" t="s">
        <v>3179</v>
      </c>
    </row>
    <row r="14" spans="1:2">
      <c r="A14" s="38">
        <v>13</v>
      </c>
      <c r="B14" s="39" t="s">
        <v>3180</v>
      </c>
    </row>
    <row r="15" spans="1:2">
      <c r="A15" s="38">
        <v>14</v>
      </c>
      <c r="B15" s="39" t="s">
        <v>3181</v>
      </c>
    </row>
    <row r="16" spans="1:2">
      <c r="A16" s="38">
        <v>15</v>
      </c>
      <c r="B16" s="39" t="s">
        <v>3182</v>
      </c>
    </row>
    <row r="17" spans="1:2">
      <c r="A17" s="38">
        <v>16</v>
      </c>
      <c r="B17" s="39" t="s">
        <v>3182</v>
      </c>
    </row>
    <row r="18" spans="1:2">
      <c r="A18" s="38">
        <v>17</v>
      </c>
      <c r="B18" s="39" t="s">
        <v>3183</v>
      </c>
    </row>
    <row r="19" spans="1:2">
      <c r="A19" s="38">
        <v>18</v>
      </c>
      <c r="B19" s="39" t="s">
        <v>3184</v>
      </c>
    </row>
    <row r="20" spans="1:2">
      <c r="A20" s="38">
        <v>19</v>
      </c>
      <c r="B20" s="39" t="s">
        <v>3185</v>
      </c>
    </row>
    <row r="21" spans="1:2">
      <c r="A21" s="40">
        <v>20</v>
      </c>
      <c r="B21" s="41" t="s">
        <v>3185</v>
      </c>
    </row>
  </sheetData>
  <conditionalFormatting sqref="A1:B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</vt:lpstr>
      <vt:lpstr>Lookup</vt:lpstr>
      <vt:lpstr>Conditional Aggregation</vt:lpstr>
      <vt:lpstr>Conditional Formatting</vt:lpstr>
      <vt:lpstr>Consolidation</vt:lpstr>
      <vt:lpstr>Subtotal</vt:lpstr>
      <vt:lpstr>VBA 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 kadam</cp:lastModifiedBy>
  <dcterms:created xsi:type="dcterms:W3CDTF">2026-06-28T15:00:54Z</dcterms:created>
  <dcterms:modified xsi:type="dcterms:W3CDTF">2026-07-08T13:10:12Z</dcterms:modified>
</cp:coreProperties>
</file>