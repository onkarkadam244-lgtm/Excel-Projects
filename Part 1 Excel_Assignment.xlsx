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nkar\Downloads\"/>
    </mc:Choice>
  </mc:AlternateContent>
  <xr:revisionPtr revIDLastSave="0" documentId="13_ncr:1_{FFB4361C-E804-46F7-AEC2-A4C90C1E4C24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Section1_Basics" sheetId="1" r:id="rId1"/>
    <sheet name="Transpose" sheetId="2" r:id="rId2"/>
    <sheet name="Count" sheetId="3" r:id="rId3"/>
    <sheet name="Growth" sheetId="4" r:id="rId4"/>
    <sheet name="Formatting" sheetId="5" r:id="rId5"/>
    <sheet name="Sorting" sheetId="6" r:id="rId6"/>
    <sheet name="2 level sorting" sheetId="7" r:id="rId7"/>
    <sheet name="Date" sheetId="8" r:id="rId8"/>
    <sheet name="Logical Functions" sheetId="9" r:id="rId9"/>
    <sheet name="Data cleaning" sheetId="10" r:id="rId10"/>
    <sheet name="CONCATENATE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2" l="1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3" i="12"/>
  <c r="F3" i="10" l="1"/>
  <c r="J3" i="10" s="1"/>
  <c r="E3" i="10"/>
  <c r="D3" i="10"/>
  <c r="C3" i="10"/>
  <c r="F3" i="9"/>
  <c r="E3" i="9"/>
  <c r="D3" i="9"/>
  <c r="C3" i="9"/>
  <c r="E4" i="8"/>
  <c r="D4" i="8"/>
  <c r="D3" i="8"/>
  <c r="E3" i="8"/>
  <c r="F3" i="8" s="1"/>
  <c r="H3" i="8"/>
  <c r="C4" i="8"/>
  <c r="C3" i="8"/>
  <c r="I3" i="3"/>
  <c r="I2" i="3"/>
  <c r="F3" i="3"/>
  <c r="E5" i="1"/>
  <c r="E6" i="1"/>
  <c r="C6" i="4"/>
  <c r="C5" i="4"/>
  <c r="C4" i="4"/>
  <c r="C3" i="4"/>
  <c r="F2" i="4"/>
  <c r="F4" i="3"/>
  <c r="F2" i="3"/>
  <c r="E7" i="1"/>
  <c r="E4" i="1"/>
  <c r="E3" i="1"/>
  <c r="E2" i="1"/>
  <c r="K3" i="10" l="1"/>
  <c r="I3" i="10"/>
  <c r="L3" i="10"/>
  <c r="G3" i="10"/>
  <c r="H3" i="10"/>
  <c r="M3" i="10" s="1"/>
  <c r="G3" i="8"/>
</calcChain>
</file>

<file path=xl/sharedStrings.xml><?xml version="1.0" encoding="utf-8"?>
<sst xmlns="http://schemas.openxmlformats.org/spreadsheetml/2006/main" count="20247" uniqueCount="2031">
  <si>
    <t>Month</t>
  </si>
  <si>
    <t>Sales</t>
  </si>
  <si>
    <t>Metric</t>
  </si>
  <si>
    <t>Formula</t>
  </si>
  <si>
    <t>Jan</t>
  </si>
  <si>
    <t>Total</t>
  </si>
  <si>
    <t>Feb</t>
  </si>
  <si>
    <t>Max</t>
  </si>
  <si>
    <t>Mar</t>
  </si>
  <si>
    <t>Min</t>
  </si>
  <si>
    <t>Apr</t>
  </si>
  <si>
    <t>2nd Small</t>
  </si>
  <si>
    <t>May</t>
  </si>
  <si>
    <t>3rd Large</t>
  </si>
  <si>
    <t>Jun</t>
  </si>
  <si>
    <t>Median</t>
  </si>
  <si>
    <t>Jul</t>
  </si>
  <si>
    <t>Aug</t>
  </si>
  <si>
    <t>Sep</t>
  </si>
  <si>
    <t>Oct</t>
  </si>
  <si>
    <t>Nov</t>
  </si>
  <si>
    <t>Dec</t>
  </si>
  <si>
    <t>Product</t>
  </si>
  <si>
    <t>A</t>
  </si>
  <si>
    <t>B</t>
  </si>
  <si>
    <t>C</t>
  </si>
  <si>
    <t>E</t>
  </si>
  <si>
    <t>Year</t>
  </si>
  <si>
    <t>Revenue</t>
  </si>
  <si>
    <t>YoY</t>
  </si>
  <si>
    <t>CAGR</t>
  </si>
  <si>
    <t>Sum</t>
  </si>
  <si>
    <t>Count</t>
  </si>
  <si>
    <t>CountA</t>
  </si>
  <si>
    <t>CountBlank</t>
  </si>
  <si>
    <t>Wilson Jones Easy Flow II Sheet Lifters</t>
  </si>
  <si>
    <r>
      <t>1. Saves Time</t>
    </r>
    <r>
      <rPr>
        <sz val="11"/>
        <color theme="1"/>
        <rFont val="Calibri"/>
        <family val="2"/>
        <scheme val="minor"/>
      </rPr>
      <t xml:space="preserve"> – Instantly rearranges large datasets without manually moving data.</t>
    </r>
  </si>
  <si>
    <r>
      <t>2. Reduces Errors</t>
    </r>
    <r>
      <rPr>
        <sz val="11"/>
        <color theme="1"/>
        <rFont val="Calibri"/>
        <family val="2"/>
        <scheme val="minor"/>
      </rPr>
      <t xml:space="preserve"> – Eliminates the risk of mistakes that can occur while copying and pasting values manually.</t>
    </r>
  </si>
  <si>
    <r>
      <t>3. Dynamic Updates</t>
    </r>
    <r>
      <rPr>
        <sz val="11"/>
        <color theme="1"/>
        <rFont val="Calibri"/>
        <family val="2"/>
        <scheme val="minor"/>
      </rPr>
      <t xml:space="preserve"> – If the original data changes, the transposed data updates automatically (when using the </t>
    </r>
    <r>
      <rPr>
        <sz val="10"/>
        <color theme="1"/>
        <rFont val="Arial Unicode MS"/>
      </rPr>
      <t>TRANSPOSE</t>
    </r>
    <r>
      <rPr>
        <sz val="11"/>
        <color theme="1"/>
        <rFont val="Calibri"/>
        <family val="2"/>
        <scheme val="minor"/>
      </rPr>
      <t xml:space="preserve"> function), unlike manually transposed data.</t>
    </r>
  </si>
  <si>
    <r>
      <t>4. Improves Efficiency</t>
    </r>
    <r>
      <rPr>
        <sz val="11"/>
        <color theme="1"/>
        <rFont val="Calibri"/>
        <family val="2"/>
        <scheme val="minor"/>
      </rPr>
      <t xml:space="preserve"> – Handles large tables quickly, making it ideal for data analysis and reporting.</t>
    </r>
  </si>
  <si>
    <r>
      <t>5. Maintains Data Accuracy</t>
    </r>
    <r>
      <rPr>
        <sz val="11"/>
        <color theme="1"/>
        <rFont val="Calibri"/>
        <family val="2"/>
        <scheme val="minor"/>
      </rPr>
      <t xml:space="preserve"> – Ensures that all values are transferred correctly while preserving their positions relative to each other.</t>
    </r>
  </si>
  <si>
    <r>
      <t>6. Easy to Modify</t>
    </r>
    <r>
      <rPr>
        <sz val="11"/>
        <color theme="1"/>
        <rFont val="Calibri"/>
        <family val="2"/>
        <scheme val="minor"/>
      </rPr>
      <t xml:space="preserve"> – Any changes to the source range are reflected in the transposed range without repeating the process.</t>
    </r>
  </si>
  <si>
    <r>
      <t xml:space="preserve">The </t>
    </r>
    <r>
      <rPr>
        <b/>
        <sz val="11"/>
        <color theme="1"/>
        <rFont val="Calibri"/>
        <family val="2"/>
        <scheme val="minor"/>
      </rPr>
      <t>TRANSPOSE</t>
    </r>
    <r>
      <rPr>
        <sz val="11"/>
        <color theme="1"/>
        <rFont val="Calibri"/>
        <family val="2"/>
        <scheme val="minor"/>
      </rPr>
      <t xml:space="preserve"> function in spreadsheet software converts rows into columns and columns into rows automatically. Compared to manual transposing, it offers several advantages:</t>
    </r>
  </si>
  <si>
    <r>
      <t xml:space="preserve">The </t>
    </r>
    <r>
      <rPr>
        <b/>
        <sz val="11"/>
        <color theme="1"/>
        <rFont val="Calibri"/>
        <family val="2"/>
        <scheme val="minor"/>
      </rPr>
      <t>Status Bar</t>
    </r>
    <r>
      <rPr>
        <sz val="11"/>
        <color theme="1"/>
        <rFont val="Calibri"/>
        <family val="2"/>
        <scheme val="minor"/>
      </rPr>
      <t xml:space="preserve"> is a useful feature for performing quick calculations, saving time, improving accuracy, and enabling fast data analysis without using formulas.</t>
    </r>
  </si>
  <si>
    <t>Average</t>
  </si>
  <si>
    <r>
      <t xml:space="preserve">The </t>
    </r>
    <r>
      <rPr>
        <b/>
        <sz val="11"/>
        <color theme="1"/>
        <rFont val="Calibri"/>
        <family val="2"/>
        <scheme val="minor"/>
      </rPr>
      <t>Format Painter</t>
    </r>
    <r>
      <rPr>
        <sz val="11"/>
        <color theme="1"/>
        <rFont val="Calibri"/>
        <family val="2"/>
        <scheme val="minor"/>
      </rPr>
      <t xml:space="preserve"> is a valuable Excel feature that saves time, improves consistency, reduces formatting errors, and enhances the overall appearance of spreadsheets.</t>
    </r>
  </si>
  <si>
    <t>Order Date</t>
  </si>
  <si>
    <t>Product Name</t>
  </si>
  <si>
    <t>Linden 10" Round Wall Clock, Black</t>
  </si>
  <si>
    <t>Howard Miller 11-1/2" Diameter Brentwood Wall Clock</t>
  </si>
  <si>
    <t>SAFCO Boltless Steel Shelving</t>
  </si>
  <si>
    <t>Tenex Carpeted, Granite-Look or Clear Contemporary Contour Shape Chair Mats</t>
  </si>
  <si>
    <t>Office Star - Contemporary Task Swivel Chair</t>
  </si>
  <si>
    <t>Fluorescent Highlighters by Dixon</t>
  </si>
  <si>
    <t>GBC Instant Report Kit</t>
  </si>
  <si>
    <t>Pressboard Covers with Storage Hooks, 9 1/2" x 11", Light Blue</t>
  </si>
  <si>
    <t>Fellowes Superior 10 Outlet Split Surge Protector</t>
  </si>
  <si>
    <t>Cisco CP-7937G Unified IP Conference Station Phone</t>
  </si>
  <si>
    <t>Avery 3 1/2" Diskette Storage Pages, 10/Pack</t>
  </si>
  <si>
    <t>Avery Recycled Flexi-View Covers for Binding Systems</t>
  </si>
  <si>
    <t>Newell 319</t>
  </si>
  <si>
    <t>Hoover Commercial SteamVac</t>
  </si>
  <si>
    <t>Bevis Oval Conference Table, Walnut</t>
  </si>
  <si>
    <t>Dual Level, Single-Width Filing Carts</t>
  </si>
  <si>
    <t>Kensington K72356US Mouse-in-a-Box USB Desktop Mouse</t>
  </si>
  <si>
    <t>Xerox 1905</t>
  </si>
  <si>
    <t>GBC ProClick 150 Presentation Binding System</t>
  </si>
  <si>
    <t>Manco Dry-Lighter Erasable Highlighter</t>
  </si>
  <si>
    <t>Wilson Jones Turn Tabs Binder Tool for Ring Binders</t>
  </si>
  <si>
    <t>Lexmark MX611dhe Monochrome Laser Printer</t>
  </si>
  <si>
    <t>Zipper Ring Binder Pockets</t>
  </si>
  <si>
    <t>Eldon Fold 'N Roll Cart System</t>
  </si>
  <si>
    <t>Tennsco Commercial Shelving</t>
  </si>
  <si>
    <t>Acme Galleria Hot Forged Steel Scissors with Colored Handles</t>
  </si>
  <si>
    <t>Staples</t>
  </si>
  <si>
    <t>Balt Solid Wood Round Tables</t>
  </si>
  <si>
    <t>Ibico Hi-Tech Manual Binding System</t>
  </si>
  <si>
    <t>Xerox 195</t>
  </si>
  <si>
    <t>Flat Face Poster Frame</t>
  </si>
  <si>
    <t>Staple envelope</t>
  </si>
  <si>
    <t>GBC Ibimaster 500 Manual ProClick Binding System</t>
  </si>
  <si>
    <t>Xerox 23</t>
  </si>
  <si>
    <t>Hunt Boston Vacuum Mount KS Pencil Sharpener</t>
  </si>
  <si>
    <t>Martin Yale Chadless Opener Electric Letter Opener</t>
  </si>
  <si>
    <t>Hon Metal Bookcases, Black</t>
  </si>
  <si>
    <t>Tyvek  Top-Opening Peel &amp; Seel Envelopes, Plain White</t>
  </si>
  <si>
    <t>Sannysis Cute Owl Design Soft Skin Case Cover for Samsung Galaxy S4</t>
  </si>
  <si>
    <t>Imation 8GB Mini TravelDrive USB 2.0 Flash Drive</t>
  </si>
  <si>
    <t>Mobile Personal File Cube</t>
  </si>
  <si>
    <t>#10- 4 1/8" x 9 1/2" Security-Tint Envelopes</t>
  </si>
  <si>
    <t>Xerox 1931</t>
  </si>
  <si>
    <t>iHome FM Clock Radio with Lightning Dock</t>
  </si>
  <si>
    <t>Ibico Presentation Index for Binding Systems</t>
  </si>
  <si>
    <t>Avery Durable Slant Ring Binders With Label Holder</t>
  </si>
  <si>
    <t>Xerox 19</t>
  </si>
  <si>
    <t>Tenex Personal Project File with Scoop Front Design, Black</t>
  </si>
  <si>
    <t>Bagged Rubber Bands</t>
  </si>
  <si>
    <t>ARKON Windshield Dashboard Air Vent Car Mount Holder</t>
  </si>
  <si>
    <t>Staple magnet</t>
  </si>
  <si>
    <t>Imation USB 2.0 Swivel Flash Drive USB flash drive - 4 GB - Pink</t>
  </si>
  <si>
    <t>Xerox 188</t>
  </si>
  <si>
    <t>Microsoft Sculpt Comfort Mouse</t>
  </si>
  <si>
    <t>DAX Charcoal/Nickel-Tone Document Frame, 5 x 7</t>
  </si>
  <si>
    <t>Belkin F9M820V08 8 Outlet Surge</t>
  </si>
  <si>
    <t>Honeywell Enviracaire Portable HEPA Air Cleaner for 17' x 22' Room</t>
  </si>
  <si>
    <t>Telephone Message Books with Fax/Mobile Section, 5 1/2" x 3 3/16"</t>
  </si>
  <si>
    <t>Newell 347</t>
  </si>
  <si>
    <t>Wilson Jones Ledger-Size, Piano-Hinge Binder, 2", Blue</t>
  </si>
  <si>
    <t>Logitech 910-002974 M325 Wireless Mouse for Web Scrolling</t>
  </si>
  <si>
    <t>Maxell 74 Minute CDR, 10/Pack</t>
  </si>
  <si>
    <t>Acco D-Ring Binder w/DublLock</t>
  </si>
  <si>
    <t>Eldon Expressions Wood and Plastic Desk Accessories, Cherry Wood</t>
  </si>
  <si>
    <t>Lesro Sheffield Collection Coffee Table, End Table, Center Table, Corner Table</t>
  </si>
  <si>
    <t>GBC DocuBind P400 Electric Binding System</t>
  </si>
  <si>
    <t>Office Star Flex Back Scooter Chair with Aluminum Finish Frame</t>
  </si>
  <si>
    <t>TOPS Money Receipt Book, Consecutively Numbered in Red,</t>
  </si>
  <si>
    <t>Avery 510</t>
  </si>
  <si>
    <t>Wilson Electronics DB Pro Signal Booster</t>
  </si>
  <si>
    <t>12-1/2 Diameter Round Wall Clock</t>
  </si>
  <si>
    <t>Global Comet Stacking Arm Chair</t>
  </si>
  <si>
    <t>Strathmore Photo Mount Cards</t>
  </si>
  <si>
    <t>Xerox 191</t>
  </si>
  <si>
    <t>Xerox 1881</t>
  </si>
  <si>
    <t>Avanti 4.4 Cu. Ft. Refrigerator</t>
  </si>
  <si>
    <t>Poly String Tie Envelopes</t>
  </si>
  <si>
    <t>Global Deluxe Steno Chair</t>
  </si>
  <si>
    <t>RCA Visys Integrated PBX 8-Line Router</t>
  </si>
  <si>
    <t>Staples in misc. colors</t>
  </si>
  <si>
    <t>Panasonic KX-TG9541B DECT 6.0 Digital 2-Line Expandable Cordless Phone With Digital Answering System</t>
  </si>
  <si>
    <t>Newell 326</t>
  </si>
  <si>
    <t>Avery File Folder Labels</t>
  </si>
  <si>
    <t>Carina Double Wide Media Storage Towers in Natural &amp; Black</t>
  </si>
  <si>
    <t>Logitech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</si>
  <si>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</si>
  <si>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</si>
  <si>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</si>
  <si>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</si>
  <si>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Fellowes Mobile File Cart, Black</t>
  </si>
  <si>
    <t>GBC Recycled VeloBinder Covers</t>
  </si>
  <si>
    <t>Avery Durable Binders</t>
  </si>
  <si>
    <t>Logitech G19 Programmable Gaming Keyboard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</si>
  <si>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</si>
  <si>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</si>
  <si>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</si>
  <si>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Airmail Envelopes</t>
  </si>
  <si>
    <t>Canon Image Class D660 Copier</t>
  </si>
  <si>
    <t>Advantus Rolling Storage Box</t>
  </si>
  <si>
    <t>Great White Multi-Use Recycled Paper (20Lb. and 84 Bright)</t>
  </si>
  <si>
    <t>Tennsco Single-Tier Lockers</t>
  </si>
  <si>
    <t>Newell 348</t>
  </si>
  <si>
    <t>Balt Solid Wood Rectangular Table</t>
  </si>
  <si>
    <t>Pressboard Hanging Data Binders for Unburst Sheets</t>
  </si>
  <si>
    <t>Xerox 212</t>
  </si>
  <si>
    <t>Xerox 192</t>
  </si>
  <si>
    <t>Griffin GC17055 Auxiliary Audio Cable</t>
  </si>
  <si>
    <t>Logitech Wireless Anywhere Mouse MX for PC and Mac</t>
  </si>
  <si>
    <t>Wilson Jones data.warehouse D-Ring Binders with DublLock</t>
  </si>
  <si>
    <t>Revere Boxed Rubber Bands by Revere</t>
  </si>
  <si>
    <t>Acco Six-Outlet Power Strip, 4' Cord Length</t>
  </si>
  <si>
    <t>Ibico EB-19 Dual Function Manual Binding System</t>
  </si>
  <si>
    <t>Jensen SMPS-640 - speaker phone</t>
  </si>
  <si>
    <t>Newell 311</t>
  </si>
  <si>
    <t>Avery Poly Binder Pockets</t>
  </si>
  <si>
    <t>SimpliFile Personal File, Black Granite, 15w x 6-15/16d x 11-1/4h</t>
  </si>
  <si>
    <t>Binder Clips by OIC</t>
  </si>
  <si>
    <t>Artistic Insta-Plaque</t>
  </si>
  <si>
    <t>Samsung Galaxy Mega 6.3</t>
  </si>
  <si>
    <t>Newell 312</t>
  </si>
  <si>
    <t xml:space="preserve">Anker Ultrathin Bluetooth Wireless Keyboard Aluminum Cover with Stand </t>
  </si>
  <si>
    <t>JBL Micro Wireless Portable Bluetooth Speaker</t>
  </si>
  <si>
    <t>Logitech G13 Programmable Gameboard with LCD Display</t>
  </si>
  <si>
    <t>DAX Executive Solid Wood Document Frame, Desktop or Hang, Mahogany, 5 x 7</t>
  </si>
  <si>
    <t>Xerox 1934</t>
  </si>
  <si>
    <t>Plantronics Audio 478 Stereo USB Headset</t>
  </si>
  <si>
    <t>GBC Clear Cover, 8-1/2 x 11, unpunched, 25 covers per pack</t>
  </si>
  <si>
    <t>Newell 339</t>
  </si>
  <si>
    <t>Acme Office Executive Series Stainless Steel Trimmers</t>
  </si>
  <si>
    <t>Clear Mylar Reinforcing Strips</t>
  </si>
  <si>
    <t>Permanent Self-Adhesive File Folder Labels for Typewriters by Universal</t>
  </si>
  <si>
    <t>Premium Writing Pencils, Soft, #2 by Central Association for the Blind</t>
  </si>
  <si>
    <t>Xerox 1997</t>
  </si>
  <si>
    <t>Xerox 1887</t>
  </si>
  <si>
    <t>DAX Value U-Channel Document Frames, Easel Back</t>
  </si>
  <si>
    <t>Cardinal EasyOpen D-Ring Binders</t>
  </si>
  <si>
    <t>AT&amp;T 841000 Phone</t>
  </si>
  <si>
    <t>DXL Angle-View Binders with Locking Rings by Samsill</t>
  </si>
  <si>
    <t>Boston 19500 Mighty Mite Electric Pencil Sharpener</t>
  </si>
  <si>
    <t>C-Line Magnetic Cubicle Keepers, Clear Polypropylene</t>
  </si>
  <si>
    <t>Space Solutions Commercial Steel Shelving</t>
  </si>
  <si>
    <t>Crayola Anti Dust Chalk, 12/Pack</t>
  </si>
  <si>
    <t>Newell 338</t>
  </si>
  <si>
    <t>Novimex Swivel Fabric Task Chair</t>
  </si>
  <si>
    <t>Office Star - Contemporary Task Swivel chair with 2-way adjustable arms, Plum</t>
  </si>
  <si>
    <t>Balt Split Level Computer Training Table</t>
  </si>
  <si>
    <t>Acme Tagit Stainless Steel Antibacterial Scissors</t>
  </si>
  <si>
    <t>Samsung Galaxy S4</t>
  </si>
  <si>
    <t>Quartet Omega Colored Chalk, 12/Pack</t>
  </si>
  <si>
    <t>Mitel 5320 IP Phone VoIP phone</t>
  </si>
  <si>
    <t>Anker 36W 4-Port USB Wall Charger Travel Power Adapter for iPhone 5s 5c 5</t>
  </si>
  <si>
    <t>Xerox 1916</t>
  </si>
  <si>
    <t>Howard Miller 11-1/2" Diameter Grantwood Wall Clock</t>
  </si>
  <si>
    <t>Multi-Use Personal File Cart and Caster Set, Three Stacking Bins</t>
  </si>
  <si>
    <t>Harmony HEPA Quiet Air Purifiers</t>
  </si>
  <si>
    <t>Eldon Antistatic Chair Mats for Low to Medium Pile Carpets</t>
  </si>
  <si>
    <t>GBC Durable Plastic Covers</t>
  </si>
  <si>
    <t>HP Officejet Pro 8600 e-All-In-One Printer, Copier, Scanner, Fax</t>
  </si>
  <si>
    <t>Fellowes Black Plastic Comb Bindings</t>
  </si>
  <si>
    <t>Hot File 7-Pocket, Floor Stand</t>
  </si>
  <si>
    <t>14-7/8 x 11 Blue Bar Computer Printout Paper</t>
  </si>
  <si>
    <t>Xerox 2</t>
  </si>
  <si>
    <t>Xerox 1893</t>
  </si>
  <si>
    <t>Eldon Cleatmat Chair Mats for Medium Pile Carpets</t>
  </si>
  <si>
    <t>Xerox 189</t>
  </si>
  <si>
    <t>Belkin 6 Outlet Metallic Surge Strip</t>
  </si>
  <si>
    <t>Sanyo Counter Height Refrigerator with Crisper, 3.6 Cubic Foot, Stainless Steel/Black</t>
  </si>
  <si>
    <t>Geemarc AmpliPOWER60</t>
  </si>
  <si>
    <t>Bush Andora Bookcase, Maple/Graphite Gray Finish</t>
  </si>
  <si>
    <t>Atlantic Metals Mobile 5-Shelf Bookcases, Custom Colors</t>
  </si>
  <si>
    <t>Grandstream GXP1160 VoIP phone</t>
  </si>
  <si>
    <t>Acco Recycled 2" Capacity Laser Printer Hanging Data Binders</t>
  </si>
  <si>
    <t>Xerox 1947</t>
  </si>
  <si>
    <t>Razer Kraken PRO Over Ear PC and Music Headset</t>
  </si>
  <si>
    <t>Stacking Trays by OIC</t>
  </si>
  <si>
    <t>Belkin F9S820V06 8 Outlet Surge</t>
  </si>
  <si>
    <t>Master Big Foot Doorstop, Beige</t>
  </si>
  <si>
    <t>Sensible Storage WireTech Storage Systems</t>
  </si>
  <si>
    <t>HP Office Recycled Paper (20Lb. and 87 Bright)</t>
  </si>
  <si>
    <t>Acco Pressboard Covers with Storage Hooks, 14 7/8" x 11", Dark Blue</t>
  </si>
  <si>
    <t>Global Leather and Oak Executive Chair, Black</t>
  </si>
  <si>
    <t>Logitech B530 USB Headset - headset - Full size, Binaural</t>
  </si>
  <si>
    <t>Avery 473</t>
  </si>
  <si>
    <t>Deflect-o RollaMat Studded, Beveled Mat for Medium Pile Carpeting</t>
  </si>
  <si>
    <t>Razer Tiamat Over Ear 7.1 Surround Sound PC Gaming Headset</t>
  </si>
  <si>
    <t>Tenex Contemporary Contur Chairmats for Low and Medium Pile Carpet, Computer, 39" x 49"</t>
  </si>
  <si>
    <t>Acme Elite Stainless Steel Scissors</t>
  </si>
  <si>
    <t>Barrel Sharpener</t>
  </si>
  <si>
    <t>Xerox 1903</t>
  </si>
  <si>
    <t>Holmes Replacement Filter for HEPA Air Cleaner, Medium Room</t>
  </si>
  <si>
    <t>Xerox 1912</t>
  </si>
  <si>
    <t>Fellowes Staxonsteel Drawer Files</t>
  </si>
  <si>
    <t>Belkin SportFit Armband For iPhone 5s/5c, Fuchsia</t>
  </si>
  <si>
    <t>Vinyl Coated Wire Paper Clips in Organizer Box, 800/Box</t>
  </si>
  <si>
    <t>Global Deluxe High-Back Manager's Chair</t>
  </si>
  <si>
    <t>Tennsco Lockers, Gray</t>
  </si>
  <si>
    <t>Executive Impressions 13" Clairmont Wall Clock</t>
  </si>
  <si>
    <t>Chromcraft 48" x 96" Racetrack Double Pedestal Table</t>
  </si>
  <si>
    <t>LG Exalt</t>
  </si>
  <si>
    <t>KLD Oscar II Style Snap-on Ultra Thin Side Flip Synthetic Leather Cover Case for HTC One HTC M7</t>
  </si>
  <si>
    <t>Adams Telephone Message Book W/Dividers/Space For Phone Numbers, 5 1/4"X8 1/2", 300/Messages</t>
  </si>
  <si>
    <t>Fellowes Bases and Tops For Staxonsteel/High-Stak Systems</t>
  </si>
  <si>
    <t>Sauder Mission Library with Doors, Fruitwood Finish</t>
  </si>
  <si>
    <t>Dixon Ticonderoga Core-Lock Colored Pencils, 48-Color Set</t>
  </si>
  <si>
    <t>Jawbone MINI JAMBOX Wireless Bluetooth Speaker</t>
  </si>
  <si>
    <t>SAFCO PlanMaster Boards, 60w x 37-1/2d, White Melamine</t>
  </si>
  <si>
    <t>Acco Pressboard Covers with Storage Hooks, 14 7/8" x 11", Executive Red</t>
  </si>
  <si>
    <t>Vtech CS6719</t>
  </si>
  <si>
    <t>Global Commerce Series Low-Back Swivel/Tilt Chairs</t>
  </si>
  <si>
    <t>Memorex Micro Travel Drive 32 GB</t>
  </si>
  <si>
    <t>Avery 493</t>
  </si>
  <si>
    <t>Kensington 7 Outlet MasterPiece Power Center</t>
  </si>
  <si>
    <t>Rubber Band Ball</t>
  </si>
  <si>
    <t>Newell 320</t>
  </si>
  <si>
    <t>Tensor Computer Mounted Lamp</t>
  </si>
  <si>
    <t>Executive Impressions 14" Contract Wall Clock</t>
  </si>
  <si>
    <t>Logitech Mobile Speakerphone P710e - speaker phone</t>
  </si>
  <si>
    <t>Newell 351</t>
  </si>
  <si>
    <t>Disposable Triple-Filter Dust Bags</t>
  </si>
  <si>
    <t>Toshiba IPT2010-SD IP Telephone</t>
  </si>
  <si>
    <t>Microsoft Wireless Mobile Mouse 4000</t>
  </si>
  <si>
    <t>Fellowes Bankers Box Stor/Drawer Steel Plus</t>
  </si>
  <si>
    <t>Letter or Legal Size Expandable Poly String Tie Envelopes</t>
  </si>
  <si>
    <t>Howard Miller 13" Diameter Pewter Finish Round Wall Clock</t>
  </si>
  <si>
    <t>KI Adjustable-Height Table</t>
  </si>
  <si>
    <t>Microsoft Natural Keyboard Elite</t>
  </si>
  <si>
    <t>Ampad Phone Message Book, Recycled, 400 Message Capacity, 5 ¾” x 11”</t>
  </si>
  <si>
    <t>Alliance Rubber Bands</t>
  </si>
  <si>
    <t>invisibleSHIELD by ZAGG Smudge-Free Screen Protector</t>
  </si>
  <si>
    <t>ACCOHIDE 3-Ring Binder, Blue, 1"</t>
  </si>
  <si>
    <t>Xerox 1988</t>
  </si>
  <si>
    <t>Plantronics CS510 - Over-the-Head monaural Wireless Headset System</t>
  </si>
  <si>
    <t>Avery Hidden Tab Dividers for Binding Systems</t>
  </si>
  <si>
    <t>Global High-Back Leather Tilter, Burgundy</t>
  </si>
  <si>
    <t>Bush Westfield Collection Bookcases, Medium Cherry Finish</t>
  </si>
  <si>
    <t>Kensington 6 Outlet Guardian Standard Surge Protector</t>
  </si>
  <si>
    <t>GuestStacker Chair with Chrome Finish Legs</t>
  </si>
  <si>
    <t>Xerox 1908</t>
  </si>
  <si>
    <t>Xerox 1924</t>
  </si>
  <si>
    <t>Tripp Lite TLP810NET Broadband Surge for Modem/Fax</t>
  </si>
  <si>
    <t>Tenex B1-RE Series Chair Mats for Low Pile Carpets</t>
  </si>
  <si>
    <t>Aastra 57i VoIP phone</t>
  </si>
  <si>
    <t>It's Hot Message Books with Stickers, 2 3/4" x 5"</t>
  </si>
  <si>
    <t>Southworth 100% Résumé Paper, 24lb.</t>
  </si>
  <si>
    <t>Staple remover</t>
  </si>
  <si>
    <t>Panasonic KX TS3282B Corded phone</t>
  </si>
  <si>
    <t>Newell 34</t>
  </si>
  <si>
    <t>Bush Cubix Collection Bookcases, Fully Assembled</t>
  </si>
  <si>
    <t>Easy-staple paper</t>
  </si>
  <si>
    <t>GBC VeloBind Cover Sets</t>
  </si>
  <si>
    <t>Catalog Binders with Expanding Posts</t>
  </si>
  <si>
    <t>Acco Suede Grain Vinyl Round Ring Binder</t>
  </si>
  <si>
    <t>Acco 6 Outlet Guardian Premium Surge Suppressor</t>
  </si>
  <si>
    <t>Important Message Pads, 50 4-1/4 x 5-1/2 Forms per Pad</t>
  </si>
  <si>
    <t>Global Ergonomic Managers Chair</t>
  </si>
  <si>
    <t>Logitech Wireless Marathon Mouse M705</t>
  </si>
  <si>
    <t>Imation Bio 2GB USB Flash Drive Imation Corp</t>
  </si>
  <si>
    <t>Novimex Turbo Task Chair</t>
  </si>
  <si>
    <t>American Pencil</t>
  </si>
  <si>
    <t>White Envelopes, White Envelopes with Clear Poly Window</t>
  </si>
  <si>
    <t>Howard Miller 13-3/4" Diameter Brushed Chrome Round Wall Clock</t>
  </si>
  <si>
    <t>Avery 497</t>
  </si>
  <si>
    <t>Crate-A-Files</t>
  </si>
  <si>
    <t>Avery 515</t>
  </si>
  <si>
    <t>Advantus Map Pennant Flags and Round Head Tacks</t>
  </si>
  <si>
    <t>Recycled Steel Personal File for Standard File Folders</t>
  </si>
  <si>
    <t>GBC ProClick Punch Binding System</t>
  </si>
  <si>
    <t>Avery Hole Reinforcements</t>
  </si>
  <si>
    <t>Laser &amp; Ink Jet Business Envelopes</t>
  </si>
  <si>
    <t>Logitech G700s Rechargeable Gaming Mouse</t>
  </si>
  <si>
    <t>Kensington 7 Outlet MasterPiece HOMEOFFICE Power Control Center</t>
  </si>
  <si>
    <t>Ibico Recycled Linen-Style Covers</t>
  </si>
  <si>
    <t>Xerox 1883</t>
  </si>
  <si>
    <t>Westinghouse Floor Lamp with Metal Mesh Shade, Black</t>
  </si>
  <si>
    <t>Economy Binders</t>
  </si>
  <si>
    <t>File Shuttle II and Handi-File, Black</t>
  </si>
  <si>
    <t>Avery 49</t>
  </si>
  <si>
    <t>Digium D40 VoIP phone</t>
  </si>
  <si>
    <t>Avery 511</t>
  </si>
  <si>
    <t>Newell 345</t>
  </si>
  <si>
    <t>Logitech Desktop MK120 Mouse and keyboard Combo</t>
  </si>
  <si>
    <t>3M Organizer Strips</t>
  </si>
  <si>
    <t>Avery 4027 File Folder Labels for Dot Matrix Printers, 5000 Labels per Box, White</t>
  </si>
  <si>
    <t>Belkin 8 Outlet SurgeMaster II Gold Surge Protector with Phone Protection</t>
  </si>
  <si>
    <t>Avery Address/Shipping Labels for Typewriters, 4" x 2"</t>
  </si>
  <si>
    <t>Green Canvas Binder for 8-1/2" x 14" Sheets</t>
  </si>
  <si>
    <t>Newell 323</t>
  </si>
  <si>
    <t>Logitech Wireless Headset h800</t>
  </si>
  <si>
    <t>Hewlett Packard 310 Color Digital Copier</t>
  </si>
  <si>
    <t>Newell 337</t>
  </si>
  <si>
    <t>Cisco SPA525G2 IP Phone - Wireless</t>
  </si>
  <si>
    <t>Westinghouse Clip-On Gooseneck Lamps</t>
  </si>
  <si>
    <t>Howard Miller Distant Time Traveler Alarm Clock</t>
  </si>
  <si>
    <t>Nokia Lumia 521 (T-Mobile)</t>
  </si>
  <si>
    <t>Euro Pro Shark Stick Mini Vacuum</t>
  </si>
  <si>
    <t>Heavy-Duty E-Z-D Binders</t>
  </si>
  <si>
    <t>Maxell LTO Ultrium - 800 GB</t>
  </si>
  <si>
    <t>Bevis Traditional Conference Table Top, Plinth Base</t>
  </si>
  <si>
    <t>GBC DocuBind TL200 Manual Binding Machine</t>
  </si>
  <si>
    <t>Nortel Meridian M5316 Digital phone</t>
  </si>
  <si>
    <t>Avery Trapezoid Ring Binder, 3" Capacity, Black, 1040 sheets</t>
  </si>
  <si>
    <t>Desktop 3-Pocket Hot File</t>
  </si>
  <si>
    <t>Memorex Mini Travel Drive 16 GB USB 2.0 Flash Drive</t>
  </si>
  <si>
    <t>Executive Impressions 16-1/2" Circular Wall Clock</t>
  </si>
  <si>
    <t>PowerGen Dual USB Car Charger</t>
  </si>
  <si>
    <t>Avery Non-Stick Binders</t>
  </si>
  <si>
    <t>Multicolor Computer Printout Paper</t>
  </si>
  <si>
    <t>OtterBox Commuter Series Case - iPhone 5 &amp; 5s</t>
  </si>
  <si>
    <t>Logitech Wireless Headset H600 Over-The-Head Design</t>
  </si>
  <si>
    <t>Xerox 230</t>
  </si>
  <si>
    <t>Xerox 1885</t>
  </si>
  <si>
    <t>Col-Erase Pencils with Erasers</t>
  </si>
  <si>
    <t>Eberhard Faber 3 1/2" Golf Pencils</t>
  </si>
  <si>
    <t>SAFCO Folding Chair Trolley</t>
  </si>
  <si>
    <t>Hewlett Packard LaserJet 3310 Copier</t>
  </si>
  <si>
    <t>Xerox 1993</t>
  </si>
  <si>
    <t>Plantronics MX500i Earset</t>
  </si>
  <si>
    <t>Hoover Commercial Lightweight Upright Vacuum with E-Z Empty Dirt Cup</t>
  </si>
  <si>
    <t>Avery Arch Ring Binders</t>
  </si>
  <si>
    <t>Panasonic KX T7736-B Digital phone</t>
  </si>
  <si>
    <t>Seidio BD2-HK3IPH5-BK DILEX Case and Holster Combo for Apple iPhone 5/5s - Black</t>
  </si>
  <si>
    <t>Xerox 214</t>
  </si>
  <si>
    <t>Safco Commercial Shelving</t>
  </si>
  <si>
    <t>Mitel MiVoice 5330e IP Phone</t>
  </si>
  <si>
    <t>OtterBox Defender Series Case - iPhone 5c</t>
  </si>
  <si>
    <t>Nu-Dell Oak Frame</t>
  </si>
  <si>
    <t>Avery Binding System Hidden Tab Executive Style Index Sets</t>
  </si>
  <si>
    <t>XtraLife ClearVue Slant-D Ring Binder, White, 3"</t>
  </si>
  <si>
    <t>Bionaire Personal Warm Mist Humidifier/Vaporizer</t>
  </si>
  <si>
    <t>Avery 496</t>
  </si>
  <si>
    <t>Acco Pressboard Covers with Storage Hooks, 9 1/2" x 11", Executive Red</t>
  </si>
  <si>
    <t>SanDisk Cruzer 32 GB USB Flash Drive</t>
  </si>
  <si>
    <t>Kingston Digital DataTraveler 16GB USB 2.0</t>
  </si>
  <si>
    <t>Neat Ideas Personal Hanging Folder Files, Black</t>
  </si>
  <si>
    <t>Avery 486</t>
  </si>
  <si>
    <t>Lumber Crayons</t>
  </si>
  <si>
    <t>Tenex File Box, Personal Filing Tote with Lid, Black</t>
  </si>
  <si>
    <t>GBC Plasticlear Binding Covers</t>
  </si>
  <si>
    <t>Xerox 1900</t>
  </si>
  <si>
    <t>Avery 474</t>
  </si>
  <si>
    <t>Hoover Portapower Portable Vacuum</t>
  </si>
  <si>
    <t>Verbatim 25 GB 6x Blu-ray Single Layer Recordable Disc, 10/Pack</t>
  </si>
  <si>
    <t>Howard Miller 13-1/2" Diameter Rosebrook Wall Clock</t>
  </si>
  <si>
    <t>Peel-Off China Markers</t>
  </si>
  <si>
    <t>Deluxe Chalkboard Eraser Cleaner</t>
  </si>
  <si>
    <t>Pyle PMP37LED</t>
  </si>
  <si>
    <t>Prang Drawing Pencil Set</t>
  </si>
  <si>
    <t>Peel &amp; Seel Envelopes</t>
  </si>
  <si>
    <t>Fellowes Basic Home/Office Series Surge Protectors</t>
  </si>
  <si>
    <t>Avery 506</t>
  </si>
  <si>
    <t>Logitech K350 2.4Ghz Wireless Keyboard</t>
  </si>
  <si>
    <t>SpineVue Locking Slant-D Ring Binders by Cardinal</t>
  </si>
  <si>
    <t>Chromcraft Round Conference Tables</t>
  </si>
  <si>
    <t>Advantus Employee of the Month Certificate Frame, 11 x 13-1/2</t>
  </si>
  <si>
    <t>Belkin 5 Outlet SurgeMaster Power Centers</t>
  </si>
  <si>
    <t>Dixon Ticonderoga Pencils</t>
  </si>
  <si>
    <t>GE General Purpose, Extra Long Life, Showcase &amp; Floodlight Incandescent Bulbs</t>
  </si>
  <si>
    <t>Imation Secure Drive + Hardware Encrypted USB flash drive - 16 GB</t>
  </si>
  <si>
    <t>WD My Passport Ultra 2TB Portable External Hard Drive</t>
  </si>
  <si>
    <t>Eaton Premium Continuous-Feed Paper, 25% Cotton, Letter Size, White, 1000 Shts/Box</t>
  </si>
  <si>
    <t>Xerox 196</t>
  </si>
  <si>
    <t>Adjustable Depth Letter/Legal Cart</t>
  </si>
  <si>
    <t>Avery Durable Plastic 1" Binders</t>
  </si>
  <si>
    <t>Pressboard Data Binders by Wilson Jones</t>
  </si>
  <si>
    <t>APC 7 Outlet Network SurgeArrest Surge Protector</t>
  </si>
  <si>
    <t>Colored Envelopes</t>
  </si>
  <si>
    <t>C-Line Peel &amp; Stick Add-On Filing Pockets, 8-3/4 x 5-1/8, 10/Pack</t>
  </si>
  <si>
    <t>Super Bands, 12/Pack</t>
  </si>
  <si>
    <t>Eldon Expressions Wood Desk Accessories, Oak</t>
  </si>
  <si>
    <t>Fellowes Officeware Wire Shelving</t>
  </si>
  <si>
    <t>DAX Natural Wood-Tone Poster Frame</t>
  </si>
  <si>
    <t>Xerox 1980</t>
  </si>
  <si>
    <t>Premier Electric Letter Opener</t>
  </si>
  <si>
    <t>Cardinal Slant-D Ring Binder, Heavy Gauge Vinyl</t>
  </si>
  <si>
    <t>Acco Perma 4000 Stacking Storage Drawers</t>
  </si>
  <si>
    <t>Xerox 1898</t>
  </si>
  <si>
    <t>Canon imageCLASS 2200 Advanced Copier</t>
  </si>
  <si>
    <t>Xerox 1888</t>
  </si>
  <si>
    <t>Memorex Micro Travel Drive 8 GB</t>
  </si>
  <si>
    <t>#10 White Business Envelopes,4 1/8 x 9 1/2</t>
  </si>
  <si>
    <t>Samsung Galaxy S4 Mini</t>
  </si>
  <si>
    <t>Global Airflow Leather Mesh Back Chair, Black</t>
  </si>
  <si>
    <t>Iris Project Case</t>
  </si>
  <si>
    <t>Panasonic KX-TG9471B</t>
  </si>
  <si>
    <t>Acco Smartsocket Color-Coded Six-Outlet AC Adapter Model Surge Protectors</t>
  </si>
  <si>
    <t>Clearsounds A400</t>
  </si>
  <si>
    <t>Global Highback Leather Tilter in Burgundy</t>
  </si>
  <si>
    <t>Lifetime Advantage Folding Chairs, 4/Carton</t>
  </si>
  <si>
    <t>Xerox 1953</t>
  </si>
  <si>
    <t>Newell 309</t>
  </si>
  <si>
    <t>Sauder Forest Hills Library with Doors, Woodland Oak Finish</t>
  </si>
  <si>
    <t>Boston 1827 Commercial Additional Cutter, Drive Gear &amp; Gear Rack for 1606</t>
  </si>
  <si>
    <t>Career Cubicle Clock, 8 1/4", Black</t>
  </si>
  <si>
    <t>Memorex Froggy Flash Drive 8 GB</t>
  </si>
  <si>
    <t>Sony 64GB Class 10 Micro SDHC R40 Memory Card</t>
  </si>
  <si>
    <t>Canon PC1080F Personal Copier</t>
  </si>
  <si>
    <t>Xerox 1951</t>
  </si>
  <si>
    <t>Eldon Expressions Punched Metal &amp; Wood Desk Accessories, Black &amp; Cherry</t>
  </si>
  <si>
    <t>Xerox 1982</t>
  </si>
  <si>
    <t>Xerox 1913</t>
  </si>
  <si>
    <t>Unpadded Memo Slips</t>
  </si>
  <si>
    <t>Avery 05222 Permanent Self-Adhesive File Folder Labels for Typewriters, on Rolls, White, 250/Roll</t>
  </si>
  <si>
    <t>GBC Instant Index System for Binding Systems</t>
  </si>
  <si>
    <t>Carina Mini System Audio Rack, Model AR050B</t>
  </si>
  <si>
    <t>BPI Conference Tables</t>
  </si>
  <si>
    <t>Panasonic KX - TS880B Telephone</t>
  </si>
  <si>
    <t>Ampad Gold Fibre Wirebound Steno Books, 6" x 9", Gregg Ruled</t>
  </si>
  <si>
    <t xml:space="preserve">Kensington SlimBlade Notebook Wireless Mouse with Nano Receiver </t>
  </si>
  <si>
    <t>Global Leather &amp; Oak Executive Chair, Burgundy</t>
  </si>
  <si>
    <t>Canvas Sectional Post Binders</t>
  </si>
  <si>
    <t>Xerox 1975</t>
  </si>
  <si>
    <t>DAX Black Cherry Wood-Tone Poster Frame</t>
  </si>
  <si>
    <t>StarTech.com 10/100 VDSL2 Ethernet Extender Kit</t>
  </si>
  <si>
    <t>Xerox 1968</t>
  </si>
  <si>
    <t>Xerox 1977</t>
  </si>
  <si>
    <t>Stackable Trays</t>
  </si>
  <si>
    <t>Adjustable Personal File Tote</t>
  </si>
  <si>
    <t>Multimedia Mailers</t>
  </si>
  <si>
    <t>Advantus 10-Drawer Portable Organizer, Chrome Metal Frame, Smoke Drawers</t>
  </si>
  <si>
    <t>AT&amp;T CL83451 4-Handset Telephone</t>
  </si>
  <si>
    <t>Bush Mission Pointe Library</t>
  </si>
  <si>
    <t>Polycom SoundPoint IP 450 VoIP phone</t>
  </si>
  <si>
    <t>Rediform S.O.S. 1-Up Phone Message Bk, 4-1/4x3-1/16 Bk, 1 Form/Pg, 40 Messages/Bk, 3/Pk</t>
  </si>
  <si>
    <t>Spigen Samsung Galaxy S5 Case Wallet</t>
  </si>
  <si>
    <t>Advantus Panel Wall Certificate Holder - 8.5x11</t>
  </si>
  <si>
    <t>SlimView Poly Binder, 3/8"</t>
  </si>
  <si>
    <t>Ibico Recycled Grain-Textured Covers</t>
  </si>
  <si>
    <t>Fellowes 8 Outlet Superior Workstation Surge Protector w/o Phone/Fax/Modem Protection</t>
  </si>
  <si>
    <t>Hanging Personal Folder File</t>
  </si>
  <si>
    <t>Avery 498</t>
  </si>
  <si>
    <t>Fellowes Binding Cases</t>
  </si>
  <si>
    <t>Safco Value Mate Steel Bookcase, Baked Enamel Finish on Steel, Black</t>
  </si>
  <si>
    <t>Cubify CubeX 3D Printer Double Head Print</t>
  </si>
  <si>
    <t>Wirebound Message Books, Four 2 3/4 x 5 Forms per Page, 200 Sets per Book</t>
  </si>
  <si>
    <t>Mediabridge Sport Armband iPhone 5s</t>
  </si>
  <si>
    <t>Avery 494</t>
  </si>
  <si>
    <t>Staple holder</t>
  </si>
  <si>
    <t>Global Wood Trimmed Manager's Task Chair, Khaki</t>
  </si>
  <si>
    <t>Deflect-o DuraMat Lighweight, Studded, Beveled Mat for Low Pile Carpeting</t>
  </si>
  <si>
    <t>Bevis 44 x 96 Conference Tables</t>
  </si>
  <si>
    <t>NETGEAR N750 Dual Band Wi-Fi Gigabit Router</t>
  </si>
  <si>
    <t>Newell 318</t>
  </si>
  <si>
    <t>Avery 499</t>
  </si>
  <si>
    <t>Staple-based wall hangings</t>
  </si>
  <si>
    <t>Prang Colored Pencils</t>
  </si>
  <si>
    <t>Cisco SPA 502G IP Phone</t>
  </si>
  <si>
    <t>Premier Automatic Letter Opener</t>
  </si>
  <si>
    <t>LG Electronics Tone+ HBS-730 Bluetooth Headset</t>
  </si>
  <si>
    <t>Brown Kraft Recycled Envelopes</t>
  </si>
  <si>
    <t>Bush Advantage Collection Round Conference Table</t>
  </si>
  <si>
    <t>Bretford Rectangular Conference Table Tops</t>
  </si>
  <si>
    <t>Logitech P710e Mobile Speakerphone</t>
  </si>
  <si>
    <t>50 Colored Long Pencils</t>
  </si>
  <si>
    <t>AT&amp;T 1080 Corded phone</t>
  </si>
  <si>
    <t>GBC DocuBind TL300 Electric Binding System</t>
  </si>
  <si>
    <t>Tennsco 16-Compartment Lockers with Coat Rack</t>
  </si>
  <si>
    <t>Black &amp; Decker Filter for Double Action Dustbuster Cordless Vac BLDV7210</t>
  </si>
  <si>
    <t>Xerox 1891</t>
  </si>
  <si>
    <t>Xerox 1942</t>
  </si>
  <si>
    <t>3M Polarizing Task Lamp with Clamp Arm, Light Gray</t>
  </si>
  <si>
    <t>Luxo Professional Combination Clamp-On Lamps</t>
  </si>
  <si>
    <t>Color-Coded Legal Exhibit Labels</t>
  </si>
  <si>
    <t>Bulldog Vacuum Base Pencil Sharpener</t>
  </si>
  <si>
    <t>Computer Printout Paper with Letter-Trim Fine Perforations</t>
  </si>
  <si>
    <t>Office Impressions Heavy Duty Welded Shelving &amp; Multimedia Storage Drawers</t>
  </si>
  <si>
    <t>Avery 48</t>
  </si>
  <si>
    <t>Xerox 1915</t>
  </si>
  <si>
    <t>GBC Recycled Regency Composition Covers</t>
  </si>
  <si>
    <t>Tuf-Vin Binders</t>
  </si>
  <si>
    <t>Wirebound Message Books, Two 4 1/4" x 5" Forms per Page</t>
  </si>
  <si>
    <t>OIC Binder Clips</t>
  </si>
  <si>
    <t>Xerox 1894</t>
  </si>
  <si>
    <t>Logitech MX Performance Wireless Mouse</t>
  </si>
  <si>
    <t>Acco Pressboard Covers with Storage Hooks, 14 7/8" x 11", Light Blue</t>
  </si>
  <si>
    <t>Recycled Steel Personal File for Hanging File Folders</t>
  </si>
  <si>
    <t>Tripp Lite Isotel 6 Outlet Surge Protector with Fax/Modem Protection</t>
  </si>
  <si>
    <t>SanDisk Ultra 64 GB MicroSDHC Class 10 Memory Card</t>
  </si>
  <si>
    <t>Dixon Ticonderoga Erasable Colored Pencil Set, 12-Color</t>
  </si>
  <si>
    <t>Flexible Leather- Look Classic Collection Ring Binder</t>
  </si>
  <si>
    <t>Sterilite Officeware Hinged File Box</t>
  </si>
  <si>
    <t>Kingston Digital DataTraveler 32GB USB 2.0</t>
  </si>
  <si>
    <t>Pencil and Crayon Sharpener</t>
  </si>
  <si>
    <t>Newell 321</t>
  </si>
  <si>
    <t>Storex Dura Pro Binders</t>
  </si>
  <si>
    <t>Xerox 1948</t>
  </si>
  <si>
    <t>Xerox 4200 Series MultiUse Premium Copy Paper (20Lb. and 84 Bright)</t>
  </si>
  <si>
    <t>Translucent Push Pins by OIC</t>
  </si>
  <si>
    <t>Zebra Zazzle Fluorescent Highlighters</t>
  </si>
  <si>
    <t>Sanford Prismacolor Professional Thick Lead Art Pencils, 36-Color Set</t>
  </si>
  <si>
    <t>Acco 3-Hole Punch</t>
  </si>
  <si>
    <t>Bush Westfield Collection Bookcases, Fully Assembled</t>
  </si>
  <si>
    <t>Sauder Cornerstone Collection Library</t>
  </si>
  <si>
    <t>Xerox 1967</t>
  </si>
  <si>
    <t>Faber Castell Col-Erase Pencils</t>
  </si>
  <si>
    <t>Howard Miller 12" Round Wall Clock</t>
  </si>
  <si>
    <t>Xerox 207</t>
  </si>
  <si>
    <t>VariCap6 Expandable Binder</t>
  </si>
  <si>
    <t>Newell 325</t>
  </si>
  <si>
    <t>Belkin 19" Vented Equipment Shelf, Black</t>
  </si>
  <si>
    <t>O'Sullivan Living Dimensions 2-Shelf Bookcases</t>
  </si>
  <si>
    <t>Compact Automatic Electric Letter Opener</t>
  </si>
  <si>
    <t>SanDisk Ultra 16 GB MicroSDHC Class 10 Memory Card</t>
  </si>
  <si>
    <t>Satellite Sectional Post Binders</t>
  </si>
  <si>
    <t>GBC White Gloss Covers, Plain Front</t>
  </si>
  <si>
    <t>Insertable Tab Post Binder Dividers</t>
  </si>
  <si>
    <t>GBC VeloBinder Manual Binding System</t>
  </si>
  <si>
    <t>Cardinal Holdit Business Card Pockets</t>
  </si>
  <si>
    <t>Xerox 225</t>
  </si>
  <si>
    <t>Eldon Executive Woodline II Desk Accessories, Mahogany</t>
  </si>
  <si>
    <t>Avery 517</t>
  </si>
  <si>
    <t>Stockwell Push Pins</t>
  </si>
  <si>
    <t>Logitech Wireless Touch Keyboard K400</t>
  </si>
  <si>
    <t>Carina Media Storage Towers in Natural &amp; Black</t>
  </si>
  <si>
    <t>Computer Room Manger, 14"</t>
  </si>
  <si>
    <t>Sortfiler Multipurpose Personal File Organizer, Black</t>
  </si>
  <si>
    <t>Deluxe Rollaway Locking File with Drawer</t>
  </si>
  <si>
    <t>Executive Impressions 12" Wall Clock</t>
  </si>
  <si>
    <t>DMI Arturo Collection Mission-style Design Wood Chair</t>
  </si>
  <si>
    <t>Master Caster Door Stop, Large Neon Orange</t>
  </si>
  <si>
    <t>Premium Transparent Presentation Covers by GBC</t>
  </si>
  <si>
    <t>Tennsco 6- and 18-Compartment Lockers</t>
  </si>
  <si>
    <t>Wilson Jones Clip &amp; Carry Folder Binder Tool for Ring Binders, Clear</t>
  </si>
  <si>
    <t>Avaya 5410 Digital phone</t>
  </si>
  <si>
    <t>Acco 7-Outlet Masterpiece Power Center, Wihtout Fax/Phone Line Protection</t>
  </si>
  <si>
    <t>UniKeep View Case Binders</t>
  </si>
  <si>
    <t>Verbatim Slim CD and DVD Storage Cases, 50/Pack</t>
  </si>
  <si>
    <t>Eldon Advantage Foldable Chair Mats for Low Pile Carpets</t>
  </si>
  <si>
    <t>Global Fabric Manager's Chair, Dark Gray</t>
  </si>
  <si>
    <t>Logitech LS21 Speaker System - PC Multimedia - 2.1-CH - Wired</t>
  </si>
  <si>
    <t>Eldon Stackable Tray, Side-Load, Legal, Smoke</t>
  </si>
  <si>
    <t>Tenex 46" x 60" Computer Anti-Static Chairmat, Rectangular Shaped</t>
  </si>
  <si>
    <t>Tennsco Double-Tier Lockers</t>
  </si>
  <si>
    <t>Acme 10" Easy Grip Assistive Scissors</t>
  </si>
  <si>
    <t>TRENDnet 56K USB 2.0 Phone, Internet and Fax Modem</t>
  </si>
  <si>
    <t>Fiskars Softgrip Scissors</t>
  </si>
  <si>
    <t>XtraLife ClearVue Slant-D Ring Binders by Cardinal</t>
  </si>
  <si>
    <t>DAX Two-Tone Rosewood/Black Document Frame, Desktop, 5 x 7</t>
  </si>
  <si>
    <t>Eldon 500 Class Desk Accessories</t>
  </si>
  <si>
    <t>O'Sullivan 4-Shelf Bookcase in Odessa Pine</t>
  </si>
  <si>
    <t>Maxell 4.7GB DVD-R</t>
  </si>
  <si>
    <t>Tenex Chairmats For Use with Hard Floors</t>
  </si>
  <si>
    <t>Eldon Imàge Series Desk Accessories, Clear</t>
  </si>
  <si>
    <t>Acco Smartsocket Table Surge Protector, 6 Color-Coded Adapter Outlets</t>
  </si>
  <si>
    <t>Avery Reinforcements for Hole-Punch Pages</t>
  </si>
  <si>
    <t>GBC ProClick Spines for 32-Hole Punch</t>
  </si>
  <si>
    <t>Colored Push Pins</t>
  </si>
  <si>
    <t>V7 USB Numeric Keypad</t>
  </si>
  <si>
    <t>Acco Data Flex Cable Posts For Top &amp; Bottom Load Binders, 6" Capacity</t>
  </si>
  <si>
    <t>Safco Industrial Wire Shelving System</t>
  </si>
  <si>
    <t>Stanley Bostitch Contemporary Electric Pencil Sharpeners</t>
  </si>
  <si>
    <t>Surelock Post Binders</t>
  </si>
  <si>
    <t>Avery 478</t>
  </si>
  <si>
    <t>Sauder Barrister Bookcases</t>
  </si>
  <si>
    <t>Boston School Pro Electric Pencil Sharpener, 1670</t>
  </si>
  <si>
    <t>Newell Chalk Holder</t>
  </si>
  <si>
    <t>Boston Home &amp; Office Model 2000 Electric Pencil Sharpeners</t>
  </si>
  <si>
    <t>Luxo Economy Swing Arm Lamp</t>
  </si>
  <si>
    <t>Newell 341</t>
  </si>
  <si>
    <t>SAFCO PlanMaster Heigh-Adjustable Drafting Table Base, 43w x 30d x 30-37h, Black</t>
  </si>
  <si>
    <t>#10-4 1/8" x 9 1/2" Premium Diagonal Seam Envelopes</t>
  </si>
  <si>
    <t>3M Hangers With Command Adhesive</t>
  </si>
  <si>
    <t>Maxell 4.7GB DVD+R 5/Pack</t>
  </si>
  <si>
    <t>Xerox 222</t>
  </si>
  <si>
    <t>Avery 5</t>
  </si>
  <si>
    <t>GBC Linen Binding Covers</t>
  </si>
  <si>
    <t>Xerox 1919</t>
  </si>
  <si>
    <t>Seth Thomas 16" Steel Case Clock</t>
  </si>
  <si>
    <t>Acco PRESSTEX Data Binder with Storage Hooks, Light Blue, 9 1/2" X 11"</t>
  </si>
  <si>
    <t>Kleencut Forged Office Shears by Acme United Corporation</t>
  </si>
  <si>
    <t>Bush Advantage Collection Racetrack Conference Table</t>
  </si>
  <si>
    <t>HON 5400 Series Task Chairs for Big and Tall</t>
  </si>
  <si>
    <t>Bush Somerset Collection Bookcase</t>
  </si>
  <si>
    <t>Avery 492</t>
  </si>
  <si>
    <t>Eldon Advantage Chair Mats for Low to Medium Pile Carpets</t>
  </si>
  <si>
    <t>Adams "While You Were Out" Message Pads</t>
  </si>
  <si>
    <t>Adams Phone Message Book, 200 Message Capacity, 8 1/16” x 11”</t>
  </si>
  <si>
    <t>Fellowes Stor/Drawer Steel Plus Storage Drawers</t>
  </si>
  <si>
    <t>Newell 350</t>
  </si>
  <si>
    <t>Wilson Jones Legal Size Ring Binders</t>
  </si>
  <si>
    <t>Bevis 36 x 72 Conference Tables</t>
  </si>
  <si>
    <t>Wilson Jones Elliptical Ring 3 1/2" Capacity Binders, 800 sheets</t>
  </si>
  <si>
    <t>Advantus Plastic Paper Clips</t>
  </si>
  <si>
    <t>Motorola L804</t>
  </si>
  <si>
    <t>Things To Do Today Pad</t>
  </si>
  <si>
    <t>Black Print Carbonless Snap-Off Rapid Letter, 8 1/2" x 7"</t>
  </si>
  <si>
    <t>Letter Size Cart</t>
  </si>
  <si>
    <t>Tenex Personal Self-Stacking Standard File Box, Black/Gray</t>
  </si>
  <si>
    <t>Black Avery Memo-Size 3-Ring Binder, 5 1/2" x 8 1/2"</t>
  </si>
  <si>
    <t>Peel &amp; Seel Recycled Catalog Envelopes, Brown</t>
  </si>
  <si>
    <t>Redi-Strip #10 Envelopes, 4 1/8 x 9 1/2</t>
  </si>
  <si>
    <t>Avery Durable Slant Ring Binders, No Labels</t>
  </si>
  <si>
    <t>Bestar Classic Bookcase</t>
  </si>
  <si>
    <t>Ibico Covers for Plastic or Wire Binding Elements</t>
  </si>
  <si>
    <t>Xerox 1923</t>
  </si>
  <si>
    <t>Blackstonian Pencils</t>
  </si>
  <si>
    <t>Imation Secure+ Hardware Encrypted USB 2.0 Flash Drive; 16GB</t>
  </si>
  <si>
    <t>Avery 505</t>
  </si>
  <si>
    <t>Dixon Ticonderoga Core-Lock Colored Pencils</t>
  </si>
  <si>
    <t>Avery Durable Poly Binders</t>
  </si>
  <si>
    <t>GE 30524EE4</t>
  </si>
  <si>
    <t>Eureka The Boss Cordless Rechargeable Stick Vac</t>
  </si>
  <si>
    <t>Kensington Orbit Wireless Mobile Trackball for PC and Mac</t>
  </si>
  <si>
    <t>Hon 4070 Series Pagoda Armless Upholstered Stacking Chairs</t>
  </si>
  <si>
    <t>SAFCO Optional Arm Kit for Workspace Cribbage Stacking Chair</t>
  </si>
  <si>
    <t>Safco Contoured Stacking Chairs</t>
  </si>
  <si>
    <t>Belkin Premiere Surge Master II 8-outlet surge protector</t>
  </si>
  <si>
    <t>Logitech G600 MMO Gaming Mouse</t>
  </si>
  <si>
    <t>Blue Parrot B250XT Professional Grade Wireless Bluetooth Headset with</t>
  </si>
  <si>
    <t>Global Chrome Stack Chair</t>
  </si>
  <si>
    <t>Canon Imageclass D680 Copier / Fax</t>
  </si>
  <si>
    <t>Global Armless Task Chair, Royal Blue</t>
  </si>
  <si>
    <t>Fellowes Mighty 8 Compact Surge Protector</t>
  </si>
  <si>
    <t>Harbour Creations Steel Folding Chair</t>
  </si>
  <si>
    <t>GBC Velobind Prepunched Cover Sets, Regency Series</t>
  </si>
  <si>
    <t>Home/Office Personal File Carts</t>
  </si>
  <si>
    <t>Riverside Furniture Oval Coffee Table, Oval End Table, End Table with Drawer</t>
  </si>
  <si>
    <t>Rogers Profile Extra Capacity Storage Tub</t>
  </si>
  <si>
    <t>Razer Kraken 7.1 Surround Sound Over Ear USB Gaming Headset</t>
  </si>
  <si>
    <t>Avery 50</t>
  </si>
  <si>
    <t>Acco Flexible ACCOHIDE Square Ring Data Binder, Dark Blue, 11 1/2" X 14" 7/8"</t>
  </si>
  <si>
    <t>Xerox 1927</t>
  </si>
  <si>
    <t>Telescoping Adjustable Floor Lamp</t>
  </si>
  <si>
    <t>Panasonic KP-4ABK Battery-Operated Pencil Sharpener</t>
  </si>
  <si>
    <t>TOPS Carbonless Receipt Book, Four 2-3/4 x 7-1/4 Money Receipts per Page</t>
  </si>
  <si>
    <t>Hoover Commercial Soft Guard Upright Vacuum And Disposable Filtration Bags</t>
  </si>
  <si>
    <t>DXL Angle-View Binders with Locking Rings, Black</t>
  </si>
  <si>
    <t>Avery 501</t>
  </si>
  <si>
    <t>DAX Cubicle Frames, 8-1/2 x 11</t>
  </si>
  <si>
    <t>Smead Alpha-Z Color-Coded Second Alphabetical Labels and Starter Set</t>
  </si>
  <si>
    <t>Acme Titanium Bonded Scissors</t>
  </si>
  <si>
    <t>Maxell Pro 80 Minute CD-R, 10/Pack</t>
  </si>
  <si>
    <t>Self-Adhesive Address Labels for Typewriters by Universal</t>
  </si>
  <si>
    <t>Tyvek Side-Opening Peel &amp; Seel Expanding Envelopes</t>
  </si>
  <si>
    <t>Plantronics Calisto P620-M USB Wireless Speakerphone System</t>
  </si>
  <si>
    <t>Hammermill CopyPlus Copy Paper (20Lb. and 84 Bright)</t>
  </si>
  <si>
    <t>GBC Twin Loop Wire Binding Elements</t>
  </si>
  <si>
    <t>Office Star - Mesh Screen back chair with Vinyl seat</t>
  </si>
  <si>
    <t>Fashion Color Clasp Envelopes</t>
  </si>
  <si>
    <t>Google Nexus 5</t>
  </si>
  <si>
    <t>X-Rack File for Hanging Folders</t>
  </si>
  <si>
    <t>Xerox 1917</t>
  </si>
  <si>
    <t>Martin-Yale Premier Letter Opener</t>
  </si>
  <si>
    <t>Xerox 1936</t>
  </si>
  <si>
    <t>PayAnywhere Card Reader</t>
  </si>
  <si>
    <t>Xerox 1937</t>
  </si>
  <si>
    <t>OIC #2 Pencils, Medium Soft</t>
  </si>
  <si>
    <t>Belkin F8E887 USB Wired Ergonomic Keyboard</t>
  </si>
  <si>
    <t>Office Star - Contemporary Task Swivel chair with Loop Arms, Charcoal</t>
  </si>
  <si>
    <t>Premium Transparent Presentation Covers, No Pattern/Clear, 8 1/2" x 11"</t>
  </si>
  <si>
    <t>Avery 502</t>
  </si>
  <si>
    <t>Avery Durable Slant Ring Binders</t>
  </si>
  <si>
    <t>Universal Ultra Bright White Copier/Laser Paper, 8 1/2" x 11", Ream</t>
  </si>
  <si>
    <t>24-Hour Round Wall Clock</t>
  </si>
  <si>
    <t>SAFCO Arco Folding Chair</t>
  </si>
  <si>
    <t>Xerox 1880</t>
  </si>
  <si>
    <t>QVS USB Car Charger 2-Port 2.1Amp for iPod/iPhone/iPad/iPad 2/iPad 3</t>
  </si>
  <si>
    <t>SAFCO Commercial Wire Shelving, Black</t>
  </si>
  <si>
    <t>KeyTronic KT800P2 - Keyboard - Black</t>
  </si>
  <si>
    <t>Avery Framed View Binder, EZD Ring (Locking), Navy, 1 1/2"</t>
  </si>
  <si>
    <t>Plastic Stacking Crates &amp; Casters</t>
  </si>
  <si>
    <t>Hon 4-Shelf Metal Bookcases</t>
  </si>
  <si>
    <t>Poly Designer Cover &amp; Back</t>
  </si>
  <si>
    <t>Apple EarPods with Remote and Mic</t>
  </si>
  <si>
    <t>Aastra 6757i CT Wireless VoIP phone</t>
  </si>
  <si>
    <t>Avanti 1.7 Cu. Ft. Refrigerator</t>
  </si>
  <si>
    <t>Motorola HK250 Universal Bluetooth Headset</t>
  </si>
  <si>
    <t>Universal Recycled Hanging Pressboard Report Binders, Letter Size</t>
  </si>
  <si>
    <t>C-Line Cubicle Keepers Polyproplyene Holder With Velcro Backings</t>
  </si>
  <si>
    <t>Nortel Meridian M3904 Professional Digital phone</t>
  </si>
  <si>
    <t>Logitech Wireless Performance Mouse MX for PC and Mac</t>
  </si>
  <si>
    <t>Nokia Lumia 925</t>
  </si>
  <si>
    <t>O'Sullivan 2-Door Barrister Bookcase in Odessa Pine</t>
  </si>
  <si>
    <t>Xerox 1945</t>
  </si>
  <si>
    <t>Situations Contoured Folding Chairs, 4/Set</t>
  </si>
  <si>
    <t>Newell 310</t>
  </si>
  <si>
    <t>Newell 314</t>
  </si>
  <si>
    <t>SanDisk Cruzer 64 GB USB Flash Drive</t>
  </si>
  <si>
    <t>Tops White Computer Printout Paper</t>
  </si>
  <si>
    <t>Things To Do Today Spiral Book</t>
  </si>
  <si>
    <t>Jabra Supreme Plus Driver Edition Headset</t>
  </si>
  <si>
    <t>Avery 491</t>
  </si>
  <si>
    <t>Xerox 1949</t>
  </si>
  <si>
    <t>Wilson Jones Four-Pocket Poly Binders</t>
  </si>
  <si>
    <t>Boston 1645 Deluxe Heavier-Duty Electric Pencil Sharpener</t>
  </si>
  <si>
    <t>BIC Brite Liner Highlighters, Chisel Tip</t>
  </si>
  <si>
    <t>Fellowes High-Stak Drawer Files</t>
  </si>
  <si>
    <t>Binney &amp; Smith inkTank Desk Highlighter, Chisel Tip, Yellow, 12/Box</t>
  </si>
  <si>
    <t>Global Geo Office Task Chair, Gray</t>
  </si>
  <si>
    <t>G.E. Halogen Desk Lamp Bulbs</t>
  </si>
  <si>
    <t>Okidata B400 Printer</t>
  </si>
  <si>
    <t>Square Ring Data Binders, Rigid 75 Pt. Covers, 11" x 14-7/8"</t>
  </si>
  <si>
    <t>Wilson Jones Impact Binders</t>
  </si>
  <si>
    <t>Motorola L703CM</t>
  </si>
  <si>
    <t>Luxo Professional Magnifying Clamp-On Fluorescent Lamps</t>
  </si>
  <si>
    <t>Bulldog Table or Wall-Mount Pencil Sharpener</t>
  </si>
  <si>
    <t>High-Back Leather Manager's Chair</t>
  </si>
  <si>
    <t>Acme Forged Steel Scissors with Black Enamel Handles</t>
  </si>
  <si>
    <t>SANFORD Major Accent Highlighters</t>
  </si>
  <si>
    <t>Newell 333</t>
  </si>
  <si>
    <t>OIC Thumb-Tacks</t>
  </si>
  <si>
    <t>Acco 6 Outlet Guardian Premium Plus Surge Suppressor</t>
  </si>
  <si>
    <t>Recycled Easel Ring Binders</t>
  </si>
  <si>
    <t>GBC DocuBind P100 Manual Binding Machine</t>
  </si>
  <si>
    <t>Imation 8gb Micro Traveldrive Usb 2.0 Flash Drive</t>
  </si>
  <si>
    <t>Acco Hot Clips Clips to Go</t>
  </si>
  <si>
    <t>Eldon 200 Class Desk Accessories</t>
  </si>
  <si>
    <t>Iris 3-Drawer Stacking Bin, Black</t>
  </si>
  <si>
    <t>Belkin 8-Outlet Premiere SurgeMaster II Surge Protectors</t>
  </si>
  <si>
    <t>Xerox 201</t>
  </si>
  <si>
    <t>Binding Machine Supplies</t>
  </si>
  <si>
    <t>Eldon 400 Class Desk Accessories, Black Carbon</t>
  </si>
  <si>
    <t>Electrix Architect's Clamp-On Swing Arm Lamp, Black</t>
  </si>
  <si>
    <t>Sony 8GB Class 10 Micro SDHC R40 Memory Card</t>
  </si>
  <si>
    <t>Fellowes Twister Kit, Gray/Clear, 3/pkg</t>
  </si>
  <si>
    <t>Global Task Chair, Black</t>
  </si>
  <si>
    <t>Panasonic KX TS208W Corded phone</t>
  </si>
  <si>
    <t>Logitech Gaming G510s - Keyboard</t>
  </si>
  <si>
    <t>DAX Wood Document Frame</t>
  </si>
  <si>
    <t>Fellowes 8 Outlet Superior Workstation Surge Protector</t>
  </si>
  <si>
    <t>Xerox 1930</t>
  </si>
  <si>
    <t>File Shuttle I and Handi-File</t>
  </si>
  <si>
    <t>Eldon Executive Woodline II Cherry Finish Desk Accessories</t>
  </si>
  <si>
    <t>Plymouth Boxed Rubber Bands by Plymouth</t>
  </si>
  <si>
    <t>Eldon Wave Desk Accessories</t>
  </si>
  <si>
    <t>Adams Telephone Message Book w/Frequently-Called Numbers Space, 400 Messages per Book</t>
  </si>
  <si>
    <t>Sauder Camden County Barrister Bookcase, Planked Cherry Finish</t>
  </si>
  <si>
    <t>Avery Binder Labels</t>
  </si>
  <si>
    <t>Acrylic Self-Standing Desk Frames</t>
  </si>
  <si>
    <t>LG G3</t>
  </si>
  <si>
    <t>SanDisk Ultra 32 GB MicroSDHC Class 10 Memory Card</t>
  </si>
  <si>
    <t>Tensor Brushed Steel Torchiere Floor Lamp</t>
  </si>
  <si>
    <t>Dixon My First Ticonderoga Pencil, #2</t>
  </si>
  <si>
    <t>Eureka Sanitaire  Multi-Pro Heavy-Duty Upright, Disposable Bags</t>
  </si>
  <si>
    <t>Cardinal HOLDit! Binder Insert Strips,Extra Strips</t>
  </si>
  <si>
    <t>Panasonic KX-TG6844B Expandable Digital Cordless Telephone</t>
  </si>
  <si>
    <t>GBC Standard Recycled Report Covers, Clear Plastic Sheets</t>
  </si>
  <si>
    <t>Tennsco Stur-D-Stor Boltless Shelving, 5 Shelves, 24" Deep, Sand</t>
  </si>
  <si>
    <t>Hon 4070 Series Pagoda Round Back Stacking Chairs</t>
  </si>
  <si>
    <t>Cardinal Slant-D Ring Binders</t>
  </si>
  <si>
    <t>Cush Cases Heavy Duty Rugged Cover Case for Samsung Galaxy S5 - Purple</t>
  </si>
  <si>
    <t>Manila Recycled Extra-Heavyweight Clasp Envelopes, 6" x 9"</t>
  </si>
  <si>
    <t>Eldon 200 Class Desk Accessories, Burgundy</t>
  </si>
  <si>
    <t>Plantronics Audio 995 Wireless Stereo Headset</t>
  </si>
  <si>
    <t>Wilson Jones Standard D-Ring Binders</t>
  </si>
  <si>
    <t>Bravo II Megaboss 12-Amp Hard Body Upright, Replacement Belts, 2 Belts per Pack</t>
  </si>
  <si>
    <t>Xerox 206</t>
  </si>
  <si>
    <t>VTech DS6151</t>
  </si>
  <si>
    <t>WD My Passport Ultra 1TB Portable External Hard Drive</t>
  </si>
  <si>
    <t>Hewlett-Packard 300S Scientific Calculator</t>
  </si>
  <si>
    <t>Eldon Gobal File Keepers</t>
  </si>
  <si>
    <t>Innergie mMini Combo Duo USB Travel Charging Kit</t>
  </si>
  <si>
    <t>Newell 346</t>
  </si>
  <si>
    <t>Presstex Flexible Ring Binders</t>
  </si>
  <si>
    <t>Insertable Tab Indexes For Data Binders</t>
  </si>
  <si>
    <t>Nu-Dell Executive Frame</t>
  </si>
  <si>
    <t>Xerox 227</t>
  </si>
  <si>
    <t>Eldon 300 Class Desk Accessories, Black</t>
  </si>
  <si>
    <t>Sterilite Show Offs Storage Containers</t>
  </si>
  <si>
    <t>Eureka Disposable Bags for Sanitaire Vibra Groomer I Upright Vac</t>
  </si>
  <si>
    <t>ClearOne Communications CHAT 70 OC Speaker Phone</t>
  </si>
  <si>
    <t>GBC Twin Loop Wire Binding Elements, 9/16" Spine, Black</t>
  </si>
  <si>
    <t>Riverside Palais Royal Lawyers Bookcase, Royale Cherry Finish</t>
  </si>
  <si>
    <t>Shocksock Galaxy S4 Armband</t>
  </si>
  <si>
    <t>Memorex Micro Travel Drive 16 GB</t>
  </si>
  <si>
    <t>Rogers Deluxe File Chest</t>
  </si>
  <si>
    <t>GBC VeloBinder Electric Binding Machine</t>
  </si>
  <si>
    <t>Chromcraft Bull-Nose Wood Round Conference Table Top, Wood Base</t>
  </si>
  <si>
    <t>Adams Telephone Message Book W/Dividers/Space For Phone Numbers, 5 1/4"X8 1/2", 200/Messages</t>
  </si>
  <si>
    <t>Standard Rollaway File with Lock</t>
  </si>
  <si>
    <t>Alphabetical Labels for Top Tab Filing</t>
  </si>
  <si>
    <t>Imation 16GB Mini TravelDrive USB 2.0 Flash Drive</t>
  </si>
  <si>
    <t>REDIFORM Incoming/Outgoing Call Register, 11" X 8 1/2", 100 Messages</t>
  </si>
  <si>
    <t>24 Capacity Maxi Data Binder Racks, Pearl</t>
  </si>
  <si>
    <t>Prang Dustless Chalk Sticks</t>
  </si>
  <si>
    <t>Avery 512</t>
  </si>
  <si>
    <t>Personal File Boxes with Fold-Down Carry Handle</t>
  </si>
  <si>
    <t>Sanford EarthWrite Recycled Pencils, Medium Soft, #2</t>
  </si>
  <si>
    <t>White Dual Perf Computer Printout Paper, 2700 Sheets, 1 Part, Heavyweight, 20 lbs., 14 7/8 x 11</t>
  </si>
  <si>
    <t>Global Leather Executive Chair</t>
  </si>
  <si>
    <t>Boston 16801 Nautilus Battery Pencil Sharpener</t>
  </si>
  <si>
    <t>Xerox 1939</t>
  </si>
  <si>
    <t>Cisco Desktop Collaboration Experience DX650 IP Video Phone</t>
  </si>
  <si>
    <t>O'Sullivan 3-Shelf Heavy-Duty Bookcases</t>
  </si>
  <si>
    <t>Ibico Plastic Spiral Binding Combs</t>
  </si>
  <si>
    <t>Iceberg OfficeWorks 42" Round Tables</t>
  </si>
  <si>
    <t>TOPS Voice Message Log Book, Flash Format</t>
  </si>
  <si>
    <t>Angle-D Ring Binders</t>
  </si>
  <si>
    <t>Boston 1730 StandUp Electric Pencil Sharpener</t>
  </si>
  <si>
    <t>Dana Swing-Arm Lamps</t>
  </si>
  <si>
    <t>OtterBox Defender Series Case - Samsung Galaxy S4</t>
  </si>
  <si>
    <t>Xerox 203</t>
  </si>
  <si>
    <t>Global Super Steno Chair</t>
  </si>
  <si>
    <t>Boston 1799 Powerhouse Electric Pencil Sharpener</t>
  </si>
  <si>
    <t>Newell 331</t>
  </si>
  <si>
    <t>Dixon Prang Watercolor Pencils, 10-Color Set with Brush</t>
  </si>
  <si>
    <t>Avery 490</t>
  </si>
  <si>
    <t>Xerox 1992</t>
  </si>
  <si>
    <t>HTC One</t>
  </si>
  <si>
    <t>Barricks 18" x 48" Non-Folding Utility Table with Bottom Storage Shelf</t>
  </si>
  <si>
    <t>Samsung Galaxy S III - 16GB - pebble blue (T-Mobile)</t>
  </si>
  <si>
    <t>Xerox 1955</t>
  </si>
  <si>
    <t>Global Executive Mid-Back Manager's Chair</t>
  </si>
  <si>
    <t>O'Sullivan 2-Shelf Heavy-Duty Bookcases</t>
  </si>
  <si>
    <t>Fellowes Smart Surge Ten-Outlet Protector, Platinum</t>
  </si>
  <si>
    <t>Clarity 53712</t>
  </si>
  <si>
    <t>Hon Multipurpose Stacking Arm Chairs</t>
  </si>
  <si>
    <t>Wirebound Message Books, Four 2 3/4" x 5" Forms per Page, 600 Sets per Book</t>
  </si>
  <si>
    <t>Xerox 215</t>
  </si>
  <si>
    <t>Storex DuraTech Recycled Plastic Frosted Binders</t>
  </si>
  <si>
    <t>Newell 330</t>
  </si>
  <si>
    <t>Trimflex Flexible Post Binders</t>
  </si>
  <si>
    <t>Project Tote Personal File</t>
  </si>
  <si>
    <t>Rediform Wirebound "Phone Memo" Message Book, 11 x 5-3/4</t>
  </si>
  <si>
    <t>Hewlett-Packard Desktjet 6988DT Refurbished Printer</t>
  </si>
  <si>
    <t>Kingston Digital DataTraveler 64GB USB 2.0</t>
  </si>
  <si>
    <t>Xerox 1925</t>
  </si>
  <si>
    <t>Xerox 1943</t>
  </si>
  <si>
    <t>Sony 16GB Class 10 Micro SDHC R40 Memory Card</t>
  </si>
  <si>
    <t>Fiskars Spring-Action Scissors</t>
  </si>
  <si>
    <t>Safco Industrial Wire Shelving</t>
  </si>
  <si>
    <t>Holmes Visible Mist Ultrasonic Humidifier with 2.3-Gallon Output per Day, Replacement Filter</t>
  </si>
  <si>
    <t>Hoover Replacement Belt for Commercial Guardsman Heavy-Duty Upright Vacuum</t>
  </si>
  <si>
    <t>Contemporary Wood/Metal Frame</t>
  </si>
  <si>
    <t>Memorex 25GB 6X Branded Blu-Ray Recordable Disc, 15/Pack</t>
  </si>
  <si>
    <t>DAX Copper Panel Document Frame, 5 x 7 Size</t>
  </si>
  <si>
    <t>Xerox 1907</t>
  </si>
  <si>
    <t>Avery 508</t>
  </si>
  <si>
    <t>Newell 35</t>
  </si>
  <si>
    <t>BlackBerry Q10</t>
  </si>
  <si>
    <t>Stacking Tray, Side-Loading, Legal, Smoke</t>
  </si>
  <si>
    <t>Deluxe Heavy-Duty Vinyl Round Ring Binder</t>
  </si>
  <si>
    <t>Ibico Standard Transparent Covers</t>
  </si>
  <si>
    <t>Hon Deluxe Fabric Upholstered Stacking Chairs, Rounded Back</t>
  </si>
  <si>
    <t>Southworth 25% Cotton Linen-Finish Paper &amp; Envelopes</t>
  </si>
  <si>
    <t>Boston Heavy-Duty Trimline Electric Pencil Sharpeners</t>
  </si>
  <si>
    <t>4009 Highlighters by Sanford</t>
  </si>
  <si>
    <t>Global Deluxe Office Fabric Chairs</t>
  </si>
  <si>
    <t>Xerox 1971</t>
  </si>
  <si>
    <t>Acco Banker's Clasps, 5 3/4"-Long</t>
  </si>
  <si>
    <t>GBC Prestige Therm-A-Bind Covers</t>
  </si>
  <si>
    <t>Eldon Spacemaker Box, Quick-Snap Lid, Clear</t>
  </si>
  <si>
    <t>DMI Eclipse Executive Suite Bookcases</t>
  </si>
  <si>
    <t>Eldon Shelf Savers Cubes and Bins</t>
  </si>
  <si>
    <t>Ampad Poly Cover Wirebound Steno Book, 6" x 9" Assorted Colors, Gregg Ruled</t>
  </si>
  <si>
    <t>Nortel Networks T7316 E Nt8 B27</t>
  </si>
  <si>
    <t>Mophie Juice Pack Helium for iPhone</t>
  </si>
  <si>
    <t>Bose SoundLink Bluetooth Speaker</t>
  </si>
  <si>
    <t>Plantronics Voyager Pro HD - Bluetooth Headset</t>
  </si>
  <si>
    <t>Hon Comfortask Task/Swivel Chairs</t>
  </si>
  <si>
    <t>Acme Preferred Stainless Steel Scissors</t>
  </si>
  <si>
    <t>Xerox 1991</t>
  </si>
  <si>
    <t>Wirebound Message Books, Four 2 3/4 x 5 White Forms per Page</t>
  </si>
  <si>
    <t>Executive Impressions Supervisor Wall Clock</t>
  </si>
  <si>
    <t>Belkin 325VA UPS Surge Protector, 6'</t>
  </si>
  <si>
    <t>Xerox 218</t>
  </si>
  <si>
    <t>Trav-L-File Heavy-Duty Shuttle II, Black</t>
  </si>
  <si>
    <t>Newell 328</t>
  </si>
  <si>
    <t>Enermax Briskie RF Wireless Keyboard and Mouse Combo</t>
  </si>
  <si>
    <t>Hon Metal Bookcases, Putty</t>
  </si>
  <si>
    <t>Acme Box Cutter Scissors</t>
  </si>
  <si>
    <t>Belkin F9G930V10-GRY 9 Outlet Surge</t>
  </si>
  <si>
    <t>Bevis Round Conference Table Top &amp; Single Column Base</t>
  </si>
  <si>
    <t>O'Sullivan Plantations 2-Door Library in Landvery Oak</t>
  </si>
  <si>
    <t>Bretford CR4500 Series Slim Rectangular Table</t>
  </si>
  <si>
    <t>Steel Personal Filing/Posting Tote</t>
  </si>
  <si>
    <t>Executive Impressions 14"</t>
  </si>
  <si>
    <t>Global Enterprise Series Seating High-Back Swivel/Tilt Chairs</t>
  </si>
  <si>
    <t>Seth Thomas 13 1/2" Wall Clock</t>
  </si>
  <si>
    <t>Sauder Facets Collection Library, Sky Alder Finish</t>
  </si>
  <si>
    <t>Fellowes PB200 Plastic Comb Binding Machine</t>
  </si>
  <si>
    <t>Xerox 226</t>
  </si>
  <si>
    <t>netTALK DUO VoIP Telephone Service</t>
  </si>
  <si>
    <t>Hewlett-Packard Deskjet 5550 Printer</t>
  </si>
  <si>
    <t>Tenex Traditional Chairmats for Medium Pile Carpet, Standard Lip, 36" x 48"</t>
  </si>
  <si>
    <t>Message Book, Wirebound, Four 5 1/2" X 4" Forms/Pg., 200 Dupl. Sets/Book</t>
  </si>
  <si>
    <t>Bevis Round Conference Table Top, X-Base</t>
  </si>
  <si>
    <t>Wirebound Four 2-3/4 x 5 Forms per Page, 400 Sets per Book</t>
  </si>
  <si>
    <t>Okidata MB491 Multifunction Printer</t>
  </si>
  <si>
    <t>Plantronics Savi W720 Multi-Device Wireless Headset System</t>
  </si>
  <si>
    <t>Square Credit Card Reader, 4 1/2" x 4 1/2" x 1", White</t>
  </si>
  <si>
    <t>Xerox 1966</t>
  </si>
  <si>
    <t>Wirebound Message Books, 5-1/2 x 4 Forms, 2 or 4 Forms per Page</t>
  </si>
  <si>
    <t>Global Comet Stacking Armless Chair</t>
  </si>
  <si>
    <t>Wilson Jones Active Use Binders</t>
  </si>
  <si>
    <t>Hypercom P1300 Pinpad</t>
  </si>
  <si>
    <t>Xerox 216</t>
  </si>
  <si>
    <t>Apple iPhone 5S</t>
  </si>
  <si>
    <t>AmazonBasics 3-Button USB Wired Mouse</t>
  </si>
  <si>
    <t>Brites Rubber Bands, 1 1/2 oz. Box</t>
  </si>
  <si>
    <t>Binney &amp; Smith inkTank Erasable Desk Highlighter, Chisel Tip, Yellow, 12/Box</t>
  </si>
  <si>
    <t>Deflect-o SuperTray Unbreakable Stackable Tray, Letter, Black</t>
  </si>
  <si>
    <t>GE 48" Fluorescent Tube, Cool White Energy Saver, 34 Watts, 30/Box</t>
  </si>
  <si>
    <t>Dot Matrix Printer Tape Reel Labels, White, 5000/Box</t>
  </si>
  <si>
    <t>Micro Innovations USB RF Wireless Keyboard with Mouse</t>
  </si>
  <si>
    <t>Avery 485</t>
  </si>
  <si>
    <t>Crayola Colored Pencils</t>
  </si>
  <si>
    <t>36X48 HARDFLOOR CHAIRMAT</t>
  </si>
  <si>
    <t>Tensor Track Tree Floor Lamp</t>
  </si>
  <si>
    <t>Quartet Alpha White Chalk, 12/Pack</t>
  </si>
  <si>
    <t>Xerox 1914</t>
  </si>
  <si>
    <t>Tennsco Industrial Shelving</t>
  </si>
  <si>
    <t>Prismacolor Color Pencil Set</t>
  </si>
  <si>
    <t>Eldon 200 Class Desk Accessories, Smoke</t>
  </si>
  <si>
    <t>Belkin 7-Outlet SurgeMaster Home Series</t>
  </si>
  <si>
    <t>Avery 482</t>
  </si>
  <si>
    <t>Belkin iPhone and iPad Lightning Cable</t>
  </si>
  <si>
    <t>Acco Four Pocket Poly Ring Binder with Label Holder, Smoke, 1"</t>
  </si>
  <si>
    <t>Cisco SPA508G</t>
  </si>
  <si>
    <t>OIC Binder Clips, Mini, 1/4" Capacity, Black</t>
  </si>
  <si>
    <t>BOSTON Model 1800 Electric Pencil Sharpeners, Putty/Woodgrain</t>
  </si>
  <si>
    <t>Sony Micro Vault Click 8 GB USB 2.0 Flash Drive</t>
  </si>
  <si>
    <t>Xerox 1950</t>
  </si>
  <si>
    <t>SAFCO Mobile Desk Side File, Wire Frame</t>
  </si>
  <si>
    <t>GBC Standard Plastic Binding Systems Combs</t>
  </si>
  <si>
    <t>Hon 2111 Invitation Series Straight Table</t>
  </si>
  <si>
    <t>Newell 349</t>
  </si>
  <si>
    <t>Avery 509</t>
  </si>
  <si>
    <t>Sony 32GB Class 10 Micro SDHC R40 Memory Card</t>
  </si>
  <si>
    <t>Hon Mobius Operator's Chair</t>
  </si>
  <si>
    <t>Spiral Phone Message Books with Labels by Adams</t>
  </si>
  <si>
    <t>Belkin 8 Outlet SurgeMaster II Gold Surge Protector</t>
  </si>
  <si>
    <t>Hon 5100 Series Wood Tables</t>
  </si>
  <si>
    <t>Xerox 1999</t>
  </si>
  <si>
    <t>Global Deluxe Stacking Chair, Gray</t>
  </si>
  <si>
    <t>Avaya 5420 Digital phone</t>
  </si>
  <si>
    <t>Southworth 25% Cotton Premium Laser Paper and Envelopes</t>
  </si>
  <si>
    <t>DAX Solid Wood Frames</t>
  </si>
  <si>
    <t>Brother DCP1000 Digital 3 in 1 Multifunction Machine</t>
  </si>
  <si>
    <t>Xerox 221</t>
  </si>
  <si>
    <t>Atlantic Metals Mobile 4-Shelf Bookcases, Custom Colors</t>
  </si>
  <si>
    <t>Riverleaf Stik-Withit Designer Note Cubes</t>
  </si>
  <si>
    <t>Acco Expandable Hanging Binders</t>
  </si>
  <si>
    <t>Canon PC-428 Personal Copier</t>
  </si>
  <si>
    <t>Acme Kleencut Forged Steel Scissors</t>
  </si>
  <si>
    <t>Contract Clock, 14", Brown</t>
  </si>
  <si>
    <t>1.7 Cubic Foot Compact "Cube" Office Refrigerators</t>
  </si>
  <si>
    <t>Avery Printable Repositionable Plastic Tabs</t>
  </si>
  <si>
    <t>Novimex Fabric Task Chair</t>
  </si>
  <si>
    <t>Logitech G35 7.1-Channel Surround Sound Headset</t>
  </si>
  <si>
    <t>Ibico Ibimaster 300 Manual Binding System</t>
  </si>
  <si>
    <t>Office Star - Task Chair with Contemporary Loop Arms</t>
  </si>
  <si>
    <t>BOSTON Ranger #55 Pencil Sharpener, Black</t>
  </si>
  <si>
    <t>Vinyl Sectional Post Binders</t>
  </si>
  <si>
    <t>Letter Size File</t>
  </si>
  <si>
    <t>Dexim XPower Skin Super-Thin Power Case for iPhone 5 - Black</t>
  </si>
  <si>
    <t>Berol Giant Pencil Sharpener</t>
  </si>
  <si>
    <t>Regeneration Desk Collection</t>
  </si>
  <si>
    <t>Wirebound Message Forms, Four 2 3/4 x 5 Forms per Page, Pink Paper</t>
  </si>
  <si>
    <t>Hon Olson Stacker Stools</t>
  </si>
  <si>
    <t>GBC Premium Transparent Covers with Diagonal Lined Pattern</t>
  </si>
  <si>
    <t>Nontoxic Chalk</t>
  </si>
  <si>
    <t>Hon 61000 Series Interactive Training Tables</t>
  </si>
  <si>
    <t>Wilson Jones 1" Hanging DublLock Ring Binders</t>
  </si>
  <si>
    <t>Hon Every-Day Series Multi-Task Chairs</t>
  </si>
  <si>
    <t>Memorex 25GB 6X Branded Blu-Ray Recordable Disc, 30/Pack</t>
  </si>
  <si>
    <t>Wilson Jones “Snap” Scratch Pad Binder Tool for Ring Binders</t>
  </si>
  <si>
    <t>Xerox 1909</t>
  </si>
  <si>
    <t>Weyerhaeuser First Choice Laser/Copy Paper (20Lb. and 88 Bright)</t>
  </si>
  <si>
    <t>Hunt PowerHouse Electric Pencil Sharpener, Blue</t>
  </si>
  <si>
    <t>Bush Cubix Conference Tables, Fully Assembled</t>
  </si>
  <si>
    <t>Fellowes Bankers Box Staxonsteel Drawer File/Stacking System</t>
  </si>
  <si>
    <t>Safco Drafting Table</t>
  </si>
  <si>
    <t>Logitech Z-906 Speaker sys - home theater - 5.1-CH</t>
  </si>
  <si>
    <t>Eldon Delta Triangular Chair Mat, 52" x 58", Clear</t>
  </si>
  <si>
    <t>Message Book, Phone, Wirebound Standard Line Memo, 2 3/4" X 5"</t>
  </si>
  <si>
    <t>Global Value Mid-Back Manager's Chair, Gray</t>
  </si>
  <si>
    <t>Super Decoflex Portable Personal File</t>
  </si>
  <si>
    <t>Holmes HEPA Air Purifier</t>
  </si>
  <si>
    <t>Samsung Replacement EH64AVFWE Premium Headset</t>
  </si>
  <si>
    <t>Newell 322</t>
  </si>
  <si>
    <t>Assorted Color Push Pins</t>
  </si>
  <si>
    <t>Cisco SPA301</t>
  </si>
  <si>
    <t>Sanford Liquid Accent Highlighters</t>
  </si>
  <si>
    <t>GBC Poly Designer Binding Covers</t>
  </si>
  <si>
    <t>Holmes Replacement Filter for HEPA Air Cleaner, Very Large Room, HEPA Filter</t>
  </si>
  <si>
    <t>Economy Rollaway Files</t>
  </si>
  <si>
    <t>Avery 480</t>
  </si>
  <si>
    <t>Eldon Portable Mobile Manager</t>
  </si>
  <si>
    <t>3M Office Air Cleaner</t>
  </si>
  <si>
    <t>Polycom SoundPoint Pro SE-225 Corded phone</t>
  </si>
  <si>
    <t>Avery Personal Creations Heavyweight Cards</t>
  </si>
  <si>
    <t>Bady BDG101FRU Card Printer</t>
  </si>
  <si>
    <t>Xerox 1998</t>
  </si>
  <si>
    <t>O'Sullivan Elevations Bookcase, Cherry Finish</t>
  </si>
  <si>
    <t>Deflect-o EconoMat Studded, No Bevel Mat for Low Pile Carpeting</t>
  </si>
  <si>
    <t>Letter/Legal File Tote with Clear Snap-On Lid, Black Granite</t>
  </si>
  <si>
    <t>Avery 476</t>
  </si>
  <si>
    <t>Tennsco Lockers, Sand</t>
  </si>
  <si>
    <t>Avery 475</t>
  </si>
  <si>
    <t>Longer-Life Soft White Bulbs</t>
  </si>
  <si>
    <t>Avery 481</t>
  </si>
  <si>
    <t>GE DSL Phone Line Filter</t>
  </si>
  <si>
    <t>Safco Industrial Shelving</t>
  </si>
  <si>
    <t>Polycom VoiceStation 500 Conference phone</t>
  </si>
  <si>
    <t>Mead 1st Gear 2" Zipper Binder, Asst. Colors</t>
  </si>
  <si>
    <t>Sony Micro Vault Click 4 GB USB 2.0 Flash Drive</t>
  </si>
  <si>
    <t>Global Enterprise Series Seating Low-Back Swivel/Tilt Chairs</t>
  </si>
  <si>
    <t>3.6 Cubic Foot Counter Height Office Refrigerator</t>
  </si>
  <si>
    <t>Xerox 1906</t>
  </si>
  <si>
    <t>BIC Brite Liner Grip Highlighters</t>
  </si>
  <si>
    <t>Xerox 2000</t>
  </si>
  <si>
    <t>Hon 4700 Series Mobuis Mid-Back Task Chairs with Adjustable Arms</t>
  </si>
  <si>
    <t>Perixx PERIBOARD-512B, Ergonomic Split Keyboard</t>
  </si>
  <si>
    <t>Avery Legal 4-Ring Binder</t>
  </si>
  <si>
    <t>GBC Prepunched Paper, 19-Hole, for Binding Systems, 24-lb</t>
  </si>
  <si>
    <t>Maxell 4.7GB DVD-R 5/Pack</t>
  </si>
  <si>
    <t>Eldon Radial Chair Mat for Low to Medium Pile Carpets</t>
  </si>
  <si>
    <t>Hon Olson Stacker Chairs</t>
  </si>
  <si>
    <t>Fellowes Premier Superior Surge Suppressor, 10-Outlet, With Phone and Remote</t>
  </si>
  <si>
    <t>Avery 495</t>
  </si>
  <si>
    <t>Acco Perma 3000 Stacking Storage Drawers</t>
  </si>
  <si>
    <t>Acco Side-Punched Conventional Columnar Pads</t>
  </si>
  <si>
    <t>Avery Fluorescent Highlighter Four-Color Set</t>
  </si>
  <si>
    <t>Xerox 1962</t>
  </si>
  <si>
    <t>Sanyo 2.5 Cubic Foot Mid-Size Office Refrigerators</t>
  </si>
  <si>
    <t>GBC Recycled Grain Textured Covers</t>
  </si>
  <si>
    <t>DAX Metal Frame, Desktop, Stepped-Edge</t>
  </si>
  <si>
    <t>Seth Thomas 14" Putty-Colored Wall Clock</t>
  </si>
  <si>
    <t>Safco Steel Mobile File Cart</t>
  </si>
  <si>
    <t>Ibico Plastic and Wire Spiral Binding Combs</t>
  </si>
  <si>
    <t>Fellowes Super Stor/Drawer Files</t>
  </si>
  <si>
    <t>Imation Bio 8GB USB Flash Drive Imation Corp</t>
  </si>
  <si>
    <t>Fellowes PB300 Plastic Comb Binding Machine</t>
  </si>
  <si>
    <t>GBC Personal VeloBind Strips</t>
  </si>
  <si>
    <t>Binder Posts</t>
  </si>
  <si>
    <t>Xerox 200</t>
  </si>
  <si>
    <t>Companion Letter/Legal File, Black</t>
  </si>
  <si>
    <t>Plantronics Encore H101 Dual Earpieces Headset</t>
  </si>
  <si>
    <t>Security-Tint Envelopes</t>
  </si>
  <si>
    <t>Newell 336</t>
  </si>
  <si>
    <t>Cisco 8x8 Inc. 6753i IP Business Phone System</t>
  </si>
  <si>
    <t>Chromcraft Rectangular Conference Tables</t>
  </si>
  <si>
    <t>Fellowes Command Center 5-outlet power strip</t>
  </si>
  <si>
    <t>Seth Thomas 12" Clock w/ Goldtone Case</t>
  </si>
  <si>
    <t>Xerox 1941</t>
  </si>
  <si>
    <t>Padded Folding Chairs, Black, 4/Carton</t>
  </si>
  <si>
    <t>Avery Metallic Poly Binders</t>
  </si>
  <si>
    <t>Recycled Data-Pak for Archival Bound Computer Printouts, 12-1/2 x 12-1/2 x 16</t>
  </si>
  <si>
    <t>Southworth 25% Cotton Antique Laid Paper &amp; Envelopes</t>
  </si>
  <si>
    <t>Hon Racetrack Conference Tables</t>
  </si>
  <si>
    <t>Bevis Boat-Shaped Conference Table</t>
  </si>
  <si>
    <t>IBM Multi-Purpose Copy Paper, 8 1/2 x 11", Case</t>
  </si>
  <si>
    <t>Eldon Regeneration Recycled Desk Accessories, Smoke</t>
  </si>
  <si>
    <t>Ampad Evidence Wirebond Steno Books, 6" x 9"</t>
  </si>
  <si>
    <t>Xerox 1910</t>
  </si>
  <si>
    <t>Xerox 199</t>
  </si>
  <si>
    <t>Office Impressions End Table, 20-1/2"H x 24"W x 20"D</t>
  </si>
  <si>
    <t>GE 30522EE2</t>
  </si>
  <si>
    <t>Convenience Packs of Business Envelopes</t>
  </si>
  <si>
    <t>Sharp 1540cs Digital Laser Copier</t>
  </si>
  <si>
    <t>Bevis Steel Folding Chairs</t>
  </si>
  <si>
    <t>White Computer Printout Paper by Universal</t>
  </si>
  <si>
    <t>GBC DocuBind 300 Electric Binding Machine</t>
  </si>
  <si>
    <t>Xerox 217</t>
  </si>
  <si>
    <t>Xerox 1981</t>
  </si>
  <si>
    <t>Anker 24W Portable Micro USB Car Charger</t>
  </si>
  <si>
    <t>Hon Practical Foundations 30 x 60 Training Table, Light Gray/Charcoal</t>
  </si>
  <si>
    <t>GBC Standard Therm-A-Bind Covers</t>
  </si>
  <si>
    <t>Newell 344</t>
  </si>
  <si>
    <t>HP Office Paper (20Lb. and 87 Bright)</t>
  </si>
  <si>
    <t>Acme Stainless Steel Office Snips</t>
  </si>
  <si>
    <t>Electrix Fluorescent Magnifier Lamps &amp; Weighted Base</t>
  </si>
  <si>
    <t>OIC Bulk Pack Metal Binder Clips</t>
  </si>
  <si>
    <t>Tripp Lite Isotel 8 Ultra 8 Outlet Metal Surge</t>
  </si>
  <si>
    <t>Acme Kleen Earth Office Shears</t>
  </si>
  <si>
    <t>Harbour Creations 67200 Series Stacking Chairs</t>
  </si>
  <si>
    <t>Honeywell Quietcare HEPA Air Cleaner</t>
  </si>
  <si>
    <t>KI Conference Tables</t>
  </si>
  <si>
    <t>Polycom CX600 IP Phone VoIP phone</t>
  </si>
  <si>
    <t>Maxell iVDR EX 500GB Cartridge</t>
  </si>
  <si>
    <t>RSVP Cards &amp; Envelopes, Blank White, 8-1/2" X 11", 24 Cards/25 Envelopes/Set</t>
  </si>
  <si>
    <t>Newell 324</t>
  </si>
  <si>
    <t>DAX Cubicle Frames - 8x10</t>
  </si>
  <si>
    <t>Avery 518</t>
  </si>
  <si>
    <t>Global Commerce Series High-Back Swivel/Tilt Chairs</t>
  </si>
  <si>
    <t>Sony Micro Vault Click 16 GB USB 2.0 Flash Drive</t>
  </si>
  <si>
    <t>Ooma Telo VoIP Home Phone System</t>
  </si>
  <si>
    <t>Xerox 1890</t>
  </si>
  <si>
    <t>Belkin 19" Center-Weighted Shelf, Gray</t>
  </si>
  <si>
    <t>Global Leather Task Chair, Black</t>
  </si>
  <si>
    <t>Avery 519</t>
  </si>
  <si>
    <t>Premier Elliptical Ring Binder, Black</t>
  </si>
  <si>
    <t>Kensington Expert Mouse Optical USB Trackball for PC or Mac</t>
  </si>
  <si>
    <t>Global Low Back Tilter Chair</t>
  </si>
  <si>
    <t>Bush Heritage Pine Collection 5-Shelf Bookcase, Albany Pine Finish, *Special Order</t>
  </si>
  <si>
    <t>"While you Were Out" Message Book, One Form per Page</t>
  </si>
  <si>
    <t>Sanford Colorific Eraseable Coloring Pencils, 12 Count</t>
  </si>
  <si>
    <t>Verbatim 25 GB 6x Blu-ray Single Layer Recordable Disc, 25/Pack</t>
  </si>
  <si>
    <t>Chromcraft Bull-Nose Wood Oval Conference Tables &amp; Bases</t>
  </si>
  <si>
    <t>Xerox 220</t>
  </si>
  <si>
    <t>Bush Birmingham Collection Bookcase, Dark Cherry</t>
  </si>
  <si>
    <t>Sanford Colorific Colored Pencils, 12/Box</t>
  </si>
  <si>
    <t>DIXON Oriole Pencils</t>
  </si>
  <si>
    <t>Telephone Message Books with Fax/Mobile Section, 4 1/4" x 6"</t>
  </si>
  <si>
    <t>Kingston Digital DataTraveler 8GB USB 2.0</t>
  </si>
  <si>
    <t>Rogers Jumbo File, Granite</t>
  </si>
  <si>
    <t>Global Value Steno Chair, Gray</t>
  </si>
  <si>
    <t>Xerox 213</t>
  </si>
  <si>
    <t>Avery Trapezoid Extra Heavy Duty 4" Binders</t>
  </si>
  <si>
    <t>Gould Plastics 18-Pocket Panel Bin, 34w x 5-1/4d x 20-1/2h</t>
  </si>
  <si>
    <t>Model L Table or Wall-Mount Pencil Sharpener</t>
  </si>
  <si>
    <t>Tenex Chairmats For Use With Carpeted Floors</t>
  </si>
  <si>
    <t>Eureka Recycled Copy Paper 8 1/2" x 11", Ream</t>
  </si>
  <si>
    <t>Rosewill 107 Normal Keys USB Wired Standard Keyboard</t>
  </si>
  <si>
    <t>Motorla HX550 Universal Bluetooth Headset</t>
  </si>
  <si>
    <t>DataProducts Ampli Magnifier Task Lamp, Black,</t>
  </si>
  <si>
    <t>DAX Two-Tone Silver Metal Document Frame</t>
  </si>
  <si>
    <t>Konftel 250 Conference phone - Charcoal black</t>
  </si>
  <si>
    <t>Avoid Verbal Orders Carbonless Minifold Book</t>
  </si>
  <si>
    <t>BoxOffice By Design Rectangular and Half-Moon Meeting Room Tables</t>
  </si>
  <si>
    <t>Imation Swivel Flash Drive USB flash drive - 8 GB</t>
  </si>
  <si>
    <t>Xerox 205</t>
  </si>
  <si>
    <t>Decoflex Hanging Personal Folder File, Blue</t>
  </si>
  <si>
    <t>Samsung Rugby III</t>
  </si>
  <si>
    <t>Eldon Expressions Punched Metal &amp; Wood Desk Accessories, Pewter &amp; Cherry</t>
  </si>
  <si>
    <t>Plantronics S12 Corded Telephone Headset System</t>
  </si>
  <si>
    <t>Samsung Galaxy Note 2</t>
  </si>
  <si>
    <t>#10- 4 1/8" x 9 1/2" Recycled Envelopes</t>
  </si>
  <si>
    <t>Astroparche Fine Business Paper</t>
  </si>
  <si>
    <t>Panasonic Kx-TS550</t>
  </si>
  <si>
    <t>Logitech G105 Gaming Keyboard</t>
  </si>
  <si>
    <t>Imation Clip USB flash drive - 8 GB</t>
  </si>
  <si>
    <t>Newell 3-Hole Punched Plastic Slotted Magazine Holders for Binders</t>
  </si>
  <si>
    <t>Xerox 1970</t>
  </si>
  <si>
    <t>Acco 6 Outlet Guardian Standard Surge Suppressor</t>
  </si>
  <si>
    <t>Fellowes PB500 Electric Punch Plastic Comb Binding Machine with Manual Bind</t>
  </si>
  <si>
    <t>Wilson Jones Suede Grain Vinyl Binders</t>
  </si>
  <si>
    <t>Memorex Mini Travel Drive 8 GB USB 2.0 Flash Drive</t>
  </si>
  <si>
    <t>Cisco IP Phone 7961G-GE VoIP phone</t>
  </si>
  <si>
    <t>Xerox 1935</t>
  </si>
  <si>
    <t>Xerox 1996</t>
  </si>
  <si>
    <t>#10 Self-Seal White Envelopes</t>
  </si>
  <si>
    <t>Hon Pagoda Stacking Chairs</t>
  </si>
  <si>
    <t>6" Cubicle Wall Clock, Black</t>
  </si>
  <si>
    <t>Kensington 4 Outlet MasterPiece Compact Power Control Center</t>
  </si>
  <si>
    <t>iOttie XL Car Mount</t>
  </si>
  <si>
    <t>Commercial WindTunnel Clean Air Upright Vacuum, Replacement Belts, Filtration Bags</t>
  </si>
  <si>
    <t>Acco Clips to Go Binder Clips, 24 Clips in Two Sizes</t>
  </si>
  <si>
    <t>Eldon Image Series Desk Accessories, Burgundy</t>
  </si>
  <si>
    <t>Xerox 209</t>
  </si>
  <si>
    <t>Aluminum Screw Posts</t>
  </si>
  <si>
    <t>Ricoh - Ink Collector Unit for GX3000 Series Printers</t>
  </si>
  <si>
    <t>Office Star - Ergonomically Designed Knee Chair</t>
  </si>
  <si>
    <t>Lexmark MarkNet N8150 Wireless Print Server</t>
  </si>
  <si>
    <t>Wilson SignalBoost 841262 DB PRO Amplifier Kit</t>
  </si>
  <si>
    <t>Xerox 1987</t>
  </si>
  <si>
    <t>Logitech Wireless Gaming Headset G930</t>
  </si>
  <si>
    <t>Xerox 1897</t>
  </si>
  <si>
    <t>Master Caster Door Stop, Brown</t>
  </si>
  <si>
    <t>Avery Hi-Liter EverBold Pen Style Fluorescent Highlighters, 4/Pack</t>
  </si>
  <si>
    <t>Atlantic Metals Mobile 3-Shelf Bookcases, Custom Colors</t>
  </si>
  <si>
    <t>Wilson Jones Heavy-Duty Casebound Ring Binders with Metal Hinges</t>
  </si>
  <si>
    <t>GBC DocuBind 200 Manual Binding Machine</t>
  </si>
  <si>
    <t>Leather Task Chair, Black</t>
  </si>
  <si>
    <t>Cardinal Poly Pocket Divider Pockets for Ring Binders</t>
  </si>
  <si>
    <t>Plantronics 81402</t>
  </si>
  <si>
    <t>Contico 72"H Heavy-Duty Storage System</t>
  </si>
  <si>
    <t>BIC Brite Liner Highlighters</t>
  </si>
  <si>
    <t>Eldon ProFile File 'N Store Portable File Tub Letter/Legal Size Black</t>
  </si>
  <si>
    <t>Micro Innovations Wireless Classic Keyboard with Mouse</t>
  </si>
  <si>
    <t>ClearSounds CSC500 Amplified Spirit Phone Corded phone</t>
  </si>
  <si>
    <t>Xerox 231</t>
  </si>
  <si>
    <t>Logitech Trackman Marble Mouse</t>
  </si>
  <si>
    <t>OIC Colored Binder Clips, Assorted Sizes</t>
  </si>
  <si>
    <t>KeyTronic E03601U1 - Keyboard - Beige</t>
  </si>
  <si>
    <t>Xerox 1984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</si>
  <si>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</si>
  <si>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</si>
  <si>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</si>
  <si>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</si>
  <si>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</si>
  <si>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Lexmark 20R1285 X6650 Wireless All-in-One Printer</t>
  </si>
  <si>
    <t>Newell 343</t>
  </si>
  <si>
    <t>Xerox 1911</t>
  </si>
  <si>
    <t>Acco Perma 2700 Stacking Storage Drawers</t>
  </si>
  <si>
    <t>Ultra Door Push Plate</t>
  </si>
  <si>
    <t>I Need's 3d Hello Kitty Hybrid Silicone Case Cover for HTC One X 4g with 3d Hello Kitty Stylus Pen Green/pink</t>
  </si>
  <si>
    <t>Post-it “Important Message” Note Pad, Neon Colors, 50 Sheets/Pad</t>
  </si>
  <si>
    <t>Master Caster Door Stop, Gray</t>
  </si>
  <si>
    <t>Fiskars 8" Scissors, 2/Pack</t>
  </si>
  <si>
    <t>Jet-Pak Recycled Peel 'N' Seal Padded Mailers</t>
  </si>
  <si>
    <t>Howard Miller 14-1/2" Diameter Chrome Round Wall Clock</t>
  </si>
  <si>
    <t>Xerox 228</t>
  </si>
  <si>
    <t>Microsoft Natural Ergonomic Keyboard 4000</t>
  </si>
  <si>
    <t>Boston 16765 Mini Stand Up Battery Pencil Sharpener</t>
  </si>
  <si>
    <t>Newell 33</t>
  </si>
  <si>
    <t>Akro Stacking Bins</t>
  </si>
  <si>
    <t>Plastic Binding Combs</t>
  </si>
  <si>
    <t>Acco PRESSTEX Data Binder with Storage Hooks, Dark Blue, 9 1/2" X 11"</t>
  </si>
  <si>
    <t>Hon Valutask Swivel Chairs</t>
  </si>
  <si>
    <t>Logitech Wireless Boombox Speaker - portable - wireless, wired</t>
  </si>
  <si>
    <t>TOPS "Important Message" Pads, Canary, 4-1/4 x 5-1/2, 50 Sheets per Pad</t>
  </si>
  <si>
    <t>Advantus Push Pins</t>
  </si>
  <si>
    <t>Apple iPhone 5</t>
  </si>
  <si>
    <t>Global Troy Executive Leather Low-Back Tilter</t>
  </si>
  <si>
    <t>Plantronics Cordless Phone Headset with In-line Volume - M214C</t>
  </si>
  <si>
    <t>Logitech M510 Wireless Mouse</t>
  </si>
  <si>
    <t>Tenex Personal Filing Tote With Secure Closure Lid, Black/Frost</t>
  </si>
  <si>
    <t>Xerox 1940</t>
  </si>
  <si>
    <t>ACCOHIDE Binder by Acco</t>
  </si>
  <si>
    <t>AT&amp;T CL82213</t>
  </si>
  <si>
    <t>Verbatim 25 GB 6x Blu-ray Single Layer Recordable Disc, 3/Pack</t>
  </si>
  <si>
    <t>Xerox 219</t>
  </si>
  <si>
    <t>Stride Job 150 Highlighters, Chisel Tip, Assorted Colors</t>
  </si>
  <si>
    <t>Aluminum Document Frame</t>
  </si>
  <si>
    <t>Wausau Papers Astrobrights Colored Envelopes</t>
  </si>
  <si>
    <t>OtterBox Commuter Series Case - Samsung Galaxy S4</t>
  </si>
  <si>
    <t>Xerox 1899</t>
  </si>
  <si>
    <t>Verbatim 25 GB 6x Blu-ray Single Layer Recordable Disc, 1/Pack</t>
  </si>
  <si>
    <t>Fellowes Desktop Hanging File Manager</t>
  </si>
  <si>
    <t>Wi-Ex zBoost YX540 Cellular Phone Signal Booster</t>
  </si>
  <si>
    <t>Socket Bluetooth Cordless Hand Scanner (CHS)</t>
  </si>
  <si>
    <t>Wilson Jones International Size A4 Ring Binders</t>
  </si>
  <si>
    <t>BIC Brite Liner Grip Highlighters, Assorted, 5/Pack</t>
  </si>
  <si>
    <t>Self-Adhesive Removable Labels</t>
  </si>
  <si>
    <t>Wirebound Voice Message Log Book</t>
  </si>
  <si>
    <t>Array Memo Cubes</t>
  </si>
  <si>
    <t>Acme Value Line Scissors</t>
  </si>
  <si>
    <t>Xerox 1895</t>
  </si>
  <si>
    <t>Wilson Jones Hanging View Binder, White, 1"</t>
  </si>
  <si>
    <t>Dana Halogen Swing-Arm Architect Lamp</t>
  </si>
  <si>
    <t>Lenovo 17-Key USB Numeric Keypad</t>
  </si>
  <si>
    <t>GBC DocuBind P50 Personal Binding Machine</t>
  </si>
  <si>
    <t>Wasp CCD Handheld Bar Code Reader</t>
  </si>
  <si>
    <t>Riverside Furniture Stanwyck Manor Table Series</t>
  </si>
  <si>
    <t>G.E. Longer-Life Indoor Recessed Floodlight Bulbs</t>
  </si>
  <si>
    <t>Xerox 1928</t>
  </si>
  <si>
    <t>Speediset Carbonless Redi-Letter 7" x 8 1/2"</t>
  </si>
  <si>
    <t>Newell 334</t>
  </si>
  <si>
    <t>Acme Hot Forged Carbon Steel Scissors with Nickel-Plated Handles, 3 7/8" Cut, 8"L</t>
  </si>
  <si>
    <t>Xerox 1882</t>
  </si>
  <si>
    <t>Self-Adhesive Address Labels for Typewriters with Dispenser Box</t>
  </si>
  <si>
    <t>Design Ebony Sketching Pencil</t>
  </si>
  <si>
    <t>Personal Creations Ink Jet Cards and Labels</t>
  </si>
  <si>
    <t>Metal Folding Chairs, Beige, 4/Carton</t>
  </si>
  <si>
    <t>Fellowes Powershred HS-440 4-Sheet High Security Shredder</t>
  </si>
  <si>
    <t>Nu-Dell Leatherette Frames</t>
  </si>
  <si>
    <t>i.Sound Portable Power - 8000 mAh</t>
  </si>
  <si>
    <t>Performers Binder/Pad Holder, Black</t>
  </si>
  <si>
    <t>Lock-Up Easel 'Spel-Binder'</t>
  </si>
  <si>
    <t>Eldon Image Series Desk Accessories, Ebony</t>
  </si>
  <si>
    <t>Acme Softgrip Scissors</t>
  </si>
  <si>
    <t>Dax Clear Box Frame</t>
  </si>
  <si>
    <t>Xerox 208</t>
  </si>
  <si>
    <t>Magnifier Swing Arm Lamp</t>
  </si>
  <si>
    <t>Colorific Watercolor Pencils</t>
  </si>
  <si>
    <t>Samsung HM1900 Bluetooth Headset</t>
  </si>
  <si>
    <t>3D Systems Cube Printer, 2nd Generation, Magenta</t>
  </si>
  <si>
    <t>Global Deluxe High-Back Office Chair in Storm</t>
  </si>
  <si>
    <t>Hoover Replacement Belts For Soft Guard &amp; Commercial Ltweight Upright Vacs, 2/Pk</t>
  </si>
  <si>
    <t>DAX Clear Channel Poster Frame</t>
  </si>
  <si>
    <t>Conquest 14 Commercial Heavy-Duty Upright Vacuum, Collection System, Accessory Kit</t>
  </si>
  <si>
    <t>Computer Printout Paper with Letter-Trim Perforations</t>
  </si>
  <si>
    <t>Logitech G430 Surround Sound Gaming Headset with Dolby 7.1 Technology</t>
  </si>
  <si>
    <t>Space Solutions HD Industrial Steel Shelving.</t>
  </si>
  <si>
    <t>Xerox 1886</t>
  </si>
  <si>
    <t>Avery Hi-Liter Smear-Safe Highlighters</t>
  </si>
  <si>
    <t>O'Sullivan Manor Hill 2-Door Library in Brianna Oak</t>
  </si>
  <si>
    <t>TOPS 4 x 6 Fluorescent Color Memo Sheets, 500 Sheets per Pack</t>
  </si>
  <si>
    <t>Durable Pressboard Binders</t>
  </si>
  <si>
    <t>Hon Every-Day Chair Series Swivel Task Chairs</t>
  </si>
  <si>
    <t>Wirebound Message Books, 2 7/8" x 5", 3 Forms per Page</t>
  </si>
  <si>
    <t>Global Stack Chair without Arms, Black</t>
  </si>
  <si>
    <t>Xerox 1989</t>
  </si>
  <si>
    <t>Xerox 1952</t>
  </si>
  <si>
    <t>Adams Write n' Stick Phone Message Book, 11" X 5 1/4", 200 Messages</t>
  </si>
  <si>
    <t>Eldon Simplefile Box Office</t>
  </si>
  <si>
    <t>Avery 489</t>
  </si>
  <si>
    <t>Logitech Media Keyboard K200</t>
  </si>
  <si>
    <t>Anker Astro Mini 3000mAh Ultra-Compact Portable Charger</t>
  </si>
  <si>
    <t>Avery 52</t>
  </si>
  <si>
    <t>Acco PRESSTEX Data Binder with Storage Hooks, Dark Blue, 14 7/8" X 11"</t>
  </si>
  <si>
    <t>Panasonic KP-310 Heavy-Duty Electric Pencil Sharpener</t>
  </si>
  <si>
    <t>Executive Impressions 14" Two-Color Numerals Wall Clock</t>
  </si>
  <si>
    <t>Large Capacity Hanging Post Binders</t>
  </si>
  <si>
    <t>Swingline SM12-08 MicroCut Jam Free Shredder</t>
  </si>
  <si>
    <t>2300 Heavy-Duty Transfer File Systems by Perma</t>
  </si>
  <si>
    <t>Xerox 1958</t>
  </si>
  <si>
    <t>Economy #2 Pencils</t>
  </si>
  <si>
    <t>Westinghouse Mesh Shade Clip-On Gooseneck Lamp, Black</t>
  </si>
  <si>
    <t>Ampad #10 Peel &amp; Seel Holiday Envelopes</t>
  </si>
  <si>
    <t>Anderson Hickey Conga Table Tops &amp; Accessories</t>
  </si>
  <si>
    <t>Lesro Round Back Collection Coffee Table, End Table</t>
  </si>
  <si>
    <t>Rush Hierlooms Collection Rich Wood Bookcases</t>
  </si>
  <si>
    <t>JM Magazine Binder</t>
  </si>
  <si>
    <t>Xerox 1884</t>
  </si>
  <si>
    <t>Woodgrain Magazine Files by Perma</t>
  </si>
  <si>
    <t>DAX Wood Document Frame.</t>
  </si>
  <si>
    <t>Eldon Expressions Desk Accessory, Wood Photo Frame, Mahogany</t>
  </si>
  <si>
    <t>Polycom VVX 310 VoIP phone</t>
  </si>
  <si>
    <t>Globe Weis Peel &amp; Seel First Class Envelopes</t>
  </si>
  <si>
    <t>Fellowes Recycled Storage Drawers</t>
  </si>
  <si>
    <t>Storex Flexible Poly Binders with Double Pockets</t>
  </si>
  <si>
    <t>Office Star - Ergonomic Mid Back Chair with 2-Way Adjustable Arms</t>
  </si>
  <si>
    <t>LF Elite 3D Dazzle Designer Hard Case Cover, Lf Stylus Pen and Wiper For Apple Iphone 5c Mini Lite</t>
  </si>
  <si>
    <t>#6 3/4 Gummed Flap White Envelopes</t>
  </si>
  <si>
    <t>Xerox 1969</t>
  </si>
  <si>
    <t>Jabra SPEAK 410 Multidevice Speakerphone</t>
  </si>
  <si>
    <t>Carina 42"Hx23 3/4"W Media Storage Unit</t>
  </si>
  <si>
    <t>Deflect-o DuraMat Antistatic Studded Beveled Mat for Medium Pile Carpeting</t>
  </si>
  <si>
    <t>Wirebound Message Book, 4 per Page</t>
  </si>
  <si>
    <t>Tyvek  Top-Opening Peel &amp; Seel  Envelopes, Gray</t>
  </si>
  <si>
    <t>Cisco Small Business SPA 502G VoIP phone</t>
  </si>
  <si>
    <t>Jackery Bar Premium Fast-charging Portable Charger</t>
  </si>
  <si>
    <t>Xerox 1972</t>
  </si>
  <si>
    <t>Rogers Handheld Barrel Pencil Sharpener</t>
  </si>
  <si>
    <t>Recycled Interoffice Envelopes with String and Button Closure, 10 x 13</t>
  </si>
  <si>
    <t>Xerox 21</t>
  </si>
  <si>
    <t>Magna Visual Magnetic Picture Hangers</t>
  </si>
  <si>
    <t>Avery 500</t>
  </si>
  <si>
    <t>First Data FD10 PIN Pad</t>
  </si>
  <si>
    <t>Smead Alpha-Z Color-Coded Name Labels First Letter Starter Set</t>
  </si>
  <si>
    <t>#10 Gummed Flap White Envelopes, 100/Box</t>
  </si>
  <si>
    <t>GBC Standard Plastic Binding Systems' Combs</t>
  </si>
  <si>
    <t>Hon 94000 Series Round Tables</t>
  </si>
  <si>
    <t>Binney &amp; Smith Crayola Metallic Colored Pencils, 8-Color Set</t>
  </si>
  <si>
    <t>White Business Envelopes with Contemporary Seam, Recycled White Business Envelopes</t>
  </si>
  <si>
    <t>GBC Therma-A-Bind 250T Electric Binding System</t>
  </si>
  <si>
    <t>Document Clip Frames</t>
  </si>
  <si>
    <t>Logitech diNovo Edge Keyboard</t>
  </si>
  <si>
    <t>Eldon Image Series Black Desk Accessories</t>
  </si>
  <si>
    <t>Office Star Flex Back Scooter Chair with White Frame</t>
  </si>
  <si>
    <t>9-3/4 Diameter Round Wall Clock</t>
  </si>
  <si>
    <t>Avery 513</t>
  </si>
  <si>
    <t>HP Standard 104 key PS/2 Keyboard</t>
  </si>
  <si>
    <t>Xerox 1963</t>
  </si>
  <si>
    <t>Avery Self-Adhesive Photo Pockets for Polaroid Photos</t>
  </si>
  <si>
    <t>Cubify CubeX 3D Printer Triple Head Print</t>
  </si>
  <si>
    <t>Eureka The Boss Plus 12-Amp Hard Box Upright Vacuum, Red</t>
  </si>
  <si>
    <t>Adams Telephone Message Books, 5 1/4” x 11”</t>
  </si>
  <si>
    <t>Motorola Moto X</t>
  </si>
  <si>
    <t>Self-Adhesive Ring Binder Labels</t>
  </si>
  <si>
    <t>NETGEAR AC1750 Dual Band Gigabit Smart WiFi Router</t>
  </si>
  <si>
    <t>Enermax Aurora Lite Keyboard</t>
  </si>
  <si>
    <t>Xerox 202</t>
  </si>
  <si>
    <t>Anker Astro 15000mAh USB Portable Charger</t>
  </si>
  <si>
    <t>Avery Premier Heavy-Duty Binder with Round Locking Rings</t>
  </si>
  <si>
    <t>Decoflex Hanging Personal Folder File</t>
  </si>
  <si>
    <t>SANFORD Liquid Accent Tank-Style Highlighters</t>
  </si>
  <si>
    <t>Avery 503</t>
  </si>
  <si>
    <t>Hon 2090 “Pillow Soft” Series Mid Back Swivel/Tilt Chairs</t>
  </si>
  <si>
    <t>Anker Ultra-Slim Mini Bluetooth 3.0 Wireless Keyboard</t>
  </si>
  <si>
    <t>Plantronics CS 50-USB - headset - Convertible, Monaural</t>
  </si>
  <si>
    <t>Bevis Rectangular Conference Tables</t>
  </si>
  <si>
    <t>Holmes Odor Grabber</t>
  </si>
  <si>
    <t>Maxell CD-R Discs</t>
  </si>
  <si>
    <t>Safco Wire Cube Shelving System, For Use as 4 or 5 14" Cubes, Black</t>
  </si>
  <si>
    <t>Logitech G602 Wireless Gaming Mouse</t>
  </si>
  <si>
    <t>DYMO CardScan Personal V9 Business Card Scanner</t>
  </si>
  <si>
    <t>Case Logic 2.4GHz Wireless Keyboard</t>
  </si>
  <si>
    <t>Adtran 1202752G1</t>
  </si>
  <si>
    <t>Tenex Antistatic Computer Chair Mats</t>
  </si>
  <si>
    <t>GBC Imprintable Covers</t>
  </si>
  <si>
    <t>GBC VeloBinder Strips</t>
  </si>
  <si>
    <t>12 Colored Short Pencils</t>
  </si>
  <si>
    <t>Eureka The Boss Lite 10-Amp Upright Vacuum, Blue</t>
  </si>
  <si>
    <t>Prestige Round Ring Binders</t>
  </si>
  <si>
    <t>Belkin OmniView SE Rackmount Kit</t>
  </si>
  <si>
    <t>Hoover Upright Vacuum With Dirt Cup</t>
  </si>
  <si>
    <t>Xerox 197</t>
  </si>
  <si>
    <t>Xerox 1978</t>
  </si>
  <si>
    <t>Tenex V2T-RE Standard Weight Series Chair Mat, 45" x 53", Lip 25" x 12"</t>
  </si>
  <si>
    <t>Fellowes Neat Ideas Storage Cubes</t>
  </si>
  <si>
    <t>Panasonic KX TS3282W Corded phone</t>
  </si>
  <si>
    <t>Avery 483</t>
  </si>
  <si>
    <t>Dixon Ticonderoga Maple Cedar Pencil, #2</t>
  </si>
  <si>
    <t>Epson TM-T88V Direct Thermal Printer - Monochrome - Desktop</t>
  </si>
  <si>
    <t>Accohide Poly Flexible Ring Binders</t>
  </si>
  <si>
    <t>KeyTronic 6101 Series - Keyboard - Black</t>
  </si>
  <si>
    <t>Deflect-o EconoMat Nonstudded, No Bevel Mat</t>
  </si>
  <si>
    <t>Personal Folder Holder, Ebony</t>
  </si>
  <si>
    <t>PureGear Roll-On Screen Protector</t>
  </si>
  <si>
    <t>Global Leather Highback Executive Chair with Pneumatic Height Adjustment, Black</t>
  </si>
  <si>
    <t>Boston Electric Pencil Sharpener, Model 1818, Charcoal Black</t>
  </si>
  <si>
    <t>Tops Green Bar Computer Printout Paper</t>
  </si>
  <si>
    <t>Tennsco Regal Shelving Units</t>
  </si>
  <si>
    <t>Xerox 1933</t>
  </si>
  <si>
    <t>Tenex "The Solids" Textured Chair Mats</t>
  </si>
  <si>
    <t>iOttie HLCRIO102 Car Mount</t>
  </si>
  <si>
    <t>Hewlett Packard 610 Color Digital Copier / Printer</t>
  </si>
  <si>
    <t>Panasonic KP-380BK Classic Electric Pencil Sharpener</t>
  </si>
  <si>
    <t>Bionaire 99.97% HEPA Air Cleaner</t>
  </si>
  <si>
    <t>Atlantic Metals Mobile 2-Shelf Bookcases, Custom Colors</t>
  </si>
  <si>
    <t>Xerox 1938</t>
  </si>
  <si>
    <t>Howard Miller 13" Diameter Goldtone Round Wall Clock</t>
  </si>
  <si>
    <t>Angle-D Binders with Locking Rings, Label Holders</t>
  </si>
  <si>
    <t>BIC Liqua Brite Liner</t>
  </si>
  <si>
    <t>Xerox 194</t>
  </si>
  <si>
    <t>Xerox 211</t>
  </si>
  <si>
    <t>Avery 487</t>
  </si>
  <si>
    <t>Square Credit Card Reader</t>
  </si>
  <si>
    <t>Xerox 1901</t>
  </si>
  <si>
    <t>Executive Impressions 13-1/2" Indoor/Outdoor Wall Clock</t>
  </si>
  <si>
    <t>Hoover Shoulder Vac Commercial Portable Vacuum</t>
  </si>
  <si>
    <t>Bush Andora Conference Table, Maple/Graphite Gray Finish</t>
  </si>
  <si>
    <t>Avery Hi-Liter GlideStik Fluorescent Highlighter, Yellow Ink</t>
  </si>
  <si>
    <t>Coloredge Poster Frame</t>
  </si>
  <si>
    <t>Floodlight Indoor Halogen Bulbs, 1 Bulb per Pack, 60 Watts</t>
  </si>
  <si>
    <t>Novimex High-Tech Fabric Mesh Task Chair</t>
  </si>
  <si>
    <t>Sanford Uni-Blazer View Highlighters, Chisel Tip, Yellow</t>
  </si>
  <si>
    <t>Sauder Camden County Collection Libraries, Planked Cherry Finish</t>
  </si>
  <si>
    <t>Boston KS Multi-Size Manual Pencil Sharpener</t>
  </si>
  <si>
    <t>Advantus T-Pin Paper Clips</t>
  </si>
  <si>
    <t>Recycled Eldon Regeneration Jumbo File</t>
  </si>
  <si>
    <t>Newell 332</t>
  </si>
  <si>
    <t>3D Systems Cube Printer, 2nd Generation, White</t>
  </si>
  <si>
    <t>Speck Products Candyshell Flip Case</t>
  </si>
  <si>
    <t>OIC Stacking Trays</t>
  </si>
  <si>
    <t>Xerox 1959</t>
  </si>
  <si>
    <t>Xerox 22</t>
  </si>
  <si>
    <t xml:space="preserve">Iceberg Mobile Mega Data/Printer Cart </t>
  </si>
  <si>
    <t>Ames Color-File Green Diamond Border X-ray Mailers</t>
  </si>
  <si>
    <t>Sauder Forest Hills Library, Woodland Oak Finish</t>
  </si>
  <si>
    <t>Hon Deluxe Fabric Upholstered Stacking Chairs</t>
  </si>
  <si>
    <t>Office Star - Professional Matrix Back Chair with 2-to-1 Synchro Tilt and Mesh Fabric Seat</t>
  </si>
  <si>
    <t>Luxo Professional Fluorescent Magnifier Lamp with Clamp-Mount Base</t>
  </si>
  <si>
    <t>Xerox 210</t>
  </si>
  <si>
    <t>Blue String-Tie &amp; Button Interoffice Envelopes, 10 x 13</t>
  </si>
  <si>
    <t>Round Specialty Laser Printer Labels</t>
  </si>
  <si>
    <t>Executive Impressions 13" Chairman Wall Clock</t>
  </si>
  <si>
    <t>Kensington 7 Outlet MasterPiece Power Center with Fax/Phone Line Protection</t>
  </si>
  <si>
    <t>Panasonic Business Telephones KX-T7736</t>
  </si>
  <si>
    <t>Contemporary Borderless Frame</t>
  </si>
  <si>
    <t>Advantus Push Pins, Aluminum Head</t>
  </si>
  <si>
    <t>Sabrent 4-Port USB 2.0 Hub</t>
  </si>
  <si>
    <t>AT&amp;T SB67148 SynJ</t>
  </si>
  <si>
    <t>Recycled Pressboard Report Cover with Reinforced Top Hinge</t>
  </si>
  <si>
    <t>Jabra BIZ 2300 Duo QD Duo Corded Headset</t>
  </si>
  <si>
    <t>Quality Park Security Envelopes</t>
  </si>
  <si>
    <t>Cisco SPA112 2 Port Phone Adapter</t>
  </si>
  <si>
    <t>Ultra Door Kickplate, 8"H x 34"W</t>
  </si>
  <si>
    <t>Advantus Panel Wall Acrylic Frame</t>
  </si>
  <si>
    <t>3-ring staple pack</t>
  </si>
  <si>
    <t>Fellowes Advanced Computer Series Surge Protectors</t>
  </si>
  <si>
    <t>ClearOne CHATAttach 160 - speaker phone</t>
  </si>
  <si>
    <t>Office Star - Mid Back Dual function Ergonomic High Back Chair with 2-Way Adjustable Arms</t>
  </si>
  <si>
    <t>Sanford 52201 APSCO Electric Pencil Sharpener</t>
  </si>
  <si>
    <t>Macally Suction Cup Mount</t>
  </si>
  <si>
    <t>Hon GuestStacker Chair</t>
  </si>
  <si>
    <t>AT&amp;T CL2909</t>
  </si>
  <si>
    <t>Belkin 8 Outlet Surge Protector</t>
  </si>
  <si>
    <t>Avery 520</t>
  </si>
  <si>
    <t>Belkin F9H710-06 7 Outlet SurgeMaster Surge Protector</t>
  </si>
  <si>
    <t>Elite 5" Scissors</t>
  </si>
  <si>
    <t>Safco Chair Connectors, 6/Carton</t>
  </si>
  <si>
    <t>Hand-Finished Solid Wood Document Frame</t>
  </si>
  <si>
    <t>DIXON Ticonderoga Erasable Checking Pencils</t>
  </si>
  <si>
    <t>Xerox 1956</t>
  </si>
  <si>
    <t>Advantus Rolling Drawer Organizers</t>
  </si>
  <si>
    <t>First Data TMFD35 PIN Pad</t>
  </si>
  <si>
    <t>Okidata C610n Printer</t>
  </si>
  <si>
    <t>Tensor "Hersey Kiss" Styled Floor Lamp</t>
  </si>
  <si>
    <t>Xerox 1960</t>
  </si>
  <si>
    <t>Logitech ClearChat Comfort/USB Headset H390</t>
  </si>
  <si>
    <t>GBC Wire Binding Combs</t>
  </si>
  <si>
    <t>Cyber Acoustics AC-202b Speech Recognition Stereo Headset</t>
  </si>
  <si>
    <t>Xerox 1995</t>
  </si>
  <si>
    <t>Ibico EPK-21 Electric Binding System</t>
  </si>
  <si>
    <t>Sharp AL-1530CS Digital Copier</t>
  </si>
  <si>
    <t>Wirebound Service Call Books, 5 1/2" x 4"</t>
  </si>
  <si>
    <t>C-Line Cubicle Keepers Polyproplyene Holder w/Velcro Back, 8-1/2x11, 25/Bx</t>
  </si>
  <si>
    <t>Akro-Mils 12-Gallon Tote</t>
  </si>
  <si>
    <t>Tenex Traditional Chairmats for Hard Floors, Average Lip, 36" x 48"</t>
  </si>
  <si>
    <t>Standard Line “While You Were Out” Hardbound Telephone Message Book</t>
  </si>
  <si>
    <t>Hoover WindTunnel Plus Canister Vacuum</t>
  </si>
  <si>
    <t>Nortel Business Series Terminal T7208 Digital phone</t>
  </si>
  <si>
    <t>Xerox 1946</t>
  </si>
  <si>
    <t>Xerox 1921</t>
  </si>
  <si>
    <t>Harmony Air Purifier</t>
  </si>
  <si>
    <t>Bretford “Just In Time” Height-Adjustable Multi-Task Work Tables</t>
  </si>
  <si>
    <t>Electrix Halogen Magnifier Lamp</t>
  </si>
  <si>
    <t>Hoover Commercial Lightweight Upright Vacuum</t>
  </si>
  <si>
    <t>Pastel Pink Envelopes</t>
  </si>
  <si>
    <t>Rubbermaid ClusterMat Chairmats, Mat Size- 66" x 60", Lip 20" x 11" -90 Degree Angle</t>
  </si>
  <si>
    <t>Master Giant Foot Doorstop, Safety Yellow</t>
  </si>
  <si>
    <t>Newell 307</t>
  </si>
  <si>
    <t>Peel &amp; Stick Add-On Corner Pockets</t>
  </si>
  <si>
    <t>Eureka Sanitaire  Commercial Upright</t>
  </si>
  <si>
    <t>GBC Plastic Binding Combs</t>
  </si>
  <si>
    <t>Deflect-o Glass Clear Studded Chair Mats</t>
  </si>
  <si>
    <t>Bush Saratoga Collection 5-Shelf Bookcase, Hanover Cherry, *Special Order</t>
  </si>
  <si>
    <t>Office Star - Contemporary Swivel Chair with Padded Adjustable Arms and Flex Back</t>
  </si>
  <si>
    <t>Sanford Pocket Accent Highlighters</t>
  </si>
  <si>
    <t>Newell 327</t>
  </si>
  <si>
    <t>Newell 335</t>
  </si>
  <si>
    <t>Ideal Clamps</t>
  </si>
  <si>
    <t>Xerox Color Copier Paper, 11" x 17", Ream</t>
  </si>
  <si>
    <t>Newell 317</t>
  </si>
  <si>
    <t>Jabra SPEAK 410</t>
  </si>
  <si>
    <t>iKross Bluetooth Portable Keyboard + Cell Phone Stand Holder + Brush for Apple iPhone 5S 5C 5, 4S 4</t>
  </si>
  <si>
    <t>Bevis Round Bullnose 29" High Table Top</t>
  </si>
  <si>
    <t>Holmes Replacement Filter for HEPA Air Cleaner, Large Room</t>
  </si>
  <si>
    <t>Binney &amp; Smith Crayola Metallic Crayons, 16-Color Pack</t>
  </si>
  <si>
    <t>Personal Filing Tote with Lid, Black/Gray</t>
  </si>
  <si>
    <t>Ink Jet Note and Greeting Cards, 8-1/2" x 5-1/2" Card Size</t>
  </si>
  <si>
    <t>Tyvek Interoffice Envelopes, 9 1/2" x 12 1/2", 100/Box</t>
  </si>
  <si>
    <t>Iceberg Nesting Folding Chair, 19w x 6d x 43h</t>
  </si>
  <si>
    <t>Avery Triangle Shaped Sheet Lifters, Black, 2/Pack</t>
  </si>
  <si>
    <t>Hon Rectangular Conference Tables</t>
  </si>
  <si>
    <t>AT&amp;T 17929 Lendline Telephone</t>
  </si>
  <si>
    <t>Tuff Stuff Recycled Round Ring Binders</t>
  </si>
  <si>
    <t>Memorex Micro Travel Drive 4 GB</t>
  </si>
  <si>
    <t>Recycled Desk Saver Line "While You Were Out" Book, 5 1/2" X 4"</t>
  </si>
  <si>
    <t>Acco Economy Flexible Poly Round Ring Binder</t>
  </si>
  <si>
    <t>Computer Printout Index Tabs</t>
  </si>
  <si>
    <t>Eldon Mobile Mega Data Cart  Mega Stackable  Add-On Trays</t>
  </si>
  <si>
    <t>Acco Glide Clips</t>
  </si>
  <si>
    <t>Panasonic KP-350BK Electric Pencil Sharpener with Auto Stop</t>
  </si>
  <si>
    <t>Gear Head AU3700S Headset</t>
  </si>
  <si>
    <t>GBC Binding covers</t>
  </si>
  <si>
    <t>Cardinal Hold-It CD Pocket</t>
  </si>
  <si>
    <t>Newell 31</t>
  </si>
  <si>
    <t>Embossed Ink Jet Note Cards</t>
  </si>
  <si>
    <t>GBC Wire Binding Strips</t>
  </si>
  <si>
    <t>Executive Impressions 10" Spectator Wall Clock</t>
  </si>
  <si>
    <t>Global Manager's Adjustable Task Chair, Storm</t>
  </si>
  <si>
    <t>Avery 479</t>
  </si>
  <si>
    <t>Fiskars Home &amp; Office Scissors</t>
  </si>
  <si>
    <t>Round Ring Binders</t>
  </si>
  <si>
    <t>Panasonic KX MC6040 Color Laser Multifunction Printer</t>
  </si>
  <si>
    <t>Global Stack Chair with Arms, Black</t>
  </si>
  <si>
    <t>Luxo Adjustable Task Clamp Lamp</t>
  </si>
  <si>
    <t>Tennsco Snap-Together Open Shelving Units, Starter Sets and Add-On Units</t>
  </si>
  <si>
    <t>Wireless Extenders zBoost YX545 SOHO Signal Booster</t>
  </si>
  <si>
    <t>Permanent Self-Adhesive File Folder Labels for Typewriters, 1 1/8 x 3 1/2, White</t>
  </si>
  <si>
    <t>LG G2</t>
  </si>
  <si>
    <t>Seth Thomas 14" Day/Date Wall Clock</t>
  </si>
  <si>
    <t>Texas Instrument TI-15 Fraction Calculator</t>
  </si>
  <si>
    <t>GBC Laser Imprintable Binding System Covers, Desert Sand</t>
  </si>
  <si>
    <t>Eldon "L" Workstation Diamond Chairmat</t>
  </si>
  <si>
    <t>Eldon Expressions Wood and Plastic Desk Accessories, Oak</t>
  </si>
  <si>
    <t>Black Print Carbonless 8 1/2" x 8 1/4" Rapid Memo Book</t>
  </si>
  <si>
    <t>Avery White Multi-Purpose Labels</t>
  </si>
  <si>
    <t>Stockwell Gold Paper Clips</t>
  </si>
  <si>
    <t>Strathmore Photo Frame Cards</t>
  </si>
  <si>
    <t>Imation 32GB Pocket Pro USB 3.0 Flash Drive - 32 GB - Black - 1 P ...</t>
  </si>
  <si>
    <t>AT&amp;T TR1909W</t>
  </si>
  <si>
    <t>Ibico Laser Imprintable Binding System Covers</t>
  </si>
  <si>
    <t>Hon Non-Folding Utility Tables</t>
  </si>
  <si>
    <t>Belkin F5C206VTEL 6 Outlet Surge</t>
  </si>
  <si>
    <t>Fellowes Personal Hanging Folder Files, Navy</t>
  </si>
  <si>
    <t>Adams Phone Message Book, Professional, 400 Message Capacity, 5 3/6” x 11”</t>
  </si>
  <si>
    <t>Avery 477</t>
  </si>
  <si>
    <t>Hunt BOSTON Vista Battery-Operated Pencil Sharpener, Black</t>
  </si>
  <si>
    <t>Xerox 204</t>
  </si>
  <si>
    <t>Imation 30456 USB Flash Drive 8GB</t>
  </si>
  <si>
    <t>Bush Westfield Collection Bookcases, Dark Cherry Finish</t>
  </si>
  <si>
    <t>Snap-A-Way Black Print Carbonless Ruled Speed Letter, Triplicate</t>
  </si>
  <si>
    <t>Alliance Big Bands Rubber Bands, 12/Pack</t>
  </si>
  <si>
    <t>Howard Miller 16" Diameter Gallery Wall Clock</t>
  </si>
  <si>
    <t>O'Sullivan 5-Shelf Heavy-Duty Bookcases</t>
  </si>
  <si>
    <t>Electrix 20W Halogen Replacement Bulb for Zoom-In Desk Lamp</t>
  </si>
  <si>
    <t>Fellowes Econo/Stor Drawers</t>
  </si>
  <si>
    <t>Xerox 1964</t>
  </si>
  <si>
    <t>Honeywell Enviracaire Portable HEPA Air Cleaner for up to 10 x 16 Room</t>
  </si>
  <si>
    <t>3M Polarizing Light Filter Sleeves</t>
  </si>
  <si>
    <t>Hon 4060 Series Tables</t>
  </si>
  <si>
    <t>Holmes Cool Mist Humidifier for the Whole House with 8-Gallon Output per Day, Extended Life Filter</t>
  </si>
  <si>
    <t>Eldon Regeneration Recycled Desk Accessories, Black</t>
  </si>
  <si>
    <t>Sauder Camden County Collection Library</t>
  </si>
  <si>
    <t>Universal Premium White Copier/Laser Paper (20Lb. and 87 Bright)</t>
  </si>
  <si>
    <t>Global Push Button Manager's Chair, Indigo</t>
  </si>
  <si>
    <t>Sauder Facets Collection Locker/File Cabinet, Sky Alder Finish</t>
  </si>
  <si>
    <t>Tenex Chairmat w/ Average Lip, 45" x 53"</t>
  </si>
  <si>
    <t>SAFCO Commercial Wire Shelving, 72h</t>
  </si>
  <si>
    <t>Euro-Pro Shark Turbo Vacuum</t>
  </si>
  <si>
    <t>Ultra Door Pull Handle</t>
  </si>
  <si>
    <t>Wilson Jones DublLock D-Ring Binders</t>
  </si>
  <si>
    <t>Hewlett-Packard Deskjet 3050a All-in-One Color Inkjet Printer</t>
  </si>
  <si>
    <t>Micropad Numeric Keypads</t>
  </si>
  <si>
    <t>Fellowes Strictly Business Drawer File, Letter/Legal Size</t>
  </si>
  <si>
    <t>Konica Minolta magicolor 1690MF Multifunction Printer</t>
  </si>
  <si>
    <t>Memorex Mini Travel Drive 32 GB USB 2.0 Flash Drive</t>
  </si>
  <si>
    <t>NETGEAR RangeMax WNR1000 Wireless Router</t>
  </si>
  <si>
    <t>AT&amp;T 1080 Phone</t>
  </si>
  <si>
    <t>Logitech G500s Laser Gaming Mouse with Adjustable Weight Tuning</t>
  </si>
  <si>
    <t>Howard Miller 11-1/2" Diameter Ridgewood Wall Clock</t>
  </si>
  <si>
    <t>Tops Wirebound Message Log Books</t>
  </si>
  <si>
    <t>Nu-Dell Float Frame 11 x 14 1/2</t>
  </si>
  <si>
    <t>Advantus SlideClip Paper Clips</t>
  </si>
  <si>
    <t>Southworth 25% Cotton Granite Paper &amp; Envelopes</t>
  </si>
  <si>
    <t>Grandstream GXP2100 Mainstream Business Phone</t>
  </si>
  <si>
    <t>Avery Hanging File Binders</t>
  </si>
  <si>
    <t>Recycled Interoffice Envelopes with Re-Use-A-Seal Closure, 10 x 13</t>
  </si>
  <si>
    <t>Newell 340</t>
  </si>
  <si>
    <t>Holmes 99% HEPA Air Purifier</t>
  </si>
  <si>
    <t>Recycled Premium Regency Composition Covers</t>
  </si>
  <si>
    <t>DAX Contemporary Wood Frame with Silver Metal Mat, Desktop, 11 x 14 Size</t>
  </si>
  <si>
    <t>BlueLounge Milo Smartphone Stand, White/Metallic</t>
  </si>
  <si>
    <t>SmartStand Mobile Device Holder, Assorted Colors</t>
  </si>
  <si>
    <t>Portable Personal File Box</t>
  </si>
  <si>
    <t>Xiaomi Mi3</t>
  </si>
  <si>
    <t>Xerox 1896</t>
  </si>
  <si>
    <t>Global Adaptabilities Conference Tables</t>
  </si>
  <si>
    <t>Newell 315</t>
  </si>
  <si>
    <t>Samsung Convoy 3</t>
  </si>
  <si>
    <t>Eldon Base for stackable storage shelf, platinum</t>
  </si>
  <si>
    <t>Executive Impressions 14" Contract Wall Clock with Quartz Movement</t>
  </si>
  <si>
    <t>Eldon Cleatmat Plus Chair Mats for High Pile Carpets</t>
  </si>
  <si>
    <t>Cardinal Holdit Data Disk Pockets</t>
  </si>
  <si>
    <t>Laminate Occasional Tables</t>
  </si>
  <si>
    <t>Cherry 142-key Programmable Keyboard</t>
  </si>
  <si>
    <t>Strathmore #10 Envelopes, Ultimate White</t>
  </si>
  <si>
    <t>Serrated Blade or Curved Handle Hand Letter Openers</t>
  </si>
  <si>
    <t>Xerox 229</t>
  </si>
  <si>
    <t>Honeywell Enviracaire Portable HEPA Air Cleaner for 16' x 20' Room</t>
  </si>
  <si>
    <t>Boston 16750 Black Compact Battery Pencil Sharpener</t>
  </si>
  <si>
    <t>Xerox 1892</t>
  </si>
  <si>
    <t>Okidata B401 Printer</t>
  </si>
  <si>
    <t>Xerox 223</t>
  </si>
  <si>
    <t>Southworth Structures Collection</t>
  </si>
  <si>
    <t>Logitech VX Revolution Cordless Laser Mouse for Notebooks (Black)</t>
  </si>
  <si>
    <t>Apple iPhone 5C</t>
  </si>
  <si>
    <t>Xerox 1929</t>
  </si>
  <si>
    <t>Xerox 1986</t>
  </si>
  <si>
    <t>Linden 12" Wall Clock With Oak Frame</t>
  </si>
  <si>
    <t>Pizazz Global Quick File</t>
  </si>
  <si>
    <t>Chromcraft Bull-Nose Wood 48" x 96" Rectangular Conference Tables</t>
  </si>
  <si>
    <t>Panasonic KP-150 Electric Pencil Sharpener</t>
  </si>
  <si>
    <t>Xerox 193</t>
  </si>
  <si>
    <t>WD My Passport Ultra 500GB Portable External Hard Drive</t>
  </si>
  <si>
    <t>Xerox 1944</t>
  </si>
  <si>
    <t>Executive Impressions 8-1/2" Career Panel/Partition Cubicle Clock</t>
  </si>
  <si>
    <t>Bush Westfield Collection Bookcases, Dark Cherry Finish, Fully Assembled</t>
  </si>
  <si>
    <t>Okidata C331dn Printer</t>
  </si>
  <si>
    <t>Alliance Super-Size Bands, Assorted Sizes</t>
  </si>
  <si>
    <t>Zebra GK420t Direct Thermal/Thermal Transfer Printer</t>
  </si>
  <si>
    <t>Memorex Mini Travel Drive 64 GB USB 2.0 Flash Drive</t>
  </si>
  <si>
    <t>Xerox 1965</t>
  </si>
  <si>
    <t>Belkin 7 Outlet SurgeMaster II</t>
  </si>
  <si>
    <t>Hammermill Color Copier Paper (28Lb. and 96 Bright)</t>
  </si>
  <si>
    <t>Eldon Expressions Mahogany Wood Desk Collection</t>
  </si>
  <si>
    <t>Avery Heavy-Duty EZD View Binder with Locking Rings</t>
  </si>
  <si>
    <t>Xerox 232</t>
  </si>
  <si>
    <t>Acme Design Stainless Steel Bent Scissors</t>
  </si>
  <si>
    <t>Avery 51</t>
  </si>
  <si>
    <t>Letter Slitter</t>
  </si>
  <si>
    <t>Avery Heavy-Duty EZD  Binder With Locking Rings</t>
  </si>
  <si>
    <t>Southworth Parchment Paper &amp; Envelopes</t>
  </si>
  <si>
    <t>Eldon Pizzaz Desk Accessories</t>
  </si>
  <si>
    <t>Polycom CX300 Desktop Phone USB VoIP phone</t>
  </si>
  <si>
    <t>Turquoise Lead Holder with Pocket Clip</t>
  </si>
  <si>
    <t>Lexmark X 9575 Professional All-in-One Color Printer</t>
  </si>
  <si>
    <t>Xerox 224</t>
  </si>
  <si>
    <t>Lunatik TT5L-002 Taktik Strike Impact Protection System for iPhone 5</t>
  </si>
  <si>
    <t>Stur-D-Stor Shelving, Vertical 5-Shelf: 72"H x 36"W x 18 1/2"D</t>
  </si>
  <si>
    <t>Xerox 1976</t>
  </si>
  <si>
    <t>Cameo Buff Policy Envelopes</t>
  </si>
  <si>
    <t>Boston Model 1800 Electric Pencil Sharpener, Gray</t>
  </si>
  <si>
    <t>Bretford CR8500 Series Meeting Room Furniture</t>
  </si>
  <si>
    <t>Memorex Froggy Flash Drive 4 GB</t>
  </si>
  <si>
    <t>Petty Cash Envelope</t>
  </si>
  <si>
    <t>Maxell 4.7GB DVD+RW 3/Pack</t>
  </si>
  <si>
    <t>Advantus Motivational Note Cards</t>
  </si>
  <si>
    <t>Newell 329</t>
  </si>
  <si>
    <t>Canon PC1060 Personal Laser Copier</t>
  </si>
  <si>
    <t>Inter-Office Recycled Envelopes, Brown Kraft, Button-String,10" x 13" , 100/Box</t>
  </si>
  <si>
    <t>Cisco Unified IP Phone 7945G VoIP phone</t>
  </si>
  <si>
    <t>Acco Hanging Data Binders</t>
  </si>
  <si>
    <t>Belkin Grip Candy Sheer Case / Cover for iPhone 5 and 5S</t>
  </si>
  <si>
    <t>Portfile Personal File Boxes</t>
  </si>
  <si>
    <t>Avery 484</t>
  </si>
  <si>
    <t>Xerox 1979</t>
  </si>
  <si>
    <t>Binney &amp; Smith inkTank Erasable Pocket Highlighter, Chisel Tip, Yellow</t>
  </si>
  <si>
    <t>Acme Rosewood Handle Letter Opener</t>
  </si>
  <si>
    <t>SKILCRAFT Telephone Shoulder Rest, 2" x 6.5" x 2.5", Black</t>
  </si>
  <si>
    <t>Avery 488</t>
  </si>
  <si>
    <t>HTC One Mini</t>
  </si>
  <si>
    <t>Perma STOR-ALL Hanging File Box, 13 1/8"W x 12 1/4"D x 10 1/2"H</t>
  </si>
  <si>
    <t>Texas Instruments TI-34 Scientific Calculator</t>
  </si>
  <si>
    <t>Plantronics Voyager Pro Legend</t>
  </si>
  <si>
    <t>Avery Round Ring Poly Binders</t>
  </si>
  <si>
    <t>Xerox 1954</t>
  </si>
  <si>
    <t>Barricks Non-Folding Utility Table with Steel Legs, Laminate Tops</t>
  </si>
  <si>
    <t>Eldon ClusterMat Chair Mat with Cordless Antistatic Protection</t>
  </si>
  <si>
    <t>Gould Plastics 9-Pocket Panel Bin, 18-3/8w x 5-1/4d x 20-1/2h, Black</t>
  </si>
  <si>
    <t>Xerox 1889</t>
  </si>
  <si>
    <t>Safco Value Mate Series Steel Bookcases, Baked Enamel Finish on Steel, Gray</t>
  </si>
  <si>
    <t>Deflect-O Glasstique Clear Desk Accessories</t>
  </si>
  <si>
    <t>Zebra GX420t Direct Thermal/Thermal Transfer Printer</t>
  </si>
  <si>
    <t>Griffin GC36547 PowerJolt SE Lightning Charger</t>
  </si>
  <si>
    <t>SanDisk Cruzer 4 GB USB Flash Drive</t>
  </si>
  <si>
    <t>Pressboard Data Binder, Crimson, 12" X 8 1/2"</t>
  </si>
  <si>
    <t>GE 2-Jack Phone Line Splitter</t>
  </si>
  <si>
    <t>Brother MFC-9340CDW LED All-In-One Printer, Copier Scanner</t>
  </si>
  <si>
    <t>Panasonic KX T7731-B Digital phone</t>
  </si>
  <si>
    <t>Avaya 4621SW VoIP phone</t>
  </si>
  <si>
    <t>Avery Hi-Liter Pen Style Six-Color Fluorescent Set</t>
  </si>
  <si>
    <t>KeyTronic KT400U2 - Keyboard - Black</t>
  </si>
  <si>
    <t>Memorex Mini Travel Drive 4 GB USB 2.0 Flash Drive</t>
  </si>
  <si>
    <t>Cisco IP Phone 7961G VoIP phone - Dark gray</t>
  </si>
  <si>
    <t>Okidata MB760 Printer</t>
  </si>
  <si>
    <t>Avery 516</t>
  </si>
  <si>
    <t>O'Sullivan Living Dimensions 5-Shelf Bookcases</t>
  </si>
  <si>
    <t>Fellowes Bankers Box Recycled Super Stor/Drawer</t>
  </si>
  <si>
    <t>Message Book, Standard Line "While You Were Out", 5 1/2" X 4", 200 Sets/Book</t>
  </si>
  <si>
    <t>Array Parchment Paper, Assorted Colors</t>
  </si>
  <si>
    <t>Hon 2111 Invitation Series Corner Table</t>
  </si>
  <si>
    <t>Penpower WorldCard Pro Card Scanner</t>
  </si>
  <si>
    <t>Canon Color ImageCLASS MF8580Cdw Wireless Laser All-In-One Printer, Copier, Scanner</t>
  </si>
  <si>
    <t>While You Were Out Pads, 50 per Pad, 4 x 5 1/4, Green Cycle</t>
  </si>
  <si>
    <t>Xerox Blank Computer Paper</t>
  </si>
  <si>
    <t>Xerox 1957</t>
  </si>
  <si>
    <t>Eldon 100 Class Desk Accessories</t>
  </si>
  <si>
    <t>Sauder Inglewood Library Bookcases</t>
  </si>
  <si>
    <t>Panasonic KX MB2061 Multifunction Printer</t>
  </si>
  <si>
    <t>Southworth 100% Cotton The Best Paper</t>
  </si>
  <si>
    <t>Jawbone JAMBOX Wireless Bluetooth Speaker</t>
  </si>
  <si>
    <t>Xerox 1920</t>
  </si>
  <si>
    <t>Grip Seal Envelopes</t>
  </si>
  <si>
    <t>Smead Adjustable Mobile File Trolley with Lockable Top</t>
  </si>
  <si>
    <t>Snap-A-Way Black Print Carbonless Speed Message, No Reply Area, Duplicate</t>
  </si>
  <si>
    <t>Newell 316</t>
  </si>
  <si>
    <t>Cisco 8961 IP Phone Charcoal</t>
  </si>
  <si>
    <t>Xerox 1994</t>
  </si>
  <si>
    <t>Wilson Jones Custom Binder Spines &amp; Labels</t>
  </si>
  <si>
    <t>Newell 32</t>
  </si>
  <si>
    <t>Acme Design Line 8" Stainless Steel Bent Scissors w/Champagne Handles, 3-1/8" Cut</t>
  </si>
  <si>
    <t>Stiletto Hand Letter Openers</t>
  </si>
  <si>
    <t>Wilson Jones Hanging Recycled Pressboard Data Binders</t>
  </si>
  <si>
    <t>3M Replacement Filter for Office Air Cleaner for 20' x 33' Room</t>
  </si>
  <si>
    <t>Eldon Jumbo ProFile Portable File Boxes Graphite/Black</t>
  </si>
  <si>
    <t>Newell 342</t>
  </si>
  <si>
    <t>Memo Book, 100 Message Capacity, 5 3/8” x 11”</t>
  </si>
  <si>
    <t>Xerox 1983</t>
  </si>
  <si>
    <t>O'Sullivan Living Dimensions 3-Shelf Bookcases</t>
  </si>
  <si>
    <t>GE 4 Foot Flourescent Tube, 40 Watt</t>
  </si>
  <si>
    <t>Belkin 7 Outlet SurgeMaster Surge Protector with Phone Protection</t>
  </si>
  <si>
    <t>High Speed Automatic Electric Letter Opener</t>
  </si>
  <si>
    <t>Space Solutions Industrial Galvanized Steel Shelving.</t>
  </si>
  <si>
    <t>Rediform Voice Mail Log Books</t>
  </si>
  <si>
    <t>Honeywell Enviracaire Portable Air Cleaner for up to 8 x 10 Room</t>
  </si>
  <si>
    <t>Canon PC170 Desktop Personal Copier</t>
  </si>
  <si>
    <t>Ativa V4110MDD Micro-Cut Shredder</t>
  </si>
  <si>
    <t>RCA ViSYS 25423RE1 Corded phone</t>
  </si>
  <si>
    <t>AT&amp;T 1070 Corded Phone</t>
  </si>
  <si>
    <t>Staple-on labels</t>
  </si>
  <si>
    <t>Eldon 200 Class Desk Accessories, Black</t>
  </si>
  <si>
    <t>HP Designjet T520 Inkjet Large Format Printer - 24" Color</t>
  </si>
  <si>
    <t>Nokia Lumia 1020</t>
  </si>
  <si>
    <t>4009 Highlighters</t>
  </si>
  <si>
    <t>Fellowes Presentation Covers for Comb Binding Machines</t>
  </si>
  <si>
    <t>Acme Serrated Blade Letter Opener</t>
  </si>
  <si>
    <t>Plantronics HL10 Handset Lifter</t>
  </si>
  <si>
    <t>Enermax Acrylux Wireless Keyboard</t>
  </si>
  <si>
    <t>Star Micronics TSP800 TSP847IIU Receipt Printer</t>
  </si>
  <si>
    <t>Fellowes Super Stor/Drawer</t>
  </si>
  <si>
    <t>ShoreTel ShorePhone IP 230 VoIP phone</t>
  </si>
  <si>
    <t>Fellowes Advanced 8 Outlet Surge Suppressor with Phone/Fax Protection</t>
  </si>
  <si>
    <t>Avery 507</t>
  </si>
  <si>
    <t>Xerox 190</t>
  </si>
  <si>
    <t>Newell 313</t>
  </si>
  <si>
    <t>Logitech Keyboard K120</t>
  </si>
  <si>
    <t>Xerox 1932</t>
  </si>
  <si>
    <t>Avery Hi-Liter Comfort Grip Fluorescent Highlighter, Yellow Ink</t>
  </si>
  <si>
    <t>Maxell 4.7GB DVD-RW 3/Pack</t>
  </si>
  <si>
    <t>Stanley Contemporary Battery Pencil Sharpeners</t>
  </si>
  <si>
    <t>Polycom SoundStation2 EX Conference phone</t>
  </si>
  <si>
    <t>Xerox 20</t>
  </si>
  <si>
    <t>Master Caster Door Stop, Large Brown</t>
  </si>
  <si>
    <t>Avery Hi-Liter Fluorescent Desk Style Markers</t>
  </si>
  <si>
    <t>Rush Hierlooms Collection 1" Thick Stackable Bookcases</t>
  </si>
  <si>
    <t>Loose Memo Sheets</t>
  </si>
  <si>
    <t>Howard Miller 12-3/4 Diameter Accuwave DS  Wall Clock</t>
  </si>
  <si>
    <t>1/4 Fold Party Design Invitations &amp; White Envelopes, 24 8-1/2" X 11" Cards, 25 Env./Pack</t>
  </si>
  <si>
    <t>SanDisk Cruzer 8 GB USB Flash Drive</t>
  </si>
  <si>
    <t>Belkin Standard 104 key USB Keyboard</t>
  </si>
  <si>
    <t>Kensington 6 Outlet SmartSocket Surge Protector</t>
  </si>
  <si>
    <t>Ultra Commercial Grade Dual Valve Door Closer</t>
  </si>
  <si>
    <t>NeatDesk Desktop Scanner &amp; Digital Filing System</t>
  </si>
  <si>
    <t>Wilson Jones 14 Line Acrylic Coated Pressboard Data Binders</t>
  </si>
  <si>
    <t>RCA ViSYS 25825 Wireless digital phone</t>
  </si>
  <si>
    <t>Zebra ZM400 Thermal Label Printer</t>
  </si>
  <si>
    <t>Microsoft Arc Touch Mouse</t>
  </si>
  <si>
    <t>Nu-Dell EZ-Mount Plastic Wall Frames</t>
  </si>
  <si>
    <t>Eureka Hand Vacuum, Bagless</t>
  </si>
  <si>
    <t>Xblue XB-1670-86 X16 Small Office Telephone - Titanium</t>
  </si>
  <si>
    <t>Newell 308</t>
  </si>
  <si>
    <t>Lexmark S315 Color Inkjet Printer</t>
  </si>
  <si>
    <t>Star Micronics TSP100 TSP143LAN Receipt Printer</t>
  </si>
  <si>
    <t>Maxell DVD-RAM Discs</t>
  </si>
  <si>
    <t>Dell Slim USB Multimedia Keyboard</t>
  </si>
  <si>
    <t>Ativa MDM8000 8-Sheet Micro-Cut Shredder</t>
  </si>
  <si>
    <t>Seth Thomas 8 1/2" Cubicle Clock</t>
  </si>
  <si>
    <t>Rediform S.O.S. Phone Message Books</t>
  </si>
  <si>
    <t>Samsung Galaxy S4 Active</t>
  </si>
  <si>
    <t>Eldon Econocleat Chair Mats for Low Pile Carpets</t>
  </si>
  <si>
    <t>Samsung Galaxy Note 3</t>
  </si>
  <si>
    <t>Classic Ivory Antique Telephone ZL1810</t>
  </si>
  <si>
    <t>Xerox 1973</t>
  </si>
  <si>
    <t>Cisco 9971 IP Video Phone Charcoal</t>
  </si>
  <si>
    <t>Xerox 1974</t>
  </si>
  <si>
    <t>Belkin QODE FastFit Bluetooth Keyboard</t>
  </si>
  <si>
    <t>O'Sullivan Cherrywood Estates Traditional Barrister Bookcase</t>
  </si>
  <si>
    <t>Xerox 1990</t>
  </si>
  <si>
    <t>GE General Use Halogen Bulbs, 100 Watts, 1 Bulb per Pack</t>
  </si>
  <si>
    <t>Pyle PRT45 Retro Home Telephone</t>
  </si>
  <si>
    <t>Xerox 1922</t>
  </si>
  <si>
    <t>RCA H5401RE1 DECT 6.0 4-Line Cordless Handset With Caller ID/Call Waiting</t>
  </si>
  <si>
    <t>Boston 16701 Slimline Battery Pencil Sharpener</t>
  </si>
  <si>
    <t>Dana Fluorescent Magnifying Lamp, White, 36"</t>
  </si>
  <si>
    <t>Xerox 198</t>
  </si>
  <si>
    <t>Xerox 1902</t>
  </si>
  <si>
    <t>SanDisk Cruzer 16 GB USB Flash Drive</t>
  </si>
  <si>
    <t>Cisco SPA525G2 5-Line IP Phone</t>
  </si>
  <si>
    <t>Canon PC940 Copier</t>
  </si>
  <si>
    <t>Vtech AT&amp;T CL2940 Corded Speakerphone, Black</t>
  </si>
  <si>
    <t>Eldon Expressions Desk Accessory, Wood Pencil Holder, Oak</t>
  </si>
  <si>
    <t>Boston 1900 Electric Pencil Sharpener</t>
  </si>
  <si>
    <t>Kensington 6 Outlet MasterPiece HOMEOFFICE Power Control Center</t>
  </si>
  <si>
    <t>RCA ViSYS 25425RE1 Corded phone</t>
  </si>
  <si>
    <t>White GlueTop Scratch Pads</t>
  </si>
  <si>
    <t>Electrix Incandescent Magnifying Lamp, Black</t>
  </si>
  <si>
    <t>Hunt BOSTON Model 1606 High-Volume Electric Pencil Sharpener, Beige</t>
  </si>
  <si>
    <t>Park Ridge Embossed Executive Business Envelopes</t>
  </si>
  <si>
    <t>Holmes Harmony HEPA Air Purifier for 17 x 20 Room</t>
  </si>
  <si>
    <t>Geographics Note Cards, Blank, White, 8 1/2" x 11"</t>
  </si>
  <si>
    <t>Motorola Droid Maxx</t>
  </si>
  <si>
    <t>PNY Rapid USB Car Charger - Black</t>
  </si>
  <si>
    <t>Hon Deluxe Fabric Upholstered Stacking Chairs, Squared Back</t>
  </si>
  <si>
    <t>Canon imageCLASS MF7460 Monochrome Digital Laser Multifunction Copier</t>
  </si>
  <si>
    <t>Hewlett-Packard Deskjet D4360 Printer</t>
  </si>
  <si>
    <t>Maxell 74 Minute CD-R Spindle, 50/Pack</t>
  </si>
  <si>
    <t>Avaya IP Phone 1140E VoIP phone</t>
  </si>
  <si>
    <t>Avery Non-Stick Heavy Duty View Round Locking Ring Binders</t>
  </si>
  <si>
    <t>Global Italian Leather Office Chair</t>
  </si>
  <si>
    <t>Hewlett-Packard Deskjet F4180 All-in-One Color Ink-jet - Printer / copier / scanner</t>
  </si>
  <si>
    <t>Bevis Round Conference Room Tables and Bases</t>
  </si>
  <si>
    <t>Sterling Rubber Bands by Alliance</t>
  </si>
  <si>
    <t>Hon 30" x 60" Table with Locking Drawer</t>
  </si>
  <si>
    <t>EcoTones Memo Sheets</t>
  </si>
  <si>
    <t>Xerox WorkCentre 6505DN Laser Multifunction Printer</t>
  </si>
  <si>
    <t>Plantronics Single Ear Headset</t>
  </si>
  <si>
    <t>Sanitaire Vibra Groomer IR Commercial Upright Vacuum, Replacement Belts</t>
  </si>
  <si>
    <t>Xerox 1985</t>
  </si>
  <si>
    <t>Eldon File Chest Portable File</t>
  </si>
  <si>
    <t>Epson WorkForce WF-2530 All-in-One Printer, Copier Scanner</t>
  </si>
  <si>
    <t>AT&amp;T EL51110 DECT</t>
  </si>
  <si>
    <t>Jiffy Padded Mailers with Self-Seal Closure</t>
  </si>
  <si>
    <t>Cisco SPA 501G IP Phone</t>
  </si>
  <si>
    <t>Hon Metal Bookcases, Gray</t>
  </si>
  <si>
    <t>Logitech Illuminated Ultrathin Keyboard with Backlighting</t>
  </si>
  <si>
    <t>Acco 6 Outlet Guardian Basic Surge Suppressor</t>
  </si>
  <si>
    <t>Epson Perfection V600 Photo Scanner</t>
  </si>
  <si>
    <t>Sanford Colorific Scented Colored Pencils, 12/Pack</t>
  </si>
  <si>
    <t>Hewlett-Packard Deskjet 6540 Color Inkjet Printer</t>
  </si>
  <si>
    <t>Cisco TelePresence System EX90 Videoconferencing Unit</t>
  </si>
  <si>
    <t>Xerox 1926</t>
  </si>
  <si>
    <t>Xerox 1918</t>
  </si>
  <si>
    <t>Sorting improves data analysis by organizing information, simplifying comparisons, highlighting trends, and enabling faster, more accurate decision-making.</t>
  </si>
  <si>
    <t>Multi-level sorting is an essential data analysis tool that improves organization, accuracy, comparison, and decision-making by sorting data using multiple criteria.</t>
  </si>
  <si>
    <t>Start Date</t>
  </si>
  <si>
    <t>End Date</t>
  </si>
  <si>
    <t>Duration(days)</t>
  </si>
  <si>
    <t>Today</t>
  </si>
  <si>
    <t>Specific Date</t>
  </si>
  <si>
    <t>Day</t>
  </si>
  <si>
    <t>2024-01-15</t>
  </si>
  <si>
    <t>2024-03-10</t>
  </si>
  <si>
    <t>Date functions are essential for efficient data analysis as they automate date calculations, improve accuracy, save time, and support better reporting, planning, and decision-making.</t>
  </si>
  <si>
    <t>IF</t>
  </si>
  <si>
    <t>AND</t>
  </si>
  <si>
    <t>OR</t>
  </si>
  <si>
    <t>IFERROR</t>
  </si>
  <si>
    <t>Original</t>
  </si>
  <si>
    <t>UPPER</t>
  </si>
  <si>
    <t>LOWER</t>
  </si>
  <si>
    <t>PROPER</t>
  </si>
  <si>
    <t>TRIM</t>
  </si>
  <si>
    <t>LEN</t>
  </si>
  <si>
    <t>LEFT</t>
  </si>
  <si>
    <t>RIGHT</t>
  </si>
  <si>
    <t>MID</t>
  </si>
  <si>
    <t>SEARCH</t>
  </si>
  <si>
    <t>FIND</t>
  </si>
  <si>
    <t>CONCAT</t>
  </si>
  <si>
    <t xml:space="preserve">  john doe  </t>
  </si>
  <si>
    <t>Benefits of Using Go To (Special) for Data Cleaning</t>
  </si>
  <si>
    <r>
      <t>1. Quickly Identifies Specific Cells</t>
    </r>
    <r>
      <rPr>
        <sz val="11"/>
        <color theme="1"/>
        <rFont val="Calibri"/>
        <family val="2"/>
        <scheme val="minor"/>
      </rPr>
      <t xml:space="preserve"> – Finds blank cells, formulas, constants, comments, errors, and other special cell types instantly.</t>
    </r>
  </si>
  <si>
    <r>
      <t>2. Saves Time</t>
    </r>
    <r>
      <rPr>
        <sz val="11"/>
        <color theme="1"/>
        <rFont val="Calibri"/>
        <family val="2"/>
        <scheme val="minor"/>
      </rPr>
      <t xml:space="preserve"> – Eliminates the need to manually search through large datasets.</t>
    </r>
  </si>
  <si>
    <r>
      <t>3. Improves Data Accuracy</t>
    </r>
    <r>
      <rPr>
        <sz val="11"/>
        <color theme="1"/>
        <rFont val="Calibri"/>
        <family val="2"/>
        <scheme val="minor"/>
      </rPr>
      <t xml:space="preserve"> – Helps identify and correct missing values, errors, and inconsistencies.</t>
    </r>
  </si>
  <si>
    <r>
      <t>4. Simplifies Data Cleaning</t>
    </r>
    <r>
      <rPr>
        <sz val="11"/>
        <color theme="1"/>
        <rFont val="Calibri"/>
        <family val="2"/>
        <scheme val="minor"/>
      </rPr>
      <t xml:space="preserve"> – Makes it easy to delete, replace, or format selected cells in one step.</t>
    </r>
  </si>
  <si>
    <r>
      <t>5. Enhances Productivity</t>
    </r>
    <r>
      <rPr>
        <sz val="11"/>
        <color theme="1"/>
        <rFont val="Calibri"/>
        <family val="2"/>
        <scheme val="minor"/>
      </rPr>
      <t xml:space="preserve"> – Allows users to clean and organize large amounts of data efficiently.</t>
    </r>
  </si>
  <si>
    <r>
      <t>6. Supports Better Data Analysis</t>
    </r>
    <r>
      <rPr>
        <sz val="11"/>
        <color theme="1"/>
        <rFont val="Calibri"/>
        <family val="2"/>
        <scheme val="minor"/>
      </rPr>
      <t xml:space="preserve"> – Ensures datasets are complete, consistent, and ready for accurate analysis.</t>
    </r>
  </si>
  <si>
    <t>Quickly</t>
  </si>
  <si>
    <t>Identifies</t>
  </si>
  <si>
    <t>Specific</t>
  </si>
  <si>
    <t>Cells</t>
  </si>
  <si>
    <t>–</t>
  </si>
  <si>
    <t>Finds</t>
  </si>
  <si>
    <t>blank</t>
  </si>
  <si>
    <t>and</t>
  </si>
  <si>
    <t>other</t>
  </si>
  <si>
    <t>special</t>
  </si>
  <si>
    <t>cell</t>
  </si>
  <si>
    <t>types</t>
  </si>
  <si>
    <t>instantly.</t>
  </si>
  <si>
    <t>cells</t>
  </si>
  <si>
    <t>formulas</t>
  </si>
  <si>
    <t>constants</t>
  </si>
  <si>
    <t>comments</t>
  </si>
  <si>
    <t>errors</t>
  </si>
  <si>
    <t>Advantages of Using Text to Columns for Data Manipulation</t>
  </si>
  <si>
    <r>
      <t>1. Splits Combined Data</t>
    </r>
    <r>
      <rPr>
        <sz val="11"/>
        <color theme="1"/>
        <rFont val="Calibri"/>
        <family val="2"/>
        <scheme val="minor"/>
      </rPr>
      <t xml:space="preserve"> – Separates data in a single column into multiple columns based on a delimiter or fixed width.</t>
    </r>
  </si>
  <si>
    <r>
      <t>2. Saves Time</t>
    </r>
    <r>
      <rPr>
        <sz val="11"/>
        <color theme="1"/>
        <rFont val="Calibri"/>
        <family val="2"/>
        <scheme val="minor"/>
      </rPr>
      <t xml:space="preserve"> – Processes large amounts of data quickly without manual editing.</t>
    </r>
  </si>
  <si>
    <r>
      <t>3. Improves Data Accuracy</t>
    </r>
    <r>
      <rPr>
        <sz val="11"/>
        <color theme="1"/>
        <rFont val="Calibri"/>
        <family val="2"/>
        <scheme val="minor"/>
      </rPr>
      <t xml:space="preserve"> – Ensures data is separated correctly, reducing manual errors.</t>
    </r>
  </si>
  <si>
    <r>
      <t>4. Makes Data Analysis Easier</t>
    </r>
    <r>
      <rPr>
        <sz val="11"/>
        <color theme="1"/>
        <rFont val="Calibri"/>
        <family val="2"/>
        <scheme val="minor"/>
      </rPr>
      <t xml:space="preserve"> – Organized data is easier to sort, filter, and analyze.</t>
    </r>
  </si>
  <si>
    <r>
      <t>5. Supports Multiple Delimiters</t>
    </r>
    <r>
      <rPr>
        <sz val="11"/>
        <color theme="1"/>
        <rFont val="Calibri"/>
        <family val="2"/>
        <scheme val="minor"/>
      </rPr>
      <t xml:space="preserve"> – Can split data using commas, spaces, tabs, semicolons, or other custom delimiters.</t>
    </r>
  </si>
  <si>
    <r>
      <t>6. Enhances Data Organization</t>
    </r>
    <r>
      <rPr>
        <sz val="11"/>
        <color theme="1"/>
        <rFont val="Calibri"/>
        <family val="2"/>
        <scheme val="minor"/>
      </rPr>
      <t xml:space="preserve"> – Converts unstructured or combined text into a structured format for better management.</t>
    </r>
  </si>
  <si>
    <t>Customer Name</t>
  </si>
  <si>
    <t>Ted Trevino</t>
  </si>
  <si>
    <t>Sonia Sunley</t>
  </si>
  <si>
    <t>Maribeth Yedwab</t>
  </si>
  <si>
    <t>Logan Haushalter</t>
  </si>
  <si>
    <t>Rob Lucas</t>
  </si>
  <si>
    <t>Rick Bensley</t>
  </si>
  <si>
    <t>Laurel Elliston</t>
  </si>
  <si>
    <t>Joe Kamberova</t>
  </si>
  <si>
    <t>Valerie Dominguez</t>
  </si>
  <si>
    <t>Robert Waldorf</t>
  </si>
  <si>
    <t>Brooke Gillingham</t>
  </si>
  <si>
    <t>Maurice Satty</t>
  </si>
  <si>
    <t>Bryan Davis</t>
  </si>
  <si>
    <t>Lisa DeCherney</t>
  </si>
  <si>
    <t>Jim Radford</t>
  </si>
  <si>
    <t>Natalie DeCherney</t>
  </si>
  <si>
    <t>Ken Lonsdale</t>
  </si>
  <si>
    <t>Julia West</t>
  </si>
  <si>
    <t>Anne Pryor</t>
  </si>
  <si>
    <t>Vivek Grady</t>
  </si>
  <si>
    <t>George Bell</t>
  </si>
  <si>
    <t>Clay Ludtke</t>
  </si>
  <si>
    <t>Toby Braunhardt</t>
  </si>
  <si>
    <t>Eric Barreto</t>
  </si>
  <si>
    <t>Bradley Nguyen</t>
  </si>
  <si>
    <t>Julia Barnett</t>
  </si>
  <si>
    <t>Zuschuss Donatelli</t>
  </si>
  <si>
    <t>Kimberly Carter</t>
  </si>
  <si>
    <t>Tiffany House</t>
  </si>
  <si>
    <t>Cindy Chapman</t>
  </si>
  <si>
    <t>Art Ferguson</t>
  </si>
  <si>
    <t>Roy Phan</t>
  </si>
  <si>
    <t>Edward Hooks</t>
  </si>
  <si>
    <t>Dean Braden</t>
  </si>
  <si>
    <t>Filia McAdams</t>
  </si>
  <si>
    <t>Denny Ordway</t>
  </si>
  <si>
    <t>Raymond Buch</t>
  </si>
  <si>
    <t>Eugene Hildebrand</t>
  </si>
  <si>
    <t>Christine Phan</t>
  </si>
  <si>
    <t>CONCATENATE</t>
  </si>
  <si>
    <t>Ampersand</t>
  </si>
  <si>
    <t>Product ID</t>
  </si>
  <si>
    <t>FUR-BO-20001798</t>
  </si>
  <si>
    <t>FUR-CH-20000454</t>
  </si>
  <si>
    <t>OFF-LA-20000240</t>
  </si>
  <si>
    <t>FUR-TA-20000577</t>
  </si>
  <si>
    <t>OFF-ST-20000760</t>
  </si>
  <si>
    <t>FUR-FU-20001487</t>
  </si>
  <si>
    <t>OFF-AR-20002833</t>
  </si>
  <si>
    <t>TEC-PH-20002275</t>
  </si>
  <si>
    <t>OFF-BI-20003910</t>
  </si>
  <si>
    <t>OFF-AP-20002892</t>
  </si>
  <si>
    <t>FUR-TA-20001539</t>
  </si>
  <si>
    <t>TEC-PH-20002033</t>
  </si>
  <si>
    <t>OFF-PA-20002365</t>
  </si>
  <si>
    <t>OFF-BI-20003656</t>
  </si>
  <si>
    <t>OFF-AP-20002311</t>
  </si>
  <si>
    <t>OFF-BI-20000756</t>
  </si>
  <si>
    <t>OFF-ST-20004186</t>
  </si>
  <si>
    <t>OFF-ST-20000107</t>
  </si>
  <si>
    <t>OFF-AR-20003056</t>
  </si>
  <si>
    <t>TEC-PH-20001949</t>
  </si>
  <si>
    <t>OFF-BI-20002215</t>
  </si>
  <si>
    <t>OFF-AR-20000246</t>
  </si>
  <si>
    <t>OFF-AP-20001492</t>
  </si>
  <si>
    <t>Find and Replace</t>
  </si>
  <si>
    <t>Benefits of Using Find &amp; Replace for Data Cleaning</t>
  </si>
  <si>
    <r>
      <t>1. Saves Time</t>
    </r>
    <r>
      <rPr>
        <sz val="11"/>
        <color theme="1"/>
        <rFont val="Calibri"/>
        <family val="2"/>
        <scheme val="minor"/>
      </rPr>
      <t xml:space="preserve"> – Quickly finds and replaces data across large worksheets without manual editing.</t>
    </r>
  </si>
  <si>
    <r>
      <t>2. Improves Data Accuracy</t>
    </r>
    <r>
      <rPr>
        <sz val="11"/>
        <color theme="1"/>
        <rFont val="Calibri"/>
        <family val="2"/>
        <scheme val="minor"/>
      </rPr>
      <t xml:space="preserve"> – Corrects spelling mistakes, incorrect values, and inconsistent entries efficiently.</t>
    </r>
  </si>
  <si>
    <r>
      <t>3. Ensures Data Consistency</t>
    </r>
    <r>
      <rPr>
        <sz val="11"/>
        <color theme="1"/>
        <rFont val="Calibri"/>
        <family val="2"/>
        <scheme val="minor"/>
      </rPr>
      <t xml:space="preserve"> – Replaces different versions of the same text with a standardized value.</t>
    </r>
  </si>
  <si>
    <r>
      <t>4. Handles Bulk Changes</t>
    </r>
    <r>
      <rPr>
        <sz val="11"/>
        <color theme="1"/>
        <rFont val="Calibri"/>
        <family val="2"/>
        <scheme val="minor"/>
      </rPr>
      <t xml:space="preserve"> – Updates multiple occurrences of a value in a single operation.</t>
    </r>
  </si>
  <si>
    <r>
      <t>5. Simplifies Data Cleaning</t>
    </r>
    <r>
      <rPr>
        <sz val="11"/>
        <color theme="1"/>
        <rFont val="Calibri"/>
        <family val="2"/>
        <scheme val="minor"/>
      </rPr>
      <t xml:space="preserve"> – Removes unwanted characters, extra spaces, or outdated information easily.</t>
    </r>
  </si>
  <si>
    <r>
      <t>6. Enhances Productivity</t>
    </r>
    <r>
      <rPr>
        <sz val="11"/>
        <color theme="1"/>
        <rFont val="Calibri"/>
        <family val="2"/>
        <scheme val="minor"/>
      </rPr>
      <t xml:space="preserve"> – Reduces repetitive work and speeds up the data-cleaning process.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</si>
</sst>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Berlin Sans FB Demi"/>
      <family val="2"/>
    </font>
    <font>
      <sz val="10"/>
      <color theme="1"/>
      <name val="Arial Unicode MS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164" fontId="0" fillId="0" borderId="6" xfId="0" applyNumberFormat="1" applyBorder="1"/>
    <xf numFmtId="0" fontId="1" fillId="0" borderId="1" xfId="0" applyFont="1" applyBorder="1"/>
    <xf numFmtId="0" fontId="1" fillId="0" borderId="2" xfId="0" applyFont="1" applyBorder="1"/>
    <xf numFmtId="9" fontId="0" fillId="0" borderId="4" xfId="1" applyFont="1" applyBorder="1"/>
    <xf numFmtId="9" fontId="0" fillId="0" borderId="6" xfId="1" applyFont="1" applyBorder="1"/>
    <xf numFmtId="9" fontId="3" fillId="0" borderId="4" xfId="1" applyFont="1" applyBorder="1"/>
    <xf numFmtId="0" fontId="5" fillId="0" borderId="1" xfId="0" applyFont="1" applyBorder="1" applyAlignment="1">
      <alignment textRotation="90"/>
    </xf>
    <xf numFmtId="0" fontId="5" fillId="0" borderId="2" xfId="0" applyFont="1" applyBorder="1" applyAlignment="1">
      <alignment textRotation="90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7" fillId="0" borderId="0" xfId="0" applyFon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0" fillId="0" borderId="1" xfId="0" applyBorder="1"/>
    <xf numFmtId="0" fontId="0" fillId="0" borderId="7" xfId="0" applyBorder="1"/>
    <xf numFmtId="0" fontId="8" fillId="0" borderId="0" xfId="0" applyFont="1"/>
  </cellXfs>
  <cellStyles count="2">
    <cellStyle name="Normal" xfId="0" builtinId="0"/>
    <cellStyle name="Percent" xfId="1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numFmt numFmtId="13" formatCode="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 [$₹-4009]\ * #,##0.00_ ;_ [$₹-4009]\ * \-#,##0.00_ ;_ [$₹-4009]\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erlin Sans FB Dem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3EB6F4-2C37-49FA-AB82-D1A3AFAD9AAC}" name="Table1" displayName="Table1" ref="G2:H14" totalsRowShown="0" headerRowDxfId="16" headerRowBorderDxfId="15" tableBorderDxfId="14" totalsRowBorderDxfId="13">
  <autoFilter ref="G2:H14" xr:uid="{2D3EB6F4-2C37-49FA-AB82-D1A3AFAD9AAC}"/>
  <tableColumns count="2">
    <tableColumn id="1" xr3:uid="{373D4CBD-D7B3-40CF-825E-06CFAD835EB9}" name="Month" dataDxfId="12"/>
    <tableColumn id="2" xr3:uid="{02649606-52C8-448D-BE2D-562FCBE00583}" name="Sales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1C1A6C-EA4C-46FA-A9F9-C4F9FBF5FA1F}" name="Table2" displayName="Table2" ref="J2:K14" totalsRowShown="0" headerRowDxfId="10" headerRowBorderDxfId="9" tableBorderDxfId="8" totalsRowBorderDxfId="7">
  <autoFilter ref="J2:K14" xr:uid="{DF1C1A6C-EA4C-46FA-A9F9-C4F9FBF5FA1F}"/>
  <tableColumns count="2">
    <tableColumn id="1" xr3:uid="{763BA8B3-0348-43D3-9232-0B0F0B97306F}" name="Month" dataDxfId="6"/>
    <tableColumn id="2" xr3:uid="{30BE9DAC-97CA-4685-BF55-1FB4575F3321}" name="Sales" dataDxfId="5" dataCellStyle="Percen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sqref="A1:B13"/>
    </sheetView>
  </sheetViews>
  <sheetFormatPr defaultRowHeight="14.4"/>
  <sheetData>
    <row r="1" spans="1:6">
      <c r="A1" s="1" t="s">
        <v>0</v>
      </c>
      <c r="B1" s="1" t="s">
        <v>1</v>
      </c>
      <c r="D1" t="s">
        <v>2</v>
      </c>
      <c r="E1" t="s">
        <v>3</v>
      </c>
    </row>
    <row r="2" spans="1:6">
      <c r="A2" t="s">
        <v>4</v>
      </c>
      <c r="B2">
        <v>12000</v>
      </c>
      <c r="D2" t="s">
        <v>5</v>
      </c>
      <c r="E2">
        <f>SUM(B2:B13)</f>
        <v>217500</v>
      </c>
    </row>
    <row r="3" spans="1:6">
      <c r="A3" t="s">
        <v>6</v>
      </c>
      <c r="B3">
        <v>15000</v>
      </c>
      <c r="D3" t="s">
        <v>7</v>
      </c>
      <c r="E3">
        <f>MAX(B2:B13)</f>
        <v>25000</v>
      </c>
      <c r="F3" t="s">
        <v>19</v>
      </c>
    </row>
    <row r="4" spans="1:6">
      <c r="A4" t="s">
        <v>8</v>
      </c>
      <c r="B4">
        <v>9000</v>
      </c>
      <c r="D4" t="s">
        <v>9</v>
      </c>
      <c r="E4">
        <f>MIN(B2:B13)</f>
        <v>9000</v>
      </c>
      <c r="F4" t="s">
        <v>8</v>
      </c>
    </row>
    <row r="5" spans="1:6">
      <c r="A5" t="s">
        <v>10</v>
      </c>
      <c r="B5">
        <v>18000</v>
      </c>
      <c r="D5" t="s">
        <v>11</v>
      </c>
      <c r="E5">
        <f>SMALL(B2:B13,2)</f>
        <v>12000</v>
      </c>
      <c r="F5" t="s">
        <v>4</v>
      </c>
    </row>
    <row r="6" spans="1:6">
      <c r="A6" t="s">
        <v>12</v>
      </c>
      <c r="B6">
        <v>21000</v>
      </c>
      <c r="D6" t="s">
        <v>13</v>
      </c>
      <c r="E6">
        <f>LARGE(B2:B13,3)</f>
        <v>22000</v>
      </c>
      <c r="F6" t="s">
        <v>16</v>
      </c>
    </row>
    <row r="7" spans="1:6">
      <c r="A7" t="s">
        <v>14</v>
      </c>
      <c r="B7">
        <v>17000</v>
      </c>
      <c r="D7" t="s">
        <v>15</v>
      </c>
      <c r="E7">
        <f>MEDIAN(B2:B13)</f>
        <v>18750</v>
      </c>
    </row>
    <row r="8" spans="1:6">
      <c r="A8" t="s">
        <v>16</v>
      </c>
      <c r="B8">
        <v>22000</v>
      </c>
    </row>
    <row r="9" spans="1:6">
      <c r="A9" t="s">
        <v>17</v>
      </c>
      <c r="B9">
        <v>19500</v>
      </c>
    </row>
    <row r="10" spans="1:6">
      <c r="A10" t="s">
        <v>18</v>
      </c>
      <c r="B10">
        <v>16000</v>
      </c>
    </row>
    <row r="11" spans="1:6">
      <c r="A11" t="s">
        <v>19</v>
      </c>
      <c r="B11">
        <v>25000</v>
      </c>
    </row>
    <row r="12" spans="1:6">
      <c r="A12" t="s">
        <v>20</v>
      </c>
      <c r="B12">
        <v>23000</v>
      </c>
    </row>
    <row r="13" spans="1:6">
      <c r="A13" t="s">
        <v>21</v>
      </c>
      <c r="B13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opLeftCell="A7" workbookViewId="0">
      <selection activeCell="D16" sqref="D16"/>
    </sheetView>
  </sheetViews>
  <sheetFormatPr defaultRowHeight="14.4"/>
  <sheetData>
    <row r="1" spans="1:13">
      <c r="A1" t="s">
        <v>0</v>
      </c>
      <c r="B1" t="s">
        <v>4</v>
      </c>
      <c r="C1" t="s">
        <v>6</v>
      </c>
      <c r="D1" t="s">
        <v>8</v>
      </c>
      <c r="E1" t="s">
        <v>4</v>
      </c>
      <c r="F1">
        <v>12000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>
      <c r="A2" t="s">
        <v>1</v>
      </c>
      <c r="B2">
        <v>12000</v>
      </c>
      <c r="C2">
        <v>15000</v>
      </c>
      <c r="D2">
        <v>9000</v>
      </c>
      <c r="E2" t="s">
        <v>6</v>
      </c>
      <c r="F2">
        <v>15000</v>
      </c>
      <c r="G2">
        <v>17000</v>
      </c>
      <c r="H2">
        <v>22000</v>
      </c>
      <c r="I2">
        <v>19500</v>
      </c>
      <c r="J2">
        <v>16000</v>
      </c>
      <c r="K2">
        <v>25000</v>
      </c>
      <c r="L2">
        <v>23000</v>
      </c>
      <c r="M2">
        <v>20000</v>
      </c>
    </row>
    <row r="3" spans="1:13">
      <c r="E3" t="s">
        <v>8</v>
      </c>
      <c r="F3">
        <v>9000</v>
      </c>
    </row>
    <row r="4" spans="1:13">
      <c r="E4" t="s">
        <v>10</v>
      </c>
      <c r="F4">
        <v>18000</v>
      </c>
    </row>
    <row r="5" spans="1:13">
      <c r="E5" t="s">
        <v>12</v>
      </c>
      <c r="F5">
        <v>21000</v>
      </c>
    </row>
    <row r="6" spans="1:13">
      <c r="E6" t="s">
        <v>14</v>
      </c>
      <c r="F6">
        <v>17000</v>
      </c>
    </row>
    <row r="7" spans="1:13">
      <c r="E7" t="s">
        <v>16</v>
      </c>
      <c r="F7">
        <v>22000</v>
      </c>
    </row>
    <row r="8" spans="1:13">
      <c r="E8" t="s">
        <v>17</v>
      </c>
      <c r="F8">
        <v>19500</v>
      </c>
    </row>
    <row r="9" spans="1:13">
      <c r="E9" t="s">
        <v>18</v>
      </c>
      <c r="F9">
        <v>16000</v>
      </c>
    </row>
    <row r="10" spans="1:13">
      <c r="E10" t="s">
        <v>19</v>
      </c>
      <c r="F10">
        <v>25000</v>
      </c>
    </row>
    <row r="11" spans="1:13">
      <c r="E11" t="s">
        <v>20</v>
      </c>
      <c r="F11">
        <v>23000</v>
      </c>
    </row>
    <row r="12" spans="1:13">
      <c r="E12" t="s">
        <v>21</v>
      </c>
      <c r="F12">
        <v>20000</v>
      </c>
    </row>
    <row r="15" spans="1:13">
      <c r="D15" t="s">
        <v>42</v>
      </c>
    </row>
    <row r="16" spans="1:13">
      <c r="D16" s="13"/>
    </row>
    <row r="17" spans="4:4">
      <c r="D17" s="15" t="s">
        <v>36</v>
      </c>
    </row>
    <row r="18" spans="4:4">
      <c r="D18" s="15" t="s">
        <v>37</v>
      </c>
    </row>
    <row r="19" spans="4:4">
      <c r="D19" s="15" t="s">
        <v>38</v>
      </c>
    </row>
    <row r="20" spans="4:4">
      <c r="D20" s="15" t="s">
        <v>39</v>
      </c>
    </row>
    <row r="21" spans="4:4">
      <c r="D21" s="15" t="s">
        <v>40</v>
      </c>
    </row>
    <row r="22" spans="4:4">
      <c r="D22" s="15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I4" sqref="I4"/>
    </sheetView>
  </sheetViews>
  <sheetFormatPr defaultRowHeight="14.4"/>
  <cols>
    <col min="5" max="5" width="10.33203125" bestFit="1" customWidth="1"/>
  </cols>
  <sheetData>
    <row r="1" spans="1:9">
      <c r="A1" t="s">
        <v>22</v>
      </c>
      <c r="B1" t="s">
        <v>1</v>
      </c>
    </row>
    <row r="2" spans="1:9">
      <c r="A2" t="s">
        <v>23</v>
      </c>
      <c r="B2">
        <v>10</v>
      </c>
      <c r="E2" t="s">
        <v>32</v>
      </c>
      <c r="F2">
        <f>COUNT(B2:B6)</f>
        <v>3</v>
      </c>
      <c r="H2" t="s">
        <v>31</v>
      </c>
      <c r="I2">
        <f>SUM(B2:B6)</f>
        <v>75</v>
      </c>
    </row>
    <row r="3" spans="1:9">
      <c r="A3" t="s">
        <v>24</v>
      </c>
      <c r="E3" t="s">
        <v>33</v>
      </c>
      <c r="F3">
        <f>COUNTA(A2:A6)</f>
        <v>4</v>
      </c>
      <c r="H3" t="s">
        <v>44</v>
      </c>
      <c r="I3">
        <f>AVERAGE(B2:B6)</f>
        <v>25</v>
      </c>
    </row>
    <row r="4" spans="1:9">
      <c r="A4" t="s">
        <v>25</v>
      </c>
      <c r="B4">
        <v>25</v>
      </c>
      <c r="E4" t="s">
        <v>34</v>
      </c>
      <c r="F4">
        <f>COUNTBLANK(B2:B6)</f>
        <v>2</v>
      </c>
    </row>
    <row r="5" spans="1:9">
      <c r="B5">
        <v>40</v>
      </c>
    </row>
    <row r="6" spans="1:9">
      <c r="A6" t="s">
        <v>26</v>
      </c>
    </row>
    <row r="9" spans="1:9">
      <c r="B9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A2" sqref="A2"/>
    </sheetView>
  </sheetViews>
  <sheetFormatPr defaultRowHeight="14.4"/>
  <sheetData>
    <row r="1" spans="1:6">
      <c r="A1" t="s">
        <v>27</v>
      </c>
      <c r="B1" t="s">
        <v>28</v>
      </c>
      <c r="C1" t="s">
        <v>29</v>
      </c>
    </row>
    <row r="2" spans="1:6">
      <c r="A2">
        <v>2020</v>
      </c>
      <c r="B2">
        <v>100000</v>
      </c>
      <c r="E2" t="s">
        <v>30</v>
      </c>
      <c r="F2">
        <f>(POWER(B6/B2,1/4)-1)</f>
        <v>0.15829218528826905</v>
      </c>
    </row>
    <row r="3" spans="1:6">
      <c r="A3">
        <v>2021</v>
      </c>
      <c r="B3">
        <v>120000</v>
      </c>
      <c r="C3">
        <f>(B3-B2)/B2</f>
        <v>0.2</v>
      </c>
    </row>
    <row r="4" spans="1:6">
      <c r="A4">
        <v>2022</v>
      </c>
      <c r="B4">
        <v>135000</v>
      </c>
      <c r="C4">
        <f>(B4-B3)/B3</f>
        <v>0.125</v>
      </c>
    </row>
    <row r="5" spans="1:6">
      <c r="A5">
        <v>2023</v>
      </c>
      <c r="B5">
        <v>150000</v>
      </c>
      <c r="C5">
        <f>(B5-B4)/B4</f>
        <v>0.1111111111111111</v>
      </c>
    </row>
    <row r="6" spans="1:6">
      <c r="A6">
        <v>2024</v>
      </c>
      <c r="B6">
        <v>180000</v>
      </c>
      <c r="C6">
        <f>(B6-B5)/B5</f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K20"/>
  <sheetViews>
    <sheetView topLeftCell="A7" workbookViewId="0">
      <selection activeCell="H23" sqref="H23"/>
    </sheetView>
  </sheetViews>
  <sheetFormatPr defaultRowHeight="14.4"/>
  <cols>
    <col min="2" max="2" width="11.33203125" bestFit="1" customWidth="1"/>
    <col min="8" max="8" width="11.33203125" bestFit="1" customWidth="1"/>
    <col min="11" max="11" width="11" bestFit="1" customWidth="1"/>
  </cols>
  <sheetData>
    <row r="1" spans="3:11">
      <c r="C1" s="1"/>
      <c r="D1" s="1"/>
      <c r="E1" s="1"/>
      <c r="F1" s="1"/>
    </row>
    <row r="2" spans="3:11" ht="40.799999999999997">
      <c r="G2" s="11" t="s">
        <v>0</v>
      </c>
      <c r="H2" s="12" t="s">
        <v>1</v>
      </c>
      <c r="J2" s="6" t="s">
        <v>0</v>
      </c>
      <c r="K2" s="7" t="s">
        <v>1</v>
      </c>
    </row>
    <row r="3" spans="3:11">
      <c r="G3" s="2" t="s">
        <v>4</v>
      </c>
      <c r="H3" s="3">
        <v>12000</v>
      </c>
      <c r="J3" s="2" t="s">
        <v>4</v>
      </c>
      <c r="K3" s="8">
        <v>12000</v>
      </c>
    </row>
    <row r="4" spans="3:11">
      <c r="G4" s="2" t="s">
        <v>6</v>
      </c>
      <c r="H4" s="3">
        <v>15000</v>
      </c>
      <c r="J4" s="2" t="s">
        <v>6</v>
      </c>
      <c r="K4" s="8">
        <v>15000</v>
      </c>
    </row>
    <row r="5" spans="3:11">
      <c r="G5" s="2" t="s">
        <v>8</v>
      </c>
      <c r="H5" s="3">
        <v>9000</v>
      </c>
      <c r="J5" s="2" t="s">
        <v>8</v>
      </c>
      <c r="K5" s="10">
        <v>-9000</v>
      </c>
    </row>
    <row r="6" spans="3:11">
      <c r="G6" s="2" t="s">
        <v>10</v>
      </c>
      <c r="H6" s="3">
        <v>18000</v>
      </c>
      <c r="J6" s="2" t="s">
        <v>10</v>
      </c>
      <c r="K6" s="8">
        <v>18000</v>
      </c>
    </row>
    <row r="7" spans="3:11">
      <c r="G7" s="2" t="s">
        <v>12</v>
      </c>
      <c r="H7" s="3">
        <v>21000</v>
      </c>
      <c r="J7" s="2" t="s">
        <v>12</v>
      </c>
      <c r="K7" s="8">
        <v>21000</v>
      </c>
    </row>
    <row r="8" spans="3:11">
      <c r="G8" s="2" t="s">
        <v>14</v>
      </c>
      <c r="H8" s="3">
        <v>17000</v>
      </c>
      <c r="J8" s="2" t="s">
        <v>14</v>
      </c>
      <c r="K8" s="8">
        <v>17000</v>
      </c>
    </row>
    <row r="9" spans="3:11">
      <c r="G9" s="2" t="s">
        <v>16</v>
      </c>
      <c r="H9" s="3">
        <v>22000</v>
      </c>
      <c r="J9" s="2" t="s">
        <v>16</v>
      </c>
      <c r="K9" s="8">
        <v>22000</v>
      </c>
    </row>
    <row r="10" spans="3:11">
      <c r="G10" s="2" t="s">
        <v>17</v>
      </c>
      <c r="H10" s="3">
        <v>19500</v>
      </c>
      <c r="J10" s="2" t="s">
        <v>17</v>
      </c>
      <c r="K10" s="8">
        <v>19500</v>
      </c>
    </row>
    <row r="11" spans="3:11">
      <c r="G11" s="2" t="s">
        <v>18</v>
      </c>
      <c r="H11" s="3">
        <v>16000</v>
      </c>
      <c r="J11" s="2" t="s">
        <v>18</v>
      </c>
      <c r="K11" s="8">
        <v>16000</v>
      </c>
    </row>
    <row r="12" spans="3:11">
      <c r="G12" s="2" t="s">
        <v>19</v>
      </c>
      <c r="H12" s="3">
        <v>25000</v>
      </c>
      <c r="J12" s="2" t="s">
        <v>19</v>
      </c>
      <c r="K12" s="8">
        <v>25000</v>
      </c>
    </row>
    <row r="13" spans="3:11">
      <c r="G13" s="2" t="s">
        <v>20</v>
      </c>
      <c r="H13" s="3">
        <v>23000</v>
      </c>
      <c r="J13" s="2" t="s">
        <v>20</v>
      </c>
      <c r="K13" s="8">
        <v>23000</v>
      </c>
    </row>
    <row r="14" spans="3:11">
      <c r="G14" s="4" t="s">
        <v>21</v>
      </c>
      <c r="H14" s="5">
        <v>20000</v>
      </c>
      <c r="J14" s="4" t="s">
        <v>21</v>
      </c>
      <c r="K14" s="9">
        <v>20000</v>
      </c>
    </row>
    <row r="18" spans="3:6" ht="47.4" customHeight="1">
      <c r="C18" s="18" t="s">
        <v>35</v>
      </c>
      <c r="D18" s="18"/>
      <c r="E18" s="18"/>
      <c r="F18" s="18"/>
    </row>
    <row r="20" spans="3:6">
      <c r="C20" t="s">
        <v>45</v>
      </c>
    </row>
  </sheetData>
  <mergeCells count="1">
    <mergeCell ref="C18:F18"/>
  </mergeCells>
  <conditionalFormatting sqref="H3:H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" priority="2" operator="greaterThan">
      <formula>17000</formula>
    </cfRule>
  </conditionalFormatting>
  <pageMargins left="0.75" right="0.75" top="1" bottom="1" header="0.5" footer="0.5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greaterThan" id="{8EF78ED9-02C6-4AE9-9F6E-2E67478663EE}">
            <xm:f>Section1_Basics!$E$7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9995"/>
  <sheetViews>
    <sheetView workbookViewId="0">
      <selection activeCell="E29" sqref="E1:E1048576"/>
    </sheetView>
  </sheetViews>
  <sheetFormatPr defaultRowHeight="14.4"/>
  <cols>
    <col min="2" max="2" width="11.21875" bestFit="1" customWidth="1"/>
    <col min="4" max="4" width="60.33203125" customWidth="1"/>
  </cols>
  <sheetData>
    <row r="1" spans="2:8" ht="15.6">
      <c r="B1" s="16" t="s">
        <v>46</v>
      </c>
      <c r="D1" s="16" t="s">
        <v>47</v>
      </c>
      <c r="E1" s="16" t="s">
        <v>1</v>
      </c>
    </row>
    <row r="2" spans="2:8">
      <c r="B2" s="17">
        <v>43099</v>
      </c>
      <c r="D2" t="s">
        <v>1133</v>
      </c>
      <c r="E2">
        <v>16.59</v>
      </c>
    </row>
    <row r="3" spans="2:8">
      <c r="B3" s="17">
        <v>43099</v>
      </c>
      <c r="D3" t="s">
        <v>1133</v>
      </c>
      <c r="E3">
        <v>16.256</v>
      </c>
    </row>
    <row r="4" spans="2:8">
      <c r="B4" s="17">
        <v>43099</v>
      </c>
      <c r="D4" t="s">
        <v>1133</v>
      </c>
      <c r="E4">
        <v>16.520000000000003</v>
      </c>
      <c r="H4" t="s">
        <v>1897</v>
      </c>
    </row>
    <row r="5" spans="2:8">
      <c r="B5" s="17">
        <v>43099</v>
      </c>
      <c r="D5" t="s">
        <v>1165</v>
      </c>
      <c r="E5">
        <v>16.399999999999999</v>
      </c>
    </row>
    <row r="6" spans="2:8">
      <c r="B6" s="17">
        <v>43099</v>
      </c>
      <c r="D6" t="s">
        <v>1165</v>
      </c>
      <c r="E6">
        <v>16.34</v>
      </c>
    </row>
    <row r="7" spans="2:8">
      <c r="B7" s="17">
        <v>43099</v>
      </c>
      <c r="D7" t="s">
        <v>1165</v>
      </c>
      <c r="E7">
        <v>16.520000000000003</v>
      </c>
    </row>
    <row r="8" spans="2:8">
      <c r="B8" s="17">
        <v>43099</v>
      </c>
      <c r="D8" t="s">
        <v>1165</v>
      </c>
      <c r="E8">
        <v>16.28</v>
      </c>
    </row>
    <row r="9" spans="2:8">
      <c r="B9" s="17">
        <v>43098</v>
      </c>
      <c r="D9" t="s">
        <v>1165</v>
      </c>
      <c r="E9">
        <v>16.272000000000002</v>
      </c>
    </row>
    <row r="10" spans="2:8">
      <c r="B10" s="17">
        <v>43098</v>
      </c>
      <c r="D10" t="s">
        <v>1165</v>
      </c>
      <c r="E10">
        <v>16.38</v>
      </c>
    </row>
    <row r="11" spans="2:8">
      <c r="B11" s="17">
        <v>43098</v>
      </c>
      <c r="D11" t="s">
        <v>1165</v>
      </c>
      <c r="E11">
        <v>16.520000000000003</v>
      </c>
    </row>
    <row r="12" spans="2:8">
      <c r="B12" s="17">
        <v>43098</v>
      </c>
      <c r="D12" t="s">
        <v>1165</v>
      </c>
      <c r="E12">
        <v>16.560000000000002</v>
      </c>
    </row>
    <row r="13" spans="2:8">
      <c r="B13" s="17">
        <v>43098</v>
      </c>
      <c r="D13" t="s">
        <v>1165</v>
      </c>
      <c r="E13">
        <v>16.45</v>
      </c>
    </row>
    <row r="14" spans="2:8">
      <c r="B14" s="17">
        <v>43098</v>
      </c>
      <c r="D14" t="s">
        <v>1165</v>
      </c>
      <c r="E14">
        <v>16.391999999999996</v>
      </c>
    </row>
    <row r="15" spans="2:8">
      <c r="B15" s="17">
        <v>43098</v>
      </c>
      <c r="D15" t="s">
        <v>89</v>
      </c>
      <c r="E15">
        <v>16.559999999999999</v>
      </c>
    </row>
    <row r="16" spans="2:8">
      <c r="B16" s="17">
        <v>43098</v>
      </c>
      <c r="D16" t="s">
        <v>89</v>
      </c>
      <c r="E16">
        <v>16.559999999999999</v>
      </c>
    </row>
    <row r="17" spans="2:5">
      <c r="B17" s="17">
        <v>43098</v>
      </c>
      <c r="D17" t="s">
        <v>89</v>
      </c>
      <c r="E17">
        <v>16.520000000000003</v>
      </c>
    </row>
    <row r="18" spans="2:5">
      <c r="B18" s="17">
        <v>43098</v>
      </c>
      <c r="D18" t="s">
        <v>89</v>
      </c>
      <c r="E18">
        <v>16.559999999999999</v>
      </c>
    </row>
    <row r="19" spans="2:5">
      <c r="B19" s="17">
        <v>43098</v>
      </c>
      <c r="D19" t="s">
        <v>89</v>
      </c>
      <c r="E19">
        <v>16.656000000000002</v>
      </c>
    </row>
    <row r="20" spans="2:5">
      <c r="B20" s="17">
        <v>43098</v>
      </c>
      <c r="D20" t="s">
        <v>89</v>
      </c>
      <c r="E20">
        <v>16.496000000000002</v>
      </c>
    </row>
    <row r="21" spans="2:5">
      <c r="B21" s="17">
        <v>43097</v>
      </c>
      <c r="D21" t="s">
        <v>89</v>
      </c>
      <c r="E21">
        <v>16.52</v>
      </c>
    </row>
    <row r="22" spans="2:5">
      <c r="B22" s="17">
        <v>43097</v>
      </c>
      <c r="D22" t="s">
        <v>89</v>
      </c>
      <c r="E22">
        <v>16.399999999999999</v>
      </c>
    </row>
    <row r="23" spans="2:5">
      <c r="B23" s="17">
        <v>43097</v>
      </c>
      <c r="D23" t="s">
        <v>1360</v>
      </c>
      <c r="E23">
        <v>16.448</v>
      </c>
    </row>
    <row r="24" spans="2:5">
      <c r="B24" s="17">
        <v>43097</v>
      </c>
      <c r="D24" t="s">
        <v>1360</v>
      </c>
      <c r="E24">
        <v>16.559999999999999</v>
      </c>
    </row>
    <row r="25" spans="2:5">
      <c r="B25" s="17">
        <v>43097</v>
      </c>
      <c r="D25" t="s">
        <v>1360</v>
      </c>
      <c r="E25">
        <v>16.520000000000003</v>
      </c>
    </row>
    <row r="26" spans="2:5">
      <c r="B26" s="17">
        <v>43097</v>
      </c>
      <c r="D26" t="s">
        <v>1360</v>
      </c>
      <c r="E26">
        <v>16.399999999999999</v>
      </c>
    </row>
    <row r="27" spans="2:5">
      <c r="B27" s="17">
        <v>43097</v>
      </c>
      <c r="D27" t="s">
        <v>1179</v>
      </c>
      <c r="E27">
        <v>16.463999999999999</v>
      </c>
    </row>
    <row r="28" spans="2:5">
      <c r="B28" s="17">
        <v>43097</v>
      </c>
      <c r="D28" t="s">
        <v>1179</v>
      </c>
      <c r="E28">
        <v>16.269999999999996</v>
      </c>
    </row>
    <row r="29" spans="2:5">
      <c r="B29" s="17">
        <v>43097</v>
      </c>
      <c r="D29" t="s">
        <v>1179</v>
      </c>
      <c r="E29">
        <v>16.52</v>
      </c>
    </row>
    <row r="30" spans="2:5">
      <c r="B30" s="17">
        <v>43097</v>
      </c>
      <c r="D30" t="s">
        <v>1179</v>
      </c>
      <c r="E30">
        <v>16.52</v>
      </c>
    </row>
    <row r="31" spans="2:5">
      <c r="B31" s="17">
        <v>43097</v>
      </c>
      <c r="D31" t="s">
        <v>427</v>
      </c>
      <c r="E31">
        <v>16.463999999999999</v>
      </c>
    </row>
    <row r="32" spans="2:5">
      <c r="B32" s="17">
        <v>43097</v>
      </c>
      <c r="D32" t="s">
        <v>427</v>
      </c>
      <c r="E32">
        <v>16.656000000000002</v>
      </c>
    </row>
    <row r="33" spans="2:5">
      <c r="B33" s="17">
        <v>43097</v>
      </c>
      <c r="D33" t="s">
        <v>427</v>
      </c>
      <c r="E33">
        <v>16.36</v>
      </c>
    </row>
    <row r="34" spans="2:5">
      <c r="B34" s="17">
        <v>43097</v>
      </c>
      <c r="D34" t="s">
        <v>427</v>
      </c>
      <c r="E34">
        <v>16.399999999999999</v>
      </c>
    </row>
    <row r="35" spans="2:5">
      <c r="B35" s="17">
        <v>43097</v>
      </c>
      <c r="D35" t="s">
        <v>427</v>
      </c>
      <c r="E35">
        <v>16.520000000000003</v>
      </c>
    </row>
    <row r="36" spans="2:5">
      <c r="B36" s="17">
        <v>43097</v>
      </c>
      <c r="D36" t="s">
        <v>427</v>
      </c>
      <c r="E36">
        <v>16.28</v>
      </c>
    </row>
    <row r="37" spans="2:5">
      <c r="B37" s="17">
        <v>43097</v>
      </c>
      <c r="D37" t="s">
        <v>427</v>
      </c>
      <c r="E37">
        <v>16.272000000000002</v>
      </c>
    </row>
    <row r="38" spans="2:5">
      <c r="B38" s="17">
        <v>43097</v>
      </c>
      <c r="D38" t="s">
        <v>607</v>
      </c>
      <c r="E38">
        <v>16.448</v>
      </c>
    </row>
    <row r="39" spans="2:5">
      <c r="B39" s="17">
        <v>43097</v>
      </c>
      <c r="D39" t="s">
        <v>983</v>
      </c>
      <c r="E39">
        <v>310.74399999999997</v>
      </c>
    </row>
    <row r="40" spans="2:5">
      <c r="B40" s="17">
        <v>43096</v>
      </c>
      <c r="D40" t="s">
        <v>1324</v>
      </c>
      <c r="E40">
        <v>274.49100000000004</v>
      </c>
    </row>
    <row r="41" spans="2:5">
      <c r="B41" s="17">
        <v>43096</v>
      </c>
      <c r="D41" t="s">
        <v>820</v>
      </c>
      <c r="E41">
        <v>209.94</v>
      </c>
    </row>
    <row r="42" spans="2:5">
      <c r="B42" s="17">
        <v>43095</v>
      </c>
      <c r="D42" t="s">
        <v>700</v>
      </c>
      <c r="E42">
        <v>212.94</v>
      </c>
    </row>
    <row r="43" spans="2:5">
      <c r="B43" s="17">
        <v>43095</v>
      </c>
      <c r="D43" t="s">
        <v>1026</v>
      </c>
      <c r="E43">
        <v>302.67</v>
      </c>
    </row>
    <row r="44" spans="2:5">
      <c r="B44" s="17">
        <v>43095</v>
      </c>
      <c r="D44" t="s">
        <v>1603</v>
      </c>
      <c r="E44">
        <v>207.84600000000003</v>
      </c>
    </row>
    <row r="45" spans="2:5">
      <c r="B45" s="17">
        <v>43095</v>
      </c>
      <c r="D45" t="s">
        <v>1768</v>
      </c>
      <c r="E45">
        <v>242.94</v>
      </c>
    </row>
    <row r="46" spans="2:5">
      <c r="B46" s="17">
        <v>43094</v>
      </c>
      <c r="D46" t="s">
        <v>883</v>
      </c>
      <c r="E46">
        <v>268.57600000000002</v>
      </c>
    </row>
    <row r="47" spans="2:5">
      <c r="B47" s="17">
        <v>43094</v>
      </c>
      <c r="D47" t="s">
        <v>500</v>
      </c>
      <c r="E47">
        <v>210.98</v>
      </c>
    </row>
    <row r="48" spans="2:5">
      <c r="B48" s="17">
        <v>43094</v>
      </c>
      <c r="D48" t="s">
        <v>1370</v>
      </c>
      <c r="E48">
        <v>276.78400000000005</v>
      </c>
    </row>
    <row r="49" spans="2:5">
      <c r="B49" s="17">
        <v>43094</v>
      </c>
      <c r="D49" t="s">
        <v>289</v>
      </c>
      <c r="E49">
        <v>239.96999999999997</v>
      </c>
    </row>
    <row r="50" spans="2:5">
      <c r="B50" s="17">
        <v>43094</v>
      </c>
      <c r="D50" t="s">
        <v>711</v>
      </c>
      <c r="E50">
        <v>279.89999999999998</v>
      </c>
    </row>
    <row r="51" spans="2:5">
      <c r="B51" s="17">
        <v>43094</v>
      </c>
      <c r="D51" t="s">
        <v>537</v>
      </c>
      <c r="E51">
        <v>207</v>
      </c>
    </row>
    <row r="52" spans="2:5">
      <c r="B52" s="17">
        <v>43094</v>
      </c>
      <c r="D52" t="s">
        <v>1172</v>
      </c>
      <c r="E52">
        <v>210.58</v>
      </c>
    </row>
    <row r="53" spans="2:5">
      <c r="B53" s="17">
        <v>43094</v>
      </c>
      <c r="D53" t="s">
        <v>571</v>
      </c>
      <c r="E53">
        <v>239.98400000000004</v>
      </c>
    </row>
    <row r="54" spans="2:5">
      <c r="B54" s="17">
        <v>43094</v>
      </c>
      <c r="D54" t="s">
        <v>571</v>
      </c>
      <c r="E54">
        <v>285.55200000000002</v>
      </c>
    </row>
    <row r="55" spans="2:5">
      <c r="B55" s="17">
        <v>43094</v>
      </c>
      <c r="D55" t="s">
        <v>886</v>
      </c>
      <c r="E55">
        <v>243.99199999999996</v>
      </c>
    </row>
    <row r="56" spans="2:5">
      <c r="B56" s="17">
        <v>43094</v>
      </c>
      <c r="D56" t="s">
        <v>1185</v>
      </c>
      <c r="E56">
        <v>240.78400000000002</v>
      </c>
    </row>
    <row r="57" spans="2:5">
      <c r="B57" s="17">
        <v>43094</v>
      </c>
      <c r="D57" t="s">
        <v>595</v>
      </c>
      <c r="E57">
        <v>227.45999999999998</v>
      </c>
    </row>
    <row r="58" spans="2:5">
      <c r="B58" s="17">
        <v>43094</v>
      </c>
      <c r="D58" t="s">
        <v>595</v>
      </c>
      <c r="E58">
        <v>252.78399999999996</v>
      </c>
    </row>
    <row r="59" spans="2:5">
      <c r="B59" s="17">
        <v>43094</v>
      </c>
      <c r="D59" t="s">
        <v>595</v>
      </c>
      <c r="E59">
        <v>203.98299999999998</v>
      </c>
    </row>
    <row r="60" spans="2:5">
      <c r="B60" s="17">
        <v>43094</v>
      </c>
      <c r="D60" t="s">
        <v>752</v>
      </c>
      <c r="E60">
        <v>215.96799999999999</v>
      </c>
    </row>
    <row r="61" spans="2:5">
      <c r="B61" s="17">
        <v>43094</v>
      </c>
      <c r="D61" t="s">
        <v>752</v>
      </c>
      <c r="E61">
        <v>333.57600000000002</v>
      </c>
    </row>
    <row r="62" spans="2:5">
      <c r="B62" s="17">
        <v>43094</v>
      </c>
      <c r="D62" t="s">
        <v>422</v>
      </c>
      <c r="E62">
        <v>231.92000000000002</v>
      </c>
    </row>
    <row r="63" spans="2:5">
      <c r="B63" s="17">
        <v>43094</v>
      </c>
      <c r="D63" t="s">
        <v>422</v>
      </c>
      <c r="E63">
        <v>223.92</v>
      </c>
    </row>
    <row r="64" spans="2:5">
      <c r="B64" s="17">
        <v>43094</v>
      </c>
      <c r="D64" t="s">
        <v>227</v>
      </c>
      <c r="E64">
        <v>258.57600000000002</v>
      </c>
    </row>
    <row r="65" spans="2:5">
      <c r="B65" s="17">
        <v>43094</v>
      </c>
      <c r="D65" t="s">
        <v>378</v>
      </c>
      <c r="E65">
        <v>221.16</v>
      </c>
    </row>
    <row r="66" spans="2:5">
      <c r="B66" s="17">
        <v>43094</v>
      </c>
      <c r="D66" t="s">
        <v>1319</v>
      </c>
      <c r="E66">
        <v>299.96999999999997</v>
      </c>
    </row>
    <row r="67" spans="2:5">
      <c r="B67" s="17">
        <v>43094</v>
      </c>
      <c r="D67" t="s">
        <v>1319</v>
      </c>
      <c r="E67">
        <v>262.24</v>
      </c>
    </row>
    <row r="68" spans="2:5">
      <c r="B68" s="17">
        <v>43094</v>
      </c>
      <c r="D68" t="s">
        <v>1319</v>
      </c>
      <c r="E68">
        <v>234.36</v>
      </c>
    </row>
    <row r="69" spans="2:5">
      <c r="B69" s="17">
        <v>43093</v>
      </c>
      <c r="D69" t="s">
        <v>615</v>
      </c>
      <c r="E69">
        <v>286.93</v>
      </c>
    </row>
    <row r="70" spans="2:5">
      <c r="B70" s="17">
        <v>43093</v>
      </c>
      <c r="D70" t="s">
        <v>615</v>
      </c>
      <c r="E70">
        <v>206.38400000000001</v>
      </c>
    </row>
    <row r="71" spans="2:5">
      <c r="B71" s="17">
        <v>43093</v>
      </c>
      <c r="D71" t="s">
        <v>1059</v>
      </c>
      <c r="E71">
        <v>199.98</v>
      </c>
    </row>
    <row r="72" spans="2:5">
      <c r="B72" s="17">
        <v>43093</v>
      </c>
      <c r="D72" t="s">
        <v>299</v>
      </c>
      <c r="E72">
        <v>242.94</v>
      </c>
    </row>
    <row r="73" spans="2:5">
      <c r="B73" s="17">
        <v>43093</v>
      </c>
      <c r="D73" t="s">
        <v>299</v>
      </c>
      <c r="E73">
        <v>314.54999999999995</v>
      </c>
    </row>
    <row r="74" spans="2:5">
      <c r="B74" s="17">
        <v>43093</v>
      </c>
      <c r="D74" t="s">
        <v>299</v>
      </c>
      <c r="E74">
        <v>214.95000000000002</v>
      </c>
    </row>
    <row r="75" spans="2:5">
      <c r="B75" s="17">
        <v>43093</v>
      </c>
      <c r="D75" t="s">
        <v>136</v>
      </c>
      <c r="E75">
        <v>288.24</v>
      </c>
    </row>
    <row r="76" spans="2:5">
      <c r="B76" s="17">
        <v>43093</v>
      </c>
      <c r="D76" t="s">
        <v>136</v>
      </c>
      <c r="E76">
        <v>209.98599999999999</v>
      </c>
    </row>
    <row r="77" spans="2:5">
      <c r="B77" s="17">
        <v>43093</v>
      </c>
      <c r="D77" t="s">
        <v>277</v>
      </c>
      <c r="E77">
        <v>299.89999999999998</v>
      </c>
    </row>
    <row r="78" spans="2:5">
      <c r="B78" s="17">
        <v>43093</v>
      </c>
      <c r="D78" t="s">
        <v>1415</v>
      </c>
      <c r="E78">
        <v>310.12</v>
      </c>
    </row>
    <row r="79" spans="2:5">
      <c r="B79" s="17">
        <v>43093</v>
      </c>
      <c r="D79" t="s">
        <v>234</v>
      </c>
      <c r="E79">
        <v>199.96</v>
      </c>
    </row>
    <row r="80" spans="2:5">
      <c r="B80" s="17">
        <v>43093</v>
      </c>
      <c r="D80" t="s">
        <v>744</v>
      </c>
      <c r="E80">
        <v>265.93</v>
      </c>
    </row>
    <row r="81" spans="2:5">
      <c r="B81" s="17">
        <v>43093</v>
      </c>
      <c r="D81" t="s">
        <v>73</v>
      </c>
      <c r="E81">
        <v>238</v>
      </c>
    </row>
    <row r="82" spans="2:5">
      <c r="B82" s="17">
        <v>43093</v>
      </c>
      <c r="D82" t="s">
        <v>1277</v>
      </c>
      <c r="E82">
        <v>274.06400000000002</v>
      </c>
    </row>
    <row r="83" spans="2:5">
      <c r="B83" s="17">
        <v>43093</v>
      </c>
      <c r="D83" t="s">
        <v>1277</v>
      </c>
      <c r="E83">
        <v>277.39999999999998</v>
      </c>
    </row>
    <row r="84" spans="2:5">
      <c r="B84" s="17">
        <v>43093</v>
      </c>
      <c r="D84" t="s">
        <v>981</v>
      </c>
      <c r="E84">
        <v>211.84</v>
      </c>
    </row>
    <row r="85" spans="2:5">
      <c r="B85" s="17">
        <v>43092</v>
      </c>
      <c r="D85" t="s">
        <v>176</v>
      </c>
      <c r="E85">
        <v>221.92</v>
      </c>
    </row>
    <row r="86" spans="2:5">
      <c r="B86" s="17">
        <v>43092</v>
      </c>
      <c r="D86" t="s">
        <v>897</v>
      </c>
      <c r="E86">
        <v>207.84600000000003</v>
      </c>
    </row>
    <row r="87" spans="2:5">
      <c r="B87" s="17">
        <v>43092</v>
      </c>
      <c r="D87" t="s">
        <v>1712</v>
      </c>
      <c r="E87">
        <v>271.76400000000001</v>
      </c>
    </row>
    <row r="88" spans="2:5">
      <c r="B88" s="17">
        <v>43092</v>
      </c>
      <c r="D88" t="s">
        <v>1289</v>
      </c>
      <c r="E88">
        <v>211.16800000000001</v>
      </c>
    </row>
    <row r="89" spans="2:5">
      <c r="B89" s="17">
        <v>43092</v>
      </c>
      <c r="D89" t="s">
        <v>194</v>
      </c>
      <c r="E89">
        <v>257.56799999999998</v>
      </c>
    </row>
    <row r="90" spans="2:5">
      <c r="B90" s="17">
        <v>43092</v>
      </c>
      <c r="D90" t="s">
        <v>1265</v>
      </c>
      <c r="E90">
        <v>332.94</v>
      </c>
    </row>
    <row r="91" spans="2:5">
      <c r="B91" s="17">
        <v>43092</v>
      </c>
      <c r="D91" t="s">
        <v>1265</v>
      </c>
      <c r="E91">
        <v>292.10000000000002</v>
      </c>
    </row>
    <row r="92" spans="2:5">
      <c r="B92" s="17">
        <v>43092</v>
      </c>
      <c r="D92" t="s">
        <v>1265</v>
      </c>
      <c r="E92">
        <v>206.1</v>
      </c>
    </row>
    <row r="93" spans="2:5">
      <c r="B93" s="17">
        <v>43092</v>
      </c>
      <c r="D93" t="s">
        <v>775</v>
      </c>
      <c r="E93">
        <v>211.24599999999998</v>
      </c>
    </row>
    <row r="94" spans="2:5">
      <c r="B94" s="17">
        <v>43092</v>
      </c>
      <c r="D94" t="s">
        <v>623</v>
      </c>
      <c r="E94">
        <v>325.86</v>
      </c>
    </row>
    <row r="95" spans="2:5">
      <c r="B95" s="17">
        <v>43092</v>
      </c>
      <c r="D95" t="s">
        <v>623</v>
      </c>
      <c r="E95">
        <v>205.33279999999996</v>
      </c>
    </row>
    <row r="96" spans="2:5">
      <c r="B96" s="17">
        <v>43092</v>
      </c>
      <c r="D96" t="s">
        <v>772</v>
      </c>
      <c r="E96">
        <v>218.35200000000003</v>
      </c>
    </row>
    <row r="97" spans="2:5">
      <c r="B97" s="17">
        <v>43092</v>
      </c>
      <c r="D97" t="s">
        <v>1313</v>
      </c>
      <c r="E97">
        <v>240.37</v>
      </c>
    </row>
    <row r="98" spans="2:5">
      <c r="B98" s="17">
        <v>43092</v>
      </c>
      <c r="D98" t="s">
        <v>409</v>
      </c>
      <c r="E98">
        <v>233.86</v>
      </c>
    </row>
    <row r="99" spans="2:5">
      <c r="B99" s="17">
        <v>43092</v>
      </c>
      <c r="D99" t="s">
        <v>409</v>
      </c>
      <c r="E99">
        <v>258.072</v>
      </c>
    </row>
    <row r="100" spans="2:5">
      <c r="B100" s="17">
        <v>43091</v>
      </c>
      <c r="D100" t="s">
        <v>409</v>
      </c>
      <c r="E100">
        <v>219.18400000000003</v>
      </c>
    </row>
    <row r="101" spans="2:5">
      <c r="B101" s="17">
        <v>43091</v>
      </c>
      <c r="D101" t="s">
        <v>464</v>
      </c>
      <c r="E101">
        <v>244.54999999999998</v>
      </c>
    </row>
    <row r="102" spans="2:5">
      <c r="B102" s="17">
        <v>43091</v>
      </c>
      <c r="D102" t="s">
        <v>464</v>
      </c>
      <c r="E102">
        <v>273.95999999999998</v>
      </c>
    </row>
    <row r="103" spans="2:5">
      <c r="B103" s="17">
        <v>43091</v>
      </c>
      <c r="D103" t="s">
        <v>1398</v>
      </c>
      <c r="E103">
        <v>306.89999999999998</v>
      </c>
    </row>
    <row r="104" spans="2:5">
      <c r="B104" s="17">
        <v>43091</v>
      </c>
      <c r="D104" t="s">
        <v>401</v>
      </c>
      <c r="E104">
        <v>251.64</v>
      </c>
    </row>
    <row r="105" spans="2:5">
      <c r="B105" s="17">
        <v>43091</v>
      </c>
      <c r="D105" t="s">
        <v>1701</v>
      </c>
      <c r="E105">
        <v>286.14999999999998</v>
      </c>
    </row>
    <row r="106" spans="2:5">
      <c r="B106" s="17">
        <v>43091</v>
      </c>
      <c r="D106" t="s">
        <v>1701</v>
      </c>
      <c r="E106">
        <v>199.95000000000002</v>
      </c>
    </row>
    <row r="107" spans="2:5">
      <c r="B107" s="17">
        <v>43091</v>
      </c>
      <c r="D107" t="s">
        <v>629</v>
      </c>
      <c r="E107">
        <v>242.35200000000003</v>
      </c>
    </row>
    <row r="108" spans="2:5">
      <c r="B108" s="17">
        <v>43091</v>
      </c>
      <c r="D108" t="s">
        <v>1240</v>
      </c>
      <c r="E108">
        <v>205.92</v>
      </c>
    </row>
    <row r="109" spans="2:5">
      <c r="B109" s="17">
        <v>43091</v>
      </c>
      <c r="D109" t="s">
        <v>146</v>
      </c>
      <c r="E109">
        <v>274.89</v>
      </c>
    </row>
    <row r="110" spans="2:5">
      <c r="B110" s="17">
        <v>43091</v>
      </c>
      <c r="D110" t="s">
        <v>146</v>
      </c>
      <c r="E110">
        <v>218.35200000000003</v>
      </c>
    </row>
    <row r="111" spans="2:5">
      <c r="B111" s="17">
        <v>43091</v>
      </c>
      <c r="D111" t="s">
        <v>1627</v>
      </c>
      <c r="E111">
        <v>332.70400000000001</v>
      </c>
    </row>
    <row r="112" spans="2:5">
      <c r="B112" s="17">
        <v>43091</v>
      </c>
      <c r="D112" t="s">
        <v>1450</v>
      </c>
      <c r="E112">
        <v>317.05799999999999</v>
      </c>
    </row>
    <row r="113" spans="2:5">
      <c r="B113" s="17">
        <v>43091</v>
      </c>
      <c r="D113" t="s">
        <v>1509</v>
      </c>
      <c r="E113">
        <v>254.35200000000003</v>
      </c>
    </row>
    <row r="114" spans="2:5">
      <c r="B114" s="17">
        <v>43091</v>
      </c>
      <c r="D114" t="s">
        <v>1188</v>
      </c>
      <c r="E114">
        <v>220.26559999999998</v>
      </c>
    </row>
    <row r="115" spans="2:5">
      <c r="B115" s="17">
        <v>43091</v>
      </c>
      <c r="D115" t="s">
        <v>454</v>
      </c>
      <c r="E115">
        <v>220.70400000000001</v>
      </c>
    </row>
    <row r="116" spans="2:5">
      <c r="B116" s="17">
        <v>43091</v>
      </c>
      <c r="D116" t="s">
        <v>274</v>
      </c>
      <c r="E116">
        <v>314.35199999999998</v>
      </c>
    </row>
    <row r="117" spans="2:5">
      <c r="B117" s="17">
        <v>43091</v>
      </c>
      <c r="D117" t="s">
        <v>1433</v>
      </c>
      <c r="E117">
        <v>300.904</v>
      </c>
    </row>
    <row r="118" spans="2:5">
      <c r="B118" s="17">
        <v>43091</v>
      </c>
      <c r="D118" t="s">
        <v>1103</v>
      </c>
      <c r="E118">
        <v>243.16</v>
      </c>
    </row>
    <row r="119" spans="2:5">
      <c r="B119" s="17">
        <v>43091</v>
      </c>
      <c r="D119" t="s">
        <v>412</v>
      </c>
      <c r="E119">
        <v>207</v>
      </c>
    </row>
    <row r="120" spans="2:5">
      <c r="B120" s="17">
        <v>43091</v>
      </c>
      <c r="D120" t="s">
        <v>710</v>
      </c>
      <c r="E120">
        <v>286.85000000000002</v>
      </c>
    </row>
    <row r="121" spans="2:5">
      <c r="B121" s="17">
        <v>43091</v>
      </c>
      <c r="D121" t="s">
        <v>1241</v>
      </c>
      <c r="E121">
        <v>199.98</v>
      </c>
    </row>
    <row r="122" spans="2:5">
      <c r="B122" s="17">
        <v>43091</v>
      </c>
      <c r="D122" t="s">
        <v>1660</v>
      </c>
      <c r="E122">
        <v>209.97900000000001</v>
      </c>
    </row>
    <row r="123" spans="2:5">
      <c r="B123" s="17">
        <v>43091</v>
      </c>
      <c r="D123" t="s">
        <v>97</v>
      </c>
      <c r="E123">
        <v>238.62</v>
      </c>
    </row>
    <row r="124" spans="2:5">
      <c r="B124" s="17">
        <v>43091</v>
      </c>
      <c r="D124" t="s">
        <v>97</v>
      </c>
      <c r="E124">
        <v>285.48</v>
      </c>
    </row>
    <row r="125" spans="2:5">
      <c r="B125" s="17">
        <v>43091</v>
      </c>
      <c r="D125" t="s">
        <v>1018</v>
      </c>
      <c r="E125">
        <v>299.52</v>
      </c>
    </row>
    <row r="126" spans="2:5">
      <c r="B126" s="17">
        <v>43091</v>
      </c>
      <c r="D126" t="s">
        <v>501</v>
      </c>
      <c r="E126">
        <v>261.95999999999998</v>
      </c>
    </row>
    <row r="127" spans="2:5">
      <c r="B127" s="17">
        <v>43090</v>
      </c>
      <c r="D127" t="s">
        <v>1547</v>
      </c>
      <c r="E127">
        <v>220.96</v>
      </c>
    </row>
    <row r="128" spans="2:5">
      <c r="B128" s="17">
        <v>43090</v>
      </c>
      <c r="D128" t="s">
        <v>1547</v>
      </c>
      <c r="E128">
        <v>221.024</v>
      </c>
    </row>
    <row r="129" spans="2:5">
      <c r="B129" s="17">
        <v>43090</v>
      </c>
      <c r="D129" t="s">
        <v>184</v>
      </c>
      <c r="E129">
        <v>302.94</v>
      </c>
    </row>
    <row r="130" spans="2:5">
      <c r="B130" s="17">
        <v>43090</v>
      </c>
      <c r="D130" t="s">
        <v>467</v>
      </c>
      <c r="E130">
        <v>281.34000000000003</v>
      </c>
    </row>
    <row r="131" spans="2:5">
      <c r="B131" s="17">
        <v>43090</v>
      </c>
      <c r="D131" t="s">
        <v>467</v>
      </c>
      <c r="E131">
        <v>307.98</v>
      </c>
    </row>
    <row r="132" spans="2:5">
      <c r="B132" s="17">
        <v>43090</v>
      </c>
      <c r="D132" t="s">
        <v>467</v>
      </c>
      <c r="E132">
        <v>299.96999999999997</v>
      </c>
    </row>
    <row r="133" spans="2:5">
      <c r="B133" s="17">
        <v>43090</v>
      </c>
      <c r="D133" t="s">
        <v>1473</v>
      </c>
      <c r="E133">
        <v>286.93</v>
      </c>
    </row>
    <row r="134" spans="2:5">
      <c r="B134" s="17">
        <v>43090</v>
      </c>
      <c r="D134" t="s">
        <v>143</v>
      </c>
      <c r="E134">
        <v>314.35199999999998</v>
      </c>
    </row>
    <row r="135" spans="2:5">
      <c r="B135" s="17">
        <v>43090</v>
      </c>
      <c r="D135" t="s">
        <v>1198</v>
      </c>
      <c r="E135">
        <v>343.20000000000005</v>
      </c>
    </row>
    <row r="136" spans="2:5">
      <c r="B136" s="17">
        <v>43090</v>
      </c>
      <c r="D136" t="s">
        <v>123</v>
      </c>
      <c r="E136">
        <v>208.44</v>
      </c>
    </row>
    <row r="137" spans="2:5">
      <c r="B137" s="17">
        <v>43090</v>
      </c>
      <c r="D137" t="s">
        <v>570</v>
      </c>
      <c r="E137">
        <v>302.37599999999998</v>
      </c>
    </row>
    <row r="138" spans="2:5">
      <c r="B138" s="17">
        <v>43089</v>
      </c>
      <c r="D138" t="s">
        <v>1871</v>
      </c>
      <c r="E138">
        <v>301.95999999999998</v>
      </c>
    </row>
    <row r="139" spans="2:5">
      <c r="B139" s="17">
        <v>43089</v>
      </c>
      <c r="D139" t="s">
        <v>449</v>
      </c>
      <c r="E139">
        <v>247.44</v>
      </c>
    </row>
    <row r="140" spans="2:5">
      <c r="B140" s="17">
        <v>43089</v>
      </c>
      <c r="D140" t="s">
        <v>58</v>
      </c>
      <c r="E140">
        <v>271.96800000000002</v>
      </c>
    </row>
    <row r="141" spans="2:5">
      <c r="B141" s="17">
        <v>43089</v>
      </c>
      <c r="D141" t="s">
        <v>230</v>
      </c>
      <c r="E141">
        <v>241.96</v>
      </c>
    </row>
    <row r="142" spans="2:5">
      <c r="B142" s="17">
        <v>43089</v>
      </c>
      <c r="D142" t="s">
        <v>387</v>
      </c>
      <c r="E142">
        <v>204.66639999999998</v>
      </c>
    </row>
    <row r="143" spans="2:5">
      <c r="B143" s="17">
        <v>43088</v>
      </c>
      <c r="D143" t="s">
        <v>387</v>
      </c>
      <c r="E143">
        <v>324.74400000000003</v>
      </c>
    </row>
    <row r="144" spans="2:5">
      <c r="B144" s="17">
        <v>43088</v>
      </c>
      <c r="D144" t="s">
        <v>599</v>
      </c>
      <c r="E144">
        <v>205.99200000000002</v>
      </c>
    </row>
    <row r="145" spans="2:5">
      <c r="B145" s="17">
        <v>43088</v>
      </c>
      <c r="D145" t="s">
        <v>1564</v>
      </c>
      <c r="E145">
        <v>241.56799999999998</v>
      </c>
    </row>
    <row r="146" spans="2:5">
      <c r="B146" s="17">
        <v>43088</v>
      </c>
      <c r="D146" t="s">
        <v>382</v>
      </c>
      <c r="E146">
        <v>279.95999999999998</v>
      </c>
    </row>
    <row r="147" spans="2:5">
      <c r="B147" s="17">
        <v>43088</v>
      </c>
      <c r="D147" t="s">
        <v>1437</v>
      </c>
      <c r="E147">
        <v>280.79200000000003</v>
      </c>
    </row>
    <row r="148" spans="2:5">
      <c r="B148" s="17">
        <v>43087</v>
      </c>
      <c r="D148" t="s">
        <v>1714</v>
      </c>
      <c r="E148">
        <v>215.59200000000001</v>
      </c>
    </row>
    <row r="149" spans="2:5">
      <c r="B149" s="17">
        <v>43087</v>
      </c>
      <c r="D149" t="s">
        <v>620</v>
      </c>
      <c r="E149">
        <v>291.13600000000002</v>
      </c>
    </row>
    <row r="150" spans="2:5">
      <c r="B150" s="17">
        <v>43087</v>
      </c>
      <c r="D150" t="s">
        <v>258</v>
      </c>
      <c r="E150">
        <v>239.976</v>
      </c>
    </row>
    <row r="151" spans="2:5">
      <c r="B151" s="17">
        <v>43087</v>
      </c>
      <c r="D151" t="s">
        <v>1057</v>
      </c>
      <c r="E151">
        <v>301.95999999999998</v>
      </c>
    </row>
    <row r="152" spans="2:5">
      <c r="B152" s="17">
        <v>43087</v>
      </c>
      <c r="D152" t="s">
        <v>1387</v>
      </c>
      <c r="E152">
        <v>239.96999999999997</v>
      </c>
    </row>
    <row r="153" spans="2:5">
      <c r="B153" s="17">
        <v>43087</v>
      </c>
      <c r="D153" t="s">
        <v>964</v>
      </c>
      <c r="E153">
        <v>276.69</v>
      </c>
    </row>
    <row r="154" spans="2:5">
      <c r="B154" s="17">
        <v>43087</v>
      </c>
      <c r="D154" t="s">
        <v>822</v>
      </c>
      <c r="E154">
        <v>239.96999999999997</v>
      </c>
    </row>
    <row r="155" spans="2:5">
      <c r="B155" s="17">
        <v>43087</v>
      </c>
      <c r="D155" t="s">
        <v>1371</v>
      </c>
      <c r="E155">
        <v>273.55200000000002</v>
      </c>
    </row>
    <row r="156" spans="2:5">
      <c r="B156" s="17">
        <v>43087</v>
      </c>
      <c r="D156" t="s">
        <v>1371</v>
      </c>
      <c r="E156">
        <v>272.94</v>
      </c>
    </row>
    <row r="157" spans="2:5">
      <c r="B157" s="17">
        <v>43087</v>
      </c>
      <c r="D157" t="s">
        <v>557</v>
      </c>
      <c r="E157">
        <v>312.55200000000002</v>
      </c>
    </row>
    <row r="158" spans="2:5">
      <c r="B158" s="17">
        <v>43087</v>
      </c>
      <c r="D158" t="s">
        <v>1121</v>
      </c>
      <c r="E158">
        <v>307.31400000000002</v>
      </c>
    </row>
    <row r="159" spans="2:5">
      <c r="B159" s="17">
        <v>43087</v>
      </c>
      <c r="D159" t="s">
        <v>1128</v>
      </c>
      <c r="E159">
        <v>248.57</v>
      </c>
    </row>
    <row r="160" spans="2:5">
      <c r="B160" s="17">
        <v>43087</v>
      </c>
      <c r="D160" t="s">
        <v>1318</v>
      </c>
      <c r="E160">
        <v>204.95000000000002</v>
      </c>
    </row>
    <row r="161" spans="2:5">
      <c r="B161" s="17">
        <v>43087</v>
      </c>
      <c r="D161" t="s">
        <v>332</v>
      </c>
      <c r="E161">
        <v>287.96999999999997</v>
      </c>
    </row>
    <row r="162" spans="2:5">
      <c r="B162" s="17">
        <v>43087</v>
      </c>
      <c r="D162" t="s">
        <v>332</v>
      </c>
      <c r="E162">
        <v>273.89600000000002</v>
      </c>
    </row>
    <row r="163" spans="2:5">
      <c r="B163" s="17">
        <v>43087</v>
      </c>
      <c r="D163" t="s">
        <v>366</v>
      </c>
      <c r="E163">
        <v>215.148</v>
      </c>
    </row>
    <row r="164" spans="2:5">
      <c r="B164" s="17">
        <v>43087</v>
      </c>
      <c r="D164" t="s">
        <v>366</v>
      </c>
      <c r="E164">
        <v>258.89999999999998</v>
      </c>
    </row>
    <row r="165" spans="2:5">
      <c r="B165" s="17">
        <v>43087</v>
      </c>
      <c r="D165" t="s">
        <v>774</v>
      </c>
      <c r="E165">
        <v>332.02800000000002</v>
      </c>
    </row>
    <row r="166" spans="2:5">
      <c r="B166" s="17">
        <v>43087</v>
      </c>
      <c r="D166" t="s">
        <v>374</v>
      </c>
      <c r="E166">
        <v>239.24</v>
      </c>
    </row>
    <row r="167" spans="2:5">
      <c r="B167" s="17">
        <v>43087</v>
      </c>
      <c r="D167" t="s">
        <v>139</v>
      </c>
      <c r="E167">
        <v>252</v>
      </c>
    </row>
    <row r="168" spans="2:5">
      <c r="B168" s="17">
        <v>43086</v>
      </c>
      <c r="D168" t="s">
        <v>93</v>
      </c>
      <c r="E168">
        <v>228.92</v>
      </c>
    </row>
    <row r="169" spans="2:5">
      <c r="B169" s="17">
        <v>43086</v>
      </c>
      <c r="D169" t="s">
        <v>93</v>
      </c>
      <c r="E169">
        <v>274.8</v>
      </c>
    </row>
    <row r="170" spans="2:5">
      <c r="B170" s="17">
        <v>43086</v>
      </c>
      <c r="D170" t="s">
        <v>93</v>
      </c>
      <c r="E170">
        <v>257.98</v>
      </c>
    </row>
    <row r="171" spans="2:5">
      <c r="B171" s="17">
        <v>43086</v>
      </c>
      <c r="D171" t="s">
        <v>93</v>
      </c>
      <c r="E171">
        <v>298.464</v>
      </c>
    </row>
    <row r="172" spans="2:5">
      <c r="B172" s="17">
        <v>43086</v>
      </c>
      <c r="D172" t="s">
        <v>130</v>
      </c>
      <c r="E172">
        <v>276.69</v>
      </c>
    </row>
    <row r="173" spans="2:5">
      <c r="B173" s="17">
        <v>43086</v>
      </c>
      <c r="D173" t="s">
        <v>141</v>
      </c>
      <c r="E173">
        <v>239.45599999999999</v>
      </c>
    </row>
    <row r="174" spans="2:5">
      <c r="B174" s="17">
        <v>43086</v>
      </c>
      <c r="D174" t="s">
        <v>1060</v>
      </c>
      <c r="E174">
        <v>310.44300000000004</v>
      </c>
    </row>
    <row r="175" spans="2:5">
      <c r="B175" s="17">
        <v>43086</v>
      </c>
      <c r="D175" t="s">
        <v>706</v>
      </c>
      <c r="E175">
        <v>242.35200000000003</v>
      </c>
    </row>
    <row r="176" spans="2:5">
      <c r="B176" s="17">
        <v>43086</v>
      </c>
      <c r="D176" t="s">
        <v>1630</v>
      </c>
      <c r="E176">
        <v>269.98</v>
      </c>
    </row>
    <row r="177" spans="2:5">
      <c r="B177" s="17">
        <v>43086</v>
      </c>
      <c r="D177" t="s">
        <v>1680</v>
      </c>
      <c r="E177">
        <v>311.97600000000006</v>
      </c>
    </row>
    <row r="178" spans="2:5">
      <c r="B178" s="17">
        <v>43086</v>
      </c>
      <c r="D178" t="s">
        <v>1197</v>
      </c>
      <c r="E178">
        <v>222.32000000000005</v>
      </c>
    </row>
    <row r="179" spans="2:5">
      <c r="B179" s="17">
        <v>43086</v>
      </c>
      <c r="D179" t="s">
        <v>1197</v>
      </c>
      <c r="E179">
        <v>210.56400000000002</v>
      </c>
    </row>
    <row r="180" spans="2:5">
      <c r="B180" s="17">
        <v>43086</v>
      </c>
      <c r="D180" t="s">
        <v>1197</v>
      </c>
      <c r="E180">
        <v>271.95999999999998</v>
      </c>
    </row>
    <row r="181" spans="2:5">
      <c r="B181" s="17">
        <v>43085</v>
      </c>
      <c r="D181" t="s">
        <v>1808</v>
      </c>
      <c r="E181">
        <v>302.94</v>
      </c>
    </row>
    <row r="182" spans="2:5">
      <c r="B182" s="17">
        <v>43085</v>
      </c>
      <c r="D182" t="s">
        <v>1443</v>
      </c>
      <c r="E182">
        <v>231.72</v>
      </c>
    </row>
    <row r="183" spans="2:5">
      <c r="B183" s="17">
        <v>43085</v>
      </c>
      <c r="D183" t="s">
        <v>1735</v>
      </c>
      <c r="E183">
        <v>225.29600000000002</v>
      </c>
    </row>
    <row r="184" spans="2:5">
      <c r="B184" s="17">
        <v>43085</v>
      </c>
      <c r="D184" t="s">
        <v>353</v>
      </c>
      <c r="E184">
        <v>259.92000000000007</v>
      </c>
    </row>
    <row r="185" spans="2:5">
      <c r="B185" s="17">
        <v>43085</v>
      </c>
      <c r="D185" t="s">
        <v>353</v>
      </c>
      <c r="E185">
        <v>298.11599999999999</v>
      </c>
    </row>
    <row r="186" spans="2:5">
      <c r="B186" s="17">
        <v>43085</v>
      </c>
      <c r="D186" t="s">
        <v>353</v>
      </c>
      <c r="E186">
        <v>234.95000000000002</v>
      </c>
    </row>
    <row r="187" spans="2:5">
      <c r="B187" s="17">
        <v>43085</v>
      </c>
      <c r="D187" t="s">
        <v>162</v>
      </c>
      <c r="E187">
        <v>302.67</v>
      </c>
    </row>
    <row r="188" spans="2:5">
      <c r="B188" s="17">
        <v>43085</v>
      </c>
      <c r="D188" t="s">
        <v>162</v>
      </c>
      <c r="E188">
        <v>330.4</v>
      </c>
    </row>
    <row r="189" spans="2:5">
      <c r="B189" s="17">
        <v>43085</v>
      </c>
      <c r="D189" t="s">
        <v>1384</v>
      </c>
      <c r="E189">
        <v>285.57599999999996</v>
      </c>
    </row>
    <row r="190" spans="2:5">
      <c r="B190" s="17">
        <v>43085</v>
      </c>
      <c r="D190" t="s">
        <v>984</v>
      </c>
      <c r="E190">
        <v>271.95999999999998</v>
      </c>
    </row>
    <row r="191" spans="2:5">
      <c r="B191" s="17">
        <v>43085</v>
      </c>
      <c r="D191" t="s">
        <v>1374</v>
      </c>
      <c r="E191">
        <v>227.88</v>
      </c>
    </row>
    <row r="192" spans="2:5">
      <c r="B192" s="17">
        <v>43085</v>
      </c>
      <c r="D192" t="s">
        <v>1374</v>
      </c>
      <c r="E192">
        <v>244.54999999999998</v>
      </c>
    </row>
    <row r="193" spans="2:5">
      <c r="B193" s="17">
        <v>43085</v>
      </c>
      <c r="D193" t="s">
        <v>348</v>
      </c>
      <c r="E193">
        <v>207.18400000000003</v>
      </c>
    </row>
    <row r="194" spans="2:5">
      <c r="B194" s="17">
        <v>43084</v>
      </c>
      <c r="D194" t="s">
        <v>1156</v>
      </c>
      <c r="E194">
        <v>219.89999999999998</v>
      </c>
    </row>
    <row r="195" spans="2:5">
      <c r="B195" s="17">
        <v>43084</v>
      </c>
      <c r="D195" t="s">
        <v>1156</v>
      </c>
      <c r="E195">
        <v>299.99</v>
      </c>
    </row>
    <row r="196" spans="2:5">
      <c r="B196" s="17">
        <v>43084</v>
      </c>
      <c r="D196" t="s">
        <v>1029</v>
      </c>
      <c r="E196">
        <v>242.624</v>
      </c>
    </row>
    <row r="197" spans="2:5">
      <c r="B197" s="17">
        <v>43084</v>
      </c>
      <c r="D197" t="s">
        <v>150</v>
      </c>
      <c r="E197">
        <v>272.048</v>
      </c>
    </row>
    <row r="198" spans="2:5">
      <c r="B198" s="17">
        <v>43084</v>
      </c>
      <c r="D198" t="s">
        <v>546</v>
      </c>
      <c r="E198">
        <v>221.05600000000001</v>
      </c>
    </row>
    <row r="199" spans="2:5">
      <c r="B199" s="17">
        <v>43083</v>
      </c>
      <c r="D199" t="s">
        <v>901</v>
      </c>
      <c r="E199">
        <v>200.06400000000002</v>
      </c>
    </row>
    <row r="200" spans="2:5">
      <c r="B200" s="17">
        <v>43083</v>
      </c>
      <c r="D200" t="s">
        <v>402</v>
      </c>
      <c r="E200">
        <v>323.10000000000002</v>
      </c>
    </row>
    <row r="201" spans="2:5">
      <c r="B201" s="17">
        <v>43083</v>
      </c>
      <c r="D201" t="s">
        <v>213</v>
      </c>
      <c r="E201">
        <v>239.12000000000003</v>
      </c>
    </row>
    <row r="202" spans="2:5">
      <c r="B202" s="17">
        <v>43083</v>
      </c>
      <c r="D202" t="s">
        <v>213</v>
      </c>
      <c r="E202">
        <v>226.56</v>
      </c>
    </row>
    <row r="203" spans="2:5">
      <c r="B203" s="17">
        <v>43083</v>
      </c>
      <c r="D203" t="s">
        <v>1488</v>
      </c>
      <c r="E203">
        <v>203.52</v>
      </c>
    </row>
    <row r="204" spans="2:5">
      <c r="B204" s="17">
        <v>43083</v>
      </c>
      <c r="D204" t="s">
        <v>1488</v>
      </c>
      <c r="E204">
        <v>277.39999999999998</v>
      </c>
    </row>
    <row r="205" spans="2:5">
      <c r="B205" s="17">
        <v>43083</v>
      </c>
      <c r="D205" t="s">
        <v>755</v>
      </c>
      <c r="E205">
        <v>237.09600000000003</v>
      </c>
    </row>
    <row r="206" spans="2:5">
      <c r="B206" s="17">
        <v>43083</v>
      </c>
      <c r="D206" t="s">
        <v>1587</v>
      </c>
      <c r="E206">
        <v>210.00800000000001</v>
      </c>
    </row>
    <row r="207" spans="2:5">
      <c r="B207" s="17">
        <v>43083</v>
      </c>
      <c r="D207" t="s">
        <v>1587</v>
      </c>
      <c r="E207">
        <v>314.53199999999998</v>
      </c>
    </row>
    <row r="208" spans="2:5">
      <c r="B208" s="17">
        <v>43083</v>
      </c>
      <c r="D208" t="s">
        <v>1490</v>
      </c>
      <c r="E208">
        <v>321.92</v>
      </c>
    </row>
    <row r="209" spans="2:5">
      <c r="B209" s="17">
        <v>43083</v>
      </c>
      <c r="D209" t="s">
        <v>103</v>
      </c>
      <c r="E209">
        <v>230.28000000000003</v>
      </c>
    </row>
    <row r="210" spans="2:5">
      <c r="B210" s="17">
        <v>43083</v>
      </c>
      <c r="D210" t="s">
        <v>240</v>
      </c>
      <c r="E210">
        <v>229.54400000000001</v>
      </c>
    </row>
    <row r="211" spans="2:5">
      <c r="B211" s="17">
        <v>43083</v>
      </c>
      <c r="D211" t="s">
        <v>639</v>
      </c>
      <c r="E211">
        <v>314.60000000000002</v>
      </c>
    </row>
    <row r="212" spans="2:5">
      <c r="B212" s="17">
        <v>43083</v>
      </c>
      <c r="D212" t="s">
        <v>639</v>
      </c>
      <c r="E212">
        <v>283.56</v>
      </c>
    </row>
    <row r="213" spans="2:5">
      <c r="B213" s="17">
        <v>43083</v>
      </c>
      <c r="D213" t="s">
        <v>627</v>
      </c>
      <c r="E213">
        <v>254.52599999999998</v>
      </c>
    </row>
    <row r="214" spans="2:5">
      <c r="B214" s="17">
        <v>43083</v>
      </c>
      <c r="D214" t="s">
        <v>487</v>
      </c>
      <c r="E214">
        <v>238</v>
      </c>
    </row>
    <row r="215" spans="2:5">
      <c r="B215" s="17">
        <v>43083</v>
      </c>
      <c r="D215" t="s">
        <v>1088</v>
      </c>
      <c r="E215">
        <v>201.584</v>
      </c>
    </row>
    <row r="216" spans="2:5">
      <c r="B216" s="17">
        <v>43083</v>
      </c>
      <c r="D216" t="s">
        <v>62</v>
      </c>
      <c r="E216">
        <v>235.92</v>
      </c>
    </row>
    <row r="217" spans="2:5">
      <c r="B217" s="17">
        <v>43082</v>
      </c>
      <c r="D217" t="s">
        <v>62</v>
      </c>
      <c r="E217">
        <v>236.52800000000002</v>
      </c>
    </row>
    <row r="218" spans="2:5">
      <c r="B218" s="17">
        <v>43082</v>
      </c>
      <c r="D218" t="s">
        <v>62</v>
      </c>
      <c r="E218">
        <v>215.976</v>
      </c>
    </row>
    <row r="219" spans="2:5">
      <c r="B219" s="17">
        <v>43082</v>
      </c>
      <c r="D219" t="s">
        <v>1875</v>
      </c>
      <c r="E219">
        <v>284.96999999999997</v>
      </c>
    </row>
    <row r="220" spans="2:5">
      <c r="B220" s="17">
        <v>43082</v>
      </c>
      <c r="D220" t="s">
        <v>909</v>
      </c>
      <c r="E220">
        <v>239.66599999999997</v>
      </c>
    </row>
    <row r="221" spans="2:5">
      <c r="B221" s="17">
        <v>43082</v>
      </c>
      <c r="D221" t="s">
        <v>1047</v>
      </c>
      <c r="E221">
        <v>217.85</v>
      </c>
    </row>
    <row r="222" spans="2:5">
      <c r="B222" s="17">
        <v>43082</v>
      </c>
      <c r="D222" t="s">
        <v>732</v>
      </c>
      <c r="E222">
        <v>279.94400000000002</v>
      </c>
    </row>
    <row r="223" spans="2:5">
      <c r="B223" s="17">
        <v>43080</v>
      </c>
      <c r="D223" t="s">
        <v>757</v>
      </c>
      <c r="E223">
        <v>258.52799999999996</v>
      </c>
    </row>
    <row r="224" spans="2:5">
      <c r="B224" s="17">
        <v>43080</v>
      </c>
      <c r="D224" t="s">
        <v>757</v>
      </c>
      <c r="E224">
        <v>319.98400000000004</v>
      </c>
    </row>
    <row r="225" spans="2:5">
      <c r="B225" s="17">
        <v>43080</v>
      </c>
      <c r="D225" t="s">
        <v>1363</v>
      </c>
      <c r="E225">
        <v>213.42999999999995</v>
      </c>
    </row>
    <row r="226" spans="2:5">
      <c r="B226" s="17">
        <v>43080</v>
      </c>
      <c r="D226" t="s">
        <v>734</v>
      </c>
      <c r="E226">
        <v>258.69600000000003</v>
      </c>
    </row>
    <row r="227" spans="2:5">
      <c r="B227" s="17">
        <v>43080</v>
      </c>
      <c r="D227" t="s">
        <v>1711</v>
      </c>
      <c r="E227">
        <v>258.48</v>
      </c>
    </row>
    <row r="228" spans="2:5">
      <c r="B228" s="17">
        <v>43080</v>
      </c>
      <c r="D228" t="s">
        <v>1429</v>
      </c>
      <c r="E228">
        <v>243.92</v>
      </c>
    </row>
    <row r="229" spans="2:5">
      <c r="B229" s="17">
        <v>43080</v>
      </c>
      <c r="D229" t="s">
        <v>1579</v>
      </c>
      <c r="E229">
        <v>296.84999999999997</v>
      </c>
    </row>
    <row r="230" spans="2:5">
      <c r="B230" s="17">
        <v>43080</v>
      </c>
      <c r="D230" t="s">
        <v>632</v>
      </c>
      <c r="E230">
        <v>286.29000000000002</v>
      </c>
    </row>
    <row r="231" spans="2:5">
      <c r="B231" s="17">
        <v>43080</v>
      </c>
      <c r="D231" t="s">
        <v>642</v>
      </c>
      <c r="E231">
        <v>259.89600000000002</v>
      </c>
    </row>
    <row r="232" spans="2:5">
      <c r="B232" s="17">
        <v>43080</v>
      </c>
      <c r="D232" t="s">
        <v>827</v>
      </c>
      <c r="E232">
        <v>241.17000000000002</v>
      </c>
    </row>
    <row r="233" spans="2:5">
      <c r="B233" s="17">
        <v>43080</v>
      </c>
      <c r="D233" t="s">
        <v>439</v>
      </c>
      <c r="E233">
        <v>323.97600000000006</v>
      </c>
    </row>
    <row r="234" spans="2:5">
      <c r="B234" s="17">
        <v>43080</v>
      </c>
      <c r="D234" t="s">
        <v>186</v>
      </c>
      <c r="E234">
        <v>242.48000000000002</v>
      </c>
    </row>
    <row r="235" spans="2:5">
      <c r="B235" s="17">
        <v>43080</v>
      </c>
      <c r="D235" t="s">
        <v>1421</v>
      </c>
      <c r="E235">
        <v>218.35200000000003</v>
      </c>
    </row>
    <row r="236" spans="2:5">
      <c r="B236" s="17">
        <v>43080</v>
      </c>
      <c r="D236" t="s">
        <v>603</v>
      </c>
      <c r="E236">
        <v>295.05599999999998</v>
      </c>
    </row>
    <row r="237" spans="2:5">
      <c r="B237" s="17">
        <v>43080</v>
      </c>
      <c r="D237" t="s">
        <v>603</v>
      </c>
      <c r="E237">
        <v>300.904</v>
      </c>
    </row>
    <row r="238" spans="2:5">
      <c r="B238" s="17">
        <v>43080</v>
      </c>
      <c r="D238" t="s">
        <v>989</v>
      </c>
      <c r="E238">
        <v>261.74</v>
      </c>
    </row>
    <row r="239" spans="2:5">
      <c r="B239" s="17">
        <v>43080</v>
      </c>
      <c r="D239" t="s">
        <v>989</v>
      </c>
      <c r="E239">
        <v>318.43</v>
      </c>
    </row>
    <row r="240" spans="2:5">
      <c r="B240" s="17">
        <v>43080</v>
      </c>
      <c r="D240" t="s">
        <v>1517</v>
      </c>
      <c r="E240">
        <v>244.54999999999998</v>
      </c>
    </row>
    <row r="241" spans="2:5">
      <c r="B241" s="17">
        <v>43080</v>
      </c>
      <c r="D241" t="s">
        <v>498</v>
      </c>
      <c r="E241">
        <v>272.64600000000002</v>
      </c>
    </row>
    <row r="242" spans="2:5">
      <c r="B242" s="17">
        <v>43080</v>
      </c>
      <c r="D242" t="s">
        <v>498</v>
      </c>
      <c r="E242">
        <v>212.8</v>
      </c>
    </row>
    <row r="243" spans="2:5">
      <c r="B243" s="17">
        <v>43080</v>
      </c>
      <c r="D243" t="s">
        <v>1732</v>
      </c>
      <c r="E243">
        <v>219.84</v>
      </c>
    </row>
    <row r="244" spans="2:5">
      <c r="B244" s="17">
        <v>43080</v>
      </c>
      <c r="D244" t="s">
        <v>742</v>
      </c>
      <c r="E244">
        <v>241.96</v>
      </c>
    </row>
    <row r="245" spans="2:5">
      <c r="B245" s="17">
        <v>43079</v>
      </c>
      <c r="D245" t="s">
        <v>216</v>
      </c>
      <c r="E245">
        <v>291.95999999999998</v>
      </c>
    </row>
    <row r="246" spans="2:5">
      <c r="B246" s="17">
        <v>43079</v>
      </c>
      <c r="D246" t="s">
        <v>216</v>
      </c>
      <c r="E246">
        <v>251.64</v>
      </c>
    </row>
    <row r="247" spans="2:5">
      <c r="B247" s="17">
        <v>43079</v>
      </c>
      <c r="D247" t="s">
        <v>1442</v>
      </c>
      <c r="E247">
        <v>199.95000000000002</v>
      </c>
    </row>
    <row r="248" spans="2:5">
      <c r="B248" s="17">
        <v>43079</v>
      </c>
      <c r="D248" t="s">
        <v>1442</v>
      </c>
      <c r="E248">
        <v>211.04</v>
      </c>
    </row>
    <row r="249" spans="2:5">
      <c r="B249" s="17">
        <v>43079</v>
      </c>
      <c r="D249" t="s">
        <v>1007</v>
      </c>
      <c r="E249">
        <v>235.94400000000002</v>
      </c>
    </row>
    <row r="250" spans="2:5">
      <c r="B250" s="17">
        <v>43079</v>
      </c>
      <c r="D250" t="s">
        <v>468</v>
      </c>
      <c r="E250">
        <v>199.8</v>
      </c>
    </row>
    <row r="251" spans="2:5">
      <c r="B251" s="17">
        <v>43079</v>
      </c>
      <c r="D251" t="s">
        <v>538</v>
      </c>
      <c r="E251">
        <v>269.96999999999997</v>
      </c>
    </row>
    <row r="252" spans="2:5">
      <c r="B252" s="17">
        <v>43079</v>
      </c>
      <c r="D252" t="s">
        <v>424</v>
      </c>
      <c r="E252">
        <v>209.79200000000003</v>
      </c>
    </row>
    <row r="253" spans="2:5">
      <c r="B253" s="17">
        <v>43079</v>
      </c>
      <c r="D253" t="s">
        <v>657</v>
      </c>
      <c r="E253">
        <v>336.51</v>
      </c>
    </row>
    <row r="254" spans="2:5">
      <c r="B254" s="17">
        <v>43079</v>
      </c>
      <c r="D254" t="s">
        <v>657</v>
      </c>
      <c r="E254">
        <v>239.976</v>
      </c>
    </row>
    <row r="255" spans="2:5">
      <c r="B255" s="17">
        <v>43079</v>
      </c>
      <c r="D255" t="s">
        <v>1703</v>
      </c>
      <c r="E255">
        <v>243.92</v>
      </c>
    </row>
    <row r="256" spans="2:5">
      <c r="B256" s="17">
        <v>43079</v>
      </c>
      <c r="D256" t="s">
        <v>183</v>
      </c>
      <c r="E256">
        <v>241.96</v>
      </c>
    </row>
    <row r="257" spans="2:5">
      <c r="B257" s="17">
        <v>43079</v>
      </c>
      <c r="D257" t="s">
        <v>781</v>
      </c>
      <c r="E257">
        <v>217.76400000000001</v>
      </c>
    </row>
    <row r="258" spans="2:5">
      <c r="B258" s="17">
        <v>43079</v>
      </c>
      <c r="D258" t="s">
        <v>786</v>
      </c>
      <c r="E258">
        <v>221.38200000000001</v>
      </c>
    </row>
    <row r="259" spans="2:5">
      <c r="B259" s="17">
        <v>43079</v>
      </c>
      <c r="D259" t="s">
        <v>1346</v>
      </c>
      <c r="E259">
        <v>206.35200000000003</v>
      </c>
    </row>
    <row r="260" spans="2:5">
      <c r="B260" s="17">
        <v>43079</v>
      </c>
      <c r="D260" t="s">
        <v>1346</v>
      </c>
      <c r="E260">
        <v>227.84</v>
      </c>
    </row>
    <row r="261" spans="2:5">
      <c r="B261" s="17">
        <v>43079</v>
      </c>
      <c r="D261" t="s">
        <v>131</v>
      </c>
      <c r="E261">
        <v>319.95999999999998</v>
      </c>
    </row>
    <row r="262" spans="2:5">
      <c r="B262" s="17">
        <v>43079</v>
      </c>
      <c r="D262" t="s">
        <v>131</v>
      </c>
      <c r="E262">
        <v>290.33600000000001</v>
      </c>
    </row>
    <row r="263" spans="2:5">
      <c r="B263" s="17">
        <v>43079</v>
      </c>
      <c r="D263" t="s">
        <v>131</v>
      </c>
      <c r="E263">
        <v>307.666</v>
      </c>
    </row>
    <row r="264" spans="2:5">
      <c r="B264" s="17">
        <v>43079</v>
      </c>
      <c r="D264" t="s">
        <v>560</v>
      </c>
      <c r="E264">
        <v>222.38400000000001</v>
      </c>
    </row>
    <row r="265" spans="2:5">
      <c r="B265" s="17">
        <v>43079</v>
      </c>
      <c r="D265" t="s">
        <v>451</v>
      </c>
      <c r="E265">
        <v>239.96</v>
      </c>
    </row>
    <row r="266" spans="2:5">
      <c r="B266" s="17">
        <v>43078</v>
      </c>
      <c r="D266" t="s">
        <v>298</v>
      </c>
      <c r="E266">
        <v>314.35199999999998</v>
      </c>
    </row>
    <row r="267" spans="2:5">
      <c r="B267" s="17">
        <v>43078</v>
      </c>
      <c r="D267" t="s">
        <v>298</v>
      </c>
      <c r="E267">
        <v>254.05799999999999</v>
      </c>
    </row>
    <row r="268" spans="2:5">
      <c r="B268" s="17">
        <v>43078</v>
      </c>
      <c r="D268" t="s">
        <v>298</v>
      </c>
      <c r="E268">
        <v>239.358</v>
      </c>
    </row>
    <row r="269" spans="2:5">
      <c r="B269" s="17">
        <v>43078</v>
      </c>
      <c r="D269" t="s">
        <v>298</v>
      </c>
      <c r="E269">
        <v>254.60399999999998</v>
      </c>
    </row>
    <row r="270" spans="2:5">
      <c r="B270" s="17">
        <v>43078</v>
      </c>
      <c r="D270" t="s">
        <v>1079</v>
      </c>
      <c r="E270">
        <v>209.94</v>
      </c>
    </row>
    <row r="271" spans="2:5">
      <c r="B271" s="17">
        <v>43078</v>
      </c>
      <c r="D271" t="s">
        <v>400</v>
      </c>
      <c r="E271">
        <v>204.95000000000002</v>
      </c>
    </row>
    <row r="272" spans="2:5">
      <c r="B272" s="17">
        <v>43078</v>
      </c>
      <c r="D272" t="s">
        <v>1078</v>
      </c>
      <c r="E272">
        <v>307.77600000000001</v>
      </c>
    </row>
    <row r="273" spans="2:5">
      <c r="B273" s="17">
        <v>43078</v>
      </c>
      <c r="D273" t="s">
        <v>1176</v>
      </c>
      <c r="E273">
        <v>309.57600000000002</v>
      </c>
    </row>
    <row r="274" spans="2:5">
      <c r="B274" s="17">
        <v>43078</v>
      </c>
      <c r="D274" t="s">
        <v>1887</v>
      </c>
      <c r="E274">
        <v>328.39919999999995</v>
      </c>
    </row>
    <row r="275" spans="2:5">
      <c r="B275" s="17">
        <v>43078</v>
      </c>
      <c r="D275" t="s">
        <v>493</v>
      </c>
      <c r="E275">
        <v>284.36399999999998</v>
      </c>
    </row>
    <row r="276" spans="2:5">
      <c r="B276" s="17">
        <v>43078</v>
      </c>
      <c r="D276" t="s">
        <v>955</v>
      </c>
      <c r="E276">
        <v>262.11</v>
      </c>
    </row>
    <row r="277" spans="2:5">
      <c r="B277" s="17">
        <v>43078</v>
      </c>
      <c r="D277" t="s">
        <v>1705</v>
      </c>
      <c r="E277">
        <v>329.988</v>
      </c>
    </row>
    <row r="278" spans="2:5">
      <c r="B278" s="17">
        <v>43078</v>
      </c>
      <c r="D278" t="s">
        <v>1836</v>
      </c>
      <c r="E278">
        <v>333.09000000000003</v>
      </c>
    </row>
    <row r="279" spans="2:5">
      <c r="B279" s="17">
        <v>43078</v>
      </c>
      <c r="D279" t="s">
        <v>1836</v>
      </c>
      <c r="E279">
        <v>248.98</v>
      </c>
    </row>
    <row r="280" spans="2:5">
      <c r="B280" s="17">
        <v>43078</v>
      </c>
      <c r="D280" t="s">
        <v>433</v>
      </c>
      <c r="E280">
        <v>259.13600000000002</v>
      </c>
    </row>
    <row r="281" spans="2:5">
      <c r="B281" s="17">
        <v>43078</v>
      </c>
      <c r="D281" t="s">
        <v>433</v>
      </c>
      <c r="E281">
        <v>240.744</v>
      </c>
    </row>
    <row r="282" spans="2:5">
      <c r="B282" s="17">
        <v>43078</v>
      </c>
      <c r="D282" t="s">
        <v>1208</v>
      </c>
      <c r="E282">
        <v>210.68</v>
      </c>
    </row>
    <row r="283" spans="2:5">
      <c r="B283" s="17">
        <v>43078</v>
      </c>
      <c r="D283" t="s">
        <v>715</v>
      </c>
      <c r="E283">
        <v>251.57999999999998</v>
      </c>
    </row>
    <row r="284" spans="2:5">
      <c r="B284" s="17">
        <v>43078</v>
      </c>
      <c r="D284" t="s">
        <v>1184</v>
      </c>
      <c r="E284">
        <v>199.98</v>
      </c>
    </row>
    <row r="285" spans="2:5">
      <c r="B285" s="17">
        <v>43078</v>
      </c>
      <c r="D285" t="s">
        <v>1184</v>
      </c>
      <c r="E285">
        <v>251.00599999999997</v>
      </c>
    </row>
    <row r="286" spans="2:5">
      <c r="B286" s="17">
        <v>43078</v>
      </c>
      <c r="D286" t="s">
        <v>1470</v>
      </c>
      <c r="E286">
        <v>307.13600000000002</v>
      </c>
    </row>
    <row r="287" spans="2:5">
      <c r="B287" s="17">
        <v>43078</v>
      </c>
      <c r="D287" t="s">
        <v>982</v>
      </c>
      <c r="E287">
        <v>199.75</v>
      </c>
    </row>
    <row r="288" spans="2:5">
      <c r="B288" s="17">
        <v>43078</v>
      </c>
      <c r="D288" t="s">
        <v>943</v>
      </c>
      <c r="E288">
        <v>243.99200000000002</v>
      </c>
    </row>
    <row r="289" spans="2:5">
      <c r="B289" s="17">
        <v>43078</v>
      </c>
      <c r="D289" t="s">
        <v>1848</v>
      </c>
      <c r="E289">
        <v>259.13600000000002</v>
      </c>
    </row>
    <row r="290" spans="2:5">
      <c r="B290" s="17">
        <v>43078</v>
      </c>
      <c r="D290" t="s">
        <v>836</v>
      </c>
      <c r="E290">
        <v>318.95999999999998</v>
      </c>
    </row>
    <row r="291" spans="2:5">
      <c r="B291" s="17">
        <v>43078</v>
      </c>
      <c r="D291" t="s">
        <v>459</v>
      </c>
      <c r="E291">
        <v>272.96999999999997</v>
      </c>
    </row>
    <row r="292" spans="2:5">
      <c r="B292" s="17">
        <v>43078</v>
      </c>
      <c r="D292" t="s">
        <v>102</v>
      </c>
      <c r="E292">
        <v>274.20000000000005</v>
      </c>
    </row>
    <row r="293" spans="2:5">
      <c r="B293" s="17">
        <v>43078</v>
      </c>
      <c r="D293" t="s">
        <v>102</v>
      </c>
      <c r="E293">
        <v>215.976</v>
      </c>
    </row>
    <row r="294" spans="2:5">
      <c r="B294" s="17">
        <v>43078</v>
      </c>
      <c r="D294" t="s">
        <v>1635</v>
      </c>
      <c r="E294">
        <v>239.95200000000003</v>
      </c>
    </row>
    <row r="295" spans="2:5">
      <c r="B295" s="17">
        <v>43078</v>
      </c>
      <c r="D295" t="s">
        <v>1635</v>
      </c>
      <c r="E295">
        <v>201.584</v>
      </c>
    </row>
    <row r="296" spans="2:5">
      <c r="B296" s="17">
        <v>43078</v>
      </c>
      <c r="D296" t="s">
        <v>872</v>
      </c>
      <c r="E296">
        <v>341.96</v>
      </c>
    </row>
    <row r="297" spans="2:5">
      <c r="B297" s="17">
        <v>43078</v>
      </c>
      <c r="D297" t="s">
        <v>1120</v>
      </c>
      <c r="E297">
        <v>241.42399999999998</v>
      </c>
    </row>
    <row r="298" spans="2:5">
      <c r="B298" s="17">
        <v>43078</v>
      </c>
      <c r="D298" t="s">
        <v>418</v>
      </c>
      <c r="E298">
        <v>223.05600000000001</v>
      </c>
    </row>
    <row r="299" spans="2:5">
      <c r="B299" s="17">
        <v>43077</v>
      </c>
      <c r="D299" t="s">
        <v>182</v>
      </c>
      <c r="E299">
        <v>221.024</v>
      </c>
    </row>
    <row r="300" spans="2:5">
      <c r="B300" s="17">
        <v>43077</v>
      </c>
      <c r="D300" t="s">
        <v>182</v>
      </c>
      <c r="E300">
        <v>230.376</v>
      </c>
    </row>
    <row r="301" spans="2:5">
      <c r="B301" s="17">
        <v>43077</v>
      </c>
      <c r="D301" t="s">
        <v>1335</v>
      </c>
      <c r="E301">
        <v>205.99919999999997</v>
      </c>
    </row>
    <row r="302" spans="2:5">
      <c r="B302" s="17">
        <v>43077</v>
      </c>
      <c r="D302" t="s">
        <v>1160</v>
      </c>
      <c r="E302">
        <v>239.92</v>
      </c>
    </row>
    <row r="303" spans="2:5">
      <c r="B303" s="17">
        <v>43077</v>
      </c>
      <c r="D303" t="s">
        <v>1160</v>
      </c>
      <c r="E303">
        <v>321.56799999999998</v>
      </c>
    </row>
    <row r="304" spans="2:5">
      <c r="B304" s="17">
        <v>43077</v>
      </c>
      <c r="D304" t="s">
        <v>486</v>
      </c>
      <c r="E304">
        <v>220.06399999999999</v>
      </c>
    </row>
    <row r="305" spans="2:5">
      <c r="B305" s="17">
        <v>43077</v>
      </c>
      <c r="D305" t="s">
        <v>486</v>
      </c>
      <c r="E305">
        <v>339.13600000000002</v>
      </c>
    </row>
    <row r="306" spans="2:5">
      <c r="B306" s="17">
        <v>43077</v>
      </c>
      <c r="D306" t="s">
        <v>1527</v>
      </c>
      <c r="E306">
        <v>327.73279999999994</v>
      </c>
    </row>
    <row r="307" spans="2:5">
      <c r="B307" s="17">
        <v>43077</v>
      </c>
      <c r="D307" t="s">
        <v>1726</v>
      </c>
      <c r="E307">
        <v>239.96000000000004</v>
      </c>
    </row>
    <row r="308" spans="2:5">
      <c r="B308" s="17">
        <v>43077</v>
      </c>
      <c r="D308" t="s">
        <v>231</v>
      </c>
      <c r="E308">
        <v>268.24</v>
      </c>
    </row>
    <row r="309" spans="2:5">
      <c r="B309" s="17">
        <v>43077</v>
      </c>
      <c r="D309" t="s">
        <v>938</v>
      </c>
      <c r="E309">
        <v>206.1</v>
      </c>
    </row>
    <row r="310" spans="2:5">
      <c r="B310" s="17">
        <v>43077</v>
      </c>
      <c r="D310" t="s">
        <v>1280</v>
      </c>
      <c r="E310">
        <v>219.07500000000002</v>
      </c>
    </row>
    <row r="311" spans="2:5">
      <c r="B311" s="17">
        <v>43077</v>
      </c>
      <c r="D311" t="s">
        <v>325</v>
      </c>
      <c r="E311">
        <v>233.05799999999999</v>
      </c>
    </row>
    <row r="312" spans="2:5">
      <c r="B312" s="17">
        <v>43077</v>
      </c>
      <c r="D312" t="s">
        <v>325</v>
      </c>
      <c r="E312">
        <v>305.31200000000001</v>
      </c>
    </row>
    <row r="313" spans="2:5">
      <c r="B313" s="17">
        <v>43077</v>
      </c>
      <c r="D313" t="s">
        <v>325</v>
      </c>
      <c r="E313">
        <v>305.01</v>
      </c>
    </row>
    <row r="314" spans="2:5">
      <c r="B314" s="17">
        <v>43077</v>
      </c>
      <c r="D314" t="s">
        <v>842</v>
      </c>
      <c r="E314">
        <v>283.92</v>
      </c>
    </row>
    <row r="315" spans="2:5">
      <c r="B315" s="17">
        <v>43077</v>
      </c>
      <c r="D315" t="s">
        <v>645</v>
      </c>
      <c r="E315">
        <v>209.56799999999998</v>
      </c>
    </row>
    <row r="316" spans="2:5">
      <c r="B316" s="17">
        <v>43077</v>
      </c>
      <c r="D316" t="s">
        <v>565</v>
      </c>
      <c r="E316">
        <v>287.92</v>
      </c>
    </row>
    <row r="317" spans="2:5">
      <c r="B317" s="17">
        <v>43077</v>
      </c>
      <c r="D317" t="s">
        <v>565</v>
      </c>
      <c r="E317">
        <v>222.38400000000001</v>
      </c>
    </row>
    <row r="318" spans="2:5">
      <c r="B318" s="17">
        <v>43077</v>
      </c>
      <c r="D318" t="s">
        <v>940</v>
      </c>
      <c r="E318">
        <v>327.84</v>
      </c>
    </row>
    <row r="319" spans="2:5">
      <c r="B319" s="17">
        <v>43077</v>
      </c>
      <c r="D319" t="s">
        <v>940</v>
      </c>
      <c r="E319">
        <v>321.56799999999998</v>
      </c>
    </row>
    <row r="320" spans="2:5">
      <c r="B320" s="17">
        <v>43077</v>
      </c>
      <c r="D320" t="s">
        <v>63</v>
      </c>
      <c r="E320">
        <v>229.54400000000001</v>
      </c>
    </row>
    <row r="321" spans="2:5">
      <c r="B321" s="17">
        <v>43077</v>
      </c>
      <c r="D321" t="s">
        <v>185</v>
      </c>
      <c r="E321">
        <v>223.58</v>
      </c>
    </row>
    <row r="322" spans="2:5">
      <c r="B322" s="17">
        <v>43077</v>
      </c>
      <c r="D322" t="s">
        <v>185</v>
      </c>
      <c r="E322">
        <v>299.95999999999998</v>
      </c>
    </row>
    <row r="323" spans="2:5">
      <c r="B323" s="17">
        <v>43077</v>
      </c>
      <c r="D323" t="s">
        <v>1396</v>
      </c>
      <c r="E323">
        <v>220.75200000000001</v>
      </c>
    </row>
    <row r="324" spans="2:5">
      <c r="B324" s="17">
        <v>43077</v>
      </c>
      <c r="D324" t="s">
        <v>296</v>
      </c>
      <c r="E324">
        <v>213.13600000000002</v>
      </c>
    </row>
    <row r="325" spans="2:5">
      <c r="B325" s="17">
        <v>43077</v>
      </c>
      <c r="D325" t="s">
        <v>296</v>
      </c>
      <c r="E325">
        <v>257.94</v>
      </c>
    </row>
    <row r="326" spans="2:5">
      <c r="B326" s="17">
        <v>43077</v>
      </c>
      <c r="D326" t="s">
        <v>296</v>
      </c>
      <c r="E326">
        <v>244.54999999999998</v>
      </c>
    </row>
    <row r="327" spans="2:5">
      <c r="B327" s="17">
        <v>43077</v>
      </c>
      <c r="D327" t="s">
        <v>407</v>
      </c>
      <c r="E327">
        <v>269.49</v>
      </c>
    </row>
    <row r="328" spans="2:5">
      <c r="B328" s="17">
        <v>43077</v>
      </c>
      <c r="D328" t="s">
        <v>360</v>
      </c>
      <c r="E328">
        <v>221.54999999999998</v>
      </c>
    </row>
    <row r="329" spans="2:5">
      <c r="B329" s="17">
        <v>43076</v>
      </c>
      <c r="D329" t="s">
        <v>322</v>
      </c>
      <c r="E329">
        <v>219.80000000000004</v>
      </c>
    </row>
    <row r="330" spans="2:5">
      <c r="B330" s="17">
        <v>43076</v>
      </c>
      <c r="D330" t="s">
        <v>1023</v>
      </c>
      <c r="E330">
        <v>317.05799999999999</v>
      </c>
    </row>
    <row r="331" spans="2:5">
      <c r="B331" s="17">
        <v>43076</v>
      </c>
      <c r="D331" t="s">
        <v>753</v>
      </c>
      <c r="E331">
        <v>294.61999999999995</v>
      </c>
    </row>
    <row r="332" spans="2:5">
      <c r="B332" s="17">
        <v>43076</v>
      </c>
      <c r="D332" t="s">
        <v>758</v>
      </c>
      <c r="E332">
        <v>242.35200000000003</v>
      </c>
    </row>
    <row r="333" spans="2:5">
      <c r="B333" s="17">
        <v>43076</v>
      </c>
      <c r="D333" t="s">
        <v>585</v>
      </c>
      <c r="E333">
        <v>286.85999999999996</v>
      </c>
    </row>
    <row r="334" spans="2:5">
      <c r="B334" s="17">
        <v>43076</v>
      </c>
      <c r="D334" t="s">
        <v>1646</v>
      </c>
      <c r="E334">
        <v>239.95999999999998</v>
      </c>
    </row>
    <row r="335" spans="2:5">
      <c r="B335" s="17">
        <v>43076</v>
      </c>
      <c r="D335" t="s">
        <v>1722</v>
      </c>
      <c r="E335">
        <v>255.96799999999999</v>
      </c>
    </row>
    <row r="336" spans="2:5">
      <c r="B336" s="17">
        <v>43076</v>
      </c>
      <c r="D336" t="s">
        <v>1011</v>
      </c>
      <c r="E336">
        <v>302.94</v>
      </c>
    </row>
    <row r="337" spans="2:5">
      <c r="B337" s="17">
        <v>43076</v>
      </c>
      <c r="D337" t="s">
        <v>556</v>
      </c>
      <c r="E337">
        <v>205.03</v>
      </c>
    </row>
    <row r="338" spans="2:5">
      <c r="B338" s="17">
        <v>43075</v>
      </c>
      <c r="D338" t="s">
        <v>556</v>
      </c>
      <c r="E338">
        <v>254.89999999999998</v>
      </c>
    </row>
    <row r="339" spans="2:5">
      <c r="B339" s="17">
        <v>43074</v>
      </c>
      <c r="D339" t="s">
        <v>1336</v>
      </c>
      <c r="E339">
        <v>199.89999999999998</v>
      </c>
    </row>
    <row r="340" spans="2:5">
      <c r="B340" s="17">
        <v>43074</v>
      </c>
      <c r="D340" t="s">
        <v>1162</v>
      </c>
      <c r="E340">
        <v>320.64</v>
      </c>
    </row>
    <row r="341" spans="2:5">
      <c r="B341" s="17">
        <v>43074</v>
      </c>
      <c r="D341" t="s">
        <v>416</v>
      </c>
      <c r="E341">
        <v>272.94</v>
      </c>
    </row>
    <row r="342" spans="2:5">
      <c r="B342" s="17">
        <v>43074</v>
      </c>
      <c r="D342" t="s">
        <v>797</v>
      </c>
      <c r="E342">
        <v>215.54400000000001</v>
      </c>
    </row>
    <row r="343" spans="2:5">
      <c r="B343" s="17">
        <v>43074</v>
      </c>
      <c r="D343" t="s">
        <v>1553</v>
      </c>
      <c r="E343">
        <v>214.89999999999998</v>
      </c>
    </row>
    <row r="344" spans="2:5">
      <c r="B344" s="17">
        <v>43074</v>
      </c>
      <c r="D344" t="s">
        <v>1025</v>
      </c>
      <c r="E344">
        <v>310.88000000000005</v>
      </c>
    </row>
    <row r="345" spans="2:5">
      <c r="B345" s="17">
        <v>43074</v>
      </c>
      <c r="D345" t="s">
        <v>1206</v>
      </c>
      <c r="E345">
        <v>324.90000000000003</v>
      </c>
    </row>
    <row r="346" spans="2:5">
      <c r="B346" s="17">
        <v>43074</v>
      </c>
      <c r="D346" t="s">
        <v>1314</v>
      </c>
      <c r="E346">
        <v>287.976</v>
      </c>
    </row>
    <row r="347" spans="2:5">
      <c r="B347" s="17">
        <v>43074</v>
      </c>
      <c r="D347" t="s">
        <v>1314</v>
      </c>
      <c r="E347">
        <v>201.04</v>
      </c>
    </row>
    <row r="348" spans="2:5">
      <c r="B348" s="17">
        <v>43074</v>
      </c>
      <c r="D348" t="s">
        <v>888</v>
      </c>
      <c r="E348">
        <v>227.976</v>
      </c>
    </row>
    <row r="349" spans="2:5">
      <c r="B349" s="17">
        <v>43074</v>
      </c>
      <c r="D349" t="s">
        <v>577</v>
      </c>
      <c r="E349">
        <v>266.35200000000003</v>
      </c>
    </row>
    <row r="350" spans="2:5">
      <c r="B350" s="17">
        <v>43074</v>
      </c>
      <c r="D350" t="s">
        <v>806</v>
      </c>
      <c r="E350">
        <v>279.89999999999998</v>
      </c>
    </row>
    <row r="351" spans="2:5">
      <c r="B351" s="17">
        <v>43074</v>
      </c>
      <c r="D351" t="s">
        <v>1150</v>
      </c>
      <c r="E351">
        <v>281.96999999999997</v>
      </c>
    </row>
    <row r="352" spans="2:5">
      <c r="B352" s="17">
        <v>43074</v>
      </c>
      <c r="D352" t="s">
        <v>648</v>
      </c>
      <c r="E352">
        <v>199.95000000000002</v>
      </c>
    </row>
    <row r="353" spans="2:5">
      <c r="B353" s="17">
        <v>43074</v>
      </c>
      <c r="D353" t="s">
        <v>1376</v>
      </c>
      <c r="E353">
        <v>220.98</v>
      </c>
    </row>
    <row r="354" spans="2:5">
      <c r="B354" s="17">
        <v>43074</v>
      </c>
      <c r="D354" t="s">
        <v>564</v>
      </c>
      <c r="E354">
        <v>218.35200000000003</v>
      </c>
    </row>
    <row r="355" spans="2:5">
      <c r="B355" s="17">
        <v>43074</v>
      </c>
      <c r="D355" t="s">
        <v>244</v>
      </c>
      <c r="E355">
        <v>271.76400000000001</v>
      </c>
    </row>
    <row r="356" spans="2:5">
      <c r="B356" s="17">
        <v>43074</v>
      </c>
      <c r="D356" t="s">
        <v>1440</v>
      </c>
      <c r="E356">
        <v>232.88</v>
      </c>
    </row>
    <row r="357" spans="2:5">
      <c r="B357" s="17">
        <v>43074</v>
      </c>
      <c r="D357" t="s">
        <v>913</v>
      </c>
      <c r="E357">
        <v>264.32</v>
      </c>
    </row>
    <row r="358" spans="2:5">
      <c r="B358" s="17">
        <v>43073</v>
      </c>
      <c r="D358" t="s">
        <v>263</v>
      </c>
      <c r="E358">
        <v>304.45</v>
      </c>
    </row>
    <row r="359" spans="2:5">
      <c r="B359" s="17">
        <v>43073</v>
      </c>
      <c r="D359" t="s">
        <v>1321</v>
      </c>
      <c r="E359">
        <v>273.06</v>
      </c>
    </row>
    <row r="360" spans="2:5">
      <c r="B360" s="17">
        <v>43073</v>
      </c>
      <c r="D360" t="s">
        <v>351</v>
      </c>
      <c r="E360">
        <v>270.62</v>
      </c>
    </row>
    <row r="361" spans="2:5">
      <c r="B361" s="17">
        <v>43073</v>
      </c>
      <c r="D361" t="s">
        <v>1796</v>
      </c>
      <c r="E361">
        <v>340.70400000000006</v>
      </c>
    </row>
    <row r="362" spans="2:5">
      <c r="B362" s="17">
        <v>43073</v>
      </c>
      <c r="D362" t="s">
        <v>1742</v>
      </c>
      <c r="E362">
        <v>302.37599999999998</v>
      </c>
    </row>
    <row r="363" spans="2:5">
      <c r="B363" s="17">
        <v>43073</v>
      </c>
      <c r="D363" t="s">
        <v>1742</v>
      </c>
      <c r="E363">
        <v>209.7</v>
      </c>
    </row>
    <row r="364" spans="2:5">
      <c r="B364" s="17">
        <v>43073</v>
      </c>
      <c r="D364" t="s">
        <v>1008</v>
      </c>
      <c r="E364">
        <v>300.98</v>
      </c>
    </row>
    <row r="365" spans="2:5">
      <c r="B365" s="17">
        <v>43073</v>
      </c>
      <c r="D365" t="s">
        <v>1008</v>
      </c>
      <c r="E365">
        <v>258.75</v>
      </c>
    </row>
    <row r="366" spans="2:5">
      <c r="B366" s="17">
        <v>43073</v>
      </c>
      <c r="D366" t="s">
        <v>1008</v>
      </c>
      <c r="E366">
        <v>209.3</v>
      </c>
    </row>
    <row r="367" spans="2:5">
      <c r="B367" s="17">
        <v>43073</v>
      </c>
      <c r="D367" t="s">
        <v>1008</v>
      </c>
      <c r="E367">
        <v>323.13600000000002</v>
      </c>
    </row>
    <row r="368" spans="2:5">
      <c r="B368" s="17">
        <v>43073</v>
      </c>
      <c r="D368" t="s">
        <v>269</v>
      </c>
      <c r="E368">
        <v>302.37599999999998</v>
      </c>
    </row>
    <row r="369" spans="2:5">
      <c r="B369" s="17">
        <v>43073</v>
      </c>
      <c r="D369" t="s">
        <v>206</v>
      </c>
      <c r="E369">
        <v>302.38400000000001</v>
      </c>
    </row>
    <row r="370" spans="2:5">
      <c r="B370" s="17">
        <v>43073</v>
      </c>
      <c r="D370" t="s">
        <v>1080</v>
      </c>
      <c r="E370">
        <v>212.94</v>
      </c>
    </row>
    <row r="371" spans="2:5">
      <c r="B371" s="17">
        <v>43073</v>
      </c>
      <c r="D371" t="s">
        <v>1600</v>
      </c>
      <c r="E371">
        <v>254.24</v>
      </c>
    </row>
    <row r="372" spans="2:5">
      <c r="B372" s="17">
        <v>43073</v>
      </c>
      <c r="D372" t="s">
        <v>733</v>
      </c>
      <c r="E372">
        <v>269.97000000000003</v>
      </c>
    </row>
    <row r="373" spans="2:5">
      <c r="B373" s="17">
        <v>43073</v>
      </c>
      <c r="D373" t="s">
        <v>659</v>
      </c>
      <c r="E373">
        <v>313.17599999999999</v>
      </c>
    </row>
    <row r="374" spans="2:5">
      <c r="B374" s="17">
        <v>43073</v>
      </c>
      <c r="D374" t="s">
        <v>659</v>
      </c>
      <c r="E374">
        <v>343.84999999999997</v>
      </c>
    </row>
    <row r="375" spans="2:5">
      <c r="B375" s="17">
        <v>43073</v>
      </c>
      <c r="D375" t="s">
        <v>137</v>
      </c>
      <c r="E375">
        <v>255.68000000000004</v>
      </c>
    </row>
    <row r="376" spans="2:5">
      <c r="B376" s="17">
        <v>43072</v>
      </c>
      <c r="D376" t="s">
        <v>1410</v>
      </c>
      <c r="E376">
        <v>286.38</v>
      </c>
    </row>
    <row r="377" spans="2:5">
      <c r="B377" s="17">
        <v>43072</v>
      </c>
      <c r="D377" t="s">
        <v>417</v>
      </c>
      <c r="E377">
        <v>227.28</v>
      </c>
    </row>
    <row r="378" spans="2:5">
      <c r="B378" s="17">
        <v>43072</v>
      </c>
      <c r="D378" t="s">
        <v>417</v>
      </c>
      <c r="E378">
        <v>287.88</v>
      </c>
    </row>
    <row r="379" spans="2:5">
      <c r="B379" s="17">
        <v>43072</v>
      </c>
      <c r="D379" t="s">
        <v>1173</v>
      </c>
      <c r="E379">
        <v>303.92</v>
      </c>
    </row>
    <row r="380" spans="2:5">
      <c r="B380" s="17">
        <v>43072</v>
      </c>
      <c r="D380" t="s">
        <v>1173</v>
      </c>
      <c r="E380">
        <v>254.05800000000002</v>
      </c>
    </row>
    <row r="381" spans="2:5">
      <c r="B381" s="17">
        <v>43072</v>
      </c>
      <c r="D381" t="s">
        <v>624</v>
      </c>
      <c r="E381">
        <v>296.37</v>
      </c>
    </row>
    <row r="382" spans="2:5">
      <c r="B382" s="17">
        <v>43072</v>
      </c>
      <c r="D382" t="s">
        <v>1068</v>
      </c>
      <c r="E382">
        <v>249.95000000000002</v>
      </c>
    </row>
    <row r="383" spans="2:5">
      <c r="B383" s="17">
        <v>43072</v>
      </c>
      <c r="D383" t="s">
        <v>56</v>
      </c>
      <c r="E383">
        <v>243.38400000000001</v>
      </c>
    </row>
    <row r="384" spans="2:5">
      <c r="B384" s="17">
        <v>43072</v>
      </c>
      <c r="D384" t="s">
        <v>761</v>
      </c>
      <c r="E384">
        <v>300.76799999999997</v>
      </c>
    </row>
    <row r="385" spans="2:5">
      <c r="B385" s="17">
        <v>43072</v>
      </c>
      <c r="D385" t="s">
        <v>761</v>
      </c>
      <c r="E385">
        <v>302.37599999999998</v>
      </c>
    </row>
    <row r="386" spans="2:5">
      <c r="B386" s="17">
        <v>43072</v>
      </c>
      <c r="D386" t="s">
        <v>761</v>
      </c>
      <c r="E386">
        <v>316</v>
      </c>
    </row>
    <row r="387" spans="2:5">
      <c r="B387" s="17">
        <v>43072</v>
      </c>
      <c r="D387" t="s">
        <v>768</v>
      </c>
      <c r="E387">
        <v>328.59000000000003</v>
      </c>
    </row>
    <row r="388" spans="2:5">
      <c r="B388" s="17">
        <v>43072</v>
      </c>
      <c r="D388" t="s">
        <v>323</v>
      </c>
      <c r="E388">
        <v>209.60000000000002</v>
      </c>
    </row>
    <row r="389" spans="2:5">
      <c r="B389" s="17">
        <v>43072</v>
      </c>
      <c r="D389" t="s">
        <v>1497</v>
      </c>
      <c r="E389">
        <v>321.56799999999998</v>
      </c>
    </row>
    <row r="390" spans="2:5">
      <c r="B390" s="17">
        <v>43072</v>
      </c>
      <c r="D390" t="s">
        <v>78</v>
      </c>
      <c r="E390">
        <v>273.92</v>
      </c>
    </row>
    <row r="391" spans="2:5">
      <c r="B391" s="17">
        <v>43072</v>
      </c>
      <c r="D391" t="s">
        <v>1445</v>
      </c>
      <c r="E391">
        <v>249.58400000000003</v>
      </c>
    </row>
    <row r="392" spans="2:5">
      <c r="B392" s="17">
        <v>43072</v>
      </c>
      <c r="D392" t="s">
        <v>736</v>
      </c>
      <c r="E392">
        <v>248.07999999999998</v>
      </c>
    </row>
    <row r="393" spans="2:5">
      <c r="B393" s="17">
        <v>43072</v>
      </c>
      <c r="D393" t="s">
        <v>1273</v>
      </c>
      <c r="E393">
        <v>222.35199999999998</v>
      </c>
    </row>
    <row r="394" spans="2:5">
      <c r="B394" s="17">
        <v>43072</v>
      </c>
      <c r="D394" t="s">
        <v>1273</v>
      </c>
      <c r="E394">
        <v>271.95999999999998</v>
      </c>
    </row>
    <row r="395" spans="2:5">
      <c r="B395" s="17">
        <v>43072</v>
      </c>
      <c r="D395" t="s">
        <v>1273</v>
      </c>
      <c r="E395">
        <v>249.58400000000003</v>
      </c>
    </row>
    <row r="396" spans="2:5">
      <c r="B396" s="17">
        <v>43071</v>
      </c>
      <c r="D396" t="s">
        <v>750</v>
      </c>
      <c r="E396">
        <v>212.88</v>
      </c>
    </row>
    <row r="397" spans="2:5">
      <c r="B397" s="17">
        <v>43071</v>
      </c>
      <c r="D397" t="s">
        <v>1270</v>
      </c>
      <c r="E397">
        <v>268.70400000000001</v>
      </c>
    </row>
    <row r="398" spans="2:5">
      <c r="B398" s="17">
        <v>43071</v>
      </c>
      <c r="D398" t="s">
        <v>346</v>
      </c>
      <c r="E398">
        <v>205.666</v>
      </c>
    </row>
    <row r="399" spans="2:5">
      <c r="B399" s="17">
        <v>43071</v>
      </c>
      <c r="D399" t="s">
        <v>80</v>
      </c>
      <c r="E399">
        <v>248.43</v>
      </c>
    </row>
    <row r="400" spans="2:5">
      <c r="B400" s="17">
        <v>43071</v>
      </c>
      <c r="D400" t="s">
        <v>54</v>
      </c>
      <c r="E400">
        <v>242.17600000000004</v>
      </c>
    </row>
    <row r="401" spans="2:5">
      <c r="B401" s="17">
        <v>43071</v>
      </c>
      <c r="D401" t="s">
        <v>54</v>
      </c>
      <c r="E401">
        <v>340.18200000000002</v>
      </c>
    </row>
    <row r="402" spans="2:5">
      <c r="B402" s="17">
        <v>43071</v>
      </c>
      <c r="D402" t="s">
        <v>1576</v>
      </c>
      <c r="E402">
        <v>271.99200000000002</v>
      </c>
    </row>
    <row r="403" spans="2:5">
      <c r="B403" s="17">
        <v>43071</v>
      </c>
      <c r="D403" t="s">
        <v>612</v>
      </c>
      <c r="E403">
        <v>331.02300000000008</v>
      </c>
    </row>
    <row r="404" spans="2:5">
      <c r="B404" s="17">
        <v>43071</v>
      </c>
      <c r="D404" t="s">
        <v>612</v>
      </c>
      <c r="E404">
        <v>204.95000000000002</v>
      </c>
    </row>
    <row r="405" spans="2:5">
      <c r="B405" s="17">
        <v>43071</v>
      </c>
      <c r="D405" t="s">
        <v>1526</v>
      </c>
      <c r="E405">
        <v>313.17599999999999</v>
      </c>
    </row>
    <row r="406" spans="2:5">
      <c r="B406" s="17">
        <v>43071</v>
      </c>
      <c r="D406" t="s">
        <v>385</v>
      </c>
      <c r="E406">
        <v>319.92</v>
      </c>
    </row>
    <row r="407" spans="2:5">
      <c r="B407" s="17">
        <v>43071</v>
      </c>
      <c r="D407" t="s">
        <v>997</v>
      </c>
      <c r="E407">
        <v>297.57600000000002</v>
      </c>
    </row>
    <row r="408" spans="2:5">
      <c r="B408" s="17">
        <v>43071</v>
      </c>
      <c r="D408" t="s">
        <v>1216</v>
      </c>
      <c r="E408">
        <v>207.76</v>
      </c>
    </row>
    <row r="409" spans="2:5">
      <c r="B409" s="17">
        <v>43071</v>
      </c>
      <c r="D409" t="s">
        <v>1052</v>
      </c>
      <c r="E409">
        <v>339.92000000000007</v>
      </c>
    </row>
    <row r="410" spans="2:5">
      <c r="B410" s="17">
        <v>43071</v>
      </c>
      <c r="D410" t="s">
        <v>592</v>
      </c>
      <c r="E410">
        <v>255.98400000000004</v>
      </c>
    </row>
    <row r="411" spans="2:5">
      <c r="B411" s="17">
        <v>43071</v>
      </c>
      <c r="D411" t="s">
        <v>1063</v>
      </c>
      <c r="E411">
        <v>318.43</v>
      </c>
    </row>
    <row r="412" spans="2:5">
      <c r="B412" s="17">
        <v>43071</v>
      </c>
      <c r="D412" t="s">
        <v>515</v>
      </c>
      <c r="E412">
        <v>314.54999999999995</v>
      </c>
    </row>
    <row r="413" spans="2:5">
      <c r="B413" s="17">
        <v>43071</v>
      </c>
      <c r="D413" t="s">
        <v>138</v>
      </c>
      <c r="E413">
        <v>289.56799999999998</v>
      </c>
    </row>
    <row r="414" spans="2:5">
      <c r="B414" s="17">
        <v>43071</v>
      </c>
      <c r="D414" t="s">
        <v>138</v>
      </c>
      <c r="E414">
        <v>244.768</v>
      </c>
    </row>
    <row r="415" spans="2:5">
      <c r="B415" s="17">
        <v>43071</v>
      </c>
      <c r="D415" t="s">
        <v>783</v>
      </c>
      <c r="E415">
        <v>255.108</v>
      </c>
    </row>
    <row r="416" spans="2:5">
      <c r="B416" s="17">
        <v>43071</v>
      </c>
      <c r="D416" t="s">
        <v>783</v>
      </c>
      <c r="E416">
        <v>301.95999999999998</v>
      </c>
    </row>
    <row r="417" spans="2:5">
      <c r="B417" s="17">
        <v>43071</v>
      </c>
      <c r="D417" t="s">
        <v>808</v>
      </c>
      <c r="E417">
        <v>217.05599999999998</v>
      </c>
    </row>
    <row r="418" spans="2:5">
      <c r="B418" s="17">
        <v>43071</v>
      </c>
      <c r="D418" t="s">
        <v>661</v>
      </c>
      <c r="E418">
        <v>287.52</v>
      </c>
    </row>
    <row r="419" spans="2:5">
      <c r="B419" s="17">
        <v>43071</v>
      </c>
      <c r="D419" t="s">
        <v>813</v>
      </c>
      <c r="E419">
        <v>203.976</v>
      </c>
    </row>
    <row r="420" spans="2:5">
      <c r="B420" s="17">
        <v>43071</v>
      </c>
      <c r="D420" t="s">
        <v>553</v>
      </c>
      <c r="E420">
        <v>257.98</v>
      </c>
    </row>
    <row r="421" spans="2:5">
      <c r="B421" s="17">
        <v>43071</v>
      </c>
      <c r="D421" t="s">
        <v>551</v>
      </c>
      <c r="E421">
        <v>245.64600000000002</v>
      </c>
    </row>
    <row r="422" spans="2:5">
      <c r="B422" s="17">
        <v>43071</v>
      </c>
      <c r="D422" t="s">
        <v>1731</v>
      </c>
      <c r="E422">
        <v>334.88000000000005</v>
      </c>
    </row>
    <row r="423" spans="2:5">
      <c r="B423" s="17">
        <v>43071</v>
      </c>
      <c r="D423" t="s">
        <v>647</v>
      </c>
      <c r="E423">
        <v>279.94400000000002</v>
      </c>
    </row>
    <row r="424" spans="2:5">
      <c r="B424" s="17">
        <v>43071</v>
      </c>
      <c r="D424" t="s">
        <v>939</v>
      </c>
      <c r="E424">
        <v>221.98</v>
      </c>
    </row>
    <row r="425" spans="2:5">
      <c r="B425" s="17">
        <v>43071</v>
      </c>
      <c r="D425" t="s">
        <v>939</v>
      </c>
      <c r="E425">
        <v>341.96</v>
      </c>
    </row>
    <row r="426" spans="2:5">
      <c r="B426" s="17">
        <v>43071</v>
      </c>
      <c r="D426" t="s">
        <v>1039</v>
      </c>
      <c r="E426">
        <v>261.95999999999998</v>
      </c>
    </row>
    <row r="427" spans="2:5">
      <c r="B427" s="17">
        <v>43071</v>
      </c>
      <c r="D427" t="s">
        <v>1843</v>
      </c>
      <c r="E427">
        <v>263.95999999999998</v>
      </c>
    </row>
    <row r="428" spans="2:5">
      <c r="B428" s="17">
        <v>43071</v>
      </c>
      <c r="D428" t="s">
        <v>1556</v>
      </c>
      <c r="E428">
        <v>276.78400000000005</v>
      </c>
    </row>
    <row r="429" spans="2:5">
      <c r="B429" s="17">
        <v>43071</v>
      </c>
      <c r="D429" t="s">
        <v>215</v>
      </c>
      <c r="E429">
        <v>314.08800000000002</v>
      </c>
    </row>
    <row r="430" spans="2:5">
      <c r="B430" s="17">
        <v>43070</v>
      </c>
      <c r="D430" t="s">
        <v>215</v>
      </c>
      <c r="E430">
        <v>238.56</v>
      </c>
    </row>
    <row r="431" spans="2:5">
      <c r="B431" s="17">
        <v>43070</v>
      </c>
      <c r="D431" t="s">
        <v>215</v>
      </c>
      <c r="E431">
        <v>207.98400000000004</v>
      </c>
    </row>
    <row r="432" spans="2:5">
      <c r="B432" s="17">
        <v>43070</v>
      </c>
      <c r="D432" t="s">
        <v>429</v>
      </c>
      <c r="E432">
        <v>273.95999999999998</v>
      </c>
    </row>
    <row r="433" spans="2:5">
      <c r="B433" s="17">
        <v>43070</v>
      </c>
      <c r="D433" t="s">
        <v>658</v>
      </c>
      <c r="E433">
        <v>209.88</v>
      </c>
    </row>
    <row r="434" spans="2:5">
      <c r="B434" s="17">
        <v>43070</v>
      </c>
      <c r="D434" t="s">
        <v>930</v>
      </c>
      <c r="E434">
        <v>217.58400000000003</v>
      </c>
    </row>
    <row r="435" spans="2:5">
      <c r="B435" s="17">
        <v>43070</v>
      </c>
      <c r="D435" t="s">
        <v>256</v>
      </c>
      <c r="E435">
        <v>314.54999999999995</v>
      </c>
    </row>
    <row r="436" spans="2:5">
      <c r="B436" s="17">
        <v>43070</v>
      </c>
      <c r="D436" t="s">
        <v>242</v>
      </c>
      <c r="E436">
        <v>251.79000000000002</v>
      </c>
    </row>
    <row r="437" spans="2:5">
      <c r="B437" s="17">
        <v>43070</v>
      </c>
      <c r="D437" t="s">
        <v>884</v>
      </c>
      <c r="E437">
        <v>332.94</v>
      </c>
    </row>
    <row r="438" spans="2:5">
      <c r="B438" s="17">
        <v>43070</v>
      </c>
      <c r="D438" t="s">
        <v>125</v>
      </c>
      <c r="E438">
        <v>302.37599999999998</v>
      </c>
    </row>
    <row r="439" spans="2:5">
      <c r="B439" s="17">
        <v>43070</v>
      </c>
      <c r="D439" t="s">
        <v>302</v>
      </c>
      <c r="E439">
        <v>290.98</v>
      </c>
    </row>
    <row r="440" spans="2:5">
      <c r="B440" s="17">
        <v>43070</v>
      </c>
      <c r="D440" t="s">
        <v>849</v>
      </c>
      <c r="E440">
        <v>239.976</v>
      </c>
    </row>
    <row r="441" spans="2:5">
      <c r="B441" s="17">
        <v>43070</v>
      </c>
      <c r="D441" t="s">
        <v>849</v>
      </c>
      <c r="E441">
        <v>199.99</v>
      </c>
    </row>
    <row r="442" spans="2:5">
      <c r="B442" s="17">
        <v>43070</v>
      </c>
      <c r="D442" t="s">
        <v>434</v>
      </c>
      <c r="E442">
        <v>235.15199999999999</v>
      </c>
    </row>
    <row r="443" spans="2:5">
      <c r="B443" s="17">
        <v>43070</v>
      </c>
      <c r="D443" t="s">
        <v>281</v>
      </c>
      <c r="E443">
        <v>242.13600000000002</v>
      </c>
    </row>
    <row r="444" spans="2:5">
      <c r="B444" s="17">
        <v>43070</v>
      </c>
      <c r="D444" t="s">
        <v>281</v>
      </c>
      <c r="E444">
        <v>340.92</v>
      </c>
    </row>
    <row r="445" spans="2:5">
      <c r="B445" s="17">
        <v>43070</v>
      </c>
      <c r="D445" t="s">
        <v>456</v>
      </c>
      <c r="E445">
        <v>307.92</v>
      </c>
    </row>
    <row r="446" spans="2:5">
      <c r="B446" s="17">
        <v>43070</v>
      </c>
      <c r="D446" t="s">
        <v>228</v>
      </c>
      <c r="E446">
        <v>315.98</v>
      </c>
    </row>
    <row r="447" spans="2:5">
      <c r="B447" s="17">
        <v>43070</v>
      </c>
      <c r="D447" t="s">
        <v>826</v>
      </c>
      <c r="E447">
        <v>232.96</v>
      </c>
    </row>
    <row r="448" spans="2:5">
      <c r="B448" s="17">
        <v>43070</v>
      </c>
      <c r="D448" t="s">
        <v>1609</v>
      </c>
      <c r="E448">
        <v>332.83200000000005</v>
      </c>
    </row>
    <row r="449" spans="2:5">
      <c r="B449" s="17">
        <v>43070</v>
      </c>
      <c r="D449" t="s">
        <v>839</v>
      </c>
      <c r="E449">
        <v>239.37199999999996</v>
      </c>
    </row>
    <row r="450" spans="2:5">
      <c r="B450" s="17">
        <v>43070</v>
      </c>
      <c r="D450" t="s">
        <v>1013</v>
      </c>
      <c r="E450">
        <v>330.58800000000002</v>
      </c>
    </row>
    <row r="451" spans="2:5">
      <c r="B451" s="17">
        <v>43070</v>
      </c>
      <c r="D451" t="s">
        <v>1144</v>
      </c>
      <c r="E451">
        <v>209.96999999999997</v>
      </c>
    </row>
    <row r="452" spans="2:5">
      <c r="B452" s="17">
        <v>43070</v>
      </c>
      <c r="D452" t="s">
        <v>485</v>
      </c>
      <c r="E452">
        <v>236.88</v>
      </c>
    </row>
    <row r="453" spans="2:5">
      <c r="B453" s="17">
        <v>43070</v>
      </c>
      <c r="D453" t="s">
        <v>1147</v>
      </c>
      <c r="E453">
        <v>201.96</v>
      </c>
    </row>
    <row r="454" spans="2:5">
      <c r="B454" s="17">
        <v>43070</v>
      </c>
      <c r="D454" t="s">
        <v>1147</v>
      </c>
      <c r="E454">
        <v>286.25600000000003</v>
      </c>
    </row>
    <row r="455" spans="2:5">
      <c r="B455" s="17">
        <v>43070</v>
      </c>
      <c r="D455" t="s">
        <v>1147</v>
      </c>
      <c r="E455">
        <v>331.536</v>
      </c>
    </row>
    <row r="456" spans="2:5">
      <c r="B456" s="17">
        <v>43070</v>
      </c>
      <c r="D456" t="s">
        <v>147</v>
      </c>
      <c r="E456">
        <v>304.89999999999998</v>
      </c>
    </row>
    <row r="457" spans="2:5">
      <c r="B457" s="17">
        <v>43070</v>
      </c>
      <c r="D457" t="s">
        <v>284</v>
      </c>
      <c r="E457">
        <v>271.98400000000004</v>
      </c>
    </row>
    <row r="458" spans="2:5">
      <c r="B458" s="17">
        <v>43070</v>
      </c>
      <c r="D458" t="s">
        <v>476</v>
      </c>
      <c r="E458">
        <v>249.95000000000002</v>
      </c>
    </row>
    <row r="459" spans="2:5">
      <c r="B459" s="17">
        <v>43070</v>
      </c>
      <c r="D459" t="s">
        <v>1516</v>
      </c>
      <c r="E459">
        <v>239.98400000000004</v>
      </c>
    </row>
    <row r="460" spans="2:5">
      <c r="B460" s="17">
        <v>43070</v>
      </c>
      <c r="D460" t="s">
        <v>343</v>
      </c>
      <c r="E460">
        <v>232.40000000000003</v>
      </c>
    </row>
    <row r="461" spans="2:5">
      <c r="B461" s="17">
        <v>43070</v>
      </c>
      <c r="D461" t="s">
        <v>343</v>
      </c>
      <c r="E461">
        <v>295.39999999999998</v>
      </c>
    </row>
    <row r="462" spans="2:5">
      <c r="B462" s="17">
        <v>43070</v>
      </c>
      <c r="D462" t="s">
        <v>336</v>
      </c>
      <c r="E462">
        <v>273.666</v>
      </c>
    </row>
    <row r="463" spans="2:5">
      <c r="B463" s="17">
        <v>43070</v>
      </c>
      <c r="D463" t="s">
        <v>1605</v>
      </c>
      <c r="E463">
        <v>332.94</v>
      </c>
    </row>
    <row r="464" spans="2:5">
      <c r="B464" s="17">
        <v>43069</v>
      </c>
      <c r="D464" t="s">
        <v>1863</v>
      </c>
      <c r="E464">
        <v>224.75</v>
      </c>
    </row>
    <row r="465" spans="2:5">
      <c r="B465" s="17">
        <v>43069</v>
      </c>
      <c r="D465" t="s">
        <v>1392</v>
      </c>
      <c r="E465">
        <v>300.93</v>
      </c>
    </row>
    <row r="466" spans="2:5">
      <c r="B466" s="17">
        <v>43069</v>
      </c>
      <c r="D466" t="s">
        <v>1539</v>
      </c>
      <c r="E466">
        <v>276.78400000000005</v>
      </c>
    </row>
    <row r="467" spans="2:5">
      <c r="B467" s="17">
        <v>43069</v>
      </c>
      <c r="D467" t="s">
        <v>1022</v>
      </c>
      <c r="E467">
        <v>207.48</v>
      </c>
    </row>
    <row r="468" spans="2:5">
      <c r="B468" s="17">
        <v>43069</v>
      </c>
      <c r="D468" t="s">
        <v>662</v>
      </c>
      <c r="E468">
        <v>261.74</v>
      </c>
    </row>
    <row r="469" spans="2:5">
      <c r="B469" s="17">
        <v>43069</v>
      </c>
      <c r="D469" t="s">
        <v>1745</v>
      </c>
      <c r="E469">
        <v>329.58400000000006</v>
      </c>
    </row>
    <row r="470" spans="2:5">
      <c r="B470" s="17">
        <v>43069</v>
      </c>
      <c r="D470" t="s">
        <v>962</v>
      </c>
      <c r="E470">
        <v>242.94</v>
      </c>
    </row>
    <row r="471" spans="2:5">
      <c r="B471" s="17">
        <v>43069</v>
      </c>
      <c r="D471" t="s">
        <v>962</v>
      </c>
      <c r="E471">
        <v>278.39999999999998</v>
      </c>
    </row>
    <row r="472" spans="2:5">
      <c r="B472" s="17">
        <v>43069</v>
      </c>
      <c r="D472" t="s">
        <v>618</v>
      </c>
      <c r="E472">
        <v>279.95</v>
      </c>
    </row>
    <row r="473" spans="2:5">
      <c r="B473" s="17">
        <v>43069</v>
      </c>
      <c r="D473" t="s">
        <v>618</v>
      </c>
      <c r="E473">
        <v>239.5</v>
      </c>
    </row>
    <row r="474" spans="2:5">
      <c r="B474" s="17">
        <v>43069</v>
      </c>
      <c r="D474" t="s">
        <v>999</v>
      </c>
      <c r="E474">
        <v>280.78200000000004</v>
      </c>
    </row>
    <row r="475" spans="2:5">
      <c r="B475" s="17">
        <v>43069</v>
      </c>
      <c r="D475" t="s">
        <v>1461</v>
      </c>
      <c r="E475">
        <v>309.45600000000002</v>
      </c>
    </row>
    <row r="476" spans="2:5">
      <c r="B476" s="17">
        <v>43069</v>
      </c>
      <c r="D476" t="s">
        <v>880</v>
      </c>
      <c r="E476">
        <v>215.976</v>
      </c>
    </row>
    <row r="477" spans="2:5">
      <c r="B477" s="17">
        <v>43069</v>
      </c>
      <c r="D477" t="s">
        <v>1486</v>
      </c>
      <c r="E477">
        <v>290.89800000000002</v>
      </c>
    </row>
    <row r="478" spans="2:5">
      <c r="B478" s="17">
        <v>43069</v>
      </c>
      <c r="D478" t="s">
        <v>1888</v>
      </c>
      <c r="E478">
        <v>339.96000000000004</v>
      </c>
    </row>
    <row r="479" spans="2:5">
      <c r="B479" s="17">
        <v>43068</v>
      </c>
      <c r="D479" t="s">
        <v>906</v>
      </c>
      <c r="E479">
        <v>241.92</v>
      </c>
    </row>
    <row r="480" spans="2:5">
      <c r="B480" s="17">
        <v>43068</v>
      </c>
      <c r="D480" t="s">
        <v>1586</v>
      </c>
      <c r="E480">
        <v>244.61499999999998</v>
      </c>
    </row>
    <row r="481" spans="2:5">
      <c r="B481" s="17">
        <v>43067</v>
      </c>
      <c r="D481" t="s">
        <v>1180</v>
      </c>
      <c r="E481">
        <v>249.95000000000002</v>
      </c>
    </row>
    <row r="482" spans="2:5">
      <c r="B482" s="17">
        <v>43067</v>
      </c>
      <c r="D482" t="s">
        <v>1104</v>
      </c>
      <c r="E482">
        <v>209.96999999999997</v>
      </c>
    </row>
    <row r="483" spans="2:5">
      <c r="B483" s="17">
        <v>43067</v>
      </c>
      <c r="D483" t="s">
        <v>1114</v>
      </c>
      <c r="E483">
        <v>254.96999999999997</v>
      </c>
    </row>
    <row r="484" spans="2:5">
      <c r="B484" s="17">
        <v>43067</v>
      </c>
      <c r="D484" t="s">
        <v>365</v>
      </c>
      <c r="E484">
        <v>276.78400000000005</v>
      </c>
    </row>
    <row r="485" spans="2:5">
      <c r="B485" s="17">
        <v>43067</v>
      </c>
      <c r="D485" t="s">
        <v>1297</v>
      </c>
      <c r="E485">
        <v>225.29600000000002</v>
      </c>
    </row>
    <row r="486" spans="2:5">
      <c r="B486" s="17">
        <v>43067</v>
      </c>
      <c r="D486" t="s">
        <v>1297</v>
      </c>
      <c r="E486">
        <v>312.03000000000003</v>
      </c>
    </row>
    <row r="487" spans="2:5">
      <c r="B487" s="17">
        <v>43067</v>
      </c>
      <c r="D487" t="s">
        <v>1441</v>
      </c>
      <c r="E487">
        <v>259.89600000000002</v>
      </c>
    </row>
    <row r="488" spans="2:5">
      <c r="B488" s="17">
        <v>43067</v>
      </c>
      <c r="D488" t="s">
        <v>1441</v>
      </c>
      <c r="E488">
        <v>247.18799999999999</v>
      </c>
    </row>
    <row r="489" spans="2:5">
      <c r="B489" s="17">
        <v>43067</v>
      </c>
      <c r="D489" t="s">
        <v>1441</v>
      </c>
      <c r="E489">
        <v>279.95999999999998</v>
      </c>
    </row>
    <row r="490" spans="2:5">
      <c r="B490" s="17">
        <v>43067</v>
      </c>
      <c r="D490" t="s">
        <v>1406</v>
      </c>
      <c r="E490">
        <v>241.96</v>
      </c>
    </row>
    <row r="491" spans="2:5">
      <c r="B491" s="17">
        <v>43067</v>
      </c>
      <c r="D491" t="s">
        <v>207</v>
      </c>
      <c r="E491">
        <v>209.148</v>
      </c>
    </row>
    <row r="492" spans="2:5">
      <c r="B492" s="17">
        <v>43067</v>
      </c>
      <c r="D492" t="s">
        <v>1624</v>
      </c>
      <c r="E492">
        <v>211.16800000000001</v>
      </c>
    </row>
    <row r="493" spans="2:5">
      <c r="B493" s="17">
        <v>43066</v>
      </c>
      <c r="D493" t="s">
        <v>1432</v>
      </c>
      <c r="E493">
        <v>302.38400000000001</v>
      </c>
    </row>
    <row r="494" spans="2:5">
      <c r="B494" s="17">
        <v>43066</v>
      </c>
      <c r="D494" t="s">
        <v>271</v>
      </c>
      <c r="E494">
        <v>333.57600000000002</v>
      </c>
    </row>
    <row r="495" spans="2:5">
      <c r="B495" s="17">
        <v>43066</v>
      </c>
      <c r="D495" t="s">
        <v>271</v>
      </c>
      <c r="E495">
        <v>283.14000000000004</v>
      </c>
    </row>
    <row r="496" spans="2:5">
      <c r="B496" s="17">
        <v>43066</v>
      </c>
      <c r="D496" t="s">
        <v>390</v>
      </c>
      <c r="E496">
        <v>272.94</v>
      </c>
    </row>
    <row r="497" spans="2:5">
      <c r="B497" s="17">
        <v>43066</v>
      </c>
      <c r="D497" t="s">
        <v>1229</v>
      </c>
      <c r="E497">
        <v>302.72000000000003</v>
      </c>
    </row>
    <row r="498" spans="2:5">
      <c r="B498" s="17">
        <v>43066</v>
      </c>
      <c r="D498" t="s">
        <v>1597</v>
      </c>
      <c r="E498">
        <v>255.76</v>
      </c>
    </row>
    <row r="499" spans="2:5">
      <c r="B499" s="17">
        <v>43066</v>
      </c>
      <c r="D499" t="s">
        <v>1597</v>
      </c>
      <c r="E499">
        <v>241.56799999999998</v>
      </c>
    </row>
    <row r="500" spans="2:5">
      <c r="B500" s="17">
        <v>43066</v>
      </c>
      <c r="D500" t="s">
        <v>340</v>
      </c>
      <c r="E500">
        <v>243.88000000000002</v>
      </c>
    </row>
    <row r="501" spans="2:5">
      <c r="B501" s="17">
        <v>43066</v>
      </c>
      <c r="D501" t="s">
        <v>226</v>
      </c>
      <c r="E501">
        <v>297.55</v>
      </c>
    </row>
    <row r="502" spans="2:5">
      <c r="B502" s="17">
        <v>43066</v>
      </c>
      <c r="D502" t="s">
        <v>226</v>
      </c>
      <c r="E502">
        <v>253.76399999999998</v>
      </c>
    </row>
    <row r="503" spans="2:5">
      <c r="B503" s="17">
        <v>43066</v>
      </c>
      <c r="D503" t="s">
        <v>1372</v>
      </c>
      <c r="E503">
        <v>265.47500000000002</v>
      </c>
    </row>
    <row r="504" spans="2:5">
      <c r="B504" s="17">
        <v>43066</v>
      </c>
      <c r="D504" t="s">
        <v>932</v>
      </c>
      <c r="E504">
        <v>245.94</v>
      </c>
    </row>
    <row r="505" spans="2:5">
      <c r="B505" s="17">
        <v>43066</v>
      </c>
      <c r="D505" t="s">
        <v>1224</v>
      </c>
      <c r="E505">
        <v>338.04</v>
      </c>
    </row>
    <row r="506" spans="2:5">
      <c r="B506" s="17">
        <v>43065</v>
      </c>
      <c r="D506" t="s">
        <v>1224</v>
      </c>
      <c r="E506">
        <v>284.08000000000004</v>
      </c>
    </row>
    <row r="507" spans="2:5">
      <c r="B507" s="17">
        <v>43065</v>
      </c>
      <c r="D507" t="s">
        <v>1285</v>
      </c>
      <c r="E507">
        <v>242.94</v>
      </c>
    </row>
    <row r="508" spans="2:5">
      <c r="B508" s="17">
        <v>43065</v>
      </c>
      <c r="D508" t="s">
        <v>640</v>
      </c>
      <c r="E508">
        <v>265.17</v>
      </c>
    </row>
    <row r="509" spans="2:5">
      <c r="B509" s="17">
        <v>43065</v>
      </c>
      <c r="D509" t="s">
        <v>76</v>
      </c>
      <c r="E509">
        <v>230.28000000000003</v>
      </c>
    </row>
    <row r="510" spans="2:5">
      <c r="B510" s="17">
        <v>43065</v>
      </c>
      <c r="D510" t="s">
        <v>1585</v>
      </c>
      <c r="E510">
        <v>219.84000000000003</v>
      </c>
    </row>
    <row r="511" spans="2:5">
      <c r="B511" s="17">
        <v>43065</v>
      </c>
      <c r="D511" t="s">
        <v>1067</v>
      </c>
      <c r="E511">
        <v>338.04</v>
      </c>
    </row>
    <row r="512" spans="2:5">
      <c r="B512" s="17">
        <v>43065</v>
      </c>
      <c r="D512" t="s">
        <v>1067</v>
      </c>
      <c r="E512">
        <v>341.99100000000004</v>
      </c>
    </row>
    <row r="513" spans="2:5">
      <c r="B513" s="17">
        <v>43065</v>
      </c>
      <c r="D513" t="s">
        <v>831</v>
      </c>
      <c r="E513">
        <v>215.65</v>
      </c>
    </row>
    <row r="514" spans="2:5">
      <c r="B514" s="17">
        <v>43065</v>
      </c>
      <c r="D514" t="s">
        <v>92</v>
      </c>
      <c r="E514">
        <v>253.37199999999996</v>
      </c>
    </row>
    <row r="515" spans="2:5">
      <c r="B515" s="17">
        <v>43065</v>
      </c>
      <c r="D515" t="s">
        <v>92</v>
      </c>
      <c r="E515">
        <v>287.96800000000002</v>
      </c>
    </row>
    <row r="516" spans="2:5">
      <c r="B516" s="17">
        <v>43065</v>
      </c>
      <c r="D516" t="s">
        <v>832</v>
      </c>
      <c r="E516">
        <v>275.24</v>
      </c>
    </row>
    <row r="517" spans="2:5">
      <c r="B517" s="17">
        <v>43065</v>
      </c>
      <c r="D517" t="s">
        <v>832</v>
      </c>
      <c r="E517">
        <v>201.584</v>
      </c>
    </row>
    <row r="518" spans="2:5">
      <c r="B518" s="17">
        <v>43065</v>
      </c>
      <c r="D518" t="s">
        <v>1533</v>
      </c>
      <c r="E518">
        <v>231.72</v>
      </c>
    </row>
    <row r="519" spans="2:5">
      <c r="B519" s="17">
        <v>43065</v>
      </c>
      <c r="D519" t="s">
        <v>1537</v>
      </c>
      <c r="E519">
        <v>254.35200000000003</v>
      </c>
    </row>
    <row r="520" spans="2:5">
      <c r="B520" s="17">
        <v>43065</v>
      </c>
      <c r="D520" t="s">
        <v>1069</v>
      </c>
      <c r="E520">
        <v>241.44</v>
      </c>
    </row>
    <row r="521" spans="2:5">
      <c r="B521" s="17">
        <v>43065</v>
      </c>
      <c r="D521" t="s">
        <v>818</v>
      </c>
      <c r="E521">
        <v>324.90000000000003</v>
      </c>
    </row>
    <row r="522" spans="2:5">
      <c r="B522" s="17">
        <v>43064</v>
      </c>
      <c r="D522" t="s">
        <v>405</v>
      </c>
      <c r="E522">
        <v>208.56</v>
      </c>
    </row>
    <row r="523" spans="2:5">
      <c r="B523" s="17">
        <v>43064</v>
      </c>
      <c r="D523" t="s">
        <v>405</v>
      </c>
      <c r="E523">
        <v>319.41000000000003</v>
      </c>
    </row>
    <row r="524" spans="2:5">
      <c r="B524" s="17">
        <v>43064</v>
      </c>
      <c r="D524" t="s">
        <v>643</v>
      </c>
      <c r="E524">
        <v>239.66599999999997</v>
      </c>
    </row>
    <row r="525" spans="2:5">
      <c r="B525" s="17">
        <v>43064</v>
      </c>
      <c r="D525" t="s">
        <v>643</v>
      </c>
      <c r="E525">
        <v>219.84</v>
      </c>
    </row>
    <row r="526" spans="2:5">
      <c r="B526" s="17">
        <v>43064</v>
      </c>
      <c r="D526" t="s">
        <v>1158</v>
      </c>
      <c r="E526">
        <v>266.35200000000003</v>
      </c>
    </row>
    <row r="527" spans="2:5">
      <c r="B527" s="17">
        <v>43064</v>
      </c>
      <c r="D527" t="s">
        <v>798</v>
      </c>
      <c r="E527">
        <v>337.17599999999999</v>
      </c>
    </row>
    <row r="528" spans="2:5">
      <c r="B528" s="17">
        <v>43064</v>
      </c>
      <c r="D528" t="s">
        <v>552</v>
      </c>
      <c r="E528">
        <v>208.16</v>
      </c>
    </row>
    <row r="529" spans="2:5">
      <c r="B529" s="17">
        <v>43064</v>
      </c>
      <c r="D529" t="s">
        <v>552</v>
      </c>
      <c r="E529">
        <v>226.56</v>
      </c>
    </row>
    <row r="530" spans="2:5">
      <c r="B530" s="17">
        <v>43064</v>
      </c>
      <c r="D530" t="s">
        <v>1704</v>
      </c>
      <c r="E530">
        <v>313.488</v>
      </c>
    </row>
    <row r="531" spans="2:5">
      <c r="B531" s="17">
        <v>43064</v>
      </c>
      <c r="D531" t="s">
        <v>754</v>
      </c>
      <c r="E531">
        <v>239.96999999999997</v>
      </c>
    </row>
    <row r="532" spans="2:5">
      <c r="B532" s="17">
        <v>43064</v>
      </c>
      <c r="D532" t="s">
        <v>1475</v>
      </c>
      <c r="E532">
        <v>328.22399999999999</v>
      </c>
    </row>
    <row r="533" spans="2:5">
      <c r="B533" s="17">
        <v>43064</v>
      </c>
      <c r="D533" t="s">
        <v>1536</v>
      </c>
      <c r="E533">
        <v>323.37</v>
      </c>
    </row>
    <row r="534" spans="2:5">
      <c r="B534" s="17">
        <v>43064</v>
      </c>
      <c r="D534" t="s">
        <v>318</v>
      </c>
      <c r="E534">
        <v>223.96</v>
      </c>
    </row>
    <row r="535" spans="2:5">
      <c r="B535" s="17">
        <v>43063</v>
      </c>
      <c r="D535" t="s">
        <v>1468</v>
      </c>
      <c r="E535">
        <v>262.24</v>
      </c>
    </row>
    <row r="536" spans="2:5">
      <c r="B536" s="17">
        <v>43063</v>
      </c>
      <c r="D536" t="s">
        <v>1130</v>
      </c>
      <c r="E536">
        <v>286.40000000000003</v>
      </c>
    </row>
    <row r="537" spans="2:5">
      <c r="B537" s="17">
        <v>43063</v>
      </c>
      <c r="D537" t="s">
        <v>64</v>
      </c>
      <c r="E537">
        <v>314.54999999999995</v>
      </c>
    </row>
    <row r="538" spans="2:5">
      <c r="B538" s="17">
        <v>43063</v>
      </c>
      <c r="D538" t="s">
        <v>1212</v>
      </c>
      <c r="E538">
        <v>211.16800000000001</v>
      </c>
    </row>
    <row r="539" spans="2:5">
      <c r="B539" s="17">
        <v>43063</v>
      </c>
      <c r="D539" t="s">
        <v>272</v>
      </c>
      <c r="E539">
        <v>257.98</v>
      </c>
    </row>
    <row r="540" spans="2:5">
      <c r="B540" s="17">
        <v>43063</v>
      </c>
      <c r="D540" t="s">
        <v>272</v>
      </c>
      <c r="E540">
        <v>222.38400000000001</v>
      </c>
    </row>
    <row r="541" spans="2:5">
      <c r="B541" s="17">
        <v>43063</v>
      </c>
      <c r="D541" t="s">
        <v>380</v>
      </c>
      <c r="E541">
        <v>242.89999999999998</v>
      </c>
    </row>
    <row r="542" spans="2:5">
      <c r="B542" s="17">
        <v>43063</v>
      </c>
      <c r="D542" t="s">
        <v>1142</v>
      </c>
      <c r="E542">
        <v>282.83999999999997</v>
      </c>
    </row>
    <row r="543" spans="2:5">
      <c r="B543" s="17">
        <v>43063</v>
      </c>
      <c r="D543" t="s">
        <v>1330</v>
      </c>
      <c r="E543">
        <v>211.96</v>
      </c>
    </row>
    <row r="544" spans="2:5">
      <c r="B544" s="17">
        <v>43063</v>
      </c>
      <c r="D544" t="s">
        <v>112</v>
      </c>
      <c r="E544">
        <v>199.95000000000002</v>
      </c>
    </row>
    <row r="545" spans="2:5">
      <c r="B545" s="17">
        <v>43063</v>
      </c>
      <c r="D545" t="s">
        <v>633</v>
      </c>
      <c r="E545">
        <v>246.16800000000001</v>
      </c>
    </row>
    <row r="546" spans="2:5">
      <c r="B546" s="17">
        <v>43063</v>
      </c>
      <c r="D546" t="s">
        <v>991</v>
      </c>
      <c r="E546">
        <v>298.77600000000001</v>
      </c>
    </row>
    <row r="547" spans="2:5">
      <c r="B547" s="17">
        <v>43063</v>
      </c>
      <c r="D547" t="s">
        <v>69</v>
      </c>
      <c r="E547">
        <v>224.93700000000004</v>
      </c>
    </row>
    <row r="548" spans="2:5">
      <c r="B548" s="17">
        <v>43063</v>
      </c>
      <c r="D548" t="s">
        <v>495</v>
      </c>
      <c r="E548">
        <v>214.7</v>
      </c>
    </row>
    <row r="549" spans="2:5">
      <c r="B549" s="17">
        <v>43063</v>
      </c>
      <c r="D549" t="s">
        <v>48</v>
      </c>
      <c r="E549">
        <v>258.69600000000003</v>
      </c>
    </row>
    <row r="550" spans="2:5">
      <c r="B550" s="17">
        <v>43063</v>
      </c>
      <c r="D550" t="s">
        <v>48</v>
      </c>
      <c r="E550">
        <v>251.52</v>
      </c>
    </row>
    <row r="551" spans="2:5">
      <c r="B551" s="17">
        <v>43063</v>
      </c>
      <c r="D551" t="s">
        <v>229</v>
      </c>
      <c r="E551">
        <v>205.17599999999999</v>
      </c>
    </row>
    <row r="552" spans="2:5">
      <c r="B552" s="17">
        <v>43063</v>
      </c>
      <c r="D552" t="s">
        <v>1501</v>
      </c>
      <c r="E552">
        <v>230.376</v>
      </c>
    </row>
    <row r="553" spans="2:5">
      <c r="B553" s="17">
        <v>43063</v>
      </c>
      <c r="D553" t="s">
        <v>328</v>
      </c>
      <c r="E553">
        <v>203.92</v>
      </c>
    </row>
    <row r="554" spans="2:5">
      <c r="B554" s="17">
        <v>43063</v>
      </c>
      <c r="D554" t="s">
        <v>328</v>
      </c>
      <c r="E554">
        <v>257.49900000000002</v>
      </c>
    </row>
    <row r="555" spans="2:5">
      <c r="B555" s="17">
        <v>43063</v>
      </c>
      <c r="D555" t="s">
        <v>170</v>
      </c>
      <c r="E555">
        <v>291.95999999999998</v>
      </c>
    </row>
    <row r="556" spans="2:5">
      <c r="B556" s="17">
        <v>43063</v>
      </c>
      <c r="D556" t="s">
        <v>986</v>
      </c>
      <c r="E556">
        <v>343.92</v>
      </c>
    </row>
    <row r="557" spans="2:5">
      <c r="B557" s="17">
        <v>43063</v>
      </c>
      <c r="D557" t="s">
        <v>264</v>
      </c>
      <c r="E557">
        <v>259.95999999999998</v>
      </c>
    </row>
    <row r="558" spans="2:5">
      <c r="B558" s="17">
        <v>43063</v>
      </c>
      <c r="D558" t="s">
        <v>1210</v>
      </c>
      <c r="E558">
        <v>263.88</v>
      </c>
    </row>
    <row r="559" spans="2:5">
      <c r="B559" s="17">
        <v>43063</v>
      </c>
      <c r="D559" t="s">
        <v>356</v>
      </c>
      <c r="E559">
        <v>280.78200000000004</v>
      </c>
    </row>
    <row r="560" spans="2:5">
      <c r="B560" s="17">
        <v>43062</v>
      </c>
      <c r="D560" t="s">
        <v>335</v>
      </c>
      <c r="E560">
        <v>327.99600000000004</v>
      </c>
    </row>
    <row r="561" spans="2:5">
      <c r="B561" s="17">
        <v>43062</v>
      </c>
      <c r="D561" t="s">
        <v>303</v>
      </c>
      <c r="E561">
        <v>299.97499999999997</v>
      </c>
    </row>
    <row r="562" spans="2:5">
      <c r="B562" s="17">
        <v>43062</v>
      </c>
      <c r="D562" t="s">
        <v>764</v>
      </c>
      <c r="E562">
        <v>301.46999999999997</v>
      </c>
    </row>
    <row r="563" spans="2:5">
      <c r="B563" s="17">
        <v>43062</v>
      </c>
      <c r="D563" t="s">
        <v>499</v>
      </c>
      <c r="E563">
        <v>199.89999999999998</v>
      </c>
    </row>
    <row r="564" spans="2:5">
      <c r="B564" s="17">
        <v>43062</v>
      </c>
      <c r="D564" t="s">
        <v>499</v>
      </c>
      <c r="E564">
        <v>319.76</v>
      </c>
    </row>
    <row r="565" spans="2:5">
      <c r="B565" s="17">
        <v>43062</v>
      </c>
      <c r="D565" t="s">
        <v>1659</v>
      </c>
      <c r="E565">
        <v>241.33199999999999</v>
      </c>
    </row>
    <row r="566" spans="2:5">
      <c r="B566" s="17">
        <v>43062</v>
      </c>
      <c r="D566" t="s">
        <v>1010</v>
      </c>
      <c r="E566">
        <v>203.184</v>
      </c>
    </row>
    <row r="567" spans="2:5">
      <c r="B567" s="17">
        <v>43062</v>
      </c>
      <c r="D567" t="s">
        <v>604</v>
      </c>
      <c r="E567">
        <v>244.00599999999997</v>
      </c>
    </row>
    <row r="568" spans="2:5">
      <c r="B568" s="17">
        <v>43062</v>
      </c>
      <c r="D568" t="s">
        <v>1463</v>
      </c>
      <c r="E568">
        <v>199.75</v>
      </c>
    </row>
    <row r="569" spans="2:5">
      <c r="B569" s="17">
        <v>43062</v>
      </c>
      <c r="D569" t="s">
        <v>1292</v>
      </c>
      <c r="E569">
        <v>207.14400000000001</v>
      </c>
    </row>
    <row r="570" spans="2:5">
      <c r="B570" s="17">
        <v>43062</v>
      </c>
      <c r="D570" t="s">
        <v>689</v>
      </c>
      <c r="E570">
        <v>287.90999999999997</v>
      </c>
    </row>
    <row r="571" spans="2:5">
      <c r="B571" s="17">
        <v>43062</v>
      </c>
      <c r="D571" t="s">
        <v>566</v>
      </c>
      <c r="E571">
        <v>296.37</v>
      </c>
    </row>
    <row r="572" spans="2:5">
      <c r="B572" s="17">
        <v>43062</v>
      </c>
      <c r="D572" t="s">
        <v>1522</v>
      </c>
      <c r="E572">
        <v>242.94</v>
      </c>
    </row>
    <row r="573" spans="2:5">
      <c r="B573" s="17">
        <v>43062</v>
      </c>
      <c r="D573" t="s">
        <v>1700</v>
      </c>
      <c r="E573">
        <v>227.96</v>
      </c>
    </row>
    <row r="574" spans="2:5">
      <c r="B574" s="17">
        <v>43062</v>
      </c>
      <c r="D574" t="s">
        <v>1700</v>
      </c>
      <c r="E574">
        <v>318.08</v>
      </c>
    </row>
    <row r="575" spans="2:5">
      <c r="B575" s="17">
        <v>43062</v>
      </c>
      <c r="D575" t="s">
        <v>587</v>
      </c>
      <c r="E575">
        <v>326.64600000000002</v>
      </c>
    </row>
    <row r="576" spans="2:5">
      <c r="B576" s="17">
        <v>43062</v>
      </c>
      <c r="D576" t="s">
        <v>587</v>
      </c>
      <c r="E576">
        <v>264.18</v>
      </c>
    </row>
    <row r="577" spans="2:5">
      <c r="B577" s="17">
        <v>43061</v>
      </c>
      <c r="D577" t="s">
        <v>1803</v>
      </c>
      <c r="E577">
        <v>241.49999999999997</v>
      </c>
    </row>
    <row r="578" spans="2:5">
      <c r="B578" s="17">
        <v>43060</v>
      </c>
      <c r="D578" t="s">
        <v>109</v>
      </c>
      <c r="E578">
        <v>239.98</v>
      </c>
    </row>
    <row r="579" spans="2:5">
      <c r="B579" s="17">
        <v>43060</v>
      </c>
      <c r="D579" t="s">
        <v>1393</v>
      </c>
      <c r="E579">
        <v>342.37</v>
      </c>
    </row>
    <row r="580" spans="2:5">
      <c r="B580" s="17">
        <v>43060</v>
      </c>
      <c r="D580" t="s">
        <v>482</v>
      </c>
      <c r="E580">
        <v>305.01</v>
      </c>
    </row>
    <row r="581" spans="2:5">
      <c r="B581" s="17">
        <v>43060</v>
      </c>
      <c r="D581" t="s">
        <v>1002</v>
      </c>
      <c r="E581">
        <v>313.72199999999998</v>
      </c>
    </row>
    <row r="582" spans="2:5">
      <c r="B582" s="17">
        <v>43060</v>
      </c>
      <c r="D582" t="s">
        <v>811</v>
      </c>
      <c r="E582">
        <v>322.59000000000003</v>
      </c>
    </row>
    <row r="583" spans="2:5">
      <c r="B583" s="17">
        <v>43060</v>
      </c>
      <c r="D583" t="s">
        <v>257</v>
      </c>
      <c r="E583">
        <v>316</v>
      </c>
    </row>
    <row r="584" spans="2:5">
      <c r="B584" s="17">
        <v>43060</v>
      </c>
      <c r="D584" t="s">
        <v>1549</v>
      </c>
      <c r="E584">
        <v>254.96999999999997</v>
      </c>
    </row>
    <row r="585" spans="2:5">
      <c r="B585" s="17">
        <v>43060</v>
      </c>
      <c r="D585" t="s">
        <v>426</v>
      </c>
      <c r="E585">
        <v>315.77600000000007</v>
      </c>
    </row>
    <row r="586" spans="2:5">
      <c r="B586" s="17">
        <v>43060</v>
      </c>
      <c r="D586" t="s">
        <v>922</v>
      </c>
      <c r="E586">
        <v>231.98</v>
      </c>
    </row>
    <row r="587" spans="2:5">
      <c r="B587" s="17">
        <v>43060</v>
      </c>
      <c r="D587" t="s">
        <v>941</v>
      </c>
      <c r="E587">
        <v>271.44</v>
      </c>
    </row>
    <row r="588" spans="2:5">
      <c r="B588" s="17">
        <v>43060</v>
      </c>
      <c r="D588" t="s">
        <v>941</v>
      </c>
      <c r="E588">
        <v>287.88</v>
      </c>
    </row>
    <row r="589" spans="2:5">
      <c r="B589" s="17">
        <v>43060</v>
      </c>
      <c r="D589" t="s">
        <v>1617</v>
      </c>
      <c r="E589">
        <v>212.05799999999999</v>
      </c>
    </row>
    <row r="590" spans="2:5">
      <c r="B590" s="17">
        <v>43060</v>
      </c>
      <c r="D590" t="s">
        <v>273</v>
      </c>
      <c r="E590">
        <v>239.9</v>
      </c>
    </row>
    <row r="591" spans="2:5">
      <c r="B591" s="17">
        <v>43060</v>
      </c>
      <c r="D591" t="s">
        <v>101</v>
      </c>
      <c r="E591">
        <v>323.10000000000002</v>
      </c>
    </row>
    <row r="592" spans="2:5">
      <c r="B592" s="17">
        <v>43060</v>
      </c>
      <c r="D592" t="s">
        <v>268</v>
      </c>
      <c r="E592">
        <v>275.05799999999999</v>
      </c>
    </row>
    <row r="593" spans="2:5">
      <c r="B593" s="17">
        <v>43059</v>
      </c>
      <c r="D593" t="s">
        <v>268</v>
      </c>
      <c r="E593">
        <v>212.64</v>
      </c>
    </row>
    <row r="594" spans="2:5">
      <c r="B594" s="17">
        <v>43059</v>
      </c>
      <c r="D594" t="s">
        <v>371</v>
      </c>
      <c r="E594">
        <v>275.88</v>
      </c>
    </row>
    <row r="595" spans="2:5">
      <c r="B595" s="17">
        <v>43059</v>
      </c>
      <c r="D595" t="s">
        <v>740</v>
      </c>
      <c r="E595">
        <v>255.96799999999999</v>
      </c>
    </row>
    <row r="596" spans="2:5">
      <c r="B596" s="17">
        <v>43059</v>
      </c>
      <c r="D596" t="s">
        <v>381</v>
      </c>
      <c r="E596">
        <v>302.94</v>
      </c>
    </row>
    <row r="597" spans="2:5">
      <c r="B597" s="17">
        <v>43059</v>
      </c>
      <c r="D597" t="s">
        <v>1380</v>
      </c>
      <c r="E597">
        <v>212.13</v>
      </c>
    </row>
    <row r="598" spans="2:5">
      <c r="B598" s="17">
        <v>43059</v>
      </c>
      <c r="D598" t="s">
        <v>1380</v>
      </c>
      <c r="E598">
        <v>204.85</v>
      </c>
    </row>
    <row r="599" spans="2:5">
      <c r="B599" s="17">
        <v>43059</v>
      </c>
      <c r="D599" t="s">
        <v>919</v>
      </c>
      <c r="E599">
        <v>262.86399999999998</v>
      </c>
    </row>
    <row r="600" spans="2:5">
      <c r="B600" s="17">
        <v>43059</v>
      </c>
      <c r="D600" t="s">
        <v>919</v>
      </c>
      <c r="E600">
        <v>246.16800000000001</v>
      </c>
    </row>
    <row r="601" spans="2:5">
      <c r="B601" s="17">
        <v>43059</v>
      </c>
      <c r="D601" t="s">
        <v>919</v>
      </c>
      <c r="E601">
        <v>319.96800000000002</v>
      </c>
    </row>
    <row r="602" spans="2:5">
      <c r="B602" s="17">
        <v>43059</v>
      </c>
      <c r="D602" t="s">
        <v>437</v>
      </c>
      <c r="E602">
        <v>273.56799999999998</v>
      </c>
    </row>
    <row r="603" spans="2:5">
      <c r="B603" s="17">
        <v>43059</v>
      </c>
      <c r="D603" t="s">
        <v>1559</v>
      </c>
      <c r="E603">
        <v>248.85000000000002</v>
      </c>
    </row>
    <row r="604" spans="2:5">
      <c r="B604" s="17">
        <v>43059</v>
      </c>
      <c r="D604" t="s">
        <v>167</v>
      </c>
      <c r="E604">
        <v>299.94</v>
      </c>
    </row>
    <row r="605" spans="2:5">
      <c r="B605" s="17">
        <v>43059</v>
      </c>
      <c r="D605" t="s">
        <v>60</v>
      </c>
      <c r="E605">
        <v>221.96</v>
      </c>
    </row>
    <row r="606" spans="2:5">
      <c r="B606" s="17">
        <v>43059</v>
      </c>
      <c r="D606" t="s">
        <v>60</v>
      </c>
      <c r="E606">
        <v>236</v>
      </c>
    </row>
    <row r="607" spans="2:5">
      <c r="B607" s="17">
        <v>43059</v>
      </c>
      <c r="D607" t="s">
        <v>60</v>
      </c>
      <c r="E607">
        <v>283.92</v>
      </c>
    </row>
    <row r="608" spans="2:5">
      <c r="B608" s="17">
        <v>43059</v>
      </c>
      <c r="D608" t="s">
        <v>261</v>
      </c>
      <c r="E608">
        <v>219.18400000000003</v>
      </c>
    </row>
    <row r="609" spans="2:5">
      <c r="B609" s="17">
        <v>43059</v>
      </c>
      <c r="D609" t="s">
        <v>261</v>
      </c>
      <c r="E609">
        <v>206.11199999999997</v>
      </c>
    </row>
    <row r="610" spans="2:5">
      <c r="B610" s="17">
        <v>43058</v>
      </c>
      <c r="D610" t="s">
        <v>530</v>
      </c>
      <c r="E610">
        <v>247.10399999999998</v>
      </c>
    </row>
    <row r="611" spans="2:5">
      <c r="B611" s="17">
        <v>43058</v>
      </c>
      <c r="D611" t="s">
        <v>545</v>
      </c>
      <c r="E611">
        <v>232.40000000000003</v>
      </c>
    </row>
    <row r="612" spans="2:5">
      <c r="B612" s="17">
        <v>43058</v>
      </c>
      <c r="D612" t="s">
        <v>1233</v>
      </c>
      <c r="E612">
        <v>271.44</v>
      </c>
    </row>
    <row r="613" spans="2:5">
      <c r="B613" s="17">
        <v>43058</v>
      </c>
      <c r="D613" t="s">
        <v>190</v>
      </c>
      <c r="E613">
        <v>335.74400000000003</v>
      </c>
    </row>
    <row r="614" spans="2:5">
      <c r="B614" s="17">
        <v>43058</v>
      </c>
      <c r="D614" t="s">
        <v>175</v>
      </c>
      <c r="E614">
        <v>301.95999999999998</v>
      </c>
    </row>
    <row r="615" spans="2:5">
      <c r="B615" s="17">
        <v>43058</v>
      </c>
      <c r="D615" t="s">
        <v>605</v>
      </c>
      <c r="E615">
        <v>322.59000000000003</v>
      </c>
    </row>
    <row r="616" spans="2:5">
      <c r="B616" s="17">
        <v>43058</v>
      </c>
      <c r="D616" t="s">
        <v>605</v>
      </c>
      <c r="E616">
        <v>335.52</v>
      </c>
    </row>
    <row r="617" spans="2:5">
      <c r="B617" s="17">
        <v>43058</v>
      </c>
      <c r="D617" t="s">
        <v>1220</v>
      </c>
      <c r="E617">
        <v>283.92</v>
      </c>
    </row>
    <row r="618" spans="2:5">
      <c r="B618" s="17">
        <v>43058</v>
      </c>
      <c r="D618" t="s">
        <v>327</v>
      </c>
      <c r="E618">
        <v>259.98</v>
      </c>
    </row>
    <row r="619" spans="2:5">
      <c r="B619" s="17">
        <v>43058</v>
      </c>
      <c r="D619" t="s">
        <v>149</v>
      </c>
      <c r="E619">
        <v>335.52</v>
      </c>
    </row>
    <row r="620" spans="2:5">
      <c r="B620" s="17">
        <v>43058</v>
      </c>
      <c r="D620" t="s">
        <v>963</v>
      </c>
      <c r="E620">
        <v>307.98</v>
      </c>
    </row>
    <row r="621" spans="2:5">
      <c r="B621" s="17">
        <v>43058</v>
      </c>
      <c r="D621" t="s">
        <v>875</v>
      </c>
      <c r="E621">
        <v>206.96200000000002</v>
      </c>
    </row>
    <row r="622" spans="2:5">
      <c r="B622" s="17">
        <v>43058</v>
      </c>
      <c r="D622" t="s">
        <v>265</v>
      </c>
      <c r="E622">
        <v>246.13279999999997</v>
      </c>
    </row>
    <row r="623" spans="2:5">
      <c r="B623" s="17">
        <v>43058</v>
      </c>
      <c r="D623" t="s">
        <v>602</v>
      </c>
      <c r="E623">
        <v>325.63200000000006</v>
      </c>
    </row>
    <row r="624" spans="2:5">
      <c r="B624" s="17">
        <v>43058</v>
      </c>
      <c r="D624" t="s">
        <v>1513</v>
      </c>
      <c r="E624">
        <v>290.35200000000003</v>
      </c>
    </row>
    <row r="625" spans="2:5">
      <c r="B625" s="17">
        <v>43058</v>
      </c>
      <c r="D625" t="s">
        <v>347</v>
      </c>
      <c r="E625">
        <v>304.89999999999998</v>
      </c>
    </row>
    <row r="626" spans="2:5">
      <c r="B626" s="17">
        <v>43058</v>
      </c>
      <c r="D626" t="s">
        <v>892</v>
      </c>
      <c r="E626">
        <v>225.56799999999998</v>
      </c>
    </row>
    <row r="627" spans="2:5">
      <c r="B627" s="17">
        <v>43058</v>
      </c>
      <c r="D627" t="s">
        <v>985</v>
      </c>
      <c r="E627">
        <v>214.11</v>
      </c>
    </row>
    <row r="628" spans="2:5">
      <c r="B628" s="17">
        <v>43058</v>
      </c>
      <c r="D628" t="s">
        <v>1446</v>
      </c>
      <c r="E628">
        <v>304.77600000000001</v>
      </c>
    </row>
    <row r="629" spans="2:5">
      <c r="B629" s="17">
        <v>43058</v>
      </c>
      <c r="D629" t="s">
        <v>1446</v>
      </c>
      <c r="E629">
        <v>239.976</v>
      </c>
    </row>
    <row r="630" spans="2:5">
      <c r="B630" s="17">
        <v>43058</v>
      </c>
      <c r="D630" t="s">
        <v>191</v>
      </c>
      <c r="E630">
        <v>250.27199999999999</v>
      </c>
    </row>
    <row r="631" spans="2:5">
      <c r="B631" s="17">
        <v>43058</v>
      </c>
      <c r="D631" t="s">
        <v>1822</v>
      </c>
      <c r="E631">
        <v>230.35200000000003</v>
      </c>
    </row>
    <row r="632" spans="2:5">
      <c r="B632" s="17">
        <v>43058</v>
      </c>
      <c r="D632" t="s">
        <v>1626</v>
      </c>
      <c r="E632">
        <v>238.89600000000002</v>
      </c>
    </row>
    <row r="633" spans="2:5">
      <c r="B633" s="17">
        <v>43058</v>
      </c>
      <c r="D633" t="s">
        <v>1626</v>
      </c>
      <c r="E633">
        <v>299.96999999999997</v>
      </c>
    </row>
    <row r="634" spans="2:5">
      <c r="B634" s="17">
        <v>43058</v>
      </c>
      <c r="D634" t="s">
        <v>1094</v>
      </c>
      <c r="E634">
        <v>339.96000000000004</v>
      </c>
    </row>
    <row r="635" spans="2:5">
      <c r="B635" s="17">
        <v>43058</v>
      </c>
      <c r="D635" t="s">
        <v>52</v>
      </c>
      <c r="E635">
        <v>223.88799999999998</v>
      </c>
    </row>
    <row r="636" spans="2:5">
      <c r="B636" s="17">
        <v>43057</v>
      </c>
      <c r="D636" t="s">
        <v>1190</v>
      </c>
      <c r="E636">
        <v>244.54999999999998</v>
      </c>
    </row>
    <row r="637" spans="2:5">
      <c r="B637" s="17">
        <v>43057</v>
      </c>
      <c r="D637" t="s">
        <v>1483</v>
      </c>
      <c r="E637">
        <v>226.20000000000002</v>
      </c>
    </row>
    <row r="638" spans="2:5">
      <c r="B638" s="17">
        <v>43057</v>
      </c>
      <c r="D638" t="s">
        <v>1462</v>
      </c>
      <c r="E638">
        <v>265.85999999999996</v>
      </c>
    </row>
    <row r="639" spans="2:5">
      <c r="B639" s="17">
        <v>43057</v>
      </c>
      <c r="D639" t="s">
        <v>1462</v>
      </c>
      <c r="E639">
        <v>263.95999999999998</v>
      </c>
    </row>
    <row r="640" spans="2:5">
      <c r="B640" s="17">
        <v>43057</v>
      </c>
      <c r="D640" t="s">
        <v>693</v>
      </c>
      <c r="E640">
        <v>287.90999999999997</v>
      </c>
    </row>
    <row r="641" spans="2:5">
      <c r="B641" s="17">
        <v>43057</v>
      </c>
      <c r="D641" t="s">
        <v>518</v>
      </c>
      <c r="E641">
        <v>207</v>
      </c>
    </row>
    <row r="642" spans="2:5">
      <c r="B642" s="17">
        <v>43057</v>
      </c>
      <c r="D642" t="s">
        <v>1455</v>
      </c>
      <c r="E642">
        <v>259.7</v>
      </c>
    </row>
    <row r="643" spans="2:5">
      <c r="B643" s="17">
        <v>43057</v>
      </c>
      <c r="D643" t="s">
        <v>747</v>
      </c>
      <c r="E643">
        <v>301.95999999999998</v>
      </c>
    </row>
    <row r="644" spans="2:5">
      <c r="B644" s="17">
        <v>43057</v>
      </c>
      <c r="D644" t="s">
        <v>747</v>
      </c>
      <c r="E644">
        <v>327.56399999999996</v>
      </c>
    </row>
    <row r="645" spans="2:5">
      <c r="B645" s="17">
        <v>43057</v>
      </c>
      <c r="D645" t="s">
        <v>747</v>
      </c>
      <c r="E645">
        <v>205.16400000000002</v>
      </c>
    </row>
    <row r="646" spans="2:5">
      <c r="B646" s="17">
        <v>43057</v>
      </c>
      <c r="D646" t="s">
        <v>1739</v>
      </c>
      <c r="E646">
        <v>323.13600000000002</v>
      </c>
    </row>
    <row r="647" spans="2:5">
      <c r="B647" s="17">
        <v>43057</v>
      </c>
      <c r="D647" t="s">
        <v>1124</v>
      </c>
      <c r="E647">
        <v>299.89999999999998</v>
      </c>
    </row>
    <row r="648" spans="2:5">
      <c r="B648" s="17">
        <v>43057</v>
      </c>
      <c r="D648" t="s">
        <v>719</v>
      </c>
      <c r="E648">
        <v>210.84</v>
      </c>
    </row>
    <row r="649" spans="2:5">
      <c r="B649" s="17">
        <v>43057</v>
      </c>
      <c r="D649" t="s">
        <v>830</v>
      </c>
      <c r="E649">
        <v>203.88000000000002</v>
      </c>
    </row>
    <row r="650" spans="2:5">
      <c r="B650" s="17">
        <v>43057</v>
      </c>
      <c r="D650" t="s">
        <v>586</v>
      </c>
      <c r="E650">
        <v>253.17599999999999</v>
      </c>
    </row>
    <row r="651" spans="2:5">
      <c r="B651" s="17">
        <v>43057</v>
      </c>
      <c r="D651" t="s">
        <v>586</v>
      </c>
      <c r="E651">
        <v>291.10000000000002</v>
      </c>
    </row>
    <row r="652" spans="2:5">
      <c r="B652" s="17">
        <v>43057</v>
      </c>
      <c r="D652" t="s">
        <v>135</v>
      </c>
      <c r="E652">
        <v>240.78400000000002</v>
      </c>
    </row>
    <row r="653" spans="2:5">
      <c r="B653" s="17">
        <v>43057</v>
      </c>
      <c r="D653" t="s">
        <v>547</v>
      </c>
      <c r="E653">
        <v>239.96999999999997</v>
      </c>
    </row>
    <row r="654" spans="2:5">
      <c r="B654" s="17">
        <v>43057</v>
      </c>
      <c r="D654" t="s">
        <v>1741</v>
      </c>
      <c r="E654">
        <v>270</v>
      </c>
    </row>
    <row r="655" spans="2:5">
      <c r="B655" s="17">
        <v>43057</v>
      </c>
      <c r="D655" t="s">
        <v>1305</v>
      </c>
      <c r="E655">
        <v>249.58400000000003</v>
      </c>
    </row>
    <row r="656" spans="2:5">
      <c r="B656" s="17">
        <v>43057</v>
      </c>
      <c r="D656" t="s">
        <v>910</v>
      </c>
      <c r="E656">
        <v>339.96000000000004</v>
      </c>
    </row>
    <row r="657" spans="2:5">
      <c r="B657" s="17">
        <v>43056</v>
      </c>
      <c r="D657" t="s">
        <v>910</v>
      </c>
      <c r="E657">
        <v>263.88</v>
      </c>
    </row>
    <row r="658" spans="2:5">
      <c r="B658" s="17">
        <v>43056</v>
      </c>
      <c r="D658" t="s">
        <v>1254</v>
      </c>
      <c r="E658">
        <v>287.94</v>
      </c>
    </row>
    <row r="659" spans="2:5">
      <c r="B659" s="17">
        <v>43056</v>
      </c>
      <c r="D659" t="s">
        <v>837</v>
      </c>
      <c r="E659">
        <v>209.67</v>
      </c>
    </row>
    <row r="660" spans="2:5">
      <c r="B660" s="17">
        <v>43056</v>
      </c>
      <c r="D660" t="s">
        <v>837</v>
      </c>
      <c r="E660">
        <v>263.95999999999998</v>
      </c>
    </row>
    <row r="661" spans="2:5">
      <c r="B661" s="17">
        <v>43056</v>
      </c>
      <c r="D661" t="s">
        <v>1428</v>
      </c>
      <c r="E661">
        <v>269.90999999999997</v>
      </c>
    </row>
    <row r="662" spans="2:5">
      <c r="B662" s="17">
        <v>43056</v>
      </c>
      <c r="D662" t="s">
        <v>453</v>
      </c>
      <c r="E662">
        <v>291.16800000000001</v>
      </c>
    </row>
    <row r="663" spans="2:5">
      <c r="B663" s="17">
        <v>43056</v>
      </c>
      <c r="D663" t="s">
        <v>453</v>
      </c>
      <c r="E663">
        <v>288</v>
      </c>
    </row>
    <row r="664" spans="2:5">
      <c r="B664" s="17">
        <v>43056</v>
      </c>
      <c r="D664" t="s">
        <v>763</v>
      </c>
      <c r="E664">
        <v>270.33999999999997</v>
      </c>
    </row>
    <row r="665" spans="2:5">
      <c r="B665" s="17">
        <v>43056</v>
      </c>
      <c r="D665" t="s">
        <v>1411</v>
      </c>
      <c r="E665">
        <v>311.98</v>
      </c>
    </row>
    <row r="666" spans="2:5">
      <c r="B666" s="17">
        <v>43056</v>
      </c>
      <c r="D666" t="s">
        <v>431</v>
      </c>
      <c r="E666">
        <v>293.52</v>
      </c>
    </row>
    <row r="667" spans="2:5">
      <c r="B667" s="17">
        <v>43056</v>
      </c>
      <c r="D667" t="s">
        <v>431</v>
      </c>
      <c r="E667">
        <v>307.98</v>
      </c>
    </row>
    <row r="668" spans="2:5">
      <c r="B668" s="17">
        <v>43056</v>
      </c>
      <c r="D668" t="s">
        <v>1520</v>
      </c>
      <c r="E668">
        <v>239.80000000000004</v>
      </c>
    </row>
    <row r="669" spans="2:5">
      <c r="B669" s="17">
        <v>43056</v>
      </c>
      <c r="D669" t="s">
        <v>691</v>
      </c>
      <c r="E669">
        <v>263.96000000000004</v>
      </c>
    </row>
    <row r="670" spans="2:5">
      <c r="B670" s="17">
        <v>43056</v>
      </c>
      <c r="D670" t="s">
        <v>391</v>
      </c>
      <c r="E670">
        <v>307.13600000000002</v>
      </c>
    </row>
    <row r="671" spans="2:5">
      <c r="B671" s="17">
        <v>43056</v>
      </c>
      <c r="D671" t="s">
        <v>178</v>
      </c>
      <c r="E671">
        <v>204.6</v>
      </c>
    </row>
    <row r="672" spans="2:5">
      <c r="B672" s="17">
        <v>43056</v>
      </c>
      <c r="D672" t="s">
        <v>1281</v>
      </c>
      <c r="E672">
        <v>199.74</v>
      </c>
    </row>
    <row r="673" spans="2:5">
      <c r="B673" s="17">
        <v>43055</v>
      </c>
      <c r="D673" t="s">
        <v>1699</v>
      </c>
      <c r="E673">
        <v>294.36799999999999</v>
      </c>
    </row>
    <row r="674" spans="2:5">
      <c r="B674" s="17">
        <v>43055</v>
      </c>
      <c r="D674" t="s">
        <v>1664</v>
      </c>
      <c r="E674">
        <v>279.85999999999996</v>
      </c>
    </row>
    <row r="675" spans="2:5">
      <c r="B675" s="17">
        <v>43055</v>
      </c>
      <c r="D675" t="s">
        <v>1390</v>
      </c>
      <c r="E675">
        <v>199.76400000000001</v>
      </c>
    </row>
    <row r="676" spans="2:5">
      <c r="B676" s="17">
        <v>43055</v>
      </c>
      <c r="D676" t="s">
        <v>279</v>
      </c>
      <c r="E676">
        <v>209.96999999999997</v>
      </c>
    </row>
    <row r="677" spans="2:5">
      <c r="B677" s="17">
        <v>43055</v>
      </c>
      <c r="D677" t="s">
        <v>364</v>
      </c>
      <c r="E677">
        <v>269.49</v>
      </c>
    </row>
    <row r="678" spans="2:5">
      <c r="B678" s="17">
        <v>43055</v>
      </c>
      <c r="D678" t="s">
        <v>1163</v>
      </c>
      <c r="E678">
        <v>199.96</v>
      </c>
    </row>
    <row r="679" spans="2:5">
      <c r="B679" s="17">
        <v>43055</v>
      </c>
      <c r="D679" t="s">
        <v>926</v>
      </c>
      <c r="E679">
        <v>207.35</v>
      </c>
    </row>
    <row r="680" spans="2:5">
      <c r="B680" s="17">
        <v>43055</v>
      </c>
      <c r="D680" t="s">
        <v>1880</v>
      </c>
      <c r="E680">
        <v>209.7</v>
      </c>
    </row>
    <row r="681" spans="2:5">
      <c r="B681" s="17">
        <v>43055</v>
      </c>
      <c r="D681" t="s">
        <v>1235</v>
      </c>
      <c r="E681">
        <v>265.85999999999996</v>
      </c>
    </row>
    <row r="682" spans="2:5">
      <c r="B682" s="17">
        <v>43055</v>
      </c>
      <c r="D682" t="s">
        <v>1235</v>
      </c>
      <c r="E682">
        <v>210.68</v>
      </c>
    </row>
    <row r="683" spans="2:5">
      <c r="B683" s="17">
        <v>43055</v>
      </c>
      <c r="D683" t="s">
        <v>770</v>
      </c>
      <c r="E683">
        <v>209.6</v>
      </c>
    </row>
    <row r="684" spans="2:5">
      <c r="B684" s="17">
        <v>43055</v>
      </c>
      <c r="D684" t="s">
        <v>709</v>
      </c>
      <c r="E684">
        <v>278.82</v>
      </c>
    </row>
    <row r="685" spans="2:5">
      <c r="B685" s="17">
        <v>43055</v>
      </c>
      <c r="D685" t="s">
        <v>469</v>
      </c>
      <c r="E685">
        <v>271.76400000000001</v>
      </c>
    </row>
    <row r="686" spans="2:5">
      <c r="B686" s="17">
        <v>43055</v>
      </c>
      <c r="D686" t="s">
        <v>469</v>
      </c>
      <c r="E686">
        <v>337.98</v>
      </c>
    </row>
    <row r="687" spans="2:5">
      <c r="B687" s="17">
        <v>43055</v>
      </c>
      <c r="D687" t="s">
        <v>1805</v>
      </c>
      <c r="E687">
        <v>293.19900000000001</v>
      </c>
    </row>
    <row r="688" spans="2:5">
      <c r="B688" s="17">
        <v>43055</v>
      </c>
      <c r="D688" t="s">
        <v>1041</v>
      </c>
      <c r="E688">
        <v>279.89999999999998</v>
      </c>
    </row>
    <row r="689" spans="2:5">
      <c r="B689" s="17">
        <v>43055</v>
      </c>
      <c r="D689" t="s">
        <v>1337</v>
      </c>
      <c r="E689">
        <v>200.98400000000004</v>
      </c>
    </row>
    <row r="690" spans="2:5">
      <c r="B690" s="17">
        <v>43055</v>
      </c>
      <c r="D690" t="s">
        <v>1225</v>
      </c>
      <c r="E690">
        <v>238.15200000000004</v>
      </c>
    </row>
    <row r="691" spans="2:5">
      <c r="B691" s="17">
        <v>43054</v>
      </c>
      <c r="D691" t="s">
        <v>394</v>
      </c>
      <c r="E691">
        <v>239.976</v>
      </c>
    </row>
    <row r="692" spans="2:5">
      <c r="B692" s="17">
        <v>43054</v>
      </c>
      <c r="D692" t="s">
        <v>394</v>
      </c>
      <c r="E692">
        <v>307.666</v>
      </c>
    </row>
    <row r="693" spans="2:5">
      <c r="B693" s="17">
        <v>43053</v>
      </c>
      <c r="D693" t="s">
        <v>420</v>
      </c>
      <c r="E693">
        <v>284.36399999999998</v>
      </c>
    </row>
    <row r="694" spans="2:5">
      <c r="B694" s="17">
        <v>43053</v>
      </c>
      <c r="D694" t="s">
        <v>567</v>
      </c>
      <c r="E694">
        <v>251.91</v>
      </c>
    </row>
    <row r="695" spans="2:5">
      <c r="B695" s="17">
        <v>43053</v>
      </c>
      <c r="D695" t="s">
        <v>55</v>
      </c>
      <c r="E695">
        <v>252.8</v>
      </c>
    </row>
    <row r="696" spans="2:5">
      <c r="B696" s="17">
        <v>43053</v>
      </c>
      <c r="D696" t="s">
        <v>55</v>
      </c>
      <c r="E696">
        <v>313.024</v>
      </c>
    </row>
    <row r="697" spans="2:5">
      <c r="B697" s="17">
        <v>43053</v>
      </c>
      <c r="D697" t="s">
        <v>411</v>
      </c>
      <c r="E697">
        <v>254.35200000000003</v>
      </c>
    </row>
    <row r="698" spans="2:5">
      <c r="B698" s="17">
        <v>43053</v>
      </c>
      <c r="D698" t="s">
        <v>411</v>
      </c>
      <c r="E698">
        <v>301.46999999999997</v>
      </c>
    </row>
    <row r="699" spans="2:5">
      <c r="B699" s="17">
        <v>43053</v>
      </c>
      <c r="D699" t="s">
        <v>411</v>
      </c>
      <c r="E699">
        <v>323.10000000000002</v>
      </c>
    </row>
    <row r="700" spans="2:5">
      <c r="B700" s="17">
        <v>43053</v>
      </c>
      <c r="D700" t="s">
        <v>1404</v>
      </c>
      <c r="E700">
        <v>307.98</v>
      </c>
    </row>
    <row r="701" spans="2:5">
      <c r="B701" s="17">
        <v>43053</v>
      </c>
      <c r="D701" t="s">
        <v>949</v>
      </c>
      <c r="E701">
        <v>247.8</v>
      </c>
    </row>
    <row r="702" spans="2:5">
      <c r="B702" s="17">
        <v>43053</v>
      </c>
      <c r="D702" t="s">
        <v>393</v>
      </c>
      <c r="E702">
        <v>212.94</v>
      </c>
    </row>
    <row r="703" spans="2:5">
      <c r="B703" s="17">
        <v>43052</v>
      </c>
      <c r="D703" t="s">
        <v>196</v>
      </c>
      <c r="E703">
        <v>199.98</v>
      </c>
    </row>
    <row r="704" spans="2:5">
      <c r="B704" s="17">
        <v>43052</v>
      </c>
      <c r="D704" t="s">
        <v>196</v>
      </c>
      <c r="E704">
        <v>277.5</v>
      </c>
    </row>
    <row r="705" spans="2:5">
      <c r="B705" s="17">
        <v>43052</v>
      </c>
      <c r="D705" t="s">
        <v>703</v>
      </c>
      <c r="E705">
        <v>239.70000000000002</v>
      </c>
    </row>
    <row r="706" spans="2:5">
      <c r="B706" s="17">
        <v>43052</v>
      </c>
      <c r="D706" t="s">
        <v>665</v>
      </c>
      <c r="E706">
        <v>209.92999999999998</v>
      </c>
    </row>
    <row r="707" spans="2:5">
      <c r="B707" s="17">
        <v>43052</v>
      </c>
      <c r="D707" t="s">
        <v>221</v>
      </c>
      <c r="E707">
        <v>266.35200000000003</v>
      </c>
    </row>
    <row r="708" spans="2:5">
      <c r="B708" s="17">
        <v>43052</v>
      </c>
      <c r="D708" t="s">
        <v>1858</v>
      </c>
      <c r="E708">
        <v>279.85999999999996</v>
      </c>
    </row>
    <row r="709" spans="2:5">
      <c r="B709" s="17">
        <v>43052</v>
      </c>
      <c r="D709" t="s">
        <v>749</v>
      </c>
      <c r="E709">
        <v>231.92000000000002</v>
      </c>
    </row>
    <row r="710" spans="2:5">
      <c r="B710" s="17">
        <v>43052</v>
      </c>
      <c r="D710" t="s">
        <v>1451</v>
      </c>
      <c r="E710">
        <v>272.73599999999999</v>
      </c>
    </row>
    <row r="711" spans="2:5">
      <c r="B711" s="17">
        <v>43052</v>
      </c>
      <c r="D711" t="s">
        <v>1474</v>
      </c>
      <c r="E711">
        <v>307.16800000000001</v>
      </c>
    </row>
    <row r="712" spans="2:5">
      <c r="B712" s="17">
        <v>43052</v>
      </c>
      <c r="D712" t="s">
        <v>1474</v>
      </c>
      <c r="E712">
        <v>289.80000000000007</v>
      </c>
    </row>
    <row r="713" spans="2:5">
      <c r="B713" s="17">
        <v>43052</v>
      </c>
      <c r="D713" t="s">
        <v>522</v>
      </c>
      <c r="E713">
        <v>341.48799999999994</v>
      </c>
    </row>
    <row r="714" spans="2:5">
      <c r="B714" s="17">
        <v>43052</v>
      </c>
      <c r="D714" t="s">
        <v>522</v>
      </c>
      <c r="E714">
        <v>199.83600000000001</v>
      </c>
    </row>
    <row r="715" spans="2:5">
      <c r="B715" s="17">
        <v>43052</v>
      </c>
      <c r="D715" t="s">
        <v>313</v>
      </c>
      <c r="E715">
        <v>221.06</v>
      </c>
    </row>
    <row r="716" spans="2:5">
      <c r="B716" s="17">
        <v>43052</v>
      </c>
      <c r="D716" t="s">
        <v>470</v>
      </c>
      <c r="E716">
        <v>269.98199999999997</v>
      </c>
    </row>
    <row r="717" spans="2:5">
      <c r="B717" s="17">
        <v>43052</v>
      </c>
      <c r="D717" t="s">
        <v>860</v>
      </c>
      <c r="E717">
        <v>301.95999999999998</v>
      </c>
    </row>
    <row r="718" spans="2:5">
      <c r="B718" s="17">
        <v>43052</v>
      </c>
      <c r="D718" t="s">
        <v>157</v>
      </c>
      <c r="E718">
        <v>294.93</v>
      </c>
    </row>
    <row r="719" spans="2:5">
      <c r="B719" s="17">
        <v>43052</v>
      </c>
      <c r="D719" t="s">
        <v>157</v>
      </c>
      <c r="E719">
        <v>282.88800000000003</v>
      </c>
    </row>
    <row r="720" spans="2:5">
      <c r="B720" s="17">
        <v>43052</v>
      </c>
      <c r="D720" t="s">
        <v>1272</v>
      </c>
      <c r="E720">
        <v>269.98</v>
      </c>
    </row>
    <row r="721" spans="2:5">
      <c r="B721" s="17">
        <v>43052</v>
      </c>
      <c r="D721" t="s">
        <v>812</v>
      </c>
      <c r="E721">
        <v>332.94</v>
      </c>
    </row>
    <row r="722" spans="2:5">
      <c r="B722" s="17">
        <v>43052</v>
      </c>
      <c r="D722" t="s">
        <v>1353</v>
      </c>
      <c r="E722">
        <v>204.85</v>
      </c>
    </row>
    <row r="723" spans="2:5">
      <c r="B723" s="17">
        <v>43052</v>
      </c>
      <c r="D723" t="s">
        <v>1353</v>
      </c>
      <c r="E723">
        <v>304.23</v>
      </c>
    </row>
    <row r="724" spans="2:5">
      <c r="B724" s="17">
        <v>43052</v>
      </c>
      <c r="D724" t="s">
        <v>1143</v>
      </c>
      <c r="E724">
        <v>201.56800000000001</v>
      </c>
    </row>
    <row r="725" spans="2:5">
      <c r="B725" s="17">
        <v>43051</v>
      </c>
      <c r="D725" t="s">
        <v>1143</v>
      </c>
      <c r="E725">
        <v>217.58400000000003</v>
      </c>
    </row>
    <row r="726" spans="2:5">
      <c r="B726" s="17">
        <v>43051</v>
      </c>
      <c r="D726" t="s">
        <v>664</v>
      </c>
      <c r="E726">
        <v>257.64</v>
      </c>
    </row>
    <row r="727" spans="2:5">
      <c r="B727" s="17">
        <v>43051</v>
      </c>
      <c r="D727" t="s">
        <v>1151</v>
      </c>
      <c r="E727">
        <v>319.98400000000004</v>
      </c>
    </row>
    <row r="728" spans="2:5">
      <c r="B728" s="17">
        <v>43051</v>
      </c>
      <c r="D728" t="s">
        <v>1566</v>
      </c>
      <c r="E728">
        <v>228.92</v>
      </c>
    </row>
    <row r="729" spans="2:5">
      <c r="B729" s="17">
        <v>43051</v>
      </c>
      <c r="D729" t="s">
        <v>1331</v>
      </c>
      <c r="E729">
        <v>225.57599999999996</v>
      </c>
    </row>
    <row r="730" spans="2:5">
      <c r="B730" s="17">
        <v>43051</v>
      </c>
      <c r="D730" t="s">
        <v>50</v>
      </c>
      <c r="E730">
        <v>249.58400000000003</v>
      </c>
    </row>
    <row r="731" spans="2:5">
      <c r="B731" s="17">
        <v>43051</v>
      </c>
      <c r="D731" t="s">
        <v>652</v>
      </c>
      <c r="E731">
        <v>299.98</v>
      </c>
    </row>
    <row r="732" spans="2:5">
      <c r="B732" s="17">
        <v>43051</v>
      </c>
      <c r="D732" t="s">
        <v>1040</v>
      </c>
      <c r="E732">
        <v>323.10000000000002</v>
      </c>
    </row>
    <row r="733" spans="2:5">
      <c r="B733" s="17">
        <v>43051</v>
      </c>
      <c r="D733" t="s">
        <v>596</v>
      </c>
      <c r="E733">
        <v>274.8</v>
      </c>
    </row>
    <row r="734" spans="2:5">
      <c r="B734" s="17">
        <v>43051</v>
      </c>
      <c r="D734" t="s">
        <v>596</v>
      </c>
      <c r="E734">
        <v>239.96999999999997</v>
      </c>
    </row>
    <row r="735" spans="2:5">
      <c r="B735" s="17">
        <v>43051</v>
      </c>
      <c r="D735" t="s">
        <v>960</v>
      </c>
      <c r="E735">
        <v>317.05799999999999</v>
      </c>
    </row>
    <row r="736" spans="2:5">
      <c r="B736" s="17">
        <v>43051</v>
      </c>
      <c r="D736" t="s">
        <v>1725</v>
      </c>
      <c r="E736">
        <v>207.98400000000004</v>
      </c>
    </row>
    <row r="737" spans="2:5">
      <c r="B737" s="17">
        <v>43051</v>
      </c>
      <c r="D737" t="s">
        <v>847</v>
      </c>
      <c r="E737">
        <v>255.96799999999999</v>
      </c>
    </row>
    <row r="738" spans="2:5">
      <c r="B738" s="17">
        <v>43051</v>
      </c>
      <c r="D738" t="s">
        <v>195</v>
      </c>
      <c r="E738">
        <v>200.98400000000004</v>
      </c>
    </row>
    <row r="739" spans="2:5">
      <c r="B739" s="17">
        <v>43051</v>
      </c>
      <c r="D739" t="s">
        <v>428</v>
      </c>
      <c r="E739">
        <v>222.38400000000001</v>
      </c>
    </row>
    <row r="740" spans="2:5">
      <c r="B740" s="17">
        <v>43051</v>
      </c>
      <c r="D740" t="s">
        <v>1294</v>
      </c>
      <c r="E740">
        <v>201.584</v>
      </c>
    </row>
    <row r="741" spans="2:5">
      <c r="B741" s="17">
        <v>43051</v>
      </c>
      <c r="D741" t="s">
        <v>379</v>
      </c>
      <c r="E741">
        <v>244.00599999999997</v>
      </c>
    </row>
    <row r="742" spans="2:5">
      <c r="B742" s="17">
        <v>43051</v>
      </c>
      <c r="D742" t="s">
        <v>549</v>
      </c>
      <c r="E742">
        <v>339.96</v>
      </c>
    </row>
    <row r="743" spans="2:5">
      <c r="B743" s="17">
        <v>43051</v>
      </c>
      <c r="D743" t="s">
        <v>777</v>
      </c>
      <c r="E743">
        <v>213.11499999999998</v>
      </c>
    </row>
    <row r="744" spans="2:5">
      <c r="B744" s="17">
        <v>43051</v>
      </c>
      <c r="D744" t="s">
        <v>524</v>
      </c>
      <c r="E744">
        <v>209.5</v>
      </c>
    </row>
    <row r="745" spans="2:5">
      <c r="B745" s="17">
        <v>43051</v>
      </c>
      <c r="D745" t="s">
        <v>1892</v>
      </c>
      <c r="E745">
        <v>311.97600000000006</v>
      </c>
    </row>
    <row r="746" spans="2:5">
      <c r="B746" s="17">
        <v>43051</v>
      </c>
      <c r="D746" t="s">
        <v>1020</v>
      </c>
      <c r="E746">
        <v>206.43</v>
      </c>
    </row>
    <row r="747" spans="2:5">
      <c r="B747" s="17">
        <v>43051</v>
      </c>
      <c r="D747" t="s">
        <v>1020</v>
      </c>
      <c r="E747">
        <v>272.39999999999998</v>
      </c>
    </row>
    <row r="748" spans="2:5">
      <c r="B748" s="17">
        <v>43051</v>
      </c>
      <c r="D748" t="s">
        <v>1020</v>
      </c>
      <c r="E748">
        <v>221.024</v>
      </c>
    </row>
    <row r="749" spans="2:5">
      <c r="B749" s="17">
        <v>43051</v>
      </c>
      <c r="D749" t="s">
        <v>745</v>
      </c>
      <c r="E749">
        <v>209.88</v>
      </c>
    </row>
    <row r="750" spans="2:5">
      <c r="B750" s="17">
        <v>43051</v>
      </c>
      <c r="D750" t="s">
        <v>745</v>
      </c>
      <c r="E750">
        <v>287.96999999999997</v>
      </c>
    </row>
    <row r="751" spans="2:5">
      <c r="B751" s="17">
        <v>43051</v>
      </c>
      <c r="D751" t="s">
        <v>536</v>
      </c>
      <c r="E751">
        <v>310.39199999999994</v>
      </c>
    </row>
    <row r="752" spans="2:5">
      <c r="B752" s="17">
        <v>43051</v>
      </c>
      <c r="D752" t="s">
        <v>214</v>
      </c>
      <c r="E752">
        <v>244.768</v>
      </c>
    </row>
    <row r="753" spans="2:5">
      <c r="B753" s="17">
        <v>43051</v>
      </c>
      <c r="D753" t="s">
        <v>550</v>
      </c>
      <c r="E753">
        <v>323.37</v>
      </c>
    </row>
    <row r="754" spans="2:5">
      <c r="B754" s="17">
        <v>43051</v>
      </c>
      <c r="D754" t="s">
        <v>539</v>
      </c>
      <c r="E754">
        <v>199.96</v>
      </c>
    </row>
    <row r="755" spans="2:5">
      <c r="B755" s="17">
        <v>43050</v>
      </c>
      <c r="D755" t="s">
        <v>1610</v>
      </c>
      <c r="E755">
        <v>258.57600000000002</v>
      </c>
    </row>
    <row r="756" spans="2:5">
      <c r="B756" s="17">
        <v>43050</v>
      </c>
      <c r="D756" t="s">
        <v>438</v>
      </c>
      <c r="E756">
        <v>241.56799999999998</v>
      </c>
    </row>
    <row r="757" spans="2:5">
      <c r="B757" s="17">
        <v>43050</v>
      </c>
      <c r="D757" t="s">
        <v>1460</v>
      </c>
      <c r="E757">
        <v>211.37199999999999</v>
      </c>
    </row>
    <row r="758" spans="2:5">
      <c r="B758" s="17">
        <v>43050</v>
      </c>
      <c r="D758" t="s">
        <v>1752</v>
      </c>
      <c r="E758">
        <v>239.976</v>
      </c>
    </row>
    <row r="759" spans="2:5">
      <c r="B759" s="17">
        <v>43050</v>
      </c>
      <c r="D759" t="s">
        <v>1379</v>
      </c>
      <c r="E759">
        <v>239.94</v>
      </c>
    </row>
    <row r="760" spans="2:5">
      <c r="B760" s="17">
        <v>43050</v>
      </c>
      <c r="D760" t="s">
        <v>1574</v>
      </c>
      <c r="E760">
        <v>212.64</v>
      </c>
    </row>
    <row r="761" spans="2:5">
      <c r="B761" s="17">
        <v>43050</v>
      </c>
      <c r="D761" t="s">
        <v>810</v>
      </c>
      <c r="E761">
        <v>239.96999999999997</v>
      </c>
    </row>
    <row r="762" spans="2:5">
      <c r="B762" s="17">
        <v>43050</v>
      </c>
      <c r="D762" t="s">
        <v>163</v>
      </c>
      <c r="E762">
        <v>295.45600000000002</v>
      </c>
    </row>
    <row r="763" spans="2:5">
      <c r="B763" s="17">
        <v>43050</v>
      </c>
      <c r="D763" t="s">
        <v>721</v>
      </c>
      <c r="E763">
        <v>199.98</v>
      </c>
    </row>
    <row r="764" spans="2:5">
      <c r="B764" s="17">
        <v>43050</v>
      </c>
      <c r="D764" t="s">
        <v>721</v>
      </c>
      <c r="E764">
        <v>209.7</v>
      </c>
    </row>
    <row r="765" spans="2:5">
      <c r="B765" s="17">
        <v>43050</v>
      </c>
      <c r="D765" t="s">
        <v>676</v>
      </c>
      <c r="E765">
        <v>327.76</v>
      </c>
    </row>
    <row r="766" spans="2:5">
      <c r="B766" s="17">
        <v>43050</v>
      </c>
      <c r="D766" t="s">
        <v>1086</v>
      </c>
      <c r="E766">
        <v>286.78999999999996</v>
      </c>
    </row>
    <row r="767" spans="2:5">
      <c r="B767" s="17">
        <v>43050</v>
      </c>
      <c r="D767" t="s">
        <v>1686</v>
      </c>
      <c r="E767">
        <v>323.98199999999997</v>
      </c>
    </row>
    <row r="768" spans="2:5">
      <c r="B768" s="17">
        <v>43050</v>
      </c>
      <c r="D768" t="s">
        <v>188</v>
      </c>
      <c r="E768">
        <v>203.92</v>
      </c>
    </row>
    <row r="769" spans="2:5">
      <c r="B769" s="17">
        <v>43050</v>
      </c>
      <c r="D769" t="s">
        <v>1302</v>
      </c>
      <c r="E769">
        <v>311.14999999999998</v>
      </c>
    </row>
    <row r="770" spans="2:5">
      <c r="B770" s="17">
        <v>43049</v>
      </c>
      <c r="D770" t="s">
        <v>1777</v>
      </c>
      <c r="E770">
        <v>283.92</v>
      </c>
    </row>
    <row r="771" spans="2:5">
      <c r="B771" s="17">
        <v>43049</v>
      </c>
      <c r="D771" t="s">
        <v>399</v>
      </c>
      <c r="E771">
        <v>227.35999999999999</v>
      </c>
    </row>
    <row r="772" spans="2:5">
      <c r="B772" s="17">
        <v>43049</v>
      </c>
      <c r="D772" t="s">
        <v>1438</v>
      </c>
      <c r="E772">
        <v>199.304</v>
      </c>
    </row>
    <row r="773" spans="2:5">
      <c r="B773" s="17">
        <v>43049</v>
      </c>
      <c r="D773" t="s">
        <v>1438</v>
      </c>
      <c r="E773">
        <v>254.74400000000003</v>
      </c>
    </row>
    <row r="774" spans="2:5">
      <c r="B774" s="17">
        <v>43049</v>
      </c>
      <c r="D774" t="s">
        <v>927</v>
      </c>
      <c r="E774">
        <v>235.18799999999999</v>
      </c>
    </row>
    <row r="775" spans="2:5">
      <c r="B775" s="17">
        <v>43049</v>
      </c>
      <c r="D775" t="s">
        <v>597</v>
      </c>
      <c r="E775">
        <v>341.96</v>
      </c>
    </row>
    <row r="776" spans="2:5">
      <c r="B776" s="17">
        <v>43049</v>
      </c>
      <c r="D776" t="s">
        <v>1804</v>
      </c>
      <c r="E776">
        <v>217.58400000000003</v>
      </c>
    </row>
    <row r="777" spans="2:5">
      <c r="B777" s="17">
        <v>43049</v>
      </c>
      <c r="D777" t="s">
        <v>79</v>
      </c>
      <c r="E777">
        <v>328.77600000000007</v>
      </c>
    </row>
    <row r="778" spans="2:5">
      <c r="B778" s="17">
        <v>43049</v>
      </c>
      <c r="D778" t="s">
        <v>79</v>
      </c>
      <c r="E778">
        <v>251.96399999999994</v>
      </c>
    </row>
    <row r="779" spans="2:5">
      <c r="B779" s="17">
        <v>43049</v>
      </c>
      <c r="D779" t="s">
        <v>79</v>
      </c>
      <c r="E779">
        <v>274.77</v>
      </c>
    </row>
    <row r="780" spans="2:5">
      <c r="B780" s="17">
        <v>43049</v>
      </c>
      <c r="D780" t="s">
        <v>79</v>
      </c>
      <c r="E780">
        <v>319.96800000000002</v>
      </c>
    </row>
    <row r="781" spans="2:5">
      <c r="B781" s="17">
        <v>43049</v>
      </c>
      <c r="D781" t="s">
        <v>79</v>
      </c>
      <c r="E781">
        <v>230.28000000000003</v>
      </c>
    </row>
    <row r="782" spans="2:5">
      <c r="B782" s="17">
        <v>43049</v>
      </c>
      <c r="D782" t="s">
        <v>484</v>
      </c>
      <c r="E782">
        <v>300.416</v>
      </c>
    </row>
    <row r="783" spans="2:5">
      <c r="B783" s="17">
        <v>43049</v>
      </c>
      <c r="D783" t="s">
        <v>484</v>
      </c>
      <c r="E783">
        <v>230.35200000000003</v>
      </c>
    </row>
    <row r="784" spans="2:5">
      <c r="B784" s="17">
        <v>43049</v>
      </c>
      <c r="D784" t="s">
        <v>484</v>
      </c>
      <c r="E784">
        <v>218.35200000000003</v>
      </c>
    </row>
    <row r="785" spans="2:5">
      <c r="B785" s="17">
        <v>43048</v>
      </c>
      <c r="D785" t="s">
        <v>484</v>
      </c>
      <c r="E785">
        <v>227.13600000000002</v>
      </c>
    </row>
    <row r="786" spans="2:5">
      <c r="B786" s="17">
        <v>43048</v>
      </c>
      <c r="D786" t="s">
        <v>98</v>
      </c>
      <c r="E786">
        <v>292.27200000000005</v>
      </c>
    </row>
    <row r="787" spans="2:5">
      <c r="B787" s="17">
        <v>43048</v>
      </c>
      <c r="D787" t="s">
        <v>292</v>
      </c>
      <c r="E787">
        <v>207.24</v>
      </c>
    </row>
    <row r="788" spans="2:5">
      <c r="B788" s="17">
        <v>43048</v>
      </c>
      <c r="D788" t="s">
        <v>292</v>
      </c>
      <c r="E788">
        <v>216.4</v>
      </c>
    </row>
    <row r="789" spans="2:5">
      <c r="B789" s="17">
        <v>43048</v>
      </c>
      <c r="D789" t="s">
        <v>292</v>
      </c>
      <c r="E789">
        <v>296.71200000000005</v>
      </c>
    </row>
    <row r="790" spans="2:5">
      <c r="B790" s="17">
        <v>43048</v>
      </c>
      <c r="D790" t="s">
        <v>74</v>
      </c>
      <c r="E790">
        <v>242.35200000000003</v>
      </c>
    </row>
    <row r="791" spans="2:5">
      <c r="B791" s="17">
        <v>43048</v>
      </c>
      <c r="D791" t="s">
        <v>74</v>
      </c>
      <c r="E791">
        <v>221.92000000000002</v>
      </c>
    </row>
    <row r="792" spans="2:5">
      <c r="B792" s="17">
        <v>43048</v>
      </c>
      <c r="D792" t="s">
        <v>74</v>
      </c>
      <c r="E792">
        <v>247.8</v>
      </c>
    </row>
    <row r="793" spans="2:5">
      <c r="B793" s="17">
        <v>43048</v>
      </c>
      <c r="D793" t="s">
        <v>74</v>
      </c>
      <c r="E793">
        <v>211.16800000000001</v>
      </c>
    </row>
    <row r="794" spans="2:5">
      <c r="B794" s="17">
        <v>43048</v>
      </c>
      <c r="D794" t="s">
        <v>74</v>
      </c>
      <c r="E794">
        <v>323.97600000000006</v>
      </c>
    </row>
    <row r="795" spans="2:5">
      <c r="B795" s="17">
        <v>43048</v>
      </c>
      <c r="D795" t="s">
        <v>74</v>
      </c>
      <c r="E795">
        <v>241.56799999999998</v>
      </c>
    </row>
    <row r="796" spans="2:5">
      <c r="B796" s="17">
        <v>43048</v>
      </c>
      <c r="D796" t="s">
        <v>74</v>
      </c>
      <c r="E796">
        <v>319.96800000000002</v>
      </c>
    </row>
    <row r="797" spans="2:5">
      <c r="B797" s="17">
        <v>43047</v>
      </c>
      <c r="D797" t="s">
        <v>127</v>
      </c>
      <c r="E797">
        <v>263.95999999999998</v>
      </c>
    </row>
    <row r="798" spans="2:5">
      <c r="B798" s="17">
        <v>43047</v>
      </c>
      <c r="D798" t="s">
        <v>127</v>
      </c>
      <c r="E798">
        <v>254.97449999999998</v>
      </c>
    </row>
    <row r="799" spans="2:5">
      <c r="B799" s="17">
        <v>43046</v>
      </c>
      <c r="D799" t="s">
        <v>127</v>
      </c>
      <c r="E799">
        <v>210.39199999999997</v>
      </c>
    </row>
    <row r="800" spans="2:5">
      <c r="B800" s="17">
        <v>43046</v>
      </c>
      <c r="D800" t="s">
        <v>1793</v>
      </c>
      <c r="E800">
        <v>338.35199999999998</v>
      </c>
    </row>
    <row r="801" spans="2:5">
      <c r="B801" s="17">
        <v>43046</v>
      </c>
      <c r="D801" t="s">
        <v>912</v>
      </c>
      <c r="E801">
        <v>237.09600000000003</v>
      </c>
    </row>
    <row r="802" spans="2:5">
      <c r="B802" s="17">
        <v>43046</v>
      </c>
      <c r="D802" t="s">
        <v>1876</v>
      </c>
      <c r="E802">
        <v>269.35999999999996</v>
      </c>
    </row>
    <row r="803" spans="2:5">
      <c r="B803" s="17">
        <v>43046</v>
      </c>
      <c r="D803" t="s">
        <v>1766</v>
      </c>
      <c r="E803">
        <v>275.49</v>
      </c>
    </row>
    <row r="804" spans="2:5">
      <c r="B804" s="17">
        <v>43046</v>
      </c>
      <c r="D804" t="s">
        <v>1581</v>
      </c>
      <c r="E804">
        <v>214.95000000000002</v>
      </c>
    </row>
    <row r="805" spans="2:5">
      <c r="B805" s="17">
        <v>43046</v>
      </c>
      <c r="D805" t="s">
        <v>531</v>
      </c>
      <c r="E805">
        <v>250.26</v>
      </c>
    </row>
    <row r="806" spans="2:5">
      <c r="B806" s="17">
        <v>43046</v>
      </c>
      <c r="D806" t="s">
        <v>1340</v>
      </c>
      <c r="E806">
        <v>239.84</v>
      </c>
    </row>
    <row r="807" spans="2:5">
      <c r="B807" s="17">
        <v>43046</v>
      </c>
      <c r="D807" t="s">
        <v>120</v>
      </c>
      <c r="E807">
        <v>271.89999999999998</v>
      </c>
    </row>
    <row r="808" spans="2:5">
      <c r="B808" s="17">
        <v>43046</v>
      </c>
      <c r="D808" t="s">
        <v>598</v>
      </c>
      <c r="E808">
        <v>199.89999999999998</v>
      </c>
    </row>
    <row r="809" spans="2:5">
      <c r="B809" s="17">
        <v>43045</v>
      </c>
      <c r="D809" t="s">
        <v>1323</v>
      </c>
      <c r="E809">
        <v>279.95999999999998</v>
      </c>
    </row>
    <row r="810" spans="2:5">
      <c r="B810" s="17">
        <v>43045</v>
      </c>
      <c r="D810" t="s">
        <v>105</v>
      </c>
      <c r="E810">
        <v>320.88</v>
      </c>
    </row>
    <row r="811" spans="2:5">
      <c r="B811" s="17">
        <v>43045</v>
      </c>
      <c r="D811" t="s">
        <v>1425</v>
      </c>
      <c r="E811">
        <v>275.952</v>
      </c>
    </row>
    <row r="812" spans="2:5">
      <c r="B812" s="17">
        <v>43045</v>
      </c>
      <c r="D812" t="s">
        <v>588</v>
      </c>
      <c r="E812">
        <v>319.89999999999998</v>
      </c>
    </row>
    <row r="813" spans="2:5">
      <c r="B813" s="17">
        <v>43045</v>
      </c>
      <c r="D813" t="s">
        <v>384</v>
      </c>
      <c r="E813">
        <v>267.95999999999998</v>
      </c>
    </row>
    <row r="814" spans="2:5">
      <c r="B814" s="17">
        <v>43045</v>
      </c>
      <c r="D814" t="s">
        <v>95</v>
      </c>
      <c r="E814">
        <v>213.08</v>
      </c>
    </row>
    <row r="815" spans="2:5">
      <c r="B815" s="17">
        <v>43045</v>
      </c>
      <c r="D815" t="s">
        <v>95</v>
      </c>
      <c r="E815">
        <v>221.16</v>
      </c>
    </row>
    <row r="816" spans="2:5">
      <c r="B816" s="17">
        <v>43045</v>
      </c>
      <c r="D816" t="s">
        <v>634</v>
      </c>
      <c r="E816">
        <v>281.96999999999997</v>
      </c>
    </row>
    <row r="817" spans="2:5">
      <c r="B817" s="17">
        <v>43045</v>
      </c>
      <c r="D817" t="s">
        <v>1409</v>
      </c>
      <c r="E817">
        <v>292.10000000000002</v>
      </c>
    </row>
    <row r="818" spans="2:5">
      <c r="B818" s="17">
        <v>43045</v>
      </c>
      <c r="D818" t="s">
        <v>568</v>
      </c>
      <c r="E818">
        <v>241.44</v>
      </c>
    </row>
    <row r="819" spans="2:5">
      <c r="B819" s="17">
        <v>43045</v>
      </c>
      <c r="D819" t="s">
        <v>72</v>
      </c>
      <c r="E819">
        <v>273.95999999999998</v>
      </c>
    </row>
    <row r="820" spans="2:5">
      <c r="B820" s="17">
        <v>43045</v>
      </c>
      <c r="D820" t="s">
        <v>579</v>
      </c>
      <c r="E820">
        <v>305.97449999999998</v>
      </c>
    </row>
    <row r="821" spans="2:5">
      <c r="B821" s="17">
        <v>43045</v>
      </c>
      <c r="D821" t="s">
        <v>579</v>
      </c>
      <c r="E821">
        <v>333.05600000000004</v>
      </c>
    </row>
    <row r="822" spans="2:5">
      <c r="B822" s="17">
        <v>43045</v>
      </c>
      <c r="D822" t="s">
        <v>148</v>
      </c>
      <c r="E822">
        <v>262.33600000000001</v>
      </c>
    </row>
    <row r="823" spans="2:5">
      <c r="B823" s="17">
        <v>43045</v>
      </c>
      <c r="D823" t="s">
        <v>148</v>
      </c>
      <c r="E823">
        <v>241.17599999999999</v>
      </c>
    </row>
    <row r="824" spans="2:5">
      <c r="B824" s="17">
        <v>43045</v>
      </c>
      <c r="D824" t="s">
        <v>784</v>
      </c>
      <c r="E824">
        <v>223.92</v>
      </c>
    </row>
    <row r="825" spans="2:5">
      <c r="B825" s="17">
        <v>43045</v>
      </c>
      <c r="D825" t="s">
        <v>262</v>
      </c>
      <c r="E825">
        <v>340.92</v>
      </c>
    </row>
    <row r="826" spans="2:5">
      <c r="B826" s="17">
        <v>43045</v>
      </c>
      <c r="D826" t="s">
        <v>262</v>
      </c>
      <c r="E826">
        <v>222.66599999999997</v>
      </c>
    </row>
    <row r="827" spans="2:5">
      <c r="B827" s="17">
        <v>43045</v>
      </c>
      <c r="D827" t="s">
        <v>945</v>
      </c>
      <c r="E827">
        <v>333.57600000000002</v>
      </c>
    </row>
    <row r="828" spans="2:5">
      <c r="B828" s="17">
        <v>43045</v>
      </c>
      <c r="D828" t="s">
        <v>631</v>
      </c>
      <c r="E828">
        <v>245.88</v>
      </c>
    </row>
    <row r="829" spans="2:5">
      <c r="B829" s="17">
        <v>43045</v>
      </c>
      <c r="D829" t="s">
        <v>1239</v>
      </c>
      <c r="E829">
        <v>273.56799999999998</v>
      </c>
    </row>
    <row r="830" spans="2:5">
      <c r="B830" s="17">
        <v>43045</v>
      </c>
      <c r="D830" t="s">
        <v>1422</v>
      </c>
      <c r="E830">
        <v>275.94</v>
      </c>
    </row>
    <row r="831" spans="2:5">
      <c r="B831" s="17">
        <v>43045</v>
      </c>
      <c r="D831" t="s">
        <v>1625</v>
      </c>
      <c r="E831">
        <v>286.34400000000005</v>
      </c>
    </row>
    <row r="832" spans="2:5">
      <c r="B832" s="17">
        <v>43045</v>
      </c>
      <c r="D832" t="s">
        <v>1548</v>
      </c>
      <c r="E832">
        <v>251.91</v>
      </c>
    </row>
    <row r="833" spans="2:5">
      <c r="B833" s="17">
        <v>43045</v>
      </c>
      <c r="D833" t="s">
        <v>85</v>
      </c>
      <c r="E833">
        <v>257.98</v>
      </c>
    </row>
    <row r="834" spans="2:5">
      <c r="B834" s="17">
        <v>43045</v>
      </c>
      <c r="D834" t="s">
        <v>1614</v>
      </c>
      <c r="E834">
        <v>211.96</v>
      </c>
    </row>
    <row r="835" spans="2:5">
      <c r="B835" s="17">
        <v>43045</v>
      </c>
      <c r="D835" t="s">
        <v>1614</v>
      </c>
      <c r="E835">
        <v>328.59000000000003</v>
      </c>
    </row>
    <row r="836" spans="2:5">
      <c r="B836" s="17">
        <v>43044</v>
      </c>
      <c r="D836" t="s">
        <v>1614</v>
      </c>
      <c r="E836">
        <v>319.96800000000002</v>
      </c>
    </row>
    <row r="837" spans="2:5">
      <c r="B837" s="17">
        <v>43044</v>
      </c>
      <c r="D837" t="s">
        <v>572</v>
      </c>
      <c r="E837">
        <v>321.55200000000002</v>
      </c>
    </row>
    <row r="838" spans="2:5">
      <c r="B838" s="17">
        <v>43044</v>
      </c>
      <c r="D838" t="s">
        <v>572</v>
      </c>
      <c r="E838">
        <v>275.96999999999997</v>
      </c>
    </row>
    <row r="839" spans="2:5">
      <c r="B839" s="17">
        <v>43044</v>
      </c>
      <c r="D839" t="s">
        <v>544</v>
      </c>
      <c r="E839">
        <v>269.89999999999998</v>
      </c>
    </row>
    <row r="840" spans="2:5">
      <c r="B840" s="17">
        <v>43044</v>
      </c>
      <c r="D840" t="s">
        <v>1256</v>
      </c>
      <c r="E840">
        <v>322.19200000000001</v>
      </c>
    </row>
    <row r="841" spans="2:5">
      <c r="B841" s="17">
        <v>43044</v>
      </c>
      <c r="D841" t="s">
        <v>1135</v>
      </c>
      <c r="E841">
        <v>213.92</v>
      </c>
    </row>
    <row r="842" spans="2:5">
      <c r="B842" s="17">
        <v>43044</v>
      </c>
      <c r="D842" t="s">
        <v>1135</v>
      </c>
      <c r="E842">
        <v>245.98</v>
      </c>
    </row>
    <row r="843" spans="2:5">
      <c r="B843" s="17">
        <v>43044</v>
      </c>
      <c r="D843" t="s">
        <v>1249</v>
      </c>
      <c r="E843">
        <v>315.2</v>
      </c>
    </row>
    <row r="844" spans="2:5">
      <c r="B844" s="17">
        <v>43044</v>
      </c>
      <c r="D844" t="s">
        <v>573</v>
      </c>
      <c r="E844">
        <v>281.904</v>
      </c>
    </row>
    <row r="845" spans="2:5">
      <c r="B845" s="17">
        <v>43044</v>
      </c>
      <c r="D845" t="s">
        <v>573</v>
      </c>
      <c r="E845">
        <v>201.43200000000002</v>
      </c>
    </row>
    <row r="846" spans="2:5">
      <c r="B846" s="17">
        <v>43044</v>
      </c>
      <c r="D846" t="s">
        <v>990</v>
      </c>
      <c r="E846">
        <v>255.84999999999997</v>
      </c>
    </row>
    <row r="847" spans="2:5">
      <c r="B847" s="17">
        <v>43044</v>
      </c>
      <c r="D847" t="s">
        <v>794</v>
      </c>
      <c r="E847">
        <v>258.279</v>
      </c>
    </row>
    <row r="848" spans="2:5">
      <c r="B848" s="17">
        <v>43044</v>
      </c>
      <c r="D848" t="s">
        <v>406</v>
      </c>
      <c r="E848">
        <v>318.40000000000003</v>
      </c>
    </row>
    <row r="849" spans="2:5">
      <c r="B849" s="17">
        <v>43044</v>
      </c>
      <c r="D849" t="s">
        <v>406</v>
      </c>
      <c r="E849">
        <v>230.376</v>
      </c>
    </row>
    <row r="850" spans="2:5">
      <c r="B850" s="17">
        <v>43044</v>
      </c>
      <c r="D850" t="s">
        <v>339</v>
      </c>
      <c r="E850">
        <v>204.6</v>
      </c>
    </row>
    <row r="851" spans="2:5">
      <c r="B851" s="17">
        <v>43044</v>
      </c>
      <c r="D851" t="s">
        <v>1364</v>
      </c>
      <c r="E851">
        <v>337.08800000000002</v>
      </c>
    </row>
    <row r="852" spans="2:5">
      <c r="B852" s="17">
        <v>43044</v>
      </c>
      <c r="D852" t="s">
        <v>1099</v>
      </c>
      <c r="E852">
        <v>310.12</v>
      </c>
    </row>
    <row r="853" spans="2:5">
      <c r="B853" s="17">
        <v>43044</v>
      </c>
      <c r="D853" t="s">
        <v>825</v>
      </c>
      <c r="E853">
        <v>300.53279999999995</v>
      </c>
    </row>
    <row r="854" spans="2:5">
      <c r="B854" s="17">
        <v>43043</v>
      </c>
      <c r="D854" t="s">
        <v>307</v>
      </c>
      <c r="E854">
        <v>211.96</v>
      </c>
    </row>
    <row r="855" spans="2:5">
      <c r="B855" s="17">
        <v>43043</v>
      </c>
      <c r="D855" t="s">
        <v>117</v>
      </c>
      <c r="E855">
        <v>331.536</v>
      </c>
    </row>
    <row r="856" spans="2:5">
      <c r="B856" s="17">
        <v>43043</v>
      </c>
      <c r="D856" t="s">
        <v>1003</v>
      </c>
      <c r="E856">
        <v>246.38400000000001</v>
      </c>
    </row>
    <row r="857" spans="2:5">
      <c r="B857" s="17">
        <v>43043</v>
      </c>
      <c r="D857" t="s">
        <v>1000</v>
      </c>
      <c r="E857">
        <v>239.98400000000004</v>
      </c>
    </row>
    <row r="858" spans="2:5">
      <c r="B858" s="17">
        <v>43043</v>
      </c>
      <c r="D858" t="s">
        <v>628</v>
      </c>
      <c r="E858">
        <v>287.96999999999997</v>
      </c>
    </row>
    <row r="859" spans="2:5">
      <c r="B859" s="17">
        <v>43043</v>
      </c>
      <c r="D859" t="s">
        <v>1767</v>
      </c>
      <c r="E859">
        <v>252.00000000000003</v>
      </c>
    </row>
    <row r="860" spans="2:5">
      <c r="B860" s="17">
        <v>43043</v>
      </c>
      <c r="D860" t="s">
        <v>1267</v>
      </c>
      <c r="E860">
        <v>340.11599999999999</v>
      </c>
    </row>
    <row r="861" spans="2:5">
      <c r="B861" s="17">
        <v>43043</v>
      </c>
      <c r="D861" t="s">
        <v>1199</v>
      </c>
      <c r="E861">
        <v>199.98</v>
      </c>
    </row>
    <row r="862" spans="2:5">
      <c r="B862" s="17">
        <v>43043</v>
      </c>
      <c r="D862" t="s">
        <v>739</v>
      </c>
      <c r="E862">
        <v>331.96</v>
      </c>
    </row>
    <row r="863" spans="2:5">
      <c r="B863" s="17">
        <v>43043</v>
      </c>
      <c r="D863" t="s">
        <v>1260</v>
      </c>
      <c r="E863">
        <v>254.89999999999998</v>
      </c>
    </row>
    <row r="864" spans="2:5">
      <c r="B864" s="17">
        <v>43043</v>
      </c>
      <c r="D864" t="s">
        <v>107</v>
      </c>
      <c r="E864">
        <v>275.928</v>
      </c>
    </row>
    <row r="865" spans="2:5">
      <c r="B865" s="17">
        <v>43043</v>
      </c>
      <c r="D865" t="s">
        <v>626</v>
      </c>
      <c r="E865">
        <v>209.96999999999997</v>
      </c>
    </row>
    <row r="866" spans="2:5">
      <c r="B866" s="17">
        <v>43043</v>
      </c>
      <c r="D866" t="s">
        <v>626</v>
      </c>
      <c r="E866">
        <v>303.83999999999997</v>
      </c>
    </row>
    <row r="867" spans="2:5">
      <c r="B867" s="17">
        <v>43043</v>
      </c>
      <c r="D867" t="s">
        <v>68</v>
      </c>
      <c r="E867">
        <v>200.79500000000002</v>
      </c>
    </row>
    <row r="868" spans="2:5">
      <c r="B868" s="17">
        <v>43043</v>
      </c>
      <c r="D868" t="s">
        <v>924</v>
      </c>
      <c r="E868">
        <v>304.98999999999995</v>
      </c>
    </row>
    <row r="869" spans="2:5">
      <c r="B869" s="17">
        <v>43043</v>
      </c>
      <c r="D869" t="s">
        <v>924</v>
      </c>
      <c r="E869">
        <v>264.32</v>
      </c>
    </row>
    <row r="870" spans="2:5">
      <c r="B870" s="17">
        <v>43043</v>
      </c>
      <c r="D870" t="s">
        <v>1309</v>
      </c>
      <c r="E870">
        <v>239.976</v>
      </c>
    </row>
    <row r="871" spans="2:5">
      <c r="B871" s="17">
        <v>43042</v>
      </c>
      <c r="D871" t="s">
        <v>899</v>
      </c>
      <c r="E871">
        <v>213.48000000000002</v>
      </c>
    </row>
    <row r="872" spans="2:5">
      <c r="B872" s="17">
        <v>43042</v>
      </c>
      <c r="D872" t="s">
        <v>1824</v>
      </c>
      <c r="E872">
        <v>223.05600000000001</v>
      </c>
    </row>
    <row r="873" spans="2:5">
      <c r="B873" s="17">
        <v>43042</v>
      </c>
      <c r="D873" t="s">
        <v>702</v>
      </c>
      <c r="E873">
        <v>289.24</v>
      </c>
    </row>
    <row r="874" spans="2:5">
      <c r="B874" s="17">
        <v>43042</v>
      </c>
      <c r="D874" t="s">
        <v>122</v>
      </c>
      <c r="E874">
        <v>339.96</v>
      </c>
    </row>
    <row r="875" spans="2:5">
      <c r="B875" s="17">
        <v>43042</v>
      </c>
      <c r="D875" t="s">
        <v>320</v>
      </c>
      <c r="E875">
        <v>211.24799999999999</v>
      </c>
    </row>
    <row r="876" spans="2:5">
      <c r="B876" s="17">
        <v>43042</v>
      </c>
      <c r="D876" t="s">
        <v>1333</v>
      </c>
      <c r="E876">
        <v>272.61</v>
      </c>
    </row>
    <row r="877" spans="2:5">
      <c r="B877" s="17">
        <v>43042</v>
      </c>
      <c r="D877" t="s">
        <v>358</v>
      </c>
      <c r="E877">
        <v>219.16800000000001</v>
      </c>
    </row>
    <row r="878" spans="2:5">
      <c r="B878" s="17">
        <v>43042</v>
      </c>
      <c r="D878" t="s">
        <v>181</v>
      </c>
      <c r="E878">
        <v>327.76</v>
      </c>
    </row>
    <row r="879" spans="2:5">
      <c r="B879" s="17">
        <v>43042</v>
      </c>
      <c r="D879" t="s">
        <v>425</v>
      </c>
      <c r="E879">
        <v>299.98</v>
      </c>
    </row>
    <row r="880" spans="2:5">
      <c r="B880" s="17">
        <v>43042</v>
      </c>
      <c r="D880" t="s">
        <v>425</v>
      </c>
      <c r="E880">
        <v>199.98</v>
      </c>
    </row>
    <row r="881" spans="2:5">
      <c r="B881" s="17">
        <v>43042</v>
      </c>
      <c r="D881" t="s">
        <v>1724</v>
      </c>
      <c r="E881">
        <v>340.14400000000006</v>
      </c>
    </row>
    <row r="882" spans="2:5">
      <c r="B882" s="17">
        <v>43042</v>
      </c>
      <c r="D882" t="s">
        <v>505</v>
      </c>
      <c r="E882">
        <v>259.74</v>
      </c>
    </row>
    <row r="883" spans="2:5">
      <c r="B883" s="17">
        <v>43042</v>
      </c>
      <c r="D883" t="s">
        <v>505</v>
      </c>
      <c r="E883">
        <v>255.42</v>
      </c>
    </row>
    <row r="884" spans="2:5">
      <c r="B884" s="17">
        <v>43042</v>
      </c>
      <c r="D884" t="s">
        <v>1655</v>
      </c>
      <c r="E884">
        <v>218.75</v>
      </c>
    </row>
    <row r="885" spans="2:5">
      <c r="B885" s="17">
        <v>43042</v>
      </c>
      <c r="D885" t="s">
        <v>1266</v>
      </c>
      <c r="E885">
        <v>238</v>
      </c>
    </row>
    <row r="886" spans="2:5">
      <c r="B886" s="17">
        <v>43042</v>
      </c>
      <c r="D886" t="s">
        <v>1266</v>
      </c>
      <c r="E886">
        <v>276.27999999999997</v>
      </c>
    </row>
    <row r="887" spans="2:5">
      <c r="B887" s="17">
        <v>43042</v>
      </c>
      <c r="D887" t="s">
        <v>94</v>
      </c>
      <c r="E887">
        <v>302.37599999999998</v>
      </c>
    </row>
    <row r="888" spans="2:5">
      <c r="B888" s="17">
        <v>43042</v>
      </c>
      <c r="D888" t="s">
        <v>386</v>
      </c>
      <c r="E888">
        <v>236.5</v>
      </c>
    </row>
    <row r="889" spans="2:5">
      <c r="B889" s="17">
        <v>43042</v>
      </c>
      <c r="D889" t="s">
        <v>1850</v>
      </c>
      <c r="E889">
        <v>272.84800000000001</v>
      </c>
    </row>
    <row r="890" spans="2:5">
      <c r="B890" s="17">
        <v>43042</v>
      </c>
      <c r="D890" t="s">
        <v>236</v>
      </c>
      <c r="E890">
        <v>342.86400000000003</v>
      </c>
    </row>
    <row r="891" spans="2:5">
      <c r="B891" s="17">
        <v>43042</v>
      </c>
      <c r="D891" t="s">
        <v>285</v>
      </c>
      <c r="E891">
        <v>259.13600000000002</v>
      </c>
    </row>
    <row r="892" spans="2:5">
      <c r="B892" s="17">
        <v>43042</v>
      </c>
      <c r="D892" t="s">
        <v>121</v>
      </c>
      <c r="E892">
        <v>249.75</v>
      </c>
    </row>
    <row r="893" spans="2:5">
      <c r="B893" s="17">
        <v>43042</v>
      </c>
      <c r="D893" t="s">
        <v>121</v>
      </c>
      <c r="E893">
        <v>255.93600000000004</v>
      </c>
    </row>
    <row r="894" spans="2:5">
      <c r="B894" s="17">
        <v>43041</v>
      </c>
      <c r="D894" t="s">
        <v>514</v>
      </c>
      <c r="E894">
        <v>220.77600000000001</v>
      </c>
    </row>
    <row r="895" spans="2:5">
      <c r="B895" s="17">
        <v>43041</v>
      </c>
      <c r="D895" t="s">
        <v>199</v>
      </c>
      <c r="E895">
        <v>281.42400000000004</v>
      </c>
    </row>
    <row r="896" spans="2:5">
      <c r="B896" s="17">
        <v>43041</v>
      </c>
      <c r="D896" t="s">
        <v>199</v>
      </c>
      <c r="E896">
        <v>213.21600000000001</v>
      </c>
    </row>
    <row r="897" spans="2:5">
      <c r="B897" s="17">
        <v>43041</v>
      </c>
      <c r="D897" t="s">
        <v>613</v>
      </c>
      <c r="E897">
        <v>334.76800000000003</v>
      </c>
    </row>
    <row r="898" spans="2:5">
      <c r="B898" s="17">
        <v>43041</v>
      </c>
      <c r="D898" t="s">
        <v>153</v>
      </c>
      <c r="E898">
        <v>310.68799999999999</v>
      </c>
    </row>
    <row r="899" spans="2:5">
      <c r="B899" s="17">
        <v>43041</v>
      </c>
      <c r="D899" t="s">
        <v>1756</v>
      </c>
      <c r="E899">
        <v>335.52</v>
      </c>
    </row>
    <row r="900" spans="2:5">
      <c r="B900" s="17">
        <v>43041</v>
      </c>
      <c r="D900" t="s">
        <v>1756</v>
      </c>
      <c r="E900">
        <v>306.2</v>
      </c>
    </row>
    <row r="901" spans="2:5">
      <c r="B901" s="17">
        <v>43041</v>
      </c>
      <c r="D901" t="s">
        <v>1515</v>
      </c>
      <c r="E901">
        <v>223.96</v>
      </c>
    </row>
    <row r="902" spans="2:5">
      <c r="B902" s="17">
        <v>43041</v>
      </c>
      <c r="D902" t="s">
        <v>1845</v>
      </c>
      <c r="E902">
        <v>263.96000000000004</v>
      </c>
    </row>
    <row r="903" spans="2:5">
      <c r="B903" s="17">
        <v>43041</v>
      </c>
      <c r="D903" t="s">
        <v>863</v>
      </c>
      <c r="E903">
        <v>284.82</v>
      </c>
    </row>
    <row r="904" spans="2:5">
      <c r="B904" s="17">
        <v>43041</v>
      </c>
      <c r="D904" t="s">
        <v>1274</v>
      </c>
      <c r="E904">
        <v>206.99100000000004</v>
      </c>
    </row>
    <row r="905" spans="2:5">
      <c r="B905" s="17">
        <v>43041</v>
      </c>
      <c r="D905" t="s">
        <v>1667</v>
      </c>
      <c r="E905">
        <v>201.584</v>
      </c>
    </row>
    <row r="906" spans="2:5">
      <c r="B906" s="17">
        <v>43041</v>
      </c>
      <c r="D906" t="s">
        <v>172</v>
      </c>
      <c r="E906">
        <v>212.94</v>
      </c>
    </row>
    <row r="907" spans="2:5">
      <c r="B907" s="17">
        <v>43041</v>
      </c>
      <c r="D907" t="s">
        <v>1246</v>
      </c>
      <c r="E907">
        <v>268.935</v>
      </c>
    </row>
    <row r="908" spans="2:5">
      <c r="B908" s="17">
        <v>43041</v>
      </c>
      <c r="D908" t="s">
        <v>1669</v>
      </c>
      <c r="E908">
        <v>239.96999999999997</v>
      </c>
    </row>
    <row r="909" spans="2:5">
      <c r="B909" s="17">
        <v>43041</v>
      </c>
      <c r="D909" t="s">
        <v>720</v>
      </c>
      <c r="E909">
        <v>289.20000000000005</v>
      </c>
    </row>
    <row r="910" spans="2:5">
      <c r="B910" s="17">
        <v>43041</v>
      </c>
      <c r="D910" t="s">
        <v>729</v>
      </c>
      <c r="E910">
        <v>235.95000000000002</v>
      </c>
    </row>
    <row r="911" spans="2:5">
      <c r="B911" s="17">
        <v>43041</v>
      </c>
      <c r="D911" t="s">
        <v>77</v>
      </c>
      <c r="E911">
        <v>290.666</v>
      </c>
    </row>
    <row r="912" spans="2:5">
      <c r="B912" s="17">
        <v>43041</v>
      </c>
      <c r="D912" t="s">
        <v>77</v>
      </c>
      <c r="E912">
        <v>201.584</v>
      </c>
    </row>
    <row r="913" spans="2:5">
      <c r="B913" s="17">
        <v>43041</v>
      </c>
      <c r="D913" t="s">
        <v>77</v>
      </c>
      <c r="E913">
        <v>225.29600000000002</v>
      </c>
    </row>
    <row r="914" spans="2:5">
      <c r="B914" s="17">
        <v>43041</v>
      </c>
      <c r="D914" t="s">
        <v>436</v>
      </c>
      <c r="E914">
        <v>208.16</v>
      </c>
    </row>
    <row r="915" spans="2:5">
      <c r="B915" s="17">
        <v>43041</v>
      </c>
      <c r="D915" t="s">
        <v>848</v>
      </c>
      <c r="E915">
        <v>245.88</v>
      </c>
    </row>
    <row r="916" spans="2:5">
      <c r="B916" s="17">
        <v>43041</v>
      </c>
      <c r="D916" t="s">
        <v>408</v>
      </c>
      <c r="E916">
        <v>232.88</v>
      </c>
    </row>
    <row r="917" spans="2:5">
      <c r="B917" s="17">
        <v>43041</v>
      </c>
      <c r="D917" t="s">
        <v>408</v>
      </c>
      <c r="E917">
        <v>310.88000000000005</v>
      </c>
    </row>
    <row r="918" spans="2:5">
      <c r="B918" s="17">
        <v>43041</v>
      </c>
      <c r="D918" t="s">
        <v>1500</v>
      </c>
      <c r="E918">
        <v>279.45600000000002</v>
      </c>
    </row>
    <row r="919" spans="2:5">
      <c r="B919" s="17">
        <v>43040</v>
      </c>
      <c r="D919" t="s">
        <v>1601</v>
      </c>
      <c r="E919">
        <v>256.78400000000005</v>
      </c>
    </row>
    <row r="920" spans="2:5">
      <c r="B920" s="17">
        <v>43040</v>
      </c>
      <c r="D920" t="s">
        <v>458</v>
      </c>
      <c r="E920">
        <v>230.28000000000003</v>
      </c>
    </row>
    <row r="921" spans="2:5">
      <c r="B921" s="17">
        <v>43040</v>
      </c>
      <c r="D921" t="s">
        <v>462</v>
      </c>
      <c r="E921">
        <v>302.37599999999998</v>
      </c>
    </row>
    <row r="922" spans="2:5">
      <c r="B922" s="17">
        <v>43040</v>
      </c>
      <c r="D922" t="s">
        <v>462</v>
      </c>
      <c r="E922">
        <v>303.25</v>
      </c>
    </row>
    <row r="923" spans="2:5">
      <c r="B923" s="17">
        <v>43039</v>
      </c>
      <c r="D923" t="s">
        <v>462</v>
      </c>
      <c r="E923">
        <v>270.71999999999997</v>
      </c>
    </row>
    <row r="924" spans="2:5">
      <c r="B924" s="17">
        <v>43039</v>
      </c>
      <c r="D924" t="s">
        <v>1408</v>
      </c>
      <c r="E924">
        <v>281.37199999999996</v>
      </c>
    </row>
    <row r="925" spans="2:5">
      <c r="B925" s="17">
        <v>43039</v>
      </c>
      <c r="D925" t="s">
        <v>1408</v>
      </c>
      <c r="E925">
        <v>281.37199999999996</v>
      </c>
    </row>
    <row r="926" spans="2:5">
      <c r="B926" s="17">
        <v>43038</v>
      </c>
      <c r="D926" t="s">
        <v>1408</v>
      </c>
      <c r="E926">
        <v>247.84</v>
      </c>
    </row>
    <row r="927" spans="2:5">
      <c r="B927" s="17">
        <v>43038</v>
      </c>
      <c r="D927" t="s">
        <v>419</v>
      </c>
      <c r="E927">
        <v>287.96800000000002</v>
      </c>
    </row>
    <row r="928" spans="2:5">
      <c r="B928" s="17">
        <v>43038</v>
      </c>
      <c r="D928" t="s">
        <v>446</v>
      </c>
      <c r="E928">
        <v>317.05799999999999</v>
      </c>
    </row>
    <row r="929" spans="2:5">
      <c r="B929" s="17">
        <v>43038</v>
      </c>
      <c r="D929" t="s">
        <v>446</v>
      </c>
      <c r="E929">
        <v>227.976</v>
      </c>
    </row>
    <row r="930" spans="2:5">
      <c r="B930" s="17">
        <v>43038</v>
      </c>
      <c r="D930" t="s">
        <v>1193</v>
      </c>
      <c r="E930">
        <v>308.49900000000002</v>
      </c>
    </row>
    <row r="931" spans="2:5">
      <c r="B931" s="17">
        <v>43038</v>
      </c>
      <c r="D931" t="s">
        <v>278</v>
      </c>
      <c r="E931">
        <v>335.94400000000002</v>
      </c>
    </row>
    <row r="932" spans="2:5">
      <c r="B932" s="17">
        <v>43038</v>
      </c>
      <c r="D932" t="s">
        <v>1311</v>
      </c>
      <c r="E932">
        <v>217.44</v>
      </c>
    </row>
    <row r="933" spans="2:5">
      <c r="B933" s="17">
        <v>43038</v>
      </c>
      <c r="D933" t="s">
        <v>898</v>
      </c>
      <c r="E933">
        <v>200.96999999999997</v>
      </c>
    </row>
    <row r="934" spans="2:5">
      <c r="B934" s="17">
        <v>43038</v>
      </c>
      <c r="D934" t="s">
        <v>1762</v>
      </c>
      <c r="E934">
        <v>299.96999999999997</v>
      </c>
    </row>
    <row r="935" spans="2:5">
      <c r="B935" s="17">
        <v>43038</v>
      </c>
      <c r="D935" t="s">
        <v>180</v>
      </c>
      <c r="E935">
        <v>232.54999999999998</v>
      </c>
    </row>
    <row r="936" spans="2:5">
      <c r="B936" s="17">
        <v>43038</v>
      </c>
      <c r="D936" t="s">
        <v>1073</v>
      </c>
      <c r="E936">
        <v>205.666</v>
      </c>
    </row>
    <row r="937" spans="2:5">
      <c r="B937" s="17">
        <v>43038</v>
      </c>
      <c r="D937" t="s">
        <v>1073</v>
      </c>
      <c r="E937">
        <v>335.72</v>
      </c>
    </row>
    <row r="938" spans="2:5">
      <c r="B938" s="17">
        <v>43038</v>
      </c>
      <c r="D938" t="s">
        <v>1048</v>
      </c>
      <c r="E938">
        <v>251.94400000000002</v>
      </c>
    </row>
    <row r="939" spans="2:5">
      <c r="B939" s="17">
        <v>43038</v>
      </c>
      <c r="D939" t="s">
        <v>756</v>
      </c>
      <c r="E939">
        <v>302.37599999999998</v>
      </c>
    </row>
    <row r="940" spans="2:5">
      <c r="B940" s="17">
        <v>43038</v>
      </c>
      <c r="D940" t="s">
        <v>756</v>
      </c>
      <c r="E940">
        <v>330.58800000000002</v>
      </c>
    </row>
    <row r="941" spans="2:5">
      <c r="B941" s="17">
        <v>43038</v>
      </c>
      <c r="D941" t="s">
        <v>838</v>
      </c>
      <c r="E941">
        <v>330.4</v>
      </c>
    </row>
    <row r="942" spans="2:5">
      <c r="B942" s="17">
        <v>43038</v>
      </c>
      <c r="D942" t="s">
        <v>1592</v>
      </c>
      <c r="E942">
        <v>314.35199999999998</v>
      </c>
    </row>
    <row r="943" spans="2:5">
      <c r="B943" s="17">
        <v>43038</v>
      </c>
      <c r="D943" t="s">
        <v>793</v>
      </c>
      <c r="E943">
        <v>218.376</v>
      </c>
    </row>
    <row r="944" spans="2:5">
      <c r="B944" s="17">
        <v>43038</v>
      </c>
      <c r="D944" t="s">
        <v>543</v>
      </c>
      <c r="E944">
        <v>323.97600000000006</v>
      </c>
    </row>
    <row r="945" spans="2:5">
      <c r="B945" s="17">
        <v>43038</v>
      </c>
      <c r="D945" t="s">
        <v>902</v>
      </c>
      <c r="E945">
        <v>242.94</v>
      </c>
    </row>
    <row r="946" spans="2:5">
      <c r="B946" s="17">
        <v>43038</v>
      </c>
      <c r="D946" t="s">
        <v>902</v>
      </c>
      <c r="E946">
        <v>204.89999999999998</v>
      </c>
    </row>
    <row r="947" spans="2:5">
      <c r="B947" s="17">
        <v>43038</v>
      </c>
      <c r="D947" t="s">
        <v>1137</v>
      </c>
      <c r="E947">
        <v>302.45</v>
      </c>
    </row>
    <row r="948" spans="2:5">
      <c r="B948" s="17">
        <v>43038</v>
      </c>
      <c r="D948" t="s">
        <v>918</v>
      </c>
      <c r="E948">
        <v>239.96999999999997</v>
      </c>
    </row>
    <row r="949" spans="2:5">
      <c r="B949" s="17">
        <v>43037</v>
      </c>
      <c r="D949" t="s">
        <v>918</v>
      </c>
      <c r="E949">
        <v>238.62</v>
      </c>
    </row>
    <row r="950" spans="2:5">
      <c r="B950" s="17">
        <v>43036</v>
      </c>
      <c r="D950" t="s">
        <v>918</v>
      </c>
      <c r="E950">
        <v>234.45000000000002</v>
      </c>
    </row>
    <row r="951" spans="2:5">
      <c r="B951" s="17">
        <v>43036</v>
      </c>
      <c r="D951" t="s">
        <v>803</v>
      </c>
      <c r="E951">
        <v>332.94</v>
      </c>
    </row>
    <row r="952" spans="2:5">
      <c r="B952" s="17">
        <v>43036</v>
      </c>
      <c r="D952" t="s">
        <v>357</v>
      </c>
      <c r="E952">
        <v>290.666</v>
      </c>
    </row>
    <row r="953" spans="2:5">
      <c r="B953" s="17">
        <v>43036</v>
      </c>
      <c r="D953" t="s">
        <v>357</v>
      </c>
      <c r="E953">
        <v>229.94</v>
      </c>
    </row>
    <row r="954" spans="2:5">
      <c r="B954" s="17">
        <v>43036</v>
      </c>
      <c r="D954" t="s">
        <v>1209</v>
      </c>
      <c r="E954">
        <v>333</v>
      </c>
    </row>
    <row r="955" spans="2:5">
      <c r="B955" s="17">
        <v>43036</v>
      </c>
      <c r="D955" t="s">
        <v>1639</v>
      </c>
      <c r="E955">
        <v>272.94</v>
      </c>
    </row>
    <row r="956" spans="2:5">
      <c r="B956" s="17">
        <v>43036</v>
      </c>
      <c r="D956" t="s">
        <v>687</v>
      </c>
      <c r="E956">
        <v>247.71600000000001</v>
      </c>
    </row>
    <row r="957" spans="2:5">
      <c r="B957" s="17">
        <v>43036</v>
      </c>
      <c r="D957" t="s">
        <v>1727</v>
      </c>
      <c r="E957">
        <v>333.99899999999997</v>
      </c>
    </row>
    <row r="958" spans="2:5">
      <c r="B958" s="17">
        <v>43035</v>
      </c>
      <c r="D958" t="s">
        <v>70</v>
      </c>
      <c r="E958">
        <v>272.73599999999999</v>
      </c>
    </row>
    <row r="959" spans="2:5">
      <c r="B959" s="17">
        <v>43035</v>
      </c>
      <c r="D959" t="s">
        <v>607</v>
      </c>
      <c r="E959">
        <v>48.896000000000001</v>
      </c>
    </row>
    <row r="960" spans="2:5">
      <c r="B960" s="17">
        <v>43035</v>
      </c>
      <c r="D960" t="s">
        <v>1343</v>
      </c>
      <c r="E960">
        <v>474.43</v>
      </c>
    </row>
    <row r="961" spans="2:5">
      <c r="B961" s="17">
        <v>43035</v>
      </c>
      <c r="D961" t="s">
        <v>1343</v>
      </c>
      <c r="E961">
        <v>3.6</v>
      </c>
    </row>
    <row r="962" spans="2:5">
      <c r="B962" s="17">
        <v>43035</v>
      </c>
      <c r="D962" t="s">
        <v>1343</v>
      </c>
      <c r="E962">
        <v>454.56000000000006</v>
      </c>
    </row>
    <row r="963" spans="2:5">
      <c r="B963" s="17">
        <v>43035</v>
      </c>
      <c r="D963" t="s">
        <v>1343</v>
      </c>
      <c r="E963">
        <v>141.41999999999999</v>
      </c>
    </row>
    <row r="964" spans="2:5">
      <c r="B964" s="17">
        <v>43035</v>
      </c>
      <c r="D964" t="s">
        <v>983</v>
      </c>
      <c r="E964">
        <v>12.736000000000001</v>
      </c>
    </row>
    <row r="965" spans="2:5">
      <c r="B965" s="17">
        <v>43035</v>
      </c>
      <c r="D965" t="s">
        <v>983</v>
      </c>
      <c r="E965">
        <v>6.469999999999998</v>
      </c>
    </row>
    <row r="966" spans="2:5">
      <c r="B966" s="17">
        <v>43035</v>
      </c>
      <c r="D966" t="s">
        <v>983</v>
      </c>
      <c r="E966">
        <v>13.747999999999998</v>
      </c>
    </row>
    <row r="967" spans="2:5">
      <c r="B967" s="17">
        <v>43035</v>
      </c>
      <c r="D967" t="s">
        <v>983</v>
      </c>
      <c r="E967">
        <v>15.223999999999997</v>
      </c>
    </row>
    <row r="968" spans="2:5">
      <c r="B968" s="17">
        <v>43035</v>
      </c>
      <c r="D968" t="s">
        <v>983</v>
      </c>
      <c r="E968">
        <v>695.7</v>
      </c>
    </row>
    <row r="969" spans="2:5">
      <c r="B969" s="17">
        <v>43035</v>
      </c>
      <c r="D969" t="s">
        <v>1812</v>
      </c>
      <c r="E969">
        <v>15.66</v>
      </c>
    </row>
    <row r="970" spans="2:5">
      <c r="B970" s="17">
        <v>43034</v>
      </c>
      <c r="D970" t="s">
        <v>1812</v>
      </c>
      <c r="E970">
        <v>28.854000000000006</v>
      </c>
    </row>
    <row r="971" spans="2:5">
      <c r="B971" s="17">
        <v>43034</v>
      </c>
      <c r="D971" t="s">
        <v>1402</v>
      </c>
      <c r="E971">
        <v>31.744</v>
      </c>
    </row>
    <row r="972" spans="2:5">
      <c r="B972" s="17">
        <v>43034</v>
      </c>
      <c r="D972" t="s">
        <v>1402</v>
      </c>
      <c r="E972">
        <v>5.4319999999999986</v>
      </c>
    </row>
    <row r="973" spans="2:5">
      <c r="B973" s="17">
        <v>43034</v>
      </c>
      <c r="D973" t="s">
        <v>1402</v>
      </c>
      <c r="E973">
        <v>913.43000000000006</v>
      </c>
    </row>
    <row r="974" spans="2:5">
      <c r="B974" s="17">
        <v>43034</v>
      </c>
      <c r="D974" t="s">
        <v>118</v>
      </c>
      <c r="E974">
        <v>372.14400000000001</v>
      </c>
    </row>
    <row r="975" spans="2:5">
      <c r="B975" s="17">
        <v>43034</v>
      </c>
      <c r="D975" t="s">
        <v>118</v>
      </c>
      <c r="E975">
        <v>38.880000000000003</v>
      </c>
    </row>
    <row r="976" spans="2:5">
      <c r="B976" s="17">
        <v>43034</v>
      </c>
      <c r="D976" t="s">
        <v>118</v>
      </c>
      <c r="E976">
        <v>2022.2720000000002</v>
      </c>
    </row>
    <row r="977" spans="2:5">
      <c r="B977" s="17">
        <v>43034</v>
      </c>
      <c r="D977" t="s">
        <v>118</v>
      </c>
      <c r="E977">
        <v>9.120000000000001</v>
      </c>
    </row>
    <row r="978" spans="2:5">
      <c r="B978" s="17">
        <v>43034</v>
      </c>
      <c r="D978" t="s">
        <v>118</v>
      </c>
      <c r="E978">
        <v>33.74</v>
      </c>
    </row>
    <row r="979" spans="2:5">
      <c r="B979" s="17">
        <v>43034</v>
      </c>
      <c r="D979" t="s">
        <v>118</v>
      </c>
      <c r="E979">
        <v>3059.982</v>
      </c>
    </row>
    <row r="980" spans="2:5">
      <c r="B980" s="17">
        <v>43032</v>
      </c>
      <c r="D980" t="s">
        <v>118</v>
      </c>
      <c r="E980">
        <v>2.8080000000000007</v>
      </c>
    </row>
    <row r="981" spans="2:5">
      <c r="B981" s="17">
        <v>43032</v>
      </c>
      <c r="D981" t="s">
        <v>118</v>
      </c>
      <c r="E981">
        <v>153.78</v>
      </c>
    </row>
    <row r="982" spans="2:5">
      <c r="B982" s="17">
        <v>43031</v>
      </c>
      <c r="D982" t="s">
        <v>208</v>
      </c>
      <c r="E982">
        <v>61.019999999999996</v>
      </c>
    </row>
    <row r="983" spans="2:5">
      <c r="B983" s="17">
        <v>43031</v>
      </c>
      <c r="D983" t="s">
        <v>208</v>
      </c>
      <c r="E983">
        <v>110.11</v>
      </c>
    </row>
    <row r="984" spans="2:5">
      <c r="B984" s="17">
        <v>43031</v>
      </c>
      <c r="D984" t="s">
        <v>208</v>
      </c>
      <c r="E984">
        <v>7.89</v>
      </c>
    </row>
    <row r="985" spans="2:5">
      <c r="B985" s="17">
        <v>43031</v>
      </c>
      <c r="D985" t="s">
        <v>208</v>
      </c>
      <c r="E985">
        <v>892.98</v>
      </c>
    </row>
    <row r="986" spans="2:5">
      <c r="B986" s="17">
        <v>43031</v>
      </c>
      <c r="D986" t="s">
        <v>1324</v>
      </c>
      <c r="E986">
        <v>40.08</v>
      </c>
    </row>
    <row r="987" spans="2:5">
      <c r="B987" s="17">
        <v>43031</v>
      </c>
      <c r="D987" t="s">
        <v>1324</v>
      </c>
      <c r="E987">
        <v>37.68</v>
      </c>
    </row>
    <row r="988" spans="2:5">
      <c r="B988" s="17">
        <v>43031</v>
      </c>
      <c r="D988" t="s">
        <v>1324</v>
      </c>
      <c r="E988">
        <v>9.7799999999999994</v>
      </c>
    </row>
    <row r="989" spans="2:5">
      <c r="B989" s="17">
        <v>43031</v>
      </c>
      <c r="D989" t="s">
        <v>820</v>
      </c>
      <c r="E989">
        <v>760.97999999999979</v>
      </c>
    </row>
    <row r="990" spans="2:5">
      <c r="B990" s="17">
        <v>43031</v>
      </c>
      <c r="D990" t="s">
        <v>820</v>
      </c>
      <c r="E990">
        <v>32.400000000000006</v>
      </c>
    </row>
    <row r="991" spans="2:5">
      <c r="B991" s="17">
        <v>43031</v>
      </c>
      <c r="D991" t="s">
        <v>820</v>
      </c>
      <c r="E991">
        <v>4164.0499999999993</v>
      </c>
    </row>
    <row r="992" spans="2:5">
      <c r="B992" s="17">
        <v>43031</v>
      </c>
      <c r="D992" t="s">
        <v>700</v>
      </c>
      <c r="E992">
        <v>21.744</v>
      </c>
    </row>
    <row r="993" spans="2:5">
      <c r="B993" s="17">
        <v>43031</v>
      </c>
      <c r="D993" t="s">
        <v>700</v>
      </c>
      <c r="E993">
        <v>7.92</v>
      </c>
    </row>
    <row r="994" spans="2:5">
      <c r="B994" s="17">
        <v>43031</v>
      </c>
      <c r="D994" t="s">
        <v>700</v>
      </c>
      <c r="E994">
        <v>169.06400000000002</v>
      </c>
    </row>
    <row r="995" spans="2:5">
      <c r="B995" s="17">
        <v>43031</v>
      </c>
      <c r="D995" t="s">
        <v>700</v>
      </c>
      <c r="E995">
        <v>168.624</v>
      </c>
    </row>
    <row r="996" spans="2:5">
      <c r="B996" s="17">
        <v>43031</v>
      </c>
      <c r="D996" t="s">
        <v>700</v>
      </c>
      <c r="E996">
        <v>18.335999999999999</v>
      </c>
    </row>
    <row r="997" spans="2:5">
      <c r="B997" s="17">
        <v>43031</v>
      </c>
      <c r="D997" t="s">
        <v>1045</v>
      </c>
      <c r="E997">
        <v>36.288000000000011</v>
      </c>
    </row>
    <row r="998" spans="2:5">
      <c r="B998" s="17">
        <v>43031</v>
      </c>
      <c r="D998" t="s">
        <v>1045</v>
      </c>
      <c r="E998">
        <v>111.98399999999999</v>
      </c>
    </row>
    <row r="999" spans="2:5">
      <c r="B999" s="17">
        <v>43031</v>
      </c>
      <c r="D999" t="s">
        <v>1045</v>
      </c>
      <c r="E999">
        <v>5.9700000000000006</v>
      </c>
    </row>
    <row r="1000" spans="2:5">
      <c r="B1000" s="17">
        <v>43030</v>
      </c>
      <c r="D1000" t="s">
        <v>1045</v>
      </c>
      <c r="E1000">
        <v>2.508</v>
      </c>
    </row>
    <row r="1001" spans="2:5">
      <c r="B1001" s="17">
        <v>43030</v>
      </c>
      <c r="D1001" t="s">
        <v>1045</v>
      </c>
      <c r="E1001">
        <v>154.9</v>
      </c>
    </row>
    <row r="1002" spans="2:5">
      <c r="B1002" s="17">
        <v>43030</v>
      </c>
      <c r="D1002" t="s">
        <v>944</v>
      </c>
      <c r="E1002">
        <v>67.400000000000006</v>
      </c>
    </row>
    <row r="1003" spans="2:5">
      <c r="B1003" s="17">
        <v>43030</v>
      </c>
      <c r="D1003" t="s">
        <v>944</v>
      </c>
      <c r="E1003">
        <v>2.52</v>
      </c>
    </row>
    <row r="1004" spans="2:5">
      <c r="B1004" s="17">
        <v>43030</v>
      </c>
      <c r="D1004" t="s">
        <v>944</v>
      </c>
      <c r="E1004">
        <v>67.8</v>
      </c>
    </row>
    <row r="1005" spans="2:5">
      <c r="B1005" s="17">
        <v>43030</v>
      </c>
      <c r="D1005" t="s">
        <v>944</v>
      </c>
      <c r="E1005">
        <v>18.760000000000002</v>
      </c>
    </row>
    <row r="1006" spans="2:5">
      <c r="B1006" s="17">
        <v>43030</v>
      </c>
      <c r="D1006" t="s">
        <v>944</v>
      </c>
      <c r="E1006">
        <v>12.12</v>
      </c>
    </row>
    <row r="1007" spans="2:5">
      <c r="B1007" s="17">
        <v>43030</v>
      </c>
      <c r="D1007" t="s">
        <v>944</v>
      </c>
      <c r="E1007">
        <v>11.34</v>
      </c>
    </row>
    <row r="1008" spans="2:5">
      <c r="B1008" s="17">
        <v>43030</v>
      </c>
      <c r="D1008" t="s">
        <v>1295</v>
      </c>
      <c r="E1008">
        <v>159.80000000000001</v>
      </c>
    </row>
    <row r="1009" spans="2:5">
      <c r="B1009" s="17">
        <v>43030</v>
      </c>
      <c r="D1009" t="s">
        <v>1295</v>
      </c>
      <c r="E1009">
        <v>18.96</v>
      </c>
    </row>
    <row r="1010" spans="2:5">
      <c r="B1010" s="17">
        <v>43030</v>
      </c>
      <c r="D1010" t="s">
        <v>1453</v>
      </c>
      <c r="E1010">
        <v>34.384</v>
      </c>
    </row>
    <row r="1011" spans="2:5">
      <c r="B1011" s="17">
        <v>43030</v>
      </c>
      <c r="D1011" t="s">
        <v>1453</v>
      </c>
      <c r="E1011">
        <v>1924.1599999999999</v>
      </c>
    </row>
    <row r="1012" spans="2:5">
      <c r="B1012" s="17">
        <v>43029</v>
      </c>
      <c r="D1012" t="s">
        <v>608</v>
      </c>
      <c r="E1012">
        <v>12.7</v>
      </c>
    </row>
    <row r="1013" spans="2:5">
      <c r="B1013" s="17">
        <v>43029</v>
      </c>
      <c r="D1013" t="s">
        <v>608</v>
      </c>
      <c r="E1013">
        <v>21.400000000000002</v>
      </c>
    </row>
    <row r="1014" spans="2:5">
      <c r="B1014" s="17">
        <v>43029</v>
      </c>
      <c r="D1014" t="s">
        <v>608</v>
      </c>
      <c r="E1014">
        <v>32.783999999999992</v>
      </c>
    </row>
    <row r="1015" spans="2:5">
      <c r="B1015" s="17">
        <v>43029</v>
      </c>
      <c r="D1015" t="s">
        <v>608</v>
      </c>
      <c r="E1015">
        <v>47.984000000000002</v>
      </c>
    </row>
    <row r="1016" spans="2:5">
      <c r="B1016" s="17">
        <v>43029</v>
      </c>
      <c r="D1016" t="s">
        <v>608</v>
      </c>
      <c r="E1016">
        <v>62.591999999999999</v>
      </c>
    </row>
    <row r="1017" spans="2:5">
      <c r="B1017" s="17">
        <v>43029</v>
      </c>
      <c r="D1017" t="s">
        <v>608</v>
      </c>
      <c r="E1017">
        <v>4.2759999999999989</v>
      </c>
    </row>
    <row r="1018" spans="2:5">
      <c r="B1018" s="17">
        <v>43029</v>
      </c>
      <c r="D1018" t="s">
        <v>608</v>
      </c>
      <c r="E1018">
        <v>27.92</v>
      </c>
    </row>
    <row r="1019" spans="2:5">
      <c r="B1019" s="17">
        <v>43029</v>
      </c>
      <c r="D1019" t="s">
        <v>608</v>
      </c>
      <c r="E1019">
        <v>399.67200000000003</v>
      </c>
    </row>
    <row r="1020" spans="2:5">
      <c r="B1020" s="17">
        <v>43029</v>
      </c>
      <c r="D1020" t="s">
        <v>1026</v>
      </c>
      <c r="E1020">
        <v>5443.96</v>
      </c>
    </row>
    <row r="1021" spans="2:5">
      <c r="B1021" s="17">
        <v>43029</v>
      </c>
      <c r="D1021" t="s">
        <v>329</v>
      </c>
      <c r="E1021">
        <v>56.07</v>
      </c>
    </row>
    <row r="1022" spans="2:5">
      <c r="B1022" s="17">
        <v>43029</v>
      </c>
      <c r="D1022" t="s">
        <v>329</v>
      </c>
      <c r="E1022">
        <v>6</v>
      </c>
    </row>
    <row r="1023" spans="2:5">
      <c r="B1023" s="17">
        <v>43029</v>
      </c>
      <c r="D1023" t="s">
        <v>329</v>
      </c>
      <c r="E1023">
        <v>429.59999999999997</v>
      </c>
    </row>
    <row r="1024" spans="2:5">
      <c r="B1024" s="17">
        <v>43029</v>
      </c>
      <c r="D1024" t="s">
        <v>329</v>
      </c>
      <c r="E1024">
        <v>31.968000000000004</v>
      </c>
    </row>
    <row r="1025" spans="2:5">
      <c r="B1025" s="17">
        <v>43029</v>
      </c>
      <c r="D1025" t="s">
        <v>329</v>
      </c>
      <c r="E1025">
        <v>887.27099999999984</v>
      </c>
    </row>
    <row r="1026" spans="2:5">
      <c r="B1026" s="17">
        <v>43029</v>
      </c>
      <c r="D1026" t="s">
        <v>329</v>
      </c>
      <c r="E1026">
        <v>21.696000000000002</v>
      </c>
    </row>
    <row r="1027" spans="2:5">
      <c r="B1027" s="17">
        <v>43029</v>
      </c>
      <c r="D1027" t="s">
        <v>329</v>
      </c>
      <c r="E1027">
        <v>79.92</v>
      </c>
    </row>
    <row r="1028" spans="2:5">
      <c r="B1028" s="17">
        <v>43029</v>
      </c>
      <c r="D1028" t="s">
        <v>1603</v>
      </c>
      <c r="E1028">
        <v>12.28</v>
      </c>
    </row>
    <row r="1029" spans="2:5">
      <c r="B1029" s="17">
        <v>43029</v>
      </c>
      <c r="D1029" t="s">
        <v>1603</v>
      </c>
      <c r="E1029">
        <v>542.93999999999994</v>
      </c>
    </row>
    <row r="1030" spans="2:5">
      <c r="B1030" s="17">
        <v>43028</v>
      </c>
      <c r="D1030" t="s">
        <v>1603</v>
      </c>
      <c r="E1030">
        <v>2.04</v>
      </c>
    </row>
    <row r="1031" spans="2:5">
      <c r="B1031" s="17">
        <v>43028</v>
      </c>
      <c r="D1031" t="s">
        <v>507</v>
      </c>
      <c r="E1031">
        <v>160.77600000000001</v>
      </c>
    </row>
    <row r="1032" spans="2:5">
      <c r="B1032" s="17">
        <v>43028</v>
      </c>
      <c r="D1032" t="s">
        <v>507</v>
      </c>
      <c r="E1032">
        <v>24.2</v>
      </c>
    </row>
    <row r="1033" spans="2:5">
      <c r="B1033" s="17">
        <v>43028</v>
      </c>
      <c r="D1033" t="s">
        <v>507</v>
      </c>
      <c r="E1033">
        <v>359.97600000000006</v>
      </c>
    </row>
    <row r="1034" spans="2:5">
      <c r="B1034" s="17">
        <v>43028</v>
      </c>
      <c r="D1034" t="s">
        <v>507</v>
      </c>
      <c r="E1034">
        <v>3.52</v>
      </c>
    </row>
    <row r="1035" spans="2:5">
      <c r="B1035" s="17">
        <v>43028</v>
      </c>
      <c r="D1035" t="s">
        <v>1768</v>
      </c>
      <c r="E1035">
        <v>11.52</v>
      </c>
    </row>
    <row r="1036" spans="2:5">
      <c r="B1036" s="17">
        <v>43028</v>
      </c>
      <c r="D1036" t="s">
        <v>1768</v>
      </c>
      <c r="E1036">
        <v>179.97</v>
      </c>
    </row>
    <row r="1037" spans="2:5">
      <c r="B1037" s="17">
        <v>43028</v>
      </c>
      <c r="D1037" t="s">
        <v>1768</v>
      </c>
      <c r="E1037">
        <v>99.695999999999998</v>
      </c>
    </row>
    <row r="1038" spans="2:5">
      <c r="B1038" s="17">
        <v>43028</v>
      </c>
      <c r="D1038" t="s">
        <v>1480</v>
      </c>
      <c r="E1038">
        <v>27.936000000000003</v>
      </c>
    </row>
    <row r="1039" spans="2:5">
      <c r="B1039" s="17">
        <v>43028</v>
      </c>
      <c r="D1039" t="s">
        <v>1480</v>
      </c>
      <c r="E1039">
        <v>84.98</v>
      </c>
    </row>
    <row r="1040" spans="2:5">
      <c r="B1040" s="17">
        <v>43028</v>
      </c>
      <c r="D1040" t="s">
        <v>1480</v>
      </c>
      <c r="E1040">
        <v>18.72</v>
      </c>
    </row>
    <row r="1041" spans="2:5">
      <c r="B1041" s="17">
        <v>43028</v>
      </c>
      <c r="D1041" t="s">
        <v>1480</v>
      </c>
      <c r="E1041">
        <v>348.20799999999997</v>
      </c>
    </row>
    <row r="1042" spans="2:5">
      <c r="B1042" s="17">
        <v>43028</v>
      </c>
      <c r="D1042" t="s">
        <v>1480</v>
      </c>
      <c r="E1042">
        <v>35.783999999999999</v>
      </c>
    </row>
    <row r="1043" spans="2:5">
      <c r="B1043" s="17">
        <v>43028</v>
      </c>
      <c r="D1043" t="s">
        <v>1480</v>
      </c>
      <c r="E1043">
        <v>14.399999999999999</v>
      </c>
    </row>
    <row r="1044" spans="2:5">
      <c r="B1044" s="17">
        <v>43028</v>
      </c>
      <c r="D1044" t="s">
        <v>1788</v>
      </c>
      <c r="E1044">
        <v>619.94999999999993</v>
      </c>
    </row>
    <row r="1045" spans="2:5">
      <c r="B1045" s="17">
        <v>43027</v>
      </c>
      <c r="D1045" t="s">
        <v>883</v>
      </c>
      <c r="E1045">
        <v>89.52</v>
      </c>
    </row>
    <row r="1046" spans="2:5">
      <c r="B1046" s="17">
        <v>43027</v>
      </c>
      <c r="D1046" t="s">
        <v>883</v>
      </c>
      <c r="E1046">
        <v>350.97300000000007</v>
      </c>
    </row>
    <row r="1047" spans="2:5">
      <c r="B1047" s="17">
        <v>43027</v>
      </c>
      <c r="D1047" t="s">
        <v>883</v>
      </c>
      <c r="E1047">
        <v>164.99</v>
      </c>
    </row>
    <row r="1048" spans="2:5">
      <c r="B1048" s="17">
        <v>43027</v>
      </c>
      <c r="D1048" t="s">
        <v>883</v>
      </c>
      <c r="E1048">
        <v>2999.95</v>
      </c>
    </row>
    <row r="1049" spans="2:5">
      <c r="B1049" s="17">
        <v>43027</v>
      </c>
      <c r="D1049" t="s">
        <v>883</v>
      </c>
      <c r="E1049">
        <v>51.449999999999996</v>
      </c>
    </row>
    <row r="1050" spans="2:5">
      <c r="B1050" s="17">
        <v>43027</v>
      </c>
      <c r="D1050" t="s">
        <v>883</v>
      </c>
      <c r="E1050">
        <v>11.96</v>
      </c>
    </row>
    <row r="1051" spans="2:5">
      <c r="B1051" s="17">
        <v>43027</v>
      </c>
      <c r="D1051" t="s">
        <v>883</v>
      </c>
      <c r="E1051">
        <v>1126.02</v>
      </c>
    </row>
    <row r="1052" spans="2:5">
      <c r="B1052" s="17">
        <v>43027</v>
      </c>
      <c r="D1052" t="s">
        <v>500</v>
      </c>
      <c r="E1052">
        <v>15.120000000000001</v>
      </c>
    </row>
    <row r="1053" spans="2:5">
      <c r="B1053" s="17">
        <v>43027</v>
      </c>
      <c r="D1053" t="s">
        <v>500</v>
      </c>
      <c r="E1053">
        <v>7.8719999999999999</v>
      </c>
    </row>
    <row r="1054" spans="2:5">
      <c r="B1054" s="17">
        <v>43027</v>
      </c>
      <c r="D1054" t="s">
        <v>500</v>
      </c>
      <c r="E1054">
        <v>19.68</v>
      </c>
    </row>
    <row r="1055" spans="2:5">
      <c r="B1055" s="17">
        <v>43027</v>
      </c>
      <c r="D1055" t="s">
        <v>500</v>
      </c>
      <c r="E1055">
        <v>25.92</v>
      </c>
    </row>
    <row r="1056" spans="2:5">
      <c r="B1056" s="17">
        <v>43027</v>
      </c>
      <c r="D1056" t="s">
        <v>1181</v>
      </c>
      <c r="E1056">
        <v>6.48</v>
      </c>
    </row>
    <row r="1057" spans="2:5">
      <c r="B1057" s="17">
        <v>43027</v>
      </c>
      <c r="D1057" t="s">
        <v>1181</v>
      </c>
      <c r="E1057">
        <v>86.352000000000004</v>
      </c>
    </row>
    <row r="1058" spans="2:5">
      <c r="B1058" s="17">
        <v>43027</v>
      </c>
      <c r="D1058" t="s">
        <v>1181</v>
      </c>
      <c r="E1058">
        <v>95.984000000000009</v>
      </c>
    </row>
    <row r="1059" spans="2:5">
      <c r="B1059" s="17">
        <v>43027</v>
      </c>
      <c r="D1059" t="s">
        <v>1181</v>
      </c>
      <c r="E1059">
        <v>4.9380000000000006</v>
      </c>
    </row>
    <row r="1060" spans="2:5">
      <c r="B1060" s="17">
        <v>43027</v>
      </c>
      <c r="D1060" t="s">
        <v>1370</v>
      </c>
      <c r="E1060">
        <v>5.67</v>
      </c>
    </row>
    <row r="1061" spans="2:5">
      <c r="B1061" s="17">
        <v>43025</v>
      </c>
      <c r="D1061" t="s">
        <v>1370</v>
      </c>
      <c r="E1061">
        <v>25.86</v>
      </c>
    </row>
    <row r="1062" spans="2:5">
      <c r="B1062" s="17">
        <v>43025</v>
      </c>
      <c r="D1062" t="s">
        <v>1370</v>
      </c>
      <c r="E1062">
        <v>110.352</v>
      </c>
    </row>
    <row r="1063" spans="2:5">
      <c r="B1063" s="17">
        <v>43025</v>
      </c>
      <c r="D1063" t="s">
        <v>1370</v>
      </c>
      <c r="E1063">
        <v>15.469999999999999</v>
      </c>
    </row>
    <row r="1064" spans="2:5">
      <c r="B1064" s="17">
        <v>43025</v>
      </c>
      <c r="D1064" t="s">
        <v>1370</v>
      </c>
      <c r="E1064">
        <v>7.16</v>
      </c>
    </row>
    <row r="1065" spans="2:5">
      <c r="B1065" s="17">
        <v>43024</v>
      </c>
      <c r="D1065" t="s">
        <v>1370</v>
      </c>
      <c r="E1065">
        <v>18.16</v>
      </c>
    </row>
    <row r="1066" spans="2:5">
      <c r="B1066" s="17">
        <v>43024</v>
      </c>
      <c r="D1066" t="s">
        <v>1370</v>
      </c>
      <c r="E1066">
        <v>11.84</v>
      </c>
    </row>
    <row r="1067" spans="2:5">
      <c r="B1067" s="17">
        <v>43024</v>
      </c>
      <c r="D1067" t="s">
        <v>289</v>
      </c>
      <c r="E1067">
        <v>62.72</v>
      </c>
    </row>
    <row r="1068" spans="2:5">
      <c r="B1068" s="17">
        <v>43024</v>
      </c>
      <c r="D1068" t="s">
        <v>289</v>
      </c>
      <c r="E1068">
        <v>2939.9300000000003</v>
      </c>
    </row>
    <row r="1069" spans="2:5">
      <c r="B1069" s="17">
        <v>43024</v>
      </c>
      <c r="D1069" t="s">
        <v>289</v>
      </c>
      <c r="E1069">
        <v>14.015999999999998</v>
      </c>
    </row>
    <row r="1070" spans="2:5">
      <c r="B1070" s="17">
        <v>43024</v>
      </c>
      <c r="D1070" t="s">
        <v>289</v>
      </c>
      <c r="E1070">
        <v>71.975999999999999</v>
      </c>
    </row>
    <row r="1071" spans="2:5">
      <c r="B1071" s="17">
        <v>43023</v>
      </c>
      <c r="D1071" t="s">
        <v>289</v>
      </c>
      <c r="E1071">
        <v>107.982</v>
      </c>
    </row>
    <row r="1072" spans="2:5">
      <c r="B1072" s="17">
        <v>43023</v>
      </c>
      <c r="D1072" t="s">
        <v>289</v>
      </c>
      <c r="E1072">
        <v>137.94</v>
      </c>
    </row>
    <row r="1073" spans="2:5">
      <c r="B1073" s="17">
        <v>43023</v>
      </c>
      <c r="D1073" t="s">
        <v>711</v>
      </c>
      <c r="E1073">
        <v>37.74</v>
      </c>
    </row>
    <row r="1074" spans="2:5">
      <c r="B1074" s="17">
        <v>43023</v>
      </c>
      <c r="D1074" t="s">
        <v>711</v>
      </c>
      <c r="E1074">
        <v>449.91</v>
      </c>
    </row>
    <row r="1075" spans="2:5">
      <c r="B1075" s="17">
        <v>43023</v>
      </c>
      <c r="D1075" t="s">
        <v>711</v>
      </c>
      <c r="E1075">
        <v>12.127999999999997</v>
      </c>
    </row>
    <row r="1076" spans="2:5">
      <c r="B1076" s="17">
        <v>43023</v>
      </c>
      <c r="D1076" t="s">
        <v>711</v>
      </c>
      <c r="E1076">
        <v>8.34</v>
      </c>
    </row>
    <row r="1077" spans="2:5">
      <c r="B1077" s="17">
        <v>43023</v>
      </c>
      <c r="D1077" t="s">
        <v>711</v>
      </c>
      <c r="E1077">
        <v>8.57</v>
      </c>
    </row>
    <row r="1078" spans="2:5">
      <c r="B1078" s="17">
        <v>43023</v>
      </c>
      <c r="D1078" t="s">
        <v>537</v>
      </c>
      <c r="E1078">
        <v>119.61600000000001</v>
      </c>
    </row>
    <row r="1079" spans="2:5">
      <c r="B1079" s="17">
        <v>43022</v>
      </c>
      <c r="D1079" t="s">
        <v>537</v>
      </c>
      <c r="E1079">
        <v>5.22</v>
      </c>
    </row>
    <row r="1080" spans="2:5">
      <c r="B1080" s="17">
        <v>43022</v>
      </c>
      <c r="D1080" t="s">
        <v>537</v>
      </c>
      <c r="E1080">
        <v>4.7679999999999998</v>
      </c>
    </row>
    <row r="1081" spans="2:5">
      <c r="B1081" s="17">
        <v>43022</v>
      </c>
      <c r="D1081" t="s">
        <v>537</v>
      </c>
      <c r="E1081">
        <v>12.96</v>
      </c>
    </row>
    <row r="1082" spans="2:5">
      <c r="B1082" s="17">
        <v>43022</v>
      </c>
      <c r="D1082" t="s">
        <v>537</v>
      </c>
      <c r="E1082">
        <v>94.85</v>
      </c>
    </row>
    <row r="1083" spans="2:5">
      <c r="B1083" s="17">
        <v>43022</v>
      </c>
      <c r="D1083" t="s">
        <v>537</v>
      </c>
      <c r="E1083">
        <v>13.48</v>
      </c>
    </row>
    <row r="1084" spans="2:5">
      <c r="B1084" s="17">
        <v>43021</v>
      </c>
      <c r="D1084" t="s">
        <v>537</v>
      </c>
      <c r="E1084">
        <v>14.91</v>
      </c>
    </row>
    <row r="1085" spans="2:5">
      <c r="B1085" s="17">
        <v>43021</v>
      </c>
      <c r="D1085" t="s">
        <v>537</v>
      </c>
      <c r="E1085">
        <v>18.28</v>
      </c>
    </row>
    <row r="1086" spans="2:5">
      <c r="B1086" s="17">
        <v>43021</v>
      </c>
      <c r="D1086" t="s">
        <v>1890</v>
      </c>
      <c r="E1086">
        <v>32.35</v>
      </c>
    </row>
    <row r="1087" spans="2:5">
      <c r="B1087" s="17">
        <v>43021</v>
      </c>
      <c r="D1087" t="s">
        <v>1890</v>
      </c>
      <c r="E1087">
        <v>7.71</v>
      </c>
    </row>
    <row r="1088" spans="2:5">
      <c r="B1088" s="17">
        <v>43021</v>
      </c>
      <c r="D1088" t="s">
        <v>748</v>
      </c>
      <c r="E1088">
        <v>40.299999999999997</v>
      </c>
    </row>
    <row r="1089" spans="2:5">
      <c r="B1089" s="17">
        <v>43021</v>
      </c>
      <c r="D1089" t="s">
        <v>748</v>
      </c>
      <c r="E1089">
        <v>34.580000000000005</v>
      </c>
    </row>
    <row r="1090" spans="2:5">
      <c r="B1090" s="17">
        <v>43021</v>
      </c>
      <c r="D1090" t="s">
        <v>748</v>
      </c>
      <c r="E1090">
        <v>129.30000000000001</v>
      </c>
    </row>
    <row r="1091" spans="2:5">
      <c r="B1091" s="17">
        <v>43021</v>
      </c>
      <c r="D1091" t="s">
        <v>748</v>
      </c>
      <c r="E1091">
        <v>12.74</v>
      </c>
    </row>
    <row r="1092" spans="2:5">
      <c r="B1092" s="17">
        <v>43021</v>
      </c>
      <c r="D1092" t="s">
        <v>748</v>
      </c>
      <c r="E1092">
        <v>8.82</v>
      </c>
    </row>
    <row r="1093" spans="2:5">
      <c r="B1093" s="17">
        <v>43021</v>
      </c>
      <c r="D1093" t="s">
        <v>748</v>
      </c>
      <c r="E1093">
        <v>120.78399999999999</v>
      </c>
    </row>
    <row r="1094" spans="2:5">
      <c r="B1094" s="17">
        <v>43021</v>
      </c>
      <c r="D1094" t="s">
        <v>300</v>
      </c>
      <c r="E1094">
        <v>419.13599999999997</v>
      </c>
    </row>
    <row r="1095" spans="2:5">
      <c r="B1095" s="17">
        <v>43021</v>
      </c>
      <c r="D1095" t="s">
        <v>300</v>
      </c>
      <c r="E1095">
        <v>69.375</v>
      </c>
    </row>
    <row r="1096" spans="2:5">
      <c r="B1096" s="17">
        <v>43021</v>
      </c>
      <c r="D1096" t="s">
        <v>300</v>
      </c>
      <c r="E1096">
        <v>31.680000000000003</v>
      </c>
    </row>
    <row r="1097" spans="2:5">
      <c r="B1097" s="17">
        <v>43021</v>
      </c>
      <c r="D1097" t="s">
        <v>300</v>
      </c>
      <c r="E1097">
        <v>2003.1680000000001</v>
      </c>
    </row>
    <row r="1098" spans="2:5">
      <c r="B1098" s="17">
        <v>43021</v>
      </c>
      <c r="D1098" t="s">
        <v>300</v>
      </c>
      <c r="E1098">
        <v>9.3439999999999994</v>
      </c>
    </row>
    <row r="1099" spans="2:5">
      <c r="B1099" s="17">
        <v>43020</v>
      </c>
      <c r="D1099" t="s">
        <v>300</v>
      </c>
      <c r="E1099">
        <v>604.76800000000003</v>
      </c>
    </row>
    <row r="1100" spans="2:5">
      <c r="B1100" s="17">
        <v>43020</v>
      </c>
      <c r="D1100" t="s">
        <v>300</v>
      </c>
      <c r="E1100">
        <v>59.969999999999992</v>
      </c>
    </row>
    <row r="1101" spans="2:5">
      <c r="B1101" s="17">
        <v>43020</v>
      </c>
      <c r="D1101" t="s">
        <v>300</v>
      </c>
      <c r="E1101">
        <v>78.304000000000002</v>
      </c>
    </row>
    <row r="1102" spans="2:5">
      <c r="B1102" s="17">
        <v>43020</v>
      </c>
      <c r="D1102" t="s">
        <v>1172</v>
      </c>
      <c r="E1102">
        <v>21.456</v>
      </c>
    </row>
    <row r="1103" spans="2:5">
      <c r="B1103" s="17">
        <v>43020</v>
      </c>
      <c r="D1103" t="s">
        <v>1172</v>
      </c>
      <c r="E1103">
        <v>86.26</v>
      </c>
    </row>
    <row r="1104" spans="2:5">
      <c r="B1104" s="17">
        <v>43020</v>
      </c>
      <c r="D1104" t="s">
        <v>1172</v>
      </c>
      <c r="E1104">
        <v>139.04</v>
      </c>
    </row>
    <row r="1105" spans="2:5">
      <c r="B1105" s="17">
        <v>43020</v>
      </c>
      <c r="D1105" t="s">
        <v>1172</v>
      </c>
      <c r="E1105">
        <v>46.8</v>
      </c>
    </row>
    <row r="1106" spans="2:5">
      <c r="B1106" s="17">
        <v>43020</v>
      </c>
      <c r="D1106" t="s">
        <v>571</v>
      </c>
      <c r="E1106">
        <v>30.960000000000004</v>
      </c>
    </row>
    <row r="1107" spans="2:5">
      <c r="B1107" s="17">
        <v>43020</v>
      </c>
      <c r="D1107" t="s">
        <v>571</v>
      </c>
      <c r="E1107">
        <v>5.2290000000000001</v>
      </c>
    </row>
    <row r="1108" spans="2:5">
      <c r="B1108" s="17">
        <v>43020</v>
      </c>
      <c r="D1108" t="s">
        <v>571</v>
      </c>
      <c r="E1108">
        <v>3.8820000000000006</v>
      </c>
    </row>
    <row r="1109" spans="2:5">
      <c r="B1109" s="17">
        <v>43020</v>
      </c>
      <c r="D1109" t="s">
        <v>571</v>
      </c>
      <c r="E1109">
        <v>115.29600000000001</v>
      </c>
    </row>
    <row r="1110" spans="2:5">
      <c r="B1110" s="17">
        <v>43020</v>
      </c>
      <c r="D1110" t="s">
        <v>571</v>
      </c>
      <c r="E1110">
        <v>5.1840000000000011</v>
      </c>
    </row>
    <row r="1111" spans="2:5">
      <c r="B1111" s="17">
        <v>43020</v>
      </c>
      <c r="D1111" t="s">
        <v>886</v>
      </c>
      <c r="E1111">
        <v>65.584000000000003</v>
      </c>
    </row>
    <row r="1112" spans="2:5">
      <c r="B1112" s="17">
        <v>43020</v>
      </c>
      <c r="D1112" t="s">
        <v>886</v>
      </c>
      <c r="E1112">
        <v>22.200000000000003</v>
      </c>
    </row>
    <row r="1113" spans="2:5">
      <c r="B1113" s="17">
        <v>43020</v>
      </c>
      <c r="D1113" t="s">
        <v>886</v>
      </c>
      <c r="E1113">
        <v>419.4</v>
      </c>
    </row>
    <row r="1114" spans="2:5">
      <c r="B1114" s="17">
        <v>43020</v>
      </c>
      <c r="D1114" t="s">
        <v>886</v>
      </c>
      <c r="E1114">
        <v>32.67</v>
      </c>
    </row>
    <row r="1115" spans="2:5">
      <c r="B1115" s="17">
        <v>43020</v>
      </c>
      <c r="D1115" t="s">
        <v>1185</v>
      </c>
      <c r="E1115">
        <v>7.120000000000001</v>
      </c>
    </row>
    <row r="1116" spans="2:5">
      <c r="B1116" s="17">
        <v>43020</v>
      </c>
      <c r="D1116" t="s">
        <v>1185</v>
      </c>
      <c r="E1116">
        <v>1640.6999999999998</v>
      </c>
    </row>
    <row r="1117" spans="2:5">
      <c r="B1117" s="17">
        <v>43018</v>
      </c>
      <c r="D1117" t="s">
        <v>1185</v>
      </c>
      <c r="E1117">
        <v>371.2</v>
      </c>
    </row>
    <row r="1118" spans="2:5">
      <c r="B1118" s="17">
        <v>43017</v>
      </c>
      <c r="D1118" t="s">
        <v>1185</v>
      </c>
      <c r="E1118">
        <v>359.96999999999997</v>
      </c>
    </row>
    <row r="1119" spans="2:5">
      <c r="B1119" s="17">
        <v>43017</v>
      </c>
      <c r="D1119" t="s">
        <v>595</v>
      </c>
      <c r="E1119">
        <v>46.24</v>
      </c>
    </row>
    <row r="1120" spans="2:5">
      <c r="B1120" s="17">
        <v>43017</v>
      </c>
      <c r="D1120" t="s">
        <v>595</v>
      </c>
      <c r="E1120">
        <v>29.900000000000002</v>
      </c>
    </row>
    <row r="1121" spans="2:5">
      <c r="B1121" s="17">
        <v>43017</v>
      </c>
      <c r="D1121" t="s">
        <v>595</v>
      </c>
      <c r="E1121">
        <v>127.98399999999999</v>
      </c>
    </row>
    <row r="1122" spans="2:5">
      <c r="B1122" s="17">
        <v>43017</v>
      </c>
      <c r="D1122" t="s">
        <v>595</v>
      </c>
      <c r="E1122">
        <v>3.9840000000000004</v>
      </c>
    </row>
    <row r="1123" spans="2:5">
      <c r="B1123" s="17">
        <v>43017</v>
      </c>
      <c r="D1123" t="s">
        <v>595</v>
      </c>
      <c r="E1123">
        <v>12.991999999999996</v>
      </c>
    </row>
    <row r="1124" spans="2:5">
      <c r="B1124" s="17">
        <v>43017</v>
      </c>
      <c r="D1124" t="s">
        <v>595</v>
      </c>
      <c r="E1124">
        <v>21.12</v>
      </c>
    </row>
    <row r="1125" spans="2:5">
      <c r="B1125" s="17">
        <v>43017</v>
      </c>
      <c r="D1125" t="s">
        <v>595</v>
      </c>
      <c r="E1125">
        <v>354.90000000000003</v>
      </c>
    </row>
    <row r="1126" spans="2:5">
      <c r="B1126" s="17">
        <v>43017</v>
      </c>
      <c r="D1126" t="s">
        <v>110</v>
      </c>
      <c r="E1126">
        <v>23.12</v>
      </c>
    </row>
    <row r="1127" spans="2:5">
      <c r="B1127" s="17">
        <v>43017</v>
      </c>
      <c r="D1127" t="s">
        <v>110</v>
      </c>
      <c r="E1127">
        <v>21.335999999999999</v>
      </c>
    </row>
    <row r="1128" spans="2:5">
      <c r="B1128" s="17">
        <v>43017</v>
      </c>
      <c r="D1128" t="s">
        <v>110</v>
      </c>
      <c r="E1128">
        <v>963.13600000000008</v>
      </c>
    </row>
    <row r="1129" spans="2:5">
      <c r="B1129" s="17">
        <v>43016</v>
      </c>
      <c r="D1129" t="s">
        <v>110</v>
      </c>
      <c r="E1129">
        <v>88.77600000000001</v>
      </c>
    </row>
    <row r="1130" spans="2:5">
      <c r="B1130" s="17">
        <v>43016</v>
      </c>
      <c r="D1130" t="s">
        <v>110</v>
      </c>
      <c r="E1130">
        <v>20.7</v>
      </c>
    </row>
    <row r="1131" spans="2:5">
      <c r="B1131" s="17">
        <v>43016</v>
      </c>
      <c r="D1131" t="s">
        <v>110</v>
      </c>
      <c r="E1131">
        <v>147.56800000000001</v>
      </c>
    </row>
    <row r="1132" spans="2:5">
      <c r="B1132" s="17">
        <v>43016</v>
      </c>
      <c r="D1132" t="s">
        <v>110</v>
      </c>
      <c r="E1132">
        <v>6.63</v>
      </c>
    </row>
    <row r="1133" spans="2:5">
      <c r="B1133" s="17">
        <v>43016</v>
      </c>
      <c r="D1133" t="s">
        <v>110</v>
      </c>
      <c r="E1133">
        <v>799.96</v>
      </c>
    </row>
    <row r="1134" spans="2:5">
      <c r="B1134" s="17">
        <v>43016</v>
      </c>
      <c r="D1134" t="s">
        <v>110</v>
      </c>
      <c r="E1134">
        <v>107.53</v>
      </c>
    </row>
    <row r="1135" spans="2:5">
      <c r="B1135" s="17">
        <v>43015</v>
      </c>
      <c r="D1135" t="s">
        <v>1551</v>
      </c>
      <c r="E1135">
        <v>25.02</v>
      </c>
    </row>
    <row r="1136" spans="2:5">
      <c r="B1136" s="17">
        <v>43015</v>
      </c>
      <c r="D1136" t="s">
        <v>1551</v>
      </c>
      <c r="E1136">
        <v>10.709999999999999</v>
      </c>
    </row>
    <row r="1137" spans="2:5">
      <c r="B1137" s="17">
        <v>43015</v>
      </c>
      <c r="D1137" t="s">
        <v>1551</v>
      </c>
      <c r="E1137">
        <v>17.940000000000001</v>
      </c>
    </row>
    <row r="1138" spans="2:5">
      <c r="B1138" s="17">
        <v>43015</v>
      </c>
      <c r="D1138" t="s">
        <v>1551</v>
      </c>
      <c r="E1138">
        <v>90.64</v>
      </c>
    </row>
    <row r="1139" spans="2:5">
      <c r="B1139" s="17">
        <v>43015</v>
      </c>
      <c r="D1139" t="s">
        <v>979</v>
      </c>
      <c r="E1139">
        <v>37.94</v>
      </c>
    </row>
    <row r="1140" spans="2:5">
      <c r="B1140" s="17">
        <v>43015</v>
      </c>
      <c r="D1140" t="s">
        <v>979</v>
      </c>
      <c r="E1140">
        <v>579.51</v>
      </c>
    </row>
    <row r="1141" spans="2:5">
      <c r="B1141" s="17">
        <v>43015</v>
      </c>
      <c r="D1141" t="s">
        <v>979</v>
      </c>
      <c r="E1141">
        <v>14.99</v>
      </c>
    </row>
    <row r="1142" spans="2:5">
      <c r="B1142" s="17">
        <v>43015</v>
      </c>
      <c r="D1142" t="s">
        <v>979</v>
      </c>
      <c r="E1142">
        <v>18.368000000000002</v>
      </c>
    </row>
    <row r="1143" spans="2:5">
      <c r="B1143" s="17">
        <v>43015</v>
      </c>
      <c r="D1143" t="s">
        <v>667</v>
      </c>
      <c r="E1143">
        <v>600.55799999999999</v>
      </c>
    </row>
    <row r="1144" spans="2:5">
      <c r="B1144" s="17">
        <v>43015</v>
      </c>
      <c r="D1144" t="s">
        <v>667</v>
      </c>
      <c r="E1144">
        <v>50.352000000000004</v>
      </c>
    </row>
    <row r="1145" spans="2:5">
      <c r="B1145" s="17">
        <v>43015</v>
      </c>
      <c r="D1145" t="s">
        <v>667</v>
      </c>
      <c r="E1145">
        <v>28.031999999999996</v>
      </c>
    </row>
    <row r="1146" spans="2:5">
      <c r="B1146" s="17">
        <v>43014</v>
      </c>
      <c r="D1146" t="s">
        <v>667</v>
      </c>
      <c r="E1146">
        <v>7.6920000000000002</v>
      </c>
    </row>
    <row r="1147" spans="2:5">
      <c r="B1147" s="17">
        <v>43014</v>
      </c>
      <c r="D1147" t="s">
        <v>667</v>
      </c>
      <c r="E1147">
        <v>480.96</v>
      </c>
    </row>
    <row r="1148" spans="2:5">
      <c r="B1148" s="17">
        <v>43014</v>
      </c>
      <c r="D1148" t="s">
        <v>667</v>
      </c>
      <c r="E1148">
        <v>124.79200000000002</v>
      </c>
    </row>
    <row r="1149" spans="2:5">
      <c r="B1149" s="17">
        <v>43014</v>
      </c>
      <c r="D1149" t="s">
        <v>667</v>
      </c>
      <c r="E1149">
        <v>29.160000000000004</v>
      </c>
    </row>
    <row r="1150" spans="2:5">
      <c r="B1150" s="17">
        <v>43014</v>
      </c>
      <c r="D1150" t="s">
        <v>667</v>
      </c>
      <c r="E1150">
        <v>11.76</v>
      </c>
    </row>
    <row r="1151" spans="2:5">
      <c r="B1151" s="17">
        <v>43014</v>
      </c>
      <c r="D1151" t="s">
        <v>667</v>
      </c>
      <c r="E1151">
        <v>166.45</v>
      </c>
    </row>
    <row r="1152" spans="2:5">
      <c r="B1152" s="17">
        <v>43014</v>
      </c>
      <c r="D1152" t="s">
        <v>667</v>
      </c>
      <c r="E1152">
        <v>89.066399999999987</v>
      </c>
    </row>
    <row r="1153" spans="2:5">
      <c r="B1153" s="17">
        <v>43014</v>
      </c>
      <c r="D1153" t="s">
        <v>954</v>
      </c>
      <c r="E1153">
        <v>175.44</v>
      </c>
    </row>
    <row r="1154" spans="2:5">
      <c r="B1154" s="17">
        <v>43014</v>
      </c>
      <c r="D1154" t="s">
        <v>954</v>
      </c>
      <c r="E1154">
        <v>438.33600000000001</v>
      </c>
    </row>
    <row r="1155" spans="2:5">
      <c r="B1155" s="17">
        <v>43014</v>
      </c>
      <c r="D1155" t="s">
        <v>954</v>
      </c>
      <c r="E1155">
        <v>455.97</v>
      </c>
    </row>
    <row r="1156" spans="2:5">
      <c r="B1156" s="17">
        <v>43014</v>
      </c>
      <c r="D1156" t="s">
        <v>954</v>
      </c>
      <c r="E1156">
        <v>5.7150000000000016</v>
      </c>
    </row>
    <row r="1157" spans="2:5">
      <c r="B1157" s="17">
        <v>43014</v>
      </c>
      <c r="D1157" t="s">
        <v>954</v>
      </c>
      <c r="E1157">
        <v>57.593999999999994</v>
      </c>
    </row>
    <row r="1158" spans="2:5">
      <c r="B1158" s="17">
        <v>43013</v>
      </c>
      <c r="D1158" t="s">
        <v>954</v>
      </c>
      <c r="E1158">
        <v>30.144000000000002</v>
      </c>
    </row>
    <row r="1159" spans="2:5">
      <c r="B1159" s="17">
        <v>43013</v>
      </c>
      <c r="D1159" t="s">
        <v>1554</v>
      </c>
      <c r="E1159">
        <v>899.43</v>
      </c>
    </row>
    <row r="1160" spans="2:5">
      <c r="B1160" s="17">
        <v>43013</v>
      </c>
      <c r="D1160" t="s">
        <v>1706</v>
      </c>
      <c r="E1160">
        <v>167.976</v>
      </c>
    </row>
    <row r="1161" spans="2:5">
      <c r="B1161" s="17">
        <v>43013</v>
      </c>
      <c r="D1161" t="s">
        <v>1706</v>
      </c>
      <c r="E1161">
        <v>109.53</v>
      </c>
    </row>
    <row r="1162" spans="2:5">
      <c r="B1162" s="17">
        <v>43013</v>
      </c>
      <c r="D1162" t="s">
        <v>1706</v>
      </c>
      <c r="E1162">
        <v>9.82</v>
      </c>
    </row>
    <row r="1163" spans="2:5">
      <c r="B1163" s="17">
        <v>43013</v>
      </c>
      <c r="D1163" t="s">
        <v>1706</v>
      </c>
      <c r="E1163">
        <v>1245.8599999999999</v>
      </c>
    </row>
    <row r="1164" spans="2:5">
      <c r="B1164" s="17">
        <v>43013</v>
      </c>
      <c r="D1164" t="s">
        <v>1706</v>
      </c>
      <c r="E1164">
        <v>11.22</v>
      </c>
    </row>
    <row r="1165" spans="2:5">
      <c r="B1165" s="17">
        <v>43013</v>
      </c>
      <c r="D1165" t="s">
        <v>1706</v>
      </c>
      <c r="E1165">
        <v>12.84</v>
      </c>
    </row>
    <row r="1166" spans="2:5">
      <c r="B1166" s="17">
        <v>43013</v>
      </c>
      <c r="D1166" t="s">
        <v>1706</v>
      </c>
      <c r="E1166">
        <v>44.67</v>
      </c>
    </row>
    <row r="1167" spans="2:5">
      <c r="B1167" s="17">
        <v>43013</v>
      </c>
      <c r="D1167" t="s">
        <v>752</v>
      </c>
      <c r="E1167">
        <v>22.23</v>
      </c>
    </row>
    <row r="1168" spans="2:5">
      <c r="B1168" s="17">
        <v>43013</v>
      </c>
      <c r="D1168" t="s">
        <v>752</v>
      </c>
      <c r="E1168">
        <v>6.56</v>
      </c>
    </row>
    <row r="1169" spans="2:5">
      <c r="B1169" s="17">
        <v>43013</v>
      </c>
      <c r="D1169" t="s">
        <v>752</v>
      </c>
      <c r="E1169">
        <v>13.11</v>
      </c>
    </row>
    <row r="1170" spans="2:5">
      <c r="B1170" s="17">
        <v>43013</v>
      </c>
      <c r="D1170" t="s">
        <v>752</v>
      </c>
      <c r="E1170">
        <v>9.4320000000000004</v>
      </c>
    </row>
    <row r="1171" spans="2:5">
      <c r="B1171" s="17">
        <v>43013</v>
      </c>
      <c r="D1171" t="s">
        <v>1222</v>
      </c>
      <c r="E1171">
        <v>31.992000000000004</v>
      </c>
    </row>
    <row r="1172" spans="2:5">
      <c r="B1172" s="17">
        <v>43013</v>
      </c>
      <c r="D1172" t="s">
        <v>1222</v>
      </c>
      <c r="E1172">
        <v>51.168000000000006</v>
      </c>
    </row>
    <row r="1173" spans="2:5">
      <c r="B1173" s="17">
        <v>43012</v>
      </c>
      <c r="D1173" t="s">
        <v>1222</v>
      </c>
      <c r="E1173">
        <v>10.64</v>
      </c>
    </row>
    <row r="1174" spans="2:5">
      <c r="B1174" s="17">
        <v>43011</v>
      </c>
      <c r="D1174" t="s">
        <v>1222</v>
      </c>
      <c r="E1174">
        <v>68.703999999999994</v>
      </c>
    </row>
    <row r="1175" spans="2:5">
      <c r="B1175" s="17">
        <v>43011</v>
      </c>
      <c r="D1175" t="s">
        <v>1058</v>
      </c>
      <c r="E1175">
        <v>386.91</v>
      </c>
    </row>
    <row r="1176" spans="2:5">
      <c r="B1176" s="17">
        <v>43011</v>
      </c>
      <c r="D1176" t="s">
        <v>1058</v>
      </c>
      <c r="E1176">
        <v>47.904000000000003</v>
      </c>
    </row>
    <row r="1177" spans="2:5">
      <c r="B1177" s="17">
        <v>43011</v>
      </c>
      <c r="D1177" t="s">
        <v>1058</v>
      </c>
      <c r="E1177">
        <v>37.44</v>
      </c>
    </row>
    <row r="1178" spans="2:5">
      <c r="B1178" s="17">
        <v>43011</v>
      </c>
      <c r="D1178" t="s">
        <v>1058</v>
      </c>
      <c r="E1178">
        <v>8.4</v>
      </c>
    </row>
    <row r="1179" spans="2:5">
      <c r="B1179" s="17">
        <v>43011</v>
      </c>
      <c r="D1179" t="s">
        <v>1058</v>
      </c>
      <c r="E1179">
        <v>71.959999999999994</v>
      </c>
    </row>
    <row r="1180" spans="2:5">
      <c r="B1180" s="17">
        <v>43011</v>
      </c>
      <c r="D1180" t="s">
        <v>1058</v>
      </c>
      <c r="E1180">
        <v>4.9560000000000004</v>
      </c>
    </row>
    <row r="1181" spans="2:5">
      <c r="B1181" s="17">
        <v>43011</v>
      </c>
      <c r="D1181" t="s">
        <v>422</v>
      </c>
      <c r="E1181">
        <v>123.92000000000002</v>
      </c>
    </row>
    <row r="1182" spans="2:5">
      <c r="B1182" s="17">
        <v>43011</v>
      </c>
      <c r="D1182" t="s">
        <v>422</v>
      </c>
      <c r="E1182">
        <v>1319.8</v>
      </c>
    </row>
    <row r="1183" spans="2:5">
      <c r="B1183" s="17">
        <v>43010</v>
      </c>
      <c r="D1183" t="s">
        <v>422</v>
      </c>
      <c r="E1183">
        <v>1.7879999999999996</v>
      </c>
    </row>
    <row r="1184" spans="2:5">
      <c r="B1184" s="17">
        <v>43010</v>
      </c>
      <c r="D1184" t="s">
        <v>422</v>
      </c>
      <c r="E1184">
        <v>196.78399999999999</v>
      </c>
    </row>
    <row r="1185" spans="2:5">
      <c r="B1185" s="17">
        <v>43010</v>
      </c>
      <c r="D1185" t="s">
        <v>422</v>
      </c>
      <c r="E1185">
        <v>81.92</v>
      </c>
    </row>
    <row r="1186" spans="2:5">
      <c r="B1186" s="17">
        <v>43010</v>
      </c>
      <c r="D1186" t="s">
        <v>422</v>
      </c>
      <c r="E1186">
        <v>889.53600000000006</v>
      </c>
    </row>
    <row r="1187" spans="2:5">
      <c r="B1187" s="17">
        <v>43010</v>
      </c>
      <c r="D1187" t="s">
        <v>422</v>
      </c>
      <c r="E1187">
        <v>892.22400000000005</v>
      </c>
    </row>
    <row r="1188" spans="2:5">
      <c r="B1188" s="17">
        <v>43010</v>
      </c>
      <c r="D1188" t="s">
        <v>422</v>
      </c>
      <c r="E1188">
        <v>23.12</v>
      </c>
    </row>
    <row r="1189" spans="2:5">
      <c r="B1189" s="17">
        <v>43010</v>
      </c>
      <c r="D1189" t="s">
        <v>422</v>
      </c>
      <c r="E1189">
        <v>356.78999999999996</v>
      </c>
    </row>
    <row r="1190" spans="2:5">
      <c r="B1190" s="17">
        <v>43010</v>
      </c>
      <c r="D1190" t="s">
        <v>227</v>
      </c>
      <c r="E1190">
        <v>91.96</v>
      </c>
    </row>
    <row r="1191" spans="2:5">
      <c r="B1191" s="17">
        <v>43010</v>
      </c>
      <c r="D1191" t="s">
        <v>227</v>
      </c>
      <c r="E1191">
        <v>29.6</v>
      </c>
    </row>
    <row r="1192" spans="2:5">
      <c r="B1192" s="17">
        <v>43010</v>
      </c>
      <c r="D1192" t="s">
        <v>227</v>
      </c>
      <c r="E1192">
        <v>9.84</v>
      </c>
    </row>
    <row r="1193" spans="2:5">
      <c r="B1193" s="17">
        <v>43010</v>
      </c>
      <c r="D1193" t="s">
        <v>227</v>
      </c>
      <c r="E1193">
        <v>7.78</v>
      </c>
    </row>
    <row r="1194" spans="2:5">
      <c r="B1194" s="17">
        <v>43010</v>
      </c>
      <c r="D1194" t="s">
        <v>254</v>
      </c>
      <c r="E1194">
        <v>6.9760000000000009</v>
      </c>
    </row>
    <row r="1195" spans="2:5">
      <c r="B1195" s="17">
        <v>43010</v>
      </c>
      <c r="D1195" t="s">
        <v>254</v>
      </c>
      <c r="E1195">
        <v>12.221999999999998</v>
      </c>
    </row>
    <row r="1196" spans="2:5">
      <c r="B1196" s="17">
        <v>43010</v>
      </c>
      <c r="D1196" t="s">
        <v>254</v>
      </c>
      <c r="E1196">
        <v>196.77600000000001</v>
      </c>
    </row>
    <row r="1197" spans="2:5">
      <c r="B1197" s="17">
        <v>43010</v>
      </c>
      <c r="D1197" t="s">
        <v>254</v>
      </c>
      <c r="E1197">
        <v>479.93999999999994</v>
      </c>
    </row>
    <row r="1198" spans="2:5">
      <c r="B1198" s="17">
        <v>43010</v>
      </c>
      <c r="D1198" t="s">
        <v>254</v>
      </c>
      <c r="E1198">
        <v>59.519999999999996</v>
      </c>
    </row>
    <row r="1199" spans="2:5">
      <c r="B1199" s="17">
        <v>43010</v>
      </c>
      <c r="D1199" t="s">
        <v>254</v>
      </c>
      <c r="E1199">
        <v>57.959999999999994</v>
      </c>
    </row>
    <row r="1200" spans="2:5">
      <c r="B1200" s="17">
        <v>43010</v>
      </c>
      <c r="D1200" t="s">
        <v>254</v>
      </c>
      <c r="E1200">
        <v>441.96</v>
      </c>
    </row>
    <row r="1201" spans="2:5">
      <c r="B1201" s="17">
        <v>43010</v>
      </c>
      <c r="D1201" t="s">
        <v>254</v>
      </c>
      <c r="E1201">
        <v>68.039999999999992</v>
      </c>
    </row>
    <row r="1202" spans="2:5">
      <c r="B1202" s="17">
        <v>43010</v>
      </c>
      <c r="D1202" t="s">
        <v>521</v>
      </c>
      <c r="E1202">
        <v>18.528000000000002</v>
      </c>
    </row>
    <row r="1203" spans="2:5">
      <c r="B1203" s="17">
        <v>43010</v>
      </c>
      <c r="D1203" t="s">
        <v>521</v>
      </c>
      <c r="E1203">
        <v>107.64800000000001</v>
      </c>
    </row>
    <row r="1204" spans="2:5">
      <c r="B1204" s="17">
        <v>43010</v>
      </c>
      <c r="D1204" t="s">
        <v>521</v>
      </c>
      <c r="E1204">
        <v>0.55599999999999983</v>
      </c>
    </row>
    <row r="1205" spans="2:5">
      <c r="B1205" s="17">
        <v>43010</v>
      </c>
      <c r="D1205" t="s">
        <v>521</v>
      </c>
      <c r="E1205">
        <v>72.8</v>
      </c>
    </row>
    <row r="1206" spans="2:5">
      <c r="B1206" s="17">
        <v>43010</v>
      </c>
      <c r="D1206" t="s">
        <v>521</v>
      </c>
      <c r="E1206">
        <v>26.880000000000003</v>
      </c>
    </row>
    <row r="1207" spans="2:5">
      <c r="B1207" s="17">
        <v>43010</v>
      </c>
      <c r="D1207" t="s">
        <v>521</v>
      </c>
      <c r="E1207">
        <v>180.98</v>
      </c>
    </row>
    <row r="1208" spans="2:5">
      <c r="B1208" s="17">
        <v>43010</v>
      </c>
      <c r="D1208" t="s">
        <v>521</v>
      </c>
      <c r="E1208">
        <v>99.98</v>
      </c>
    </row>
    <row r="1209" spans="2:5">
      <c r="B1209" s="17">
        <v>43009</v>
      </c>
      <c r="D1209" t="s">
        <v>521</v>
      </c>
      <c r="E1209">
        <v>1049.44</v>
      </c>
    </row>
    <row r="1210" spans="2:5">
      <c r="B1210" s="17">
        <v>43009</v>
      </c>
      <c r="D1210" t="s">
        <v>521</v>
      </c>
      <c r="E1210">
        <v>170.35200000000003</v>
      </c>
    </row>
    <row r="1211" spans="2:5">
      <c r="B1211" s="17">
        <v>43009</v>
      </c>
      <c r="D1211" t="s">
        <v>521</v>
      </c>
      <c r="E1211">
        <v>399.67200000000003</v>
      </c>
    </row>
    <row r="1212" spans="2:5">
      <c r="B1212" s="17">
        <v>43009</v>
      </c>
      <c r="D1212" t="s">
        <v>521</v>
      </c>
      <c r="E1212">
        <v>9.32</v>
      </c>
    </row>
    <row r="1213" spans="2:5">
      <c r="B1213" s="17">
        <v>43009</v>
      </c>
      <c r="D1213" t="s">
        <v>378</v>
      </c>
      <c r="E1213">
        <v>15.25</v>
      </c>
    </row>
    <row r="1214" spans="2:5">
      <c r="B1214" s="17">
        <v>43009</v>
      </c>
      <c r="D1214" t="s">
        <v>378</v>
      </c>
      <c r="E1214">
        <v>89.567999999999998</v>
      </c>
    </row>
    <row r="1215" spans="2:5">
      <c r="B1215" s="17">
        <v>43009</v>
      </c>
      <c r="D1215" t="s">
        <v>378</v>
      </c>
      <c r="E1215">
        <v>103.50000000000001</v>
      </c>
    </row>
    <row r="1216" spans="2:5">
      <c r="B1216" s="17">
        <v>43009</v>
      </c>
      <c r="D1216" t="s">
        <v>378</v>
      </c>
      <c r="E1216">
        <v>2.4640000000000004</v>
      </c>
    </row>
    <row r="1217" spans="2:5">
      <c r="B1217" s="17">
        <v>43009</v>
      </c>
      <c r="D1217" t="s">
        <v>378</v>
      </c>
      <c r="E1217">
        <v>8.7200000000000006</v>
      </c>
    </row>
    <row r="1218" spans="2:5">
      <c r="B1218" s="17">
        <v>43009</v>
      </c>
      <c r="D1218" t="s">
        <v>378</v>
      </c>
      <c r="E1218">
        <v>25.06</v>
      </c>
    </row>
    <row r="1219" spans="2:5">
      <c r="B1219" s="17">
        <v>43009</v>
      </c>
      <c r="D1219" t="s">
        <v>378</v>
      </c>
      <c r="E1219">
        <v>7.9</v>
      </c>
    </row>
    <row r="1220" spans="2:5">
      <c r="B1220" s="17">
        <v>43009</v>
      </c>
      <c r="D1220" t="s">
        <v>378</v>
      </c>
      <c r="E1220">
        <v>127.96</v>
      </c>
    </row>
    <row r="1221" spans="2:5">
      <c r="B1221" s="17">
        <v>43008</v>
      </c>
      <c r="D1221" t="s">
        <v>1319</v>
      </c>
      <c r="E1221">
        <v>18.690000000000001</v>
      </c>
    </row>
    <row r="1222" spans="2:5">
      <c r="B1222" s="17">
        <v>43008</v>
      </c>
      <c r="D1222" t="s">
        <v>1319</v>
      </c>
      <c r="E1222">
        <v>42.68</v>
      </c>
    </row>
    <row r="1223" spans="2:5">
      <c r="B1223" s="17">
        <v>43008</v>
      </c>
      <c r="D1223" t="s">
        <v>1319</v>
      </c>
      <c r="E1223">
        <v>26.38</v>
      </c>
    </row>
    <row r="1224" spans="2:5">
      <c r="B1224" s="17">
        <v>43008</v>
      </c>
      <c r="D1224" t="s">
        <v>1319</v>
      </c>
      <c r="E1224">
        <v>71.97</v>
      </c>
    </row>
    <row r="1225" spans="2:5">
      <c r="B1225" s="17">
        <v>43008</v>
      </c>
      <c r="D1225" t="s">
        <v>1236</v>
      </c>
      <c r="E1225">
        <v>14.976000000000001</v>
      </c>
    </row>
    <row r="1226" spans="2:5">
      <c r="B1226" s="17">
        <v>43008</v>
      </c>
      <c r="D1226" t="s">
        <v>1236</v>
      </c>
      <c r="E1226">
        <v>67.78</v>
      </c>
    </row>
    <row r="1227" spans="2:5">
      <c r="B1227" s="17">
        <v>43008</v>
      </c>
      <c r="D1227" t="s">
        <v>1236</v>
      </c>
      <c r="E1227">
        <v>23.88</v>
      </c>
    </row>
    <row r="1228" spans="2:5">
      <c r="B1228" s="17">
        <v>43007</v>
      </c>
      <c r="D1228" t="s">
        <v>1236</v>
      </c>
      <c r="E1228">
        <v>11.52</v>
      </c>
    </row>
    <row r="1229" spans="2:5">
      <c r="B1229" s="17">
        <v>43007</v>
      </c>
      <c r="D1229" t="s">
        <v>615</v>
      </c>
      <c r="E1229">
        <v>4.9280000000000008</v>
      </c>
    </row>
    <row r="1230" spans="2:5">
      <c r="B1230" s="17">
        <v>43007</v>
      </c>
      <c r="D1230" t="s">
        <v>615</v>
      </c>
      <c r="E1230">
        <v>63.488</v>
      </c>
    </row>
    <row r="1231" spans="2:5">
      <c r="B1231" s="17">
        <v>43007</v>
      </c>
      <c r="D1231" t="s">
        <v>615</v>
      </c>
      <c r="E1231">
        <v>49.08</v>
      </c>
    </row>
    <row r="1232" spans="2:5">
      <c r="B1232" s="17">
        <v>43007</v>
      </c>
      <c r="D1232" t="s">
        <v>219</v>
      </c>
      <c r="E1232">
        <v>25.92</v>
      </c>
    </row>
    <row r="1233" spans="2:5">
      <c r="B1233" s="17">
        <v>43007</v>
      </c>
      <c r="D1233" t="s">
        <v>219</v>
      </c>
      <c r="E1233">
        <v>91.59</v>
      </c>
    </row>
    <row r="1234" spans="2:5">
      <c r="B1234" s="17">
        <v>43007</v>
      </c>
      <c r="D1234" t="s">
        <v>219</v>
      </c>
      <c r="E1234">
        <v>647.84</v>
      </c>
    </row>
    <row r="1235" spans="2:5">
      <c r="B1235" s="17">
        <v>43007</v>
      </c>
      <c r="D1235" t="s">
        <v>219</v>
      </c>
      <c r="E1235">
        <v>20.7</v>
      </c>
    </row>
    <row r="1236" spans="2:5">
      <c r="B1236" s="17">
        <v>43007</v>
      </c>
      <c r="D1236" t="s">
        <v>1059</v>
      </c>
      <c r="E1236">
        <v>171.20000000000002</v>
      </c>
    </row>
    <row r="1237" spans="2:5">
      <c r="B1237" s="17">
        <v>43007</v>
      </c>
      <c r="D1237" t="s">
        <v>1059</v>
      </c>
      <c r="E1237">
        <v>3.36</v>
      </c>
    </row>
    <row r="1238" spans="2:5">
      <c r="B1238" s="17">
        <v>43007</v>
      </c>
      <c r="D1238" t="s">
        <v>1059</v>
      </c>
      <c r="E1238">
        <v>479.98400000000004</v>
      </c>
    </row>
    <row r="1239" spans="2:5">
      <c r="B1239" s="17">
        <v>43007</v>
      </c>
      <c r="D1239" t="s">
        <v>158</v>
      </c>
      <c r="E1239">
        <v>30.84</v>
      </c>
    </row>
    <row r="1240" spans="2:5">
      <c r="B1240" s="17">
        <v>43007</v>
      </c>
      <c r="D1240" t="s">
        <v>158</v>
      </c>
      <c r="E1240">
        <v>5.2480000000000002</v>
      </c>
    </row>
    <row r="1241" spans="2:5">
      <c r="B1241" s="17">
        <v>43007</v>
      </c>
      <c r="D1241" t="s">
        <v>158</v>
      </c>
      <c r="E1241">
        <v>35.909999999999997</v>
      </c>
    </row>
    <row r="1242" spans="2:5">
      <c r="B1242" s="17">
        <v>43007</v>
      </c>
      <c r="D1242" t="s">
        <v>158</v>
      </c>
      <c r="E1242">
        <v>6.6959999999999997</v>
      </c>
    </row>
    <row r="1243" spans="2:5">
      <c r="B1243" s="17">
        <v>43007</v>
      </c>
      <c r="D1243" t="s">
        <v>158</v>
      </c>
      <c r="E1243">
        <v>43.872000000000007</v>
      </c>
    </row>
    <row r="1244" spans="2:5">
      <c r="B1244" s="17">
        <v>43007</v>
      </c>
      <c r="D1244" t="s">
        <v>158</v>
      </c>
      <c r="E1244">
        <v>53.981999999999999</v>
      </c>
    </row>
    <row r="1245" spans="2:5">
      <c r="B1245" s="17">
        <v>43007</v>
      </c>
      <c r="D1245" t="s">
        <v>158</v>
      </c>
      <c r="E1245">
        <v>48.783999999999999</v>
      </c>
    </row>
    <row r="1246" spans="2:5">
      <c r="B1246" s="17">
        <v>43007</v>
      </c>
      <c r="D1246" t="s">
        <v>158</v>
      </c>
      <c r="E1246">
        <v>13.092000000000002</v>
      </c>
    </row>
    <row r="1247" spans="2:5">
      <c r="B1247" s="17">
        <v>43007</v>
      </c>
      <c r="D1247" t="s">
        <v>158</v>
      </c>
      <c r="E1247">
        <v>111.96</v>
      </c>
    </row>
    <row r="1248" spans="2:5">
      <c r="B1248" s="17">
        <v>43007</v>
      </c>
      <c r="D1248" t="s">
        <v>432</v>
      </c>
      <c r="E1248">
        <v>933.40800000000002</v>
      </c>
    </row>
    <row r="1249" spans="2:5">
      <c r="B1249" s="17">
        <v>43006</v>
      </c>
      <c r="D1249" t="s">
        <v>432</v>
      </c>
      <c r="E1249">
        <v>895.92</v>
      </c>
    </row>
    <row r="1250" spans="2:5">
      <c r="B1250" s="17">
        <v>43006</v>
      </c>
      <c r="D1250" t="s">
        <v>432</v>
      </c>
      <c r="E1250">
        <v>776.84999999999991</v>
      </c>
    </row>
    <row r="1251" spans="2:5">
      <c r="B1251" s="17">
        <v>43006</v>
      </c>
      <c r="D1251" t="s">
        <v>432</v>
      </c>
      <c r="E1251">
        <v>12.294</v>
      </c>
    </row>
    <row r="1252" spans="2:5">
      <c r="B1252" s="17">
        <v>43006</v>
      </c>
      <c r="D1252" t="s">
        <v>590</v>
      </c>
      <c r="E1252">
        <v>154.76400000000001</v>
      </c>
    </row>
    <row r="1253" spans="2:5">
      <c r="B1253" s="17">
        <v>43006</v>
      </c>
      <c r="D1253" t="s">
        <v>590</v>
      </c>
      <c r="E1253">
        <v>43.28</v>
      </c>
    </row>
    <row r="1254" spans="2:5">
      <c r="B1254" s="17">
        <v>43006</v>
      </c>
      <c r="D1254" t="s">
        <v>590</v>
      </c>
      <c r="E1254">
        <v>63.88</v>
      </c>
    </row>
    <row r="1255" spans="2:5">
      <c r="B1255" s="17">
        <v>43006</v>
      </c>
      <c r="D1255" t="s">
        <v>299</v>
      </c>
      <c r="E1255">
        <v>26.72</v>
      </c>
    </row>
    <row r="1256" spans="2:5">
      <c r="B1256" s="17">
        <v>43006</v>
      </c>
      <c r="D1256" t="s">
        <v>299</v>
      </c>
      <c r="E1256">
        <v>69.930000000000007</v>
      </c>
    </row>
    <row r="1257" spans="2:5">
      <c r="B1257" s="17">
        <v>43006</v>
      </c>
      <c r="D1257" t="s">
        <v>299</v>
      </c>
      <c r="E1257">
        <v>40.410000000000004</v>
      </c>
    </row>
    <row r="1258" spans="2:5">
      <c r="B1258" s="17">
        <v>43006</v>
      </c>
      <c r="D1258" t="s">
        <v>299</v>
      </c>
      <c r="E1258">
        <v>90.8</v>
      </c>
    </row>
    <row r="1259" spans="2:5">
      <c r="B1259" s="17">
        <v>43004</v>
      </c>
      <c r="D1259" t="s">
        <v>299</v>
      </c>
      <c r="E1259">
        <v>140.73599999999999</v>
      </c>
    </row>
    <row r="1260" spans="2:5">
      <c r="B1260" s="17">
        <v>43004</v>
      </c>
      <c r="D1260" t="s">
        <v>136</v>
      </c>
      <c r="E1260">
        <v>45.36</v>
      </c>
    </row>
    <row r="1261" spans="2:5">
      <c r="B1261" s="17">
        <v>43004</v>
      </c>
      <c r="D1261" t="s">
        <v>136</v>
      </c>
      <c r="E1261">
        <v>1332.4960000000001</v>
      </c>
    </row>
    <row r="1262" spans="2:5">
      <c r="B1262" s="17">
        <v>43004</v>
      </c>
      <c r="D1262" t="s">
        <v>136</v>
      </c>
      <c r="E1262">
        <v>19.456000000000003</v>
      </c>
    </row>
    <row r="1263" spans="2:5">
      <c r="B1263" s="17">
        <v>43004</v>
      </c>
      <c r="D1263" t="s">
        <v>136</v>
      </c>
      <c r="E1263">
        <v>29.760000000000005</v>
      </c>
    </row>
    <row r="1264" spans="2:5">
      <c r="B1264" s="17">
        <v>43004</v>
      </c>
      <c r="D1264" t="s">
        <v>136</v>
      </c>
      <c r="E1264">
        <v>89.768000000000001</v>
      </c>
    </row>
    <row r="1265" spans="2:5">
      <c r="B1265" s="17">
        <v>43004</v>
      </c>
      <c r="D1265" t="s">
        <v>136</v>
      </c>
      <c r="E1265">
        <v>959.98400000000004</v>
      </c>
    </row>
    <row r="1266" spans="2:5">
      <c r="B1266" s="17">
        <v>43003</v>
      </c>
      <c r="D1266" t="s">
        <v>277</v>
      </c>
      <c r="E1266">
        <v>15.552000000000003</v>
      </c>
    </row>
    <row r="1267" spans="2:5">
      <c r="B1267" s="17">
        <v>43003</v>
      </c>
      <c r="D1267" t="s">
        <v>277</v>
      </c>
      <c r="E1267">
        <v>34.360000000000007</v>
      </c>
    </row>
    <row r="1268" spans="2:5">
      <c r="B1268" s="17">
        <v>43003</v>
      </c>
      <c r="D1268" t="s">
        <v>277</v>
      </c>
      <c r="E1268">
        <v>30.88</v>
      </c>
    </row>
    <row r="1269" spans="2:5">
      <c r="B1269" s="17">
        <v>43003</v>
      </c>
      <c r="D1269" t="s">
        <v>277</v>
      </c>
      <c r="E1269">
        <v>465.16</v>
      </c>
    </row>
    <row r="1270" spans="2:5">
      <c r="B1270" s="17">
        <v>43003</v>
      </c>
      <c r="D1270" t="s">
        <v>277</v>
      </c>
      <c r="E1270">
        <v>27.12</v>
      </c>
    </row>
    <row r="1271" spans="2:5">
      <c r="B1271" s="17">
        <v>43003</v>
      </c>
      <c r="D1271" t="s">
        <v>277</v>
      </c>
      <c r="E1271">
        <v>174.3</v>
      </c>
    </row>
    <row r="1272" spans="2:5">
      <c r="B1272" s="17">
        <v>43003</v>
      </c>
      <c r="D1272" t="s">
        <v>277</v>
      </c>
      <c r="E1272">
        <v>7.9920000000000009</v>
      </c>
    </row>
    <row r="1273" spans="2:5">
      <c r="B1273" s="17">
        <v>43003</v>
      </c>
      <c r="D1273" t="s">
        <v>277</v>
      </c>
      <c r="E1273">
        <v>49.616000000000007</v>
      </c>
    </row>
    <row r="1274" spans="2:5">
      <c r="B1274" s="17">
        <v>43003</v>
      </c>
      <c r="D1274" t="s">
        <v>277</v>
      </c>
      <c r="E1274">
        <v>6.48</v>
      </c>
    </row>
    <row r="1275" spans="2:5">
      <c r="B1275" s="17">
        <v>43003</v>
      </c>
      <c r="D1275" t="s">
        <v>277</v>
      </c>
      <c r="E1275">
        <v>46.51</v>
      </c>
    </row>
    <row r="1276" spans="2:5">
      <c r="B1276" s="17">
        <v>43003</v>
      </c>
      <c r="D1276" t="s">
        <v>277</v>
      </c>
      <c r="E1276">
        <v>659.97600000000011</v>
      </c>
    </row>
    <row r="1277" spans="2:5">
      <c r="B1277" s="17">
        <v>43003</v>
      </c>
      <c r="D1277" t="s">
        <v>277</v>
      </c>
      <c r="E1277">
        <v>445.44</v>
      </c>
    </row>
    <row r="1278" spans="2:5">
      <c r="B1278" s="17">
        <v>43003</v>
      </c>
      <c r="D1278" t="s">
        <v>1247</v>
      </c>
      <c r="E1278">
        <v>44.375999999999998</v>
      </c>
    </row>
    <row r="1279" spans="2:5">
      <c r="B1279" s="17">
        <v>43002</v>
      </c>
      <c r="D1279" t="s">
        <v>1247</v>
      </c>
      <c r="E1279">
        <v>51.264000000000003</v>
      </c>
    </row>
    <row r="1280" spans="2:5">
      <c r="B1280" s="17">
        <v>43002</v>
      </c>
      <c r="D1280" t="s">
        <v>1247</v>
      </c>
      <c r="E1280">
        <v>5.1930000000000005</v>
      </c>
    </row>
    <row r="1281" spans="2:5">
      <c r="B1281" s="17">
        <v>43002</v>
      </c>
      <c r="D1281" t="s">
        <v>1247</v>
      </c>
      <c r="E1281">
        <v>159.98400000000001</v>
      </c>
    </row>
    <row r="1282" spans="2:5">
      <c r="B1282" s="17">
        <v>43002</v>
      </c>
      <c r="D1282" t="s">
        <v>1415</v>
      </c>
      <c r="E1282">
        <v>54.224000000000004</v>
      </c>
    </row>
    <row r="1283" spans="2:5">
      <c r="B1283" s="17">
        <v>43002</v>
      </c>
      <c r="D1283" t="s">
        <v>1415</v>
      </c>
      <c r="E1283">
        <v>70.463999999999999</v>
      </c>
    </row>
    <row r="1284" spans="2:5">
      <c r="B1284" s="17">
        <v>43002</v>
      </c>
      <c r="D1284" t="s">
        <v>1415</v>
      </c>
      <c r="E1284">
        <v>19.68</v>
      </c>
    </row>
    <row r="1285" spans="2:5">
      <c r="B1285" s="17">
        <v>43002</v>
      </c>
      <c r="D1285" t="s">
        <v>1415</v>
      </c>
      <c r="E1285">
        <v>140.67000000000002</v>
      </c>
    </row>
    <row r="1286" spans="2:5">
      <c r="B1286" s="17">
        <v>43002</v>
      </c>
      <c r="D1286" t="s">
        <v>1415</v>
      </c>
      <c r="E1286">
        <v>17.456</v>
      </c>
    </row>
    <row r="1287" spans="2:5">
      <c r="B1287" s="17">
        <v>43002</v>
      </c>
      <c r="D1287" t="s">
        <v>1415</v>
      </c>
      <c r="E1287">
        <v>18.75</v>
      </c>
    </row>
    <row r="1288" spans="2:5">
      <c r="B1288" s="17">
        <v>43002</v>
      </c>
      <c r="D1288" t="s">
        <v>1415</v>
      </c>
      <c r="E1288">
        <v>119.69999999999999</v>
      </c>
    </row>
    <row r="1289" spans="2:5">
      <c r="B1289" s="17">
        <v>43002</v>
      </c>
      <c r="D1289" t="s">
        <v>580</v>
      </c>
      <c r="E1289">
        <v>9.1440000000000001</v>
      </c>
    </row>
    <row r="1290" spans="2:5">
      <c r="B1290" s="17">
        <v>43002</v>
      </c>
      <c r="D1290" t="s">
        <v>580</v>
      </c>
      <c r="E1290">
        <v>57.06</v>
      </c>
    </row>
    <row r="1291" spans="2:5">
      <c r="B1291" s="17">
        <v>43002</v>
      </c>
      <c r="D1291" t="s">
        <v>580</v>
      </c>
      <c r="E1291">
        <v>71.599999999999994</v>
      </c>
    </row>
    <row r="1292" spans="2:5">
      <c r="B1292" s="17">
        <v>43002</v>
      </c>
      <c r="D1292" t="s">
        <v>580</v>
      </c>
      <c r="E1292">
        <v>107.44</v>
      </c>
    </row>
    <row r="1293" spans="2:5">
      <c r="B1293" s="17">
        <v>43002</v>
      </c>
      <c r="D1293" t="s">
        <v>580</v>
      </c>
      <c r="E1293">
        <v>7.31</v>
      </c>
    </row>
    <row r="1294" spans="2:5">
      <c r="B1294" s="17">
        <v>43002</v>
      </c>
      <c r="D1294" t="s">
        <v>580</v>
      </c>
      <c r="E1294">
        <v>59.099999999999994</v>
      </c>
    </row>
    <row r="1295" spans="2:5">
      <c r="B1295" s="17">
        <v>43002</v>
      </c>
      <c r="D1295" t="s">
        <v>580</v>
      </c>
      <c r="E1295">
        <v>46.53</v>
      </c>
    </row>
    <row r="1296" spans="2:5">
      <c r="B1296" s="17">
        <v>43002</v>
      </c>
      <c r="D1296" t="s">
        <v>580</v>
      </c>
      <c r="E1296">
        <v>13.775999999999996</v>
      </c>
    </row>
    <row r="1297" spans="2:5">
      <c r="B1297" s="17">
        <v>43002</v>
      </c>
      <c r="D1297" t="s">
        <v>907</v>
      </c>
      <c r="E1297">
        <v>10.272000000000002</v>
      </c>
    </row>
    <row r="1298" spans="2:5">
      <c r="B1298" s="17">
        <v>43002</v>
      </c>
      <c r="D1298" t="s">
        <v>907</v>
      </c>
      <c r="E1298">
        <v>4.6079999999999997</v>
      </c>
    </row>
    <row r="1299" spans="2:5">
      <c r="B1299" s="17">
        <v>43002</v>
      </c>
      <c r="D1299" t="s">
        <v>907</v>
      </c>
      <c r="E1299">
        <v>2.6879999999999997</v>
      </c>
    </row>
    <row r="1300" spans="2:5">
      <c r="B1300" s="17">
        <v>43002</v>
      </c>
      <c r="D1300" t="s">
        <v>907</v>
      </c>
      <c r="E1300">
        <v>27.816000000000003</v>
      </c>
    </row>
    <row r="1301" spans="2:5">
      <c r="B1301" s="17">
        <v>43002</v>
      </c>
      <c r="D1301" t="s">
        <v>907</v>
      </c>
      <c r="E1301">
        <v>82.524000000000001</v>
      </c>
    </row>
    <row r="1302" spans="2:5">
      <c r="B1302" s="17">
        <v>43002</v>
      </c>
      <c r="D1302" t="s">
        <v>907</v>
      </c>
      <c r="E1302">
        <v>182.99399999999997</v>
      </c>
    </row>
    <row r="1303" spans="2:5">
      <c r="B1303" s="17">
        <v>43002</v>
      </c>
      <c r="D1303" t="s">
        <v>1765</v>
      </c>
      <c r="E1303">
        <v>23.832000000000001</v>
      </c>
    </row>
    <row r="1304" spans="2:5">
      <c r="B1304" s="17">
        <v>43001</v>
      </c>
      <c r="D1304" t="s">
        <v>1765</v>
      </c>
      <c r="E1304">
        <v>46.2</v>
      </c>
    </row>
    <row r="1305" spans="2:5">
      <c r="B1305" s="17">
        <v>43001</v>
      </c>
      <c r="D1305" t="s">
        <v>1765</v>
      </c>
      <c r="E1305">
        <v>537.54399999999998</v>
      </c>
    </row>
    <row r="1306" spans="2:5">
      <c r="B1306" s="17">
        <v>43001</v>
      </c>
      <c r="D1306" t="s">
        <v>1682</v>
      </c>
      <c r="E1306">
        <v>13.899999999999999</v>
      </c>
    </row>
    <row r="1307" spans="2:5">
      <c r="B1307" s="17">
        <v>43001</v>
      </c>
      <c r="D1307" t="s">
        <v>1682</v>
      </c>
      <c r="E1307">
        <v>19.399999999999999</v>
      </c>
    </row>
    <row r="1308" spans="2:5">
      <c r="B1308" s="17">
        <v>43001</v>
      </c>
      <c r="D1308" t="s">
        <v>1682</v>
      </c>
      <c r="E1308">
        <v>90.86</v>
      </c>
    </row>
    <row r="1309" spans="2:5">
      <c r="B1309" s="17">
        <v>43001</v>
      </c>
      <c r="D1309" t="s">
        <v>234</v>
      </c>
      <c r="E1309">
        <v>28.91</v>
      </c>
    </row>
    <row r="1310" spans="2:5">
      <c r="B1310" s="17">
        <v>43001</v>
      </c>
      <c r="D1310" t="s">
        <v>234</v>
      </c>
      <c r="E1310">
        <v>19.824000000000002</v>
      </c>
    </row>
    <row r="1311" spans="2:5">
      <c r="B1311" s="17">
        <v>43001</v>
      </c>
      <c r="D1311" t="s">
        <v>234</v>
      </c>
      <c r="E1311">
        <v>657.50400000000002</v>
      </c>
    </row>
    <row r="1312" spans="2:5">
      <c r="B1312" s="17">
        <v>43001</v>
      </c>
      <c r="D1312" t="s">
        <v>234</v>
      </c>
      <c r="E1312">
        <v>99.54</v>
      </c>
    </row>
    <row r="1313" spans="2:5">
      <c r="B1313" s="17">
        <v>43001</v>
      </c>
      <c r="D1313" t="s">
        <v>744</v>
      </c>
      <c r="E1313">
        <v>14.624000000000002</v>
      </c>
    </row>
    <row r="1314" spans="2:5">
      <c r="B1314" s="17">
        <v>43001</v>
      </c>
      <c r="D1314" t="s">
        <v>744</v>
      </c>
      <c r="E1314">
        <v>697.16</v>
      </c>
    </row>
    <row r="1315" spans="2:5">
      <c r="B1315" s="17">
        <v>43001</v>
      </c>
      <c r="D1315" t="s">
        <v>744</v>
      </c>
      <c r="E1315">
        <v>30.93</v>
      </c>
    </row>
    <row r="1316" spans="2:5">
      <c r="B1316" s="17">
        <v>43001</v>
      </c>
      <c r="D1316" t="s">
        <v>744</v>
      </c>
      <c r="E1316">
        <v>27.496000000000002</v>
      </c>
    </row>
    <row r="1317" spans="2:5">
      <c r="B1317" s="17">
        <v>43001</v>
      </c>
      <c r="D1317" t="s">
        <v>744</v>
      </c>
      <c r="E1317">
        <v>381.35999999999996</v>
      </c>
    </row>
    <row r="1318" spans="2:5">
      <c r="B1318" s="17">
        <v>43001</v>
      </c>
      <c r="D1318" t="s">
        <v>744</v>
      </c>
      <c r="E1318">
        <v>8.94</v>
      </c>
    </row>
    <row r="1319" spans="2:5">
      <c r="B1319" s="17">
        <v>43001</v>
      </c>
      <c r="D1319" t="s">
        <v>744</v>
      </c>
      <c r="E1319">
        <v>2.91</v>
      </c>
    </row>
    <row r="1320" spans="2:5">
      <c r="B1320" s="17">
        <v>43001</v>
      </c>
      <c r="D1320" t="s">
        <v>73</v>
      </c>
      <c r="E1320">
        <v>61.96</v>
      </c>
    </row>
    <row r="1321" spans="2:5">
      <c r="B1321" s="17">
        <v>43001</v>
      </c>
      <c r="D1321" t="s">
        <v>73</v>
      </c>
      <c r="E1321">
        <v>56.704000000000001</v>
      </c>
    </row>
    <row r="1322" spans="2:5">
      <c r="B1322" s="17">
        <v>43001</v>
      </c>
      <c r="D1322" t="s">
        <v>1277</v>
      </c>
      <c r="E1322">
        <v>5.78</v>
      </c>
    </row>
    <row r="1323" spans="2:5">
      <c r="B1323" s="17">
        <v>43001</v>
      </c>
      <c r="D1323" t="s">
        <v>1277</v>
      </c>
      <c r="E1323">
        <v>1805.88</v>
      </c>
    </row>
    <row r="1324" spans="2:5">
      <c r="B1324" s="17">
        <v>43000</v>
      </c>
      <c r="D1324" t="s">
        <v>1277</v>
      </c>
      <c r="E1324">
        <v>725.84</v>
      </c>
    </row>
    <row r="1325" spans="2:5">
      <c r="B1325" s="17">
        <v>43000</v>
      </c>
      <c r="D1325" t="s">
        <v>1277</v>
      </c>
      <c r="E1325">
        <v>10.896000000000001</v>
      </c>
    </row>
    <row r="1326" spans="2:5">
      <c r="B1326" s="17">
        <v>43000</v>
      </c>
      <c r="D1326" t="s">
        <v>1277</v>
      </c>
      <c r="E1326">
        <v>8.5440000000000005</v>
      </c>
    </row>
    <row r="1327" spans="2:5">
      <c r="B1327" s="17">
        <v>43000</v>
      </c>
      <c r="D1327" t="s">
        <v>1112</v>
      </c>
      <c r="E1327">
        <v>64.384</v>
      </c>
    </row>
    <row r="1328" spans="2:5">
      <c r="B1328" s="17">
        <v>43000</v>
      </c>
      <c r="D1328" t="s">
        <v>1112</v>
      </c>
      <c r="E1328">
        <v>8.8559999999999999</v>
      </c>
    </row>
    <row r="1329" spans="2:5">
      <c r="B1329" s="17">
        <v>43000</v>
      </c>
      <c r="D1329" t="s">
        <v>1112</v>
      </c>
      <c r="E1329">
        <v>30.576000000000001</v>
      </c>
    </row>
    <row r="1330" spans="2:5">
      <c r="B1330" s="17">
        <v>43000</v>
      </c>
      <c r="D1330" t="s">
        <v>1112</v>
      </c>
      <c r="E1330">
        <v>13.020000000000001</v>
      </c>
    </row>
    <row r="1331" spans="2:5">
      <c r="B1331" s="17">
        <v>43000</v>
      </c>
      <c r="D1331" t="s">
        <v>1112</v>
      </c>
      <c r="E1331">
        <v>22.14</v>
      </c>
    </row>
    <row r="1332" spans="2:5">
      <c r="B1332" s="17">
        <v>43000</v>
      </c>
      <c r="D1332" t="s">
        <v>981</v>
      </c>
      <c r="E1332">
        <v>359.32</v>
      </c>
    </row>
    <row r="1333" spans="2:5">
      <c r="B1333" s="17">
        <v>43000</v>
      </c>
      <c r="D1333" t="s">
        <v>981</v>
      </c>
      <c r="E1333">
        <v>143.72800000000001</v>
      </c>
    </row>
    <row r="1334" spans="2:5">
      <c r="B1334" s="17">
        <v>43000</v>
      </c>
      <c r="D1334" t="s">
        <v>176</v>
      </c>
      <c r="E1334">
        <v>25.68</v>
      </c>
    </row>
    <row r="1335" spans="2:5">
      <c r="B1335" s="17">
        <v>43000</v>
      </c>
      <c r="D1335" t="s">
        <v>176</v>
      </c>
      <c r="E1335">
        <v>347.58</v>
      </c>
    </row>
    <row r="1336" spans="2:5">
      <c r="B1336" s="17">
        <v>43000</v>
      </c>
      <c r="D1336" t="s">
        <v>176</v>
      </c>
      <c r="E1336">
        <v>34.76</v>
      </c>
    </row>
    <row r="1337" spans="2:5">
      <c r="B1337" s="17">
        <v>43000</v>
      </c>
      <c r="D1337" t="s">
        <v>176</v>
      </c>
      <c r="E1337">
        <v>32.479999999999997</v>
      </c>
    </row>
    <row r="1338" spans="2:5">
      <c r="B1338" s="17">
        <v>43000</v>
      </c>
      <c r="D1338" t="s">
        <v>176</v>
      </c>
      <c r="E1338">
        <v>20.04</v>
      </c>
    </row>
    <row r="1339" spans="2:5">
      <c r="B1339" s="17">
        <v>43000</v>
      </c>
      <c r="D1339" t="s">
        <v>176</v>
      </c>
      <c r="E1339">
        <v>13999.96</v>
      </c>
    </row>
    <row r="1340" spans="2:5">
      <c r="B1340" s="17">
        <v>43000</v>
      </c>
      <c r="D1340" t="s">
        <v>897</v>
      </c>
      <c r="E1340">
        <v>26</v>
      </c>
    </row>
    <row r="1341" spans="2:5">
      <c r="B1341" s="17">
        <v>43000</v>
      </c>
      <c r="D1341" t="s">
        <v>897</v>
      </c>
      <c r="E1341">
        <v>47.01</v>
      </c>
    </row>
    <row r="1342" spans="2:5">
      <c r="B1342" s="17">
        <v>43000</v>
      </c>
      <c r="D1342" t="s">
        <v>897</v>
      </c>
      <c r="E1342">
        <v>469.99</v>
      </c>
    </row>
    <row r="1343" spans="2:5">
      <c r="B1343" s="17">
        <v>43000</v>
      </c>
      <c r="D1343" t="s">
        <v>1712</v>
      </c>
      <c r="E1343">
        <v>12.768000000000001</v>
      </c>
    </row>
    <row r="1344" spans="2:5">
      <c r="B1344" s="17">
        <v>43000</v>
      </c>
      <c r="D1344" t="s">
        <v>1712</v>
      </c>
      <c r="E1344">
        <v>470.37600000000009</v>
      </c>
    </row>
    <row r="1345" spans="2:5">
      <c r="B1345" s="17">
        <v>43000</v>
      </c>
      <c r="D1345" t="s">
        <v>1790</v>
      </c>
      <c r="E1345">
        <v>176.04</v>
      </c>
    </row>
    <row r="1346" spans="2:5">
      <c r="B1346" s="17">
        <v>42999</v>
      </c>
      <c r="D1346" t="s">
        <v>1790</v>
      </c>
      <c r="E1346">
        <v>16.02</v>
      </c>
    </row>
    <row r="1347" spans="2:5">
      <c r="B1347" s="17">
        <v>42999</v>
      </c>
      <c r="D1347" t="s">
        <v>1289</v>
      </c>
      <c r="E1347">
        <v>185.92000000000002</v>
      </c>
    </row>
    <row r="1348" spans="2:5">
      <c r="B1348" s="17">
        <v>42999</v>
      </c>
      <c r="D1348" t="s">
        <v>1289</v>
      </c>
      <c r="E1348">
        <v>479.98400000000004</v>
      </c>
    </row>
    <row r="1349" spans="2:5">
      <c r="B1349" s="17">
        <v>42999</v>
      </c>
      <c r="D1349" t="s">
        <v>1289</v>
      </c>
      <c r="E1349">
        <v>90.99</v>
      </c>
    </row>
    <row r="1350" spans="2:5">
      <c r="B1350" s="17">
        <v>42999</v>
      </c>
      <c r="D1350" t="s">
        <v>1108</v>
      </c>
      <c r="E1350">
        <v>1526.5600000000002</v>
      </c>
    </row>
    <row r="1351" spans="2:5">
      <c r="B1351" s="17">
        <v>42999</v>
      </c>
      <c r="D1351" t="s">
        <v>1108</v>
      </c>
      <c r="E1351">
        <v>368.96999999999997</v>
      </c>
    </row>
    <row r="1352" spans="2:5">
      <c r="B1352" s="17">
        <v>42999</v>
      </c>
      <c r="D1352" t="s">
        <v>1108</v>
      </c>
      <c r="E1352">
        <v>6.8480000000000008</v>
      </c>
    </row>
    <row r="1353" spans="2:5">
      <c r="B1353" s="17">
        <v>42999</v>
      </c>
      <c r="D1353" t="s">
        <v>1108</v>
      </c>
      <c r="E1353">
        <v>23.1</v>
      </c>
    </row>
    <row r="1354" spans="2:5">
      <c r="B1354" s="17">
        <v>42998</v>
      </c>
      <c r="D1354" t="s">
        <v>194</v>
      </c>
      <c r="E1354">
        <v>11.05</v>
      </c>
    </row>
    <row r="1355" spans="2:5">
      <c r="B1355" s="17">
        <v>42998</v>
      </c>
      <c r="D1355" t="s">
        <v>194</v>
      </c>
      <c r="E1355">
        <v>119.96</v>
      </c>
    </row>
    <row r="1356" spans="2:5">
      <c r="B1356" s="17">
        <v>42998</v>
      </c>
      <c r="D1356" t="s">
        <v>194</v>
      </c>
      <c r="E1356">
        <v>19.829999999999998</v>
      </c>
    </row>
    <row r="1357" spans="2:5">
      <c r="B1357" s="17">
        <v>42998</v>
      </c>
      <c r="D1357" t="s">
        <v>194</v>
      </c>
      <c r="E1357">
        <v>60.84</v>
      </c>
    </row>
    <row r="1358" spans="2:5">
      <c r="B1358" s="17">
        <v>42998</v>
      </c>
      <c r="D1358" t="s">
        <v>194</v>
      </c>
      <c r="E1358">
        <v>53.25</v>
      </c>
    </row>
    <row r="1359" spans="2:5">
      <c r="B1359" s="17">
        <v>42998</v>
      </c>
      <c r="D1359" t="s">
        <v>677</v>
      </c>
      <c r="E1359">
        <v>3.76</v>
      </c>
    </row>
    <row r="1360" spans="2:5">
      <c r="B1360" s="17">
        <v>42998</v>
      </c>
      <c r="D1360" t="s">
        <v>677</v>
      </c>
      <c r="E1360">
        <v>143.96</v>
      </c>
    </row>
    <row r="1361" spans="2:5">
      <c r="B1361" s="17">
        <v>42998</v>
      </c>
      <c r="D1361" t="s">
        <v>677</v>
      </c>
      <c r="E1361">
        <v>2399.96</v>
      </c>
    </row>
    <row r="1362" spans="2:5">
      <c r="B1362" s="17">
        <v>42998</v>
      </c>
      <c r="D1362" t="s">
        <v>677</v>
      </c>
      <c r="E1362">
        <v>74.352000000000004</v>
      </c>
    </row>
    <row r="1363" spans="2:5">
      <c r="B1363" s="17">
        <v>42998</v>
      </c>
      <c r="D1363" t="s">
        <v>677</v>
      </c>
      <c r="E1363">
        <v>87.167999999999978</v>
      </c>
    </row>
    <row r="1364" spans="2:5">
      <c r="B1364" s="17">
        <v>42998</v>
      </c>
      <c r="D1364" t="s">
        <v>1265</v>
      </c>
      <c r="E1364">
        <v>32.231999999999999</v>
      </c>
    </row>
    <row r="1365" spans="2:5">
      <c r="B1365" s="17">
        <v>42998</v>
      </c>
      <c r="D1365" t="s">
        <v>1265</v>
      </c>
      <c r="E1365">
        <v>15.008000000000003</v>
      </c>
    </row>
    <row r="1366" spans="2:5">
      <c r="B1366" s="17">
        <v>42998</v>
      </c>
      <c r="D1366" t="s">
        <v>1265</v>
      </c>
      <c r="E1366">
        <v>45.68</v>
      </c>
    </row>
    <row r="1367" spans="2:5">
      <c r="B1367" s="17">
        <v>42998</v>
      </c>
      <c r="D1367" t="s">
        <v>1265</v>
      </c>
      <c r="E1367">
        <v>110.96</v>
      </c>
    </row>
    <row r="1368" spans="2:5">
      <c r="B1368" s="17">
        <v>42997</v>
      </c>
      <c r="D1368" t="s">
        <v>1265</v>
      </c>
      <c r="E1368">
        <v>11.94</v>
      </c>
    </row>
    <row r="1369" spans="2:5">
      <c r="B1369" s="17">
        <v>42997</v>
      </c>
      <c r="D1369" t="s">
        <v>1265</v>
      </c>
      <c r="E1369">
        <v>8.26</v>
      </c>
    </row>
    <row r="1370" spans="2:5">
      <c r="B1370" s="17">
        <v>42997</v>
      </c>
      <c r="D1370" t="s">
        <v>1265</v>
      </c>
      <c r="E1370">
        <v>17.760000000000002</v>
      </c>
    </row>
    <row r="1371" spans="2:5">
      <c r="B1371" s="17">
        <v>42997</v>
      </c>
      <c r="D1371" t="s">
        <v>775</v>
      </c>
      <c r="E1371">
        <v>17.64</v>
      </c>
    </row>
    <row r="1372" spans="2:5">
      <c r="B1372" s="17">
        <v>42997</v>
      </c>
      <c r="D1372" t="s">
        <v>775</v>
      </c>
      <c r="E1372">
        <v>1023.3319999999999</v>
      </c>
    </row>
    <row r="1373" spans="2:5">
      <c r="B1373" s="17">
        <v>42997</v>
      </c>
      <c r="D1373" t="s">
        <v>775</v>
      </c>
      <c r="E1373">
        <v>600.55799999999999</v>
      </c>
    </row>
    <row r="1374" spans="2:5">
      <c r="B1374" s="17">
        <v>42997</v>
      </c>
      <c r="D1374" t="s">
        <v>775</v>
      </c>
      <c r="E1374">
        <v>39.992000000000004</v>
      </c>
    </row>
    <row r="1375" spans="2:5">
      <c r="B1375" s="17">
        <v>42997</v>
      </c>
      <c r="D1375" t="s">
        <v>775</v>
      </c>
      <c r="E1375">
        <v>68.742000000000019</v>
      </c>
    </row>
    <row r="1376" spans="2:5">
      <c r="B1376" s="17">
        <v>42997</v>
      </c>
      <c r="D1376" t="s">
        <v>775</v>
      </c>
      <c r="E1376">
        <v>12.96</v>
      </c>
    </row>
    <row r="1377" spans="2:5">
      <c r="B1377" s="17">
        <v>42997</v>
      </c>
      <c r="D1377" t="s">
        <v>775</v>
      </c>
      <c r="E1377">
        <v>26.48</v>
      </c>
    </row>
    <row r="1378" spans="2:5">
      <c r="B1378" s="17">
        <v>42997</v>
      </c>
      <c r="D1378" t="s">
        <v>622</v>
      </c>
      <c r="E1378">
        <v>532.72</v>
      </c>
    </row>
    <row r="1379" spans="2:5">
      <c r="B1379" s="17">
        <v>42997</v>
      </c>
      <c r="D1379" t="s">
        <v>622</v>
      </c>
      <c r="E1379">
        <v>26.72</v>
      </c>
    </row>
    <row r="1380" spans="2:5">
      <c r="B1380" s="17">
        <v>42997</v>
      </c>
      <c r="D1380" t="s">
        <v>622</v>
      </c>
      <c r="E1380">
        <v>20.04</v>
      </c>
    </row>
    <row r="1381" spans="2:5">
      <c r="B1381" s="17">
        <v>42997</v>
      </c>
      <c r="D1381" t="s">
        <v>622</v>
      </c>
      <c r="E1381">
        <v>795.48</v>
      </c>
    </row>
    <row r="1382" spans="2:5">
      <c r="B1382" s="17">
        <v>42997</v>
      </c>
      <c r="D1382" t="s">
        <v>622</v>
      </c>
      <c r="E1382">
        <v>21.560000000000002</v>
      </c>
    </row>
    <row r="1383" spans="2:5">
      <c r="B1383" s="17">
        <v>42996</v>
      </c>
      <c r="D1383" t="s">
        <v>623</v>
      </c>
      <c r="E1383">
        <v>81.400000000000006</v>
      </c>
    </row>
    <row r="1384" spans="2:5">
      <c r="B1384" s="17">
        <v>42996</v>
      </c>
      <c r="D1384" t="s">
        <v>623</v>
      </c>
      <c r="E1384">
        <v>5.7150000000000016</v>
      </c>
    </row>
    <row r="1385" spans="2:5">
      <c r="B1385" s="17">
        <v>42996</v>
      </c>
      <c r="D1385" t="s">
        <v>623</v>
      </c>
      <c r="E1385">
        <v>59.76</v>
      </c>
    </row>
    <row r="1386" spans="2:5">
      <c r="B1386" s="17">
        <v>42996</v>
      </c>
      <c r="D1386" t="s">
        <v>623</v>
      </c>
      <c r="E1386">
        <v>6.08</v>
      </c>
    </row>
    <row r="1387" spans="2:5">
      <c r="B1387" s="17">
        <v>42996</v>
      </c>
      <c r="D1387" t="s">
        <v>623</v>
      </c>
      <c r="E1387">
        <v>164.79200000000003</v>
      </c>
    </row>
    <row r="1388" spans="2:5">
      <c r="B1388" s="17">
        <v>42996</v>
      </c>
      <c r="D1388" t="s">
        <v>623</v>
      </c>
      <c r="E1388">
        <v>94.2</v>
      </c>
    </row>
    <row r="1389" spans="2:5">
      <c r="B1389" s="17">
        <v>42996</v>
      </c>
      <c r="D1389" t="s">
        <v>1589</v>
      </c>
      <c r="E1389">
        <v>29.78</v>
      </c>
    </row>
    <row r="1390" spans="2:5">
      <c r="B1390" s="17">
        <v>42996</v>
      </c>
      <c r="D1390" t="s">
        <v>1589</v>
      </c>
      <c r="E1390">
        <v>677.58</v>
      </c>
    </row>
    <row r="1391" spans="2:5">
      <c r="B1391" s="17">
        <v>42996</v>
      </c>
      <c r="D1391" t="s">
        <v>1589</v>
      </c>
      <c r="E1391">
        <v>75.040000000000006</v>
      </c>
    </row>
    <row r="1392" spans="2:5">
      <c r="B1392" s="17">
        <v>42996</v>
      </c>
      <c r="D1392" t="s">
        <v>815</v>
      </c>
      <c r="E1392">
        <v>84.949999999999989</v>
      </c>
    </row>
    <row r="1393" spans="2:5">
      <c r="B1393" s="17">
        <v>42996</v>
      </c>
      <c r="D1393" t="s">
        <v>815</v>
      </c>
      <c r="E1393">
        <v>61</v>
      </c>
    </row>
    <row r="1394" spans="2:5">
      <c r="B1394" s="17">
        <v>42996</v>
      </c>
      <c r="D1394" t="s">
        <v>815</v>
      </c>
      <c r="E1394">
        <v>671.93</v>
      </c>
    </row>
    <row r="1395" spans="2:5">
      <c r="B1395" s="17">
        <v>42996</v>
      </c>
      <c r="D1395" t="s">
        <v>815</v>
      </c>
      <c r="E1395">
        <v>13.467999999999998</v>
      </c>
    </row>
    <row r="1396" spans="2:5">
      <c r="B1396" s="17">
        <v>42996</v>
      </c>
      <c r="D1396" t="s">
        <v>815</v>
      </c>
      <c r="E1396">
        <v>34.54</v>
      </c>
    </row>
    <row r="1397" spans="2:5">
      <c r="B1397" s="17">
        <v>42996</v>
      </c>
      <c r="D1397" t="s">
        <v>815</v>
      </c>
      <c r="E1397">
        <v>2999.95</v>
      </c>
    </row>
    <row r="1398" spans="2:5">
      <c r="B1398" s="17">
        <v>42996</v>
      </c>
      <c r="D1398" t="s">
        <v>815</v>
      </c>
      <c r="E1398">
        <v>64.12</v>
      </c>
    </row>
    <row r="1399" spans="2:5">
      <c r="B1399" s="17">
        <v>42996</v>
      </c>
      <c r="D1399" t="s">
        <v>248</v>
      </c>
      <c r="E1399">
        <v>33.61999999999999</v>
      </c>
    </row>
    <row r="1400" spans="2:5">
      <c r="B1400" s="17">
        <v>42996</v>
      </c>
      <c r="D1400" t="s">
        <v>248</v>
      </c>
      <c r="E1400">
        <v>29.700000000000003</v>
      </c>
    </row>
    <row r="1401" spans="2:5">
      <c r="B1401" s="17">
        <v>42996</v>
      </c>
      <c r="D1401" t="s">
        <v>248</v>
      </c>
      <c r="E1401">
        <v>94.199999999999989</v>
      </c>
    </row>
    <row r="1402" spans="2:5">
      <c r="B1402" s="17">
        <v>42996</v>
      </c>
      <c r="D1402" t="s">
        <v>248</v>
      </c>
      <c r="E1402">
        <v>28.4</v>
      </c>
    </row>
    <row r="1403" spans="2:5">
      <c r="B1403" s="17">
        <v>42995</v>
      </c>
      <c r="D1403" t="s">
        <v>248</v>
      </c>
      <c r="E1403">
        <v>5.78</v>
      </c>
    </row>
    <row r="1404" spans="2:5">
      <c r="B1404" s="17">
        <v>42995</v>
      </c>
      <c r="D1404" t="s">
        <v>248</v>
      </c>
      <c r="E1404">
        <v>121.67999999999999</v>
      </c>
    </row>
    <row r="1405" spans="2:5">
      <c r="B1405" s="17">
        <v>42995</v>
      </c>
      <c r="D1405" t="s">
        <v>248</v>
      </c>
      <c r="E1405">
        <v>482.66399999999999</v>
      </c>
    </row>
    <row r="1406" spans="2:5">
      <c r="B1406" s="17">
        <v>42995</v>
      </c>
      <c r="D1406" t="s">
        <v>248</v>
      </c>
      <c r="E1406">
        <v>4799.9839999999995</v>
      </c>
    </row>
    <row r="1407" spans="2:5">
      <c r="B1407" s="17">
        <v>42995</v>
      </c>
      <c r="D1407" t="s">
        <v>248</v>
      </c>
      <c r="E1407">
        <v>42.929999999999993</v>
      </c>
    </row>
    <row r="1408" spans="2:5">
      <c r="B1408" s="17">
        <v>42995</v>
      </c>
      <c r="D1408" t="s">
        <v>248</v>
      </c>
      <c r="E1408">
        <v>23.976000000000003</v>
      </c>
    </row>
    <row r="1409" spans="2:5">
      <c r="B1409" s="17">
        <v>42995</v>
      </c>
      <c r="D1409" t="s">
        <v>772</v>
      </c>
      <c r="E1409">
        <v>6.2640000000000002</v>
      </c>
    </row>
    <row r="1410" spans="2:5">
      <c r="B1410" s="17">
        <v>42995</v>
      </c>
      <c r="D1410" t="s">
        <v>772</v>
      </c>
      <c r="E1410">
        <v>20.808</v>
      </c>
    </row>
    <row r="1411" spans="2:5">
      <c r="B1411" s="17">
        <v>42995</v>
      </c>
      <c r="D1411" t="s">
        <v>772</v>
      </c>
      <c r="E1411">
        <v>127.94999999999999</v>
      </c>
    </row>
    <row r="1412" spans="2:5">
      <c r="B1412" s="17">
        <v>42995</v>
      </c>
      <c r="D1412" t="s">
        <v>772</v>
      </c>
      <c r="E1412">
        <v>25.11</v>
      </c>
    </row>
    <row r="1413" spans="2:5">
      <c r="B1413" s="17">
        <v>42995</v>
      </c>
      <c r="D1413" t="s">
        <v>772</v>
      </c>
      <c r="E1413">
        <v>411.8</v>
      </c>
    </row>
    <row r="1414" spans="2:5">
      <c r="B1414" s="17">
        <v>42995</v>
      </c>
      <c r="D1414" t="s">
        <v>772</v>
      </c>
      <c r="E1414">
        <v>360</v>
      </c>
    </row>
    <row r="1415" spans="2:5">
      <c r="B1415" s="17">
        <v>42995</v>
      </c>
      <c r="D1415" t="s">
        <v>1377</v>
      </c>
      <c r="E1415">
        <v>11.12</v>
      </c>
    </row>
    <row r="1416" spans="2:5">
      <c r="B1416" s="17">
        <v>42995</v>
      </c>
      <c r="D1416" t="s">
        <v>1377</v>
      </c>
      <c r="E1416">
        <v>14.940000000000001</v>
      </c>
    </row>
    <row r="1417" spans="2:5">
      <c r="B1417" s="17">
        <v>42995</v>
      </c>
      <c r="D1417" t="s">
        <v>1377</v>
      </c>
      <c r="E1417">
        <v>25.472000000000001</v>
      </c>
    </row>
    <row r="1418" spans="2:5">
      <c r="B1418" s="17">
        <v>42995</v>
      </c>
      <c r="D1418" t="s">
        <v>1377</v>
      </c>
      <c r="E1418">
        <v>7.0559999999999992</v>
      </c>
    </row>
    <row r="1419" spans="2:5">
      <c r="B1419" s="17">
        <v>42995</v>
      </c>
      <c r="D1419" t="s">
        <v>1377</v>
      </c>
      <c r="E1419">
        <v>383.84000000000003</v>
      </c>
    </row>
    <row r="1420" spans="2:5">
      <c r="B1420" s="17">
        <v>42994</v>
      </c>
      <c r="D1420" t="s">
        <v>1313</v>
      </c>
      <c r="E1420">
        <v>41.22</v>
      </c>
    </row>
    <row r="1421" spans="2:5">
      <c r="B1421" s="17">
        <v>42994</v>
      </c>
      <c r="D1421" t="s">
        <v>1313</v>
      </c>
      <c r="E1421">
        <v>119.02</v>
      </c>
    </row>
    <row r="1422" spans="2:5">
      <c r="B1422" s="17">
        <v>42994</v>
      </c>
      <c r="D1422" t="s">
        <v>409</v>
      </c>
      <c r="E1422">
        <v>16.98</v>
      </c>
    </row>
    <row r="1423" spans="2:5">
      <c r="B1423" s="17">
        <v>42994</v>
      </c>
      <c r="D1423" t="s">
        <v>409</v>
      </c>
      <c r="E1423">
        <v>7.04</v>
      </c>
    </row>
    <row r="1424" spans="2:5">
      <c r="B1424" s="17">
        <v>42994</v>
      </c>
      <c r="D1424" t="s">
        <v>409</v>
      </c>
      <c r="E1424">
        <v>106.32</v>
      </c>
    </row>
    <row r="1425" spans="2:5">
      <c r="B1425" s="17">
        <v>42994</v>
      </c>
      <c r="D1425" t="s">
        <v>409</v>
      </c>
      <c r="E1425">
        <v>8.1000000000000014</v>
      </c>
    </row>
    <row r="1426" spans="2:5">
      <c r="B1426" s="17">
        <v>42994</v>
      </c>
      <c r="D1426" t="s">
        <v>409</v>
      </c>
      <c r="E1426">
        <v>620.61450000000013</v>
      </c>
    </row>
    <row r="1427" spans="2:5">
      <c r="B1427" s="17">
        <v>42994</v>
      </c>
      <c r="D1427" t="s">
        <v>409</v>
      </c>
      <c r="E1427">
        <v>5.3280000000000012</v>
      </c>
    </row>
    <row r="1428" spans="2:5">
      <c r="B1428" s="17">
        <v>42994</v>
      </c>
      <c r="D1428" t="s">
        <v>409</v>
      </c>
      <c r="E1428">
        <v>617.97600000000011</v>
      </c>
    </row>
    <row r="1429" spans="2:5">
      <c r="B1429" s="17">
        <v>42994</v>
      </c>
      <c r="D1429" t="s">
        <v>409</v>
      </c>
      <c r="E1429">
        <v>56.28</v>
      </c>
    </row>
    <row r="1430" spans="2:5">
      <c r="B1430" s="17">
        <v>42994</v>
      </c>
      <c r="D1430" t="s">
        <v>409</v>
      </c>
      <c r="E1430">
        <v>2690.9700000000003</v>
      </c>
    </row>
    <row r="1431" spans="2:5">
      <c r="B1431" s="17">
        <v>42994</v>
      </c>
      <c r="D1431" t="s">
        <v>464</v>
      </c>
      <c r="E1431">
        <v>2591.56</v>
      </c>
    </row>
    <row r="1432" spans="2:5">
      <c r="B1432" s="17">
        <v>42994</v>
      </c>
      <c r="D1432" t="s">
        <v>464</v>
      </c>
      <c r="E1432">
        <v>41.95</v>
      </c>
    </row>
    <row r="1433" spans="2:5">
      <c r="B1433" s="17">
        <v>42993</v>
      </c>
      <c r="D1433" t="s">
        <v>464</v>
      </c>
      <c r="E1433">
        <v>195.76</v>
      </c>
    </row>
    <row r="1434" spans="2:5">
      <c r="B1434" s="17">
        <v>42993</v>
      </c>
      <c r="D1434" t="s">
        <v>1398</v>
      </c>
      <c r="E1434">
        <v>9.82</v>
      </c>
    </row>
    <row r="1435" spans="2:5">
      <c r="B1435" s="17">
        <v>42993</v>
      </c>
      <c r="D1435" t="s">
        <v>1398</v>
      </c>
      <c r="E1435">
        <v>35.97</v>
      </c>
    </row>
    <row r="1436" spans="2:5">
      <c r="B1436" s="17">
        <v>42993</v>
      </c>
      <c r="D1436" t="s">
        <v>1398</v>
      </c>
      <c r="E1436">
        <v>12.96</v>
      </c>
    </row>
    <row r="1437" spans="2:5">
      <c r="B1437" s="17">
        <v>42993</v>
      </c>
      <c r="D1437" t="s">
        <v>1398</v>
      </c>
      <c r="E1437">
        <v>191.6</v>
      </c>
    </row>
    <row r="1438" spans="2:5">
      <c r="B1438" s="17">
        <v>42993</v>
      </c>
      <c r="D1438" t="s">
        <v>466</v>
      </c>
      <c r="E1438">
        <v>8.64</v>
      </c>
    </row>
    <row r="1439" spans="2:5">
      <c r="B1439" s="17">
        <v>42993</v>
      </c>
      <c r="D1439" t="s">
        <v>466</v>
      </c>
      <c r="E1439">
        <v>501.81000000000006</v>
      </c>
    </row>
    <row r="1440" spans="2:5">
      <c r="B1440" s="17">
        <v>42993</v>
      </c>
      <c r="D1440" t="s">
        <v>466</v>
      </c>
      <c r="E1440">
        <v>15.120000000000001</v>
      </c>
    </row>
    <row r="1441" spans="2:5">
      <c r="B1441" s="17">
        <v>42993</v>
      </c>
      <c r="D1441" t="s">
        <v>466</v>
      </c>
      <c r="E1441">
        <v>17.430000000000003</v>
      </c>
    </row>
    <row r="1442" spans="2:5">
      <c r="B1442" s="17">
        <v>42993</v>
      </c>
      <c r="D1442" t="s">
        <v>401</v>
      </c>
      <c r="E1442">
        <v>478.24</v>
      </c>
    </row>
    <row r="1443" spans="2:5">
      <c r="B1443" s="17">
        <v>42993</v>
      </c>
      <c r="D1443" t="s">
        <v>401</v>
      </c>
      <c r="E1443">
        <v>37.896000000000001</v>
      </c>
    </row>
    <row r="1444" spans="2:5">
      <c r="B1444" s="17">
        <v>42993</v>
      </c>
      <c r="D1444" t="s">
        <v>401</v>
      </c>
      <c r="E1444">
        <v>65.584000000000003</v>
      </c>
    </row>
    <row r="1445" spans="2:5">
      <c r="B1445" s="17">
        <v>42993</v>
      </c>
      <c r="D1445" t="s">
        <v>401</v>
      </c>
      <c r="E1445">
        <v>7.61</v>
      </c>
    </row>
    <row r="1446" spans="2:5">
      <c r="B1446" s="17">
        <v>42993</v>
      </c>
      <c r="D1446" t="s">
        <v>312</v>
      </c>
      <c r="E1446">
        <v>7.16</v>
      </c>
    </row>
    <row r="1447" spans="2:5">
      <c r="B1447" s="17">
        <v>42993</v>
      </c>
      <c r="D1447" t="s">
        <v>312</v>
      </c>
      <c r="E1447">
        <v>10.368000000000002</v>
      </c>
    </row>
    <row r="1448" spans="2:5">
      <c r="B1448" s="17">
        <v>42993</v>
      </c>
      <c r="D1448" t="s">
        <v>312</v>
      </c>
      <c r="E1448">
        <v>95.736000000000004</v>
      </c>
    </row>
    <row r="1449" spans="2:5">
      <c r="B1449" s="17">
        <v>42993</v>
      </c>
      <c r="D1449" t="s">
        <v>312</v>
      </c>
      <c r="E1449">
        <v>12.320000000000002</v>
      </c>
    </row>
    <row r="1450" spans="2:5">
      <c r="B1450" s="17">
        <v>42993</v>
      </c>
      <c r="D1450" t="s">
        <v>312</v>
      </c>
      <c r="E1450">
        <v>4.4190000000000005</v>
      </c>
    </row>
    <row r="1451" spans="2:5">
      <c r="B1451" s="17">
        <v>42993</v>
      </c>
      <c r="D1451" t="s">
        <v>312</v>
      </c>
      <c r="E1451">
        <v>99.99</v>
      </c>
    </row>
    <row r="1452" spans="2:5">
      <c r="B1452" s="17">
        <v>42993</v>
      </c>
      <c r="D1452" t="s">
        <v>1701</v>
      </c>
      <c r="E1452">
        <v>195.10400000000001</v>
      </c>
    </row>
    <row r="1453" spans="2:5">
      <c r="B1453" s="17">
        <v>42993</v>
      </c>
      <c r="D1453" t="s">
        <v>1701</v>
      </c>
      <c r="E1453">
        <v>36.671999999999997</v>
      </c>
    </row>
    <row r="1454" spans="2:5">
      <c r="B1454" s="17">
        <v>42993</v>
      </c>
      <c r="D1454" t="s">
        <v>1701</v>
      </c>
      <c r="E1454">
        <v>41.86</v>
      </c>
    </row>
    <row r="1455" spans="2:5">
      <c r="B1455" s="17">
        <v>42993</v>
      </c>
      <c r="D1455" t="s">
        <v>1479</v>
      </c>
      <c r="E1455">
        <v>11.363999999999997</v>
      </c>
    </row>
    <row r="1456" spans="2:5">
      <c r="B1456" s="17">
        <v>42993</v>
      </c>
      <c r="D1456" t="s">
        <v>1479</v>
      </c>
      <c r="E1456">
        <v>16.768000000000001</v>
      </c>
    </row>
    <row r="1457" spans="2:5">
      <c r="B1457" s="17">
        <v>42993</v>
      </c>
      <c r="D1457" t="s">
        <v>1479</v>
      </c>
      <c r="E1457">
        <v>27.12</v>
      </c>
    </row>
    <row r="1458" spans="2:5">
      <c r="B1458" s="17">
        <v>42993</v>
      </c>
      <c r="D1458" t="s">
        <v>1479</v>
      </c>
      <c r="E1458">
        <v>1.752</v>
      </c>
    </row>
    <row r="1459" spans="2:5">
      <c r="B1459" s="17">
        <v>42992</v>
      </c>
      <c r="D1459" t="s">
        <v>1479</v>
      </c>
      <c r="E1459">
        <v>20.992000000000001</v>
      </c>
    </row>
    <row r="1460" spans="2:5">
      <c r="B1460" s="17">
        <v>42992</v>
      </c>
      <c r="D1460" t="s">
        <v>472</v>
      </c>
      <c r="E1460">
        <v>29.700000000000003</v>
      </c>
    </row>
    <row r="1461" spans="2:5">
      <c r="B1461" s="17">
        <v>42992</v>
      </c>
      <c r="D1461" t="s">
        <v>472</v>
      </c>
      <c r="E1461">
        <v>39.96</v>
      </c>
    </row>
    <row r="1462" spans="2:5">
      <c r="B1462" s="17">
        <v>42992</v>
      </c>
      <c r="D1462" t="s">
        <v>472</v>
      </c>
      <c r="E1462">
        <v>5.28</v>
      </c>
    </row>
    <row r="1463" spans="2:5">
      <c r="B1463" s="17">
        <v>42992</v>
      </c>
      <c r="D1463" t="s">
        <v>472</v>
      </c>
      <c r="E1463">
        <v>895.92</v>
      </c>
    </row>
    <row r="1464" spans="2:5">
      <c r="B1464" s="17">
        <v>42992</v>
      </c>
      <c r="D1464" t="s">
        <v>472</v>
      </c>
      <c r="E1464">
        <v>436.70400000000006</v>
      </c>
    </row>
    <row r="1465" spans="2:5">
      <c r="B1465" s="17">
        <v>42992</v>
      </c>
      <c r="D1465" t="s">
        <v>472</v>
      </c>
      <c r="E1465">
        <v>7.92</v>
      </c>
    </row>
    <row r="1466" spans="2:5">
      <c r="B1466" s="17">
        <v>42992</v>
      </c>
      <c r="D1466" t="s">
        <v>629</v>
      </c>
      <c r="E1466">
        <v>14.592000000000002</v>
      </c>
    </row>
    <row r="1467" spans="2:5">
      <c r="B1467" s="17">
        <v>42992</v>
      </c>
      <c r="D1467" t="s">
        <v>629</v>
      </c>
      <c r="E1467">
        <v>89.855999999999995</v>
      </c>
    </row>
    <row r="1468" spans="2:5">
      <c r="B1468" s="17">
        <v>42992</v>
      </c>
      <c r="D1468" t="s">
        <v>629</v>
      </c>
      <c r="E1468">
        <v>13.872000000000002</v>
      </c>
    </row>
    <row r="1469" spans="2:5">
      <c r="B1469" s="17">
        <v>42992</v>
      </c>
      <c r="D1469" t="s">
        <v>629</v>
      </c>
      <c r="E1469">
        <v>8.76</v>
      </c>
    </row>
    <row r="1470" spans="2:5">
      <c r="B1470" s="17">
        <v>42992</v>
      </c>
      <c r="D1470" t="s">
        <v>629</v>
      </c>
      <c r="E1470">
        <v>10.776000000000002</v>
      </c>
    </row>
    <row r="1471" spans="2:5">
      <c r="B1471" s="17">
        <v>42992</v>
      </c>
      <c r="D1471" t="s">
        <v>629</v>
      </c>
      <c r="E1471">
        <v>198.27200000000002</v>
      </c>
    </row>
    <row r="1472" spans="2:5">
      <c r="B1472" s="17">
        <v>42992</v>
      </c>
      <c r="D1472" t="s">
        <v>629</v>
      </c>
      <c r="E1472">
        <v>74.45</v>
      </c>
    </row>
    <row r="1473" spans="2:5">
      <c r="B1473" s="17">
        <v>42992</v>
      </c>
      <c r="D1473" t="s">
        <v>629</v>
      </c>
      <c r="E1473">
        <v>15.552000000000003</v>
      </c>
    </row>
    <row r="1474" spans="2:5">
      <c r="B1474" s="17">
        <v>42992</v>
      </c>
      <c r="D1474" t="s">
        <v>629</v>
      </c>
      <c r="E1474">
        <v>4.8899999999999997</v>
      </c>
    </row>
    <row r="1475" spans="2:5">
      <c r="B1475" s="17">
        <v>42992</v>
      </c>
      <c r="D1475" t="s">
        <v>1240</v>
      </c>
      <c r="E1475">
        <v>196.45</v>
      </c>
    </row>
    <row r="1476" spans="2:5">
      <c r="B1476" s="17">
        <v>42992</v>
      </c>
      <c r="D1476" t="s">
        <v>1240</v>
      </c>
      <c r="E1476">
        <v>79.14</v>
      </c>
    </row>
    <row r="1477" spans="2:5">
      <c r="B1477" s="17">
        <v>42991</v>
      </c>
      <c r="D1477" t="s">
        <v>1240</v>
      </c>
      <c r="E1477">
        <v>20.736000000000004</v>
      </c>
    </row>
    <row r="1478" spans="2:5">
      <c r="B1478" s="17">
        <v>42990</v>
      </c>
      <c r="D1478" t="s">
        <v>1240</v>
      </c>
      <c r="E1478">
        <v>15.570000000000004</v>
      </c>
    </row>
    <row r="1479" spans="2:5">
      <c r="B1479" s="17">
        <v>42990</v>
      </c>
      <c r="D1479" t="s">
        <v>1240</v>
      </c>
      <c r="E1479">
        <v>13.710000000000003</v>
      </c>
    </row>
    <row r="1480" spans="2:5">
      <c r="B1480" s="17">
        <v>42990</v>
      </c>
      <c r="D1480" t="s">
        <v>1240</v>
      </c>
      <c r="E1480">
        <v>102.833</v>
      </c>
    </row>
    <row r="1481" spans="2:5">
      <c r="B1481" s="17">
        <v>42990</v>
      </c>
      <c r="D1481" t="s">
        <v>1471</v>
      </c>
      <c r="E1481">
        <v>477.24</v>
      </c>
    </row>
    <row r="1482" spans="2:5">
      <c r="B1482" s="17">
        <v>42990</v>
      </c>
      <c r="D1482" t="s">
        <v>1471</v>
      </c>
      <c r="E1482">
        <v>25.98</v>
      </c>
    </row>
    <row r="1483" spans="2:5">
      <c r="B1483" s="17">
        <v>42990</v>
      </c>
      <c r="D1483" t="s">
        <v>1471</v>
      </c>
      <c r="E1483">
        <v>26.045999999999992</v>
      </c>
    </row>
    <row r="1484" spans="2:5">
      <c r="B1484" s="17">
        <v>42990</v>
      </c>
      <c r="D1484" t="s">
        <v>1471</v>
      </c>
      <c r="E1484">
        <v>2.8959999999999995</v>
      </c>
    </row>
    <row r="1485" spans="2:5">
      <c r="B1485" s="17">
        <v>42989</v>
      </c>
      <c r="D1485" t="s">
        <v>1471</v>
      </c>
      <c r="E1485">
        <v>32.544000000000004</v>
      </c>
    </row>
    <row r="1486" spans="2:5">
      <c r="B1486" s="17">
        <v>42989</v>
      </c>
      <c r="D1486" t="s">
        <v>1496</v>
      </c>
      <c r="E1486">
        <v>40.74</v>
      </c>
    </row>
    <row r="1487" spans="2:5">
      <c r="B1487" s="17">
        <v>42989</v>
      </c>
      <c r="D1487" t="s">
        <v>1496</v>
      </c>
      <c r="E1487">
        <v>12.030000000000001</v>
      </c>
    </row>
    <row r="1488" spans="2:5">
      <c r="B1488" s="17">
        <v>42989</v>
      </c>
      <c r="D1488" t="s">
        <v>1496</v>
      </c>
      <c r="E1488">
        <v>2549.9850000000006</v>
      </c>
    </row>
    <row r="1489" spans="2:5">
      <c r="B1489" s="17">
        <v>42989</v>
      </c>
      <c r="D1489" t="s">
        <v>1496</v>
      </c>
      <c r="E1489">
        <v>21.594000000000005</v>
      </c>
    </row>
    <row r="1490" spans="2:5">
      <c r="B1490" s="17">
        <v>42989</v>
      </c>
      <c r="D1490" t="s">
        <v>1496</v>
      </c>
      <c r="E1490">
        <v>8.9640000000000022</v>
      </c>
    </row>
    <row r="1491" spans="2:5">
      <c r="B1491" s="17">
        <v>42989</v>
      </c>
      <c r="D1491" t="s">
        <v>1496</v>
      </c>
      <c r="E1491">
        <v>20.736000000000004</v>
      </c>
    </row>
    <row r="1492" spans="2:5">
      <c r="B1492" s="17">
        <v>42989</v>
      </c>
      <c r="D1492" t="s">
        <v>146</v>
      </c>
      <c r="E1492">
        <v>60.311999999999998</v>
      </c>
    </row>
    <row r="1493" spans="2:5">
      <c r="B1493" s="17">
        <v>42989</v>
      </c>
      <c r="D1493" t="s">
        <v>146</v>
      </c>
      <c r="E1493">
        <v>28.14</v>
      </c>
    </row>
    <row r="1494" spans="2:5">
      <c r="B1494" s="17">
        <v>42989</v>
      </c>
      <c r="D1494" t="s">
        <v>146</v>
      </c>
      <c r="E1494">
        <v>7.38</v>
      </c>
    </row>
    <row r="1495" spans="2:5">
      <c r="B1495" s="17">
        <v>42989</v>
      </c>
      <c r="D1495" t="s">
        <v>146</v>
      </c>
      <c r="E1495">
        <v>10.9</v>
      </c>
    </row>
    <row r="1496" spans="2:5">
      <c r="B1496" s="17">
        <v>42989</v>
      </c>
      <c r="D1496" t="s">
        <v>146</v>
      </c>
      <c r="E1496">
        <v>23.04</v>
      </c>
    </row>
    <row r="1497" spans="2:5">
      <c r="B1497" s="17">
        <v>42989</v>
      </c>
      <c r="D1497" t="s">
        <v>146</v>
      </c>
      <c r="E1497">
        <v>195.136</v>
      </c>
    </row>
    <row r="1498" spans="2:5">
      <c r="B1498" s="17">
        <v>42989</v>
      </c>
      <c r="D1498" t="s">
        <v>146</v>
      </c>
      <c r="E1498">
        <v>44.400000000000006</v>
      </c>
    </row>
    <row r="1499" spans="2:5">
      <c r="B1499" s="17">
        <v>42989</v>
      </c>
      <c r="D1499" t="s">
        <v>146</v>
      </c>
      <c r="E1499">
        <v>51.967999999999996</v>
      </c>
    </row>
    <row r="1500" spans="2:5">
      <c r="B1500" s="17">
        <v>42989</v>
      </c>
      <c r="D1500" t="s">
        <v>1627</v>
      </c>
      <c r="E1500">
        <v>51.336000000000006</v>
      </c>
    </row>
    <row r="1501" spans="2:5">
      <c r="B1501" s="17">
        <v>42989</v>
      </c>
      <c r="D1501" t="s">
        <v>1627</v>
      </c>
      <c r="E1501">
        <v>42.408000000000008</v>
      </c>
    </row>
    <row r="1502" spans="2:5">
      <c r="B1502" s="17">
        <v>42989</v>
      </c>
      <c r="D1502" t="s">
        <v>1450</v>
      </c>
      <c r="E1502">
        <v>15.76</v>
      </c>
    </row>
    <row r="1503" spans="2:5">
      <c r="B1503" s="17">
        <v>42989</v>
      </c>
      <c r="D1503" t="s">
        <v>1450</v>
      </c>
      <c r="E1503">
        <v>14.560000000000002</v>
      </c>
    </row>
    <row r="1504" spans="2:5">
      <c r="B1504" s="17">
        <v>42989</v>
      </c>
      <c r="D1504" t="s">
        <v>1450</v>
      </c>
      <c r="E1504">
        <v>146.86000000000001</v>
      </c>
    </row>
    <row r="1505" spans="2:5">
      <c r="B1505" s="17">
        <v>42989</v>
      </c>
      <c r="D1505" t="s">
        <v>1450</v>
      </c>
      <c r="E1505">
        <v>36.56</v>
      </c>
    </row>
    <row r="1506" spans="2:5">
      <c r="B1506" s="17">
        <v>42989</v>
      </c>
      <c r="D1506" t="s">
        <v>144</v>
      </c>
      <c r="E1506">
        <v>848.5440000000001</v>
      </c>
    </row>
    <row r="1507" spans="2:5">
      <c r="B1507" s="17">
        <v>42988</v>
      </c>
      <c r="D1507" t="s">
        <v>144</v>
      </c>
      <c r="E1507">
        <v>8.7000000000000011</v>
      </c>
    </row>
    <row r="1508" spans="2:5">
      <c r="B1508" s="17">
        <v>42988</v>
      </c>
      <c r="D1508" t="s">
        <v>144</v>
      </c>
      <c r="E1508">
        <v>122.38199999999999</v>
      </c>
    </row>
    <row r="1509" spans="2:5">
      <c r="B1509" s="17">
        <v>42988</v>
      </c>
      <c r="D1509" t="s">
        <v>144</v>
      </c>
      <c r="E1509">
        <v>97.263999999999982</v>
      </c>
    </row>
    <row r="1510" spans="2:5">
      <c r="B1510" s="17">
        <v>42988</v>
      </c>
      <c r="D1510" t="s">
        <v>144</v>
      </c>
      <c r="E1510">
        <v>2.6939999999999995</v>
      </c>
    </row>
    <row r="1511" spans="2:5">
      <c r="B1511" s="17">
        <v>42988</v>
      </c>
      <c r="D1511" t="s">
        <v>144</v>
      </c>
      <c r="E1511">
        <v>2.9339999999999993</v>
      </c>
    </row>
    <row r="1512" spans="2:5">
      <c r="B1512" s="17">
        <v>42988</v>
      </c>
      <c r="D1512" t="s">
        <v>1234</v>
      </c>
      <c r="E1512">
        <v>11.54</v>
      </c>
    </row>
    <row r="1513" spans="2:5">
      <c r="B1513" s="17">
        <v>42988</v>
      </c>
      <c r="D1513" t="s">
        <v>1234</v>
      </c>
      <c r="E1513">
        <v>162.60000000000002</v>
      </c>
    </row>
    <row r="1514" spans="2:5">
      <c r="B1514" s="17">
        <v>42988</v>
      </c>
      <c r="D1514" t="s">
        <v>1234</v>
      </c>
      <c r="E1514">
        <v>908.82</v>
      </c>
    </row>
    <row r="1515" spans="2:5">
      <c r="B1515" s="17">
        <v>42988</v>
      </c>
      <c r="D1515" t="s">
        <v>1234</v>
      </c>
      <c r="E1515">
        <v>47.975999999999999</v>
      </c>
    </row>
    <row r="1516" spans="2:5">
      <c r="B1516" s="17">
        <v>42988</v>
      </c>
      <c r="D1516" t="s">
        <v>1234</v>
      </c>
      <c r="E1516">
        <v>20.736000000000004</v>
      </c>
    </row>
    <row r="1517" spans="2:5">
      <c r="B1517" s="17">
        <v>42988</v>
      </c>
      <c r="D1517" t="s">
        <v>1234</v>
      </c>
      <c r="E1517">
        <v>18.28</v>
      </c>
    </row>
    <row r="1518" spans="2:5">
      <c r="B1518" s="17">
        <v>42988</v>
      </c>
      <c r="D1518" t="s">
        <v>1509</v>
      </c>
      <c r="E1518">
        <v>675.06000000000006</v>
      </c>
    </row>
    <row r="1519" spans="2:5">
      <c r="B1519" s="17">
        <v>42988</v>
      </c>
      <c r="D1519" t="s">
        <v>1509</v>
      </c>
      <c r="E1519">
        <v>121.94</v>
      </c>
    </row>
    <row r="1520" spans="2:5">
      <c r="B1520" s="17">
        <v>42988</v>
      </c>
      <c r="D1520" t="s">
        <v>1509</v>
      </c>
      <c r="E1520">
        <v>122.71000000000001</v>
      </c>
    </row>
    <row r="1521" spans="2:5">
      <c r="B1521" s="17">
        <v>42988</v>
      </c>
      <c r="D1521" t="s">
        <v>1596</v>
      </c>
      <c r="E1521">
        <v>155.34</v>
      </c>
    </row>
    <row r="1522" spans="2:5">
      <c r="B1522" s="17">
        <v>42988</v>
      </c>
      <c r="D1522" t="s">
        <v>1596</v>
      </c>
      <c r="E1522">
        <v>54.900000000000006</v>
      </c>
    </row>
    <row r="1523" spans="2:5">
      <c r="B1523" s="17">
        <v>42988</v>
      </c>
      <c r="D1523" t="s">
        <v>1596</v>
      </c>
      <c r="E1523">
        <v>11.760000000000002</v>
      </c>
    </row>
    <row r="1524" spans="2:5">
      <c r="B1524" s="17">
        <v>42988</v>
      </c>
      <c r="D1524" t="s">
        <v>1596</v>
      </c>
      <c r="E1524">
        <v>5.3440000000000003</v>
      </c>
    </row>
    <row r="1525" spans="2:5">
      <c r="B1525" s="17">
        <v>42987</v>
      </c>
      <c r="D1525" t="s">
        <v>275</v>
      </c>
      <c r="E1525">
        <v>66.36</v>
      </c>
    </row>
    <row r="1526" spans="2:5">
      <c r="B1526" s="17">
        <v>42987</v>
      </c>
      <c r="D1526" t="s">
        <v>275</v>
      </c>
      <c r="E1526">
        <v>92.88000000000001</v>
      </c>
    </row>
    <row r="1527" spans="2:5">
      <c r="B1527" s="17">
        <v>42987</v>
      </c>
      <c r="D1527" t="s">
        <v>1673</v>
      </c>
      <c r="E1527">
        <v>24.14</v>
      </c>
    </row>
    <row r="1528" spans="2:5">
      <c r="B1528" s="17">
        <v>42987</v>
      </c>
      <c r="D1528" t="s">
        <v>1673</v>
      </c>
      <c r="E1528">
        <v>387.13600000000002</v>
      </c>
    </row>
    <row r="1529" spans="2:5">
      <c r="B1529" s="17">
        <v>42987</v>
      </c>
      <c r="D1529" t="s">
        <v>1673</v>
      </c>
      <c r="E1529">
        <v>45.408000000000001</v>
      </c>
    </row>
    <row r="1530" spans="2:5">
      <c r="B1530" s="17">
        <v>42987</v>
      </c>
      <c r="D1530" t="s">
        <v>1673</v>
      </c>
      <c r="E1530">
        <v>77.951999999999998</v>
      </c>
    </row>
    <row r="1531" spans="2:5">
      <c r="B1531" s="17">
        <v>42987</v>
      </c>
      <c r="D1531" t="s">
        <v>817</v>
      </c>
      <c r="E1531">
        <v>3</v>
      </c>
    </row>
    <row r="1532" spans="2:5">
      <c r="B1532" s="17">
        <v>42987</v>
      </c>
      <c r="D1532" t="s">
        <v>817</v>
      </c>
      <c r="E1532">
        <v>18.687999999999999</v>
      </c>
    </row>
    <row r="1533" spans="2:5">
      <c r="B1533" s="17">
        <v>42987</v>
      </c>
      <c r="D1533" t="s">
        <v>817</v>
      </c>
      <c r="E1533">
        <v>11.664000000000001</v>
      </c>
    </row>
    <row r="1534" spans="2:5">
      <c r="B1534" s="17">
        <v>42987</v>
      </c>
      <c r="D1534" t="s">
        <v>817</v>
      </c>
      <c r="E1534">
        <v>99.28</v>
      </c>
    </row>
    <row r="1535" spans="2:5">
      <c r="B1535" s="17">
        <v>42987</v>
      </c>
      <c r="D1535" t="s">
        <v>817</v>
      </c>
      <c r="E1535">
        <v>1.1880000000000002</v>
      </c>
    </row>
    <row r="1536" spans="2:5">
      <c r="B1536" s="17">
        <v>42987</v>
      </c>
      <c r="D1536" t="s">
        <v>817</v>
      </c>
      <c r="E1536">
        <v>7.5180000000000007</v>
      </c>
    </row>
    <row r="1537" spans="2:5">
      <c r="B1537" s="17">
        <v>42987</v>
      </c>
      <c r="D1537" t="s">
        <v>817</v>
      </c>
      <c r="E1537">
        <v>113.56800000000001</v>
      </c>
    </row>
    <row r="1538" spans="2:5">
      <c r="B1538" s="17">
        <v>42987</v>
      </c>
      <c r="D1538" t="s">
        <v>817</v>
      </c>
      <c r="E1538">
        <v>1.81</v>
      </c>
    </row>
    <row r="1539" spans="2:5">
      <c r="B1539" s="17">
        <v>42987</v>
      </c>
      <c r="D1539" t="s">
        <v>817</v>
      </c>
      <c r="E1539">
        <v>552</v>
      </c>
    </row>
    <row r="1540" spans="2:5">
      <c r="B1540" s="17">
        <v>42987</v>
      </c>
      <c r="D1540" t="s">
        <v>1252</v>
      </c>
      <c r="E1540">
        <v>69.98</v>
      </c>
    </row>
    <row r="1541" spans="2:5">
      <c r="B1541" s="17">
        <v>42987</v>
      </c>
      <c r="D1541" t="s">
        <v>1252</v>
      </c>
      <c r="E1541">
        <v>10.429999999999996</v>
      </c>
    </row>
    <row r="1542" spans="2:5">
      <c r="B1542" s="17">
        <v>42987</v>
      </c>
      <c r="D1542" t="s">
        <v>1252</v>
      </c>
      <c r="E1542">
        <v>72.784000000000006</v>
      </c>
    </row>
    <row r="1543" spans="2:5">
      <c r="B1543" s="17">
        <v>42987</v>
      </c>
      <c r="D1543" t="s">
        <v>1252</v>
      </c>
      <c r="E1543">
        <v>13.904</v>
      </c>
    </row>
    <row r="1544" spans="2:5">
      <c r="B1544" s="17">
        <v>42987</v>
      </c>
      <c r="D1544" t="s">
        <v>1252</v>
      </c>
      <c r="E1544">
        <v>42.047999999999995</v>
      </c>
    </row>
    <row r="1545" spans="2:5">
      <c r="B1545" s="17">
        <v>42987</v>
      </c>
      <c r="D1545" t="s">
        <v>1188</v>
      </c>
      <c r="E1545">
        <v>67.92</v>
      </c>
    </row>
    <row r="1546" spans="2:5">
      <c r="B1546" s="17">
        <v>42987</v>
      </c>
      <c r="D1546" t="s">
        <v>1188</v>
      </c>
      <c r="E1546">
        <v>8.895999999999999</v>
      </c>
    </row>
    <row r="1547" spans="2:5">
      <c r="B1547" s="17">
        <v>42987</v>
      </c>
      <c r="D1547" t="s">
        <v>1188</v>
      </c>
      <c r="E1547">
        <v>19.049999999999997</v>
      </c>
    </row>
    <row r="1548" spans="2:5">
      <c r="B1548" s="17">
        <v>42987</v>
      </c>
      <c r="D1548" t="s">
        <v>1188</v>
      </c>
      <c r="E1548">
        <v>73.343999999999994</v>
      </c>
    </row>
    <row r="1549" spans="2:5">
      <c r="B1549" s="17">
        <v>42987</v>
      </c>
      <c r="D1549" t="s">
        <v>1188</v>
      </c>
      <c r="E1549">
        <v>107.97</v>
      </c>
    </row>
    <row r="1550" spans="2:5">
      <c r="B1550" s="17">
        <v>42987</v>
      </c>
      <c r="D1550" t="s">
        <v>1188</v>
      </c>
      <c r="E1550">
        <v>344.98099999999994</v>
      </c>
    </row>
    <row r="1551" spans="2:5">
      <c r="B1551" s="17">
        <v>42987</v>
      </c>
      <c r="D1551" t="s">
        <v>1188</v>
      </c>
      <c r="E1551">
        <v>1.988</v>
      </c>
    </row>
    <row r="1552" spans="2:5">
      <c r="B1552" s="17">
        <v>42987</v>
      </c>
      <c r="D1552" t="s">
        <v>1188</v>
      </c>
      <c r="E1552">
        <v>20.34</v>
      </c>
    </row>
    <row r="1553" spans="2:5">
      <c r="B1553" s="17">
        <v>42987</v>
      </c>
      <c r="D1553" t="s">
        <v>1188</v>
      </c>
      <c r="E1553">
        <v>39.28</v>
      </c>
    </row>
    <row r="1554" spans="2:5">
      <c r="B1554" s="17">
        <v>42986</v>
      </c>
      <c r="D1554" t="s">
        <v>1188</v>
      </c>
      <c r="E1554">
        <v>33.119999999999997</v>
      </c>
    </row>
    <row r="1555" spans="2:5">
      <c r="B1555" s="17">
        <v>42986</v>
      </c>
      <c r="D1555" t="s">
        <v>935</v>
      </c>
      <c r="E1555">
        <v>123.92</v>
      </c>
    </row>
    <row r="1556" spans="2:5">
      <c r="B1556" s="17">
        <v>42986</v>
      </c>
      <c r="D1556" t="s">
        <v>935</v>
      </c>
      <c r="E1556">
        <v>12.39</v>
      </c>
    </row>
    <row r="1557" spans="2:5">
      <c r="B1557" s="17">
        <v>42986</v>
      </c>
      <c r="D1557" t="s">
        <v>935</v>
      </c>
      <c r="E1557">
        <v>47.3</v>
      </c>
    </row>
    <row r="1558" spans="2:5">
      <c r="B1558" s="17">
        <v>42986</v>
      </c>
      <c r="D1558" t="s">
        <v>935</v>
      </c>
      <c r="E1558">
        <v>139.58000000000001</v>
      </c>
    </row>
    <row r="1559" spans="2:5">
      <c r="B1559" s="17">
        <v>42986</v>
      </c>
      <c r="D1559" t="s">
        <v>935</v>
      </c>
      <c r="E1559">
        <v>8.3840000000000003</v>
      </c>
    </row>
    <row r="1560" spans="2:5">
      <c r="B1560" s="17">
        <v>42986</v>
      </c>
      <c r="D1560" t="s">
        <v>306</v>
      </c>
      <c r="E1560">
        <v>6.8480000000000008</v>
      </c>
    </row>
    <row r="1561" spans="2:5">
      <c r="B1561" s="17">
        <v>42986</v>
      </c>
      <c r="D1561" t="s">
        <v>306</v>
      </c>
      <c r="E1561">
        <v>28.08</v>
      </c>
    </row>
    <row r="1562" spans="2:5">
      <c r="B1562" s="17">
        <v>42986</v>
      </c>
      <c r="D1562" t="s">
        <v>306</v>
      </c>
      <c r="E1562">
        <v>751.98400000000004</v>
      </c>
    </row>
    <row r="1563" spans="2:5">
      <c r="B1563" s="17">
        <v>42986</v>
      </c>
      <c r="D1563" t="s">
        <v>306</v>
      </c>
      <c r="E1563">
        <v>1048.3499999999999</v>
      </c>
    </row>
    <row r="1564" spans="2:5">
      <c r="B1564" s="17">
        <v>42986</v>
      </c>
      <c r="D1564" t="s">
        <v>306</v>
      </c>
      <c r="E1564">
        <v>4.91</v>
      </c>
    </row>
    <row r="1565" spans="2:5">
      <c r="B1565" s="17">
        <v>42986</v>
      </c>
      <c r="D1565" t="s">
        <v>306</v>
      </c>
      <c r="E1565">
        <v>62.96</v>
      </c>
    </row>
    <row r="1566" spans="2:5">
      <c r="B1566" s="17">
        <v>42986</v>
      </c>
      <c r="D1566" t="s">
        <v>1459</v>
      </c>
      <c r="E1566">
        <v>677.57999999999993</v>
      </c>
    </row>
    <row r="1567" spans="2:5">
      <c r="B1567" s="17">
        <v>42986</v>
      </c>
      <c r="D1567" t="s">
        <v>1459</v>
      </c>
      <c r="E1567">
        <v>13.896000000000001</v>
      </c>
    </row>
    <row r="1568" spans="2:5">
      <c r="B1568" s="17">
        <v>42985</v>
      </c>
      <c r="D1568" t="s">
        <v>1459</v>
      </c>
      <c r="E1568">
        <v>4.6079999999999997</v>
      </c>
    </row>
    <row r="1569" spans="2:5">
      <c r="B1569" s="17">
        <v>42985</v>
      </c>
      <c r="D1569" t="s">
        <v>1459</v>
      </c>
      <c r="E1569">
        <v>15.528</v>
      </c>
    </row>
    <row r="1570" spans="2:5">
      <c r="B1570" s="17">
        <v>42985</v>
      </c>
      <c r="D1570" t="s">
        <v>1328</v>
      </c>
      <c r="E1570">
        <v>11.952000000000002</v>
      </c>
    </row>
    <row r="1571" spans="2:5">
      <c r="B1571" s="17">
        <v>42985</v>
      </c>
      <c r="D1571" t="s">
        <v>1328</v>
      </c>
      <c r="E1571">
        <v>23.680000000000003</v>
      </c>
    </row>
    <row r="1572" spans="2:5">
      <c r="B1572" s="17">
        <v>42985</v>
      </c>
      <c r="D1572" t="s">
        <v>1328</v>
      </c>
      <c r="E1572">
        <v>2.3760000000000003</v>
      </c>
    </row>
    <row r="1573" spans="2:5">
      <c r="B1573" s="17">
        <v>42985</v>
      </c>
      <c r="D1573" t="s">
        <v>1091</v>
      </c>
      <c r="E1573">
        <v>10.368000000000002</v>
      </c>
    </row>
    <row r="1574" spans="2:5">
      <c r="B1574" s="17">
        <v>42985</v>
      </c>
      <c r="D1574" t="s">
        <v>1091</v>
      </c>
      <c r="E1574">
        <v>5.76</v>
      </c>
    </row>
    <row r="1575" spans="2:5">
      <c r="B1575" s="17">
        <v>42985</v>
      </c>
      <c r="D1575" t="s">
        <v>1091</v>
      </c>
      <c r="E1575">
        <v>43.371999999999993</v>
      </c>
    </row>
    <row r="1576" spans="2:5">
      <c r="B1576" s="17">
        <v>42985</v>
      </c>
      <c r="D1576" t="s">
        <v>1091</v>
      </c>
      <c r="E1576">
        <v>163.96</v>
      </c>
    </row>
    <row r="1577" spans="2:5">
      <c r="B1577" s="17">
        <v>42985</v>
      </c>
      <c r="D1577" t="s">
        <v>454</v>
      </c>
      <c r="E1577">
        <v>64.959999999999994</v>
      </c>
    </row>
    <row r="1578" spans="2:5">
      <c r="B1578" s="17">
        <v>42985</v>
      </c>
      <c r="D1578" t="s">
        <v>454</v>
      </c>
      <c r="E1578">
        <v>30.56</v>
      </c>
    </row>
    <row r="1579" spans="2:5">
      <c r="B1579" s="17">
        <v>42985</v>
      </c>
      <c r="D1579" t="s">
        <v>454</v>
      </c>
      <c r="E1579">
        <v>9.7799999999999994</v>
      </c>
    </row>
    <row r="1580" spans="2:5">
      <c r="B1580" s="17">
        <v>42985</v>
      </c>
      <c r="D1580" t="s">
        <v>454</v>
      </c>
      <c r="E1580">
        <v>23.24</v>
      </c>
    </row>
    <row r="1581" spans="2:5">
      <c r="B1581" s="17">
        <v>42985</v>
      </c>
      <c r="D1581" t="s">
        <v>454</v>
      </c>
      <c r="E1581">
        <v>4.8420000000000005</v>
      </c>
    </row>
    <row r="1582" spans="2:5">
      <c r="B1582" s="17">
        <v>42985</v>
      </c>
      <c r="D1582" t="s">
        <v>454</v>
      </c>
      <c r="E1582">
        <v>48.9</v>
      </c>
    </row>
    <row r="1583" spans="2:5">
      <c r="B1583" s="17">
        <v>42985</v>
      </c>
      <c r="D1583" t="s">
        <v>454</v>
      </c>
      <c r="E1583">
        <v>3.3280000000000003</v>
      </c>
    </row>
    <row r="1584" spans="2:5">
      <c r="B1584" s="17">
        <v>42985</v>
      </c>
      <c r="D1584" t="s">
        <v>274</v>
      </c>
      <c r="E1584">
        <v>933.26200000000006</v>
      </c>
    </row>
    <row r="1585" spans="2:5">
      <c r="B1585" s="17">
        <v>42985</v>
      </c>
      <c r="D1585" t="s">
        <v>274</v>
      </c>
      <c r="E1585">
        <v>2803.92</v>
      </c>
    </row>
    <row r="1586" spans="2:5">
      <c r="B1586" s="17">
        <v>42985</v>
      </c>
      <c r="D1586" t="s">
        <v>274</v>
      </c>
      <c r="E1586">
        <v>4.6079999999999997</v>
      </c>
    </row>
    <row r="1587" spans="2:5">
      <c r="B1587" s="17">
        <v>42985</v>
      </c>
      <c r="D1587" t="s">
        <v>274</v>
      </c>
      <c r="E1587">
        <v>129.93</v>
      </c>
    </row>
    <row r="1588" spans="2:5">
      <c r="B1588" s="17">
        <v>42985</v>
      </c>
      <c r="D1588" t="s">
        <v>891</v>
      </c>
      <c r="E1588">
        <v>159.56</v>
      </c>
    </row>
    <row r="1589" spans="2:5">
      <c r="B1589" s="17">
        <v>42985</v>
      </c>
      <c r="D1589" t="s">
        <v>891</v>
      </c>
      <c r="E1589">
        <v>15.700000000000001</v>
      </c>
    </row>
    <row r="1590" spans="2:5">
      <c r="B1590" s="17">
        <v>42985</v>
      </c>
      <c r="D1590" t="s">
        <v>891</v>
      </c>
      <c r="E1590">
        <v>59.519999999999996</v>
      </c>
    </row>
    <row r="1591" spans="2:5">
      <c r="B1591" s="17">
        <v>42983</v>
      </c>
      <c r="D1591" t="s">
        <v>891</v>
      </c>
      <c r="E1591">
        <v>34.4</v>
      </c>
    </row>
    <row r="1592" spans="2:5">
      <c r="B1592" s="17">
        <v>42983</v>
      </c>
      <c r="D1592" t="s">
        <v>1329</v>
      </c>
      <c r="E1592">
        <v>69.52</v>
      </c>
    </row>
    <row r="1593" spans="2:5">
      <c r="B1593" s="17">
        <v>42983</v>
      </c>
      <c r="D1593" t="s">
        <v>1329</v>
      </c>
      <c r="E1593">
        <v>763.44</v>
      </c>
    </row>
    <row r="1594" spans="2:5">
      <c r="B1594" s="17">
        <v>42983</v>
      </c>
      <c r="D1594" t="s">
        <v>1433</v>
      </c>
      <c r="E1594">
        <v>25.92</v>
      </c>
    </row>
    <row r="1595" spans="2:5">
      <c r="B1595" s="17">
        <v>42983</v>
      </c>
      <c r="D1595" t="s">
        <v>1433</v>
      </c>
      <c r="E1595">
        <v>22.959999999999997</v>
      </c>
    </row>
    <row r="1596" spans="2:5">
      <c r="B1596" s="17">
        <v>42982</v>
      </c>
      <c r="D1596" t="s">
        <v>1433</v>
      </c>
      <c r="E1596">
        <v>32.448</v>
      </c>
    </row>
    <row r="1597" spans="2:5">
      <c r="B1597" s="17">
        <v>42982</v>
      </c>
      <c r="D1597" t="s">
        <v>1433</v>
      </c>
      <c r="E1597">
        <v>26.388000000000002</v>
      </c>
    </row>
    <row r="1598" spans="2:5">
      <c r="B1598" s="17">
        <v>42982</v>
      </c>
      <c r="D1598" t="s">
        <v>1433</v>
      </c>
      <c r="E1598">
        <v>373.46999999999991</v>
      </c>
    </row>
    <row r="1599" spans="2:5">
      <c r="B1599" s="17">
        <v>42982</v>
      </c>
      <c r="D1599" t="s">
        <v>1433</v>
      </c>
      <c r="E1599">
        <v>64.2</v>
      </c>
    </row>
    <row r="1600" spans="2:5">
      <c r="B1600" s="17">
        <v>42982</v>
      </c>
      <c r="D1600" t="s">
        <v>1433</v>
      </c>
      <c r="E1600">
        <v>8</v>
      </c>
    </row>
    <row r="1601" spans="2:5">
      <c r="B1601" s="17">
        <v>42982</v>
      </c>
      <c r="D1601" t="s">
        <v>1433</v>
      </c>
      <c r="E1601">
        <v>183.96</v>
      </c>
    </row>
    <row r="1602" spans="2:5">
      <c r="B1602" s="17">
        <v>42982</v>
      </c>
      <c r="D1602" t="s">
        <v>1433</v>
      </c>
      <c r="E1602">
        <v>17.61</v>
      </c>
    </row>
    <row r="1603" spans="2:5">
      <c r="B1603" s="17">
        <v>42982</v>
      </c>
      <c r="D1603" t="s">
        <v>834</v>
      </c>
      <c r="E1603">
        <v>9.11</v>
      </c>
    </row>
    <row r="1604" spans="2:5">
      <c r="B1604" s="17">
        <v>42982</v>
      </c>
      <c r="D1604" t="s">
        <v>834</v>
      </c>
      <c r="E1604">
        <v>571.44000000000005</v>
      </c>
    </row>
    <row r="1605" spans="2:5">
      <c r="B1605" s="17">
        <v>42982</v>
      </c>
      <c r="D1605" t="s">
        <v>834</v>
      </c>
      <c r="E1605">
        <v>32.400000000000006</v>
      </c>
    </row>
    <row r="1606" spans="2:5">
      <c r="B1606" s="17">
        <v>42982</v>
      </c>
      <c r="D1606" t="s">
        <v>834</v>
      </c>
      <c r="E1606">
        <v>16.91</v>
      </c>
    </row>
    <row r="1607" spans="2:5">
      <c r="B1607" s="17">
        <v>42982</v>
      </c>
      <c r="D1607" t="s">
        <v>834</v>
      </c>
      <c r="E1607">
        <v>2.3130000000000002</v>
      </c>
    </row>
    <row r="1608" spans="2:5">
      <c r="B1608" s="17">
        <v>42982</v>
      </c>
      <c r="D1608" t="s">
        <v>834</v>
      </c>
      <c r="E1608">
        <v>2.2020000000000004</v>
      </c>
    </row>
    <row r="1609" spans="2:5">
      <c r="B1609" s="17">
        <v>42982</v>
      </c>
      <c r="D1609" t="s">
        <v>1103</v>
      </c>
      <c r="E1609">
        <v>9.3960000000000008</v>
      </c>
    </row>
    <row r="1610" spans="2:5">
      <c r="B1610" s="17">
        <v>42982</v>
      </c>
      <c r="D1610" t="s">
        <v>198</v>
      </c>
      <c r="E1610">
        <v>23.16</v>
      </c>
    </row>
    <row r="1611" spans="2:5">
      <c r="B1611" s="17">
        <v>42982</v>
      </c>
      <c r="D1611" t="s">
        <v>198</v>
      </c>
      <c r="E1611">
        <v>21.240000000000002</v>
      </c>
    </row>
    <row r="1612" spans="2:5">
      <c r="B1612" s="17">
        <v>42982</v>
      </c>
      <c r="D1612" t="s">
        <v>198</v>
      </c>
      <c r="E1612">
        <v>9.5520000000000014</v>
      </c>
    </row>
    <row r="1613" spans="2:5">
      <c r="B1613" s="17">
        <v>42982</v>
      </c>
      <c r="D1613" t="s">
        <v>198</v>
      </c>
      <c r="E1613">
        <v>89.991000000000014</v>
      </c>
    </row>
    <row r="1614" spans="2:5">
      <c r="B1614" s="17">
        <v>42982</v>
      </c>
      <c r="D1614" t="s">
        <v>198</v>
      </c>
      <c r="E1614">
        <v>34.5</v>
      </c>
    </row>
    <row r="1615" spans="2:5">
      <c r="B1615" s="17">
        <v>42982</v>
      </c>
      <c r="D1615" t="s">
        <v>198</v>
      </c>
      <c r="E1615">
        <v>6.68</v>
      </c>
    </row>
    <row r="1616" spans="2:5">
      <c r="B1616" s="17">
        <v>42982</v>
      </c>
      <c r="D1616" t="s">
        <v>1383</v>
      </c>
      <c r="E1616">
        <v>6.4080000000000004</v>
      </c>
    </row>
    <row r="1617" spans="2:5">
      <c r="B1617" s="17">
        <v>42982</v>
      </c>
      <c r="D1617" t="s">
        <v>1383</v>
      </c>
      <c r="E1617">
        <v>408.74399999999997</v>
      </c>
    </row>
    <row r="1618" spans="2:5">
      <c r="B1618" s="17">
        <v>42982</v>
      </c>
      <c r="D1618" t="s">
        <v>1383</v>
      </c>
      <c r="E1618">
        <v>59.2</v>
      </c>
    </row>
    <row r="1619" spans="2:5">
      <c r="B1619" s="17">
        <v>42982</v>
      </c>
      <c r="D1619" t="s">
        <v>1383</v>
      </c>
      <c r="E1619">
        <v>54.66</v>
      </c>
    </row>
    <row r="1620" spans="2:5">
      <c r="B1620" s="17">
        <v>42982</v>
      </c>
      <c r="D1620" t="s">
        <v>1383</v>
      </c>
      <c r="E1620">
        <v>11.059999999999999</v>
      </c>
    </row>
    <row r="1621" spans="2:5">
      <c r="B1621" s="17">
        <v>42982</v>
      </c>
      <c r="D1621" t="s">
        <v>1317</v>
      </c>
      <c r="E1621">
        <v>623.46479999999997</v>
      </c>
    </row>
    <row r="1622" spans="2:5">
      <c r="B1622" s="17">
        <v>42982</v>
      </c>
      <c r="D1622" t="s">
        <v>1317</v>
      </c>
      <c r="E1622">
        <v>772.68000000000006</v>
      </c>
    </row>
    <row r="1623" spans="2:5">
      <c r="B1623" s="17">
        <v>42982</v>
      </c>
      <c r="D1623" t="s">
        <v>1317</v>
      </c>
      <c r="E1623">
        <v>68.541000000000011</v>
      </c>
    </row>
    <row r="1624" spans="2:5">
      <c r="B1624" s="17">
        <v>42981</v>
      </c>
      <c r="D1624" t="s">
        <v>1317</v>
      </c>
      <c r="E1624">
        <v>627.16800000000012</v>
      </c>
    </row>
    <row r="1625" spans="2:5">
      <c r="B1625" s="17">
        <v>42981</v>
      </c>
      <c r="D1625" t="s">
        <v>1389</v>
      </c>
      <c r="E1625">
        <v>122.12000000000002</v>
      </c>
    </row>
    <row r="1626" spans="2:5">
      <c r="B1626" s="17">
        <v>42981</v>
      </c>
      <c r="D1626" t="s">
        <v>1389</v>
      </c>
      <c r="E1626">
        <v>152.94</v>
      </c>
    </row>
    <row r="1627" spans="2:5">
      <c r="B1627" s="17">
        <v>42981</v>
      </c>
      <c r="D1627" t="s">
        <v>1389</v>
      </c>
      <c r="E1627">
        <v>84.415999999999997</v>
      </c>
    </row>
    <row r="1628" spans="2:5">
      <c r="B1628" s="17">
        <v>42981</v>
      </c>
      <c r="D1628" t="s">
        <v>1389</v>
      </c>
      <c r="E1628">
        <v>191.96800000000002</v>
      </c>
    </row>
    <row r="1629" spans="2:5">
      <c r="B1629" s="17">
        <v>42981</v>
      </c>
      <c r="D1629" t="s">
        <v>1389</v>
      </c>
      <c r="E1629">
        <v>1458.65</v>
      </c>
    </row>
    <row r="1630" spans="2:5">
      <c r="B1630" s="17">
        <v>42981</v>
      </c>
      <c r="D1630" t="s">
        <v>168</v>
      </c>
      <c r="E1630">
        <v>26.64</v>
      </c>
    </row>
    <row r="1631" spans="2:5">
      <c r="B1631" s="17">
        <v>42981</v>
      </c>
      <c r="D1631" t="s">
        <v>168</v>
      </c>
      <c r="E1631">
        <v>476.8</v>
      </c>
    </row>
    <row r="1632" spans="2:5">
      <c r="B1632" s="17">
        <v>42981</v>
      </c>
      <c r="D1632" t="s">
        <v>168</v>
      </c>
      <c r="E1632">
        <v>87.444000000000003</v>
      </c>
    </row>
    <row r="1633" spans="2:5">
      <c r="B1633" s="17">
        <v>42981</v>
      </c>
      <c r="D1633" t="s">
        <v>168</v>
      </c>
      <c r="E1633">
        <v>79.989999999999995</v>
      </c>
    </row>
    <row r="1634" spans="2:5">
      <c r="B1634" s="17">
        <v>42981</v>
      </c>
      <c r="D1634" t="s">
        <v>412</v>
      </c>
      <c r="E1634">
        <v>419.94399999999996</v>
      </c>
    </row>
    <row r="1635" spans="2:5">
      <c r="B1635" s="17">
        <v>42981</v>
      </c>
      <c r="D1635" t="s">
        <v>412</v>
      </c>
      <c r="E1635">
        <v>47.991999999999997</v>
      </c>
    </row>
    <row r="1636" spans="2:5">
      <c r="B1636" s="17">
        <v>42981</v>
      </c>
      <c r="D1636" t="s">
        <v>412</v>
      </c>
      <c r="E1636">
        <v>3359.9520000000002</v>
      </c>
    </row>
    <row r="1637" spans="2:5">
      <c r="B1637" s="17">
        <v>42980</v>
      </c>
      <c r="D1637" t="s">
        <v>412</v>
      </c>
      <c r="E1637">
        <v>128.05799999999999</v>
      </c>
    </row>
    <row r="1638" spans="2:5">
      <c r="B1638" s="17">
        <v>42980</v>
      </c>
      <c r="D1638" t="s">
        <v>412</v>
      </c>
      <c r="E1638">
        <v>81.08</v>
      </c>
    </row>
    <row r="1639" spans="2:5">
      <c r="B1639" s="17">
        <v>42980</v>
      </c>
      <c r="D1639" t="s">
        <v>412</v>
      </c>
      <c r="E1639">
        <v>41.472000000000008</v>
      </c>
    </row>
    <row r="1640" spans="2:5">
      <c r="B1640" s="17">
        <v>42980</v>
      </c>
      <c r="D1640" t="s">
        <v>412</v>
      </c>
      <c r="E1640">
        <v>65.231999999999999</v>
      </c>
    </row>
    <row r="1641" spans="2:5">
      <c r="B1641" s="17">
        <v>42980</v>
      </c>
      <c r="D1641" t="s">
        <v>710</v>
      </c>
      <c r="E1641">
        <v>147.91999999999999</v>
      </c>
    </row>
    <row r="1642" spans="2:5">
      <c r="B1642" s="17">
        <v>42980</v>
      </c>
      <c r="D1642" t="s">
        <v>710</v>
      </c>
      <c r="E1642">
        <v>104.28</v>
      </c>
    </row>
    <row r="1643" spans="2:5">
      <c r="B1643" s="17">
        <v>42980</v>
      </c>
      <c r="D1643" t="s">
        <v>710</v>
      </c>
      <c r="E1643">
        <v>66.959999999999994</v>
      </c>
    </row>
    <row r="1644" spans="2:5">
      <c r="B1644" s="17">
        <v>42980</v>
      </c>
      <c r="D1644" t="s">
        <v>1241</v>
      </c>
      <c r="E1644">
        <v>37.44</v>
      </c>
    </row>
    <row r="1645" spans="2:5">
      <c r="B1645" s="17">
        <v>42980</v>
      </c>
      <c r="D1645" t="s">
        <v>1241</v>
      </c>
      <c r="E1645">
        <v>37.589999999999996</v>
      </c>
    </row>
    <row r="1646" spans="2:5">
      <c r="B1646" s="17">
        <v>42980</v>
      </c>
      <c r="D1646" t="s">
        <v>1241</v>
      </c>
      <c r="E1646">
        <v>26.032</v>
      </c>
    </row>
    <row r="1647" spans="2:5">
      <c r="B1647" s="17">
        <v>42980</v>
      </c>
      <c r="D1647" t="s">
        <v>1241</v>
      </c>
      <c r="E1647">
        <v>5.2480000000000002</v>
      </c>
    </row>
    <row r="1648" spans="2:5">
      <c r="B1648" s="17">
        <v>42980</v>
      </c>
      <c r="D1648" t="s">
        <v>1241</v>
      </c>
      <c r="E1648">
        <v>74.415999999999997</v>
      </c>
    </row>
    <row r="1649" spans="2:5">
      <c r="B1649" s="17">
        <v>42980</v>
      </c>
      <c r="D1649" t="s">
        <v>1660</v>
      </c>
      <c r="E1649">
        <v>6.8480000000000008</v>
      </c>
    </row>
    <row r="1650" spans="2:5">
      <c r="B1650" s="17">
        <v>42980</v>
      </c>
      <c r="D1650" t="s">
        <v>1660</v>
      </c>
      <c r="E1650">
        <v>7.9959999999999996</v>
      </c>
    </row>
    <row r="1651" spans="2:5">
      <c r="B1651" s="17">
        <v>42980</v>
      </c>
      <c r="D1651" t="s">
        <v>1660</v>
      </c>
      <c r="E1651">
        <v>43.92</v>
      </c>
    </row>
    <row r="1652" spans="2:5">
      <c r="B1652" s="17">
        <v>42980</v>
      </c>
      <c r="D1652" t="s">
        <v>934</v>
      </c>
      <c r="E1652">
        <v>127.92000000000002</v>
      </c>
    </row>
    <row r="1653" spans="2:5">
      <c r="B1653" s="17">
        <v>42980</v>
      </c>
      <c r="D1653" t="s">
        <v>934</v>
      </c>
      <c r="E1653">
        <v>34.239999999999988</v>
      </c>
    </row>
    <row r="1654" spans="2:5">
      <c r="B1654" s="17">
        <v>42980</v>
      </c>
      <c r="D1654" t="s">
        <v>934</v>
      </c>
      <c r="E1654">
        <v>87.6</v>
      </c>
    </row>
    <row r="1655" spans="2:5">
      <c r="B1655" s="17">
        <v>42980</v>
      </c>
      <c r="D1655" t="s">
        <v>934</v>
      </c>
      <c r="E1655">
        <v>10.272000000000002</v>
      </c>
    </row>
    <row r="1656" spans="2:5">
      <c r="B1656" s="17">
        <v>42980</v>
      </c>
      <c r="D1656" t="s">
        <v>97</v>
      </c>
      <c r="E1656">
        <v>7.77</v>
      </c>
    </row>
    <row r="1657" spans="2:5">
      <c r="B1657" s="17">
        <v>42980</v>
      </c>
      <c r="D1657" t="s">
        <v>97</v>
      </c>
      <c r="E1657">
        <v>19.168000000000003</v>
      </c>
    </row>
    <row r="1658" spans="2:5">
      <c r="B1658" s="17">
        <v>42980</v>
      </c>
      <c r="D1658" t="s">
        <v>1264</v>
      </c>
      <c r="E1658">
        <v>5.9039999999999999</v>
      </c>
    </row>
    <row r="1659" spans="2:5">
      <c r="B1659" s="17">
        <v>42980</v>
      </c>
      <c r="D1659" t="s">
        <v>1264</v>
      </c>
      <c r="E1659">
        <v>42.85</v>
      </c>
    </row>
    <row r="1660" spans="2:5">
      <c r="B1660" s="17">
        <v>42980</v>
      </c>
      <c r="D1660" t="s">
        <v>1264</v>
      </c>
      <c r="E1660">
        <v>6.16</v>
      </c>
    </row>
    <row r="1661" spans="2:5">
      <c r="B1661" s="17">
        <v>42980</v>
      </c>
      <c r="D1661" t="s">
        <v>1744</v>
      </c>
      <c r="E1661">
        <v>17</v>
      </c>
    </row>
    <row r="1662" spans="2:5">
      <c r="B1662" s="17">
        <v>42980</v>
      </c>
      <c r="D1662" t="s">
        <v>1744</v>
      </c>
      <c r="E1662">
        <v>87.4</v>
      </c>
    </row>
    <row r="1663" spans="2:5">
      <c r="B1663" s="17">
        <v>42980</v>
      </c>
      <c r="D1663" t="s">
        <v>1744</v>
      </c>
      <c r="E1663">
        <v>58.48</v>
      </c>
    </row>
    <row r="1664" spans="2:5">
      <c r="B1664" s="17">
        <v>42980</v>
      </c>
      <c r="D1664" t="s">
        <v>1744</v>
      </c>
      <c r="E1664">
        <v>180.96</v>
      </c>
    </row>
    <row r="1665" spans="2:5">
      <c r="B1665" s="17">
        <v>42980</v>
      </c>
      <c r="D1665" t="s">
        <v>165</v>
      </c>
      <c r="E1665">
        <v>914.97</v>
      </c>
    </row>
    <row r="1666" spans="2:5">
      <c r="B1666" s="17">
        <v>42980</v>
      </c>
      <c r="D1666" t="s">
        <v>165</v>
      </c>
      <c r="E1666">
        <v>587.97</v>
      </c>
    </row>
    <row r="1667" spans="2:5">
      <c r="B1667" s="17">
        <v>42980</v>
      </c>
      <c r="D1667" t="s">
        <v>165</v>
      </c>
      <c r="E1667">
        <v>530.34</v>
      </c>
    </row>
    <row r="1668" spans="2:5">
      <c r="B1668" s="17">
        <v>42980</v>
      </c>
      <c r="D1668" t="s">
        <v>1018</v>
      </c>
      <c r="E1668">
        <v>14.940000000000001</v>
      </c>
    </row>
    <row r="1669" spans="2:5">
      <c r="B1669" s="17">
        <v>42980</v>
      </c>
      <c r="D1669" t="s">
        <v>1018</v>
      </c>
      <c r="E1669">
        <v>20.768000000000001</v>
      </c>
    </row>
    <row r="1670" spans="2:5">
      <c r="B1670" s="17">
        <v>42980</v>
      </c>
      <c r="D1670" t="s">
        <v>1018</v>
      </c>
      <c r="E1670">
        <v>458.42999999999995</v>
      </c>
    </row>
    <row r="1671" spans="2:5">
      <c r="B1671" s="17">
        <v>42980</v>
      </c>
      <c r="D1671" t="s">
        <v>1018</v>
      </c>
      <c r="E1671">
        <v>18.28</v>
      </c>
    </row>
    <row r="1672" spans="2:5">
      <c r="B1672" s="17">
        <v>42980</v>
      </c>
      <c r="D1672" t="s">
        <v>1018</v>
      </c>
      <c r="E1672">
        <v>1399.93</v>
      </c>
    </row>
    <row r="1673" spans="2:5">
      <c r="B1673" s="17">
        <v>42979</v>
      </c>
      <c r="D1673" t="s">
        <v>1018</v>
      </c>
      <c r="E1673">
        <v>48.69</v>
      </c>
    </row>
    <row r="1674" spans="2:5">
      <c r="B1674" s="17">
        <v>42979</v>
      </c>
      <c r="D1674" t="s">
        <v>1018</v>
      </c>
      <c r="E1674">
        <v>539.97</v>
      </c>
    </row>
    <row r="1675" spans="2:5">
      <c r="B1675" s="17">
        <v>42979</v>
      </c>
      <c r="D1675" t="s">
        <v>1166</v>
      </c>
      <c r="E1675">
        <v>22.58</v>
      </c>
    </row>
    <row r="1676" spans="2:5">
      <c r="B1676" s="17">
        <v>42979</v>
      </c>
      <c r="D1676" t="s">
        <v>1166</v>
      </c>
      <c r="E1676">
        <v>440.18999999999994</v>
      </c>
    </row>
    <row r="1677" spans="2:5">
      <c r="B1677" s="17">
        <v>42979</v>
      </c>
      <c r="D1677" t="s">
        <v>1166</v>
      </c>
      <c r="E1677">
        <v>64.400000000000006</v>
      </c>
    </row>
    <row r="1678" spans="2:5">
      <c r="B1678" s="17">
        <v>42979</v>
      </c>
      <c r="D1678" t="s">
        <v>1166</v>
      </c>
      <c r="E1678">
        <v>899.43</v>
      </c>
    </row>
    <row r="1679" spans="2:5">
      <c r="B1679" s="17">
        <v>42979</v>
      </c>
      <c r="D1679" t="s">
        <v>1166</v>
      </c>
      <c r="E1679">
        <v>46.2</v>
      </c>
    </row>
    <row r="1680" spans="2:5">
      <c r="B1680" s="17">
        <v>42978</v>
      </c>
      <c r="D1680" t="s">
        <v>1166</v>
      </c>
      <c r="E1680">
        <v>47.952000000000005</v>
      </c>
    </row>
    <row r="1681" spans="2:5">
      <c r="B1681" s="17">
        <v>42978</v>
      </c>
      <c r="D1681" t="s">
        <v>1783</v>
      </c>
      <c r="E1681">
        <v>7.9920000000000009</v>
      </c>
    </row>
    <row r="1682" spans="2:5">
      <c r="B1682" s="17">
        <v>42978</v>
      </c>
      <c r="D1682" t="s">
        <v>1783</v>
      </c>
      <c r="E1682">
        <v>76.864000000000004</v>
      </c>
    </row>
    <row r="1683" spans="2:5">
      <c r="B1683" s="17">
        <v>42978</v>
      </c>
      <c r="D1683" t="s">
        <v>1783</v>
      </c>
      <c r="E1683">
        <v>3.76</v>
      </c>
    </row>
    <row r="1684" spans="2:5">
      <c r="B1684" s="17">
        <v>42978</v>
      </c>
      <c r="D1684" t="s">
        <v>501</v>
      </c>
      <c r="E1684">
        <v>14.7</v>
      </c>
    </row>
    <row r="1685" spans="2:5">
      <c r="B1685" s="17">
        <v>42978</v>
      </c>
      <c r="D1685" t="s">
        <v>501</v>
      </c>
      <c r="E1685">
        <v>37.200000000000003</v>
      </c>
    </row>
    <row r="1686" spans="2:5">
      <c r="B1686" s="17">
        <v>42978</v>
      </c>
      <c r="D1686" t="s">
        <v>501</v>
      </c>
      <c r="E1686">
        <v>89.97</v>
      </c>
    </row>
    <row r="1687" spans="2:5">
      <c r="B1687" s="17">
        <v>42978</v>
      </c>
      <c r="D1687" t="s">
        <v>501</v>
      </c>
      <c r="E1687">
        <v>74</v>
      </c>
    </row>
    <row r="1688" spans="2:5">
      <c r="B1688" s="17">
        <v>42978</v>
      </c>
      <c r="D1688" t="s">
        <v>501</v>
      </c>
      <c r="E1688">
        <v>58.170000000000009</v>
      </c>
    </row>
    <row r="1689" spans="2:5">
      <c r="B1689" s="17">
        <v>42978</v>
      </c>
      <c r="D1689" t="s">
        <v>501</v>
      </c>
      <c r="E1689">
        <v>5.04</v>
      </c>
    </row>
    <row r="1690" spans="2:5">
      <c r="B1690" s="17">
        <v>42978</v>
      </c>
      <c r="D1690" t="s">
        <v>1622</v>
      </c>
      <c r="E1690">
        <v>24.784000000000002</v>
      </c>
    </row>
    <row r="1691" spans="2:5">
      <c r="B1691" s="17">
        <v>42976</v>
      </c>
      <c r="D1691" t="s">
        <v>1622</v>
      </c>
      <c r="E1691">
        <v>29.592000000000002</v>
      </c>
    </row>
    <row r="1692" spans="2:5">
      <c r="B1692" s="17">
        <v>42976</v>
      </c>
      <c r="D1692" t="s">
        <v>1622</v>
      </c>
      <c r="E1692">
        <v>4.7520000000000007</v>
      </c>
    </row>
    <row r="1693" spans="2:5">
      <c r="B1693" s="17">
        <v>42976</v>
      </c>
      <c r="D1693" t="s">
        <v>1547</v>
      </c>
      <c r="E1693">
        <v>15.552000000000003</v>
      </c>
    </row>
    <row r="1694" spans="2:5">
      <c r="B1694" s="17">
        <v>42976</v>
      </c>
      <c r="D1694" t="s">
        <v>1547</v>
      </c>
      <c r="E1694">
        <v>39.96</v>
      </c>
    </row>
    <row r="1695" spans="2:5">
      <c r="B1695" s="17">
        <v>42976</v>
      </c>
      <c r="D1695" t="s">
        <v>1547</v>
      </c>
      <c r="E1695">
        <v>42.624000000000002</v>
      </c>
    </row>
    <row r="1696" spans="2:5">
      <c r="B1696" s="17">
        <v>42975</v>
      </c>
      <c r="D1696" t="s">
        <v>1547</v>
      </c>
      <c r="E1696">
        <v>56.704000000000001</v>
      </c>
    </row>
    <row r="1697" spans="2:5">
      <c r="B1697" s="17">
        <v>42975</v>
      </c>
      <c r="D1697" t="s">
        <v>1547</v>
      </c>
      <c r="E1697">
        <v>11.120000000000001</v>
      </c>
    </row>
    <row r="1698" spans="2:5">
      <c r="B1698" s="17">
        <v>42975</v>
      </c>
      <c r="D1698" t="s">
        <v>1547</v>
      </c>
      <c r="E1698">
        <v>36.048000000000002</v>
      </c>
    </row>
    <row r="1699" spans="2:5">
      <c r="B1699" s="17">
        <v>42975</v>
      </c>
      <c r="D1699" t="s">
        <v>1547</v>
      </c>
      <c r="E1699">
        <v>14.56</v>
      </c>
    </row>
    <row r="1700" spans="2:5">
      <c r="B1700" s="17">
        <v>42975</v>
      </c>
      <c r="D1700" t="s">
        <v>1547</v>
      </c>
      <c r="E1700">
        <v>3.048</v>
      </c>
    </row>
    <row r="1701" spans="2:5">
      <c r="B1701" s="17">
        <v>42975</v>
      </c>
      <c r="D1701" t="s">
        <v>184</v>
      </c>
      <c r="E1701">
        <v>6.8739999999999988</v>
      </c>
    </row>
    <row r="1702" spans="2:5">
      <c r="B1702" s="17">
        <v>42975</v>
      </c>
      <c r="D1702" t="s">
        <v>184</v>
      </c>
      <c r="E1702">
        <v>1.9959999999999996</v>
      </c>
    </row>
    <row r="1703" spans="2:5">
      <c r="B1703" s="17">
        <v>42975</v>
      </c>
      <c r="D1703" t="s">
        <v>184</v>
      </c>
      <c r="E1703">
        <v>8.9280000000000008</v>
      </c>
    </row>
    <row r="1704" spans="2:5">
      <c r="B1704" s="17">
        <v>42974</v>
      </c>
      <c r="D1704" t="s">
        <v>184</v>
      </c>
      <c r="E1704">
        <v>17.239999999999998</v>
      </c>
    </row>
    <row r="1705" spans="2:5">
      <c r="B1705" s="17">
        <v>42974</v>
      </c>
      <c r="D1705" t="s">
        <v>184</v>
      </c>
      <c r="E1705">
        <v>34.75</v>
      </c>
    </row>
    <row r="1706" spans="2:5">
      <c r="B1706" s="17">
        <v>42974</v>
      </c>
      <c r="D1706" t="s">
        <v>184</v>
      </c>
      <c r="E1706">
        <v>113.94</v>
      </c>
    </row>
    <row r="1707" spans="2:5">
      <c r="B1707" s="17">
        <v>42974</v>
      </c>
      <c r="D1707" t="s">
        <v>1487</v>
      </c>
      <c r="E1707">
        <v>55.98</v>
      </c>
    </row>
    <row r="1708" spans="2:5">
      <c r="B1708" s="17">
        <v>42974</v>
      </c>
      <c r="D1708" t="s">
        <v>1487</v>
      </c>
      <c r="E1708">
        <v>344.70400000000001</v>
      </c>
    </row>
    <row r="1709" spans="2:5">
      <c r="B1709" s="17">
        <v>42974</v>
      </c>
      <c r="D1709" t="s">
        <v>1487</v>
      </c>
      <c r="E1709">
        <v>706.86</v>
      </c>
    </row>
    <row r="1710" spans="2:5">
      <c r="B1710" s="17">
        <v>42974</v>
      </c>
      <c r="D1710" t="s">
        <v>1248</v>
      </c>
      <c r="E1710">
        <v>114.94999999999999</v>
      </c>
    </row>
    <row r="1711" spans="2:5">
      <c r="B1711" s="17">
        <v>42974</v>
      </c>
      <c r="D1711" t="s">
        <v>1248</v>
      </c>
      <c r="E1711">
        <v>43.19</v>
      </c>
    </row>
    <row r="1712" spans="2:5">
      <c r="B1712" s="17">
        <v>42974</v>
      </c>
      <c r="D1712" t="s">
        <v>1248</v>
      </c>
      <c r="E1712">
        <v>22.608000000000001</v>
      </c>
    </row>
    <row r="1713" spans="2:5">
      <c r="B1713" s="17">
        <v>42974</v>
      </c>
      <c r="D1713" t="s">
        <v>1248</v>
      </c>
      <c r="E1713">
        <v>1.8920000000000003</v>
      </c>
    </row>
    <row r="1714" spans="2:5">
      <c r="B1714" s="17">
        <v>42974</v>
      </c>
      <c r="D1714" t="s">
        <v>1248</v>
      </c>
      <c r="E1714">
        <v>97.16</v>
      </c>
    </row>
    <row r="1715" spans="2:5">
      <c r="B1715" s="17">
        <v>42974</v>
      </c>
      <c r="D1715" t="s">
        <v>467</v>
      </c>
      <c r="E1715">
        <v>67.8</v>
      </c>
    </row>
    <row r="1716" spans="2:5">
      <c r="B1716" s="17">
        <v>42974</v>
      </c>
      <c r="D1716" t="s">
        <v>1885</v>
      </c>
      <c r="E1716">
        <v>377.96999999999997</v>
      </c>
    </row>
    <row r="1717" spans="2:5">
      <c r="B1717" s="17">
        <v>42974</v>
      </c>
      <c r="D1717" t="s">
        <v>1473</v>
      </c>
      <c r="E1717">
        <v>1628.82</v>
      </c>
    </row>
    <row r="1718" spans="2:5">
      <c r="B1718" s="17">
        <v>42974</v>
      </c>
      <c r="D1718" t="s">
        <v>1473</v>
      </c>
      <c r="E1718">
        <v>681.40800000000013</v>
      </c>
    </row>
    <row r="1719" spans="2:5">
      <c r="B1719" s="17">
        <v>42974</v>
      </c>
      <c r="D1719" t="s">
        <v>1584</v>
      </c>
      <c r="E1719">
        <v>3.52</v>
      </c>
    </row>
    <row r="1720" spans="2:5">
      <c r="B1720" s="17">
        <v>42974</v>
      </c>
      <c r="D1720" t="s">
        <v>1584</v>
      </c>
      <c r="E1720">
        <v>5.58</v>
      </c>
    </row>
    <row r="1721" spans="2:5">
      <c r="B1721" s="17">
        <v>42974</v>
      </c>
      <c r="D1721" t="s">
        <v>1584</v>
      </c>
      <c r="E1721">
        <v>36.32</v>
      </c>
    </row>
    <row r="1722" spans="2:5">
      <c r="B1722" s="17">
        <v>42974</v>
      </c>
      <c r="D1722" t="s">
        <v>1584</v>
      </c>
      <c r="E1722">
        <v>195.64</v>
      </c>
    </row>
    <row r="1723" spans="2:5">
      <c r="B1723" s="17">
        <v>42973</v>
      </c>
      <c r="D1723" t="s">
        <v>143</v>
      </c>
      <c r="E1723">
        <v>38.016000000000005</v>
      </c>
    </row>
    <row r="1724" spans="2:5">
      <c r="B1724" s="17">
        <v>42973</v>
      </c>
      <c r="D1724" t="s">
        <v>143</v>
      </c>
      <c r="E1724">
        <v>95.992000000000004</v>
      </c>
    </row>
    <row r="1725" spans="2:5">
      <c r="B1725" s="17">
        <v>42973</v>
      </c>
      <c r="D1725" t="s">
        <v>143</v>
      </c>
      <c r="E1725">
        <v>13.216000000000001</v>
      </c>
    </row>
    <row r="1726" spans="2:5">
      <c r="B1726" s="17">
        <v>42972</v>
      </c>
      <c r="D1726" t="s">
        <v>1830</v>
      </c>
      <c r="E1726">
        <v>27.888000000000002</v>
      </c>
    </row>
    <row r="1727" spans="2:5">
      <c r="B1727" s="17">
        <v>42972</v>
      </c>
      <c r="D1727" t="s">
        <v>1830</v>
      </c>
      <c r="E1727">
        <v>133.12</v>
      </c>
    </row>
    <row r="1728" spans="2:5">
      <c r="B1728" s="17">
        <v>42972</v>
      </c>
      <c r="D1728" t="s">
        <v>1781</v>
      </c>
      <c r="E1728">
        <v>26.16</v>
      </c>
    </row>
    <row r="1729" spans="2:5">
      <c r="B1729" s="17">
        <v>42972</v>
      </c>
      <c r="D1729" t="s">
        <v>1781</v>
      </c>
      <c r="E1729">
        <v>131.94</v>
      </c>
    </row>
    <row r="1730" spans="2:5">
      <c r="B1730" s="17">
        <v>42972</v>
      </c>
      <c r="D1730" t="s">
        <v>1430</v>
      </c>
      <c r="E1730">
        <v>25.92</v>
      </c>
    </row>
    <row r="1731" spans="2:5">
      <c r="B1731" s="17">
        <v>42971</v>
      </c>
      <c r="D1731" t="s">
        <v>1430</v>
      </c>
      <c r="E1731">
        <v>704.76</v>
      </c>
    </row>
    <row r="1732" spans="2:5">
      <c r="B1732" s="17">
        <v>42971</v>
      </c>
      <c r="D1732" t="s">
        <v>1198</v>
      </c>
      <c r="E1732">
        <v>7.41</v>
      </c>
    </row>
    <row r="1733" spans="2:5">
      <c r="B1733" s="17">
        <v>42971</v>
      </c>
      <c r="D1733" t="s">
        <v>1198</v>
      </c>
      <c r="E1733">
        <v>21.5</v>
      </c>
    </row>
    <row r="1734" spans="2:5">
      <c r="B1734" s="17">
        <v>42971</v>
      </c>
      <c r="D1734" t="s">
        <v>1198</v>
      </c>
      <c r="E1734">
        <v>518.27200000000005</v>
      </c>
    </row>
    <row r="1735" spans="2:5">
      <c r="B1735" s="17">
        <v>42970</v>
      </c>
      <c r="D1735" t="s">
        <v>1198</v>
      </c>
      <c r="E1735">
        <v>6.98</v>
      </c>
    </row>
    <row r="1736" spans="2:5">
      <c r="B1736" s="17">
        <v>42970</v>
      </c>
      <c r="D1736" t="s">
        <v>1198</v>
      </c>
      <c r="E1736">
        <v>41.28</v>
      </c>
    </row>
    <row r="1737" spans="2:5">
      <c r="B1737" s="17">
        <v>42970</v>
      </c>
      <c r="D1737" t="s">
        <v>1198</v>
      </c>
      <c r="E1737">
        <v>8.2880000000000003</v>
      </c>
    </row>
    <row r="1738" spans="2:5">
      <c r="B1738" s="17">
        <v>42970</v>
      </c>
      <c r="D1738" t="s">
        <v>1198</v>
      </c>
      <c r="E1738">
        <v>1123.1280000000002</v>
      </c>
    </row>
    <row r="1739" spans="2:5">
      <c r="B1739" s="17">
        <v>42970</v>
      </c>
      <c r="D1739" t="s">
        <v>977</v>
      </c>
      <c r="E1739">
        <v>64.900000000000006</v>
      </c>
    </row>
    <row r="1740" spans="2:5">
      <c r="B1740" s="17">
        <v>42969</v>
      </c>
      <c r="D1740" t="s">
        <v>977</v>
      </c>
      <c r="E1740">
        <v>520.05000000000007</v>
      </c>
    </row>
    <row r="1741" spans="2:5">
      <c r="B1741" s="17">
        <v>42969</v>
      </c>
      <c r="D1741" t="s">
        <v>977</v>
      </c>
      <c r="E1741">
        <v>17.97</v>
      </c>
    </row>
    <row r="1742" spans="2:5">
      <c r="B1742" s="17">
        <v>42968</v>
      </c>
      <c r="D1742" t="s">
        <v>977</v>
      </c>
      <c r="E1742">
        <v>181.98599999999999</v>
      </c>
    </row>
    <row r="1743" spans="2:5">
      <c r="B1743" s="17">
        <v>42968</v>
      </c>
      <c r="D1743" t="s">
        <v>977</v>
      </c>
      <c r="E1743">
        <v>1.5919999999999996</v>
      </c>
    </row>
    <row r="1744" spans="2:5">
      <c r="B1744" s="17">
        <v>42968</v>
      </c>
      <c r="D1744" t="s">
        <v>977</v>
      </c>
      <c r="E1744">
        <v>22.344000000000001</v>
      </c>
    </row>
    <row r="1745" spans="2:5">
      <c r="B1745" s="17">
        <v>42968</v>
      </c>
      <c r="D1745" t="s">
        <v>217</v>
      </c>
      <c r="E1745">
        <v>68.459999999999994</v>
      </c>
    </row>
    <row r="1746" spans="2:5">
      <c r="B1746" s="17">
        <v>42968</v>
      </c>
      <c r="D1746" t="s">
        <v>217</v>
      </c>
      <c r="E1746">
        <v>49.56</v>
      </c>
    </row>
    <row r="1747" spans="2:5">
      <c r="B1747" s="17">
        <v>42968</v>
      </c>
      <c r="D1747" t="s">
        <v>217</v>
      </c>
      <c r="E1747">
        <v>9.84</v>
      </c>
    </row>
    <row r="1748" spans="2:5">
      <c r="B1748" s="17">
        <v>42968</v>
      </c>
      <c r="D1748" t="s">
        <v>217</v>
      </c>
      <c r="E1748">
        <v>2.78</v>
      </c>
    </row>
    <row r="1749" spans="2:5">
      <c r="B1749" s="17">
        <v>42968</v>
      </c>
      <c r="D1749" t="s">
        <v>217</v>
      </c>
      <c r="E1749">
        <v>171.28800000000001</v>
      </c>
    </row>
    <row r="1750" spans="2:5">
      <c r="B1750" s="17">
        <v>42968</v>
      </c>
      <c r="D1750" t="s">
        <v>217</v>
      </c>
      <c r="E1750">
        <v>1.8239999999999998</v>
      </c>
    </row>
    <row r="1751" spans="2:5">
      <c r="B1751" s="17">
        <v>42968</v>
      </c>
      <c r="D1751" t="s">
        <v>217</v>
      </c>
      <c r="E1751">
        <v>18.319999999999997</v>
      </c>
    </row>
    <row r="1752" spans="2:5">
      <c r="B1752" s="17">
        <v>42968</v>
      </c>
      <c r="D1752" t="s">
        <v>217</v>
      </c>
      <c r="E1752">
        <v>48.816000000000003</v>
      </c>
    </row>
    <row r="1753" spans="2:5">
      <c r="B1753" s="17">
        <v>42968</v>
      </c>
      <c r="D1753" t="s">
        <v>712</v>
      </c>
      <c r="E1753">
        <v>1.1879999999999997</v>
      </c>
    </row>
    <row r="1754" spans="2:5">
      <c r="B1754" s="17">
        <v>42968</v>
      </c>
      <c r="D1754" t="s">
        <v>712</v>
      </c>
      <c r="E1754">
        <v>29.84</v>
      </c>
    </row>
    <row r="1755" spans="2:5">
      <c r="B1755" s="17">
        <v>42968</v>
      </c>
      <c r="D1755" t="s">
        <v>712</v>
      </c>
      <c r="E1755">
        <v>663.92</v>
      </c>
    </row>
    <row r="1756" spans="2:5">
      <c r="B1756" s="17">
        <v>42968</v>
      </c>
      <c r="D1756" t="s">
        <v>712</v>
      </c>
      <c r="E1756">
        <v>120</v>
      </c>
    </row>
    <row r="1757" spans="2:5">
      <c r="B1757" s="17">
        <v>42968</v>
      </c>
      <c r="D1757" t="s">
        <v>123</v>
      </c>
      <c r="E1757">
        <v>3.29</v>
      </c>
    </row>
    <row r="1758" spans="2:5">
      <c r="B1758" s="17">
        <v>42968</v>
      </c>
      <c r="D1758" t="s">
        <v>123</v>
      </c>
      <c r="E1758">
        <v>18.84</v>
      </c>
    </row>
    <row r="1759" spans="2:5">
      <c r="B1759" s="17">
        <v>42968</v>
      </c>
      <c r="D1759" t="s">
        <v>123</v>
      </c>
      <c r="E1759">
        <v>50.135999999999996</v>
      </c>
    </row>
    <row r="1760" spans="2:5">
      <c r="B1760" s="17">
        <v>42968</v>
      </c>
      <c r="D1760" t="s">
        <v>123</v>
      </c>
      <c r="E1760">
        <v>25.76</v>
      </c>
    </row>
    <row r="1761" spans="2:5">
      <c r="B1761" s="17">
        <v>42968</v>
      </c>
      <c r="D1761" t="s">
        <v>123</v>
      </c>
      <c r="E1761">
        <v>23.08</v>
      </c>
    </row>
    <row r="1762" spans="2:5">
      <c r="B1762" s="17">
        <v>42968</v>
      </c>
      <c r="D1762" t="s">
        <v>123</v>
      </c>
      <c r="E1762">
        <v>12.96</v>
      </c>
    </row>
    <row r="1763" spans="2:5">
      <c r="B1763" s="17">
        <v>42968</v>
      </c>
      <c r="D1763" t="s">
        <v>1734</v>
      </c>
      <c r="E1763">
        <v>58.34</v>
      </c>
    </row>
    <row r="1764" spans="2:5">
      <c r="B1764" s="17">
        <v>42968</v>
      </c>
      <c r="D1764" t="s">
        <v>1734</v>
      </c>
      <c r="E1764">
        <v>539.97</v>
      </c>
    </row>
    <row r="1765" spans="2:5">
      <c r="B1765" s="17">
        <v>42967</v>
      </c>
      <c r="D1765" t="s">
        <v>1734</v>
      </c>
      <c r="E1765">
        <v>25.920000000000005</v>
      </c>
    </row>
    <row r="1766" spans="2:5">
      <c r="B1766" s="17">
        <v>42967</v>
      </c>
      <c r="D1766" t="s">
        <v>1734</v>
      </c>
      <c r="E1766">
        <v>98.16</v>
      </c>
    </row>
    <row r="1767" spans="2:5">
      <c r="B1767" s="17">
        <v>42967</v>
      </c>
      <c r="D1767" t="s">
        <v>570</v>
      </c>
      <c r="E1767">
        <v>31.44</v>
      </c>
    </row>
    <row r="1768" spans="2:5">
      <c r="B1768" s="17">
        <v>42967</v>
      </c>
      <c r="D1768" t="s">
        <v>570</v>
      </c>
      <c r="E1768">
        <v>35</v>
      </c>
    </row>
    <row r="1769" spans="2:5">
      <c r="B1769" s="17">
        <v>42967</v>
      </c>
      <c r="D1769" t="s">
        <v>570</v>
      </c>
      <c r="E1769">
        <v>477.15000000000003</v>
      </c>
    </row>
    <row r="1770" spans="2:5">
      <c r="B1770" s="17">
        <v>42967</v>
      </c>
      <c r="D1770" t="s">
        <v>972</v>
      </c>
      <c r="E1770">
        <v>477.29999999999995</v>
      </c>
    </row>
    <row r="1771" spans="2:5">
      <c r="B1771" s="17">
        <v>42967</v>
      </c>
      <c r="D1771" t="s">
        <v>972</v>
      </c>
      <c r="E1771">
        <v>27.192</v>
      </c>
    </row>
    <row r="1772" spans="2:5">
      <c r="B1772" s="17">
        <v>42966</v>
      </c>
      <c r="D1772" t="s">
        <v>972</v>
      </c>
      <c r="E1772">
        <v>12.059999999999999</v>
      </c>
    </row>
    <row r="1773" spans="2:5">
      <c r="B1773" s="17">
        <v>42966</v>
      </c>
      <c r="D1773" t="s">
        <v>449</v>
      </c>
      <c r="E1773">
        <v>54.367999999999995</v>
      </c>
    </row>
    <row r="1774" spans="2:5">
      <c r="B1774" s="17">
        <v>42966</v>
      </c>
      <c r="D1774" t="s">
        <v>58</v>
      </c>
      <c r="E1774">
        <v>106.869</v>
      </c>
    </row>
    <row r="1775" spans="2:5">
      <c r="B1775" s="17">
        <v>42966</v>
      </c>
      <c r="D1775" t="s">
        <v>58</v>
      </c>
      <c r="E1775">
        <v>3.5639999999999992</v>
      </c>
    </row>
    <row r="1776" spans="2:5">
      <c r="B1776" s="17">
        <v>42965</v>
      </c>
      <c r="D1776" t="s">
        <v>58</v>
      </c>
      <c r="E1776">
        <v>195.96000000000004</v>
      </c>
    </row>
    <row r="1777" spans="2:5">
      <c r="B1777" s="17">
        <v>42965</v>
      </c>
      <c r="D1777" t="s">
        <v>58</v>
      </c>
      <c r="E1777">
        <v>15.552000000000003</v>
      </c>
    </row>
    <row r="1778" spans="2:5">
      <c r="B1778" s="17">
        <v>42965</v>
      </c>
      <c r="D1778" t="s">
        <v>58</v>
      </c>
      <c r="E1778">
        <v>27.46</v>
      </c>
    </row>
    <row r="1779" spans="2:5">
      <c r="B1779" s="17">
        <v>42965</v>
      </c>
      <c r="D1779" t="s">
        <v>330</v>
      </c>
      <c r="E1779">
        <v>125.13</v>
      </c>
    </row>
    <row r="1780" spans="2:5">
      <c r="B1780" s="17">
        <v>42965</v>
      </c>
      <c r="D1780" t="s">
        <v>330</v>
      </c>
      <c r="E1780">
        <v>13.872000000000002</v>
      </c>
    </row>
    <row r="1781" spans="2:5">
      <c r="B1781" s="17">
        <v>42965</v>
      </c>
      <c r="D1781" t="s">
        <v>330</v>
      </c>
      <c r="E1781">
        <v>115.96</v>
      </c>
    </row>
    <row r="1782" spans="2:5">
      <c r="B1782" s="17">
        <v>42965</v>
      </c>
      <c r="D1782" t="s">
        <v>330</v>
      </c>
      <c r="E1782">
        <v>25.920000000000005</v>
      </c>
    </row>
    <row r="1783" spans="2:5">
      <c r="B1783" s="17">
        <v>42965</v>
      </c>
      <c r="D1783" t="s">
        <v>330</v>
      </c>
      <c r="E1783">
        <v>53.424000000000007</v>
      </c>
    </row>
    <row r="1784" spans="2:5">
      <c r="B1784" s="17">
        <v>42965</v>
      </c>
      <c r="D1784" t="s">
        <v>330</v>
      </c>
      <c r="E1784">
        <v>65.424000000000007</v>
      </c>
    </row>
    <row r="1785" spans="2:5">
      <c r="B1785" s="17">
        <v>42965</v>
      </c>
      <c r="D1785" t="s">
        <v>330</v>
      </c>
      <c r="E1785">
        <v>23.55</v>
      </c>
    </row>
    <row r="1786" spans="2:5">
      <c r="B1786" s="17">
        <v>42965</v>
      </c>
      <c r="D1786" t="s">
        <v>330</v>
      </c>
      <c r="E1786">
        <v>43.41</v>
      </c>
    </row>
    <row r="1787" spans="2:5">
      <c r="B1787" s="17">
        <v>42965</v>
      </c>
      <c r="D1787" t="s">
        <v>330</v>
      </c>
      <c r="E1787">
        <v>6.24</v>
      </c>
    </row>
    <row r="1788" spans="2:5">
      <c r="B1788" s="17">
        <v>42965</v>
      </c>
      <c r="D1788" t="s">
        <v>330</v>
      </c>
      <c r="E1788">
        <v>465.16</v>
      </c>
    </row>
    <row r="1789" spans="2:5">
      <c r="B1789" s="17">
        <v>42965</v>
      </c>
      <c r="D1789" t="s">
        <v>330</v>
      </c>
      <c r="E1789">
        <v>7.98</v>
      </c>
    </row>
    <row r="1790" spans="2:5">
      <c r="B1790" s="17">
        <v>42965</v>
      </c>
      <c r="D1790" t="s">
        <v>230</v>
      </c>
      <c r="E1790">
        <v>3.89</v>
      </c>
    </row>
    <row r="1791" spans="2:5">
      <c r="B1791" s="17">
        <v>42965</v>
      </c>
      <c r="D1791" t="s">
        <v>230</v>
      </c>
      <c r="E1791">
        <v>8.01</v>
      </c>
    </row>
    <row r="1792" spans="2:5">
      <c r="B1792" s="17">
        <v>42965</v>
      </c>
      <c r="D1792" t="s">
        <v>230</v>
      </c>
      <c r="E1792">
        <v>156.79200000000003</v>
      </c>
    </row>
    <row r="1793" spans="2:5">
      <c r="B1793" s="17">
        <v>42964</v>
      </c>
      <c r="D1793" t="s">
        <v>230</v>
      </c>
      <c r="E1793">
        <v>35.360000000000007</v>
      </c>
    </row>
    <row r="1794" spans="2:5">
      <c r="B1794" s="17">
        <v>42964</v>
      </c>
      <c r="D1794" t="s">
        <v>230</v>
      </c>
      <c r="E1794">
        <v>13.591999999999999</v>
      </c>
    </row>
    <row r="1795" spans="2:5">
      <c r="B1795" s="17">
        <v>42964</v>
      </c>
      <c r="D1795" t="s">
        <v>387</v>
      </c>
      <c r="E1795">
        <v>37.520000000000003</v>
      </c>
    </row>
    <row r="1796" spans="2:5">
      <c r="B1796" s="17">
        <v>42964</v>
      </c>
      <c r="D1796" t="s">
        <v>387</v>
      </c>
      <c r="E1796">
        <v>35.099999999999994</v>
      </c>
    </row>
    <row r="1797" spans="2:5">
      <c r="B1797" s="17">
        <v>42964</v>
      </c>
      <c r="D1797" t="s">
        <v>387</v>
      </c>
      <c r="E1797">
        <v>17.480000000000004</v>
      </c>
    </row>
    <row r="1798" spans="2:5">
      <c r="B1798" s="17">
        <v>42964</v>
      </c>
      <c r="D1798" t="s">
        <v>387</v>
      </c>
      <c r="E1798">
        <v>3.7980000000000005</v>
      </c>
    </row>
    <row r="1799" spans="2:5">
      <c r="B1799" s="17">
        <v>42964</v>
      </c>
      <c r="D1799" t="s">
        <v>387</v>
      </c>
      <c r="E1799">
        <v>27.744000000000003</v>
      </c>
    </row>
    <row r="1800" spans="2:5">
      <c r="B1800" s="17">
        <v>42964</v>
      </c>
      <c r="D1800" t="s">
        <v>387</v>
      </c>
      <c r="E1800">
        <v>158.37599999999998</v>
      </c>
    </row>
    <row r="1801" spans="2:5">
      <c r="B1801" s="17">
        <v>42964</v>
      </c>
      <c r="D1801" t="s">
        <v>387</v>
      </c>
      <c r="E1801">
        <v>53.9</v>
      </c>
    </row>
    <row r="1802" spans="2:5">
      <c r="B1802" s="17">
        <v>42964</v>
      </c>
      <c r="D1802" t="s">
        <v>1036</v>
      </c>
      <c r="E1802">
        <v>1925.88</v>
      </c>
    </row>
    <row r="1803" spans="2:5">
      <c r="B1803" s="17">
        <v>42964</v>
      </c>
      <c r="D1803" t="s">
        <v>1036</v>
      </c>
      <c r="E1803">
        <v>2405.1999999999998</v>
      </c>
    </row>
    <row r="1804" spans="2:5">
      <c r="B1804" s="17">
        <v>42964</v>
      </c>
      <c r="D1804" t="s">
        <v>1036</v>
      </c>
      <c r="E1804">
        <v>83.97</v>
      </c>
    </row>
    <row r="1805" spans="2:5">
      <c r="B1805" s="17">
        <v>42964</v>
      </c>
      <c r="D1805" t="s">
        <v>1036</v>
      </c>
      <c r="E1805">
        <v>39.89</v>
      </c>
    </row>
    <row r="1806" spans="2:5">
      <c r="B1806" s="17">
        <v>42964</v>
      </c>
      <c r="D1806" t="s">
        <v>1034</v>
      </c>
      <c r="E1806">
        <v>17.38</v>
      </c>
    </row>
    <row r="1807" spans="2:5">
      <c r="B1807" s="17">
        <v>42964</v>
      </c>
      <c r="D1807" t="s">
        <v>1034</v>
      </c>
      <c r="E1807">
        <v>2.97</v>
      </c>
    </row>
    <row r="1808" spans="2:5">
      <c r="B1808" s="17">
        <v>42964</v>
      </c>
      <c r="D1808" t="s">
        <v>1034</v>
      </c>
      <c r="E1808">
        <v>27.439999999999998</v>
      </c>
    </row>
    <row r="1809" spans="2:5">
      <c r="B1809" s="17">
        <v>42964</v>
      </c>
      <c r="D1809" t="s">
        <v>1034</v>
      </c>
      <c r="E1809">
        <v>25.344000000000001</v>
      </c>
    </row>
    <row r="1810" spans="2:5">
      <c r="B1810" s="17">
        <v>42963</v>
      </c>
      <c r="D1810" t="s">
        <v>1034</v>
      </c>
      <c r="E1810">
        <v>43.92</v>
      </c>
    </row>
    <row r="1811" spans="2:5">
      <c r="B1811" s="17">
        <v>42963</v>
      </c>
      <c r="D1811" t="s">
        <v>1034</v>
      </c>
      <c r="E1811">
        <v>25.344000000000001</v>
      </c>
    </row>
    <row r="1812" spans="2:5">
      <c r="B1812" s="17">
        <v>42962</v>
      </c>
      <c r="D1812" t="s">
        <v>1034</v>
      </c>
      <c r="E1812">
        <v>10.688000000000001</v>
      </c>
    </row>
    <row r="1813" spans="2:5">
      <c r="B1813" s="17">
        <v>42962</v>
      </c>
      <c r="D1813" t="s">
        <v>1034</v>
      </c>
      <c r="E1813">
        <v>35.168000000000006</v>
      </c>
    </row>
    <row r="1814" spans="2:5">
      <c r="B1814" s="17">
        <v>42962</v>
      </c>
      <c r="D1814" t="s">
        <v>1034</v>
      </c>
      <c r="E1814">
        <v>1099.5</v>
      </c>
    </row>
    <row r="1815" spans="2:5">
      <c r="B1815" s="17">
        <v>42961</v>
      </c>
      <c r="D1815" t="s">
        <v>1034</v>
      </c>
      <c r="E1815">
        <v>44.75</v>
      </c>
    </row>
    <row r="1816" spans="2:5">
      <c r="B1816" s="17">
        <v>42961</v>
      </c>
      <c r="D1816" t="s">
        <v>1590</v>
      </c>
      <c r="E1816">
        <v>11.96</v>
      </c>
    </row>
    <row r="1817" spans="2:5">
      <c r="B1817" s="17">
        <v>42961</v>
      </c>
      <c r="D1817" t="s">
        <v>1590</v>
      </c>
      <c r="E1817">
        <v>3.9119999999999999</v>
      </c>
    </row>
    <row r="1818" spans="2:5">
      <c r="B1818" s="17">
        <v>42960</v>
      </c>
      <c r="D1818" t="s">
        <v>1590</v>
      </c>
      <c r="E1818">
        <v>4.5540000000000003</v>
      </c>
    </row>
    <row r="1819" spans="2:5">
      <c r="B1819" s="17">
        <v>42960</v>
      </c>
      <c r="D1819" t="s">
        <v>1590</v>
      </c>
      <c r="E1819">
        <v>5.2</v>
      </c>
    </row>
    <row r="1820" spans="2:5">
      <c r="B1820" s="17">
        <v>42960</v>
      </c>
      <c r="D1820" t="s">
        <v>599</v>
      </c>
      <c r="E1820">
        <v>15.552000000000003</v>
      </c>
    </row>
    <row r="1821" spans="2:5">
      <c r="B1821" s="17">
        <v>42960</v>
      </c>
      <c r="D1821" t="s">
        <v>599</v>
      </c>
      <c r="E1821">
        <v>503.96000000000004</v>
      </c>
    </row>
    <row r="1822" spans="2:5">
      <c r="B1822" s="17">
        <v>42960</v>
      </c>
      <c r="D1822" t="s">
        <v>599</v>
      </c>
      <c r="E1822">
        <v>24.472000000000001</v>
      </c>
    </row>
    <row r="1823" spans="2:5">
      <c r="B1823" s="17">
        <v>42960</v>
      </c>
      <c r="D1823" t="s">
        <v>1564</v>
      </c>
      <c r="E1823">
        <v>110.4</v>
      </c>
    </row>
    <row r="1824" spans="2:5">
      <c r="B1824" s="17">
        <v>42960</v>
      </c>
      <c r="D1824" t="s">
        <v>1564</v>
      </c>
      <c r="E1824">
        <v>384.76799999999997</v>
      </c>
    </row>
    <row r="1825" spans="2:5">
      <c r="B1825" s="17">
        <v>42960</v>
      </c>
      <c r="D1825" t="s">
        <v>513</v>
      </c>
      <c r="E1825">
        <v>78.66</v>
      </c>
    </row>
    <row r="1826" spans="2:5">
      <c r="B1826" s="17">
        <v>42960</v>
      </c>
      <c r="D1826" t="s">
        <v>513</v>
      </c>
      <c r="E1826">
        <v>45.36</v>
      </c>
    </row>
    <row r="1827" spans="2:5">
      <c r="B1827" s="17">
        <v>42960</v>
      </c>
      <c r="D1827" t="s">
        <v>513</v>
      </c>
      <c r="E1827">
        <v>136.26</v>
      </c>
    </row>
    <row r="1828" spans="2:5">
      <c r="B1828" s="17">
        <v>42960</v>
      </c>
      <c r="D1828" t="s">
        <v>1024</v>
      </c>
      <c r="E1828">
        <v>31.983999999999998</v>
      </c>
    </row>
    <row r="1829" spans="2:5">
      <c r="B1829" s="17">
        <v>42960</v>
      </c>
      <c r="D1829" t="s">
        <v>1024</v>
      </c>
      <c r="E1829">
        <v>71.984000000000009</v>
      </c>
    </row>
    <row r="1830" spans="2:5">
      <c r="B1830" s="17">
        <v>42960</v>
      </c>
      <c r="D1830" t="s">
        <v>1024</v>
      </c>
      <c r="E1830">
        <v>12.48</v>
      </c>
    </row>
    <row r="1831" spans="2:5">
      <c r="B1831" s="17">
        <v>42959</v>
      </c>
      <c r="D1831" t="s">
        <v>1024</v>
      </c>
      <c r="E1831">
        <v>8.64</v>
      </c>
    </row>
    <row r="1832" spans="2:5">
      <c r="B1832" s="17">
        <v>42959</v>
      </c>
      <c r="D1832" t="s">
        <v>1024</v>
      </c>
      <c r="E1832">
        <v>6.3699999999999983</v>
      </c>
    </row>
    <row r="1833" spans="2:5">
      <c r="B1833" s="17">
        <v>42959</v>
      </c>
      <c r="D1833" t="s">
        <v>1024</v>
      </c>
      <c r="E1833">
        <v>108.08</v>
      </c>
    </row>
    <row r="1834" spans="2:5">
      <c r="B1834" s="17">
        <v>42959</v>
      </c>
      <c r="D1834" t="s">
        <v>1038</v>
      </c>
      <c r="E1834">
        <v>9.5400000000000009</v>
      </c>
    </row>
    <row r="1835" spans="2:5">
      <c r="B1835" s="17">
        <v>42959</v>
      </c>
      <c r="D1835" t="s">
        <v>1038</v>
      </c>
      <c r="E1835">
        <v>30.336000000000006</v>
      </c>
    </row>
    <row r="1836" spans="2:5">
      <c r="B1836" s="17">
        <v>42959</v>
      </c>
      <c r="D1836" t="s">
        <v>1038</v>
      </c>
      <c r="E1836">
        <v>470.37600000000009</v>
      </c>
    </row>
    <row r="1837" spans="2:5">
      <c r="B1837" s="17">
        <v>42959</v>
      </c>
      <c r="D1837" t="s">
        <v>1038</v>
      </c>
      <c r="E1837">
        <v>20.736000000000004</v>
      </c>
    </row>
    <row r="1838" spans="2:5">
      <c r="B1838" s="17">
        <v>42959</v>
      </c>
      <c r="D1838" t="s">
        <v>1038</v>
      </c>
      <c r="E1838">
        <v>4.95</v>
      </c>
    </row>
    <row r="1839" spans="2:5">
      <c r="B1839" s="17">
        <v>42959</v>
      </c>
      <c r="D1839" t="s">
        <v>952</v>
      </c>
      <c r="E1839">
        <v>26.400000000000002</v>
      </c>
    </row>
    <row r="1840" spans="2:5">
      <c r="B1840" s="17">
        <v>42959</v>
      </c>
      <c r="D1840" t="s">
        <v>952</v>
      </c>
      <c r="E1840">
        <v>1.6239999999999994</v>
      </c>
    </row>
    <row r="1841" spans="2:5">
      <c r="B1841" s="17">
        <v>42959</v>
      </c>
      <c r="D1841" t="s">
        <v>1412</v>
      </c>
      <c r="E1841">
        <v>23.76</v>
      </c>
    </row>
    <row r="1842" spans="2:5">
      <c r="B1842" s="17">
        <v>42959</v>
      </c>
      <c r="D1842" t="s">
        <v>1412</v>
      </c>
      <c r="E1842">
        <v>85.055999999999997</v>
      </c>
    </row>
    <row r="1843" spans="2:5">
      <c r="B1843" s="17">
        <v>42958</v>
      </c>
      <c r="D1843" t="s">
        <v>1412</v>
      </c>
      <c r="E1843">
        <v>381.57600000000002</v>
      </c>
    </row>
    <row r="1844" spans="2:5">
      <c r="B1844" s="17">
        <v>42958</v>
      </c>
      <c r="D1844" t="s">
        <v>1412</v>
      </c>
      <c r="E1844">
        <v>10.36</v>
      </c>
    </row>
    <row r="1845" spans="2:5">
      <c r="B1845" s="17">
        <v>42958</v>
      </c>
      <c r="D1845" t="s">
        <v>1412</v>
      </c>
      <c r="E1845">
        <v>12.175999999999998</v>
      </c>
    </row>
    <row r="1846" spans="2:5">
      <c r="B1846" s="17">
        <v>42958</v>
      </c>
      <c r="D1846" t="s">
        <v>1412</v>
      </c>
      <c r="E1846">
        <v>1497.6659999999999</v>
      </c>
    </row>
    <row r="1847" spans="2:5">
      <c r="B1847" s="17">
        <v>42958</v>
      </c>
      <c r="D1847" t="s">
        <v>1709</v>
      </c>
      <c r="E1847">
        <v>17.52</v>
      </c>
    </row>
    <row r="1848" spans="2:5">
      <c r="B1848" s="17">
        <v>42958</v>
      </c>
      <c r="D1848" t="s">
        <v>942</v>
      </c>
      <c r="E1848">
        <v>89.544000000000011</v>
      </c>
    </row>
    <row r="1849" spans="2:5">
      <c r="B1849" s="17">
        <v>42957</v>
      </c>
      <c r="D1849" t="s">
        <v>942</v>
      </c>
      <c r="E1849">
        <v>35.167999999999999</v>
      </c>
    </row>
    <row r="1850" spans="2:5">
      <c r="B1850" s="17">
        <v>42957</v>
      </c>
      <c r="D1850" t="s">
        <v>942</v>
      </c>
      <c r="E1850">
        <v>72.588000000000008</v>
      </c>
    </row>
    <row r="1851" spans="2:5">
      <c r="B1851" s="17">
        <v>42957</v>
      </c>
      <c r="D1851" t="s">
        <v>942</v>
      </c>
      <c r="E1851">
        <v>23.976000000000003</v>
      </c>
    </row>
    <row r="1852" spans="2:5">
      <c r="B1852" s="17">
        <v>42957</v>
      </c>
      <c r="D1852" t="s">
        <v>942</v>
      </c>
      <c r="E1852">
        <v>108.925</v>
      </c>
    </row>
    <row r="1853" spans="2:5">
      <c r="B1853" s="17">
        <v>42954</v>
      </c>
      <c r="D1853" t="s">
        <v>942</v>
      </c>
      <c r="E1853">
        <v>36.351999999999997</v>
      </c>
    </row>
    <row r="1854" spans="2:5">
      <c r="B1854" s="17">
        <v>42954</v>
      </c>
      <c r="D1854" t="s">
        <v>942</v>
      </c>
      <c r="E1854">
        <v>720.7600000000001</v>
      </c>
    </row>
    <row r="1855" spans="2:5">
      <c r="B1855" s="17">
        <v>42954</v>
      </c>
      <c r="D1855" t="s">
        <v>942</v>
      </c>
      <c r="E1855">
        <v>49.12</v>
      </c>
    </row>
    <row r="1856" spans="2:5">
      <c r="B1856" s="17">
        <v>42954</v>
      </c>
      <c r="D1856" t="s">
        <v>382</v>
      </c>
      <c r="E1856">
        <v>29.6</v>
      </c>
    </row>
    <row r="1857" spans="2:5">
      <c r="B1857" s="17">
        <v>42954</v>
      </c>
      <c r="D1857" t="s">
        <v>382</v>
      </c>
      <c r="E1857">
        <v>514.16499999999996</v>
      </c>
    </row>
    <row r="1858" spans="2:5">
      <c r="B1858" s="17">
        <v>42954</v>
      </c>
      <c r="D1858" t="s">
        <v>382</v>
      </c>
      <c r="E1858">
        <v>132.52000000000001</v>
      </c>
    </row>
    <row r="1859" spans="2:5">
      <c r="B1859" s="17">
        <v>42954</v>
      </c>
      <c r="D1859" t="s">
        <v>382</v>
      </c>
      <c r="E1859">
        <v>40.032000000000004</v>
      </c>
    </row>
    <row r="1860" spans="2:5">
      <c r="B1860" s="17">
        <v>42954</v>
      </c>
      <c r="D1860" t="s">
        <v>382</v>
      </c>
      <c r="E1860">
        <v>1347.5200000000002</v>
      </c>
    </row>
    <row r="1861" spans="2:5">
      <c r="B1861" s="17">
        <v>42954</v>
      </c>
      <c r="D1861" t="s">
        <v>382</v>
      </c>
      <c r="E1861">
        <v>8.4</v>
      </c>
    </row>
    <row r="1862" spans="2:5">
      <c r="B1862" s="17">
        <v>42954</v>
      </c>
      <c r="D1862" t="s">
        <v>382</v>
      </c>
      <c r="E1862">
        <v>88.77600000000001</v>
      </c>
    </row>
    <row r="1863" spans="2:5">
      <c r="B1863" s="17">
        <v>42954</v>
      </c>
      <c r="D1863" t="s">
        <v>382</v>
      </c>
      <c r="E1863">
        <v>11.56</v>
      </c>
    </row>
    <row r="1864" spans="2:5">
      <c r="B1864" s="17">
        <v>42954</v>
      </c>
      <c r="D1864" t="s">
        <v>1437</v>
      </c>
      <c r="E1864">
        <v>15.58</v>
      </c>
    </row>
    <row r="1865" spans="2:5">
      <c r="B1865" s="17">
        <v>42954</v>
      </c>
      <c r="D1865" t="s">
        <v>1437</v>
      </c>
      <c r="E1865">
        <v>14.700000000000001</v>
      </c>
    </row>
    <row r="1866" spans="2:5">
      <c r="B1866" s="17">
        <v>42954</v>
      </c>
      <c r="D1866" t="s">
        <v>1437</v>
      </c>
      <c r="E1866">
        <v>14.129999999999999</v>
      </c>
    </row>
    <row r="1867" spans="2:5">
      <c r="B1867" s="17">
        <v>42954</v>
      </c>
      <c r="D1867" t="s">
        <v>1437</v>
      </c>
      <c r="E1867">
        <v>122.97</v>
      </c>
    </row>
    <row r="1868" spans="2:5">
      <c r="B1868" s="17">
        <v>42954</v>
      </c>
      <c r="D1868" t="s">
        <v>1437</v>
      </c>
      <c r="E1868">
        <v>68.448000000000008</v>
      </c>
    </row>
    <row r="1869" spans="2:5">
      <c r="B1869" s="17">
        <v>42954</v>
      </c>
      <c r="D1869" t="s">
        <v>1437</v>
      </c>
      <c r="E1869">
        <v>88.04</v>
      </c>
    </row>
    <row r="1870" spans="2:5">
      <c r="B1870" s="17">
        <v>42953</v>
      </c>
      <c r="D1870" t="s">
        <v>1714</v>
      </c>
      <c r="E1870">
        <v>15.872</v>
      </c>
    </row>
    <row r="1871" spans="2:5">
      <c r="B1871" s="17">
        <v>42953</v>
      </c>
      <c r="D1871" t="s">
        <v>1714</v>
      </c>
      <c r="E1871">
        <v>3.76</v>
      </c>
    </row>
    <row r="1872" spans="2:5">
      <c r="B1872" s="17">
        <v>42953</v>
      </c>
      <c r="D1872" t="s">
        <v>1714</v>
      </c>
      <c r="E1872">
        <v>37.94</v>
      </c>
    </row>
    <row r="1873" spans="2:5">
      <c r="B1873" s="17">
        <v>42953</v>
      </c>
      <c r="D1873" t="s">
        <v>1714</v>
      </c>
      <c r="E1873">
        <v>18.288</v>
      </c>
    </row>
    <row r="1874" spans="2:5">
      <c r="B1874" s="17">
        <v>42953</v>
      </c>
      <c r="D1874" t="s">
        <v>1714</v>
      </c>
      <c r="E1874">
        <v>385.80000000000007</v>
      </c>
    </row>
    <row r="1875" spans="2:5">
      <c r="B1875" s="17">
        <v>42953</v>
      </c>
      <c r="D1875" t="s">
        <v>1315</v>
      </c>
      <c r="E1875">
        <v>102.96</v>
      </c>
    </row>
    <row r="1876" spans="2:5">
      <c r="B1876" s="17">
        <v>42953</v>
      </c>
      <c r="D1876" t="s">
        <v>1315</v>
      </c>
      <c r="E1876">
        <v>174.42000000000002</v>
      </c>
    </row>
    <row r="1877" spans="2:5">
      <c r="B1877" s="17">
        <v>42952</v>
      </c>
      <c r="D1877" t="s">
        <v>1315</v>
      </c>
      <c r="E1877">
        <v>61.44</v>
      </c>
    </row>
    <row r="1878" spans="2:5">
      <c r="B1878" s="17">
        <v>42952</v>
      </c>
      <c r="D1878" t="s">
        <v>1315</v>
      </c>
      <c r="E1878">
        <v>4.572000000000001</v>
      </c>
    </row>
    <row r="1879" spans="2:5">
      <c r="B1879" s="17">
        <v>42952</v>
      </c>
      <c r="D1879" t="s">
        <v>1315</v>
      </c>
      <c r="E1879">
        <v>91.199999999999989</v>
      </c>
    </row>
    <row r="1880" spans="2:5">
      <c r="B1880" s="17">
        <v>42952</v>
      </c>
      <c r="D1880" t="s">
        <v>324</v>
      </c>
      <c r="E1880">
        <v>452.93999999999994</v>
      </c>
    </row>
    <row r="1881" spans="2:5">
      <c r="B1881" s="17">
        <v>42952</v>
      </c>
      <c r="D1881" t="s">
        <v>324</v>
      </c>
      <c r="E1881">
        <v>19.04</v>
      </c>
    </row>
    <row r="1882" spans="2:5">
      <c r="B1882" s="17">
        <v>42951</v>
      </c>
      <c r="D1882" t="s">
        <v>324</v>
      </c>
      <c r="E1882">
        <v>13.128</v>
      </c>
    </row>
    <row r="1883" spans="2:5">
      <c r="B1883" s="17">
        <v>42951</v>
      </c>
      <c r="D1883" t="s">
        <v>324</v>
      </c>
      <c r="E1883">
        <v>64.14</v>
      </c>
    </row>
    <row r="1884" spans="2:5">
      <c r="B1884" s="17">
        <v>42951</v>
      </c>
      <c r="D1884" t="s">
        <v>324</v>
      </c>
      <c r="E1884">
        <v>858.24</v>
      </c>
    </row>
    <row r="1885" spans="2:5">
      <c r="B1885" s="17">
        <v>42950</v>
      </c>
      <c r="D1885" t="s">
        <v>324</v>
      </c>
      <c r="E1885">
        <v>17.088000000000001</v>
      </c>
    </row>
    <row r="1886" spans="2:5">
      <c r="B1886" s="17">
        <v>42950</v>
      </c>
      <c r="D1886" t="s">
        <v>843</v>
      </c>
      <c r="E1886">
        <v>63.920000000000009</v>
      </c>
    </row>
    <row r="1887" spans="2:5">
      <c r="B1887" s="17">
        <v>42950</v>
      </c>
      <c r="D1887" t="s">
        <v>843</v>
      </c>
      <c r="E1887">
        <v>71.975999999999999</v>
      </c>
    </row>
    <row r="1888" spans="2:5">
      <c r="B1888" s="17">
        <v>42950</v>
      </c>
      <c r="D1888" t="s">
        <v>843</v>
      </c>
      <c r="E1888">
        <v>19.440000000000001</v>
      </c>
    </row>
    <row r="1889" spans="2:5">
      <c r="B1889" s="17">
        <v>42950</v>
      </c>
      <c r="D1889" t="s">
        <v>843</v>
      </c>
      <c r="E1889">
        <v>8.8559999999999999</v>
      </c>
    </row>
    <row r="1890" spans="2:5">
      <c r="B1890" s="17">
        <v>42950</v>
      </c>
      <c r="D1890" t="s">
        <v>843</v>
      </c>
      <c r="E1890">
        <v>164.73599999999999</v>
      </c>
    </row>
    <row r="1891" spans="2:5">
      <c r="B1891" s="17">
        <v>42950</v>
      </c>
      <c r="D1891" t="s">
        <v>728</v>
      </c>
      <c r="E1891">
        <v>470.30199999999996</v>
      </c>
    </row>
    <row r="1892" spans="2:5">
      <c r="B1892" s="17">
        <v>42948</v>
      </c>
      <c r="D1892" t="s">
        <v>728</v>
      </c>
      <c r="E1892">
        <v>47.984000000000002</v>
      </c>
    </row>
    <row r="1893" spans="2:5">
      <c r="B1893" s="17">
        <v>42948</v>
      </c>
      <c r="D1893" t="s">
        <v>728</v>
      </c>
      <c r="E1893">
        <v>181.86</v>
      </c>
    </row>
    <row r="1894" spans="2:5">
      <c r="B1894" s="17">
        <v>42948</v>
      </c>
      <c r="D1894" t="s">
        <v>620</v>
      </c>
      <c r="E1894">
        <v>47.975999999999999</v>
      </c>
    </row>
    <row r="1895" spans="2:5">
      <c r="B1895" s="17">
        <v>42948</v>
      </c>
      <c r="D1895" t="s">
        <v>620</v>
      </c>
      <c r="E1895">
        <v>19.559999999999999</v>
      </c>
    </row>
    <row r="1896" spans="2:5">
      <c r="B1896" s="17">
        <v>42948</v>
      </c>
      <c r="D1896" t="s">
        <v>620</v>
      </c>
      <c r="E1896">
        <v>4.26</v>
      </c>
    </row>
    <row r="1897" spans="2:5">
      <c r="B1897" s="17">
        <v>42948</v>
      </c>
      <c r="D1897" t="s">
        <v>620</v>
      </c>
      <c r="E1897">
        <v>44.400000000000006</v>
      </c>
    </row>
    <row r="1898" spans="2:5">
      <c r="B1898" s="17">
        <v>42947</v>
      </c>
      <c r="D1898" t="s">
        <v>258</v>
      </c>
      <c r="E1898">
        <v>84.55</v>
      </c>
    </row>
    <row r="1899" spans="2:5">
      <c r="B1899" s="17">
        <v>42947</v>
      </c>
      <c r="D1899" t="s">
        <v>258</v>
      </c>
      <c r="E1899">
        <v>17.940000000000001</v>
      </c>
    </row>
    <row r="1900" spans="2:5">
      <c r="B1900" s="17">
        <v>42947</v>
      </c>
      <c r="D1900" t="s">
        <v>258</v>
      </c>
      <c r="E1900">
        <v>119.96</v>
      </c>
    </row>
    <row r="1901" spans="2:5">
      <c r="B1901" s="17">
        <v>42947</v>
      </c>
      <c r="D1901" t="s">
        <v>483</v>
      </c>
      <c r="E1901">
        <v>31.168000000000003</v>
      </c>
    </row>
    <row r="1902" spans="2:5">
      <c r="B1902" s="17">
        <v>42947</v>
      </c>
      <c r="D1902" t="s">
        <v>483</v>
      </c>
      <c r="E1902">
        <v>120.96</v>
      </c>
    </row>
    <row r="1903" spans="2:5">
      <c r="B1903" s="17">
        <v>42947</v>
      </c>
      <c r="D1903" t="s">
        <v>483</v>
      </c>
      <c r="E1903">
        <v>2239.9360000000001</v>
      </c>
    </row>
    <row r="1904" spans="2:5">
      <c r="B1904" s="17">
        <v>42947</v>
      </c>
      <c r="D1904" t="s">
        <v>483</v>
      </c>
      <c r="E1904">
        <v>76.608000000000004</v>
      </c>
    </row>
    <row r="1905" spans="2:5">
      <c r="B1905" s="17">
        <v>42947</v>
      </c>
      <c r="D1905" t="s">
        <v>483</v>
      </c>
      <c r="E1905">
        <v>142.77600000000001</v>
      </c>
    </row>
    <row r="1906" spans="2:5">
      <c r="B1906" s="17">
        <v>42947</v>
      </c>
      <c r="D1906" t="s">
        <v>483</v>
      </c>
      <c r="E1906">
        <v>91.360000000000014</v>
      </c>
    </row>
    <row r="1907" spans="2:5">
      <c r="B1907" s="17">
        <v>42947</v>
      </c>
      <c r="D1907" t="s">
        <v>1057</v>
      </c>
      <c r="E1907">
        <v>698.35200000000009</v>
      </c>
    </row>
    <row r="1908" spans="2:5">
      <c r="B1908" s="17">
        <v>42947</v>
      </c>
      <c r="D1908" t="s">
        <v>1057</v>
      </c>
      <c r="E1908">
        <v>77.728000000000009</v>
      </c>
    </row>
    <row r="1909" spans="2:5">
      <c r="B1909" s="17">
        <v>42946</v>
      </c>
      <c r="D1909" t="s">
        <v>1057</v>
      </c>
      <c r="E1909">
        <v>14.015999999999998</v>
      </c>
    </row>
    <row r="1910" spans="2:5">
      <c r="B1910" s="17">
        <v>42946</v>
      </c>
      <c r="D1910" t="s">
        <v>377</v>
      </c>
      <c r="E1910">
        <v>180.66</v>
      </c>
    </row>
    <row r="1911" spans="2:5">
      <c r="B1911" s="17">
        <v>42946</v>
      </c>
      <c r="D1911" t="s">
        <v>377</v>
      </c>
      <c r="E1911">
        <v>191.98</v>
      </c>
    </row>
    <row r="1912" spans="2:5">
      <c r="B1912" s="17">
        <v>42946</v>
      </c>
      <c r="D1912" t="s">
        <v>377</v>
      </c>
      <c r="E1912">
        <v>65.989999999999995</v>
      </c>
    </row>
    <row r="1913" spans="2:5">
      <c r="B1913" s="17">
        <v>42945</v>
      </c>
      <c r="D1913" t="s">
        <v>377</v>
      </c>
      <c r="E1913">
        <v>1212.96</v>
      </c>
    </row>
    <row r="1914" spans="2:5">
      <c r="B1914" s="17">
        <v>42945</v>
      </c>
      <c r="D1914" t="s">
        <v>309</v>
      </c>
      <c r="E1914">
        <v>18.54</v>
      </c>
    </row>
    <row r="1915" spans="2:5">
      <c r="B1915" s="17">
        <v>42945</v>
      </c>
      <c r="D1915" t="s">
        <v>309</v>
      </c>
      <c r="E1915">
        <v>16.68</v>
      </c>
    </row>
    <row r="1916" spans="2:5">
      <c r="B1916" s="17">
        <v>42945</v>
      </c>
      <c r="D1916" t="s">
        <v>477</v>
      </c>
      <c r="E1916">
        <v>19.440000000000001</v>
      </c>
    </row>
    <row r="1917" spans="2:5">
      <c r="B1917" s="17">
        <v>42945</v>
      </c>
      <c r="D1917" t="s">
        <v>477</v>
      </c>
      <c r="E1917">
        <v>192.16</v>
      </c>
    </row>
    <row r="1918" spans="2:5">
      <c r="B1918" s="17">
        <v>42945</v>
      </c>
      <c r="D1918" t="s">
        <v>477</v>
      </c>
      <c r="E1918">
        <v>5.9359999999999991</v>
      </c>
    </row>
    <row r="1919" spans="2:5">
      <c r="B1919" s="17">
        <v>42945</v>
      </c>
      <c r="D1919" t="s">
        <v>490</v>
      </c>
      <c r="E1919">
        <v>479.952</v>
      </c>
    </row>
    <row r="1920" spans="2:5">
      <c r="B1920" s="17">
        <v>42945</v>
      </c>
      <c r="D1920" t="s">
        <v>490</v>
      </c>
      <c r="E1920">
        <v>23.92</v>
      </c>
    </row>
    <row r="1921" spans="2:5">
      <c r="B1921" s="17">
        <v>42945</v>
      </c>
      <c r="D1921" t="s">
        <v>490</v>
      </c>
      <c r="E1921">
        <v>51.311999999999998</v>
      </c>
    </row>
    <row r="1922" spans="2:5">
      <c r="B1922" s="17">
        <v>42945</v>
      </c>
      <c r="D1922" t="s">
        <v>490</v>
      </c>
      <c r="E1922">
        <v>155.25</v>
      </c>
    </row>
    <row r="1923" spans="2:5">
      <c r="B1923" s="17">
        <v>42945</v>
      </c>
      <c r="D1923" t="s">
        <v>490</v>
      </c>
      <c r="E1923">
        <v>14.03</v>
      </c>
    </row>
    <row r="1924" spans="2:5">
      <c r="B1924" s="17">
        <v>42945</v>
      </c>
      <c r="D1924" t="s">
        <v>490</v>
      </c>
      <c r="E1924">
        <v>12.224</v>
      </c>
    </row>
    <row r="1925" spans="2:5">
      <c r="B1925" s="17">
        <v>42944</v>
      </c>
      <c r="D1925" t="s">
        <v>490</v>
      </c>
      <c r="E1925">
        <v>2.3039999999999994</v>
      </c>
    </row>
    <row r="1926" spans="2:5">
      <c r="B1926" s="17">
        <v>42944</v>
      </c>
      <c r="D1926" t="s">
        <v>490</v>
      </c>
      <c r="E1926">
        <v>9.3599999999999977</v>
      </c>
    </row>
    <row r="1927" spans="2:5">
      <c r="B1927" s="17">
        <v>42944</v>
      </c>
      <c r="D1927" t="s">
        <v>490</v>
      </c>
      <c r="E1927">
        <v>146.352</v>
      </c>
    </row>
    <row r="1928" spans="2:5">
      <c r="B1928" s="17">
        <v>42943</v>
      </c>
      <c r="D1928" t="s">
        <v>490</v>
      </c>
      <c r="E1928">
        <v>3404.5</v>
      </c>
    </row>
    <row r="1929" spans="2:5">
      <c r="B1929" s="17">
        <v>42943</v>
      </c>
      <c r="D1929" t="s">
        <v>490</v>
      </c>
      <c r="E1929">
        <v>101.34</v>
      </c>
    </row>
    <row r="1930" spans="2:5">
      <c r="B1930" s="17">
        <v>42943</v>
      </c>
      <c r="D1930" t="s">
        <v>611</v>
      </c>
      <c r="E1930">
        <v>917.92349999999988</v>
      </c>
    </row>
    <row r="1931" spans="2:5">
      <c r="B1931" s="17">
        <v>42943</v>
      </c>
      <c r="D1931" t="s">
        <v>666</v>
      </c>
      <c r="E1931">
        <v>38.880000000000003</v>
      </c>
    </row>
    <row r="1932" spans="2:5">
      <c r="B1932" s="17">
        <v>42943</v>
      </c>
      <c r="D1932" t="s">
        <v>666</v>
      </c>
      <c r="E1932">
        <v>74.352000000000004</v>
      </c>
    </row>
    <row r="1933" spans="2:5">
      <c r="B1933" s="17">
        <v>42943</v>
      </c>
      <c r="D1933" t="s">
        <v>666</v>
      </c>
      <c r="E1933">
        <v>97.82</v>
      </c>
    </row>
    <row r="1934" spans="2:5">
      <c r="B1934" s="17">
        <v>42943</v>
      </c>
      <c r="D1934" t="s">
        <v>666</v>
      </c>
      <c r="E1934">
        <v>103.12</v>
      </c>
    </row>
    <row r="1935" spans="2:5">
      <c r="B1935" s="17">
        <v>42943</v>
      </c>
      <c r="D1935" t="s">
        <v>666</v>
      </c>
      <c r="E1935">
        <v>11.184000000000001</v>
      </c>
    </row>
    <row r="1936" spans="2:5">
      <c r="B1936" s="17">
        <v>42942</v>
      </c>
      <c r="D1936" t="s">
        <v>1357</v>
      </c>
      <c r="E1936">
        <v>153.584</v>
      </c>
    </row>
    <row r="1937" spans="2:5">
      <c r="B1937" s="17">
        <v>42942</v>
      </c>
      <c r="D1937" t="s">
        <v>1357</v>
      </c>
      <c r="E1937">
        <v>2.2639999999999993</v>
      </c>
    </row>
    <row r="1938" spans="2:5">
      <c r="B1938" s="17">
        <v>42941</v>
      </c>
      <c r="D1938" t="s">
        <v>674</v>
      </c>
      <c r="E1938">
        <v>0.44399999999999995</v>
      </c>
    </row>
    <row r="1939" spans="2:5">
      <c r="B1939" s="17">
        <v>42941</v>
      </c>
      <c r="D1939" t="s">
        <v>674</v>
      </c>
      <c r="E1939">
        <v>146.17600000000002</v>
      </c>
    </row>
    <row r="1940" spans="2:5">
      <c r="B1940" s="17">
        <v>42941</v>
      </c>
      <c r="D1940" t="s">
        <v>674</v>
      </c>
      <c r="E1940">
        <v>760.11599999999987</v>
      </c>
    </row>
    <row r="1941" spans="2:5">
      <c r="B1941" s="17">
        <v>42941</v>
      </c>
      <c r="D1941" t="s">
        <v>674</v>
      </c>
      <c r="E1941">
        <v>38.784000000000006</v>
      </c>
    </row>
    <row r="1942" spans="2:5">
      <c r="B1942" s="17">
        <v>42941</v>
      </c>
      <c r="D1942" t="s">
        <v>674</v>
      </c>
      <c r="E1942">
        <v>122.32799999999999</v>
      </c>
    </row>
    <row r="1943" spans="2:5">
      <c r="B1943" s="17">
        <v>42941</v>
      </c>
      <c r="D1943" t="s">
        <v>674</v>
      </c>
      <c r="E1943">
        <v>6.8879999999999981</v>
      </c>
    </row>
    <row r="1944" spans="2:5">
      <c r="B1944" s="17">
        <v>42941</v>
      </c>
      <c r="D1944" t="s">
        <v>674</v>
      </c>
      <c r="E1944">
        <v>457.4849999999999</v>
      </c>
    </row>
    <row r="1945" spans="2:5">
      <c r="B1945" s="17">
        <v>42941</v>
      </c>
      <c r="D1945" t="s">
        <v>674</v>
      </c>
      <c r="E1945">
        <v>129.30000000000001</v>
      </c>
    </row>
    <row r="1946" spans="2:5">
      <c r="B1946" s="17">
        <v>42940</v>
      </c>
      <c r="D1946" t="s">
        <v>697</v>
      </c>
      <c r="E1946">
        <v>11.568000000000001</v>
      </c>
    </row>
    <row r="1947" spans="2:5">
      <c r="B1947" s="17">
        <v>42939</v>
      </c>
      <c r="D1947" t="s">
        <v>697</v>
      </c>
      <c r="E1947">
        <v>50.32</v>
      </c>
    </row>
    <row r="1948" spans="2:5">
      <c r="B1948" s="17">
        <v>42939</v>
      </c>
      <c r="D1948" t="s">
        <v>697</v>
      </c>
      <c r="E1948">
        <v>24.56</v>
      </c>
    </row>
    <row r="1949" spans="2:5">
      <c r="B1949" s="17">
        <v>42939</v>
      </c>
      <c r="D1949" t="s">
        <v>1387</v>
      </c>
      <c r="E1949">
        <v>9.82</v>
      </c>
    </row>
    <row r="1950" spans="2:5">
      <c r="B1950" s="17">
        <v>42939</v>
      </c>
      <c r="D1950" t="s">
        <v>1387</v>
      </c>
      <c r="E1950">
        <v>149.94999999999999</v>
      </c>
    </row>
    <row r="1951" spans="2:5">
      <c r="B1951" s="17">
        <v>42939</v>
      </c>
      <c r="D1951" t="s">
        <v>1387</v>
      </c>
      <c r="E1951">
        <v>51.311999999999998</v>
      </c>
    </row>
    <row r="1952" spans="2:5">
      <c r="B1952" s="17">
        <v>42939</v>
      </c>
      <c r="D1952" t="s">
        <v>644</v>
      </c>
      <c r="E1952">
        <v>31.104000000000006</v>
      </c>
    </row>
    <row r="1953" spans="2:5">
      <c r="B1953" s="17">
        <v>42939</v>
      </c>
      <c r="D1953" t="s">
        <v>644</v>
      </c>
      <c r="E1953">
        <v>5.2480000000000002</v>
      </c>
    </row>
    <row r="1954" spans="2:5">
      <c r="B1954" s="17">
        <v>42939</v>
      </c>
      <c r="D1954" t="s">
        <v>644</v>
      </c>
      <c r="E1954">
        <v>4.4640000000000004</v>
      </c>
    </row>
    <row r="1955" spans="2:5">
      <c r="B1955" s="17">
        <v>42939</v>
      </c>
      <c r="D1955" t="s">
        <v>644</v>
      </c>
      <c r="E1955">
        <v>32.400000000000006</v>
      </c>
    </row>
    <row r="1956" spans="2:5">
      <c r="B1956" s="17">
        <v>42939</v>
      </c>
      <c r="D1956" t="s">
        <v>644</v>
      </c>
      <c r="E1956">
        <v>503.96</v>
      </c>
    </row>
    <row r="1957" spans="2:5">
      <c r="B1957" s="17">
        <v>42938</v>
      </c>
      <c r="D1957" t="s">
        <v>644</v>
      </c>
      <c r="E1957">
        <v>17.920000000000002</v>
      </c>
    </row>
    <row r="1958" spans="2:5">
      <c r="B1958" s="17">
        <v>42938</v>
      </c>
      <c r="D1958" t="s">
        <v>644</v>
      </c>
      <c r="E1958">
        <v>41.256000000000007</v>
      </c>
    </row>
    <row r="1959" spans="2:5">
      <c r="B1959" s="17">
        <v>42937</v>
      </c>
      <c r="D1959" t="s">
        <v>397</v>
      </c>
      <c r="E1959">
        <v>82.4</v>
      </c>
    </row>
    <row r="1960" spans="2:5">
      <c r="B1960" s="17">
        <v>42937</v>
      </c>
      <c r="D1960" t="s">
        <v>397</v>
      </c>
      <c r="E1960">
        <v>6.24</v>
      </c>
    </row>
    <row r="1961" spans="2:5">
      <c r="B1961" s="17">
        <v>42937</v>
      </c>
      <c r="D1961" t="s">
        <v>397</v>
      </c>
      <c r="E1961">
        <v>447.84</v>
      </c>
    </row>
    <row r="1962" spans="2:5">
      <c r="B1962" s="17">
        <v>42937</v>
      </c>
      <c r="D1962" t="s">
        <v>1797</v>
      </c>
      <c r="E1962">
        <v>37.608000000000004</v>
      </c>
    </row>
    <row r="1963" spans="2:5">
      <c r="B1963" s="17">
        <v>42937</v>
      </c>
      <c r="D1963" t="s">
        <v>1797</v>
      </c>
      <c r="E1963">
        <v>10.332000000000003</v>
      </c>
    </row>
    <row r="1964" spans="2:5">
      <c r="B1964" s="17">
        <v>42937</v>
      </c>
      <c r="D1964" t="s">
        <v>874</v>
      </c>
      <c r="E1964">
        <v>31.155000000000005</v>
      </c>
    </row>
    <row r="1965" spans="2:5">
      <c r="B1965" s="17">
        <v>42937</v>
      </c>
      <c r="D1965" t="s">
        <v>874</v>
      </c>
      <c r="E1965">
        <v>8.9280000000000008</v>
      </c>
    </row>
    <row r="1966" spans="2:5">
      <c r="B1966" s="17">
        <v>42937</v>
      </c>
      <c r="D1966" t="s">
        <v>874</v>
      </c>
      <c r="E1966">
        <v>3.0359999999999996</v>
      </c>
    </row>
    <row r="1967" spans="2:5">
      <c r="B1967" s="17">
        <v>42937</v>
      </c>
      <c r="D1967" t="s">
        <v>874</v>
      </c>
      <c r="E1967">
        <v>487.96</v>
      </c>
    </row>
    <row r="1968" spans="2:5">
      <c r="B1968" s="17">
        <v>42937</v>
      </c>
      <c r="D1968" t="s">
        <v>874</v>
      </c>
      <c r="E1968">
        <v>21.744000000000003</v>
      </c>
    </row>
    <row r="1969" spans="2:5">
      <c r="B1969" s="17">
        <v>42937</v>
      </c>
      <c r="D1969" t="s">
        <v>874</v>
      </c>
      <c r="E1969">
        <v>95.92</v>
      </c>
    </row>
    <row r="1970" spans="2:5">
      <c r="B1970" s="17">
        <v>42937</v>
      </c>
      <c r="D1970" t="s">
        <v>964</v>
      </c>
      <c r="E1970">
        <v>385.6</v>
      </c>
    </row>
    <row r="1971" spans="2:5">
      <c r="B1971" s="17">
        <v>42937</v>
      </c>
      <c r="D1971" t="s">
        <v>964</v>
      </c>
      <c r="E1971">
        <v>35.82</v>
      </c>
    </row>
    <row r="1972" spans="2:5">
      <c r="B1972" s="17">
        <v>42937</v>
      </c>
      <c r="D1972" t="s">
        <v>964</v>
      </c>
      <c r="E1972">
        <v>172.76400000000001</v>
      </c>
    </row>
    <row r="1973" spans="2:5">
      <c r="B1973" s="17">
        <v>42937</v>
      </c>
      <c r="D1973" t="s">
        <v>1683</v>
      </c>
      <c r="E1973">
        <v>182.99399999999997</v>
      </c>
    </row>
    <row r="1974" spans="2:5">
      <c r="B1974" s="17">
        <v>42937</v>
      </c>
      <c r="D1974" t="s">
        <v>1683</v>
      </c>
      <c r="E1974">
        <v>10.272000000000002</v>
      </c>
    </row>
    <row r="1975" spans="2:5">
      <c r="B1975" s="17">
        <v>42937</v>
      </c>
      <c r="D1975" t="s">
        <v>1683</v>
      </c>
      <c r="E1975">
        <v>2.88</v>
      </c>
    </row>
    <row r="1976" spans="2:5">
      <c r="B1976" s="17">
        <v>42937</v>
      </c>
      <c r="D1976" t="s">
        <v>1683</v>
      </c>
      <c r="E1976">
        <v>102.93</v>
      </c>
    </row>
    <row r="1977" spans="2:5">
      <c r="B1977" s="17">
        <v>42937</v>
      </c>
      <c r="D1977" t="s">
        <v>1683</v>
      </c>
      <c r="E1977">
        <v>71.040000000000006</v>
      </c>
    </row>
    <row r="1978" spans="2:5">
      <c r="B1978" s="17">
        <v>42937</v>
      </c>
      <c r="D1978" t="s">
        <v>116</v>
      </c>
      <c r="E1978">
        <v>5.3440000000000003</v>
      </c>
    </row>
    <row r="1979" spans="2:5">
      <c r="B1979" s="17">
        <v>42937</v>
      </c>
      <c r="D1979" t="s">
        <v>116</v>
      </c>
      <c r="E1979">
        <v>11.304</v>
      </c>
    </row>
    <row r="1980" spans="2:5">
      <c r="B1980" s="17">
        <v>42937</v>
      </c>
      <c r="D1980" t="s">
        <v>116</v>
      </c>
      <c r="E1980">
        <v>871.4</v>
      </c>
    </row>
    <row r="1981" spans="2:5">
      <c r="B1981" s="17">
        <v>42937</v>
      </c>
      <c r="D1981" t="s">
        <v>326</v>
      </c>
      <c r="E1981">
        <v>148.47999999999999</v>
      </c>
    </row>
    <row r="1982" spans="2:5">
      <c r="B1982" s="17">
        <v>42936</v>
      </c>
      <c r="D1982" t="s">
        <v>326</v>
      </c>
      <c r="E1982">
        <v>400.78400000000005</v>
      </c>
    </row>
    <row r="1983" spans="2:5">
      <c r="B1983" s="17">
        <v>42936</v>
      </c>
      <c r="D1983" t="s">
        <v>326</v>
      </c>
      <c r="E1983">
        <v>83.76</v>
      </c>
    </row>
    <row r="1984" spans="2:5">
      <c r="B1984" s="17">
        <v>42936</v>
      </c>
      <c r="D1984" t="s">
        <v>326</v>
      </c>
      <c r="E1984">
        <v>4.54</v>
      </c>
    </row>
    <row r="1985" spans="2:5">
      <c r="B1985" s="17">
        <v>42936</v>
      </c>
      <c r="D1985" t="s">
        <v>326</v>
      </c>
      <c r="E1985">
        <v>15.92</v>
      </c>
    </row>
    <row r="1986" spans="2:5">
      <c r="B1986" s="17">
        <v>42936</v>
      </c>
      <c r="D1986" t="s">
        <v>326</v>
      </c>
      <c r="E1986">
        <v>543.91999999999996</v>
      </c>
    </row>
    <row r="1987" spans="2:5">
      <c r="B1987" s="17">
        <v>42936</v>
      </c>
      <c r="D1987" t="s">
        <v>822</v>
      </c>
      <c r="E1987">
        <v>526.45000000000005</v>
      </c>
    </row>
    <row r="1988" spans="2:5">
      <c r="B1988" s="17">
        <v>42936</v>
      </c>
      <c r="D1988" t="s">
        <v>822</v>
      </c>
      <c r="E1988">
        <v>431.92800000000005</v>
      </c>
    </row>
    <row r="1989" spans="2:5">
      <c r="B1989" s="17">
        <v>42936</v>
      </c>
      <c r="D1989" t="s">
        <v>822</v>
      </c>
      <c r="E1989">
        <v>358.2</v>
      </c>
    </row>
    <row r="1990" spans="2:5">
      <c r="B1990" s="17">
        <v>42936</v>
      </c>
      <c r="D1990" t="s">
        <v>822</v>
      </c>
      <c r="E1990">
        <v>545.91599999999994</v>
      </c>
    </row>
    <row r="1991" spans="2:5">
      <c r="B1991" s="17">
        <v>42936</v>
      </c>
      <c r="D1991" t="s">
        <v>1371</v>
      </c>
      <c r="E1991">
        <v>13.872000000000002</v>
      </c>
    </row>
    <row r="1992" spans="2:5">
      <c r="B1992" s="17">
        <v>42936</v>
      </c>
      <c r="D1992" t="s">
        <v>1371</v>
      </c>
      <c r="E1992">
        <v>102.36799999999999</v>
      </c>
    </row>
    <row r="1993" spans="2:5">
      <c r="B1993" s="17">
        <v>42936</v>
      </c>
      <c r="D1993" t="s">
        <v>1371</v>
      </c>
      <c r="E1993">
        <v>28.4</v>
      </c>
    </row>
    <row r="1994" spans="2:5">
      <c r="B1994" s="17">
        <v>42934</v>
      </c>
      <c r="D1994" t="s">
        <v>1218</v>
      </c>
      <c r="E1994">
        <v>713.88</v>
      </c>
    </row>
    <row r="1995" spans="2:5">
      <c r="B1995" s="17">
        <v>42934</v>
      </c>
      <c r="D1995" t="s">
        <v>1218</v>
      </c>
      <c r="E1995">
        <v>68.52</v>
      </c>
    </row>
    <row r="1996" spans="2:5">
      <c r="B1996" s="17">
        <v>42934</v>
      </c>
      <c r="D1996" t="s">
        <v>1218</v>
      </c>
      <c r="E1996">
        <v>191.64600000000002</v>
      </c>
    </row>
    <row r="1997" spans="2:5">
      <c r="B1997" s="17">
        <v>42934</v>
      </c>
      <c r="D1997" t="s">
        <v>1218</v>
      </c>
      <c r="E1997">
        <v>20.07</v>
      </c>
    </row>
    <row r="1998" spans="2:5">
      <c r="B1998" s="17">
        <v>42934</v>
      </c>
      <c r="D1998" t="s">
        <v>311</v>
      </c>
      <c r="E1998">
        <v>19.440000000000001</v>
      </c>
    </row>
    <row r="1999" spans="2:5">
      <c r="B1999" s="17">
        <v>42934</v>
      </c>
      <c r="D1999" t="s">
        <v>311</v>
      </c>
      <c r="E1999">
        <v>126.30000000000001</v>
      </c>
    </row>
    <row r="2000" spans="2:5">
      <c r="B2000" s="17">
        <v>42934</v>
      </c>
      <c r="D2000" t="s">
        <v>1740</v>
      </c>
      <c r="E2000">
        <v>1287.45</v>
      </c>
    </row>
    <row r="2001" spans="2:5">
      <c r="B2001" s="17">
        <v>42934</v>
      </c>
      <c r="D2001" t="s">
        <v>1740</v>
      </c>
      <c r="E2001">
        <v>1295.78</v>
      </c>
    </row>
    <row r="2002" spans="2:5">
      <c r="B2002" s="17">
        <v>42933</v>
      </c>
      <c r="D2002" t="s">
        <v>1740</v>
      </c>
      <c r="E2002">
        <v>362.94</v>
      </c>
    </row>
    <row r="2003" spans="2:5">
      <c r="B2003" s="17">
        <v>42933</v>
      </c>
      <c r="D2003" t="s">
        <v>1740</v>
      </c>
      <c r="E2003">
        <v>11.54</v>
      </c>
    </row>
    <row r="2004" spans="2:5">
      <c r="B2004" s="17">
        <v>42933</v>
      </c>
      <c r="D2004" t="s">
        <v>557</v>
      </c>
      <c r="E2004">
        <v>5.1840000000000011</v>
      </c>
    </row>
    <row r="2005" spans="2:5">
      <c r="B2005" s="17">
        <v>42933</v>
      </c>
      <c r="D2005" t="s">
        <v>557</v>
      </c>
      <c r="E2005">
        <v>895.92</v>
      </c>
    </row>
    <row r="2006" spans="2:5">
      <c r="B2006" s="17">
        <v>42933</v>
      </c>
      <c r="D2006" t="s">
        <v>557</v>
      </c>
      <c r="E2006">
        <v>130.71</v>
      </c>
    </row>
    <row r="2007" spans="2:5">
      <c r="B2007" s="17">
        <v>42933</v>
      </c>
      <c r="D2007" t="s">
        <v>1121</v>
      </c>
      <c r="E2007">
        <v>11.68</v>
      </c>
    </row>
    <row r="2008" spans="2:5">
      <c r="B2008" s="17">
        <v>42933</v>
      </c>
      <c r="D2008" t="s">
        <v>1121</v>
      </c>
      <c r="E2008">
        <v>62.31</v>
      </c>
    </row>
    <row r="2009" spans="2:5">
      <c r="B2009" s="17">
        <v>42933</v>
      </c>
      <c r="D2009" t="s">
        <v>1121</v>
      </c>
      <c r="E2009">
        <v>638.82000000000005</v>
      </c>
    </row>
    <row r="2010" spans="2:5">
      <c r="B2010" s="17">
        <v>42933</v>
      </c>
      <c r="D2010" t="s">
        <v>1121</v>
      </c>
      <c r="E2010">
        <v>30.69</v>
      </c>
    </row>
    <row r="2011" spans="2:5">
      <c r="B2011" s="17">
        <v>42932</v>
      </c>
      <c r="D2011" t="s">
        <v>1121</v>
      </c>
      <c r="E2011">
        <v>25.16</v>
      </c>
    </row>
    <row r="2012" spans="2:5">
      <c r="B2012" s="17">
        <v>42932</v>
      </c>
      <c r="D2012" t="s">
        <v>1121</v>
      </c>
      <c r="E2012">
        <v>21.391999999999992</v>
      </c>
    </row>
    <row r="2013" spans="2:5">
      <c r="B2013" s="17">
        <v>42932</v>
      </c>
      <c r="D2013" t="s">
        <v>1121</v>
      </c>
      <c r="E2013">
        <v>409.99919999999997</v>
      </c>
    </row>
    <row r="2014" spans="2:5">
      <c r="B2014" s="17">
        <v>42931</v>
      </c>
      <c r="D2014" t="s">
        <v>1128</v>
      </c>
      <c r="E2014">
        <v>75.792000000000002</v>
      </c>
    </row>
    <row r="2015" spans="2:5">
      <c r="B2015" s="17">
        <v>42931</v>
      </c>
      <c r="D2015" t="s">
        <v>1128</v>
      </c>
      <c r="E2015">
        <v>1044.6299999999999</v>
      </c>
    </row>
    <row r="2016" spans="2:5">
      <c r="B2016" s="17">
        <v>42931</v>
      </c>
      <c r="D2016" t="s">
        <v>1128</v>
      </c>
      <c r="E2016">
        <v>22.23</v>
      </c>
    </row>
    <row r="2017" spans="2:5">
      <c r="B2017" s="17">
        <v>42931</v>
      </c>
      <c r="D2017" t="s">
        <v>1128</v>
      </c>
      <c r="E2017">
        <v>1001.5840000000001</v>
      </c>
    </row>
    <row r="2018" spans="2:5">
      <c r="B2018" s="17">
        <v>42931</v>
      </c>
      <c r="D2018" t="s">
        <v>1128</v>
      </c>
      <c r="E2018">
        <v>569.05799999999999</v>
      </c>
    </row>
    <row r="2019" spans="2:5">
      <c r="B2019" s="17">
        <v>42931</v>
      </c>
      <c r="D2019" t="s">
        <v>1318</v>
      </c>
      <c r="E2019">
        <v>14.224000000000002</v>
      </c>
    </row>
    <row r="2020" spans="2:5">
      <c r="B2020" s="17">
        <v>42931</v>
      </c>
      <c r="D2020" t="s">
        <v>1318</v>
      </c>
      <c r="E2020">
        <v>19.52</v>
      </c>
    </row>
    <row r="2021" spans="2:5">
      <c r="B2021" s="17">
        <v>42931</v>
      </c>
      <c r="D2021" t="s">
        <v>1318</v>
      </c>
      <c r="E2021">
        <v>435.99900000000002</v>
      </c>
    </row>
    <row r="2022" spans="2:5">
      <c r="B2022" s="17">
        <v>42931</v>
      </c>
      <c r="D2022" t="s">
        <v>1318</v>
      </c>
      <c r="E2022">
        <v>1085.42</v>
      </c>
    </row>
    <row r="2023" spans="2:5">
      <c r="B2023" s="17">
        <v>42931</v>
      </c>
      <c r="D2023" t="s">
        <v>1318</v>
      </c>
      <c r="E2023">
        <v>443.92</v>
      </c>
    </row>
    <row r="2024" spans="2:5">
      <c r="B2024" s="17">
        <v>42930</v>
      </c>
      <c r="D2024" t="s">
        <v>1489</v>
      </c>
      <c r="E2024">
        <v>169.99</v>
      </c>
    </row>
    <row r="2025" spans="2:5">
      <c r="B2025" s="17">
        <v>42930</v>
      </c>
      <c r="D2025" t="s">
        <v>1489</v>
      </c>
      <c r="E2025">
        <v>25.92</v>
      </c>
    </row>
    <row r="2026" spans="2:5">
      <c r="B2026" s="17">
        <v>42930</v>
      </c>
      <c r="D2026" t="s">
        <v>1489</v>
      </c>
      <c r="E2026">
        <v>163.96</v>
      </c>
    </row>
    <row r="2027" spans="2:5">
      <c r="B2027" s="17">
        <v>42930</v>
      </c>
      <c r="D2027" t="s">
        <v>1489</v>
      </c>
      <c r="E2027">
        <v>5.2319999999999984</v>
      </c>
    </row>
    <row r="2028" spans="2:5">
      <c r="B2028" s="17">
        <v>42930</v>
      </c>
      <c r="D2028" t="s">
        <v>1489</v>
      </c>
      <c r="E2028">
        <v>23.99</v>
      </c>
    </row>
    <row r="2029" spans="2:5">
      <c r="B2029" s="17">
        <v>42930</v>
      </c>
      <c r="D2029" t="s">
        <v>332</v>
      </c>
      <c r="E2029">
        <v>9.5519999999999996</v>
      </c>
    </row>
    <row r="2030" spans="2:5">
      <c r="B2030" s="17">
        <v>42930</v>
      </c>
      <c r="D2030" t="s">
        <v>332</v>
      </c>
      <c r="E2030">
        <v>167.96800000000002</v>
      </c>
    </row>
    <row r="2031" spans="2:5">
      <c r="B2031" s="17">
        <v>42930</v>
      </c>
      <c r="D2031" t="s">
        <v>332</v>
      </c>
      <c r="E2031">
        <v>597.13200000000006</v>
      </c>
    </row>
    <row r="2032" spans="2:5">
      <c r="B2032" s="17">
        <v>42930</v>
      </c>
      <c r="D2032" t="s">
        <v>332</v>
      </c>
      <c r="E2032">
        <v>545.85</v>
      </c>
    </row>
    <row r="2033" spans="2:5">
      <c r="B2033" s="17">
        <v>42930</v>
      </c>
      <c r="D2033" t="s">
        <v>332</v>
      </c>
      <c r="E2033">
        <v>32.896000000000001</v>
      </c>
    </row>
    <row r="2034" spans="2:5">
      <c r="B2034" s="17">
        <v>42930</v>
      </c>
      <c r="D2034" t="s">
        <v>366</v>
      </c>
      <c r="E2034">
        <v>30.96</v>
      </c>
    </row>
    <row r="2035" spans="2:5">
      <c r="B2035" s="17">
        <v>42930</v>
      </c>
      <c r="D2035" t="s">
        <v>366</v>
      </c>
      <c r="E2035">
        <v>59.98</v>
      </c>
    </row>
    <row r="2036" spans="2:5">
      <c r="B2036" s="17">
        <v>42930</v>
      </c>
      <c r="D2036" t="s">
        <v>366</v>
      </c>
      <c r="E2036">
        <v>2395.2000000000003</v>
      </c>
    </row>
    <row r="2037" spans="2:5">
      <c r="B2037" s="17">
        <v>42929</v>
      </c>
      <c r="D2037" t="s">
        <v>366</v>
      </c>
      <c r="E2037">
        <v>1687.8</v>
      </c>
    </row>
    <row r="2038" spans="2:5">
      <c r="B2038" s="17">
        <v>42929</v>
      </c>
      <c r="D2038" t="s">
        <v>366</v>
      </c>
      <c r="E2038">
        <v>7.9920000000000009</v>
      </c>
    </row>
    <row r="2039" spans="2:5">
      <c r="B2039" s="17">
        <v>42929</v>
      </c>
      <c r="D2039" t="s">
        <v>366</v>
      </c>
      <c r="E2039">
        <v>24.56</v>
      </c>
    </row>
    <row r="2040" spans="2:5">
      <c r="B2040" s="17">
        <v>42929</v>
      </c>
      <c r="D2040" t="s">
        <v>366</v>
      </c>
      <c r="E2040">
        <v>129.39000000000001</v>
      </c>
    </row>
    <row r="2041" spans="2:5">
      <c r="B2041" s="17">
        <v>42928</v>
      </c>
      <c r="D2041" t="s">
        <v>366</v>
      </c>
      <c r="E2041">
        <v>87.92</v>
      </c>
    </row>
    <row r="2042" spans="2:5">
      <c r="B2042" s="17">
        <v>42927</v>
      </c>
      <c r="D2042" t="s">
        <v>774</v>
      </c>
      <c r="E2042">
        <v>24</v>
      </c>
    </row>
    <row r="2043" spans="2:5">
      <c r="B2043" s="17">
        <v>42927</v>
      </c>
      <c r="D2043" t="s">
        <v>774</v>
      </c>
      <c r="E2043">
        <v>102.3</v>
      </c>
    </row>
    <row r="2044" spans="2:5">
      <c r="B2044" s="17">
        <v>42927</v>
      </c>
      <c r="D2044" t="s">
        <v>774</v>
      </c>
      <c r="E2044">
        <v>11.393999999999998</v>
      </c>
    </row>
    <row r="2045" spans="2:5">
      <c r="B2045" s="17">
        <v>42927</v>
      </c>
      <c r="D2045" t="s">
        <v>374</v>
      </c>
      <c r="E2045">
        <v>15.552000000000003</v>
      </c>
    </row>
    <row r="2046" spans="2:5">
      <c r="B2046" s="17">
        <v>42927</v>
      </c>
      <c r="D2046" t="s">
        <v>374</v>
      </c>
      <c r="E2046">
        <v>31.104000000000006</v>
      </c>
    </row>
    <row r="2047" spans="2:5">
      <c r="B2047" s="17">
        <v>42927</v>
      </c>
      <c r="D2047" t="s">
        <v>374</v>
      </c>
      <c r="E2047">
        <v>6.3159999999999981</v>
      </c>
    </row>
    <row r="2048" spans="2:5">
      <c r="B2048" s="17">
        <v>42927</v>
      </c>
      <c r="D2048" t="s">
        <v>374</v>
      </c>
      <c r="E2048">
        <v>79.959999999999994</v>
      </c>
    </row>
    <row r="2049" spans="2:5">
      <c r="B2049" s="17">
        <v>42926</v>
      </c>
      <c r="D2049" t="s">
        <v>374</v>
      </c>
      <c r="E2049">
        <v>2.9460000000000006</v>
      </c>
    </row>
    <row r="2050" spans="2:5">
      <c r="B2050" s="17">
        <v>42926</v>
      </c>
      <c r="D2050" t="s">
        <v>374</v>
      </c>
      <c r="E2050">
        <v>16.056000000000001</v>
      </c>
    </row>
    <row r="2051" spans="2:5">
      <c r="B2051" s="17">
        <v>42926</v>
      </c>
      <c r="D2051" t="s">
        <v>374</v>
      </c>
      <c r="E2051">
        <v>122.13600000000001</v>
      </c>
    </row>
    <row r="2052" spans="2:5">
      <c r="B2052" s="17">
        <v>42925</v>
      </c>
      <c r="D2052" t="s">
        <v>139</v>
      </c>
      <c r="E2052">
        <v>17.472000000000001</v>
      </c>
    </row>
    <row r="2053" spans="2:5">
      <c r="B2053" s="17">
        <v>42925</v>
      </c>
      <c r="D2053" t="s">
        <v>139</v>
      </c>
      <c r="E2053">
        <v>87.210000000000008</v>
      </c>
    </row>
    <row r="2054" spans="2:5">
      <c r="B2054" s="17">
        <v>42925</v>
      </c>
      <c r="D2054" t="s">
        <v>139</v>
      </c>
      <c r="E2054">
        <v>15.552000000000003</v>
      </c>
    </row>
    <row r="2055" spans="2:5">
      <c r="B2055" s="17">
        <v>42925</v>
      </c>
      <c r="D2055" t="s">
        <v>139</v>
      </c>
      <c r="E2055">
        <v>683.98799999999994</v>
      </c>
    </row>
    <row r="2056" spans="2:5">
      <c r="B2056" s="17">
        <v>42925</v>
      </c>
      <c r="D2056" t="s">
        <v>139</v>
      </c>
      <c r="E2056">
        <v>13.392000000000001</v>
      </c>
    </row>
    <row r="2057" spans="2:5">
      <c r="B2057" s="17">
        <v>42925</v>
      </c>
      <c r="D2057" t="s">
        <v>139</v>
      </c>
      <c r="E2057">
        <v>16.776000000000003</v>
      </c>
    </row>
    <row r="2058" spans="2:5">
      <c r="B2058" s="17">
        <v>42925</v>
      </c>
      <c r="D2058" t="s">
        <v>139</v>
      </c>
      <c r="E2058">
        <v>527.91999999999996</v>
      </c>
    </row>
    <row r="2059" spans="2:5">
      <c r="B2059" s="17">
        <v>42925</v>
      </c>
      <c r="D2059" t="s">
        <v>139</v>
      </c>
      <c r="E2059">
        <v>5.9399999999999995</v>
      </c>
    </row>
    <row r="2060" spans="2:5">
      <c r="B2060" s="17">
        <v>42925</v>
      </c>
      <c r="D2060" t="s">
        <v>139</v>
      </c>
      <c r="E2060">
        <v>7.5600000000000005</v>
      </c>
    </row>
    <row r="2061" spans="2:5">
      <c r="B2061" s="17">
        <v>42924</v>
      </c>
      <c r="D2061" t="s">
        <v>139</v>
      </c>
      <c r="E2061">
        <v>24.56</v>
      </c>
    </row>
    <row r="2062" spans="2:5">
      <c r="B2062" s="17">
        <v>42924</v>
      </c>
      <c r="D2062" t="s">
        <v>139</v>
      </c>
      <c r="E2062">
        <v>12.96</v>
      </c>
    </row>
    <row r="2063" spans="2:5">
      <c r="B2063" s="17">
        <v>42924</v>
      </c>
      <c r="D2063" t="s">
        <v>410</v>
      </c>
      <c r="E2063">
        <v>145.9</v>
      </c>
    </row>
    <row r="2064" spans="2:5">
      <c r="B2064" s="17">
        <v>42924</v>
      </c>
      <c r="D2064" t="s">
        <v>410</v>
      </c>
      <c r="E2064">
        <v>198.46</v>
      </c>
    </row>
    <row r="2065" spans="2:5">
      <c r="B2065" s="17">
        <v>42924</v>
      </c>
      <c r="D2065" t="s">
        <v>410</v>
      </c>
      <c r="E2065">
        <v>786.48</v>
      </c>
    </row>
    <row r="2066" spans="2:5">
      <c r="B2066" s="17">
        <v>42924</v>
      </c>
      <c r="D2066" t="s">
        <v>410</v>
      </c>
      <c r="E2066">
        <v>23.168000000000003</v>
      </c>
    </row>
    <row r="2067" spans="2:5">
      <c r="B2067" s="17">
        <v>42924</v>
      </c>
      <c r="D2067" t="s">
        <v>410</v>
      </c>
      <c r="E2067">
        <v>50</v>
      </c>
    </row>
    <row r="2068" spans="2:5">
      <c r="B2068" s="17">
        <v>42924</v>
      </c>
      <c r="D2068" t="s">
        <v>410</v>
      </c>
      <c r="E2068">
        <v>75.179999999999993</v>
      </c>
    </row>
    <row r="2069" spans="2:5">
      <c r="B2069" s="17">
        <v>42924</v>
      </c>
      <c r="D2069" t="s">
        <v>410</v>
      </c>
      <c r="E2069">
        <v>15.84</v>
      </c>
    </row>
    <row r="2070" spans="2:5">
      <c r="B2070" s="17">
        <v>42924</v>
      </c>
      <c r="D2070" t="s">
        <v>646</v>
      </c>
      <c r="E2070">
        <v>86.376000000000005</v>
      </c>
    </row>
    <row r="2071" spans="2:5">
      <c r="B2071" s="17">
        <v>42924</v>
      </c>
      <c r="D2071" t="s">
        <v>646</v>
      </c>
      <c r="E2071">
        <v>18.240000000000002</v>
      </c>
    </row>
    <row r="2072" spans="2:5">
      <c r="B2072" s="17">
        <v>42924</v>
      </c>
      <c r="D2072" t="s">
        <v>646</v>
      </c>
      <c r="E2072">
        <v>13.12</v>
      </c>
    </row>
    <row r="2073" spans="2:5">
      <c r="B2073" s="17">
        <v>42924</v>
      </c>
      <c r="D2073" t="s">
        <v>646</v>
      </c>
      <c r="E2073">
        <v>83.92</v>
      </c>
    </row>
    <row r="2074" spans="2:5">
      <c r="B2074" s="17">
        <v>42924</v>
      </c>
      <c r="D2074" t="s">
        <v>646</v>
      </c>
      <c r="E2074">
        <v>141.9</v>
      </c>
    </row>
    <row r="2075" spans="2:5">
      <c r="B2075" s="17">
        <v>42924</v>
      </c>
      <c r="D2075" t="s">
        <v>646</v>
      </c>
      <c r="E2075">
        <v>39.979999999999997</v>
      </c>
    </row>
    <row r="2076" spans="2:5">
      <c r="B2076" s="17">
        <v>42924</v>
      </c>
      <c r="D2076" t="s">
        <v>698</v>
      </c>
      <c r="E2076">
        <v>28.91</v>
      </c>
    </row>
    <row r="2077" spans="2:5">
      <c r="B2077" s="17">
        <v>42924</v>
      </c>
      <c r="D2077" t="s">
        <v>698</v>
      </c>
      <c r="E2077">
        <v>174.95000000000002</v>
      </c>
    </row>
    <row r="2078" spans="2:5">
      <c r="B2078" s="17">
        <v>42924</v>
      </c>
      <c r="D2078" t="s">
        <v>698</v>
      </c>
      <c r="E2078">
        <v>52.76</v>
      </c>
    </row>
    <row r="2079" spans="2:5">
      <c r="B2079" s="17">
        <v>42924</v>
      </c>
      <c r="D2079" t="s">
        <v>698</v>
      </c>
      <c r="E2079">
        <v>1.0800000000000003</v>
      </c>
    </row>
    <row r="2080" spans="2:5">
      <c r="B2080" s="17">
        <v>42923</v>
      </c>
      <c r="D2080" t="s">
        <v>698</v>
      </c>
      <c r="E2080">
        <v>8.84</v>
      </c>
    </row>
    <row r="2081" spans="2:5">
      <c r="B2081" s="17">
        <v>42923</v>
      </c>
      <c r="D2081" t="s">
        <v>93</v>
      </c>
      <c r="E2081">
        <v>58.463999999999977</v>
      </c>
    </row>
    <row r="2082" spans="2:5">
      <c r="B2082" s="17">
        <v>42923</v>
      </c>
      <c r="D2082" t="s">
        <v>93</v>
      </c>
      <c r="E2082">
        <v>526.45000000000005</v>
      </c>
    </row>
    <row r="2083" spans="2:5">
      <c r="B2083" s="17">
        <v>42923</v>
      </c>
      <c r="D2083" t="s">
        <v>93</v>
      </c>
      <c r="E2083">
        <v>195.64</v>
      </c>
    </row>
    <row r="2084" spans="2:5">
      <c r="B2084" s="17">
        <v>42923</v>
      </c>
      <c r="D2084" t="s">
        <v>93</v>
      </c>
      <c r="E2084">
        <v>119.03999999999999</v>
      </c>
    </row>
    <row r="2085" spans="2:5">
      <c r="B2085" s="17">
        <v>42923</v>
      </c>
      <c r="D2085" t="s">
        <v>93</v>
      </c>
      <c r="E2085">
        <v>18.84</v>
      </c>
    </row>
    <row r="2086" spans="2:5">
      <c r="B2086" s="17">
        <v>42923</v>
      </c>
      <c r="D2086" t="s">
        <v>638</v>
      </c>
      <c r="E2086">
        <v>41.910000000000004</v>
      </c>
    </row>
    <row r="2087" spans="2:5">
      <c r="B2087" s="17">
        <v>42923</v>
      </c>
      <c r="D2087" t="s">
        <v>638</v>
      </c>
      <c r="E2087">
        <v>8.67</v>
      </c>
    </row>
    <row r="2088" spans="2:5">
      <c r="B2088" s="17">
        <v>42923</v>
      </c>
      <c r="D2088" t="s">
        <v>638</v>
      </c>
      <c r="E2088">
        <v>132.60000000000002</v>
      </c>
    </row>
    <row r="2089" spans="2:5">
      <c r="B2089" s="17">
        <v>42922</v>
      </c>
      <c r="D2089" t="s">
        <v>638</v>
      </c>
      <c r="E2089">
        <v>30.32</v>
      </c>
    </row>
    <row r="2090" spans="2:5">
      <c r="B2090" s="17">
        <v>42922</v>
      </c>
      <c r="D2090" t="s">
        <v>638</v>
      </c>
      <c r="E2090">
        <v>1287.45</v>
      </c>
    </row>
    <row r="2091" spans="2:5">
      <c r="B2091" s="17">
        <v>42922</v>
      </c>
      <c r="D2091" t="s">
        <v>638</v>
      </c>
      <c r="E2091">
        <v>168.1</v>
      </c>
    </row>
    <row r="2092" spans="2:5">
      <c r="B2092" s="17">
        <v>42922</v>
      </c>
      <c r="D2092" t="s">
        <v>638</v>
      </c>
      <c r="E2092">
        <v>71.951999999999998</v>
      </c>
    </row>
    <row r="2093" spans="2:5">
      <c r="B2093" s="17">
        <v>42921</v>
      </c>
      <c r="D2093" t="s">
        <v>638</v>
      </c>
      <c r="E2093">
        <v>29.800000000000004</v>
      </c>
    </row>
    <row r="2094" spans="2:5">
      <c r="B2094" s="17">
        <v>42921</v>
      </c>
      <c r="D2094" t="s">
        <v>638</v>
      </c>
      <c r="E2094">
        <v>3.8159999999999998</v>
      </c>
    </row>
    <row r="2095" spans="2:5">
      <c r="B2095" s="17">
        <v>42921</v>
      </c>
      <c r="D2095" t="s">
        <v>130</v>
      </c>
      <c r="E2095">
        <v>39.593999999999994</v>
      </c>
    </row>
    <row r="2096" spans="2:5">
      <c r="B2096" s="17">
        <v>42921</v>
      </c>
      <c r="D2096" t="s">
        <v>130</v>
      </c>
      <c r="E2096">
        <v>91.00800000000001</v>
      </c>
    </row>
    <row r="2097" spans="2:5">
      <c r="B2097" s="17">
        <v>42921</v>
      </c>
      <c r="D2097" t="s">
        <v>130</v>
      </c>
      <c r="E2097">
        <v>360.38</v>
      </c>
    </row>
    <row r="2098" spans="2:5">
      <c r="B2098" s="17">
        <v>42921</v>
      </c>
      <c r="D2098" t="s">
        <v>130</v>
      </c>
      <c r="E2098">
        <v>13.56</v>
      </c>
    </row>
    <row r="2099" spans="2:5">
      <c r="B2099" s="17">
        <v>42919</v>
      </c>
      <c r="D2099" t="s">
        <v>130</v>
      </c>
      <c r="E2099">
        <v>4.4479999999999995</v>
      </c>
    </row>
    <row r="2100" spans="2:5">
      <c r="B2100" s="17">
        <v>42919</v>
      </c>
      <c r="D2100" t="s">
        <v>130</v>
      </c>
      <c r="E2100">
        <v>4.96</v>
      </c>
    </row>
    <row r="2101" spans="2:5">
      <c r="B2101" s="17">
        <v>42919</v>
      </c>
      <c r="D2101" t="s">
        <v>130</v>
      </c>
      <c r="E2101">
        <v>71.92</v>
      </c>
    </row>
    <row r="2102" spans="2:5">
      <c r="B2102" s="17">
        <v>42919</v>
      </c>
      <c r="D2102" t="s">
        <v>130</v>
      </c>
      <c r="E2102">
        <v>18.84</v>
      </c>
    </row>
    <row r="2103" spans="2:5">
      <c r="B2103" s="17">
        <v>42919</v>
      </c>
      <c r="D2103" t="s">
        <v>130</v>
      </c>
      <c r="E2103">
        <v>140.97</v>
      </c>
    </row>
    <row r="2104" spans="2:5">
      <c r="B2104" s="17">
        <v>42919</v>
      </c>
      <c r="D2104" t="s">
        <v>130</v>
      </c>
      <c r="E2104">
        <v>470.37600000000009</v>
      </c>
    </row>
    <row r="2105" spans="2:5">
      <c r="B2105" s="17">
        <v>42919</v>
      </c>
      <c r="D2105" t="s">
        <v>130</v>
      </c>
      <c r="E2105">
        <v>9.2480000000000011</v>
      </c>
    </row>
    <row r="2106" spans="2:5">
      <c r="B2106" s="17">
        <v>42919</v>
      </c>
      <c r="D2106" t="s">
        <v>130</v>
      </c>
      <c r="E2106">
        <v>1889.9459999999999</v>
      </c>
    </row>
    <row r="2107" spans="2:5">
      <c r="B2107" s="17">
        <v>42919</v>
      </c>
      <c r="D2107" t="s">
        <v>141</v>
      </c>
      <c r="E2107">
        <v>62.040000000000006</v>
      </c>
    </row>
    <row r="2108" spans="2:5">
      <c r="B2108" s="17">
        <v>42919</v>
      </c>
      <c r="D2108" t="s">
        <v>141</v>
      </c>
      <c r="E2108">
        <v>396.92000000000007</v>
      </c>
    </row>
    <row r="2109" spans="2:5">
      <c r="B2109" s="17">
        <v>42919</v>
      </c>
      <c r="D2109" t="s">
        <v>141</v>
      </c>
      <c r="E2109">
        <v>13.120000000000001</v>
      </c>
    </row>
    <row r="2110" spans="2:5">
      <c r="B2110" s="17">
        <v>42919</v>
      </c>
      <c r="D2110" t="s">
        <v>1060</v>
      </c>
      <c r="E2110">
        <v>26.549999999999997</v>
      </c>
    </row>
    <row r="2111" spans="2:5">
      <c r="B2111" s="17">
        <v>42919</v>
      </c>
      <c r="D2111" t="s">
        <v>1060</v>
      </c>
      <c r="E2111">
        <v>6.56</v>
      </c>
    </row>
    <row r="2112" spans="2:5">
      <c r="B2112" s="17">
        <v>42919</v>
      </c>
      <c r="D2112" t="s">
        <v>1060</v>
      </c>
      <c r="E2112">
        <v>7.83</v>
      </c>
    </row>
    <row r="2113" spans="2:5">
      <c r="B2113" s="17">
        <v>42919</v>
      </c>
      <c r="D2113" t="s">
        <v>1060</v>
      </c>
      <c r="E2113">
        <v>41.9</v>
      </c>
    </row>
    <row r="2114" spans="2:5">
      <c r="B2114" s="17">
        <v>42919</v>
      </c>
      <c r="D2114" t="s">
        <v>1060</v>
      </c>
      <c r="E2114">
        <v>664.14599999999996</v>
      </c>
    </row>
    <row r="2115" spans="2:5">
      <c r="B2115" s="17">
        <v>42919</v>
      </c>
      <c r="D2115" t="s">
        <v>1060</v>
      </c>
      <c r="E2115">
        <v>8.9600000000000009</v>
      </c>
    </row>
    <row r="2116" spans="2:5">
      <c r="B2116" s="17">
        <v>42919</v>
      </c>
      <c r="D2116" t="s">
        <v>1060</v>
      </c>
      <c r="E2116">
        <v>179.94</v>
      </c>
    </row>
    <row r="2117" spans="2:5">
      <c r="B2117" s="17">
        <v>42919</v>
      </c>
      <c r="D2117" t="s">
        <v>706</v>
      </c>
      <c r="E2117">
        <v>872.94</v>
      </c>
    </row>
    <row r="2118" spans="2:5">
      <c r="B2118" s="17">
        <v>42919</v>
      </c>
      <c r="D2118" t="s">
        <v>706</v>
      </c>
      <c r="E2118">
        <v>12.96</v>
      </c>
    </row>
    <row r="2119" spans="2:5">
      <c r="B2119" s="17">
        <v>42918</v>
      </c>
      <c r="D2119" t="s">
        <v>706</v>
      </c>
      <c r="E2119">
        <v>71.371999999999986</v>
      </c>
    </row>
    <row r="2120" spans="2:5">
      <c r="B2120" s="17">
        <v>42918</v>
      </c>
      <c r="D2120" t="s">
        <v>706</v>
      </c>
      <c r="E2120">
        <v>2.9120000000000004</v>
      </c>
    </row>
    <row r="2121" spans="2:5">
      <c r="B2121" s="17">
        <v>42917</v>
      </c>
      <c r="D2121" t="s">
        <v>706</v>
      </c>
      <c r="E2121">
        <v>7.9040000000000008</v>
      </c>
    </row>
    <row r="2122" spans="2:5">
      <c r="B2122" s="17">
        <v>42917</v>
      </c>
      <c r="D2122" t="s">
        <v>1630</v>
      </c>
      <c r="E2122">
        <v>99.9</v>
      </c>
    </row>
    <row r="2123" spans="2:5">
      <c r="B2123" s="17">
        <v>42917</v>
      </c>
      <c r="D2123" t="s">
        <v>1630</v>
      </c>
      <c r="E2123">
        <v>39.08</v>
      </c>
    </row>
    <row r="2124" spans="2:5">
      <c r="B2124" s="17">
        <v>42916</v>
      </c>
      <c r="D2124" t="s">
        <v>1630</v>
      </c>
      <c r="E2124">
        <v>479.98400000000004</v>
      </c>
    </row>
    <row r="2125" spans="2:5">
      <c r="B2125" s="17">
        <v>42916</v>
      </c>
      <c r="D2125" t="s">
        <v>1630</v>
      </c>
      <c r="E2125">
        <v>32.400000000000006</v>
      </c>
    </row>
    <row r="2126" spans="2:5">
      <c r="B2126" s="17">
        <v>42916</v>
      </c>
      <c r="D2126" t="s">
        <v>1630</v>
      </c>
      <c r="E2126">
        <v>57.9</v>
      </c>
    </row>
    <row r="2127" spans="2:5">
      <c r="B2127" s="17">
        <v>42916</v>
      </c>
      <c r="D2127" t="s">
        <v>1685</v>
      </c>
      <c r="E2127">
        <v>10.56</v>
      </c>
    </row>
    <row r="2128" spans="2:5">
      <c r="B2128" s="17">
        <v>42916</v>
      </c>
      <c r="D2128" t="s">
        <v>1685</v>
      </c>
      <c r="E2128">
        <v>1194.165</v>
      </c>
    </row>
    <row r="2129" spans="2:5">
      <c r="B2129" s="17">
        <v>42916</v>
      </c>
      <c r="D2129" t="s">
        <v>1685</v>
      </c>
      <c r="E2129">
        <v>801.59999999999991</v>
      </c>
    </row>
    <row r="2130" spans="2:5">
      <c r="B2130" s="17">
        <v>42916</v>
      </c>
      <c r="D2130" t="s">
        <v>1685</v>
      </c>
      <c r="E2130">
        <v>161.56800000000001</v>
      </c>
    </row>
    <row r="2131" spans="2:5">
      <c r="B2131" s="17">
        <v>42916</v>
      </c>
      <c r="D2131" t="s">
        <v>1685</v>
      </c>
      <c r="E2131">
        <v>16.096</v>
      </c>
    </row>
    <row r="2132" spans="2:5">
      <c r="B2132" s="17">
        <v>42916</v>
      </c>
      <c r="D2132" t="s">
        <v>1685</v>
      </c>
      <c r="E2132">
        <v>7.6560000000000006</v>
      </c>
    </row>
    <row r="2133" spans="2:5">
      <c r="B2133" s="17">
        <v>42916</v>
      </c>
      <c r="D2133" t="s">
        <v>1680</v>
      </c>
      <c r="E2133">
        <v>599.97</v>
      </c>
    </row>
    <row r="2134" spans="2:5">
      <c r="B2134" s="17">
        <v>42916</v>
      </c>
      <c r="D2134" t="s">
        <v>1680</v>
      </c>
      <c r="E2134">
        <v>198.744</v>
      </c>
    </row>
    <row r="2135" spans="2:5">
      <c r="B2135" s="17">
        <v>42915</v>
      </c>
      <c r="D2135" t="s">
        <v>1680</v>
      </c>
      <c r="E2135">
        <v>9.1840000000000011</v>
      </c>
    </row>
    <row r="2136" spans="2:5">
      <c r="B2136" s="17">
        <v>42915</v>
      </c>
      <c r="D2136" t="s">
        <v>1680</v>
      </c>
      <c r="E2136">
        <v>69.712000000000003</v>
      </c>
    </row>
    <row r="2137" spans="2:5">
      <c r="B2137" s="17">
        <v>42915</v>
      </c>
      <c r="D2137" t="s">
        <v>1680</v>
      </c>
      <c r="E2137">
        <v>8.7919999999999998</v>
      </c>
    </row>
    <row r="2138" spans="2:5">
      <c r="B2138" s="17">
        <v>42915</v>
      </c>
      <c r="D2138" t="s">
        <v>1680</v>
      </c>
      <c r="E2138">
        <v>14.62</v>
      </c>
    </row>
    <row r="2139" spans="2:5">
      <c r="B2139" s="17">
        <v>42915</v>
      </c>
      <c r="D2139" t="s">
        <v>1680</v>
      </c>
      <c r="E2139">
        <v>416.32</v>
      </c>
    </row>
    <row r="2140" spans="2:5">
      <c r="B2140" s="17">
        <v>42915</v>
      </c>
      <c r="D2140" t="s">
        <v>1680</v>
      </c>
      <c r="E2140">
        <v>43</v>
      </c>
    </row>
    <row r="2141" spans="2:5">
      <c r="B2141" s="17">
        <v>42915</v>
      </c>
      <c r="D2141" t="s">
        <v>1680</v>
      </c>
      <c r="E2141">
        <v>182.94</v>
      </c>
    </row>
    <row r="2142" spans="2:5">
      <c r="B2142" s="17">
        <v>42915</v>
      </c>
      <c r="D2142" t="s">
        <v>280</v>
      </c>
      <c r="E2142">
        <v>60.83</v>
      </c>
    </row>
    <row r="2143" spans="2:5">
      <c r="B2143" s="17">
        <v>42915</v>
      </c>
      <c r="D2143" t="s">
        <v>280</v>
      </c>
      <c r="E2143">
        <v>389.97</v>
      </c>
    </row>
    <row r="2144" spans="2:5">
      <c r="B2144" s="17">
        <v>42915</v>
      </c>
      <c r="D2144" t="s">
        <v>280</v>
      </c>
      <c r="E2144">
        <v>735.98</v>
      </c>
    </row>
    <row r="2145" spans="2:5">
      <c r="B2145" s="17">
        <v>42915</v>
      </c>
      <c r="D2145" t="s">
        <v>280</v>
      </c>
      <c r="E2145">
        <v>13.36</v>
      </c>
    </row>
    <row r="2146" spans="2:5">
      <c r="B2146" s="17">
        <v>42915</v>
      </c>
      <c r="D2146" t="s">
        <v>280</v>
      </c>
      <c r="E2146">
        <v>163.76400000000001</v>
      </c>
    </row>
    <row r="2147" spans="2:5">
      <c r="B2147" s="17">
        <v>42915</v>
      </c>
      <c r="D2147" t="s">
        <v>280</v>
      </c>
      <c r="E2147">
        <v>183.92</v>
      </c>
    </row>
    <row r="2148" spans="2:5">
      <c r="B2148" s="17">
        <v>42915</v>
      </c>
      <c r="D2148" t="s">
        <v>280</v>
      </c>
      <c r="E2148">
        <v>6.48</v>
      </c>
    </row>
    <row r="2149" spans="2:5">
      <c r="B2149" s="17">
        <v>42915</v>
      </c>
      <c r="D2149" t="s">
        <v>1802</v>
      </c>
      <c r="E2149">
        <v>71.928000000000011</v>
      </c>
    </row>
    <row r="2150" spans="2:5">
      <c r="B2150" s="17">
        <v>42913</v>
      </c>
      <c r="D2150" t="s">
        <v>1802</v>
      </c>
      <c r="E2150">
        <v>25.99</v>
      </c>
    </row>
    <row r="2151" spans="2:5">
      <c r="B2151" s="17">
        <v>42913</v>
      </c>
      <c r="D2151" t="s">
        <v>1197</v>
      </c>
      <c r="E2151">
        <v>33.930000000000007</v>
      </c>
    </row>
    <row r="2152" spans="2:5">
      <c r="B2152" s="17">
        <v>42913</v>
      </c>
      <c r="D2152" t="s">
        <v>1197</v>
      </c>
      <c r="E2152">
        <v>101.94</v>
      </c>
    </row>
    <row r="2153" spans="2:5">
      <c r="B2153" s="17">
        <v>42913</v>
      </c>
      <c r="D2153" t="s">
        <v>1197</v>
      </c>
      <c r="E2153">
        <v>8.8000000000000007</v>
      </c>
    </row>
    <row r="2154" spans="2:5">
      <c r="B2154" s="17">
        <v>42913</v>
      </c>
      <c r="D2154" t="s">
        <v>1808</v>
      </c>
      <c r="E2154">
        <v>19.68</v>
      </c>
    </row>
    <row r="2155" spans="2:5">
      <c r="B2155" s="17">
        <v>42912</v>
      </c>
      <c r="D2155" t="s">
        <v>1443</v>
      </c>
      <c r="E2155">
        <v>14.940000000000001</v>
      </c>
    </row>
    <row r="2156" spans="2:5">
      <c r="B2156" s="17">
        <v>42912</v>
      </c>
      <c r="D2156" t="s">
        <v>1304</v>
      </c>
      <c r="E2156">
        <v>50.352000000000004</v>
      </c>
    </row>
    <row r="2157" spans="2:5">
      <c r="B2157" s="17">
        <v>42912</v>
      </c>
      <c r="D2157" t="s">
        <v>1304</v>
      </c>
      <c r="E2157">
        <v>17.48</v>
      </c>
    </row>
    <row r="2158" spans="2:5">
      <c r="B2158" s="17">
        <v>42912</v>
      </c>
      <c r="D2158" t="s">
        <v>1304</v>
      </c>
      <c r="E2158">
        <v>3.52</v>
      </c>
    </row>
    <row r="2159" spans="2:5">
      <c r="B2159" s="17">
        <v>42912</v>
      </c>
      <c r="D2159" t="s">
        <v>1304</v>
      </c>
      <c r="E2159">
        <v>1626.1920000000002</v>
      </c>
    </row>
    <row r="2160" spans="2:5">
      <c r="B2160" s="17">
        <v>42912</v>
      </c>
      <c r="D2160" t="s">
        <v>1304</v>
      </c>
      <c r="E2160">
        <v>124.404</v>
      </c>
    </row>
    <row r="2161" spans="2:5">
      <c r="B2161" s="17">
        <v>42912</v>
      </c>
      <c r="D2161" t="s">
        <v>1304</v>
      </c>
      <c r="E2161">
        <v>2.8639999999999994</v>
      </c>
    </row>
    <row r="2162" spans="2:5">
      <c r="B2162" s="17">
        <v>42912</v>
      </c>
      <c r="D2162" t="s">
        <v>315</v>
      </c>
      <c r="E2162">
        <v>94.191999999999979</v>
      </c>
    </row>
    <row r="2163" spans="2:5">
      <c r="B2163" s="17">
        <v>42912</v>
      </c>
      <c r="D2163" t="s">
        <v>315</v>
      </c>
      <c r="E2163">
        <v>2.1119999999999997</v>
      </c>
    </row>
    <row r="2164" spans="2:5">
      <c r="B2164" s="17">
        <v>42912</v>
      </c>
      <c r="D2164" t="s">
        <v>315</v>
      </c>
      <c r="E2164">
        <v>29.97</v>
      </c>
    </row>
    <row r="2165" spans="2:5">
      <c r="B2165" s="17">
        <v>42912</v>
      </c>
      <c r="D2165" t="s">
        <v>315</v>
      </c>
      <c r="E2165">
        <v>526.34399999999994</v>
      </c>
    </row>
    <row r="2166" spans="2:5">
      <c r="B2166" s="17">
        <v>42912</v>
      </c>
      <c r="D2166" t="s">
        <v>315</v>
      </c>
      <c r="E2166">
        <v>13.128</v>
      </c>
    </row>
    <row r="2167" spans="2:5">
      <c r="B2167" s="17">
        <v>42912</v>
      </c>
      <c r="D2167" t="s">
        <v>315</v>
      </c>
      <c r="E2167">
        <v>11.68</v>
      </c>
    </row>
    <row r="2168" spans="2:5">
      <c r="B2168" s="17">
        <v>42912</v>
      </c>
      <c r="D2168" t="s">
        <v>315</v>
      </c>
      <c r="E2168">
        <v>159.75</v>
      </c>
    </row>
    <row r="2169" spans="2:5">
      <c r="B2169" s="17">
        <v>42912</v>
      </c>
      <c r="D2169" t="s">
        <v>315</v>
      </c>
      <c r="E2169">
        <v>41.4</v>
      </c>
    </row>
    <row r="2170" spans="2:5">
      <c r="B2170" s="17">
        <v>42912</v>
      </c>
      <c r="D2170" t="s">
        <v>315</v>
      </c>
      <c r="E2170">
        <v>13.919999999999998</v>
      </c>
    </row>
    <row r="2171" spans="2:5">
      <c r="B2171" s="17">
        <v>42911</v>
      </c>
      <c r="D2171" t="s">
        <v>1051</v>
      </c>
      <c r="E2171">
        <v>63.311999999999998</v>
      </c>
    </row>
    <row r="2172" spans="2:5">
      <c r="B2172" s="17">
        <v>42911</v>
      </c>
      <c r="D2172" t="s">
        <v>1051</v>
      </c>
      <c r="E2172">
        <v>399.95</v>
      </c>
    </row>
    <row r="2173" spans="2:5">
      <c r="B2173" s="17">
        <v>42911</v>
      </c>
      <c r="D2173" t="s">
        <v>1051</v>
      </c>
      <c r="E2173">
        <v>15.192</v>
      </c>
    </row>
    <row r="2174" spans="2:5">
      <c r="B2174" s="17">
        <v>42911</v>
      </c>
      <c r="D2174" t="s">
        <v>1051</v>
      </c>
      <c r="E2174">
        <v>58.320000000000007</v>
      </c>
    </row>
    <row r="2175" spans="2:5">
      <c r="B2175" s="17">
        <v>42911</v>
      </c>
      <c r="D2175" t="s">
        <v>1084</v>
      </c>
      <c r="E2175">
        <v>121.536</v>
      </c>
    </row>
    <row r="2176" spans="2:5">
      <c r="B2176" s="17">
        <v>42911</v>
      </c>
      <c r="D2176" t="s">
        <v>1084</v>
      </c>
      <c r="E2176">
        <v>2399.96</v>
      </c>
    </row>
    <row r="2177" spans="2:5">
      <c r="B2177" s="17">
        <v>42910</v>
      </c>
      <c r="D2177" t="s">
        <v>1084</v>
      </c>
      <c r="E2177">
        <v>20.23</v>
      </c>
    </row>
    <row r="2178" spans="2:5">
      <c r="B2178" s="17">
        <v>42910</v>
      </c>
      <c r="D2178" t="s">
        <v>1084</v>
      </c>
      <c r="E2178">
        <v>3.3040000000000003</v>
      </c>
    </row>
    <row r="2179" spans="2:5">
      <c r="B2179" s="17">
        <v>42910</v>
      </c>
      <c r="D2179" t="s">
        <v>1084</v>
      </c>
      <c r="E2179">
        <v>20.096000000000004</v>
      </c>
    </row>
    <row r="2180" spans="2:5">
      <c r="B2180" s="17">
        <v>42910</v>
      </c>
      <c r="D2180" t="s">
        <v>1084</v>
      </c>
      <c r="E2180">
        <v>37.752000000000002</v>
      </c>
    </row>
    <row r="2181" spans="2:5">
      <c r="B2181" s="17">
        <v>42910</v>
      </c>
      <c r="D2181" t="s">
        <v>353</v>
      </c>
      <c r="E2181">
        <v>138.58799999999999</v>
      </c>
    </row>
    <row r="2182" spans="2:5">
      <c r="B2182" s="17">
        <v>42910</v>
      </c>
      <c r="D2182" t="s">
        <v>353</v>
      </c>
      <c r="E2182">
        <v>20.736000000000004</v>
      </c>
    </row>
    <row r="2183" spans="2:5">
      <c r="B2183" s="17">
        <v>42910</v>
      </c>
      <c r="D2183" t="s">
        <v>353</v>
      </c>
      <c r="E2183">
        <v>1649.95</v>
      </c>
    </row>
    <row r="2184" spans="2:5">
      <c r="B2184" s="17">
        <v>42910</v>
      </c>
      <c r="D2184" t="s">
        <v>353</v>
      </c>
      <c r="E2184">
        <v>362.35199999999998</v>
      </c>
    </row>
    <row r="2185" spans="2:5">
      <c r="B2185" s="17">
        <v>42910</v>
      </c>
      <c r="D2185" t="s">
        <v>353</v>
      </c>
      <c r="E2185">
        <v>91.032000000000011</v>
      </c>
    </row>
    <row r="2186" spans="2:5">
      <c r="B2186" s="17">
        <v>42910</v>
      </c>
      <c r="D2186" t="s">
        <v>353</v>
      </c>
      <c r="E2186">
        <v>14.89</v>
      </c>
    </row>
    <row r="2187" spans="2:5">
      <c r="B2187" s="17">
        <v>42908</v>
      </c>
      <c r="D2187" t="s">
        <v>353</v>
      </c>
      <c r="E2187">
        <v>543.91999999999996</v>
      </c>
    </row>
    <row r="2188" spans="2:5">
      <c r="B2188" s="17">
        <v>42908</v>
      </c>
      <c r="D2188" t="s">
        <v>353</v>
      </c>
      <c r="E2188">
        <v>23.88</v>
      </c>
    </row>
    <row r="2189" spans="2:5">
      <c r="B2189" s="17">
        <v>42908</v>
      </c>
      <c r="D2189" t="s">
        <v>353</v>
      </c>
      <c r="E2189">
        <v>26.2</v>
      </c>
    </row>
    <row r="2190" spans="2:5">
      <c r="B2190" s="17">
        <v>42908</v>
      </c>
      <c r="D2190" t="s">
        <v>353</v>
      </c>
      <c r="E2190">
        <v>12.96</v>
      </c>
    </row>
    <row r="2191" spans="2:5">
      <c r="B2191" s="17">
        <v>42908</v>
      </c>
      <c r="D2191" t="s">
        <v>353</v>
      </c>
      <c r="E2191">
        <v>194.84800000000001</v>
      </c>
    </row>
    <row r="2192" spans="2:5">
      <c r="B2192" s="17">
        <v>42908</v>
      </c>
      <c r="D2192" t="s">
        <v>353</v>
      </c>
      <c r="E2192">
        <v>9.9840000000000018</v>
      </c>
    </row>
    <row r="2193" spans="2:5">
      <c r="B2193" s="17">
        <v>42907</v>
      </c>
      <c r="D2193" t="s">
        <v>353</v>
      </c>
      <c r="E2193">
        <v>14.98</v>
      </c>
    </row>
    <row r="2194" spans="2:5">
      <c r="B2194" s="17">
        <v>42907</v>
      </c>
      <c r="D2194" t="s">
        <v>353</v>
      </c>
      <c r="E2194">
        <v>1145.6000000000001</v>
      </c>
    </row>
    <row r="2195" spans="2:5">
      <c r="B2195" s="17">
        <v>42907</v>
      </c>
      <c r="D2195" t="s">
        <v>353</v>
      </c>
      <c r="E2195">
        <v>34.848000000000006</v>
      </c>
    </row>
    <row r="2196" spans="2:5">
      <c r="B2196" s="17">
        <v>42907</v>
      </c>
      <c r="D2196" t="s">
        <v>353</v>
      </c>
      <c r="E2196">
        <v>22</v>
      </c>
    </row>
    <row r="2197" spans="2:5">
      <c r="B2197" s="17">
        <v>42907</v>
      </c>
      <c r="D2197" t="s">
        <v>353</v>
      </c>
      <c r="E2197">
        <v>4.3680000000000003</v>
      </c>
    </row>
    <row r="2198" spans="2:5">
      <c r="B2198" s="17">
        <v>42906</v>
      </c>
      <c r="D2198" t="s">
        <v>1872</v>
      </c>
      <c r="E2198">
        <v>90.570000000000007</v>
      </c>
    </row>
    <row r="2199" spans="2:5">
      <c r="B2199" s="17">
        <v>42906</v>
      </c>
      <c r="D2199" t="s">
        <v>1872</v>
      </c>
      <c r="E2199">
        <v>2.8960000000000004</v>
      </c>
    </row>
    <row r="2200" spans="2:5">
      <c r="B2200" s="17">
        <v>42906</v>
      </c>
      <c r="D2200" t="s">
        <v>1872</v>
      </c>
      <c r="E2200">
        <v>124.79200000000002</v>
      </c>
    </row>
    <row r="2201" spans="2:5">
      <c r="B2201" s="17">
        <v>42906</v>
      </c>
      <c r="D2201" t="s">
        <v>1028</v>
      </c>
      <c r="E2201">
        <v>60.12</v>
      </c>
    </row>
    <row r="2202" spans="2:5">
      <c r="B2202" s="17">
        <v>42906</v>
      </c>
      <c r="D2202" t="s">
        <v>1028</v>
      </c>
      <c r="E2202">
        <v>33.479999999999997</v>
      </c>
    </row>
    <row r="2203" spans="2:5">
      <c r="B2203" s="17">
        <v>42906</v>
      </c>
      <c r="D2203" t="s">
        <v>1028</v>
      </c>
      <c r="E2203">
        <v>461.97</v>
      </c>
    </row>
    <row r="2204" spans="2:5">
      <c r="B2204" s="17">
        <v>42906</v>
      </c>
      <c r="D2204" t="s">
        <v>162</v>
      </c>
      <c r="E2204">
        <v>137.62</v>
      </c>
    </row>
    <row r="2205" spans="2:5">
      <c r="B2205" s="17">
        <v>42906</v>
      </c>
      <c r="D2205" t="s">
        <v>162</v>
      </c>
      <c r="E2205">
        <v>115.96</v>
      </c>
    </row>
    <row r="2206" spans="2:5">
      <c r="B2206" s="17">
        <v>42906</v>
      </c>
      <c r="D2206" t="s">
        <v>162</v>
      </c>
      <c r="E2206">
        <v>26.25</v>
      </c>
    </row>
    <row r="2207" spans="2:5">
      <c r="B2207" s="17">
        <v>42905</v>
      </c>
      <c r="D2207" t="s">
        <v>162</v>
      </c>
      <c r="E2207">
        <v>76.77600000000001</v>
      </c>
    </row>
    <row r="2208" spans="2:5">
      <c r="B2208" s="17">
        <v>42905</v>
      </c>
      <c r="D2208" t="s">
        <v>162</v>
      </c>
      <c r="E2208">
        <v>89.949999999999989</v>
      </c>
    </row>
    <row r="2209" spans="2:5">
      <c r="B2209" s="17">
        <v>42905</v>
      </c>
      <c r="D2209" t="s">
        <v>162</v>
      </c>
      <c r="E2209">
        <v>54.816000000000003</v>
      </c>
    </row>
    <row r="2210" spans="2:5">
      <c r="B2210" s="17">
        <v>42905</v>
      </c>
      <c r="D2210" t="s">
        <v>1384</v>
      </c>
      <c r="E2210">
        <v>41.424000000000007</v>
      </c>
    </row>
    <row r="2211" spans="2:5">
      <c r="B2211" s="17">
        <v>42905</v>
      </c>
      <c r="D2211" t="s">
        <v>1384</v>
      </c>
      <c r="E2211">
        <v>36.792000000000002</v>
      </c>
    </row>
    <row r="2212" spans="2:5">
      <c r="B2212" s="17">
        <v>42905</v>
      </c>
      <c r="D2212" t="s">
        <v>1384</v>
      </c>
      <c r="E2212">
        <v>56.56</v>
      </c>
    </row>
    <row r="2213" spans="2:5">
      <c r="B2213" s="17">
        <v>42905</v>
      </c>
      <c r="D2213" t="s">
        <v>1384</v>
      </c>
      <c r="E2213">
        <v>36.96</v>
      </c>
    </row>
    <row r="2214" spans="2:5">
      <c r="B2214" s="17">
        <v>42905</v>
      </c>
      <c r="D2214" t="s">
        <v>1384</v>
      </c>
      <c r="E2214">
        <v>17.52</v>
      </c>
    </row>
    <row r="2215" spans="2:5">
      <c r="B2215" s="17">
        <v>42905</v>
      </c>
      <c r="D2215" t="s">
        <v>1384</v>
      </c>
      <c r="E2215">
        <v>155.88</v>
      </c>
    </row>
    <row r="2216" spans="2:5">
      <c r="B2216" s="17">
        <v>42905</v>
      </c>
      <c r="D2216" t="s">
        <v>984</v>
      </c>
      <c r="E2216">
        <v>11.54</v>
      </c>
    </row>
    <row r="2217" spans="2:5">
      <c r="B2217" s="17">
        <v>42905</v>
      </c>
      <c r="D2217" t="s">
        <v>984</v>
      </c>
      <c r="E2217">
        <v>849.95</v>
      </c>
    </row>
    <row r="2218" spans="2:5">
      <c r="B2218" s="17">
        <v>42905</v>
      </c>
      <c r="D2218" t="s">
        <v>984</v>
      </c>
      <c r="E2218">
        <v>11.01</v>
      </c>
    </row>
    <row r="2219" spans="2:5">
      <c r="B2219" s="17">
        <v>42905</v>
      </c>
      <c r="D2219" t="s">
        <v>984</v>
      </c>
      <c r="E2219">
        <v>95.984000000000009</v>
      </c>
    </row>
    <row r="2220" spans="2:5">
      <c r="B2220" s="17">
        <v>42905</v>
      </c>
      <c r="D2220" t="s">
        <v>984</v>
      </c>
      <c r="E2220">
        <v>1439.982</v>
      </c>
    </row>
    <row r="2221" spans="2:5">
      <c r="B2221" s="17">
        <v>42905</v>
      </c>
      <c r="D2221" t="s">
        <v>59</v>
      </c>
      <c r="E2221">
        <v>36.288000000000011</v>
      </c>
    </row>
    <row r="2222" spans="2:5">
      <c r="B2222" s="17">
        <v>42905</v>
      </c>
      <c r="D2222" t="s">
        <v>59</v>
      </c>
      <c r="E2222">
        <v>54.896000000000008</v>
      </c>
    </row>
    <row r="2223" spans="2:5">
      <c r="B2223" s="17">
        <v>42904</v>
      </c>
      <c r="D2223" t="s">
        <v>59</v>
      </c>
      <c r="E2223">
        <v>186.54</v>
      </c>
    </row>
    <row r="2224" spans="2:5">
      <c r="B2224" s="17">
        <v>42904</v>
      </c>
      <c r="D2224" t="s">
        <v>59</v>
      </c>
      <c r="E2224">
        <v>183.37199999999999</v>
      </c>
    </row>
    <row r="2225" spans="2:5">
      <c r="B2225" s="17">
        <v>42904</v>
      </c>
      <c r="D2225" t="s">
        <v>59</v>
      </c>
      <c r="E2225">
        <v>51.75</v>
      </c>
    </row>
    <row r="2226" spans="2:5">
      <c r="B2226" s="17">
        <v>42903</v>
      </c>
      <c r="D2226" t="s">
        <v>59</v>
      </c>
      <c r="E2226">
        <v>123.96000000000001</v>
      </c>
    </row>
    <row r="2227" spans="2:5">
      <c r="B2227" s="17">
        <v>42903</v>
      </c>
      <c r="D2227" t="s">
        <v>59</v>
      </c>
      <c r="E2227">
        <v>99.87</v>
      </c>
    </row>
    <row r="2228" spans="2:5">
      <c r="B2228" s="17">
        <v>42903</v>
      </c>
      <c r="D2228" t="s">
        <v>591</v>
      </c>
      <c r="E2228">
        <v>39.816000000000003</v>
      </c>
    </row>
    <row r="2229" spans="2:5">
      <c r="B2229" s="17">
        <v>42903</v>
      </c>
      <c r="D2229" t="s">
        <v>591</v>
      </c>
      <c r="E2229">
        <v>16.059999999999999</v>
      </c>
    </row>
    <row r="2230" spans="2:5">
      <c r="B2230" s="17">
        <v>42903</v>
      </c>
      <c r="D2230" t="s">
        <v>591</v>
      </c>
      <c r="E2230">
        <v>7.9680000000000009</v>
      </c>
    </row>
    <row r="2231" spans="2:5">
      <c r="B2231" s="17">
        <v>42903</v>
      </c>
      <c r="D2231" t="s">
        <v>591</v>
      </c>
      <c r="E2231">
        <v>8.7840000000000007</v>
      </c>
    </row>
    <row r="2232" spans="2:5">
      <c r="B2232" s="17">
        <v>42903</v>
      </c>
      <c r="D2232" t="s">
        <v>591</v>
      </c>
      <c r="E2232">
        <v>3.3179999999999996</v>
      </c>
    </row>
    <row r="2233" spans="2:5">
      <c r="B2233" s="17">
        <v>42903</v>
      </c>
      <c r="D2233" t="s">
        <v>591</v>
      </c>
      <c r="E2233">
        <v>13.76</v>
      </c>
    </row>
    <row r="2234" spans="2:5">
      <c r="B2234" s="17">
        <v>42903</v>
      </c>
      <c r="D2234" t="s">
        <v>591</v>
      </c>
      <c r="E2234">
        <v>151.05600000000001</v>
      </c>
    </row>
    <row r="2235" spans="2:5">
      <c r="B2235" s="17">
        <v>42902</v>
      </c>
      <c r="D2235" t="s">
        <v>591</v>
      </c>
      <c r="E2235">
        <v>125.88</v>
      </c>
    </row>
    <row r="2236" spans="2:5">
      <c r="B2236" s="17">
        <v>42902</v>
      </c>
      <c r="D2236" t="s">
        <v>1719</v>
      </c>
      <c r="E2236">
        <v>79.78</v>
      </c>
    </row>
    <row r="2237" spans="2:5">
      <c r="B2237" s="17">
        <v>42902</v>
      </c>
      <c r="D2237" t="s">
        <v>1719</v>
      </c>
      <c r="E2237">
        <v>133.20000000000002</v>
      </c>
    </row>
    <row r="2238" spans="2:5">
      <c r="B2238" s="17">
        <v>42902</v>
      </c>
      <c r="D2238" t="s">
        <v>1719</v>
      </c>
      <c r="E2238">
        <v>145.74</v>
      </c>
    </row>
    <row r="2239" spans="2:5">
      <c r="B2239" s="17">
        <v>42902</v>
      </c>
      <c r="D2239" t="s">
        <v>1719</v>
      </c>
      <c r="E2239">
        <v>15.4</v>
      </c>
    </row>
    <row r="2240" spans="2:5">
      <c r="B2240" s="17">
        <v>42902</v>
      </c>
      <c r="D2240" t="s">
        <v>1719</v>
      </c>
      <c r="E2240">
        <v>115.29600000000001</v>
      </c>
    </row>
    <row r="2241" spans="2:5">
      <c r="B2241" s="17">
        <v>42902</v>
      </c>
      <c r="D2241" t="s">
        <v>1719</v>
      </c>
      <c r="E2241">
        <v>824.95</v>
      </c>
    </row>
    <row r="2242" spans="2:5">
      <c r="B2242" s="17">
        <v>42902</v>
      </c>
      <c r="D2242" t="s">
        <v>1374</v>
      </c>
      <c r="E2242">
        <v>24.64</v>
      </c>
    </row>
    <row r="2243" spans="2:5">
      <c r="B2243" s="17">
        <v>42902</v>
      </c>
      <c r="D2243" t="s">
        <v>1374</v>
      </c>
      <c r="E2243">
        <v>70.12</v>
      </c>
    </row>
    <row r="2244" spans="2:5">
      <c r="B2244" s="17">
        <v>42902</v>
      </c>
      <c r="D2244" t="s">
        <v>1374</v>
      </c>
      <c r="E2244">
        <v>79.992000000000004</v>
      </c>
    </row>
    <row r="2245" spans="2:5">
      <c r="B2245" s="17">
        <v>42902</v>
      </c>
      <c r="D2245" t="s">
        <v>1374</v>
      </c>
      <c r="E2245">
        <v>11.68</v>
      </c>
    </row>
    <row r="2246" spans="2:5">
      <c r="B2246" s="17">
        <v>42902</v>
      </c>
      <c r="D2246" t="s">
        <v>1374</v>
      </c>
      <c r="E2246">
        <v>104.80000000000001</v>
      </c>
    </row>
    <row r="2247" spans="2:5">
      <c r="B2247" s="17">
        <v>42902</v>
      </c>
      <c r="D2247" t="s">
        <v>1374</v>
      </c>
      <c r="E2247">
        <v>159.96000000000004</v>
      </c>
    </row>
    <row r="2248" spans="2:5">
      <c r="B2248" s="17">
        <v>42901</v>
      </c>
      <c r="D2248" t="s">
        <v>1374</v>
      </c>
      <c r="E2248">
        <v>13.76</v>
      </c>
    </row>
    <row r="2249" spans="2:5">
      <c r="B2249" s="17">
        <v>42901</v>
      </c>
      <c r="D2249" t="s">
        <v>1374</v>
      </c>
      <c r="E2249">
        <v>63.96</v>
      </c>
    </row>
    <row r="2250" spans="2:5">
      <c r="B2250" s="17">
        <v>42901</v>
      </c>
      <c r="D2250" t="s">
        <v>1374</v>
      </c>
      <c r="E2250">
        <v>119.44800000000001</v>
      </c>
    </row>
    <row r="2251" spans="2:5">
      <c r="B2251" s="17">
        <v>42901</v>
      </c>
      <c r="D2251" t="s">
        <v>1146</v>
      </c>
      <c r="E2251">
        <v>118.16</v>
      </c>
    </row>
    <row r="2252" spans="2:5">
      <c r="B2252" s="17">
        <v>42901</v>
      </c>
      <c r="D2252" t="s">
        <v>1146</v>
      </c>
      <c r="E2252">
        <v>707.88</v>
      </c>
    </row>
    <row r="2253" spans="2:5">
      <c r="B2253" s="17">
        <v>42901</v>
      </c>
      <c r="D2253" t="s">
        <v>1146</v>
      </c>
      <c r="E2253">
        <v>11.952000000000002</v>
      </c>
    </row>
    <row r="2254" spans="2:5">
      <c r="B2254" s="17">
        <v>42901</v>
      </c>
      <c r="D2254" t="s">
        <v>1146</v>
      </c>
      <c r="E2254">
        <v>31.128000000000004</v>
      </c>
    </row>
    <row r="2255" spans="2:5">
      <c r="B2255" s="17">
        <v>42901</v>
      </c>
      <c r="D2255" t="s">
        <v>348</v>
      </c>
      <c r="E2255">
        <v>55.76</v>
      </c>
    </row>
    <row r="2256" spans="2:5">
      <c r="B2256" s="17">
        <v>42901</v>
      </c>
      <c r="D2256" t="s">
        <v>348</v>
      </c>
      <c r="E2256">
        <v>24.56</v>
      </c>
    </row>
    <row r="2257" spans="2:5">
      <c r="B2257" s="17">
        <v>42901</v>
      </c>
      <c r="D2257" t="s">
        <v>348</v>
      </c>
      <c r="E2257">
        <v>51.75</v>
      </c>
    </row>
    <row r="2258" spans="2:5">
      <c r="B2258" s="17">
        <v>42901</v>
      </c>
      <c r="D2258" t="s">
        <v>348</v>
      </c>
      <c r="E2258">
        <v>1473.1</v>
      </c>
    </row>
    <row r="2259" spans="2:5">
      <c r="B2259" s="17">
        <v>42901</v>
      </c>
      <c r="D2259" t="s">
        <v>348</v>
      </c>
      <c r="E2259">
        <v>70.08</v>
      </c>
    </row>
    <row r="2260" spans="2:5">
      <c r="B2260" s="17">
        <v>42901</v>
      </c>
      <c r="D2260" t="s">
        <v>348</v>
      </c>
      <c r="E2260">
        <v>121.3</v>
      </c>
    </row>
    <row r="2261" spans="2:5">
      <c r="B2261" s="17">
        <v>42901</v>
      </c>
      <c r="D2261" t="s">
        <v>1545</v>
      </c>
      <c r="E2261">
        <v>1454.4900000000002</v>
      </c>
    </row>
    <row r="2262" spans="2:5">
      <c r="B2262" s="17">
        <v>42901</v>
      </c>
      <c r="D2262" t="s">
        <v>1545</v>
      </c>
      <c r="E2262">
        <v>177.2</v>
      </c>
    </row>
    <row r="2263" spans="2:5">
      <c r="B2263" s="17">
        <v>42901</v>
      </c>
      <c r="D2263" t="s">
        <v>1545</v>
      </c>
      <c r="E2263">
        <v>29.664000000000001</v>
      </c>
    </row>
    <row r="2264" spans="2:5">
      <c r="B2264" s="17">
        <v>42899</v>
      </c>
      <c r="D2264" t="s">
        <v>1545</v>
      </c>
      <c r="E2264">
        <v>9.1840000000000011</v>
      </c>
    </row>
    <row r="2265" spans="2:5">
      <c r="B2265" s="17">
        <v>42899</v>
      </c>
      <c r="D2265" t="s">
        <v>1545</v>
      </c>
      <c r="E2265">
        <v>153.584</v>
      </c>
    </row>
    <row r="2266" spans="2:5">
      <c r="B2266" s="17">
        <v>42899</v>
      </c>
      <c r="D2266" t="s">
        <v>1545</v>
      </c>
      <c r="E2266">
        <v>12.863999999999995</v>
      </c>
    </row>
    <row r="2267" spans="2:5">
      <c r="B2267" s="17">
        <v>42899</v>
      </c>
      <c r="D2267" t="s">
        <v>1580</v>
      </c>
      <c r="E2267">
        <v>477.51</v>
      </c>
    </row>
    <row r="2268" spans="2:5">
      <c r="B2268" s="17">
        <v>42899</v>
      </c>
      <c r="D2268" t="s">
        <v>1580</v>
      </c>
      <c r="E2268">
        <v>25.92</v>
      </c>
    </row>
    <row r="2269" spans="2:5">
      <c r="B2269" s="17">
        <v>42898</v>
      </c>
      <c r="D2269" t="s">
        <v>1580</v>
      </c>
      <c r="E2269">
        <v>20.736000000000004</v>
      </c>
    </row>
    <row r="2270" spans="2:5">
      <c r="B2270" s="17">
        <v>42898</v>
      </c>
      <c r="D2270" t="s">
        <v>1580</v>
      </c>
      <c r="E2270">
        <v>542.93999999999994</v>
      </c>
    </row>
    <row r="2271" spans="2:5">
      <c r="B2271" s="17">
        <v>42898</v>
      </c>
      <c r="D2271" t="s">
        <v>1156</v>
      </c>
      <c r="E2271">
        <v>54.92</v>
      </c>
    </row>
    <row r="2272" spans="2:5">
      <c r="B2272" s="17">
        <v>42898</v>
      </c>
      <c r="D2272" t="s">
        <v>1156</v>
      </c>
      <c r="E2272">
        <v>17.52</v>
      </c>
    </row>
    <row r="2273" spans="2:5">
      <c r="B2273" s="17">
        <v>42898</v>
      </c>
      <c r="D2273" t="s">
        <v>1156</v>
      </c>
      <c r="E2273">
        <v>1779.9</v>
      </c>
    </row>
    <row r="2274" spans="2:5">
      <c r="B2274" s="17">
        <v>42898</v>
      </c>
      <c r="D2274" t="s">
        <v>1029</v>
      </c>
      <c r="E2274">
        <v>192.16</v>
      </c>
    </row>
    <row r="2275" spans="2:5">
      <c r="B2275" s="17">
        <v>42898</v>
      </c>
      <c r="D2275" t="s">
        <v>1029</v>
      </c>
      <c r="E2275">
        <v>46.74</v>
      </c>
    </row>
    <row r="2276" spans="2:5">
      <c r="B2276" s="17">
        <v>42898</v>
      </c>
      <c r="D2276" t="s">
        <v>1029</v>
      </c>
      <c r="E2276">
        <v>174.95000000000002</v>
      </c>
    </row>
    <row r="2277" spans="2:5">
      <c r="B2277" s="17">
        <v>42898</v>
      </c>
      <c r="D2277" t="s">
        <v>96</v>
      </c>
      <c r="E2277">
        <v>100.70400000000001</v>
      </c>
    </row>
    <row r="2278" spans="2:5">
      <c r="B2278" s="17">
        <v>42898</v>
      </c>
      <c r="D2278" t="s">
        <v>96</v>
      </c>
      <c r="E2278">
        <v>31.44</v>
      </c>
    </row>
    <row r="2279" spans="2:5">
      <c r="B2279" s="17">
        <v>42898</v>
      </c>
      <c r="D2279" t="s">
        <v>96</v>
      </c>
      <c r="E2279">
        <v>83.79</v>
      </c>
    </row>
    <row r="2280" spans="2:5">
      <c r="B2280" s="17">
        <v>42897</v>
      </c>
      <c r="D2280" t="s">
        <v>96</v>
      </c>
      <c r="E2280">
        <v>59.519999999999996</v>
      </c>
    </row>
    <row r="2281" spans="2:5">
      <c r="B2281" s="17">
        <v>42897</v>
      </c>
      <c r="D2281" t="s">
        <v>96</v>
      </c>
      <c r="E2281">
        <v>31.92</v>
      </c>
    </row>
    <row r="2282" spans="2:5">
      <c r="B2282" s="17">
        <v>42897</v>
      </c>
      <c r="D2282" t="s">
        <v>150</v>
      </c>
      <c r="E2282">
        <v>17.544</v>
      </c>
    </row>
    <row r="2283" spans="2:5">
      <c r="B2283" s="17">
        <v>42897</v>
      </c>
      <c r="D2283" t="s">
        <v>150</v>
      </c>
      <c r="E2283">
        <v>36.024000000000001</v>
      </c>
    </row>
    <row r="2284" spans="2:5">
      <c r="B2284" s="17">
        <v>42897</v>
      </c>
      <c r="D2284" t="s">
        <v>150</v>
      </c>
      <c r="E2284">
        <v>1614.5820000000003</v>
      </c>
    </row>
    <row r="2285" spans="2:5">
      <c r="B2285" s="17">
        <v>42897</v>
      </c>
      <c r="D2285" t="s">
        <v>75</v>
      </c>
      <c r="E2285">
        <v>24.320000000000004</v>
      </c>
    </row>
    <row r="2286" spans="2:5">
      <c r="B2286" s="17">
        <v>42897</v>
      </c>
      <c r="D2286" t="s">
        <v>75</v>
      </c>
      <c r="E2286">
        <v>1.5840000000000001</v>
      </c>
    </row>
    <row r="2287" spans="2:5">
      <c r="B2287" s="17">
        <v>42897</v>
      </c>
      <c r="D2287" t="s">
        <v>75</v>
      </c>
      <c r="E2287">
        <v>31.983999999999998</v>
      </c>
    </row>
    <row r="2288" spans="2:5">
      <c r="B2288" s="17">
        <v>42897</v>
      </c>
      <c r="D2288" t="s">
        <v>75</v>
      </c>
      <c r="E2288">
        <v>14.76</v>
      </c>
    </row>
    <row r="2289" spans="2:5">
      <c r="B2289" s="17">
        <v>42897</v>
      </c>
      <c r="D2289" t="s">
        <v>193</v>
      </c>
      <c r="E2289">
        <v>423.64799999999997</v>
      </c>
    </row>
    <row r="2290" spans="2:5">
      <c r="B2290" s="17">
        <v>42897</v>
      </c>
      <c r="D2290" t="s">
        <v>193</v>
      </c>
      <c r="E2290">
        <v>5.76</v>
      </c>
    </row>
    <row r="2291" spans="2:5">
      <c r="B2291" s="17">
        <v>42897</v>
      </c>
      <c r="D2291" t="s">
        <v>193</v>
      </c>
      <c r="E2291">
        <v>16.68</v>
      </c>
    </row>
    <row r="2292" spans="2:5">
      <c r="B2292" s="17">
        <v>42897</v>
      </c>
      <c r="D2292" t="s">
        <v>193</v>
      </c>
      <c r="E2292">
        <v>418.29599999999994</v>
      </c>
    </row>
    <row r="2293" spans="2:5">
      <c r="B2293" s="17">
        <v>42897</v>
      </c>
      <c r="D2293" t="s">
        <v>193</v>
      </c>
      <c r="E2293">
        <v>97.84</v>
      </c>
    </row>
    <row r="2294" spans="2:5">
      <c r="B2294" s="17">
        <v>42896</v>
      </c>
      <c r="D2294" t="s">
        <v>235</v>
      </c>
      <c r="E2294">
        <v>1801.6320000000001</v>
      </c>
    </row>
    <row r="2295" spans="2:5">
      <c r="B2295" s="17">
        <v>42896</v>
      </c>
      <c r="D2295" t="s">
        <v>235</v>
      </c>
      <c r="E2295">
        <v>50.4</v>
      </c>
    </row>
    <row r="2296" spans="2:5">
      <c r="B2296" s="17">
        <v>42896</v>
      </c>
      <c r="D2296" t="s">
        <v>235</v>
      </c>
      <c r="E2296">
        <v>13.428000000000003</v>
      </c>
    </row>
    <row r="2297" spans="2:5">
      <c r="B2297" s="17">
        <v>42896</v>
      </c>
      <c r="D2297" t="s">
        <v>235</v>
      </c>
      <c r="E2297">
        <v>67.13600000000001</v>
      </c>
    </row>
    <row r="2298" spans="2:5">
      <c r="B2298" s="17">
        <v>42896</v>
      </c>
      <c r="D2298" t="s">
        <v>846</v>
      </c>
      <c r="E2298">
        <v>895.92</v>
      </c>
    </row>
    <row r="2299" spans="2:5">
      <c r="B2299" s="17">
        <v>42896</v>
      </c>
      <c r="D2299" t="s">
        <v>846</v>
      </c>
      <c r="E2299">
        <v>462.56400000000002</v>
      </c>
    </row>
    <row r="2300" spans="2:5">
      <c r="B2300" s="17">
        <v>42896</v>
      </c>
      <c r="D2300" t="s">
        <v>846</v>
      </c>
      <c r="E2300">
        <v>102.93</v>
      </c>
    </row>
    <row r="2301" spans="2:5">
      <c r="B2301" s="17">
        <v>42896</v>
      </c>
      <c r="D2301" t="s">
        <v>846</v>
      </c>
      <c r="E2301">
        <v>98.16</v>
      </c>
    </row>
    <row r="2302" spans="2:5">
      <c r="B2302" s="17">
        <v>42896</v>
      </c>
      <c r="D2302" t="s">
        <v>846</v>
      </c>
      <c r="E2302">
        <v>5.5520000000000005</v>
      </c>
    </row>
    <row r="2303" spans="2:5">
      <c r="B2303" s="17">
        <v>42896</v>
      </c>
      <c r="D2303" t="s">
        <v>1721</v>
      </c>
      <c r="E2303">
        <v>8.016</v>
      </c>
    </row>
    <row r="2304" spans="2:5">
      <c r="B2304" s="17">
        <v>42896</v>
      </c>
      <c r="D2304" t="s">
        <v>1126</v>
      </c>
      <c r="E2304">
        <v>74.591999999999999</v>
      </c>
    </row>
    <row r="2305" spans="2:5">
      <c r="B2305" s="17">
        <v>42896</v>
      </c>
      <c r="D2305" t="s">
        <v>1126</v>
      </c>
      <c r="E2305">
        <v>16.784000000000002</v>
      </c>
    </row>
    <row r="2306" spans="2:5">
      <c r="B2306" s="17">
        <v>42896</v>
      </c>
      <c r="D2306" t="s">
        <v>1126</v>
      </c>
      <c r="E2306">
        <v>38.86399999999999</v>
      </c>
    </row>
    <row r="2307" spans="2:5">
      <c r="B2307" s="17">
        <v>42895</v>
      </c>
      <c r="D2307" t="s">
        <v>1126</v>
      </c>
      <c r="E2307">
        <v>4416.174</v>
      </c>
    </row>
    <row r="2308" spans="2:5">
      <c r="B2308" s="17">
        <v>42895</v>
      </c>
      <c r="D2308" t="s">
        <v>546</v>
      </c>
      <c r="E2308">
        <v>23.36</v>
      </c>
    </row>
    <row r="2309" spans="2:5">
      <c r="B2309" s="17">
        <v>42895</v>
      </c>
      <c r="D2309" t="s">
        <v>546</v>
      </c>
      <c r="E2309">
        <v>71.975999999999999</v>
      </c>
    </row>
    <row r="2310" spans="2:5">
      <c r="B2310" s="17">
        <v>42895</v>
      </c>
      <c r="D2310" t="s">
        <v>546</v>
      </c>
      <c r="E2310">
        <v>8.56</v>
      </c>
    </row>
    <row r="2311" spans="2:5">
      <c r="B2311" s="17">
        <v>42895</v>
      </c>
      <c r="D2311" t="s">
        <v>546</v>
      </c>
      <c r="E2311">
        <v>13.919999999999998</v>
      </c>
    </row>
    <row r="2312" spans="2:5">
      <c r="B2312" s="17">
        <v>42894</v>
      </c>
      <c r="D2312" t="s">
        <v>546</v>
      </c>
      <c r="E2312">
        <v>2518.29</v>
      </c>
    </row>
    <row r="2313" spans="2:5">
      <c r="B2313" s="17">
        <v>42894</v>
      </c>
      <c r="D2313" t="s">
        <v>546</v>
      </c>
      <c r="E2313">
        <v>540.56999999999994</v>
      </c>
    </row>
    <row r="2314" spans="2:5">
      <c r="B2314" s="17">
        <v>42894</v>
      </c>
      <c r="D2314" t="s">
        <v>546</v>
      </c>
      <c r="E2314">
        <v>40.479999999999997</v>
      </c>
    </row>
    <row r="2315" spans="2:5">
      <c r="B2315" s="17">
        <v>42894</v>
      </c>
      <c r="D2315" t="s">
        <v>546</v>
      </c>
      <c r="E2315">
        <v>9.94</v>
      </c>
    </row>
    <row r="2316" spans="2:5">
      <c r="B2316" s="17">
        <v>42894</v>
      </c>
      <c r="D2316" t="s">
        <v>546</v>
      </c>
      <c r="E2316">
        <v>107.42400000000001</v>
      </c>
    </row>
    <row r="2317" spans="2:5">
      <c r="B2317" s="17">
        <v>42894</v>
      </c>
      <c r="D2317" t="s">
        <v>901</v>
      </c>
      <c r="E2317">
        <v>37.909999999999997</v>
      </c>
    </row>
    <row r="2318" spans="2:5">
      <c r="B2318" s="17">
        <v>42894</v>
      </c>
      <c r="D2318" t="s">
        <v>901</v>
      </c>
      <c r="E2318">
        <v>88.02</v>
      </c>
    </row>
    <row r="2319" spans="2:5">
      <c r="B2319" s="17">
        <v>42894</v>
      </c>
      <c r="D2319" t="s">
        <v>901</v>
      </c>
      <c r="E2319">
        <v>21.379999999999995</v>
      </c>
    </row>
    <row r="2320" spans="2:5">
      <c r="B2320" s="17">
        <v>42894</v>
      </c>
      <c r="D2320" t="s">
        <v>402</v>
      </c>
      <c r="E2320">
        <v>6.743999999999998</v>
      </c>
    </row>
    <row r="2321" spans="2:5">
      <c r="B2321" s="17">
        <v>42894</v>
      </c>
      <c r="D2321" t="s">
        <v>402</v>
      </c>
      <c r="E2321">
        <v>843.9</v>
      </c>
    </row>
    <row r="2322" spans="2:5">
      <c r="B2322" s="17">
        <v>42894</v>
      </c>
      <c r="D2322" t="s">
        <v>402</v>
      </c>
      <c r="E2322">
        <v>1496.16</v>
      </c>
    </row>
    <row r="2323" spans="2:5">
      <c r="B2323" s="17">
        <v>42892</v>
      </c>
      <c r="D2323" t="s">
        <v>402</v>
      </c>
      <c r="E2323">
        <v>2793.5280000000002</v>
      </c>
    </row>
    <row r="2324" spans="2:5">
      <c r="B2324" s="17">
        <v>42892</v>
      </c>
      <c r="D2324" t="s">
        <v>402</v>
      </c>
      <c r="E2324">
        <v>1000.0200000000001</v>
      </c>
    </row>
    <row r="2325" spans="2:5">
      <c r="B2325" s="17">
        <v>42891</v>
      </c>
      <c r="D2325" t="s">
        <v>402</v>
      </c>
      <c r="E2325">
        <v>65.94</v>
      </c>
    </row>
    <row r="2326" spans="2:5">
      <c r="B2326" s="17">
        <v>42891</v>
      </c>
      <c r="D2326" t="s">
        <v>402</v>
      </c>
      <c r="E2326">
        <v>9.9120000000000008</v>
      </c>
    </row>
    <row r="2327" spans="2:5">
      <c r="B2327" s="17">
        <v>42890</v>
      </c>
      <c r="D2327" t="s">
        <v>402</v>
      </c>
      <c r="E2327">
        <v>10.782000000000002</v>
      </c>
    </row>
    <row r="2328" spans="2:5">
      <c r="B2328" s="17">
        <v>42890</v>
      </c>
      <c r="D2328" t="s">
        <v>402</v>
      </c>
      <c r="E2328">
        <v>23.18</v>
      </c>
    </row>
    <row r="2329" spans="2:5">
      <c r="B2329" s="17">
        <v>42890</v>
      </c>
      <c r="D2329" t="s">
        <v>213</v>
      </c>
      <c r="E2329">
        <v>387.99</v>
      </c>
    </row>
    <row r="2330" spans="2:5">
      <c r="B2330" s="17">
        <v>42890</v>
      </c>
      <c r="D2330" t="s">
        <v>213</v>
      </c>
      <c r="E2330">
        <v>2.2959999999999994</v>
      </c>
    </row>
    <row r="2331" spans="2:5">
      <c r="B2331" s="17">
        <v>42890</v>
      </c>
      <c r="D2331" t="s">
        <v>213</v>
      </c>
      <c r="E2331">
        <v>19.440000000000001</v>
      </c>
    </row>
    <row r="2332" spans="2:5">
      <c r="B2332" s="17">
        <v>42890</v>
      </c>
      <c r="D2332" t="s">
        <v>213</v>
      </c>
      <c r="E2332">
        <v>102.72</v>
      </c>
    </row>
    <row r="2333" spans="2:5">
      <c r="B2333" s="17">
        <v>42890</v>
      </c>
      <c r="D2333" t="s">
        <v>213</v>
      </c>
      <c r="E2333">
        <v>40.29</v>
      </c>
    </row>
    <row r="2334" spans="2:5">
      <c r="B2334" s="17">
        <v>42890</v>
      </c>
      <c r="D2334" t="s">
        <v>213</v>
      </c>
      <c r="E2334">
        <v>17.22</v>
      </c>
    </row>
    <row r="2335" spans="2:5">
      <c r="B2335" s="17">
        <v>42889</v>
      </c>
      <c r="D2335" t="s">
        <v>213</v>
      </c>
      <c r="E2335">
        <v>107.88</v>
      </c>
    </row>
    <row r="2336" spans="2:5">
      <c r="B2336" s="17">
        <v>42889</v>
      </c>
      <c r="D2336" t="s">
        <v>1677</v>
      </c>
      <c r="E2336">
        <v>25.92</v>
      </c>
    </row>
    <row r="2337" spans="2:5">
      <c r="B2337" s="17">
        <v>42889</v>
      </c>
      <c r="D2337" t="s">
        <v>1677</v>
      </c>
      <c r="E2337">
        <v>35.96</v>
      </c>
    </row>
    <row r="2338" spans="2:5">
      <c r="B2338" s="17">
        <v>42889</v>
      </c>
      <c r="D2338" t="s">
        <v>1677</v>
      </c>
      <c r="E2338">
        <v>866.4</v>
      </c>
    </row>
    <row r="2339" spans="2:5">
      <c r="B2339" s="17">
        <v>42889</v>
      </c>
      <c r="D2339" t="s">
        <v>1775</v>
      </c>
      <c r="E2339">
        <v>35</v>
      </c>
    </row>
    <row r="2340" spans="2:5">
      <c r="B2340" s="17">
        <v>42889</v>
      </c>
      <c r="D2340" t="s">
        <v>951</v>
      </c>
      <c r="E2340">
        <v>37.24</v>
      </c>
    </row>
    <row r="2341" spans="2:5">
      <c r="B2341" s="17">
        <v>42889</v>
      </c>
      <c r="D2341" t="s">
        <v>951</v>
      </c>
      <c r="E2341">
        <v>15.28</v>
      </c>
    </row>
    <row r="2342" spans="2:5">
      <c r="B2342" s="17">
        <v>42889</v>
      </c>
      <c r="D2342" t="s">
        <v>951</v>
      </c>
      <c r="E2342">
        <v>17.12</v>
      </c>
    </row>
    <row r="2343" spans="2:5">
      <c r="B2343" s="17">
        <v>42889</v>
      </c>
      <c r="D2343" t="s">
        <v>951</v>
      </c>
      <c r="E2343">
        <v>431.96800000000007</v>
      </c>
    </row>
    <row r="2344" spans="2:5">
      <c r="B2344" s="17">
        <v>42889</v>
      </c>
      <c r="D2344" t="s">
        <v>951</v>
      </c>
      <c r="E2344">
        <v>129.91999999999999</v>
      </c>
    </row>
    <row r="2345" spans="2:5">
      <c r="B2345" s="17">
        <v>42889</v>
      </c>
      <c r="D2345" t="s">
        <v>1488</v>
      </c>
      <c r="E2345">
        <v>568.72800000000007</v>
      </c>
    </row>
    <row r="2346" spans="2:5">
      <c r="B2346" s="17">
        <v>42889</v>
      </c>
      <c r="D2346" t="s">
        <v>1488</v>
      </c>
      <c r="E2346">
        <v>117.14400000000001</v>
      </c>
    </row>
    <row r="2347" spans="2:5">
      <c r="B2347" s="17">
        <v>42889</v>
      </c>
      <c r="D2347" t="s">
        <v>1488</v>
      </c>
      <c r="E2347">
        <v>51.75</v>
      </c>
    </row>
    <row r="2348" spans="2:5">
      <c r="B2348" s="17">
        <v>42889</v>
      </c>
      <c r="D2348" t="s">
        <v>1488</v>
      </c>
      <c r="E2348">
        <v>25.16</v>
      </c>
    </row>
    <row r="2349" spans="2:5">
      <c r="B2349" s="17">
        <v>42889</v>
      </c>
      <c r="D2349" t="s">
        <v>1488</v>
      </c>
      <c r="E2349">
        <v>91.92</v>
      </c>
    </row>
    <row r="2350" spans="2:5">
      <c r="B2350" s="17">
        <v>42889</v>
      </c>
      <c r="D2350" t="s">
        <v>968</v>
      </c>
      <c r="E2350">
        <v>83.88</v>
      </c>
    </row>
    <row r="2351" spans="2:5">
      <c r="B2351" s="17">
        <v>42889</v>
      </c>
      <c r="D2351" t="s">
        <v>968</v>
      </c>
      <c r="E2351">
        <v>388.70400000000006</v>
      </c>
    </row>
    <row r="2352" spans="2:5">
      <c r="B2352" s="17">
        <v>42888</v>
      </c>
      <c r="D2352" t="s">
        <v>968</v>
      </c>
      <c r="E2352">
        <v>572.58000000000004</v>
      </c>
    </row>
    <row r="2353" spans="2:5">
      <c r="B2353" s="17">
        <v>42888</v>
      </c>
      <c r="D2353" t="s">
        <v>968</v>
      </c>
      <c r="E2353">
        <v>33.18</v>
      </c>
    </row>
    <row r="2354" spans="2:5">
      <c r="B2354" s="17">
        <v>42888</v>
      </c>
      <c r="D2354" t="s">
        <v>968</v>
      </c>
      <c r="E2354">
        <v>32.088000000000001</v>
      </c>
    </row>
    <row r="2355" spans="2:5">
      <c r="B2355" s="17">
        <v>42888</v>
      </c>
      <c r="D2355" t="s">
        <v>331</v>
      </c>
      <c r="E2355">
        <v>4305.5520000000006</v>
      </c>
    </row>
    <row r="2356" spans="2:5">
      <c r="B2356" s="17">
        <v>42888</v>
      </c>
      <c r="D2356" t="s">
        <v>755</v>
      </c>
      <c r="E2356">
        <v>22.752000000000002</v>
      </c>
    </row>
    <row r="2357" spans="2:5">
      <c r="B2357" s="17">
        <v>42888</v>
      </c>
      <c r="D2357" t="s">
        <v>1587</v>
      </c>
      <c r="E2357">
        <v>6.6720000000000006</v>
      </c>
    </row>
    <row r="2358" spans="2:5">
      <c r="B2358" s="17">
        <v>42887</v>
      </c>
      <c r="D2358" t="s">
        <v>1587</v>
      </c>
      <c r="E2358">
        <v>4367.8960000000006</v>
      </c>
    </row>
    <row r="2359" spans="2:5">
      <c r="B2359" s="17">
        <v>42887</v>
      </c>
      <c r="D2359" t="s">
        <v>1587</v>
      </c>
      <c r="E2359">
        <v>49.568000000000005</v>
      </c>
    </row>
    <row r="2360" spans="2:5">
      <c r="B2360" s="17">
        <v>42887</v>
      </c>
      <c r="D2360" t="s">
        <v>1587</v>
      </c>
      <c r="E2360">
        <v>161.376</v>
      </c>
    </row>
    <row r="2361" spans="2:5">
      <c r="B2361" s="17">
        <v>42887</v>
      </c>
      <c r="D2361" t="s">
        <v>1587</v>
      </c>
      <c r="E2361">
        <v>2.7840000000000003</v>
      </c>
    </row>
    <row r="2362" spans="2:5">
      <c r="B2362" s="17">
        <v>42887</v>
      </c>
      <c r="D2362" t="s">
        <v>694</v>
      </c>
      <c r="E2362">
        <v>8.7200000000000006</v>
      </c>
    </row>
    <row r="2363" spans="2:5">
      <c r="B2363" s="17">
        <v>42887</v>
      </c>
      <c r="D2363" t="s">
        <v>694</v>
      </c>
      <c r="E2363">
        <v>24.672000000000001</v>
      </c>
    </row>
    <row r="2364" spans="2:5">
      <c r="B2364" s="17">
        <v>42887</v>
      </c>
      <c r="D2364" t="s">
        <v>694</v>
      </c>
      <c r="E2364">
        <v>3.7439999999999998</v>
      </c>
    </row>
    <row r="2365" spans="2:5">
      <c r="B2365" s="17">
        <v>42887</v>
      </c>
      <c r="D2365" t="s">
        <v>694</v>
      </c>
      <c r="E2365">
        <v>646.27200000000005</v>
      </c>
    </row>
    <row r="2366" spans="2:5">
      <c r="B2366" s="17">
        <v>42887</v>
      </c>
      <c r="D2366" t="s">
        <v>694</v>
      </c>
      <c r="E2366">
        <v>10.368000000000002</v>
      </c>
    </row>
    <row r="2367" spans="2:5">
      <c r="B2367" s="17">
        <v>42887</v>
      </c>
      <c r="D2367" t="s">
        <v>694</v>
      </c>
      <c r="E2367">
        <v>192.16000000000003</v>
      </c>
    </row>
    <row r="2368" spans="2:5">
      <c r="B2368" s="17">
        <v>42887</v>
      </c>
      <c r="D2368" t="s">
        <v>694</v>
      </c>
      <c r="E2368">
        <v>9.7280000000000015</v>
      </c>
    </row>
    <row r="2369" spans="2:5">
      <c r="B2369" s="17">
        <v>42885</v>
      </c>
      <c r="D2369" t="s">
        <v>694</v>
      </c>
      <c r="E2369">
        <v>3.4240000000000004</v>
      </c>
    </row>
    <row r="2370" spans="2:5">
      <c r="B2370" s="17">
        <v>42885</v>
      </c>
      <c r="D2370" t="s">
        <v>908</v>
      </c>
      <c r="E2370">
        <v>25.695999999999998</v>
      </c>
    </row>
    <row r="2371" spans="2:5">
      <c r="B2371" s="17">
        <v>42885</v>
      </c>
      <c r="D2371" t="s">
        <v>908</v>
      </c>
      <c r="E2371">
        <v>130.97999999999999</v>
      </c>
    </row>
    <row r="2372" spans="2:5">
      <c r="B2372" s="17">
        <v>42885</v>
      </c>
      <c r="D2372" t="s">
        <v>908</v>
      </c>
      <c r="E2372">
        <v>71.98</v>
      </c>
    </row>
    <row r="2373" spans="2:5">
      <c r="B2373" s="17">
        <v>42885</v>
      </c>
      <c r="D2373" t="s">
        <v>908</v>
      </c>
      <c r="E2373">
        <v>64.959999999999994</v>
      </c>
    </row>
    <row r="2374" spans="2:5">
      <c r="B2374" s="17">
        <v>42885</v>
      </c>
      <c r="D2374" t="s">
        <v>908</v>
      </c>
      <c r="E2374">
        <v>53.72</v>
      </c>
    </row>
    <row r="2375" spans="2:5">
      <c r="B2375" s="17">
        <v>42885</v>
      </c>
      <c r="D2375" t="s">
        <v>1490</v>
      </c>
      <c r="E2375">
        <v>1488.4239999999998</v>
      </c>
    </row>
    <row r="2376" spans="2:5">
      <c r="B2376" s="17">
        <v>42885</v>
      </c>
      <c r="D2376" t="s">
        <v>1490</v>
      </c>
      <c r="E2376">
        <v>63.84</v>
      </c>
    </row>
    <row r="2377" spans="2:5">
      <c r="B2377" s="17">
        <v>42885</v>
      </c>
      <c r="D2377" t="s">
        <v>1490</v>
      </c>
      <c r="E2377">
        <v>347.96999999999997</v>
      </c>
    </row>
    <row r="2378" spans="2:5">
      <c r="B2378" s="17">
        <v>42884</v>
      </c>
      <c r="D2378" t="s">
        <v>1490</v>
      </c>
      <c r="E2378">
        <v>37.008000000000003</v>
      </c>
    </row>
    <row r="2379" spans="2:5">
      <c r="B2379" s="17">
        <v>42884</v>
      </c>
      <c r="D2379" t="s">
        <v>1490</v>
      </c>
      <c r="E2379">
        <v>5.9520000000000008</v>
      </c>
    </row>
    <row r="2380" spans="2:5">
      <c r="B2380" s="17">
        <v>42884</v>
      </c>
      <c r="D2380" t="s">
        <v>1490</v>
      </c>
      <c r="E2380">
        <v>2.8960000000000004</v>
      </c>
    </row>
    <row r="2381" spans="2:5">
      <c r="B2381" s="17">
        <v>42884</v>
      </c>
      <c r="D2381" t="s">
        <v>1490</v>
      </c>
      <c r="E2381">
        <v>198.46</v>
      </c>
    </row>
    <row r="2382" spans="2:5">
      <c r="B2382" s="17">
        <v>42884</v>
      </c>
      <c r="D2382" t="s">
        <v>103</v>
      </c>
      <c r="E2382">
        <v>879.98400000000004</v>
      </c>
    </row>
    <row r="2383" spans="2:5">
      <c r="B2383" s="17">
        <v>42884</v>
      </c>
      <c r="D2383" t="s">
        <v>103</v>
      </c>
      <c r="E2383">
        <v>28.4</v>
      </c>
    </row>
    <row r="2384" spans="2:5">
      <c r="B2384" s="17">
        <v>42884</v>
      </c>
      <c r="D2384" t="s">
        <v>223</v>
      </c>
      <c r="E2384">
        <v>116.28</v>
      </c>
    </row>
    <row r="2385" spans="2:5">
      <c r="B2385" s="17">
        <v>42884</v>
      </c>
      <c r="D2385" t="s">
        <v>223</v>
      </c>
      <c r="E2385">
        <v>841.5680000000001</v>
      </c>
    </row>
    <row r="2386" spans="2:5">
      <c r="B2386" s="17">
        <v>42883</v>
      </c>
      <c r="D2386" t="s">
        <v>223</v>
      </c>
      <c r="E2386">
        <v>354.90000000000003</v>
      </c>
    </row>
    <row r="2387" spans="2:5">
      <c r="B2387" s="17">
        <v>42883</v>
      </c>
      <c r="D2387" t="s">
        <v>223</v>
      </c>
      <c r="E2387">
        <v>5.1840000000000011</v>
      </c>
    </row>
    <row r="2388" spans="2:5">
      <c r="B2388" s="17">
        <v>42883</v>
      </c>
      <c r="D2388" t="s">
        <v>1707</v>
      </c>
      <c r="E2388">
        <v>14.336000000000002</v>
      </c>
    </row>
    <row r="2389" spans="2:5">
      <c r="B2389" s="17">
        <v>42883</v>
      </c>
      <c r="D2389" t="s">
        <v>1707</v>
      </c>
      <c r="E2389">
        <v>12.672000000000001</v>
      </c>
    </row>
    <row r="2390" spans="2:5">
      <c r="B2390" s="17">
        <v>42883</v>
      </c>
      <c r="D2390" t="s">
        <v>1707</v>
      </c>
      <c r="E2390">
        <v>1119.8880000000001</v>
      </c>
    </row>
    <row r="2391" spans="2:5">
      <c r="B2391" s="17">
        <v>42883</v>
      </c>
      <c r="D2391" t="s">
        <v>953</v>
      </c>
      <c r="E2391">
        <v>120.57600000000001</v>
      </c>
    </row>
    <row r="2392" spans="2:5">
      <c r="B2392" s="17">
        <v>42883</v>
      </c>
      <c r="D2392" t="s">
        <v>953</v>
      </c>
      <c r="E2392">
        <v>35.167999999999999</v>
      </c>
    </row>
    <row r="2393" spans="2:5">
      <c r="B2393" s="17">
        <v>42883</v>
      </c>
      <c r="D2393" t="s">
        <v>1405</v>
      </c>
      <c r="E2393">
        <v>1137.75</v>
      </c>
    </row>
    <row r="2394" spans="2:5">
      <c r="B2394" s="17">
        <v>42883</v>
      </c>
      <c r="D2394" t="s">
        <v>1405</v>
      </c>
      <c r="E2394">
        <v>99.680000000000021</v>
      </c>
    </row>
    <row r="2395" spans="2:5">
      <c r="B2395" s="17">
        <v>42883</v>
      </c>
      <c r="D2395" t="s">
        <v>653</v>
      </c>
      <c r="E2395">
        <v>5.56</v>
      </c>
    </row>
    <row r="2396" spans="2:5">
      <c r="B2396" s="17">
        <v>42883</v>
      </c>
      <c r="D2396" t="s">
        <v>653</v>
      </c>
      <c r="E2396">
        <v>25.344000000000001</v>
      </c>
    </row>
    <row r="2397" spans="2:5">
      <c r="B2397" s="17">
        <v>42883</v>
      </c>
      <c r="D2397" t="s">
        <v>653</v>
      </c>
      <c r="E2397">
        <v>26.720000000000002</v>
      </c>
    </row>
    <row r="2398" spans="2:5">
      <c r="B2398" s="17">
        <v>42882</v>
      </c>
      <c r="D2398" t="s">
        <v>653</v>
      </c>
      <c r="E2398">
        <v>21.81</v>
      </c>
    </row>
    <row r="2399" spans="2:5">
      <c r="B2399" s="17">
        <v>42882</v>
      </c>
      <c r="D2399" t="s">
        <v>653</v>
      </c>
      <c r="E2399">
        <v>91.6</v>
      </c>
    </row>
    <row r="2400" spans="2:5">
      <c r="B2400" s="17">
        <v>42882</v>
      </c>
      <c r="D2400" t="s">
        <v>653</v>
      </c>
      <c r="E2400">
        <v>47.360000000000007</v>
      </c>
    </row>
    <row r="2401" spans="2:5">
      <c r="B2401" s="17">
        <v>42882</v>
      </c>
      <c r="D2401" t="s">
        <v>653</v>
      </c>
      <c r="E2401">
        <v>27.439999999999998</v>
      </c>
    </row>
    <row r="2402" spans="2:5">
      <c r="B2402" s="17">
        <v>42882</v>
      </c>
      <c r="D2402" t="s">
        <v>1840</v>
      </c>
      <c r="E2402">
        <v>3.2399999999999993</v>
      </c>
    </row>
    <row r="2403" spans="2:5">
      <c r="B2403" s="17">
        <v>42882</v>
      </c>
      <c r="D2403" t="s">
        <v>1840</v>
      </c>
      <c r="E2403">
        <v>9.4080000000000013</v>
      </c>
    </row>
    <row r="2404" spans="2:5">
      <c r="B2404" s="17">
        <v>42882</v>
      </c>
      <c r="D2404" t="s">
        <v>240</v>
      </c>
      <c r="E2404">
        <v>148.02000000000001</v>
      </c>
    </row>
    <row r="2405" spans="2:5">
      <c r="B2405" s="17">
        <v>42882</v>
      </c>
      <c r="D2405" t="s">
        <v>240</v>
      </c>
      <c r="E2405">
        <v>10.744</v>
      </c>
    </row>
    <row r="2406" spans="2:5">
      <c r="B2406" s="17">
        <v>42882</v>
      </c>
      <c r="D2406" t="s">
        <v>240</v>
      </c>
      <c r="E2406">
        <v>8.3760000000000012</v>
      </c>
    </row>
    <row r="2407" spans="2:5">
      <c r="B2407" s="17">
        <v>42882</v>
      </c>
      <c r="D2407" t="s">
        <v>240</v>
      </c>
      <c r="E2407">
        <v>638.73</v>
      </c>
    </row>
    <row r="2408" spans="2:5">
      <c r="B2408" s="17">
        <v>42882</v>
      </c>
      <c r="D2408" t="s">
        <v>1814</v>
      </c>
      <c r="E2408">
        <v>6.6719999999999988</v>
      </c>
    </row>
    <row r="2409" spans="2:5">
      <c r="B2409" s="17">
        <v>42881</v>
      </c>
      <c r="D2409" t="s">
        <v>1814</v>
      </c>
      <c r="E2409">
        <v>689.40800000000002</v>
      </c>
    </row>
    <row r="2410" spans="2:5">
      <c r="B2410" s="17">
        <v>42881</v>
      </c>
      <c r="D2410" t="s">
        <v>1814</v>
      </c>
      <c r="E2410">
        <v>659.9</v>
      </c>
    </row>
    <row r="2411" spans="2:5">
      <c r="B2411" s="17">
        <v>42881</v>
      </c>
      <c r="D2411" t="s">
        <v>1814</v>
      </c>
      <c r="E2411">
        <v>569.5680000000001</v>
      </c>
    </row>
    <row r="2412" spans="2:5">
      <c r="B2412" s="17">
        <v>42881</v>
      </c>
      <c r="D2412" t="s">
        <v>1814</v>
      </c>
      <c r="E2412">
        <v>149.73000000000002</v>
      </c>
    </row>
    <row r="2413" spans="2:5">
      <c r="B2413" s="17">
        <v>42880</v>
      </c>
      <c r="D2413" t="s">
        <v>1814</v>
      </c>
      <c r="E2413">
        <v>6.2080000000000002</v>
      </c>
    </row>
    <row r="2414" spans="2:5">
      <c r="B2414" s="17">
        <v>42880</v>
      </c>
      <c r="D2414" t="s">
        <v>993</v>
      </c>
      <c r="E2414">
        <v>193.95000000000002</v>
      </c>
    </row>
    <row r="2415" spans="2:5">
      <c r="B2415" s="17">
        <v>42880</v>
      </c>
      <c r="D2415" t="s">
        <v>993</v>
      </c>
      <c r="E2415">
        <v>114.9</v>
      </c>
    </row>
    <row r="2416" spans="2:5">
      <c r="B2416" s="17">
        <v>42880</v>
      </c>
      <c r="D2416" t="s">
        <v>993</v>
      </c>
      <c r="E2416">
        <v>19.989999999999998</v>
      </c>
    </row>
    <row r="2417" spans="2:5">
      <c r="B2417" s="17">
        <v>42880</v>
      </c>
      <c r="D2417" t="s">
        <v>993</v>
      </c>
      <c r="E2417">
        <v>22.92</v>
      </c>
    </row>
    <row r="2418" spans="2:5">
      <c r="B2418" s="17">
        <v>42880</v>
      </c>
      <c r="D2418" t="s">
        <v>639</v>
      </c>
      <c r="E2418">
        <v>7.58</v>
      </c>
    </row>
    <row r="2419" spans="2:5">
      <c r="B2419" s="17">
        <v>42878</v>
      </c>
      <c r="D2419" t="s">
        <v>639</v>
      </c>
      <c r="E2419">
        <v>498.26000000000005</v>
      </c>
    </row>
    <row r="2420" spans="2:5">
      <c r="B2420" s="17">
        <v>42878</v>
      </c>
      <c r="D2420" t="s">
        <v>639</v>
      </c>
      <c r="E2420">
        <v>15.072000000000003</v>
      </c>
    </row>
    <row r="2421" spans="2:5">
      <c r="B2421" s="17">
        <v>42878</v>
      </c>
      <c r="D2421" t="s">
        <v>639</v>
      </c>
      <c r="E2421">
        <v>1199.8</v>
      </c>
    </row>
    <row r="2422" spans="2:5">
      <c r="B2422" s="17">
        <v>42878</v>
      </c>
      <c r="D2422" t="s">
        <v>639</v>
      </c>
      <c r="E2422">
        <v>1928.7800000000002</v>
      </c>
    </row>
    <row r="2423" spans="2:5">
      <c r="B2423" s="17">
        <v>42878</v>
      </c>
      <c r="D2423" t="s">
        <v>639</v>
      </c>
      <c r="E2423">
        <v>352.38</v>
      </c>
    </row>
    <row r="2424" spans="2:5">
      <c r="B2424" s="17">
        <v>42877</v>
      </c>
      <c r="D2424" t="s">
        <v>627</v>
      </c>
      <c r="E2424">
        <v>12.192</v>
      </c>
    </row>
    <row r="2425" spans="2:5">
      <c r="B2425" s="17">
        <v>42877</v>
      </c>
      <c r="D2425" t="s">
        <v>627</v>
      </c>
      <c r="E2425">
        <v>6.57</v>
      </c>
    </row>
    <row r="2426" spans="2:5">
      <c r="B2426" s="17">
        <v>42877</v>
      </c>
      <c r="D2426" t="s">
        <v>627</v>
      </c>
      <c r="E2426">
        <v>23.1</v>
      </c>
    </row>
    <row r="2427" spans="2:5">
      <c r="B2427" s="17">
        <v>42877</v>
      </c>
      <c r="D2427" t="s">
        <v>627</v>
      </c>
      <c r="E2427">
        <v>11.54</v>
      </c>
    </row>
    <row r="2428" spans="2:5">
      <c r="B2428" s="17">
        <v>42877</v>
      </c>
      <c r="D2428" t="s">
        <v>627</v>
      </c>
      <c r="E2428">
        <v>12.98</v>
      </c>
    </row>
    <row r="2429" spans="2:5">
      <c r="B2429" s="17">
        <v>42877</v>
      </c>
      <c r="D2429" t="s">
        <v>627</v>
      </c>
      <c r="E2429">
        <v>26.432000000000002</v>
      </c>
    </row>
    <row r="2430" spans="2:5">
      <c r="B2430" s="17">
        <v>42877</v>
      </c>
      <c r="D2430" t="s">
        <v>627</v>
      </c>
      <c r="E2430">
        <v>197.96999999999997</v>
      </c>
    </row>
    <row r="2431" spans="2:5">
      <c r="B2431" s="17">
        <v>42876</v>
      </c>
      <c r="D2431" t="s">
        <v>487</v>
      </c>
      <c r="E2431">
        <v>18.899999999999999</v>
      </c>
    </row>
    <row r="2432" spans="2:5">
      <c r="B2432" s="17">
        <v>42876</v>
      </c>
      <c r="D2432" t="s">
        <v>487</v>
      </c>
      <c r="E2432">
        <v>1282.4100000000001</v>
      </c>
    </row>
    <row r="2433" spans="2:5">
      <c r="B2433" s="17">
        <v>42875</v>
      </c>
      <c r="D2433" t="s">
        <v>487</v>
      </c>
      <c r="E2433">
        <v>4.92</v>
      </c>
    </row>
    <row r="2434" spans="2:5">
      <c r="B2434" s="17">
        <v>42875</v>
      </c>
      <c r="D2434" t="s">
        <v>487</v>
      </c>
      <c r="E2434">
        <v>167.97</v>
      </c>
    </row>
    <row r="2435" spans="2:5">
      <c r="B2435" s="17">
        <v>42875</v>
      </c>
      <c r="D2435" t="s">
        <v>1088</v>
      </c>
      <c r="E2435">
        <v>17.12</v>
      </c>
    </row>
    <row r="2436" spans="2:5">
      <c r="B2436" s="17">
        <v>42875</v>
      </c>
      <c r="D2436" t="s">
        <v>1088</v>
      </c>
      <c r="E2436">
        <v>9.3999999999999986</v>
      </c>
    </row>
    <row r="2437" spans="2:5">
      <c r="B2437" s="17">
        <v>42875</v>
      </c>
      <c r="D2437" t="s">
        <v>1088</v>
      </c>
      <c r="E2437">
        <v>74</v>
      </c>
    </row>
    <row r="2438" spans="2:5">
      <c r="B2438" s="17">
        <v>42875</v>
      </c>
      <c r="D2438" t="s">
        <v>1088</v>
      </c>
      <c r="E2438">
        <v>10.9</v>
      </c>
    </row>
    <row r="2439" spans="2:5">
      <c r="B2439" s="17">
        <v>42875</v>
      </c>
      <c r="D2439" t="s">
        <v>1088</v>
      </c>
      <c r="E2439">
        <v>79.92</v>
      </c>
    </row>
    <row r="2440" spans="2:5">
      <c r="B2440" s="17">
        <v>42875</v>
      </c>
      <c r="D2440" t="s">
        <v>62</v>
      </c>
      <c r="E2440">
        <v>146.82</v>
      </c>
    </row>
    <row r="2441" spans="2:5">
      <c r="B2441" s="17">
        <v>42875</v>
      </c>
      <c r="D2441" t="s">
        <v>62</v>
      </c>
      <c r="E2441">
        <v>16</v>
      </c>
    </row>
    <row r="2442" spans="2:5">
      <c r="B2442" s="17">
        <v>42875</v>
      </c>
      <c r="D2442" t="s">
        <v>62</v>
      </c>
      <c r="E2442">
        <v>5.5879999999999992</v>
      </c>
    </row>
    <row r="2443" spans="2:5">
      <c r="B2443" s="17">
        <v>42875</v>
      </c>
      <c r="D2443" t="s">
        <v>62</v>
      </c>
      <c r="E2443">
        <v>40.68</v>
      </c>
    </row>
    <row r="2444" spans="2:5">
      <c r="B2444" s="17">
        <v>42875</v>
      </c>
      <c r="D2444" t="s">
        <v>62</v>
      </c>
      <c r="E2444">
        <v>18.72</v>
      </c>
    </row>
    <row r="2445" spans="2:5">
      <c r="B2445" s="17">
        <v>42874</v>
      </c>
      <c r="D2445" t="s">
        <v>1391</v>
      </c>
      <c r="E2445">
        <v>1577.94</v>
      </c>
    </row>
    <row r="2446" spans="2:5">
      <c r="B2446" s="17">
        <v>42874</v>
      </c>
      <c r="D2446" t="s">
        <v>1391</v>
      </c>
      <c r="E2446">
        <v>11.696</v>
      </c>
    </row>
    <row r="2447" spans="2:5">
      <c r="B2447" s="17">
        <v>42874</v>
      </c>
      <c r="D2447" t="s">
        <v>1391</v>
      </c>
      <c r="E2447">
        <v>43.099999999999994</v>
      </c>
    </row>
    <row r="2448" spans="2:5">
      <c r="B2448" s="17">
        <v>42874</v>
      </c>
      <c r="D2448" t="s">
        <v>1391</v>
      </c>
      <c r="E2448">
        <v>511.5</v>
      </c>
    </row>
    <row r="2449" spans="2:5">
      <c r="B2449" s="17">
        <v>42874</v>
      </c>
      <c r="D2449" t="s">
        <v>1538</v>
      </c>
      <c r="E2449">
        <v>147.91999999999999</v>
      </c>
    </row>
    <row r="2450" spans="2:5">
      <c r="B2450" s="17">
        <v>42874</v>
      </c>
      <c r="D2450" t="s">
        <v>1538</v>
      </c>
      <c r="E2450">
        <v>42.615999999999993</v>
      </c>
    </row>
    <row r="2451" spans="2:5">
      <c r="B2451" s="17">
        <v>42874</v>
      </c>
      <c r="D2451" t="s">
        <v>1538</v>
      </c>
      <c r="E2451">
        <v>24.448</v>
      </c>
    </row>
    <row r="2452" spans="2:5">
      <c r="B2452" s="17">
        <v>42874</v>
      </c>
      <c r="D2452" t="s">
        <v>1538</v>
      </c>
      <c r="E2452">
        <v>5.96</v>
      </c>
    </row>
    <row r="2453" spans="2:5">
      <c r="B2453" s="17">
        <v>42874</v>
      </c>
      <c r="D2453" t="s">
        <v>1538</v>
      </c>
      <c r="E2453">
        <v>82.56</v>
      </c>
    </row>
    <row r="2454" spans="2:5">
      <c r="B2454" s="17">
        <v>42874</v>
      </c>
      <c r="D2454" t="s">
        <v>1875</v>
      </c>
      <c r="E2454">
        <v>419.4</v>
      </c>
    </row>
    <row r="2455" spans="2:5">
      <c r="B2455" s="17">
        <v>42874</v>
      </c>
      <c r="D2455" t="s">
        <v>909</v>
      </c>
      <c r="E2455">
        <v>90.801000000000002</v>
      </c>
    </row>
    <row r="2456" spans="2:5">
      <c r="B2456" s="17">
        <v>42874</v>
      </c>
      <c r="D2456" t="s">
        <v>909</v>
      </c>
      <c r="E2456">
        <v>181.76400000000001</v>
      </c>
    </row>
    <row r="2457" spans="2:5">
      <c r="B2457" s="17">
        <v>42874</v>
      </c>
      <c r="D2457" t="s">
        <v>909</v>
      </c>
      <c r="E2457">
        <v>5.56</v>
      </c>
    </row>
    <row r="2458" spans="2:5">
      <c r="B2458" s="17">
        <v>42874</v>
      </c>
      <c r="D2458" t="s">
        <v>909</v>
      </c>
      <c r="E2458">
        <v>108.40000000000002</v>
      </c>
    </row>
    <row r="2459" spans="2:5">
      <c r="B2459" s="17">
        <v>42874</v>
      </c>
      <c r="D2459" t="s">
        <v>923</v>
      </c>
      <c r="E2459">
        <v>8.9039999999999999</v>
      </c>
    </row>
    <row r="2460" spans="2:5">
      <c r="B2460" s="17">
        <v>42874</v>
      </c>
      <c r="D2460" t="s">
        <v>923</v>
      </c>
      <c r="E2460">
        <v>100.80000000000001</v>
      </c>
    </row>
    <row r="2461" spans="2:5">
      <c r="B2461" s="17">
        <v>42874</v>
      </c>
      <c r="D2461" t="s">
        <v>923</v>
      </c>
      <c r="E2461">
        <v>10.192000000000002</v>
      </c>
    </row>
    <row r="2462" spans="2:5">
      <c r="B2462" s="17">
        <v>42874</v>
      </c>
      <c r="D2462" t="s">
        <v>923</v>
      </c>
      <c r="E2462">
        <v>16.784000000000002</v>
      </c>
    </row>
    <row r="2463" spans="2:5">
      <c r="B2463" s="17">
        <v>42874</v>
      </c>
      <c r="D2463" t="s">
        <v>923</v>
      </c>
      <c r="E2463">
        <v>13.120000000000001</v>
      </c>
    </row>
    <row r="2464" spans="2:5">
      <c r="B2464" s="17">
        <v>42874</v>
      </c>
      <c r="D2464" t="s">
        <v>923</v>
      </c>
      <c r="E2464">
        <v>91.96</v>
      </c>
    </row>
    <row r="2465" spans="2:5">
      <c r="B2465" s="17">
        <v>42873</v>
      </c>
      <c r="D2465" t="s">
        <v>1098</v>
      </c>
      <c r="E2465">
        <v>1322.3520000000001</v>
      </c>
    </row>
    <row r="2466" spans="2:5">
      <c r="B2466" s="17">
        <v>42873</v>
      </c>
      <c r="D2466" t="s">
        <v>1098</v>
      </c>
      <c r="E2466">
        <v>12.96</v>
      </c>
    </row>
    <row r="2467" spans="2:5">
      <c r="B2467" s="17">
        <v>42873</v>
      </c>
      <c r="D2467" t="s">
        <v>1098</v>
      </c>
      <c r="E2467">
        <v>43.176000000000002</v>
      </c>
    </row>
    <row r="2468" spans="2:5">
      <c r="B2468" s="17">
        <v>42873</v>
      </c>
      <c r="D2468" t="s">
        <v>1098</v>
      </c>
      <c r="E2468">
        <v>825.17399999999998</v>
      </c>
    </row>
    <row r="2469" spans="2:5">
      <c r="B2469" s="17">
        <v>42873</v>
      </c>
      <c r="D2469" t="s">
        <v>1098</v>
      </c>
      <c r="E2469">
        <v>17.760000000000002</v>
      </c>
    </row>
    <row r="2470" spans="2:5">
      <c r="B2470" s="17">
        <v>42873</v>
      </c>
      <c r="D2470" t="s">
        <v>1098</v>
      </c>
      <c r="E2470">
        <v>6.911999999999999</v>
      </c>
    </row>
    <row r="2471" spans="2:5">
      <c r="B2471" s="17">
        <v>42873</v>
      </c>
      <c r="D2471" t="s">
        <v>345</v>
      </c>
      <c r="E2471">
        <v>8.2560000000000002</v>
      </c>
    </row>
    <row r="2472" spans="2:5">
      <c r="B2472" s="17">
        <v>42873</v>
      </c>
      <c r="D2472" t="s">
        <v>345</v>
      </c>
      <c r="E2472">
        <v>25.560000000000002</v>
      </c>
    </row>
    <row r="2473" spans="2:5">
      <c r="B2473" s="17">
        <v>42873</v>
      </c>
      <c r="D2473" t="s">
        <v>345</v>
      </c>
      <c r="E2473">
        <v>4.3680000000000012</v>
      </c>
    </row>
    <row r="2474" spans="2:5">
      <c r="B2474" s="17">
        <v>42873</v>
      </c>
      <c r="D2474" t="s">
        <v>1047</v>
      </c>
      <c r="E2474">
        <v>11.520000000000001</v>
      </c>
    </row>
    <row r="2475" spans="2:5">
      <c r="B2475" s="17">
        <v>42873</v>
      </c>
      <c r="D2475" t="s">
        <v>1047</v>
      </c>
      <c r="E2475">
        <v>487.98400000000004</v>
      </c>
    </row>
    <row r="2476" spans="2:5">
      <c r="B2476" s="17">
        <v>42873</v>
      </c>
      <c r="D2476" t="s">
        <v>1047</v>
      </c>
      <c r="E2476">
        <v>5.5600000000000005</v>
      </c>
    </row>
    <row r="2477" spans="2:5">
      <c r="B2477" s="17">
        <v>42873</v>
      </c>
      <c r="D2477" t="s">
        <v>1047</v>
      </c>
      <c r="E2477">
        <v>19.040000000000003</v>
      </c>
    </row>
    <row r="2478" spans="2:5">
      <c r="B2478" s="17">
        <v>42873</v>
      </c>
      <c r="D2478" t="s">
        <v>1261</v>
      </c>
      <c r="E2478">
        <v>54.32</v>
      </c>
    </row>
    <row r="2479" spans="2:5">
      <c r="B2479" s="17">
        <v>42873</v>
      </c>
      <c r="D2479" t="s">
        <v>1261</v>
      </c>
      <c r="E2479">
        <v>13.343999999999998</v>
      </c>
    </row>
    <row r="2480" spans="2:5">
      <c r="B2480" s="17">
        <v>42873</v>
      </c>
      <c r="D2480" t="s">
        <v>1261</v>
      </c>
      <c r="E2480">
        <v>1478.2719999999999</v>
      </c>
    </row>
    <row r="2481" spans="2:5">
      <c r="B2481" s="17">
        <v>42873</v>
      </c>
      <c r="D2481" t="s">
        <v>1261</v>
      </c>
      <c r="E2481">
        <v>14.82</v>
      </c>
    </row>
    <row r="2482" spans="2:5">
      <c r="B2482" s="17">
        <v>42871</v>
      </c>
      <c r="D2482" t="s">
        <v>1261</v>
      </c>
      <c r="E2482">
        <v>421.1</v>
      </c>
    </row>
    <row r="2483" spans="2:5">
      <c r="B2483" s="17">
        <v>42870</v>
      </c>
      <c r="D2483" t="s">
        <v>1261</v>
      </c>
      <c r="E2483">
        <v>97.184000000000012</v>
      </c>
    </row>
    <row r="2484" spans="2:5">
      <c r="B2484" s="17">
        <v>42870</v>
      </c>
      <c r="D2484" t="s">
        <v>1205</v>
      </c>
      <c r="E2484">
        <v>10.368000000000002</v>
      </c>
    </row>
    <row r="2485" spans="2:5">
      <c r="B2485" s="17">
        <v>42870</v>
      </c>
      <c r="D2485" t="s">
        <v>1205</v>
      </c>
      <c r="E2485">
        <v>30.384</v>
      </c>
    </row>
    <row r="2486" spans="2:5">
      <c r="B2486" s="17">
        <v>42870</v>
      </c>
      <c r="D2486" t="s">
        <v>1205</v>
      </c>
      <c r="E2486">
        <v>11.808</v>
      </c>
    </row>
    <row r="2487" spans="2:5">
      <c r="B2487" s="17">
        <v>42870</v>
      </c>
      <c r="D2487" t="s">
        <v>1205</v>
      </c>
      <c r="E2487">
        <v>88.074000000000012</v>
      </c>
    </row>
    <row r="2488" spans="2:5">
      <c r="B2488" s="17">
        <v>42870</v>
      </c>
      <c r="D2488" t="s">
        <v>1205</v>
      </c>
      <c r="E2488">
        <v>2.78</v>
      </c>
    </row>
    <row r="2489" spans="2:5">
      <c r="B2489" s="17">
        <v>42870</v>
      </c>
      <c r="D2489" t="s">
        <v>1205</v>
      </c>
      <c r="E2489">
        <v>147.184</v>
      </c>
    </row>
    <row r="2490" spans="2:5">
      <c r="B2490" s="17">
        <v>42870</v>
      </c>
      <c r="D2490" t="s">
        <v>1205</v>
      </c>
      <c r="E2490">
        <v>89.567999999999998</v>
      </c>
    </row>
    <row r="2491" spans="2:5">
      <c r="B2491" s="17">
        <v>42869</v>
      </c>
      <c r="D2491" t="s">
        <v>732</v>
      </c>
      <c r="E2491">
        <v>71.959999999999994</v>
      </c>
    </row>
    <row r="2492" spans="2:5">
      <c r="B2492" s="17">
        <v>42869</v>
      </c>
      <c r="D2492" t="s">
        <v>732</v>
      </c>
      <c r="E2492">
        <v>15.552000000000003</v>
      </c>
    </row>
    <row r="2493" spans="2:5">
      <c r="B2493" s="17">
        <v>42869</v>
      </c>
      <c r="D2493" t="s">
        <v>732</v>
      </c>
      <c r="E2493">
        <v>47.94</v>
      </c>
    </row>
    <row r="2494" spans="2:5">
      <c r="B2494" s="17">
        <v>42869</v>
      </c>
      <c r="D2494" t="s">
        <v>732</v>
      </c>
      <c r="E2494">
        <v>37.68</v>
      </c>
    </row>
    <row r="2495" spans="2:5">
      <c r="B2495" s="17">
        <v>42869</v>
      </c>
      <c r="D2495" t="s">
        <v>732</v>
      </c>
      <c r="E2495">
        <v>478.08</v>
      </c>
    </row>
    <row r="2496" spans="2:5">
      <c r="B2496" s="17">
        <v>42869</v>
      </c>
      <c r="D2496" t="s">
        <v>1434</v>
      </c>
      <c r="E2496">
        <v>73.007999999999996</v>
      </c>
    </row>
    <row r="2497" spans="2:5">
      <c r="B2497" s="17">
        <v>42869</v>
      </c>
      <c r="D2497" t="s">
        <v>1434</v>
      </c>
      <c r="E2497">
        <v>1577.94</v>
      </c>
    </row>
    <row r="2498" spans="2:5">
      <c r="B2498" s="17">
        <v>42869</v>
      </c>
      <c r="D2498" t="s">
        <v>1434</v>
      </c>
      <c r="E2498">
        <v>7.857000000000002</v>
      </c>
    </row>
    <row r="2499" spans="2:5">
      <c r="B2499" s="17">
        <v>42869</v>
      </c>
      <c r="D2499" t="s">
        <v>1434</v>
      </c>
      <c r="E2499">
        <v>29.24</v>
      </c>
    </row>
    <row r="2500" spans="2:5">
      <c r="B2500" s="17">
        <v>42869</v>
      </c>
      <c r="D2500" t="s">
        <v>1434</v>
      </c>
      <c r="E2500">
        <v>15.552000000000003</v>
      </c>
    </row>
    <row r="2501" spans="2:5">
      <c r="B2501" s="17">
        <v>42869</v>
      </c>
      <c r="D2501" t="s">
        <v>1434</v>
      </c>
      <c r="E2501">
        <v>4.8960000000000008</v>
      </c>
    </row>
    <row r="2502" spans="2:5">
      <c r="B2502" s="17">
        <v>42869</v>
      </c>
      <c r="D2502" t="s">
        <v>164</v>
      </c>
      <c r="E2502">
        <v>13.48</v>
      </c>
    </row>
    <row r="2503" spans="2:5">
      <c r="B2503" s="17">
        <v>42869</v>
      </c>
      <c r="D2503" t="s">
        <v>164</v>
      </c>
      <c r="E2503">
        <v>25.16</v>
      </c>
    </row>
    <row r="2504" spans="2:5">
      <c r="B2504" s="17">
        <v>42869</v>
      </c>
      <c r="D2504" t="s">
        <v>164</v>
      </c>
      <c r="E2504">
        <v>126.56</v>
      </c>
    </row>
    <row r="2505" spans="2:5">
      <c r="B2505" s="17">
        <v>42869</v>
      </c>
      <c r="D2505" t="s">
        <v>164</v>
      </c>
      <c r="E2505">
        <v>19.760000000000002</v>
      </c>
    </row>
    <row r="2506" spans="2:5">
      <c r="B2506" s="17">
        <v>42869</v>
      </c>
      <c r="D2506" t="s">
        <v>164</v>
      </c>
      <c r="E2506">
        <v>113.52</v>
      </c>
    </row>
    <row r="2507" spans="2:5">
      <c r="B2507" s="17">
        <v>42869</v>
      </c>
      <c r="D2507" t="s">
        <v>164</v>
      </c>
      <c r="E2507">
        <v>135.29999999999998</v>
      </c>
    </row>
    <row r="2508" spans="2:5">
      <c r="B2508" s="17">
        <v>42869</v>
      </c>
      <c r="D2508" t="s">
        <v>164</v>
      </c>
      <c r="E2508">
        <v>161.56800000000001</v>
      </c>
    </row>
    <row r="2509" spans="2:5">
      <c r="B2509" s="17">
        <v>42869</v>
      </c>
      <c r="D2509" t="s">
        <v>1072</v>
      </c>
      <c r="E2509">
        <v>81.567999999999998</v>
      </c>
    </row>
    <row r="2510" spans="2:5">
      <c r="B2510" s="17">
        <v>42869</v>
      </c>
      <c r="D2510" t="s">
        <v>1072</v>
      </c>
      <c r="E2510">
        <v>80.959999999999994</v>
      </c>
    </row>
    <row r="2511" spans="2:5">
      <c r="B2511" s="17">
        <v>42869</v>
      </c>
      <c r="D2511" t="s">
        <v>1072</v>
      </c>
      <c r="E2511">
        <v>455.71199999999999</v>
      </c>
    </row>
    <row r="2512" spans="2:5">
      <c r="B2512" s="17">
        <v>42868</v>
      </c>
      <c r="D2512" t="s">
        <v>1072</v>
      </c>
      <c r="E2512">
        <v>25.98</v>
      </c>
    </row>
    <row r="2513" spans="2:5">
      <c r="B2513" s="17">
        <v>42868</v>
      </c>
      <c r="D2513" t="s">
        <v>1072</v>
      </c>
      <c r="E2513">
        <v>16.899999999999999</v>
      </c>
    </row>
    <row r="2514" spans="2:5">
      <c r="B2514" s="17">
        <v>42868</v>
      </c>
      <c r="D2514" t="s">
        <v>1072</v>
      </c>
      <c r="E2514">
        <v>39.96</v>
      </c>
    </row>
    <row r="2515" spans="2:5">
      <c r="B2515" s="17">
        <v>42868</v>
      </c>
      <c r="D2515" t="s">
        <v>757</v>
      </c>
      <c r="E2515">
        <v>765.625</v>
      </c>
    </row>
    <row r="2516" spans="2:5">
      <c r="B2516" s="17">
        <v>42868</v>
      </c>
      <c r="D2516" t="s">
        <v>757</v>
      </c>
      <c r="E2516">
        <v>9.0960000000000001</v>
      </c>
    </row>
    <row r="2517" spans="2:5">
      <c r="B2517" s="17">
        <v>42868</v>
      </c>
      <c r="D2517" t="s">
        <v>757</v>
      </c>
      <c r="E2517">
        <v>116.83199999999999</v>
      </c>
    </row>
    <row r="2518" spans="2:5">
      <c r="B2518" s="17">
        <v>42868</v>
      </c>
      <c r="D2518" t="s">
        <v>757</v>
      </c>
      <c r="E2518">
        <v>85.2</v>
      </c>
    </row>
    <row r="2519" spans="2:5">
      <c r="B2519" s="17">
        <v>42868</v>
      </c>
      <c r="D2519" t="s">
        <v>757</v>
      </c>
      <c r="E2519">
        <v>42.615999999999993</v>
      </c>
    </row>
    <row r="2520" spans="2:5">
      <c r="B2520" s="17">
        <v>42868</v>
      </c>
      <c r="D2520" t="s">
        <v>757</v>
      </c>
      <c r="E2520">
        <v>45.92</v>
      </c>
    </row>
    <row r="2521" spans="2:5">
      <c r="B2521" s="17">
        <v>42867</v>
      </c>
      <c r="D2521" t="s">
        <v>757</v>
      </c>
      <c r="E2521">
        <v>21.184000000000001</v>
      </c>
    </row>
    <row r="2522" spans="2:5">
      <c r="B2522" s="17">
        <v>42867</v>
      </c>
      <c r="D2522" t="s">
        <v>1363</v>
      </c>
      <c r="E2522">
        <v>20.736000000000004</v>
      </c>
    </row>
    <row r="2523" spans="2:5">
      <c r="B2523" s="17">
        <v>42867</v>
      </c>
      <c r="D2523" t="s">
        <v>1363</v>
      </c>
      <c r="E2523">
        <v>61.68</v>
      </c>
    </row>
    <row r="2524" spans="2:5">
      <c r="B2524" s="17">
        <v>42867</v>
      </c>
      <c r="D2524" t="s">
        <v>1363</v>
      </c>
      <c r="E2524">
        <v>158.376</v>
      </c>
    </row>
    <row r="2525" spans="2:5">
      <c r="B2525" s="17">
        <v>42867</v>
      </c>
      <c r="D2525" t="s">
        <v>1363</v>
      </c>
      <c r="E2525">
        <v>65.12</v>
      </c>
    </row>
    <row r="2526" spans="2:5">
      <c r="B2526" s="17">
        <v>42867</v>
      </c>
      <c r="D2526" t="s">
        <v>1363</v>
      </c>
      <c r="E2526">
        <v>141.37199999999999</v>
      </c>
    </row>
    <row r="2527" spans="2:5">
      <c r="B2527" s="17">
        <v>42867</v>
      </c>
      <c r="D2527" t="s">
        <v>1363</v>
      </c>
      <c r="E2527">
        <v>3.036</v>
      </c>
    </row>
    <row r="2528" spans="2:5">
      <c r="B2528" s="17">
        <v>42867</v>
      </c>
      <c r="D2528" t="s">
        <v>1540</v>
      </c>
      <c r="E2528">
        <v>4.503000000000001</v>
      </c>
    </row>
    <row r="2529" spans="2:5">
      <c r="B2529" s="17">
        <v>42867</v>
      </c>
      <c r="D2529" t="s">
        <v>1540</v>
      </c>
      <c r="E2529">
        <v>4.6719999999999997</v>
      </c>
    </row>
    <row r="2530" spans="2:5">
      <c r="B2530" s="17">
        <v>42867</v>
      </c>
      <c r="D2530" t="s">
        <v>734</v>
      </c>
      <c r="E2530">
        <v>95.88000000000001</v>
      </c>
    </row>
    <row r="2531" spans="2:5">
      <c r="B2531" s="17">
        <v>42867</v>
      </c>
      <c r="D2531" t="s">
        <v>734</v>
      </c>
      <c r="E2531">
        <v>17.024000000000001</v>
      </c>
    </row>
    <row r="2532" spans="2:5">
      <c r="B2532" s="17">
        <v>42867</v>
      </c>
      <c r="D2532" t="s">
        <v>734</v>
      </c>
      <c r="E2532">
        <v>1931.9579999999999</v>
      </c>
    </row>
    <row r="2533" spans="2:5">
      <c r="B2533" s="17">
        <v>42867</v>
      </c>
      <c r="D2533" t="s">
        <v>734</v>
      </c>
      <c r="E2533">
        <v>628.80999999999995</v>
      </c>
    </row>
    <row r="2534" spans="2:5">
      <c r="B2534" s="17">
        <v>42866</v>
      </c>
      <c r="D2534" t="s">
        <v>937</v>
      </c>
      <c r="E2534">
        <v>56.449999999999996</v>
      </c>
    </row>
    <row r="2535" spans="2:5">
      <c r="B2535" s="17">
        <v>42866</v>
      </c>
      <c r="D2535" t="s">
        <v>937</v>
      </c>
      <c r="E2535">
        <v>8.8320000000000007</v>
      </c>
    </row>
    <row r="2536" spans="2:5">
      <c r="B2536" s="17">
        <v>42866</v>
      </c>
      <c r="D2536" t="s">
        <v>937</v>
      </c>
      <c r="E2536">
        <v>177.536</v>
      </c>
    </row>
    <row r="2537" spans="2:5">
      <c r="B2537" s="17">
        <v>42866</v>
      </c>
      <c r="D2537" t="s">
        <v>1711</v>
      </c>
      <c r="E2537">
        <v>14.135999999999999</v>
      </c>
    </row>
    <row r="2538" spans="2:5">
      <c r="B2538" s="17">
        <v>42866</v>
      </c>
      <c r="D2538" t="s">
        <v>1711</v>
      </c>
      <c r="E2538">
        <v>17.48</v>
      </c>
    </row>
    <row r="2539" spans="2:5">
      <c r="B2539" s="17">
        <v>42866</v>
      </c>
      <c r="D2539" t="s">
        <v>1429</v>
      </c>
      <c r="E2539">
        <v>6.3680000000000003</v>
      </c>
    </row>
    <row r="2540" spans="2:5">
      <c r="B2540" s="17">
        <v>42866</v>
      </c>
      <c r="D2540" t="s">
        <v>1429</v>
      </c>
      <c r="E2540">
        <v>6.56</v>
      </c>
    </row>
    <row r="2541" spans="2:5">
      <c r="B2541" s="17">
        <v>42866</v>
      </c>
      <c r="D2541" t="s">
        <v>1429</v>
      </c>
      <c r="E2541">
        <v>47.52</v>
      </c>
    </row>
    <row r="2542" spans="2:5">
      <c r="B2542" s="17">
        <v>42866</v>
      </c>
      <c r="D2542" t="s">
        <v>376</v>
      </c>
      <c r="E2542">
        <v>99.87</v>
      </c>
    </row>
    <row r="2543" spans="2:5">
      <c r="B2543" s="17">
        <v>42864</v>
      </c>
      <c r="D2543" t="s">
        <v>376</v>
      </c>
      <c r="E2543">
        <v>9.8560000000000016</v>
      </c>
    </row>
    <row r="2544" spans="2:5">
      <c r="B2544" s="17">
        <v>42864</v>
      </c>
      <c r="D2544" t="s">
        <v>376</v>
      </c>
      <c r="E2544">
        <v>25.920000000000005</v>
      </c>
    </row>
    <row r="2545" spans="2:5">
      <c r="B2545" s="17">
        <v>42864</v>
      </c>
      <c r="D2545" t="s">
        <v>504</v>
      </c>
      <c r="E2545">
        <v>66.112000000000009</v>
      </c>
    </row>
    <row r="2546" spans="2:5">
      <c r="B2546" s="17">
        <v>42864</v>
      </c>
      <c r="D2546" t="s">
        <v>504</v>
      </c>
      <c r="E2546">
        <v>159.96</v>
      </c>
    </row>
    <row r="2547" spans="2:5">
      <c r="B2547" s="17">
        <v>42864</v>
      </c>
      <c r="D2547" t="s">
        <v>504</v>
      </c>
      <c r="E2547">
        <v>31.104000000000006</v>
      </c>
    </row>
    <row r="2548" spans="2:5">
      <c r="B2548" s="17">
        <v>42864</v>
      </c>
      <c r="D2548" t="s">
        <v>504</v>
      </c>
      <c r="E2548">
        <v>11.176000000000002</v>
      </c>
    </row>
    <row r="2549" spans="2:5">
      <c r="B2549" s="17">
        <v>42864</v>
      </c>
      <c r="D2549" t="s">
        <v>504</v>
      </c>
      <c r="E2549">
        <v>17.712</v>
      </c>
    </row>
    <row r="2550" spans="2:5">
      <c r="B2550" s="17">
        <v>42863</v>
      </c>
      <c r="D2550" t="s">
        <v>504</v>
      </c>
      <c r="E2550">
        <v>4.8600000000000012</v>
      </c>
    </row>
    <row r="2551" spans="2:5">
      <c r="B2551" s="17">
        <v>42863</v>
      </c>
      <c r="D2551" t="s">
        <v>635</v>
      </c>
      <c r="E2551">
        <v>6.2580000000000009</v>
      </c>
    </row>
    <row r="2552" spans="2:5">
      <c r="B2552" s="17">
        <v>42863</v>
      </c>
      <c r="D2552" t="s">
        <v>635</v>
      </c>
      <c r="E2552">
        <v>147.16800000000001</v>
      </c>
    </row>
    <row r="2553" spans="2:5">
      <c r="B2553" s="17">
        <v>42863</v>
      </c>
      <c r="D2553" t="s">
        <v>635</v>
      </c>
      <c r="E2553">
        <v>362.35199999999998</v>
      </c>
    </row>
    <row r="2554" spans="2:5">
      <c r="B2554" s="17">
        <v>42863</v>
      </c>
      <c r="D2554" t="s">
        <v>635</v>
      </c>
      <c r="E2554">
        <v>7.1840000000000011</v>
      </c>
    </row>
    <row r="2555" spans="2:5">
      <c r="B2555" s="17">
        <v>42862</v>
      </c>
      <c r="D2555" t="s">
        <v>1579</v>
      </c>
      <c r="E2555">
        <v>16.200000000000003</v>
      </c>
    </row>
    <row r="2556" spans="2:5">
      <c r="B2556" s="17">
        <v>42862</v>
      </c>
      <c r="D2556" t="s">
        <v>1579</v>
      </c>
      <c r="E2556">
        <v>33.99</v>
      </c>
    </row>
    <row r="2557" spans="2:5">
      <c r="B2557" s="17">
        <v>42862</v>
      </c>
      <c r="D2557" t="s">
        <v>1579</v>
      </c>
      <c r="E2557">
        <v>112.80000000000001</v>
      </c>
    </row>
    <row r="2558" spans="2:5">
      <c r="B2558" s="17">
        <v>42862</v>
      </c>
      <c r="D2558" t="s">
        <v>632</v>
      </c>
      <c r="E2558">
        <v>13.71</v>
      </c>
    </row>
    <row r="2559" spans="2:5">
      <c r="B2559" s="17">
        <v>42862</v>
      </c>
      <c r="D2559" t="s">
        <v>632</v>
      </c>
      <c r="E2559">
        <v>24.900000000000002</v>
      </c>
    </row>
    <row r="2560" spans="2:5">
      <c r="B2560" s="17">
        <v>42862</v>
      </c>
      <c r="D2560" t="s">
        <v>632</v>
      </c>
      <c r="E2560">
        <v>24.18</v>
      </c>
    </row>
    <row r="2561" spans="2:5">
      <c r="B2561" s="17">
        <v>42861</v>
      </c>
      <c r="D2561" t="s">
        <v>876</v>
      </c>
      <c r="E2561">
        <v>762.59399999999982</v>
      </c>
    </row>
    <row r="2562" spans="2:5">
      <c r="B2562" s="17">
        <v>42861</v>
      </c>
      <c r="D2562" t="s">
        <v>876</v>
      </c>
      <c r="E2562">
        <v>18.760000000000002</v>
      </c>
    </row>
    <row r="2563" spans="2:5">
      <c r="B2563" s="17">
        <v>42861</v>
      </c>
      <c r="D2563" t="s">
        <v>876</v>
      </c>
      <c r="E2563">
        <v>14.88</v>
      </c>
    </row>
    <row r="2564" spans="2:5">
      <c r="B2564" s="17">
        <v>42861</v>
      </c>
      <c r="D2564" t="s">
        <v>876</v>
      </c>
      <c r="E2564">
        <v>85.055999999999997</v>
      </c>
    </row>
    <row r="2565" spans="2:5">
      <c r="B2565" s="17">
        <v>42861</v>
      </c>
      <c r="D2565" t="s">
        <v>876</v>
      </c>
      <c r="E2565">
        <v>2.78</v>
      </c>
    </row>
    <row r="2566" spans="2:5">
      <c r="B2566" s="17">
        <v>42861</v>
      </c>
      <c r="D2566" t="s">
        <v>876</v>
      </c>
      <c r="E2566">
        <v>37.056000000000004</v>
      </c>
    </row>
    <row r="2567" spans="2:5">
      <c r="B2567" s="17">
        <v>42861</v>
      </c>
      <c r="D2567" t="s">
        <v>642</v>
      </c>
      <c r="E2567">
        <v>34.504000000000005</v>
      </c>
    </row>
    <row r="2568" spans="2:5">
      <c r="B2568" s="17">
        <v>42861</v>
      </c>
      <c r="D2568" t="s">
        <v>642</v>
      </c>
      <c r="E2568">
        <v>184.66</v>
      </c>
    </row>
    <row r="2569" spans="2:5">
      <c r="B2569" s="17">
        <v>42861</v>
      </c>
      <c r="D2569" t="s">
        <v>642</v>
      </c>
      <c r="E2569">
        <v>12.96</v>
      </c>
    </row>
    <row r="2570" spans="2:5">
      <c r="B2570" s="17">
        <v>42861</v>
      </c>
      <c r="D2570" t="s">
        <v>655</v>
      </c>
      <c r="E2570">
        <v>22.18</v>
      </c>
    </row>
    <row r="2571" spans="2:5">
      <c r="B2571" s="17">
        <v>42861</v>
      </c>
      <c r="D2571" t="s">
        <v>655</v>
      </c>
      <c r="E2571">
        <v>2054.2720000000004</v>
      </c>
    </row>
    <row r="2572" spans="2:5">
      <c r="B2572" s="17">
        <v>42861</v>
      </c>
      <c r="D2572" t="s">
        <v>655</v>
      </c>
      <c r="E2572">
        <v>10.528</v>
      </c>
    </row>
    <row r="2573" spans="2:5">
      <c r="B2573" s="17">
        <v>42861</v>
      </c>
      <c r="D2573" t="s">
        <v>655</v>
      </c>
      <c r="E2573">
        <v>20.544000000000004</v>
      </c>
    </row>
    <row r="2574" spans="2:5">
      <c r="B2574" s="17">
        <v>42860</v>
      </c>
      <c r="D2574" t="s">
        <v>1465</v>
      </c>
      <c r="E2574">
        <v>32.36</v>
      </c>
    </row>
    <row r="2575" spans="2:5">
      <c r="B2575" s="17">
        <v>42860</v>
      </c>
      <c r="D2575" t="s">
        <v>1465</v>
      </c>
      <c r="E2575">
        <v>406.59999999999997</v>
      </c>
    </row>
    <row r="2576" spans="2:5">
      <c r="B2576" s="17">
        <v>42860</v>
      </c>
      <c r="D2576" t="s">
        <v>1465</v>
      </c>
      <c r="E2576">
        <v>177.56800000000001</v>
      </c>
    </row>
    <row r="2577" spans="2:5">
      <c r="B2577" s="17">
        <v>42860</v>
      </c>
      <c r="D2577" t="s">
        <v>1465</v>
      </c>
      <c r="E2577">
        <v>19.440000000000001</v>
      </c>
    </row>
    <row r="2578" spans="2:5">
      <c r="B2578" s="17">
        <v>42860</v>
      </c>
      <c r="D2578" t="s">
        <v>1465</v>
      </c>
      <c r="E2578">
        <v>71.28</v>
      </c>
    </row>
    <row r="2579" spans="2:5">
      <c r="B2579" s="17">
        <v>42860</v>
      </c>
      <c r="D2579" t="s">
        <v>1465</v>
      </c>
      <c r="E2579">
        <v>1471.96</v>
      </c>
    </row>
    <row r="2580" spans="2:5">
      <c r="B2580" s="17">
        <v>42859</v>
      </c>
      <c r="D2580" t="s">
        <v>1465</v>
      </c>
      <c r="E2580">
        <v>79.959999999999994</v>
      </c>
    </row>
    <row r="2581" spans="2:5">
      <c r="B2581" s="17">
        <v>42859</v>
      </c>
      <c r="D2581" t="s">
        <v>1636</v>
      </c>
      <c r="E2581">
        <v>10.272000000000002</v>
      </c>
    </row>
    <row r="2582" spans="2:5">
      <c r="B2582" s="17">
        <v>42859</v>
      </c>
      <c r="D2582" t="s">
        <v>1636</v>
      </c>
      <c r="E2582">
        <v>512.19000000000005</v>
      </c>
    </row>
    <row r="2583" spans="2:5">
      <c r="B2583" s="17">
        <v>42859</v>
      </c>
      <c r="D2583" t="s">
        <v>1636</v>
      </c>
      <c r="E2583">
        <v>1.5559999999999996</v>
      </c>
    </row>
    <row r="2584" spans="2:5">
      <c r="B2584" s="17">
        <v>42859</v>
      </c>
      <c r="D2584" t="s">
        <v>894</v>
      </c>
      <c r="E2584">
        <v>143.952</v>
      </c>
    </row>
    <row r="2585" spans="2:5">
      <c r="B2585" s="17">
        <v>42859</v>
      </c>
      <c r="D2585" t="s">
        <v>894</v>
      </c>
      <c r="E2585">
        <v>19.440000000000001</v>
      </c>
    </row>
    <row r="2586" spans="2:5">
      <c r="B2586" s="17">
        <v>42859</v>
      </c>
      <c r="D2586" t="s">
        <v>894</v>
      </c>
      <c r="E2586">
        <v>67.900000000000006</v>
      </c>
    </row>
    <row r="2587" spans="2:5">
      <c r="B2587" s="17">
        <v>42859</v>
      </c>
      <c r="D2587" t="s">
        <v>894</v>
      </c>
      <c r="E2587">
        <v>195.68</v>
      </c>
    </row>
    <row r="2588" spans="2:5">
      <c r="B2588" s="17">
        <v>42859</v>
      </c>
      <c r="D2588" t="s">
        <v>894</v>
      </c>
      <c r="E2588">
        <v>14.2</v>
      </c>
    </row>
    <row r="2589" spans="2:5">
      <c r="B2589" s="17">
        <v>42859</v>
      </c>
      <c r="D2589" t="s">
        <v>731</v>
      </c>
      <c r="E2589">
        <v>8.36</v>
      </c>
    </row>
    <row r="2590" spans="2:5">
      <c r="B2590" s="17">
        <v>42859</v>
      </c>
      <c r="D2590" t="s">
        <v>731</v>
      </c>
      <c r="E2590">
        <v>39.900000000000006</v>
      </c>
    </row>
    <row r="2591" spans="2:5">
      <c r="B2591" s="17">
        <v>42858</v>
      </c>
      <c r="D2591" t="s">
        <v>731</v>
      </c>
      <c r="E2591">
        <v>90.86</v>
      </c>
    </row>
    <row r="2592" spans="2:5">
      <c r="B2592" s="17">
        <v>42858</v>
      </c>
      <c r="D2592" t="s">
        <v>731</v>
      </c>
      <c r="E2592">
        <v>94.85</v>
      </c>
    </row>
    <row r="2593" spans="2:5">
      <c r="B2593" s="17">
        <v>42858</v>
      </c>
      <c r="D2593" t="s">
        <v>731</v>
      </c>
      <c r="E2593">
        <v>45.36</v>
      </c>
    </row>
    <row r="2594" spans="2:5">
      <c r="B2594" s="17">
        <v>42858</v>
      </c>
      <c r="D2594" t="s">
        <v>731</v>
      </c>
      <c r="E2594">
        <v>45.78</v>
      </c>
    </row>
    <row r="2595" spans="2:5">
      <c r="B2595" s="17">
        <v>42858</v>
      </c>
      <c r="D2595" t="s">
        <v>731</v>
      </c>
      <c r="E2595">
        <v>166.44</v>
      </c>
    </row>
    <row r="2596" spans="2:5">
      <c r="B2596" s="17">
        <v>42858</v>
      </c>
      <c r="D2596" t="s">
        <v>1847</v>
      </c>
      <c r="E2596">
        <v>15.920000000000002</v>
      </c>
    </row>
    <row r="2597" spans="2:5">
      <c r="B2597" s="17">
        <v>42858</v>
      </c>
      <c r="D2597" t="s">
        <v>1847</v>
      </c>
      <c r="E2597">
        <v>19.049999999999997</v>
      </c>
    </row>
    <row r="2598" spans="2:5">
      <c r="B2598" s="17">
        <v>42858</v>
      </c>
      <c r="D2598" t="s">
        <v>1654</v>
      </c>
      <c r="E2598">
        <v>70.949999999999989</v>
      </c>
    </row>
    <row r="2599" spans="2:5">
      <c r="B2599" s="17">
        <v>42858</v>
      </c>
      <c r="D2599" t="s">
        <v>1654</v>
      </c>
      <c r="E2599">
        <v>56.699999999999996</v>
      </c>
    </row>
    <row r="2600" spans="2:5">
      <c r="B2600" s="17">
        <v>42857</v>
      </c>
      <c r="D2600" t="s">
        <v>1232</v>
      </c>
      <c r="E2600">
        <v>3.8820000000000006</v>
      </c>
    </row>
    <row r="2601" spans="2:5">
      <c r="B2601" s="17">
        <v>42857</v>
      </c>
      <c r="D2601" t="s">
        <v>1232</v>
      </c>
      <c r="E2601">
        <v>12.585000000000003</v>
      </c>
    </row>
    <row r="2602" spans="2:5">
      <c r="B2602" s="17">
        <v>42857</v>
      </c>
      <c r="D2602" t="s">
        <v>1232</v>
      </c>
      <c r="E2602">
        <v>113.372</v>
      </c>
    </row>
    <row r="2603" spans="2:5">
      <c r="B2603" s="17">
        <v>42857</v>
      </c>
      <c r="D2603" t="s">
        <v>1232</v>
      </c>
      <c r="E2603">
        <v>18.312000000000001</v>
      </c>
    </row>
    <row r="2604" spans="2:5">
      <c r="B2604" s="17">
        <v>42857</v>
      </c>
      <c r="D2604" t="s">
        <v>827</v>
      </c>
      <c r="E2604">
        <v>127.93599999999999</v>
      </c>
    </row>
    <row r="2605" spans="2:5">
      <c r="B2605" s="17">
        <v>42856</v>
      </c>
      <c r="D2605" t="s">
        <v>827</v>
      </c>
      <c r="E2605">
        <v>942.78400000000011</v>
      </c>
    </row>
    <row r="2606" spans="2:5">
      <c r="B2606" s="17">
        <v>42856</v>
      </c>
      <c r="D2606" t="s">
        <v>827</v>
      </c>
      <c r="E2606">
        <v>74.352000000000004</v>
      </c>
    </row>
    <row r="2607" spans="2:5">
      <c r="B2607" s="17">
        <v>42856</v>
      </c>
      <c r="D2607" t="s">
        <v>827</v>
      </c>
      <c r="E2607">
        <v>1079.8499999999999</v>
      </c>
    </row>
    <row r="2608" spans="2:5">
      <c r="B2608" s="17">
        <v>42856</v>
      </c>
      <c r="D2608" t="s">
        <v>827</v>
      </c>
      <c r="E2608">
        <v>70.98</v>
      </c>
    </row>
    <row r="2609" spans="2:5">
      <c r="B2609" s="17">
        <v>42856</v>
      </c>
      <c r="D2609" t="s">
        <v>835</v>
      </c>
      <c r="E2609">
        <v>29.950000000000003</v>
      </c>
    </row>
    <row r="2610" spans="2:5">
      <c r="B2610" s="17">
        <v>42856</v>
      </c>
      <c r="D2610" t="s">
        <v>835</v>
      </c>
      <c r="E2610">
        <v>589.41</v>
      </c>
    </row>
    <row r="2611" spans="2:5">
      <c r="B2611" s="17">
        <v>42855</v>
      </c>
      <c r="D2611" t="s">
        <v>835</v>
      </c>
      <c r="E2611">
        <v>8.56</v>
      </c>
    </row>
    <row r="2612" spans="2:5">
      <c r="B2612" s="17">
        <v>42855</v>
      </c>
      <c r="D2612" t="s">
        <v>840</v>
      </c>
      <c r="E2612">
        <v>11.56</v>
      </c>
    </row>
    <row r="2613" spans="2:5">
      <c r="B2613" s="17">
        <v>42855</v>
      </c>
      <c r="D2613" t="s">
        <v>840</v>
      </c>
      <c r="E2613">
        <v>895.94400000000019</v>
      </c>
    </row>
    <row r="2614" spans="2:5">
      <c r="B2614" s="17">
        <v>42855</v>
      </c>
      <c r="D2614" t="s">
        <v>840</v>
      </c>
      <c r="E2614">
        <v>31.872000000000003</v>
      </c>
    </row>
    <row r="2615" spans="2:5">
      <c r="B2615" s="17">
        <v>42855</v>
      </c>
      <c r="D2615" t="s">
        <v>439</v>
      </c>
      <c r="E2615">
        <v>35.56</v>
      </c>
    </row>
    <row r="2616" spans="2:5">
      <c r="B2616" s="17">
        <v>42855</v>
      </c>
      <c r="D2616" t="s">
        <v>1856</v>
      </c>
      <c r="E2616">
        <v>39.99</v>
      </c>
    </row>
    <row r="2617" spans="2:5">
      <c r="B2617" s="17">
        <v>42855</v>
      </c>
      <c r="D2617" t="s">
        <v>186</v>
      </c>
      <c r="E2617">
        <v>782.94</v>
      </c>
    </row>
    <row r="2618" spans="2:5">
      <c r="B2618" s="17">
        <v>42855</v>
      </c>
      <c r="D2618" t="s">
        <v>186</v>
      </c>
      <c r="E2618">
        <v>2357.4880000000003</v>
      </c>
    </row>
    <row r="2619" spans="2:5">
      <c r="B2619" s="17">
        <v>42855</v>
      </c>
      <c r="D2619" t="s">
        <v>186</v>
      </c>
      <c r="E2619">
        <v>369.54399999999998</v>
      </c>
    </row>
    <row r="2620" spans="2:5">
      <c r="B2620" s="17">
        <v>42855</v>
      </c>
      <c r="D2620" t="s">
        <v>1421</v>
      </c>
      <c r="E2620">
        <v>184.75200000000001</v>
      </c>
    </row>
    <row r="2621" spans="2:5">
      <c r="B2621" s="17">
        <v>42855</v>
      </c>
      <c r="D2621" t="s">
        <v>1421</v>
      </c>
      <c r="E2621">
        <v>163.96</v>
      </c>
    </row>
    <row r="2622" spans="2:5">
      <c r="B2622" s="17">
        <v>42855</v>
      </c>
      <c r="D2622" t="s">
        <v>1421</v>
      </c>
      <c r="E2622">
        <v>529.9</v>
      </c>
    </row>
    <row r="2623" spans="2:5">
      <c r="B2623" s="17">
        <v>42855</v>
      </c>
      <c r="D2623" t="s">
        <v>1421</v>
      </c>
      <c r="E2623">
        <v>99.3</v>
      </c>
    </row>
    <row r="2624" spans="2:5">
      <c r="B2624" s="17">
        <v>42855</v>
      </c>
      <c r="D2624" t="s">
        <v>1421</v>
      </c>
      <c r="E2624">
        <v>108.96</v>
      </c>
    </row>
    <row r="2625" spans="2:5">
      <c r="B2625" s="17">
        <v>42855</v>
      </c>
      <c r="D2625" t="s">
        <v>1421</v>
      </c>
      <c r="E2625">
        <v>2.6880000000000002</v>
      </c>
    </row>
    <row r="2626" spans="2:5">
      <c r="B2626" s="17">
        <v>42855</v>
      </c>
      <c r="D2626" t="s">
        <v>1421</v>
      </c>
      <c r="E2626">
        <v>47.400000000000006</v>
      </c>
    </row>
    <row r="2627" spans="2:5">
      <c r="B2627" s="17">
        <v>42855</v>
      </c>
      <c r="D2627" t="s">
        <v>882</v>
      </c>
      <c r="E2627">
        <v>512.96</v>
      </c>
    </row>
    <row r="2628" spans="2:5">
      <c r="B2628" s="17">
        <v>42855</v>
      </c>
      <c r="D2628" t="s">
        <v>882</v>
      </c>
      <c r="E2628">
        <v>395.93999999999994</v>
      </c>
    </row>
    <row r="2629" spans="2:5">
      <c r="B2629" s="17">
        <v>42854</v>
      </c>
      <c r="D2629" t="s">
        <v>882</v>
      </c>
      <c r="E2629">
        <v>81.96</v>
      </c>
    </row>
    <row r="2630" spans="2:5">
      <c r="B2630" s="17">
        <v>42854</v>
      </c>
      <c r="D2630" t="s">
        <v>882</v>
      </c>
      <c r="E2630">
        <v>31.744</v>
      </c>
    </row>
    <row r="2631" spans="2:5">
      <c r="B2631" s="17">
        <v>42853</v>
      </c>
      <c r="D2631" t="s">
        <v>882</v>
      </c>
      <c r="E2631">
        <v>12.419999999999998</v>
      </c>
    </row>
    <row r="2632" spans="2:5">
      <c r="B2632" s="17">
        <v>42853</v>
      </c>
      <c r="D2632" t="s">
        <v>603</v>
      </c>
      <c r="E2632">
        <v>38.619999999999997</v>
      </c>
    </row>
    <row r="2633" spans="2:5">
      <c r="B2633" s="17">
        <v>42853</v>
      </c>
      <c r="D2633" t="s">
        <v>603</v>
      </c>
      <c r="E2633">
        <v>59.98</v>
      </c>
    </row>
    <row r="2634" spans="2:5">
      <c r="B2634" s="17">
        <v>42853</v>
      </c>
      <c r="D2634" t="s">
        <v>603</v>
      </c>
      <c r="E2634">
        <v>8.82</v>
      </c>
    </row>
    <row r="2635" spans="2:5">
      <c r="B2635" s="17">
        <v>42852</v>
      </c>
      <c r="D2635" t="s">
        <v>603</v>
      </c>
      <c r="E2635">
        <v>5.98</v>
      </c>
    </row>
    <row r="2636" spans="2:5">
      <c r="B2636" s="17">
        <v>42852</v>
      </c>
      <c r="D2636" t="s">
        <v>1449</v>
      </c>
      <c r="E2636">
        <v>17.568000000000001</v>
      </c>
    </row>
    <row r="2637" spans="2:5">
      <c r="B2637" s="17">
        <v>42852</v>
      </c>
      <c r="D2637" t="s">
        <v>1449</v>
      </c>
      <c r="E2637">
        <v>55.991999999999997</v>
      </c>
    </row>
    <row r="2638" spans="2:5">
      <c r="B2638" s="17">
        <v>42852</v>
      </c>
      <c r="D2638" t="s">
        <v>1449</v>
      </c>
      <c r="E2638">
        <v>20.736000000000004</v>
      </c>
    </row>
    <row r="2639" spans="2:5">
      <c r="B2639" s="17">
        <v>42852</v>
      </c>
      <c r="D2639" t="s">
        <v>1449</v>
      </c>
      <c r="E2639">
        <v>71.975999999999999</v>
      </c>
    </row>
    <row r="2640" spans="2:5">
      <c r="B2640" s="17">
        <v>42852</v>
      </c>
      <c r="D2640" t="s">
        <v>1449</v>
      </c>
      <c r="E2640">
        <v>22.512000000000004</v>
      </c>
    </row>
    <row r="2641" spans="2:5">
      <c r="B2641" s="17">
        <v>42851</v>
      </c>
      <c r="D2641" t="s">
        <v>1449</v>
      </c>
      <c r="E2641">
        <v>3.4440000000000008</v>
      </c>
    </row>
    <row r="2642" spans="2:5">
      <c r="B2642" s="17">
        <v>42851</v>
      </c>
      <c r="D2642" t="s">
        <v>1449</v>
      </c>
      <c r="E2642">
        <v>538.19400000000007</v>
      </c>
    </row>
    <row r="2643" spans="2:5">
      <c r="B2643" s="17">
        <v>42851</v>
      </c>
      <c r="D2643" t="s">
        <v>1696</v>
      </c>
      <c r="E2643">
        <v>47.984000000000002</v>
      </c>
    </row>
    <row r="2644" spans="2:5">
      <c r="B2644" s="17">
        <v>42850</v>
      </c>
      <c r="D2644" t="s">
        <v>1696</v>
      </c>
      <c r="E2644">
        <v>20.544000000000004</v>
      </c>
    </row>
    <row r="2645" spans="2:5">
      <c r="B2645" s="17">
        <v>42850</v>
      </c>
      <c r="D2645" t="s">
        <v>1696</v>
      </c>
      <c r="E2645">
        <v>17.899999999999999</v>
      </c>
    </row>
    <row r="2646" spans="2:5">
      <c r="B2646" s="17">
        <v>42850</v>
      </c>
      <c r="D2646" t="s">
        <v>957</v>
      </c>
      <c r="E2646">
        <v>18</v>
      </c>
    </row>
    <row r="2647" spans="2:5">
      <c r="B2647" s="17">
        <v>42850</v>
      </c>
      <c r="D2647" t="s">
        <v>957</v>
      </c>
      <c r="E2647">
        <v>12.96</v>
      </c>
    </row>
    <row r="2648" spans="2:5">
      <c r="B2648" s="17">
        <v>42850</v>
      </c>
      <c r="D2648" t="s">
        <v>957</v>
      </c>
      <c r="E2648">
        <v>723.92</v>
      </c>
    </row>
    <row r="2649" spans="2:5">
      <c r="B2649" s="17">
        <v>42850</v>
      </c>
      <c r="D2649" t="s">
        <v>957</v>
      </c>
      <c r="E2649">
        <v>106.32</v>
      </c>
    </row>
    <row r="2650" spans="2:5">
      <c r="B2650" s="17">
        <v>42850</v>
      </c>
      <c r="D2650" t="s">
        <v>957</v>
      </c>
      <c r="E2650">
        <v>10.776000000000002</v>
      </c>
    </row>
    <row r="2651" spans="2:5">
      <c r="B2651" s="17">
        <v>42850</v>
      </c>
      <c r="D2651" t="s">
        <v>957</v>
      </c>
      <c r="E2651">
        <v>11.784000000000001</v>
      </c>
    </row>
    <row r="2652" spans="2:5">
      <c r="B2652" s="17">
        <v>42849</v>
      </c>
      <c r="D2652" t="s">
        <v>989</v>
      </c>
      <c r="E2652">
        <v>164.88</v>
      </c>
    </row>
    <row r="2653" spans="2:5">
      <c r="B2653" s="17">
        <v>42849</v>
      </c>
      <c r="D2653" t="s">
        <v>989</v>
      </c>
      <c r="E2653">
        <v>1292.94</v>
      </c>
    </row>
    <row r="2654" spans="2:5">
      <c r="B2654" s="17">
        <v>42849</v>
      </c>
      <c r="D2654" t="s">
        <v>989</v>
      </c>
      <c r="E2654">
        <v>25.584000000000003</v>
      </c>
    </row>
    <row r="2655" spans="2:5">
      <c r="B2655" s="17">
        <v>42849</v>
      </c>
      <c r="D2655" t="s">
        <v>989</v>
      </c>
      <c r="E2655">
        <v>14.399999999999999</v>
      </c>
    </row>
    <row r="2656" spans="2:5">
      <c r="B2656" s="17">
        <v>42849</v>
      </c>
      <c r="D2656" t="s">
        <v>989</v>
      </c>
      <c r="E2656">
        <v>9.9120000000000008</v>
      </c>
    </row>
    <row r="2657" spans="2:5">
      <c r="B2657" s="17">
        <v>42849</v>
      </c>
      <c r="D2657" t="s">
        <v>989</v>
      </c>
      <c r="E2657">
        <v>5.7999999999999989</v>
      </c>
    </row>
    <row r="2658" spans="2:5">
      <c r="B2658" s="17">
        <v>42849</v>
      </c>
      <c r="D2658" t="s">
        <v>989</v>
      </c>
      <c r="E2658">
        <v>1415.76</v>
      </c>
    </row>
    <row r="2659" spans="2:5">
      <c r="B2659" s="17">
        <v>42849</v>
      </c>
      <c r="D2659" t="s">
        <v>601</v>
      </c>
      <c r="E2659">
        <v>480</v>
      </c>
    </row>
    <row r="2660" spans="2:5">
      <c r="B2660" s="17">
        <v>42849</v>
      </c>
      <c r="D2660" t="s">
        <v>601</v>
      </c>
      <c r="E2660">
        <v>34.049999999999997</v>
      </c>
    </row>
    <row r="2661" spans="2:5">
      <c r="B2661" s="17">
        <v>42848</v>
      </c>
      <c r="D2661" t="s">
        <v>601</v>
      </c>
      <c r="E2661">
        <v>89.97</v>
      </c>
    </row>
    <row r="2662" spans="2:5">
      <c r="B2662" s="17">
        <v>42848</v>
      </c>
      <c r="D2662" t="s">
        <v>601</v>
      </c>
      <c r="E2662">
        <v>8.82</v>
      </c>
    </row>
    <row r="2663" spans="2:5">
      <c r="B2663" s="17">
        <v>42848</v>
      </c>
      <c r="D2663" t="s">
        <v>601</v>
      </c>
      <c r="E2663">
        <v>10.86</v>
      </c>
    </row>
    <row r="2664" spans="2:5">
      <c r="B2664" s="17">
        <v>42848</v>
      </c>
      <c r="D2664" t="s">
        <v>601</v>
      </c>
      <c r="E2664">
        <v>143.69999999999999</v>
      </c>
    </row>
    <row r="2665" spans="2:5">
      <c r="B2665" s="17">
        <v>42848</v>
      </c>
      <c r="D2665" t="s">
        <v>601</v>
      </c>
      <c r="E2665">
        <v>22.72</v>
      </c>
    </row>
    <row r="2666" spans="2:5">
      <c r="B2666" s="17">
        <v>42848</v>
      </c>
      <c r="D2666" t="s">
        <v>1157</v>
      </c>
      <c r="E2666">
        <v>8.9280000000000008</v>
      </c>
    </row>
    <row r="2667" spans="2:5">
      <c r="B2667" s="17">
        <v>42848</v>
      </c>
      <c r="D2667" t="s">
        <v>1157</v>
      </c>
      <c r="E2667">
        <v>47.584000000000003</v>
      </c>
    </row>
    <row r="2668" spans="2:5">
      <c r="B2668" s="17">
        <v>42848</v>
      </c>
      <c r="D2668" t="s">
        <v>1157</v>
      </c>
      <c r="E2668">
        <v>19.440000000000001</v>
      </c>
    </row>
    <row r="2669" spans="2:5">
      <c r="B2669" s="17">
        <v>42848</v>
      </c>
      <c r="D2669" t="s">
        <v>452</v>
      </c>
      <c r="E2669">
        <v>9.82</v>
      </c>
    </row>
    <row r="2670" spans="2:5">
      <c r="B2670" s="17">
        <v>42848</v>
      </c>
      <c r="D2670" t="s">
        <v>452</v>
      </c>
      <c r="E2670">
        <v>15.96</v>
      </c>
    </row>
    <row r="2671" spans="2:5">
      <c r="B2671" s="17">
        <v>42848</v>
      </c>
      <c r="D2671" t="s">
        <v>452</v>
      </c>
      <c r="E2671">
        <v>10.080000000000002</v>
      </c>
    </row>
    <row r="2672" spans="2:5">
      <c r="B2672" s="17">
        <v>42848</v>
      </c>
      <c r="D2672" t="s">
        <v>452</v>
      </c>
      <c r="E2672">
        <v>101.34</v>
      </c>
    </row>
    <row r="2673" spans="2:5">
      <c r="B2673" s="17">
        <v>42848</v>
      </c>
      <c r="D2673" t="s">
        <v>452</v>
      </c>
      <c r="E2673">
        <v>95.68</v>
      </c>
    </row>
    <row r="2674" spans="2:5">
      <c r="B2674" s="17">
        <v>42848</v>
      </c>
      <c r="D2674" t="s">
        <v>792</v>
      </c>
      <c r="E2674">
        <v>50.96</v>
      </c>
    </row>
    <row r="2675" spans="2:5">
      <c r="B2675" s="17">
        <v>42848</v>
      </c>
      <c r="D2675" t="s">
        <v>792</v>
      </c>
      <c r="E2675">
        <v>113.94</v>
      </c>
    </row>
    <row r="2676" spans="2:5">
      <c r="B2676" s="17">
        <v>42847</v>
      </c>
      <c r="D2676" t="s">
        <v>792</v>
      </c>
      <c r="E2676">
        <v>25.92</v>
      </c>
    </row>
    <row r="2677" spans="2:5">
      <c r="B2677" s="17">
        <v>42847</v>
      </c>
      <c r="D2677" t="s">
        <v>792</v>
      </c>
      <c r="E2677">
        <v>20.32</v>
      </c>
    </row>
    <row r="2678" spans="2:5">
      <c r="B2678" s="17">
        <v>42847</v>
      </c>
      <c r="D2678" t="s">
        <v>792</v>
      </c>
      <c r="E2678">
        <v>411.98</v>
      </c>
    </row>
    <row r="2679" spans="2:5">
      <c r="B2679" s="17">
        <v>42846</v>
      </c>
      <c r="D2679" t="s">
        <v>1517</v>
      </c>
      <c r="E2679">
        <v>34.479999999999997</v>
      </c>
    </row>
    <row r="2680" spans="2:5">
      <c r="B2680" s="17">
        <v>42846</v>
      </c>
      <c r="D2680" t="s">
        <v>1517</v>
      </c>
      <c r="E2680">
        <v>114.84800000000001</v>
      </c>
    </row>
    <row r="2681" spans="2:5">
      <c r="B2681" s="17">
        <v>42846</v>
      </c>
      <c r="D2681" t="s">
        <v>1517</v>
      </c>
      <c r="E2681">
        <v>95.616</v>
      </c>
    </row>
    <row r="2682" spans="2:5">
      <c r="B2682" s="17">
        <v>42846</v>
      </c>
      <c r="D2682" t="s">
        <v>911</v>
      </c>
      <c r="E2682">
        <v>191.976</v>
      </c>
    </row>
    <row r="2683" spans="2:5">
      <c r="B2683" s="17">
        <v>42846</v>
      </c>
      <c r="D2683" t="s">
        <v>911</v>
      </c>
      <c r="E2683">
        <v>23.832000000000001</v>
      </c>
    </row>
    <row r="2684" spans="2:5">
      <c r="B2684" s="17">
        <v>42846</v>
      </c>
      <c r="D2684" t="s">
        <v>911</v>
      </c>
      <c r="E2684">
        <v>409.21600000000001</v>
      </c>
    </row>
    <row r="2685" spans="2:5">
      <c r="B2685" s="17">
        <v>42846</v>
      </c>
      <c r="D2685" t="s">
        <v>911</v>
      </c>
      <c r="E2685">
        <v>72.588000000000008</v>
      </c>
    </row>
    <row r="2686" spans="2:5">
      <c r="B2686" s="17">
        <v>42846</v>
      </c>
      <c r="D2686" t="s">
        <v>911</v>
      </c>
      <c r="E2686">
        <v>32.400000000000006</v>
      </c>
    </row>
    <row r="2687" spans="2:5">
      <c r="B2687" s="17">
        <v>42845</v>
      </c>
      <c r="D2687" t="s">
        <v>911</v>
      </c>
      <c r="E2687">
        <v>149.94999999999999</v>
      </c>
    </row>
    <row r="2688" spans="2:5">
      <c r="B2688" s="17">
        <v>42845</v>
      </c>
      <c r="D2688" t="s">
        <v>911</v>
      </c>
      <c r="E2688">
        <v>23.32</v>
      </c>
    </row>
    <row r="2689" spans="2:5">
      <c r="B2689" s="17">
        <v>42845</v>
      </c>
      <c r="D2689" t="s">
        <v>911</v>
      </c>
      <c r="E2689">
        <v>16.740000000000002</v>
      </c>
    </row>
    <row r="2690" spans="2:5">
      <c r="B2690" s="17">
        <v>42845</v>
      </c>
      <c r="D2690" t="s">
        <v>1697</v>
      </c>
      <c r="E2690">
        <v>35.4</v>
      </c>
    </row>
    <row r="2691" spans="2:5">
      <c r="B2691" s="17">
        <v>42845</v>
      </c>
      <c r="D2691" t="s">
        <v>1697</v>
      </c>
      <c r="E2691">
        <v>12.624000000000001</v>
      </c>
    </row>
    <row r="2692" spans="2:5">
      <c r="B2692" s="17">
        <v>42845</v>
      </c>
      <c r="D2692" t="s">
        <v>1697</v>
      </c>
      <c r="E2692">
        <v>89.584000000000003</v>
      </c>
    </row>
    <row r="2693" spans="2:5">
      <c r="B2693" s="17">
        <v>42845</v>
      </c>
      <c r="D2693" t="s">
        <v>1697</v>
      </c>
      <c r="E2693">
        <v>471.92</v>
      </c>
    </row>
    <row r="2694" spans="2:5">
      <c r="B2694" s="17">
        <v>42845</v>
      </c>
      <c r="D2694" t="s">
        <v>1697</v>
      </c>
      <c r="E2694">
        <v>18.180000000000003</v>
      </c>
    </row>
    <row r="2695" spans="2:5">
      <c r="B2695" s="17">
        <v>42845</v>
      </c>
      <c r="D2695" t="s">
        <v>1697</v>
      </c>
      <c r="E2695">
        <v>4.8420000000000005</v>
      </c>
    </row>
    <row r="2696" spans="2:5">
      <c r="B2696" s="17">
        <v>42845</v>
      </c>
      <c r="D2696" t="s">
        <v>498</v>
      </c>
      <c r="E2696">
        <v>38.520000000000003</v>
      </c>
    </row>
    <row r="2697" spans="2:5">
      <c r="B2697" s="17">
        <v>42845</v>
      </c>
      <c r="D2697" t="s">
        <v>498</v>
      </c>
      <c r="E2697">
        <v>72.64</v>
      </c>
    </row>
    <row r="2698" spans="2:5">
      <c r="B2698" s="17">
        <v>42845</v>
      </c>
      <c r="D2698" t="s">
        <v>498</v>
      </c>
      <c r="E2698">
        <v>45.4</v>
      </c>
    </row>
    <row r="2699" spans="2:5">
      <c r="B2699" s="17">
        <v>42845</v>
      </c>
      <c r="D2699" t="s">
        <v>498</v>
      </c>
      <c r="E2699">
        <v>13.76</v>
      </c>
    </row>
    <row r="2700" spans="2:5">
      <c r="B2700" s="17">
        <v>42842</v>
      </c>
      <c r="D2700" t="s">
        <v>498</v>
      </c>
      <c r="E2700">
        <v>80.991</v>
      </c>
    </row>
    <row r="2701" spans="2:5">
      <c r="B2701" s="17">
        <v>42842</v>
      </c>
      <c r="D2701" t="s">
        <v>498</v>
      </c>
      <c r="E2701">
        <v>11.784000000000001</v>
      </c>
    </row>
    <row r="2702" spans="2:5">
      <c r="B2702" s="17">
        <v>42842</v>
      </c>
      <c r="D2702" t="s">
        <v>498</v>
      </c>
      <c r="E2702">
        <v>4.3600000000000003</v>
      </c>
    </row>
    <row r="2703" spans="2:5">
      <c r="B2703" s="17">
        <v>42842</v>
      </c>
      <c r="D2703" t="s">
        <v>498</v>
      </c>
      <c r="E2703">
        <v>2888.1270000000004</v>
      </c>
    </row>
    <row r="2704" spans="2:5">
      <c r="B2704" s="17">
        <v>42842</v>
      </c>
      <c r="D2704" t="s">
        <v>498</v>
      </c>
      <c r="E2704">
        <v>1299.6600000000001</v>
      </c>
    </row>
    <row r="2705" spans="2:5">
      <c r="B2705" s="17">
        <v>42842</v>
      </c>
      <c r="D2705" t="s">
        <v>498</v>
      </c>
      <c r="E2705">
        <v>2254.41</v>
      </c>
    </row>
    <row r="2706" spans="2:5">
      <c r="B2706" s="17">
        <v>42842</v>
      </c>
      <c r="D2706" t="s">
        <v>936</v>
      </c>
      <c r="E2706">
        <v>104.85000000000001</v>
      </c>
    </row>
    <row r="2707" spans="2:5">
      <c r="B2707" s="17">
        <v>42842</v>
      </c>
      <c r="D2707" t="s">
        <v>936</v>
      </c>
      <c r="E2707">
        <v>59.97</v>
      </c>
    </row>
    <row r="2708" spans="2:5">
      <c r="B2708" s="17">
        <v>42842</v>
      </c>
      <c r="D2708" t="s">
        <v>936</v>
      </c>
      <c r="E2708">
        <v>20.16</v>
      </c>
    </row>
    <row r="2709" spans="2:5">
      <c r="B2709" s="17">
        <v>42842</v>
      </c>
      <c r="D2709" t="s">
        <v>975</v>
      </c>
      <c r="E2709">
        <v>80.48</v>
      </c>
    </row>
    <row r="2710" spans="2:5">
      <c r="B2710" s="17">
        <v>42842</v>
      </c>
      <c r="D2710" t="s">
        <v>975</v>
      </c>
      <c r="E2710">
        <v>1.9080000000000004</v>
      </c>
    </row>
    <row r="2711" spans="2:5">
      <c r="B2711" s="17">
        <v>42842</v>
      </c>
      <c r="D2711" t="s">
        <v>975</v>
      </c>
      <c r="E2711">
        <v>71.98</v>
      </c>
    </row>
    <row r="2712" spans="2:5">
      <c r="B2712" s="17">
        <v>42842</v>
      </c>
      <c r="D2712" t="s">
        <v>975</v>
      </c>
      <c r="E2712">
        <v>79.98</v>
      </c>
    </row>
    <row r="2713" spans="2:5">
      <c r="B2713" s="17">
        <v>42841</v>
      </c>
      <c r="D2713" t="s">
        <v>975</v>
      </c>
      <c r="E2713">
        <v>12.294</v>
      </c>
    </row>
    <row r="2714" spans="2:5">
      <c r="B2714" s="17">
        <v>42841</v>
      </c>
      <c r="D2714" t="s">
        <v>975</v>
      </c>
      <c r="E2714">
        <v>15.51</v>
      </c>
    </row>
    <row r="2715" spans="2:5">
      <c r="B2715" s="17">
        <v>42841</v>
      </c>
      <c r="D2715" t="s">
        <v>975</v>
      </c>
      <c r="E2715">
        <v>55.86</v>
      </c>
    </row>
    <row r="2716" spans="2:5">
      <c r="B2716" s="17">
        <v>42841</v>
      </c>
      <c r="D2716" t="s">
        <v>496</v>
      </c>
      <c r="E2716">
        <v>98.16</v>
      </c>
    </row>
    <row r="2717" spans="2:5">
      <c r="B2717" s="17">
        <v>42841</v>
      </c>
      <c r="D2717" t="s">
        <v>496</v>
      </c>
      <c r="E2717">
        <v>33.04</v>
      </c>
    </row>
    <row r="2718" spans="2:5">
      <c r="B2718" s="17">
        <v>42841</v>
      </c>
      <c r="D2718" t="s">
        <v>496</v>
      </c>
      <c r="E2718">
        <v>86.97</v>
      </c>
    </row>
    <row r="2719" spans="2:5">
      <c r="B2719" s="17">
        <v>42841</v>
      </c>
      <c r="D2719" t="s">
        <v>496</v>
      </c>
      <c r="E2719">
        <v>5.6070000000000011</v>
      </c>
    </row>
    <row r="2720" spans="2:5">
      <c r="B2720" s="17">
        <v>42841</v>
      </c>
      <c r="D2720" t="s">
        <v>496</v>
      </c>
      <c r="E2720">
        <v>4663.7360000000008</v>
      </c>
    </row>
    <row r="2721" spans="2:5">
      <c r="B2721" s="17">
        <v>42841</v>
      </c>
      <c r="D2721" t="s">
        <v>742</v>
      </c>
      <c r="E2721">
        <v>79.984000000000009</v>
      </c>
    </row>
    <row r="2722" spans="2:5">
      <c r="B2722" s="17">
        <v>42841</v>
      </c>
      <c r="D2722" t="s">
        <v>742</v>
      </c>
      <c r="E2722">
        <v>27.72</v>
      </c>
    </row>
    <row r="2723" spans="2:5">
      <c r="B2723" s="17">
        <v>42840</v>
      </c>
      <c r="D2723" t="s">
        <v>510</v>
      </c>
      <c r="E2723">
        <v>13.392000000000001</v>
      </c>
    </row>
    <row r="2724" spans="2:5">
      <c r="B2724" s="17">
        <v>42840</v>
      </c>
      <c r="D2724" t="s">
        <v>510</v>
      </c>
      <c r="E2724">
        <v>11.227999999999998</v>
      </c>
    </row>
    <row r="2725" spans="2:5">
      <c r="B2725" s="17">
        <v>42840</v>
      </c>
      <c r="D2725" t="s">
        <v>510</v>
      </c>
      <c r="E2725">
        <v>691.96</v>
      </c>
    </row>
    <row r="2726" spans="2:5">
      <c r="B2726" s="17">
        <v>42840</v>
      </c>
      <c r="D2726" t="s">
        <v>510</v>
      </c>
      <c r="E2726">
        <v>34.950000000000003</v>
      </c>
    </row>
    <row r="2727" spans="2:5">
      <c r="B2727" s="17">
        <v>42840</v>
      </c>
      <c r="D2727" t="s">
        <v>510</v>
      </c>
      <c r="E2727">
        <v>27.18</v>
      </c>
    </row>
    <row r="2728" spans="2:5">
      <c r="B2728" s="17">
        <v>42840</v>
      </c>
      <c r="D2728" t="s">
        <v>510</v>
      </c>
      <c r="E2728">
        <v>391.98</v>
      </c>
    </row>
    <row r="2729" spans="2:5">
      <c r="B2729" s="17">
        <v>42839</v>
      </c>
      <c r="D2729" t="s">
        <v>617</v>
      </c>
      <c r="E2729">
        <v>67.400000000000006</v>
      </c>
    </row>
    <row r="2730" spans="2:5">
      <c r="B2730" s="17">
        <v>42839</v>
      </c>
      <c r="D2730" t="s">
        <v>617</v>
      </c>
      <c r="E2730">
        <v>40.176000000000002</v>
      </c>
    </row>
    <row r="2731" spans="2:5">
      <c r="B2731" s="17">
        <v>42839</v>
      </c>
      <c r="D2731" t="s">
        <v>617</v>
      </c>
      <c r="E2731">
        <v>12.96</v>
      </c>
    </row>
    <row r="2732" spans="2:5">
      <c r="B2732" s="17">
        <v>42839</v>
      </c>
      <c r="D2732" t="s">
        <v>617</v>
      </c>
      <c r="E2732">
        <v>17.940000000000001</v>
      </c>
    </row>
    <row r="2733" spans="2:5">
      <c r="B2733" s="17">
        <v>42839</v>
      </c>
      <c r="D2733" t="s">
        <v>617</v>
      </c>
      <c r="E2733">
        <v>21.96</v>
      </c>
    </row>
    <row r="2734" spans="2:5">
      <c r="B2734" s="17">
        <v>42839</v>
      </c>
      <c r="D2734" t="s">
        <v>617</v>
      </c>
      <c r="E2734">
        <v>1071</v>
      </c>
    </row>
    <row r="2735" spans="2:5">
      <c r="B2735" s="17">
        <v>42839</v>
      </c>
      <c r="D2735" t="s">
        <v>617</v>
      </c>
      <c r="E2735">
        <v>12.07</v>
      </c>
    </row>
    <row r="2736" spans="2:5">
      <c r="B2736" s="17">
        <v>42839</v>
      </c>
      <c r="D2736" t="s">
        <v>497</v>
      </c>
      <c r="E2736">
        <v>119.96</v>
      </c>
    </row>
    <row r="2737" spans="2:5">
      <c r="B2737" s="17">
        <v>42838</v>
      </c>
      <c r="D2737" t="s">
        <v>497</v>
      </c>
      <c r="E2737">
        <v>31.44</v>
      </c>
    </row>
    <row r="2738" spans="2:5">
      <c r="B2738" s="17">
        <v>42838</v>
      </c>
      <c r="D2738" t="s">
        <v>497</v>
      </c>
      <c r="E2738">
        <v>6.88</v>
      </c>
    </row>
    <row r="2739" spans="2:5">
      <c r="B2739" s="17">
        <v>42838</v>
      </c>
      <c r="D2739" t="s">
        <v>497</v>
      </c>
      <c r="E2739">
        <v>29.328000000000003</v>
      </c>
    </row>
    <row r="2740" spans="2:5">
      <c r="B2740" s="17">
        <v>42838</v>
      </c>
      <c r="D2740" t="s">
        <v>216</v>
      </c>
      <c r="E2740">
        <v>14.352000000000002</v>
      </c>
    </row>
    <row r="2741" spans="2:5">
      <c r="B2741" s="17">
        <v>42837</v>
      </c>
      <c r="D2741" t="s">
        <v>216</v>
      </c>
      <c r="E2741">
        <v>180.58800000000005</v>
      </c>
    </row>
    <row r="2742" spans="2:5">
      <c r="B2742" s="17">
        <v>42837</v>
      </c>
      <c r="D2742" t="s">
        <v>216</v>
      </c>
      <c r="E2742">
        <v>47.984000000000002</v>
      </c>
    </row>
    <row r="2743" spans="2:5">
      <c r="B2743" s="17">
        <v>42836</v>
      </c>
      <c r="D2743" t="s">
        <v>216</v>
      </c>
      <c r="E2743">
        <v>25.824000000000002</v>
      </c>
    </row>
    <row r="2744" spans="2:5">
      <c r="B2744" s="17">
        <v>42836</v>
      </c>
      <c r="D2744" t="s">
        <v>216</v>
      </c>
      <c r="E2744">
        <v>160.96</v>
      </c>
    </row>
    <row r="2745" spans="2:5">
      <c r="B2745" s="17">
        <v>42836</v>
      </c>
      <c r="D2745" t="s">
        <v>216</v>
      </c>
      <c r="E2745">
        <v>73.175999999999974</v>
      </c>
    </row>
    <row r="2746" spans="2:5">
      <c r="B2746" s="17">
        <v>42836</v>
      </c>
      <c r="D2746" t="s">
        <v>216</v>
      </c>
      <c r="E2746">
        <v>20.736000000000004</v>
      </c>
    </row>
    <row r="2747" spans="2:5">
      <c r="B2747" s="17">
        <v>42836</v>
      </c>
      <c r="D2747" t="s">
        <v>1442</v>
      </c>
      <c r="E2747">
        <v>39.984000000000002</v>
      </c>
    </row>
    <row r="2748" spans="2:5">
      <c r="B2748" s="17">
        <v>42836</v>
      </c>
      <c r="D2748" t="s">
        <v>1442</v>
      </c>
      <c r="E2748">
        <v>12.96</v>
      </c>
    </row>
    <row r="2749" spans="2:5">
      <c r="B2749" s="17">
        <v>42836</v>
      </c>
      <c r="D2749" t="s">
        <v>1138</v>
      </c>
      <c r="E2749">
        <v>594.81600000000003</v>
      </c>
    </row>
    <row r="2750" spans="2:5">
      <c r="B2750" s="17">
        <v>42835</v>
      </c>
      <c r="D2750" t="s">
        <v>295</v>
      </c>
      <c r="E2750">
        <v>72.960000000000008</v>
      </c>
    </row>
    <row r="2751" spans="2:5">
      <c r="B2751" s="17">
        <v>42835</v>
      </c>
      <c r="D2751" t="s">
        <v>295</v>
      </c>
      <c r="E2751">
        <v>9.2480000000000011</v>
      </c>
    </row>
    <row r="2752" spans="2:5">
      <c r="B2752" s="17">
        <v>42835</v>
      </c>
      <c r="D2752" t="s">
        <v>295</v>
      </c>
      <c r="E2752">
        <v>17.880000000000003</v>
      </c>
    </row>
    <row r="2753" spans="2:5">
      <c r="B2753" s="17">
        <v>42835</v>
      </c>
      <c r="D2753" t="s">
        <v>1007</v>
      </c>
      <c r="E2753">
        <v>103.05599999999998</v>
      </c>
    </row>
    <row r="2754" spans="2:5">
      <c r="B2754" s="17">
        <v>42835</v>
      </c>
      <c r="D2754" t="s">
        <v>1007</v>
      </c>
      <c r="E2754">
        <v>72</v>
      </c>
    </row>
    <row r="2755" spans="2:5">
      <c r="B2755" s="17">
        <v>42835</v>
      </c>
      <c r="D2755" t="s">
        <v>1007</v>
      </c>
      <c r="E2755">
        <v>655.90000000000009</v>
      </c>
    </row>
    <row r="2756" spans="2:5">
      <c r="B2756" s="17">
        <v>42835</v>
      </c>
      <c r="D2756" t="s">
        <v>1132</v>
      </c>
      <c r="E2756">
        <v>603.91999999999996</v>
      </c>
    </row>
    <row r="2757" spans="2:5">
      <c r="B2757" s="17">
        <v>42835</v>
      </c>
      <c r="D2757" t="s">
        <v>1132</v>
      </c>
      <c r="E2757">
        <v>1169.694</v>
      </c>
    </row>
    <row r="2758" spans="2:5">
      <c r="B2758" s="17">
        <v>42835</v>
      </c>
      <c r="D2758" t="s">
        <v>1132</v>
      </c>
      <c r="E2758">
        <v>40.29</v>
      </c>
    </row>
    <row r="2759" spans="2:5">
      <c r="B2759" s="17">
        <v>42835</v>
      </c>
      <c r="D2759" t="s">
        <v>1132</v>
      </c>
      <c r="E2759">
        <v>38.71</v>
      </c>
    </row>
    <row r="2760" spans="2:5">
      <c r="B2760" s="17">
        <v>42834</v>
      </c>
      <c r="D2760" t="s">
        <v>1132</v>
      </c>
      <c r="E2760">
        <v>391.98</v>
      </c>
    </row>
    <row r="2761" spans="2:5">
      <c r="B2761" s="17">
        <v>42834</v>
      </c>
      <c r="D2761" t="s">
        <v>1132</v>
      </c>
      <c r="E2761">
        <v>437.84999999999997</v>
      </c>
    </row>
    <row r="2762" spans="2:5">
      <c r="B2762" s="17">
        <v>42834</v>
      </c>
      <c r="D2762" t="s">
        <v>1132</v>
      </c>
      <c r="E2762">
        <v>859.2</v>
      </c>
    </row>
    <row r="2763" spans="2:5">
      <c r="B2763" s="17">
        <v>42834</v>
      </c>
      <c r="D2763" t="s">
        <v>1132</v>
      </c>
      <c r="E2763">
        <v>506.28</v>
      </c>
    </row>
    <row r="2764" spans="2:5">
      <c r="B2764" s="17">
        <v>42834</v>
      </c>
      <c r="D2764" t="s">
        <v>468</v>
      </c>
      <c r="E2764">
        <v>383.96000000000004</v>
      </c>
    </row>
    <row r="2765" spans="2:5">
      <c r="B2765" s="17">
        <v>42834</v>
      </c>
      <c r="D2765" t="s">
        <v>468</v>
      </c>
      <c r="E2765">
        <v>15.570000000000004</v>
      </c>
    </row>
    <row r="2766" spans="2:5">
      <c r="B2766" s="17">
        <v>42834</v>
      </c>
      <c r="D2766" t="s">
        <v>1528</v>
      </c>
      <c r="E2766">
        <v>15.51</v>
      </c>
    </row>
    <row r="2767" spans="2:5">
      <c r="B2767" s="17">
        <v>42834</v>
      </c>
      <c r="D2767" t="s">
        <v>619</v>
      </c>
      <c r="E2767">
        <v>89.9</v>
      </c>
    </row>
    <row r="2768" spans="2:5">
      <c r="B2768" s="17">
        <v>42834</v>
      </c>
      <c r="D2768" t="s">
        <v>619</v>
      </c>
      <c r="E2768">
        <v>14.28</v>
      </c>
    </row>
    <row r="2769" spans="2:5">
      <c r="B2769" s="17">
        <v>42834</v>
      </c>
      <c r="D2769" t="s">
        <v>619</v>
      </c>
      <c r="E2769">
        <v>12.72</v>
      </c>
    </row>
    <row r="2770" spans="2:5">
      <c r="B2770" s="17">
        <v>42834</v>
      </c>
      <c r="D2770" t="s">
        <v>619</v>
      </c>
      <c r="E2770">
        <v>15.75</v>
      </c>
    </row>
    <row r="2771" spans="2:5">
      <c r="B2771" s="17">
        <v>42834</v>
      </c>
      <c r="D2771" t="s">
        <v>1594</v>
      </c>
      <c r="E2771">
        <v>520.46399999999994</v>
      </c>
    </row>
    <row r="2772" spans="2:5">
      <c r="B2772" s="17">
        <v>42833</v>
      </c>
      <c r="D2772" t="s">
        <v>1594</v>
      </c>
      <c r="E2772">
        <v>11.423999999999999</v>
      </c>
    </row>
    <row r="2773" spans="2:5">
      <c r="B2773" s="17">
        <v>42833</v>
      </c>
      <c r="D2773" t="s">
        <v>1594</v>
      </c>
      <c r="E2773">
        <v>31.08</v>
      </c>
    </row>
    <row r="2774" spans="2:5">
      <c r="B2774" s="17">
        <v>42833</v>
      </c>
      <c r="D2774" t="s">
        <v>1671</v>
      </c>
      <c r="E2774">
        <v>7.3</v>
      </c>
    </row>
    <row r="2775" spans="2:5">
      <c r="B2775" s="17">
        <v>42833</v>
      </c>
      <c r="D2775" t="s">
        <v>538</v>
      </c>
      <c r="E2775">
        <v>20.7</v>
      </c>
    </row>
    <row r="2776" spans="2:5">
      <c r="B2776" s="17">
        <v>42833</v>
      </c>
      <c r="D2776" t="s">
        <v>538</v>
      </c>
      <c r="E2776">
        <v>488.64600000000002</v>
      </c>
    </row>
    <row r="2777" spans="2:5">
      <c r="B2777" s="17">
        <v>42833</v>
      </c>
      <c r="D2777" t="s">
        <v>538</v>
      </c>
      <c r="E2777">
        <v>5.56</v>
      </c>
    </row>
    <row r="2778" spans="2:5">
      <c r="B2778" s="17">
        <v>42833</v>
      </c>
      <c r="D2778" t="s">
        <v>538</v>
      </c>
      <c r="E2778">
        <v>47.12</v>
      </c>
    </row>
    <row r="2779" spans="2:5">
      <c r="B2779" s="17">
        <v>42833</v>
      </c>
      <c r="D2779" t="s">
        <v>538</v>
      </c>
      <c r="E2779">
        <v>8.26</v>
      </c>
    </row>
    <row r="2780" spans="2:5">
      <c r="B2780" s="17">
        <v>42832</v>
      </c>
      <c r="D2780" t="s">
        <v>282</v>
      </c>
      <c r="E2780">
        <v>119.96000000000001</v>
      </c>
    </row>
    <row r="2781" spans="2:5">
      <c r="B2781" s="17">
        <v>42832</v>
      </c>
      <c r="D2781" t="s">
        <v>282</v>
      </c>
      <c r="E2781">
        <v>10.608000000000001</v>
      </c>
    </row>
    <row r="2782" spans="2:5">
      <c r="B2782" s="17">
        <v>42832</v>
      </c>
      <c r="D2782" t="s">
        <v>282</v>
      </c>
      <c r="E2782">
        <v>39.900000000000006</v>
      </c>
    </row>
    <row r="2783" spans="2:5">
      <c r="B2783" s="17">
        <v>42832</v>
      </c>
      <c r="D2783" t="s">
        <v>282</v>
      </c>
      <c r="E2783">
        <v>177.54999999999998</v>
      </c>
    </row>
    <row r="2784" spans="2:5">
      <c r="B2784" s="17">
        <v>42832</v>
      </c>
      <c r="D2784" t="s">
        <v>282</v>
      </c>
      <c r="E2784">
        <v>8.5950000000000024</v>
      </c>
    </row>
    <row r="2785" spans="2:5">
      <c r="B2785" s="17">
        <v>42832</v>
      </c>
      <c r="D2785" t="s">
        <v>282</v>
      </c>
      <c r="E2785">
        <v>190.89600000000002</v>
      </c>
    </row>
    <row r="2786" spans="2:5">
      <c r="B2786" s="17">
        <v>42832</v>
      </c>
      <c r="D2786" t="s">
        <v>282</v>
      </c>
      <c r="E2786">
        <v>24.448</v>
      </c>
    </row>
    <row r="2787" spans="2:5">
      <c r="B2787" s="17">
        <v>42831</v>
      </c>
      <c r="D2787" t="s">
        <v>282</v>
      </c>
      <c r="E2787">
        <v>419.13599999999997</v>
      </c>
    </row>
    <row r="2788" spans="2:5">
      <c r="B2788" s="17">
        <v>42831</v>
      </c>
      <c r="D2788" t="s">
        <v>282</v>
      </c>
      <c r="E2788">
        <v>71.88</v>
      </c>
    </row>
    <row r="2789" spans="2:5">
      <c r="B2789" s="17">
        <v>42829</v>
      </c>
      <c r="D2789" t="s">
        <v>1695</v>
      </c>
      <c r="E2789">
        <v>9.24</v>
      </c>
    </row>
    <row r="2790" spans="2:5">
      <c r="B2790" s="17">
        <v>42829</v>
      </c>
      <c r="D2790" t="s">
        <v>1695</v>
      </c>
      <c r="E2790">
        <v>35.880000000000003</v>
      </c>
    </row>
    <row r="2791" spans="2:5">
      <c r="B2791" s="17">
        <v>42829</v>
      </c>
      <c r="D2791" t="s">
        <v>1695</v>
      </c>
      <c r="E2791">
        <v>17.04</v>
      </c>
    </row>
    <row r="2792" spans="2:5">
      <c r="B2792" s="17">
        <v>42829</v>
      </c>
      <c r="D2792" t="s">
        <v>1695</v>
      </c>
      <c r="E2792">
        <v>931.17600000000016</v>
      </c>
    </row>
    <row r="2793" spans="2:5">
      <c r="B2793" s="17">
        <v>42829</v>
      </c>
      <c r="D2793" t="s">
        <v>1695</v>
      </c>
      <c r="E2793">
        <v>2.2239999999999998</v>
      </c>
    </row>
    <row r="2794" spans="2:5">
      <c r="B2794" s="17">
        <v>42829</v>
      </c>
      <c r="D2794" t="s">
        <v>1695</v>
      </c>
      <c r="E2794">
        <v>1.7440000000000002</v>
      </c>
    </row>
    <row r="2795" spans="2:5">
      <c r="B2795" s="17">
        <v>42828</v>
      </c>
      <c r="D2795" t="s">
        <v>1695</v>
      </c>
      <c r="E2795">
        <v>32.776000000000003</v>
      </c>
    </row>
    <row r="2796" spans="2:5">
      <c r="B2796" s="17">
        <v>42828</v>
      </c>
      <c r="D2796" t="s">
        <v>1695</v>
      </c>
      <c r="E2796">
        <v>147.184</v>
      </c>
    </row>
    <row r="2797" spans="2:5">
      <c r="B2797" s="17">
        <v>42827</v>
      </c>
      <c r="D2797" t="s">
        <v>1747</v>
      </c>
      <c r="E2797">
        <v>54.384000000000007</v>
      </c>
    </row>
    <row r="2798" spans="2:5">
      <c r="B2798" s="17">
        <v>42827</v>
      </c>
      <c r="D2798" t="s">
        <v>145</v>
      </c>
      <c r="E2798">
        <v>76.77600000000001</v>
      </c>
    </row>
    <row r="2799" spans="2:5">
      <c r="B2799" s="17">
        <v>42827</v>
      </c>
      <c r="D2799" t="s">
        <v>145</v>
      </c>
      <c r="E2799">
        <v>14.352000000000002</v>
      </c>
    </row>
    <row r="2800" spans="2:5">
      <c r="B2800" s="17">
        <v>42827</v>
      </c>
      <c r="D2800" t="s">
        <v>424</v>
      </c>
      <c r="E2800">
        <v>9.24</v>
      </c>
    </row>
    <row r="2801" spans="2:5">
      <c r="B2801" s="17">
        <v>42827</v>
      </c>
      <c r="D2801" t="s">
        <v>424</v>
      </c>
      <c r="E2801">
        <v>10.368000000000002</v>
      </c>
    </row>
    <row r="2802" spans="2:5">
      <c r="B2802" s="17">
        <v>42826</v>
      </c>
      <c r="D2802" t="s">
        <v>424</v>
      </c>
      <c r="E2802">
        <v>2.6550000000000002</v>
      </c>
    </row>
    <row r="2803" spans="2:5">
      <c r="B2803" s="17">
        <v>42826</v>
      </c>
      <c r="D2803" t="s">
        <v>424</v>
      </c>
      <c r="E2803">
        <v>7.9680000000000009</v>
      </c>
    </row>
    <row r="2804" spans="2:5">
      <c r="B2804" s="17">
        <v>42826</v>
      </c>
      <c r="D2804" t="s">
        <v>657</v>
      </c>
      <c r="E2804">
        <v>27.968000000000004</v>
      </c>
    </row>
    <row r="2805" spans="2:5">
      <c r="B2805" s="17">
        <v>42826</v>
      </c>
      <c r="D2805" t="s">
        <v>657</v>
      </c>
      <c r="E2805">
        <v>63.686</v>
      </c>
    </row>
    <row r="2806" spans="2:5">
      <c r="B2806" s="17">
        <v>42826</v>
      </c>
      <c r="D2806" t="s">
        <v>657</v>
      </c>
      <c r="E2806">
        <v>344.22</v>
      </c>
    </row>
    <row r="2807" spans="2:5">
      <c r="B2807" s="17">
        <v>42826</v>
      </c>
      <c r="D2807" t="s">
        <v>1868</v>
      </c>
      <c r="E2807">
        <v>15.552000000000003</v>
      </c>
    </row>
    <row r="2808" spans="2:5">
      <c r="B2808" s="17">
        <v>42826</v>
      </c>
      <c r="D2808" t="s">
        <v>1703</v>
      </c>
      <c r="E2808">
        <v>21.248000000000001</v>
      </c>
    </row>
    <row r="2809" spans="2:5">
      <c r="B2809" s="17">
        <v>42826</v>
      </c>
      <c r="D2809" t="s">
        <v>1703</v>
      </c>
      <c r="E2809">
        <v>8.4480000000000004</v>
      </c>
    </row>
    <row r="2810" spans="2:5">
      <c r="B2810" s="17">
        <v>42826</v>
      </c>
      <c r="D2810" t="s">
        <v>1703</v>
      </c>
      <c r="E2810">
        <v>23.34</v>
      </c>
    </row>
    <row r="2811" spans="2:5">
      <c r="B2811" s="17">
        <v>42826</v>
      </c>
      <c r="D2811" t="s">
        <v>443</v>
      </c>
      <c r="E2811">
        <v>51.550000000000004</v>
      </c>
    </row>
    <row r="2812" spans="2:5">
      <c r="B2812" s="17">
        <v>42826</v>
      </c>
      <c r="D2812" t="s">
        <v>443</v>
      </c>
      <c r="E2812">
        <v>35</v>
      </c>
    </row>
    <row r="2813" spans="2:5">
      <c r="B2813" s="17">
        <v>42826</v>
      </c>
      <c r="D2813" t="s">
        <v>443</v>
      </c>
      <c r="E2813">
        <v>72.784000000000006</v>
      </c>
    </row>
    <row r="2814" spans="2:5">
      <c r="B2814" s="17">
        <v>42825</v>
      </c>
      <c r="D2814" t="s">
        <v>443</v>
      </c>
      <c r="E2814">
        <v>97.84</v>
      </c>
    </row>
    <row r="2815" spans="2:5">
      <c r="B2815" s="17">
        <v>42825</v>
      </c>
      <c r="D2815" t="s">
        <v>1780</v>
      </c>
      <c r="E2815">
        <v>51.75</v>
      </c>
    </row>
    <row r="2816" spans="2:5">
      <c r="B2816" s="17">
        <v>42825</v>
      </c>
      <c r="D2816" t="s">
        <v>1780</v>
      </c>
      <c r="E2816">
        <v>46.672000000000004</v>
      </c>
    </row>
    <row r="2817" spans="2:5">
      <c r="B2817" s="17">
        <v>42825</v>
      </c>
      <c r="D2817" t="s">
        <v>980</v>
      </c>
      <c r="E2817">
        <v>51.168000000000006</v>
      </c>
    </row>
    <row r="2818" spans="2:5">
      <c r="B2818" s="17">
        <v>42825</v>
      </c>
      <c r="D2818" t="s">
        <v>980</v>
      </c>
      <c r="E2818">
        <v>99.2</v>
      </c>
    </row>
    <row r="2819" spans="2:5">
      <c r="B2819" s="17">
        <v>42825</v>
      </c>
      <c r="D2819" t="s">
        <v>980</v>
      </c>
      <c r="E2819">
        <v>7.98</v>
      </c>
    </row>
    <row r="2820" spans="2:5">
      <c r="B2820" s="17">
        <v>42825</v>
      </c>
      <c r="D2820" t="s">
        <v>980</v>
      </c>
      <c r="E2820">
        <v>97.3</v>
      </c>
    </row>
    <row r="2821" spans="2:5">
      <c r="B2821" s="17">
        <v>42825</v>
      </c>
      <c r="D2821" t="s">
        <v>980</v>
      </c>
      <c r="E2821">
        <v>11.76</v>
      </c>
    </row>
    <row r="2822" spans="2:5">
      <c r="B2822" s="17">
        <v>42825</v>
      </c>
      <c r="D2822" t="s">
        <v>980</v>
      </c>
      <c r="E2822">
        <v>167.94</v>
      </c>
    </row>
    <row r="2823" spans="2:5">
      <c r="B2823" s="17">
        <v>42825</v>
      </c>
      <c r="D2823" t="s">
        <v>1853</v>
      </c>
      <c r="E2823">
        <v>3.89</v>
      </c>
    </row>
    <row r="2824" spans="2:5">
      <c r="B2824" s="17">
        <v>42825</v>
      </c>
      <c r="D2824" t="s">
        <v>1853</v>
      </c>
      <c r="E2824">
        <v>164.88</v>
      </c>
    </row>
    <row r="2825" spans="2:5">
      <c r="B2825" s="17">
        <v>42825</v>
      </c>
      <c r="D2825" t="s">
        <v>1853</v>
      </c>
      <c r="E2825">
        <v>159.97999999999999</v>
      </c>
    </row>
    <row r="2826" spans="2:5">
      <c r="B2826" s="17">
        <v>42825</v>
      </c>
      <c r="D2826" t="s">
        <v>457</v>
      </c>
      <c r="E2826">
        <v>20.664000000000001</v>
      </c>
    </row>
    <row r="2827" spans="2:5">
      <c r="B2827" s="17">
        <v>42824</v>
      </c>
      <c r="D2827" t="s">
        <v>457</v>
      </c>
      <c r="E2827">
        <v>11.645999999999997</v>
      </c>
    </row>
    <row r="2828" spans="2:5">
      <c r="B2828" s="17">
        <v>42824</v>
      </c>
      <c r="D2828" t="s">
        <v>457</v>
      </c>
      <c r="E2828">
        <v>6.6719999999999988</v>
      </c>
    </row>
    <row r="2829" spans="2:5">
      <c r="B2829" s="17">
        <v>42824</v>
      </c>
      <c r="D2829" t="s">
        <v>457</v>
      </c>
      <c r="E2829">
        <v>91.84</v>
      </c>
    </row>
    <row r="2830" spans="2:5">
      <c r="B2830" s="17">
        <v>42824</v>
      </c>
      <c r="D2830" t="s">
        <v>457</v>
      </c>
      <c r="E2830">
        <v>81.088000000000008</v>
      </c>
    </row>
    <row r="2831" spans="2:5">
      <c r="B2831" s="17">
        <v>42824</v>
      </c>
      <c r="D2831" t="s">
        <v>457</v>
      </c>
      <c r="E2831">
        <v>19.440000000000001</v>
      </c>
    </row>
    <row r="2832" spans="2:5">
      <c r="B2832" s="17">
        <v>42824</v>
      </c>
      <c r="D2832" t="s">
        <v>183</v>
      </c>
      <c r="E2832">
        <v>451.15199999999993</v>
      </c>
    </row>
    <row r="2833" spans="2:5">
      <c r="B2833" s="17">
        <v>42823</v>
      </c>
      <c r="D2833" t="s">
        <v>183</v>
      </c>
      <c r="E2833">
        <v>1.4400000000000002</v>
      </c>
    </row>
    <row r="2834" spans="2:5">
      <c r="B2834" s="17">
        <v>42822</v>
      </c>
      <c r="D2834" t="s">
        <v>183</v>
      </c>
      <c r="E2834">
        <v>61.77600000000001</v>
      </c>
    </row>
    <row r="2835" spans="2:5">
      <c r="B2835" s="17">
        <v>42822</v>
      </c>
      <c r="D2835" t="s">
        <v>183</v>
      </c>
      <c r="E2835">
        <v>108.608</v>
      </c>
    </row>
    <row r="2836" spans="2:5">
      <c r="B2836" s="17">
        <v>42822</v>
      </c>
      <c r="D2836" t="s">
        <v>183</v>
      </c>
      <c r="E2836">
        <v>1704.89</v>
      </c>
    </row>
    <row r="2837" spans="2:5">
      <c r="B2837" s="17">
        <v>42822</v>
      </c>
      <c r="D2837" t="s">
        <v>183</v>
      </c>
      <c r="E2837">
        <v>104.85</v>
      </c>
    </row>
    <row r="2838" spans="2:5">
      <c r="B2838" s="17">
        <v>42822</v>
      </c>
      <c r="D2838" t="s">
        <v>183</v>
      </c>
      <c r="E2838">
        <v>104.75</v>
      </c>
    </row>
    <row r="2839" spans="2:5">
      <c r="B2839" s="17">
        <v>42822</v>
      </c>
      <c r="D2839" t="s">
        <v>554</v>
      </c>
      <c r="E2839">
        <v>58.050000000000004</v>
      </c>
    </row>
    <row r="2840" spans="2:5">
      <c r="B2840" s="17">
        <v>42822</v>
      </c>
      <c r="D2840" t="s">
        <v>554</v>
      </c>
      <c r="E2840">
        <v>157.74</v>
      </c>
    </row>
    <row r="2841" spans="2:5">
      <c r="B2841" s="17">
        <v>42822</v>
      </c>
      <c r="D2841" t="s">
        <v>554</v>
      </c>
      <c r="E2841">
        <v>56.980000000000004</v>
      </c>
    </row>
    <row r="2842" spans="2:5">
      <c r="B2842" s="17">
        <v>42821</v>
      </c>
      <c r="D2842" t="s">
        <v>554</v>
      </c>
      <c r="E2842">
        <v>2.88</v>
      </c>
    </row>
    <row r="2843" spans="2:5">
      <c r="B2843" s="17">
        <v>42821</v>
      </c>
      <c r="D2843" t="s">
        <v>554</v>
      </c>
      <c r="E2843">
        <v>49.12</v>
      </c>
    </row>
    <row r="2844" spans="2:5">
      <c r="B2844" s="17">
        <v>42821</v>
      </c>
      <c r="D2844" t="s">
        <v>554</v>
      </c>
      <c r="E2844">
        <v>65.989999999999995</v>
      </c>
    </row>
    <row r="2845" spans="2:5">
      <c r="B2845" s="17">
        <v>42821</v>
      </c>
      <c r="D2845" t="s">
        <v>554</v>
      </c>
      <c r="E2845">
        <v>8.94</v>
      </c>
    </row>
    <row r="2846" spans="2:5">
      <c r="B2846" s="17">
        <v>42821</v>
      </c>
      <c r="D2846" t="s">
        <v>554</v>
      </c>
      <c r="E2846">
        <v>84.784000000000006</v>
      </c>
    </row>
    <row r="2847" spans="2:5">
      <c r="B2847" s="17">
        <v>42821</v>
      </c>
      <c r="D2847" t="s">
        <v>1558</v>
      </c>
      <c r="E2847">
        <v>112.12000000000002</v>
      </c>
    </row>
    <row r="2848" spans="2:5">
      <c r="B2848" s="17">
        <v>42821</v>
      </c>
      <c r="D2848" t="s">
        <v>1558</v>
      </c>
      <c r="E2848">
        <v>1575.14</v>
      </c>
    </row>
    <row r="2849" spans="2:5">
      <c r="B2849" s="17">
        <v>42821</v>
      </c>
      <c r="D2849" t="s">
        <v>1558</v>
      </c>
      <c r="E2849">
        <v>11.808</v>
      </c>
    </row>
    <row r="2850" spans="2:5">
      <c r="B2850" s="17">
        <v>42821</v>
      </c>
      <c r="D2850" t="s">
        <v>1558</v>
      </c>
      <c r="E2850">
        <v>9.6560000000000006</v>
      </c>
    </row>
    <row r="2851" spans="2:5">
      <c r="B2851" s="17">
        <v>42821</v>
      </c>
      <c r="D2851" t="s">
        <v>1647</v>
      </c>
      <c r="E2851">
        <v>20.736000000000004</v>
      </c>
    </row>
    <row r="2852" spans="2:5">
      <c r="B2852" s="17">
        <v>42821</v>
      </c>
      <c r="D2852" t="s">
        <v>1647</v>
      </c>
      <c r="E2852">
        <v>27.360000000000003</v>
      </c>
    </row>
    <row r="2853" spans="2:5">
      <c r="B2853" s="17">
        <v>42821</v>
      </c>
      <c r="D2853" t="s">
        <v>1647</v>
      </c>
      <c r="E2853">
        <v>2314.116</v>
      </c>
    </row>
    <row r="2854" spans="2:5">
      <c r="B2854" s="17">
        <v>42821</v>
      </c>
      <c r="D2854" t="s">
        <v>781</v>
      </c>
      <c r="E2854">
        <v>34.236000000000004</v>
      </c>
    </row>
    <row r="2855" spans="2:5">
      <c r="B2855" s="17">
        <v>42821</v>
      </c>
      <c r="D2855" t="s">
        <v>781</v>
      </c>
      <c r="E2855">
        <v>19.760000000000002</v>
      </c>
    </row>
    <row r="2856" spans="2:5">
      <c r="B2856" s="17">
        <v>42820</v>
      </c>
      <c r="D2856" t="s">
        <v>781</v>
      </c>
      <c r="E2856">
        <v>10.16</v>
      </c>
    </row>
    <row r="2857" spans="2:5">
      <c r="B2857" s="17">
        <v>42820</v>
      </c>
      <c r="D2857" t="s">
        <v>781</v>
      </c>
      <c r="E2857">
        <v>39.072000000000003</v>
      </c>
    </row>
    <row r="2858" spans="2:5">
      <c r="B2858" s="17">
        <v>42820</v>
      </c>
      <c r="D2858" t="s">
        <v>781</v>
      </c>
      <c r="E2858">
        <v>22.638000000000002</v>
      </c>
    </row>
    <row r="2859" spans="2:5">
      <c r="B2859" s="17">
        <v>42820</v>
      </c>
      <c r="D2859" t="s">
        <v>781</v>
      </c>
      <c r="E2859">
        <v>95.143999999999991</v>
      </c>
    </row>
    <row r="2860" spans="2:5">
      <c r="B2860" s="17">
        <v>42820</v>
      </c>
      <c r="D2860" t="s">
        <v>781</v>
      </c>
      <c r="E2860">
        <v>17.46</v>
      </c>
    </row>
    <row r="2861" spans="2:5">
      <c r="B2861" s="17">
        <v>42820</v>
      </c>
      <c r="D2861" t="s">
        <v>781</v>
      </c>
      <c r="E2861">
        <v>369.16</v>
      </c>
    </row>
    <row r="2862" spans="2:5">
      <c r="B2862" s="17">
        <v>42820</v>
      </c>
      <c r="D2862" t="s">
        <v>1202</v>
      </c>
      <c r="E2862">
        <v>15.223999999999997</v>
      </c>
    </row>
    <row r="2863" spans="2:5">
      <c r="B2863" s="17">
        <v>42820</v>
      </c>
      <c r="D2863" t="s">
        <v>1202</v>
      </c>
      <c r="E2863">
        <v>21.983999999999995</v>
      </c>
    </row>
    <row r="2864" spans="2:5">
      <c r="B2864" s="17">
        <v>42820</v>
      </c>
      <c r="D2864" t="s">
        <v>1202</v>
      </c>
      <c r="E2864">
        <v>1793.98</v>
      </c>
    </row>
    <row r="2865" spans="2:5">
      <c r="B2865" s="17">
        <v>42820</v>
      </c>
      <c r="D2865" t="s">
        <v>1202</v>
      </c>
      <c r="E2865">
        <v>22.58</v>
      </c>
    </row>
    <row r="2866" spans="2:5">
      <c r="B2866" s="17">
        <v>42820</v>
      </c>
      <c r="D2866" t="s">
        <v>421</v>
      </c>
      <c r="E2866">
        <v>171.28800000000001</v>
      </c>
    </row>
    <row r="2867" spans="2:5">
      <c r="B2867" s="17">
        <v>42819</v>
      </c>
      <c r="D2867" t="s">
        <v>421</v>
      </c>
      <c r="E2867">
        <v>15.552000000000003</v>
      </c>
    </row>
    <row r="2868" spans="2:5">
      <c r="B2868" s="17">
        <v>42819</v>
      </c>
      <c r="D2868" t="s">
        <v>421</v>
      </c>
      <c r="E2868">
        <v>17.920000000000002</v>
      </c>
    </row>
    <row r="2869" spans="2:5">
      <c r="B2869" s="17">
        <v>42819</v>
      </c>
      <c r="D2869" t="s">
        <v>421</v>
      </c>
      <c r="E2869">
        <v>83.92</v>
      </c>
    </row>
    <row r="2870" spans="2:5">
      <c r="B2870" s="17">
        <v>42819</v>
      </c>
      <c r="D2870" t="s">
        <v>421</v>
      </c>
      <c r="E2870">
        <v>6.63</v>
      </c>
    </row>
    <row r="2871" spans="2:5">
      <c r="B2871" s="17">
        <v>42819</v>
      </c>
      <c r="D2871" t="s">
        <v>421</v>
      </c>
      <c r="E2871">
        <v>371.96999999999997</v>
      </c>
    </row>
    <row r="2872" spans="2:5">
      <c r="B2872" s="17">
        <v>42819</v>
      </c>
      <c r="D2872" t="s">
        <v>421</v>
      </c>
      <c r="E2872">
        <v>20.64</v>
      </c>
    </row>
    <row r="2873" spans="2:5">
      <c r="B2873" s="17">
        <v>42819</v>
      </c>
      <c r="D2873" t="s">
        <v>421</v>
      </c>
      <c r="E2873">
        <v>19.98</v>
      </c>
    </row>
    <row r="2874" spans="2:5">
      <c r="B2874" s="17">
        <v>42819</v>
      </c>
      <c r="D2874" t="s">
        <v>421</v>
      </c>
      <c r="E2874">
        <v>160.92999999999998</v>
      </c>
    </row>
    <row r="2875" spans="2:5">
      <c r="B2875" s="17">
        <v>42819</v>
      </c>
      <c r="D2875" t="s">
        <v>421</v>
      </c>
      <c r="E2875">
        <v>75.792000000000002</v>
      </c>
    </row>
    <row r="2876" spans="2:5">
      <c r="B2876" s="17">
        <v>42819</v>
      </c>
      <c r="D2876" t="s">
        <v>786</v>
      </c>
      <c r="E2876">
        <v>39.92</v>
      </c>
    </row>
    <row r="2877" spans="2:5">
      <c r="B2877" s="17">
        <v>42819</v>
      </c>
      <c r="D2877" t="s">
        <v>786</v>
      </c>
      <c r="E2877">
        <v>61.96</v>
      </c>
    </row>
    <row r="2878" spans="2:5">
      <c r="B2878" s="17">
        <v>42819</v>
      </c>
      <c r="D2878" t="s">
        <v>786</v>
      </c>
      <c r="E2878">
        <v>19.936000000000003</v>
      </c>
    </row>
    <row r="2879" spans="2:5">
      <c r="B2879" s="17">
        <v>42818</v>
      </c>
      <c r="D2879" t="s">
        <v>786</v>
      </c>
      <c r="E2879">
        <v>87.8</v>
      </c>
    </row>
    <row r="2880" spans="2:5">
      <c r="B2880" s="17">
        <v>42818</v>
      </c>
      <c r="D2880" t="s">
        <v>440</v>
      </c>
      <c r="E2880">
        <v>5199.96</v>
      </c>
    </row>
    <row r="2881" spans="2:5">
      <c r="B2881" s="17">
        <v>42818</v>
      </c>
      <c r="D2881" t="s">
        <v>440</v>
      </c>
      <c r="E2881">
        <v>63.824000000000005</v>
      </c>
    </row>
    <row r="2882" spans="2:5">
      <c r="B2882" s="17">
        <v>42818</v>
      </c>
      <c r="D2882" t="s">
        <v>440</v>
      </c>
      <c r="E2882">
        <v>435.16800000000006</v>
      </c>
    </row>
    <row r="2883" spans="2:5">
      <c r="B2883" s="17">
        <v>42818</v>
      </c>
      <c r="D2883" t="s">
        <v>1346</v>
      </c>
      <c r="E2883">
        <v>14.9</v>
      </c>
    </row>
    <row r="2884" spans="2:5">
      <c r="B2884" s="17">
        <v>42818</v>
      </c>
      <c r="D2884" t="s">
        <v>1346</v>
      </c>
      <c r="E2884">
        <v>15.8</v>
      </c>
    </row>
    <row r="2885" spans="2:5">
      <c r="B2885" s="17">
        <v>42818</v>
      </c>
      <c r="D2885" t="s">
        <v>1346</v>
      </c>
      <c r="E2885">
        <v>72.900000000000006</v>
      </c>
    </row>
    <row r="2886" spans="2:5">
      <c r="B2886" s="17">
        <v>42817</v>
      </c>
      <c r="D2886" t="s">
        <v>1346</v>
      </c>
      <c r="E2886">
        <v>7.9920000000000009</v>
      </c>
    </row>
    <row r="2887" spans="2:5">
      <c r="B2887" s="17">
        <v>42817</v>
      </c>
      <c r="D2887" t="s">
        <v>1346</v>
      </c>
      <c r="E2887">
        <v>41.96</v>
      </c>
    </row>
    <row r="2888" spans="2:5">
      <c r="B2888" s="17">
        <v>42817</v>
      </c>
      <c r="D2888" t="s">
        <v>1346</v>
      </c>
      <c r="E2888">
        <v>37.94</v>
      </c>
    </row>
    <row r="2889" spans="2:5">
      <c r="B2889" s="17">
        <v>42817</v>
      </c>
      <c r="D2889" t="s">
        <v>131</v>
      </c>
      <c r="E2889">
        <v>17.04</v>
      </c>
    </row>
    <row r="2890" spans="2:5">
      <c r="B2890" s="17">
        <v>42817</v>
      </c>
      <c r="D2890" t="s">
        <v>131</v>
      </c>
      <c r="E2890">
        <v>344.90999999999997</v>
      </c>
    </row>
    <row r="2891" spans="2:5">
      <c r="B2891" s="17">
        <v>42817</v>
      </c>
      <c r="D2891" t="s">
        <v>131</v>
      </c>
      <c r="E2891">
        <v>40.99</v>
      </c>
    </row>
    <row r="2892" spans="2:5">
      <c r="B2892" s="17">
        <v>42817</v>
      </c>
      <c r="D2892" t="s">
        <v>131</v>
      </c>
      <c r="E2892">
        <v>143.69999999999999</v>
      </c>
    </row>
    <row r="2893" spans="2:5">
      <c r="B2893" s="17">
        <v>42817</v>
      </c>
      <c r="D2893" t="s">
        <v>131</v>
      </c>
      <c r="E2893">
        <v>6.48</v>
      </c>
    </row>
    <row r="2894" spans="2:5">
      <c r="B2894" s="17">
        <v>42815</v>
      </c>
      <c r="D2894" t="s">
        <v>131</v>
      </c>
      <c r="E2894">
        <v>19.152000000000001</v>
      </c>
    </row>
    <row r="2895" spans="2:5">
      <c r="B2895" s="17">
        <v>42815</v>
      </c>
      <c r="D2895" t="s">
        <v>131</v>
      </c>
      <c r="E2895">
        <v>9.3439999999999994</v>
      </c>
    </row>
    <row r="2896" spans="2:5">
      <c r="B2896" s="17">
        <v>42815</v>
      </c>
      <c r="D2896" t="s">
        <v>131</v>
      </c>
      <c r="E2896">
        <v>1115.9099999999999</v>
      </c>
    </row>
    <row r="2897" spans="2:5">
      <c r="B2897" s="17">
        <v>42815</v>
      </c>
      <c r="D2897" t="s">
        <v>131</v>
      </c>
      <c r="E2897">
        <v>128.744</v>
      </c>
    </row>
    <row r="2898" spans="2:5">
      <c r="B2898" s="17">
        <v>42815</v>
      </c>
      <c r="D2898" t="s">
        <v>560</v>
      </c>
      <c r="E2898">
        <v>79.920000000000016</v>
      </c>
    </row>
    <row r="2899" spans="2:5">
      <c r="B2899" s="17">
        <v>42815</v>
      </c>
      <c r="D2899" t="s">
        <v>560</v>
      </c>
      <c r="E2899">
        <v>580.67200000000003</v>
      </c>
    </row>
    <row r="2900" spans="2:5">
      <c r="B2900" s="17">
        <v>42815</v>
      </c>
      <c r="D2900" t="s">
        <v>560</v>
      </c>
      <c r="E2900">
        <v>18.936</v>
      </c>
    </row>
    <row r="2901" spans="2:5">
      <c r="B2901" s="17">
        <v>42815</v>
      </c>
      <c r="D2901" t="s">
        <v>560</v>
      </c>
      <c r="E2901">
        <v>50.454000000000015</v>
      </c>
    </row>
    <row r="2902" spans="2:5">
      <c r="B2902" s="17">
        <v>42815</v>
      </c>
      <c r="D2902" t="s">
        <v>451</v>
      </c>
      <c r="E2902">
        <v>154.76400000000001</v>
      </c>
    </row>
    <row r="2903" spans="2:5">
      <c r="B2903" s="17">
        <v>42815</v>
      </c>
      <c r="D2903" t="s">
        <v>451</v>
      </c>
      <c r="E2903">
        <v>4.2399999999999993</v>
      </c>
    </row>
    <row r="2904" spans="2:5">
      <c r="B2904" s="17">
        <v>42815</v>
      </c>
      <c r="D2904" t="s">
        <v>451</v>
      </c>
      <c r="E2904">
        <v>85.52</v>
      </c>
    </row>
    <row r="2905" spans="2:5">
      <c r="B2905" s="17">
        <v>42815</v>
      </c>
      <c r="D2905" t="s">
        <v>451</v>
      </c>
      <c r="E2905">
        <v>103.19200000000001</v>
      </c>
    </row>
    <row r="2906" spans="2:5">
      <c r="B2906" s="17">
        <v>42814</v>
      </c>
      <c r="D2906" t="s">
        <v>451</v>
      </c>
      <c r="E2906">
        <v>36</v>
      </c>
    </row>
    <row r="2907" spans="2:5">
      <c r="B2907" s="17">
        <v>42814</v>
      </c>
      <c r="D2907" t="s">
        <v>1397</v>
      </c>
      <c r="E2907">
        <v>40.68</v>
      </c>
    </row>
    <row r="2908" spans="2:5">
      <c r="B2908" s="17">
        <v>42814</v>
      </c>
      <c r="D2908" t="s">
        <v>1397</v>
      </c>
      <c r="E2908">
        <v>42.76</v>
      </c>
    </row>
    <row r="2909" spans="2:5">
      <c r="B2909" s="17">
        <v>42814</v>
      </c>
      <c r="D2909" t="s">
        <v>1397</v>
      </c>
      <c r="E2909">
        <v>145.76400000000001</v>
      </c>
    </row>
    <row r="2910" spans="2:5">
      <c r="B2910" s="17">
        <v>42814</v>
      </c>
      <c r="D2910" t="s">
        <v>1397</v>
      </c>
      <c r="E2910">
        <v>10.816000000000001</v>
      </c>
    </row>
    <row r="2911" spans="2:5">
      <c r="B2911" s="17">
        <v>42814</v>
      </c>
      <c r="D2911" t="s">
        <v>1397</v>
      </c>
      <c r="E2911">
        <v>652.45000000000005</v>
      </c>
    </row>
    <row r="2912" spans="2:5">
      <c r="B2912" s="17">
        <v>42813</v>
      </c>
      <c r="D2912" t="s">
        <v>1397</v>
      </c>
      <c r="E2912">
        <v>66.644999999999996</v>
      </c>
    </row>
    <row r="2913" spans="2:5">
      <c r="B2913" s="17">
        <v>42813</v>
      </c>
      <c r="D2913" t="s">
        <v>1397</v>
      </c>
      <c r="E2913">
        <v>45.888000000000005</v>
      </c>
    </row>
    <row r="2914" spans="2:5">
      <c r="B2914" s="17">
        <v>42813</v>
      </c>
      <c r="D2914" t="s">
        <v>1397</v>
      </c>
      <c r="E2914">
        <v>12.816000000000001</v>
      </c>
    </row>
    <row r="2915" spans="2:5">
      <c r="B2915" s="17">
        <v>42813</v>
      </c>
      <c r="D2915" t="s">
        <v>298</v>
      </c>
      <c r="E2915">
        <v>18.98</v>
      </c>
    </row>
    <row r="2916" spans="2:5">
      <c r="B2916" s="17">
        <v>42813</v>
      </c>
      <c r="D2916" t="s">
        <v>298</v>
      </c>
      <c r="E2916">
        <v>18.240000000000002</v>
      </c>
    </row>
    <row r="2917" spans="2:5">
      <c r="B2917" s="17">
        <v>42813</v>
      </c>
      <c r="D2917" t="s">
        <v>298</v>
      </c>
      <c r="E2917">
        <v>67.144000000000005</v>
      </c>
    </row>
    <row r="2918" spans="2:5">
      <c r="B2918" s="17">
        <v>42813</v>
      </c>
      <c r="D2918" t="s">
        <v>298</v>
      </c>
      <c r="E2918">
        <v>35.200000000000003</v>
      </c>
    </row>
    <row r="2919" spans="2:5">
      <c r="B2919" s="17">
        <v>42813</v>
      </c>
      <c r="D2919" t="s">
        <v>1649</v>
      </c>
      <c r="E2919">
        <v>7.9680000000000009</v>
      </c>
    </row>
    <row r="2920" spans="2:5">
      <c r="B2920" s="17">
        <v>42813</v>
      </c>
      <c r="D2920" t="s">
        <v>245</v>
      </c>
      <c r="E2920">
        <v>595</v>
      </c>
    </row>
    <row r="2921" spans="2:5">
      <c r="B2921" s="17">
        <v>42813</v>
      </c>
      <c r="D2921" t="s">
        <v>245</v>
      </c>
      <c r="E2921">
        <v>79.872000000000014</v>
      </c>
    </row>
    <row r="2922" spans="2:5">
      <c r="B2922" s="17">
        <v>42813</v>
      </c>
      <c r="D2922" t="s">
        <v>245</v>
      </c>
      <c r="E2922">
        <v>0.99</v>
      </c>
    </row>
    <row r="2923" spans="2:5">
      <c r="B2923" s="17">
        <v>42812</v>
      </c>
      <c r="D2923" t="s">
        <v>245</v>
      </c>
      <c r="E2923">
        <v>101.84</v>
      </c>
    </row>
    <row r="2924" spans="2:5">
      <c r="B2924" s="17">
        <v>42812</v>
      </c>
      <c r="D2924" t="s">
        <v>245</v>
      </c>
      <c r="E2924">
        <v>435.84000000000003</v>
      </c>
    </row>
    <row r="2925" spans="2:5">
      <c r="B2925" s="17">
        <v>42812</v>
      </c>
      <c r="D2925" t="s">
        <v>245</v>
      </c>
      <c r="E2925">
        <v>5.88</v>
      </c>
    </row>
    <row r="2926" spans="2:5">
      <c r="B2926" s="17">
        <v>42812</v>
      </c>
      <c r="D2926" t="s">
        <v>1665</v>
      </c>
      <c r="E2926">
        <v>39.984000000000002</v>
      </c>
    </row>
    <row r="2927" spans="2:5">
      <c r="B2927" s="17">
        <v>42812</v>
      </c>
      <c r="D2927" t="s">
        <v>1665</v>
      </c>
      <c r="E2927">
        <v>45</v>
      </c>
    </row>
    <row r="2928" spans="2:5">
      <c r="B2928" s="17">
        <v>42812</v>
      </c>
      <c r="D2928" t="s">
        <v>1665</v>
      </c>
      <c r="E2928">
        <v>17.899999999999999</v>
      </c>
    </row>
    <row r="2929" spans="2:5">
      <c r="B2929" s="17">
        <v>42812</v>
      </c>
      <c r="D2929" t="s">
        <v>1665</v>
      </c>
      <c r="E2929">
        <v>40.479999999999997</v>
      </c>
    </row>
    <row r="2930" spans="2:5">
      <c r="B2930" s="17">
        <v>42812</v>
      </c>
      <c r="D2930" t="s">
        <v>1665</v>
      </c>
      <c r="E2930">
        <v>2154.9</v>
      </c>
    </row>
    <row r="2931" spans="2:5">
      <c r="B2931" s="17">
        <v>42812</v>
      </c>
      <c r="D2931" t="s">
        <v>1665</v>
      </c>
      <c r="E2931">
        <v>369.54399999999998</v>
      </c>
    </row>
    <row r="2932" spans="2:5">
      <c r="B2932" s="17">
        <v>42812</v>
      </c>
      <c r="D2932" t="s">
        <v>1136</v>
      </c>
      <c r="E2932">
        <v>10.368000000000002</v>
      </c>
    </row>
    <row r="2933" spans="2:5">
      <c r="B2933" s="17">
        <v>42811</v>
      </c>
      <c r="D2933" t="s">
        <v>1136</v>
      </c>
      <c r="E2933">
        <v>791.87999999999988</v>
      </c>
    </row>
    <row r="2934" spans="2:5">
      <c r="B2934" s="17">
        <v>42811</v>
      </c>
      <c r="D2934" t="s">
        <v>1136</v>
      </c>
      <c r="E2934">
        <v>673.34399999999994</v>
      </c>
    </row>
    <row r="2935" spans="2:5">
      <c r="B2935" s="17">
        <v>42811</v>
      </c>
      <c r="D2935" t="s">
        <v>1136</v>
      </c>
      <c r="E2935">
        <v>9.9600000000000009</v>
      </c>
    </row>
    <row r="2936" spans="2:5">
      <c r="B2936" s="17">
        <v>42811</v>
      </c>
      <c r="D2936" t="s">
        <v>1136</v>
      </c>
      <c r="E2936">
        <v>11.648000000000001</v>
      </c>
    </row>
    <row r="2937" spans="2:5">
      <c r="B2937" s="17">
        <v>42811</v>
      </c>
      <c r="D2937" t="s">
        <v>814</v>
      </c>
      <c r="E2937">
        <v>18.175999999999998</v>
      </c>
    </row>
    <row r="2938" spans="2:5">
      <c r="B2938" s="17">
        <v>42811</v>
      </c>
      <c r="D2938" t="s">
        <v>814</v>
      </c>
      <c r="E2938">
        <v>59.712000000000003</v>
      </c>
    </row>
    <row r="2939" spans="2:5">
      <c r="B2939" s="17">
        <v>42811</v>
      </c>
      <c r="D2939" t="s">
        <v>814</v>
      </c>
      <c r="E2939">
        <v>24.839999999999996</v>
      </c>
    </row>
    <row r="2940" spans="2:5">
      <c r="B2940" s="17">
        <v>42811</v>
      </c>
      <c r="D2940" t="s">
        <v>814</v>
      </c>
      <c r="E2940">
        <v>904.9</v>
      </c>
    </row>
    <row r="2941" spans="2:5">
      <c r="B2941" s="17">
        <v>42811</v>
      </c>
      <c r="D2941" t="s">
        <v>814</v>
      </c>
      <c r="E2941">
        <v>63.311999999999998</v>
      </c>
    </row>
    <row r="2942" spans="2:5">
      <c r="B2942" s="17">
        <v>42811</v>
      </c>
      <c r="D2942" t="s">
        <v>814</v>
      </c>
      <c r="E2942">
        <v>96.783999999999978</v>
      </c>
    </row>
    <row r="2943" spans="2:5">
      <c r="B2943" s="17">
        <v>42811</v>
      </c>
      <c r="D2943" t="s">
        <v>1079</v>
      </c>
      <c r="E2943">
        <v>10.476000000000001</v>
      </c>
    </row>
    <row r="2944" spans="2:5">
      <c r="B2944" s="17">
        <v>42811</v>
      </c>
      <c r="D2944" t="s">
        <v>1079</v>
      </c>
      <c r="E2944">
        <v>31.983999999999998</v>
      </c>
    </row>
    <row r="2945" spans="2:5">
      <c r="B2945" s="17">
        <v>42811</v>
      </c>
      <c r="D2945" t="s">
        <v>1079</v>
      </c>
      <c r="E2945">
        <v>5083.96</v>
      </c>
    </row>
    <row r="2946" spans="2:5">
      <c r="B2946" s="17">
        <v>42810</v>
      </c>
      <c r="D2946" t="s">
        <v>1079</v>
      </c>
      <c r="E2946">
        <v>348.56</v>
      </c>
    </row>
    <row r="2947" spans="2:5">
      <c r="B2947" s="17">
        <v>42810</v>
      </c>
      <c r="D2947" t="s">
        <v>1079</v>
      </c>
      <c r="E2947">
        <v>11.07</v>
      </c>
    </row>
    <row r="2948" spans="2:5">
      <c r="B2948" s="17">
        <v>42810</v>
      </c>
      <c r="D2948" t="s">
        <v>1079</v>
      </c>
      <c r="E2948">
        <v>1504.52</v>
      </c>
    </row>
    <row r="2949" spans="2:5">
      <c r="B2949" s="17">
        <v>42810</v>
      </c>
      <c r="D2949" t="s">
        <v>1079</v>
      </c>
      <c r="E2949">
        <v>25.92</v>
      </c>
    </row>
    <row r="2950" spans="2:5">
      <c r="B2950" s="17">
        <v>42810</v>
      </c>
      <c r="D2950" t="s">
        <v>1079</v>
      </c>
      <c r="E2950">
        <v>37.659999999999997</v>
      </c>
    </row>
    <row r="2951" spans="2:5">
      <c r="B2951" s="17">
        <v>42810</v>
      </c>
      <c r="D2951" t="s">
        <v>400</v>
      </c>
      <c r="E2951">
        <v>9.4600000000000009</v>
      </c>
    </row>
    <row r="2952" spans="2:5">
      <c r="B2952" s="17">
        <v>42810</v>
      </c>
      <c r="D2952" t="s">
        <v>400</v>
      </c>
      <c r="E2952">
        <v>27.395999999999997</v>
      </c>
    </row>
    <row r="2953" spans="2:5">
      <c r="B2953" s="17">
        <v>42810</v>
      </c>
      <c r="D2953" t="s">
        <v>400</v>
      </c>
      <c r="E2953">
        <v>13.455999999999998</v>
      </c>
    </row>
    <row r="2954" spans="2:5">
      <c r="B2954" s="17">
        <v>42810</v>
      </c>
      <c r="D2954" t="s">
        <v>400</v>
      </c>
      <c r="E2954">
        <v>46.36</v>
      </c>
    </row>
    <row r="2955" spans="2:5">
      <c r="B2955" s="17">
        <v>42810</v>
      </c>
      <c r="D2955" t="s">
        <v>400</v>
      </c>
      <c r="E2955">
        <v>87.92</v>
      </c>
    </row>
    <row r="2956" spans="2:5">
      <c r="B2956" s="17">
        <v>42810</v>
      </c>
      <c r="D2956" t="s">
        <v>400</v>
      </c>
      <c r="E2956">
        <v>510.24</v>
      </c>
    </row>
    <row r="2957" spans="2:5">
      <c r="B2957" s="17">
        <v>42810</v>
      </c>
      <c r="D2957" t="s">
        <v>400</v>
      </c>
      <c r="E2957">
        <v>13.049999999999999</v>
      </c>
    </row>
    <row r="2958" spans="2:5">
      <c r="B2958" s="17">
        <v>42810</v>
      </c>
      <c r="D2958" t="s">
        <v>400</v>
      </c>
      <c r="E2958">
        <v>152.65</v>
      </c>
    </row>
    <row r="2959" spans="2:5">
      <c r="B2959" s="17">
        <v>42808</v>
      </c>
      <c r="D2959" t="s">
        <v>400</v>
      </c>
      <c r="E2959">
        <v>22.72</v>
      </c>
    </row>
    <row r="2960" spans="2:5">
      <c r="B2960" s="17">
        <v>42807</v>
      </c>
      <c r="D2960" t="s">
        <v>400</v>
      </c>
      <c r="E2960">
        <v>14.73</v>
      </c>
    </row>
    <row r="2961" spans="2:5">
      <c r="B2961" s="17">
        <v>42807</v>
      </c>
      <c r="D2961" t="s">
        <v>400</v>
      </c>
      <c r="E2961">
        <v>11.68</v>
      </c>
    </row>
    <row r="2962" spans="2:5">
      <c r="B2962" s="17">
        <v>42807</v>
      </c>
      <c r="D2962" t="s">
        <v>400</v>
      </c>
      <c r="E2962">
        <v>124.75</v>
      </c>
    </row>
    <row r="2963" spans="2:5">
      <c r="B2963" s="17">
        <v>42807</v>
      </c>
      <c r="D2963" t="s">
        <v>1761</v>
      </c>
      <c r="E2963">
        <v>547.30000000000007</v>
      </c>
    </row>
    <row r="2964" spans="2:5">
      <c r="B2964" s="17">
        <v>42807</v>
      </c>
      <c r="D2964" t="s">
        <v>1078</v>
      </c>
      <c r="E2964">
        <v>599.98500000000013</v>
      </c>
    </row>
    <row r="2965" spans="2:5">
      <c r="B2965" s="17">
        <v>42807</v>
      </c>
      <c r="D2965" t="s">
        <v>1078</v>
      </c>
      <c r="E2965">
        <v>18.528000000000002</v>
      </c>
    </row>
    <row r="2966" spans="2:5">
      <c r="B2966" s="17">
        <v>42807</v>
      </c>
      <c r="D2966" t="s">
        <v>1078</v>
      </c>
      <c r="E2966">
        <v>1875.258</v>
      </c>
    </row>
    <row r="2967" spans="2:5">
      <c r="B2967" s="17">
        <v>42807</v>
      </c>
      <c r="D2967" t="s">
        <v>1078</v>
      </c>
      <c r="E2967">
        <v>49.96</v>
      </c>
    </row>
    <row r="2968" spans="2:5">
      <c r="B2968" s="17">
        <v>42807</v>
      </c>
      <c r="D2968" t="s">
        <v>1078</v>
      </c>
      <c r="E2968">
        <v>12.96</v>
      </c>
    </row>
    <row r="2969" spans="2:5">
      <c r="B2969" s="17">
        <v>42807</v>
      </c>
      <c r="D2969" t="s">
        <v>1838</v>
      </c>
      <c r="E2969">
        <v>10.64</v>
      </c>
    </row>
    <row r="2970" spans="2:5">
      <c r="B2970" s="17">
        <v>42807</v>
      </c>
      <c r="D2970" t="s">
        <v>1838</v>
      </c>
      <c r="E2970">
        <v>52.792000000000002</v>
      </c>
    </row>
    <row r="2971" spans="2:5">
      <c r="B2971" s="17">
        <v>42807</v>
      </c>
      <c r="D2971" t="s">
        <v>57</v>
      </c>
      <c r="E2971">
        <v>29.472000000000001</v>
      </c>
    </row>
    <row r="2972" spans="2:5">
      <c r="B2972" s="17">
        <v>42807</v>
      </c>
      <c r="D2972" t="s">
        <v>57</v>
      </c>
      <c r="E2972">
        <v>56.56</v>
      </c>
    </row>
    <row r="2973" spans="2:5">
      <c r="B2973" s="17">
        <v>42807</v>
      </c>
      <c r="D2973" t="s">
        <v>829</v>
      </c>
      <c r="E2973">
        <v>32.700000000000003</v>
      </c>
    </row>
    <row r="2974" spans="2:5">
      <c r="B2974" s="17">
        <v>42807</v>
      </c>
      <c r="D2974" t="s">
        <v>1176</v>
      </c>
      <c r="E2974">
        <v>123.256</v>
      </c>
    </row>
    <row r="2975" spans="2:5">
      <c r="B2975" s="17">
        <v>42807</v>
      </c>
      <c r="D2975" t="s">
        <v>1176</v>
      </c>
      <c r="E2975">
        <v>23.680000000000003</v>
      </c>
    </row>
    <row r="2976" spans="2:5">
      <c r="B2976" s="17">
        <v>42807</v>
      </c>
      <c r="D2976" t="s">
        <v>1176</v>
      </c>
      <c r="E2976">
        <v>16.68</v>
      </c>
    </row>
    <row r="2977" spans="2:5">
      <c r="B2977" s="17">
        <v>42807</v>
      </c>
      <c r="D2977" t="s">
        <v>1738</v>
      </c>
      <c r="E2977">
        <v>1633.1880000000003</v>
      </c>
    </row>
    <row r="2978" spans="2:5">
      <c r="B2978" s="17">
        <v>42807</v>
      </c>
      <c r="D2978" t="s">
        <v>1738</v>
      </c>
      <c r="E2978">
        <v>8.9600000000000009</v>
      </c>
    </row>
    <row r="2979" spans="2:5">
      <c r="B2979" s="17">
        <v>42807</v>
      </c>
      <c r="D2979" t="s">
        <v>1738</v>
      </c>
      <c r="E2979">
        <v>31.5</v>
      </c>
    </row>
    <row r="2980" spans="2:5">
      <c r="B2980" s="17">
        <v>42806</v>
      </c>
      <c r="D2980" t="s">
        <v>1350</v>
      </c>
      <c r="E2980">
        <v>30.56</v>
      </c>
    </row>
    <row r="2981" spans="2:5">
      <c r="B2981" s="17">
        <v>42806</v>
      </c>
      <c r="D2981" t="s">
        <v>1350</v>
      </c>
      <c r="E2981">
        <v>24.368000000000002</v>
      </c>
    </row>
    <row r="2982" spans="2:5">
      <c r="B2982" s="17">
        <v>42806</v>
      </c>
      <c r="D2982" t="s">
        <v>1350</v>
      </c>
      <c r="E2982">
        <v>91.275000000000006</v>
      </c>
    </row>
    <row r="2983" spans="2:5">
      <c r="B2983" s="17">
        <v>42805</v>
      </c>
      <c r="D2983" t="s">
        <v>1350</v>
      </c>
      <c r="E2983">
        <v>2.0719999999999996</v>
      </c>
    </row>
    <row r="2984" spans="2:5">
      <c r="B2984" s="17">
        <v>42805</v>
      </c>
      <c r="D2984" t="s">
        <v>493</v>
      </c>
      <c r="E2984">
        <v>39.624000000000009</v>
      </c>
    </row>
    <row r="2985" spans="2:5">
      <c r="B2985" s="17">
        <v>42805</v>
      </c>
      <c r="D2985" t="s">
        <v>493</v>
      </c>
      <c r="E2985">
        <v>665.40800000000002</v>
      </c>
    </row>
    <row r="2986" spans="2:5">
      <c r="B2986" s="17">
        <v>42805</v>
      </c>
      <c r="D2986" t="s">
        <v>493</v>
      </c>
      <c r="E2986">
        <v>13.36</v>
      </c>
    </row>
    <row r="2987" spans="2:5">
      <c r="B2987" s="17">
        <v>42805</v>
      </c>
      <c r="D2987" t="s">
        <v>493</v>
      </c>
      <c r="E2987">
        <v>39.96</v>
      </c>
    </row>
    <row r="2988" spans="2:5">
      <c r="B2988" s="17">
        <v>42805</v>
      </c>
      <c r="D2988" t="s">
        <v>1477</v>
      </c>
      <c r="E2988">
        <v>145.85000000000002</v>
      </c>
    </row>
    <row r="2989" spans="2:5">
      <c r="B2989" s="17">
        <v>42805</v>
      </c>
      <c r="D2989" t="s">
        <v>1477</v>
      </c>
      <c r="E2989">
        <v>3.75</v>
      </c>
    </row>
    <row r="2990" spans="2:5">
      <c r="B2990" s="17">
        <v>42804</v>
      </c>
      <c r="D2990" t="s">
        <v>1477</v>
      </c>
      <c r="E2990">
        <v>20.928000000000001</v>
      </c>
    </row>
    <row r="2991" spans="2:5">
      <c r="B2991" s="17">
        <v>42804</v>
      </c>
      <c r="D2991" t="s">
        <v>1019</v>
      </c>
      <c r="E2991">
        <v>45.527999999999999</v>
      </c>
    </row>
    <row r="2992" spans="2:5">
      <c r="B2992" s="17">
        <v>42804</v>
      </c>
      <c r="D2992" t="s">
        <v>1019</v>
      </c>
      <c r="E2992">
        <v>24.55</v>
      </c>
    </row>
    <row r="2993" spans="2:5">
      <c r="B2993" s="17">
        <v>42804</v>
      </c>
      <c r="D2993" t="s">
        <v>1019</v>
      </c>
      <c r="E2993">
        <v>4.7679999999999998</v>
      </c>
    </row>
    <row r="2994" spans="2:5">
      <c r="B2994" s="17">
        <v>42804</v>
      </c>
      <c r="D2994" t="s">
        <v>1019</v>
      </c>
      <c r="E2994">
        <v>6.6720000000000006</v>
      </c>
    </row>
    <row r="2995" spans="2:5">
      <c r="B2995" s="17">
        <v>42804</v>
      </c>
      <c r="D2995" t="s">
        <v>1019</v>
      </c>
      <c r="E2995">
        <v>4.4479999999999995</v>
      </c>
    </row>
    <row r="2996" spans="2:5">
      <c r="B2996" s="17">
        <v>42804</v>
      </c>
      <c r="D2996" t="s">
        <v>1019</v>
      </c>
      <c r="E2996">
        <v>43.936000000000007</v>
      </c>
    </row>
    <row r="2997" spans="2:5">
      <c r="B2997" s="17">
        <v>42804</v>
      </c>
      <c r="D2997" t="s">
        <v>1019</v>
      </c>
      <c r="E2997">
        <v>15.984000000000002</v>
      </c>
    </row>
    <row r="2998" spans="2:5">
      <c r="B2998" s="17">
        <v>42804</v>
      </c>
      <c r="D2998" t="s">
        <v>1019</v>
      </c>
      <c r="E2998">
        <v>14.352000000000002</v>
      </c>
    </row>
    <row r="2999" spans="2:5">
      <c r="B2999" s="17">
        <v>42803</v>
      </c>
      <c r="D2999" t="s">
        <v>1019</v>
      </c>
      <c r="E2999">
        <v>683.95200000000011</v>
      </c>
    </row>
    <row r="3000" spans="2:5">
      <c r="B3000" s="17">
        <v>42803</v>
      </c>
      <c r="D3000" t="s">
        <v>955</v>
      </c>
      <c r="E3000">
        <v>45.695999999999998</v>
      </c>
    </row>
    <row r="3001" spans="2:5">
      <c r="B3001" s="17">
        <v>42803</v>
      </c>
      <c r="D3001" t="s">
        <v>955</v>
      </c>
      <c r="E3001">
        <v>1439.92</v>
      </c>
    </row>
    <row r="3002" spans="2:5">
      <c r="B3002" s="17">
        <v>42802</v>
      </c>
      <c r="D3002" t="s">
        <v>955</v>
      </c>
      <c r="E3002">
        <v>5.1840000000000011</v>
      </c>
    </row>
    <row r="3003" spans="2:5">
      <c r="B3003" s="17">
        <v>42802</v>
      </c>
      <c r="D3003" t="s">
        <v>955</v>
      </c>
      <c r="E3003">
        <v>478.48</v>
      </c>
    </row>
    <row r="3004" spans="2:5">
      <c r="B3004" s="17">
        <v>42802</v>
      </c>
      <c r="D3004" t="s">
        <v>1852</v>
      </c>
      <c r="E3004">
        <v>28.400000000000002</v>
      </c>
    </row>
    <row r="3005" spans="2:5">
      <c r="B3005" s="17">
        <v>42802</v>
      </c>
      <c r="D3005" t="s">
        <v>338</v>
      </c>
      <c r="E3005">
        <v>909.12</v>
      </c>
    </row>
    <row r="3006" spans="2:5">
      <c r="B3006" s="17">
        <v>42801</v>
      </c>
      <c r="D3006" t="s">
        <v>338</v>
      </c>
      <c r="E3006">
        <v>17.856000000000002</v>
      </c>
    </row>
    <row r="3007" spans="2:5">
      <c r="B3007" s="17">
        <v>42801</v>
      </c>
      <c r="D3007" t="s">
        <v>338</v>
      </c>
      <c r="E3007">
        <v>23.991999999999994</v>
      </c>
    </row>
    <row r="3008" spans="2:5">
      <c r="B3008" s="17">
        <v>42801</v>
      </c>
      <c r="D3008" t="s">
        <v>338</v>
      </c>
      <c r="E3008">
        <v>8.5590000000000011</v>
      </c>
    </row>
    <row r="3009" spans="2:5">
      <c r="B3009" s="17">
        <v>42800</v>
      </c>
      <c r="D3009" t="s">
        <v>338</v>
      </c>
      <c r="E3009">
        <v>161.56800000000001</v>
      </c>
    </row>
    <row r="3010" spans="2:5">
      <c r="B3010" s="17">
        <v>42800</v>
      </c>
      <c r="D3010" t="s">
        <v>1894</v>
      </c>
      <c r="E3010">
        <v>4.0640000000000001</v>
      </c>
    </row>
    <row r="3011" spans="2:5">
      <c r="B3011" s="17">
        <v>42800</v>
      </c>
      <c r="D3011" t="s">
        <v>1705</v>
      </c>
      <c r="E3011">
        <v>6.2160000000000002</v>
      </c>
    </row>
    <row r="3012" spans="2:5">
      <c r="B3012" s="17">
        <v>42800</v>
      </c>
      <c r="D3012" t="s">
        <v>1705</v>
      </c>
      <c r="E3012">
        <v>71.376000000000005</v>
      </c>
    </row>
    <row r="3013" spans="2:5">
      <c r="B3013" s="17">
        <v>42800</v>
      </c>
      <c r="D3013" t="s">
        <v>1705</v>
      </c>
      <c r="E3013">
        <v>38.82</v>
      </c>
    </row>
    <row r="3014" spans="2:5">
      <c r="B3014" s="17">
        <v>42800</v>
      </c>
      <c r="D3014" t="s">
        <v>1705</v>
      </c>
      <c r="E3014">
        <v>21.9</v>
      </c>
    </row>
    <row r="3015" spans="2:5">
      <c r="B3015" s="17">
        <v>42800</v>
      </c>
      <c r="D3015" t="s">
        <v>1705</v>
      </c>
      <c r="E3015">
        <v>11199.968000000001</v>
      </c>
    </row>
    <row r="3016" spans="2:5">
      <c r="B3016" s="17">
        <v>42800</v>
      </c>
      <c r="D3016" t="s">
        <v>852</v>
      </c>
      <c r="E3016">
        <v>2399.6</v>
      </c>
    </row>
    <row r="3017" spans="2:5">
      <c r="B3017" s="17">
        <v>42800</v>
      </c>
      <c r="D3017" t="s">
        <v>852</v>
      </c>
      <c r="E3017">
        <v>63.9</v>
      </c>
    </row>
    <row r="3018" spans="2:5">
      <c r="B3018" s="17">
        <v>42800</v>
      </c>
      <c r="D3018" t="s">
        <v>852</v>
      </c>
      <c r="E3018">
        <v>52.99</v>
      </c>
    </row>
    <row r="3019" spans="2:5">
      <c r="B3019" s="17">
        <v>42799</v>
      </c>
      <c r="D3019" t="s">
        <v>852</v>
      </c>
      <c r="E3019">
        <v>177.22499999999999</v>
      </c>
    </row>
    <row r="3020" spans="2:5">
      <c r="B3020" s="17">
        <v>42799</v>
      </c>
      <c r="D3020" t="s">
        <v>177</v>
      </c>
      <c r="E3020">
        <v>36.44</v>
      </c>
    </row>
    <row r="3021" spans="2:5">
      <c r="B3021" s="17">
        <v>42799</v>
      </c>
      <c r="D3021" t="s">
        <v>177</v>
      </c>
      <c r="E3021">
        <v>3.1680000000000006</v>
      </c>
    </row>
    <row r="3022" spans="2:5">
      <c r="B3022" s="17">
        <v>42799</v>
      </c>
      <c r="D3022" t="s">
        <v>177</v>
      </c>
      <c r="E3022">
        <v>579.13599999999997</v>
      </c>
    </row>
    <row r="3023" spans="2:5">
      <c r="B3023" s="17">
        <v>42799</v>
      </c>
      <c r="D3023" t="s">
        <v>177</v>
      </c>
      <c r="E3023">
        <v>32.700000000000003</v>
      </c>
    </row>
    <row r="3024" spans="2:5">
      <c r="B3024" s="17">
        <v>42799</v>
      </c>
      <c r="D3024" t="s">
        <v>177</v>
      </c>
      <c r="E3024">
        <v>31.680000000000003</v>
      </c>
    </row>
    <row r="3025" spans="2:5">
      <c r="B3025" s="17">
        <v>42799</v>
      </c>
      <c r="D3025" t="s">
        <v>177</v>
      </c>
      <c r="E3025">
        <v>863.87999999999988</v>
      </c>
    </row>
    <row r="3026" spans="2:5">
      <c r="B3026" s="17">
        <v>42799</v>
      </c>
      <c r="D3026" t="s">
        <v>177</v>
      </c>
      <c r="E3026">
        <v>11.56</v>
      </c>
    </row>
    <row r="3027" spans="2:5">
      <c r="B3027" s="17">
        <v>42799</v>
      </c>
      <c r="D3027" t="s">
        <v>1482</v>
      </c>
      <c r="E3027">
        <v>26.400000000000002</v>
      </c>
    </row>
    <row r="3028" spans="2:5">
      <c r="B3028" s="17">
        <v>42798</v>
      </c>
      <c r="D3028" t="s">
        <v>1482</v>
      </c>
      <c r="E3028">
        <v>69.08</v>
      </c>
    </row>
    <row r="3029" spans="2:5">
      <c r="B3029" s="17">
        <v>42798</v>
      </c>
      <c r="D3029" t="s">
        <v>1482</v>
      </c>
      <c r="E3029">
        <v>35.880000000000003</v>
      </c>
    </row>
    <row r="3030" spans="2:5">
      <c r="B3030" s="17">
        <v>42798</v>
      </c>
      <c r="D3030" t="s">
        <v>1482</v>
      </c>
      <c r="E3030">
        <v>3.5639999999999992</v>
      </c>
    </row>
    <row r="3031" spans="2:5">
      <c r="B3031" s="17">
        <v>42798</v>
      </c>
      <c r="D3031" t="s">
        <v>807</v>
      </c>
      <c r="E3031">
        <v>823.96000000000015</v>
      </c>
    </row>
    <row r="3032" spans="2:5">
      <c r="B3032" s="17">
        <v>42798</v>
      </c>
      <c r="D3032" t="s">
        <v>807</v>
      </c>
      <c r="E3032">
        <v>10.272000000000002</v>
      </c>
    </row>
    <row r="3033" spans="2:5">
      <c r="B3033" s="17">
        <v>42798</v>
      </c>
      <c r="D3033" t="s">
        <v>807</v>
      </c>
      <c r="E3033">
        <v>9.7619999999999969</v>
      </c>
    </row>
    <row r="3034" spans="2:5">
      <c r="B3034" s="17">
        <v>42797</v>
      </c>
      <c r="D3034" t="s">
        <v>807</v>
      </c>
      <c r="E3034">
        <v>13.719999999999999</v>
      </c>
    </row>
    <row r="3035" spans="2:5">
      <c r="B3035" s="17">
        <v>42797</v>
      </c>
      <c r="D3035" t="s">
        <v>433</v>
      </c>
      <c r="E3035">
        <v>55.2</v>
      </c>
    </row>
    <row r="3036" spans="2:5">
      <c r="B3036" s="17">
        <v>42797</v>
      </c>
      <c r="D3036" t="s">
        <v>1208</v>
      </c>
      <c r="E3036">
        <v>35</v>
      </c>
    </row>
    <row r="3037" spans="2:5">
      <c r="B3037" s="17">
        <v>42797</v>
      </c>
      <c r="D3037" t="s">
        <v>1208</v>
      </c>
      <c r="E3037">
        <v>637.89599999999996</v>
      </c>
    </row>
    <row r="3038" spans="2:5">
      <c r="B3038" s="17">
        <v>42797</v>
      </c>
      <c r="D3038" t="s">
        <v>1208</v>
      </c>
      <c r="E3038">
        <v>43.44</v>
      </c>
    </row>
    <row r="3039" spans="2:5">
      <c r="B3039" s="17">
        <v>42797</v>
      </c>
      <c r="D3039" t="s">
        <v>1208</v>
      </c>
      <c r="E3039">
        <v>2.2200000000000002</v>
      </c>
    </row>
    <row r="3040" spans="2:5">
      <c r="B3040" s="17">
        <v>42797</v>
      </c>
      <c r="D3040" t="s">
        <v>1208</v>
      </c>
      <c r="E3040">
        <v>517.40500000000009</v>
      </c>
    </row>
    <row r="3041" spans="2:5">
      <c r="B3041" s="17">
        <v>42796</v>
      </c>
      <c r="D3041" t="s">
        <v>1508</v>
      </c>
      <c r="E3041">
        <v>11.68</v>
      </c>
    </row>
    <row r="3042" spans="2:5">
      <c r="B3042" s="17">
        <v>42796</v>
      </c>
      <c r="D3042" t="s">
        <v>1508</v>
      </c>
      <c r="E3042">
        <v>19.989999999999998</v>
      </c>
    </row>
    <row r="3043" spans="2:5">
      <c r="B3043" s="17">
        <v>42796</v>
      </c>
      <c r="D3043" t="s">
        <v>1508</v>
      </c>
      <c r="E3043">
        <v>6.16</v>
      </c>
    </row>
    <row r="3044" spans="2:5">
      <c r="B3044" s="17">
        <v>42796</v>
      </c>
      <c r="D3044" t="s">
        <v>1508</v>
      </c>
      <c r="E3044">
        <v>356.85</v>
      </c>
    </row>
    <row r="3045" spans="2:5">
      <c r="B3045" s="17">
        <v>42796</v>
      </c>
      <c r="D3045" t="s">
        <v>715</v>
      </c>
      <c r="E3045">
        <v>61.541999999999994</v>
      </c>
    </row>
    <row r="3046" spans="2:5">
      <c r="B3046" s="17">
        <v>42796</v>
      </c>
      <c r="D3046" t="s">
        <v>715</v>
      </c>
      <c r="E3046">
        <v>81.438000000000017</v>
      </c>
    </row>
    <row r="3047" spans="2:5">
      <c r="B3047" s="17">
        <v>42796</v>
      </c>
      <c r="D3047" t="s">
        <v>715</v>
      </c>
      <c r="E3047">
        <v>33.282000000000004</v>
      </c>
    </row>
    <row r="3048" spans="2:5">
      <c r="B3048" s="17">
        <v>42796</v>
      </c>
      <c r="D3048" t="s">
        <v>715</v>
      </c>
      <c r="E3048">
        <v>118.64999999999998</v>
      </c>
    </row>
    <row r="3049" spans="2:5">
      <c r="B3049" s="17">
        <v>42796</v>
      </c>
      <c r="D3049" t="s">
        <v>715</v>
      </c>
      <c r="E3049">
        <v>14.76</v>
      </c>
    </row>
    <row r="3050" spans="2:5">
      <c r="B3050" s="17">
        <v>42796</v>
      </c>
      <c r="D3050" t="s">
        <v>715</v>
      </c>
      <c r="E3050">
        <v>55.616</v>
      </c>
    </row>
    <row r="3051" spans="2:5">
      <c r="B3051" s="17">
        <v>42796</v>
      </c>
      <c r="D3051" t="s">
        <v>715</v>
      </c>
      <c r="E3051">
        <v>7.0559999999999992</v>
      </c>
    </row>
    <row r="3052" spans="2:5">
      <c r="B3052" s="17">
        <v>42794</v>
      </c>
      <c r="D3052" t="s">
        <v>187</v>
      </c>
      <c r="E3052">
        <v>27.183999999999997</v>
      </c>
    </row>
    <row r="3053" spans="2:5">
      <c r="B3053" s="17">
        <v>42794</v>
      </c>
      <c r="D3053" t="s">
        <v>187</v>
      </c>
      <c r="E3053">
        <v>556.66499999999996</v>
      </c>
    </row>
    <row r="3054" spans="2:5">
      <c r="B3054" s="17">
        <v>42792</v>
      </c>
      <c r="D3054" t="s">
        <v>187</v>
      </c>
      <c r="E3054">
        <v>95.84</v>
      </c>
    </row>
    <row r="3055" spans="2:5">
      <c r="B3055" s="17">
        <v>42792</v>
      </c>
      <c r="D3055" t="s">
        <v>187</v>
      </c>
      <c r="E3055">
        <v>15.840000000000002</v>
      </c>
    </row>
    <row r="3056" spans="2:5">
      <c r="B3056" s="17">
        <v>42792</v>
      </c>
      <c r="D3056" t="s">
        <v>187</v>
      </c>
      <c r="E3056">
        <v>8.4480000000000004</v>
      </c>
    </row>
    <row r="3057" spans="2:5">
      <c r="B3057" s="17">
        <v>42792</v>
      </c>
      <c r="D3057" t="s">
        <v>187</v>
      </c>
      <c r="E3057">
        <v>189.57600000000002</v>
      </c>
    </row>
    <row r="3058" spans="2:5">
      <c r="B3058" s="17">
        <v>42792</v>
      </c>
      <c r="D3058" t="s">
        <v>187</v>
      </c>
      <c r="E3058">
        <v>71.959999999999994</v>
      </c>
    </row>
    <row r="3059" spans="2:5">
      <c r="B3059" s="17">
        <v>42792</v>
      </c>
      <c r="D3059" t="s">
        <v>414</v>
      </c>
      <c r="E3059">
        <v>44.783999999999999</v>
      </c>
    </row>
    <row r="3060" spans="2:5">
      <c r="B3060" s="17">
        <v>42792</v>
      </c>
      <c r="D3060" t="s">
        <v>414</v>
      </c>
      <c r="E3060">
        <v>56.783999999999999</v>
      </c>
    </row>
    <row r="3061" spans="2:5">
      <c r="B3061" s="17">
        <v>42792</v>
      </c>
      <c r="D3061" t="s">
        <v>414</v>
      </c>
      <c r="E3061">
        <v>5.6070000000000011</v>
      </c>
    </row>
    <row r="3062" spans="2:5">
      <c r="B3062" s="17">
        <v>42792</v>
      </c>
      <c r="D3062" t="s">
        <v>414</v>
      </c>
      <c r="E3062">
        <v>6.5760000000000005</v>
      </c>
    </row>
    <row r="3063" spans="2:5">
      <c r="B3063" s="17">
        <v>42791</v>
      </c>
      <c r="D3063" t="s">
        <v>359</v>
      </c>
      <c r="E3063">
        <v>47.98</v>
      </c>
    </row>
    <row r="3064" spans="2:5">
      <c r="B3064" s="17">
        <v>42791</v>
      </c>
      <c r="D3064" t="s">
        <v>359</v>
      </c>
      <c r="E3064">
        <v>24</v>
      </c>
    </row>
    <row r="3065" spans="2:5">
      <c r="B3065" s="17">
        <v>42791</v>
      </c>
      <c r="D3065" t="s">
        <v>509</v>
      </c>
      <c r="E3065">
        <v>15.552000000000003</v>
      </c>
    </row>
    <row r="3066" spans="2:5">
      <c r="B3066" s="17">
        <v>42790</v>
      </c>
      <c r="D3066" t="s">
        <v>509</v>
      </c>
      <c r="E3066">
        <v>26.176000000000002</v>
      </c>
    </row>
    <row r="3067" spans="2:5">
      <c r="B3067" s="17">
        <v>42790</v>
      </c>
      <c r="D3067" t="s">
        <v>413</v>
      </c>
      <c r="E3067">
        <v>77.951999999999998</v>
      </c>
    </row>
    <row r="3068" spans="2:5">
      <c r="B3068" s="17">
        <v>42790</v>
      </c>
      <c r="D3068" t="s">
        <v>413</v>
      </c>
      <c r="E3068">
        <v>147.184</v>
      </c>
    </row>
    <row r="3069" spans="2:5">
      <c r="B3069" s="17">
        <v>42789</v>
      </c>
      <c r="D3069" t="s">
        <v>413</v>
      </c>
      <c r="E3069">
        <v>47.952000000000005</v>
      </c>
    </row>
    <row r="3070" spans="2:5">
      <c r="B3070" s="17">
        <v>42789</v>
      </c>
      <c r="D3070" t="s">
        <v>413</v>
      </c>
      <c r="E3070">
        <v>21.93</v>
      </c>
    </row>
    <row r="3071" spans="2:5">
      <c r="B3071" s="17">
        <v>42789</v>
      </c>
      <c r="D3071" t="s">
        <v>413</v>
      </c>
      <c r="E3071">
        <v>46.96</v>
      </c>
    </row>
    <row r="3072" spans="2:5">
      <c r="B3072" s="17">
        <v>42787</v>
      </c>
      <c r="D3072" t="s">
        <v>593</v>
      </c>
      <c r="E3072">
        <v>9.64</v>
      </c>
    </row>
    <row r="3073" spans="2:5">
      <c r="B3073" s="17">
        <v>42786</v>
      </c>
      <c r="D3073" t="s">
        <v>593</v>
      </c>
      <c r="E3073">
        <v>88.751999999999995</v>
      </c>
    </row>
    <row r="3074" spans="2:5">
      <c r="B3074" s="17">
        <v>42786</v>
      </c>
      <c r="D3074" t="s">
        <v>593</v>
      </c>
      <c r="E3074">
        <v>13.904</v>
      </c>
    </row>
    <row r="3075" spans="2:5">
      <c r="B3075" s="17">
        <v>42786</v>
      </c>
      <c r="D3075" t="s">
        <v>593</v>
      </c>
      <c r="E3075">
        <v>43.86</v>
      </c>
    </row>
    <row r="3076" spans="2:5">
      <c r="B3076" s="17">
        <v>42786</v>
      </c>
      <c r="D3076" t="s">
        <v>593</v>
      </c>
      <c r="E3076">
        <v>148.47999999999999</v>
      </c>
    </row>
    <row r="3077" spans="2:5">
      <c r="B3077" s="17">
        <v>42786</v>
      </c>
      <c r="D3077" t="s">
        <v>1444</v>
      </c>
      <c r="E3077">
        <v>7.42</v>
      </c>
    </row>
    <row r="3078" spans="2:5">
      <c r="B3078" s="17">
        <v>42786</v>
      </c>
      <c r="D3078" t="s">
        <v>1444</v>
      </c>
      <c r="E3078">
        <v>71.992000000000004</v>
      </c>
    </row>
    <row r="3079" spans="2:5">
      <c r="B3079" s="17">
        <v>42786</v>
      </c>
      <c r="D3079" t="s">
        <v>1444</v>
      </c>
      <c r="E3079">
        <v>19.899999999999999</v>
      </c>
    </row>
    <row r="3080" spans="2:5">
      <c r="B3080" s="17">
        <v>42786</v>
      </c>
      <c r="D3080" t="s">
        <v>1444</v>
      </c>
      <c r="E3080">
        <v>1702.12</v>
      </c>
    </row>
    <row r="3081" spans="2:5">
      <c r="B3081" s="17">
        <v>42786</v>
      </c>
      <c r="D3081" t="s">
        <v>1444</v>
      </c>
      <c r="E3081">
        <v>20.736000000000004</v>
      </c>
    </row>
    <row r="3082" spans="2:5">
      <c r="B3082" s="17">
        <v>42786</v>
      </c>
      <c r="D3082" t="s">
        <v>1444</v>
      </c>
      <c r="E3082">
        <v>7.168000000000001</v>
      </c>
    </row>
    <row r="3083" spans="2:5">
      <c r="B3083" s="17">
        <v>42786</v>
      </c>
      <c r="D3083" t="s">
        <v>1293</v>
      </c>
      <c r="E3083">
        <v>11.168000000000001</v>
      </c>
    </row>
    <row r="3084" spans="2:5">
      <c r="B3084" s="17">
        <v>42785</v>
      </c>
      <c r="D3084" t="s">
        <v>1293</v>
      </c>
      <c r="E3084">
        <v>442.40000000000003</v>
      </c>
    </row>
    <row r="3085" spans="2:5">
      <c r="B3085" s="17">
        <v>42785</v>
      </c>
      <c r="D3085" t="s">
        <v>1293</v>
      </c>
      <c r="E3085">
        <v>97.567999999999998</v>
      </c>
    </row>
    <row r="3086" spans="2:5">
      <c r="B3086" s="17">
        <v>42785</v>
      </c>
      <c r="D3086" t="s">
        <v>1184</v>
      </c>
      <c r="E3086">
        <v>614.27200000000005</v>
      </c>
    </row>
    <row r="3087" spans="2:5">
      <c r="B3087" s="17">
        <v>42785</v>
      </c>
      <c r="D3087" t="s">
        <v>1184</v>
      </c>
      <c r="E3087">
        <v>16.192</v>
      </c>
    </row>
    <row r="3088" spans="2:5">
      <c r="B3088" s="17">
        <v>42784</v>
      </c>
      <c r="D3088" t="s">
        <v>1184</v>
      </c>
      <c r="E3088">
        <v>54.192</v>
      </c>
    </row>
    <row r="3089" spans="2:5">
      <c r="B3089" s="17">
        <v>42784</v>
      </c>
      <c r="D3089" t="s">
        <v>1184</v>
      </c>
      <c r="E3089">
        <v>105.98</v>
      </c>
    </row>
    <row r="3090" spans="2:5">
      <c r="B3090" s="17">
        <v>42784</v>
      </c>
      <c r="D3090" t="s">
        <v>1184</v>
      </c>
      <c r="E3090">
        <v>35.06</v>
      </c>
    </row>
    <row r="3091" spans="2:5">
      <c r="B3091" s="17">
        <v>42783</v>
      </c>
      <c r="D3091" t="s">
        <v>548</v>
      </c>
      <c r="E3091">
        <v>33.94</v>
      </c>
    </row>
    <row r="3092" spans="2:5">
      <c r="B3092" s="17">
        <v>42783</v>
      </c>
      <c r="D3092" t="s">
        <v>548</v>
      </c>
      <c r="E3092">
        <v>30</v>
      </c>
    </row>
    <row r="3093" spans="2:5">
      <c r="B3093" s="17">
        <v>42783</v>
      </c>
      <c r="D3093" t="s">
        <v>548</v>
      </c>
      <c r="E3093">
        <v>5.2480000000000002</v>
      </c>
    </row>
    <row r="3094" spans="2:5">
      <c r="B3094" s="17">
        <v>42783</v>
      </c>
      <c r="D3094" t="s">
        <v>548</v>
      </c>
      <c r="E3094">
        <v>508.76800000000003</v>
      </c>
    </row>
    <row r="3095" spans="2:5">
      <c r="B3095" s="17">
        <v>42783</v>
      </c>
      <c r="D3095" t="s">
        <v>548</v>
      </c>
      <c r="E3095">
        <v>9.9120000000000008</v>
      </c>
    </row>
    <row r="3096" spans="2:5">
      <c r="B3096" s="17">
        <v>42783</v>
      </c>
      <c r="D3096" t="s">
        <v>548</v>
      </c>
      <c r="E3096">
        <v>25.120000000000005</v>
      </c>
    </row>
    <row r="3097" spans="2:5">
      <c r="B3097" s="17">
        <v>42783</v>
      </c>
      <c r="D3097" t="s">
        <v>548</v>
      </c>
      <c r="E3097">
        <v>2665.62</v>
      </c>
    </row>
    <row r="3098" spans="2:5">
      <c r="B3098" s="17">
        <v>42783</v>
      </c>
      <c r="D3098" t="s">
        <v>548</v>
      </c>
      <c r="E3098">
        <v>189.7</v>
      </c>
    </row>
    <row r="3099" spans="2:5">
      <c r="B3099" s="17">
        <v>42783</v>
      </c>
      <c r="D3099" t="s">
        <v>1074</v>
      </c>
      <c r="E3099">
        <v>40.99</v>
      </c>
    </row>
    <row r="3100" spans="2:5">
      <c r="B3100" s="17">
        <v>42783</v>
      </c>
      <c r="D3100" t="s">
        <v>1074</v>
      </c>
      <c r="E3100">
        <v>23.849999999999998</v>
      </c>
    </row>
    <row r="3101" spans="2:5">
      <c r="B3101" s="17">
        <v>42783</v>
      </c>
      <c r="D3101" t="s">
        <v>1074</v>
      </c>
      <c r="E3101">
        <v>18.240000000000002</v>
      </c>
    </row>
    <row r="3102" spans="2:5">
      <c r="B3102" s="17">
        <v>42783</v>
      </c>
      <c r="D3102" t="s">
        <v>1074</v>
      </c>
      <c r="E3102">
        <v>27.78</v>
      </c>
    </row>
    <row r="3103" spans="2:5">
      <c r="B3103" s="17">
        <v>42783</v>
      </c>
      <c r="D3103" t="s">
        <v>1074</v>
      </c>
      <c r="E3103">
        <v>76.58</v>
      </c>
    </row>
    <row r="3104" spans="2:5">
      <c r="B3104" s="17">
        <v>42782</v>
      </c>
      <c r="D3104" t="s">
        <v>1552</v>
      </c>
      <c r="E3104">
        <v>8.8000000000000007</v>
      </c>
    </row>
    <row r="3105" spans="2:5">
      <c r="B3105" s="17">
        <v>42782</v>
      </c>
      <c r="D3105" t="s">
        <v>1552</v>
      </c>
      <c r="E3105">
        <v>590.35199999999998</v>
      </c>
    </row>
    <row r="3106" spans="2:5">
      <c r="B3106" s="17">
        <v>42782</v>
      </c>
      <c r="D3106" t="s">
        <v>1552</v>
      </c>
      <c r="E3106">
        <v>5.58</v>
      </c>
    </row>
    <row r="3107" spans="2:5">
      <c r="B3107" s="17">
        <v>42782</v>
      </c>
      <c r="D3107" t="s">
        <v>1552</v>
      </c>
      <c r="E3107">
        <v>25.02</v>
      </c>
    </row>
    <row r="3108" spans="2:5">
      <c r="B3108" s="17">
        <v>42782</v>
      </c>
      <c r="D3108" t="s">
        <v>511</v>
      </c>
      <c r="E3108">
        <v>452.55000000000007</v>
      </c>
    </row>
    <row r="3109" spans="2:5">
      <c r="B3109" s="17">
        <v>42782</v>
      </c>
      <c r="D3109" t="s">
        <v>1300</v>
      </c>
      <c r="E3109">
        <v>5.32</v>
      </c>
    </row>
    <row r="3110" spans="2:5">
      <c r="B3110" s="17">
        <v>42782</v>
      </c>
      <c r="D3110" t="s">
        <v>1300</v>
      </c>
      <c r="E3110">
        <v>975.92</v>
      </c>
    </row>
    <row r="3111" spans="2:5">
      <c r="B3111" s="17">
        <v>42782</v>
      </c>
      <c r="D3111" t="s">
        <v>1300</v>
      </c>
      <c r="E3111">
        <v>2249.91</v>
      </c>
    </row>
    <row r="3112" spans="2:5">
      <c r="B3112" s="17">
        <v>42779</v>
      </c>
      <c r="D3112" t="s">
        <v>1300</v>
      </c>
      <c r="E3112">
        <v>59.92</v>
      </c>
    </row>
    <row r="3113" spans="2:5">
      <c r="B3113" s="17">
        <v>42779</v>
      </c>
      <c r="D3113" t="s">
        <v>1300</v>
      </c>
      <c r="E3113">
        <v>3.3119999999999998</v>
      </c>
    </row>
    <row r="3114" spans="2:5">
      <c r="B3114" s="17">
        <v>42779</v>
      </c>
      <c r="D3114" t="s">
        <v>1300</v>
      </c>
      <c r="E3114">
        <v>20.136000000000003</v>
      </c>
    </row>
    <row r="3115" spans="2:5">
      <c r="B3115" s="17">
        <v>42779</v>
      </c>
      <c r="D3115" t="s">
        <v>1300</v>
      </c>
      <c r="E3115">
        <v>8.8559999999999999</v>
      </c>
    </row>
    <row r="3116" spans="2:5">
      <c r="B3116" s="17">
        <v>42779</v>
      </c>
      <c r="D3116" t="s">
        <v>561</v>
      </c>
      <c r="E3116">
        <v>859.19999999999993</v>
      </c>
    </row>
    <row r="3117" spans="2:5">
      <c r="B3117" s="17">
        <v>42779</v>
      </c>
      <c r="D3117" t="s">
        <v>561</v>
      </c>
      <c r="E3117">
        <v>19.440000000000001</v>
      </c>
    </row>
    <row r="3118" spans="2:5">
      <c r="B3118" s="17">
        <v>42779</v>
      </c>
      <c r="D3118" t="s">
        <v>561</v>
      </c>
      <c r="E3118">
        <v>384.59200000000004</v>
      </c>
    </row>
    <row r="3119" spans="2:5">
      <c r="B3119" s="17">
        <v>42777</v>
      </c>
      <c r="D3119" t="s">
        <v>561</v>
      </c>
      <c r="E3119">
        <v>168.1</v>
      </c>
    </row>
    <row r="3120" spans="2:5">
      <c r="B3120" s="17">
        <v>42777</v>
      </c>
      <c r="D3120" t="s">
        <v>561</v>
      </c>
      <c r="E3120">
        <v>54.336000000000006</v>
      </c>
    </row>
    <row r="3121" spans="2:5">
      <c r="B3121" s="17">
        <v>42777</v>
      </c>
      <c r="D3121" t="s">
        <v>561</v>
      </c>
      <c r="E3121">
        <v>83.9</v>
      </c>
    </row>
    <row r="3122" spans="2:5">
      <c r="B3122" s="17">
        <v>42777</v>
      </c>
      <c r="D3122" t="s">
        <v>561</v>
      </c>
      <c r="E3122">
        <v>11.76</v>
      </c>
    </row>
    <row r="3123" spans="2:5">
      <c r="B3123" s="17">
        <v>42777</v>
      </c>
      <c r="D3123" t="s">
        <v>1299</v>
      </c>
      <c r="E3123">
        <v>155.37199999999999</v>
      </c>
    </row>
    <row r="3124" spans="2:5">
      <c r="B3124" s="17">
        <v>42776</v>
      </c>
      <c r="D3124" t="s">
        <v>1299</v>
      </c>
      <c r="E3124">
        <v>5.56</v>
      </c>
    </row>
    <row r="3125" spans="2:5">
      <c r="B3125" s="17">
        <v>42776</v>
      </c>
      <c r="D3125" t="s">
        <v>1299</v>
      </c>
      <c r="E3125">
        <v>15.991999999999999</v>
      </c>
    </row>
    <row r="3126" spans="2:5">
      <c r="B3126" s="17">
        <v>42775</v>
      </c>
      <c r="D3126" t="s">
        <v>1299</v>
      </c>
      <c r="E3126">
        <v>139.86000000000001</v>
      </c>
    </row>
    <row r="3127" spans="2:5">
      <c r="B3127" s="17">
        <v>42775</v>
      </c>
      <c r="D3127" t="s">
        <v>1470</v>
      </c>
      <c r="E3127">
        <v>12.39</v>
      </c>
    </row>
    <row r="3128" spans="2:5">
      <c r="B3128" s="17">
        <v>42775</v>
      </c>
      <c r="D3128" t="s">
        <v>870</v>
      </c>
      <c r="E3128">
        <v>41.37</v>
      </c>
    </row>
    <row r="3129" spans="2:5">
      <c r="B3129" s="17">
        <v>42775</v>
      </c>
      <c r="D3129" t="s">
        <v>870</v>
      </c>
      <c r="E3129">
        <v>8.56</v>
      </c>
    </row>
    <row r="3130" spans="2:5">
      <c r="B3130" s="17">
        <v>42775</v>
      </c>
      <c r="D3130" t="s">
        <v>870</v>
      </c>
      <c r="E3130">
        <v>52.400000000000006</v>
      </c>
    </row>
    <row r="3131" spans="2:5">
      <c r="B3131" s="17">
        <v>42775</v>
      </c>
      <c r="D3131" t="s">
        <v>870</v>
      </c>
      <c r="E3131">
        <v>14.940000000000001</v>
      </c>
    </row>
    <row r="3132" spans="2:5">
      <c r="B3132" s="17">
        <v>42772</v>
      </c>
      <c r="D3132" t="s">
        <v>1204</v>
      </c>
      <c r="E3132">
        <v>11.673000000000002</v>
      </c>
    </row>
    <row r="3133" spans="2:5">
      <c r="B3133" s="17">
        <v>42772</v>
      </c>
      <c r="D3133" t="s">
        <v>1204</v>
      </c>
      <c r="E3133">
        <v>43.5</v>
      </c>
    </row>
    <row r="3134" spans="2:5">
      <c r="B3134" s="17">
        <v>42772</v>
      </c>
      <c r="D3134" t="s">
        <v>1204</v>
      </c>
      <c r="E3134">
        <v>26.400000000000002</v>
      </c>
    </row>
    <row r="3135" spans="2:5">
      <c r="B3135" s="17">
        <v>42772</v>
      </c>
      <c r="D3135" t="s">
        <v>1204</v>
      </c>
      <c r="E3135">
        <v>35.880000000000003</v>
      </c>
    </row>
    <row r="3136" spans="2:5">
      <c r="B3136" s="17">
        <v>42772</v>
      </c>
      <c r="D3136" t="s">
        <v>1204</v>
      </c>
      <c r="E3136">
        <v>361.37600000000003</v>
      </c>
    </row>
    <row r="3137" spans="2:5">
      <c r="B3137" s="17">
        <v>42771</v>
      </c>
      <c r="D3137" t="s">
        <v>982</v>
      </c>
      <c r="E3137">
        <v>40.775999999999996</v>
      </c>
    </row>
    <row r="3138" spans="2:5">
      <c r="B3138" s="17">
        <v>42771</v>
      </c>
      <c r="D3138" t="s">
        <v>982</v>
      </c>
      <c r="E3138">
        <v>1673.1839999999997</v>
      </c>
    </row>
    <row r="3139" spans="2:5">
      <c r="B3139" s="17">
        <v>42771</v>
      </c>
      <c r="D3139" t="s">
        <v>982</v>
      </c>
      <c r="E3139">
        <v>18.368000000000002</v>
      </c>
    </row>
    <row r="3140" spans="2:5">
      <c r="B3140" s="17">
        <v>42771</v>
      </c>
      <c r="D3140" t="s">
        <v>982</v>
      </c>
      <c r="E3140">
        <v>486.36800000000005</v>
      </c>
    </row>
    <row r="3141" spans="2:5">
      <c r="B3141" s="17">
        <v>42770</v>
      </c>
      <c r="D3141" t="s">
        <v>1096</v>
      </c>
      <c r="E3141">
        <v>959.98400000000004</v>
      </c>
    </row>
    <row r="3142" spans="2:5">
      <c r="B3142" s="17">
        <v>42769</v>
      </c>
      <c r="D3142" t="s">
        <v>1096</v>
      </c>
      <c r="E3142">
        <v>4.0860000000000003</v>
      </c>
    </row>
    <row r="3143" spans="2:5">
      <c r="B3143" s="17">
        <v>42769</v>
      </c>
      <c r="D3143" t="s">
        <v>1096</v>
      </c>
      <c r="E3143">
        <v>55.984000000000009</v>
      </c>
    </row>
    <row r="3144" spans="2:5">
      <c r="B3144" s="17">
        <v>42769</v>
      </c>
      <c r="D3144" t="s">
        <v>1096</v>
      </c>
      <c r="E3144">
        <v>10.688000000000001</v>
      </c>
    </row>
    <row r="3145" spans="2:5">
      <c r="B3145" s="17">
        <v>42769</v>
      </c>
      <c r="D3145" t="s">
        <v>1096</v>
      </c>
      <c r="E3145">
        <v>7999.98</v>
      </c>
    </row>
    <row r="3146" spans="2:5">
      <c r="B3146" s="17">
        <v>42769</v>
      </c>
      <c r="D3146" t="s">
        <v>1096</v>
      </c>
      <c r="E3146">
        <v>167.44000000000003</v>
      </c>
    </row>
    <row r="3147" spans="2:5">
      <c r="B3147" s="17">
        <v>42769</v>
      </c>
      <c r="D3147" t="s">
        <v>310</v>
      </c>
      <c r="E3147">
        <v>9.6640000000000015</v>
      </c>
    </row>
    <row r="3148" spans="2:5">
      <c r="B3148" s="17">
        <v>42769</v>
      </c>
      <c r="D3148" t="s">
        <v>310</v>
      </c>
      <c r="E3148">
        <v>23.680000000000003</v>
      </c>
    </row>
    <row r="3149" spans="2:5">
      <c r="B3149" s="17">
        <v>42769</v>
      </c>
      <c r="D3149" t="s">
        <v>310</v>
      </c>
      <c r="E3149">
        <v>523.76400000000001</v>
      </c>
    </row>
    <row r="3150" spans="2:5">
      <c r="B3150" s="17">
        <v>42768</v>
      </c>
      <c r="D3150" t="s">
        <v>310</v>
      </c>
      <c r="E3150">
        <v>1359.96</v>
      </c>
    </row>
    <row r="3151" spans="2:5">
      <c r="B3151" s="17">
        <v>42768</v>
      </c>
      <c r="D3151" t="s">
        <v>310</v>
      </c>
      <c r="E3151">
        <v>95.976000000000013</v>
      </c>
    </row>
    <row r="3152" spans="2:5">
      <c r="B3152" s="17">
        <v>42768</v>
      </c>
      <c r="D3152" t="s">
        <v>310</v>
      </c>
      <c r="E3152">
        <v>143.928</v>
      </c>
    </row>
    <row r="3153" spans="2:5">
      <c r="B3153" s="17">
        <v>42768</v>
      </c>
      <c r="D3153" t="s">
        <v>310</v>
      </c>
      <c r="E3153">
        <v>3.5640000000000009</v>
      </c>
    </row>
    <row r="3154" spans="2:5">
      <c r="B3154" s="17">
        <v>42768</v>
      </c>
      <c r="D3154" t="s">
        <v>189</v>
      </c>
      <c r="E3154">
        <v>4.9280000000000008</v>
      </c>
    </row>
    <row r="3155" spans="2:5">
      <c r="B3155" s="17">
        <v>42768</v>
      </c>
      <c r="D3155" t="s">
        <v>189</v>
      </c>
      <c r="E3155">
        <v>7.5359999999999987</v>
      </c>
    </row>
    <row r="3156" spans="2:5">
      <c r="B3156" s="17">
        <v>42768</v>
      </c>
      <c r="D3156" t="s">
        <v>189</v>
      </c>
      <c r="E3156">
        <v>1.4079999999999997</v>
      </c>
    </row>
    <row r="3157" spans="2:5">
      <c r="B3157" s="17">
        <v>42768</v>
      </c>
      <c r="D3157" t="s">
        <v>189</v>
      </c>
      <c r="E3157">
        <v>4.1439999999999992</v>
      </c>
    </row>
    <row r="3158" spans="2:5">
      <c r="B3158" s="17">
        <v>42768</v>
      </c>
      <c r="D3158" t="s">
        <v>189</v>
      </c>
      <c r="E3158">
        <v>52.751999999999995</v>
      </c>
    </row>
    <row r="3159" spans="2:5">
      <c r="B3159" s="17">
        <v>42765</v>
      </c>
      <c r="D3159" t="s">
        <v>189</v>
      </c>
      <c r="E3159">
        <v>70.720000000000013</v>
      </c>
    </row>
    <row r="3160" spans="2:5">
      <c r="B3160" s="17">
        <v>42765</v>
      </c>
      <c r="D3160" t="s">
        <v>189</v>
      </c>
      <c r="E3160">
        <v>194.35200000000003</v>
      </c>
    </row>
    <row r="3161" spans="2:5">
      <c r="B3161" s="17">
        <v>42765</v>
      </c>
      <c r="D3161" t="s">
        <v>943</v>
      </c>
      <c r="E3161">
        <v>4.3</v>
      </c>
    </row>
    <row r="3162" spans="2:5">
      <c r="B3162" s="17">
        <v>42765</v>
      </c>
      <c r="D3162" t="s">
        <v>943</v>
      </c>
      <c r="E3162">
        <v>2.3880000000000003</v>
      </c>
    </row>
    <row r="3163" spans="2:5">
      <c r="B3163" s="17">
        <v>42765</v>
      </c>
      <c r="D3163" t="s">
        <v>943</v>
      </c>
      <c r="E3163">
        <v>159.99</v>
      </c>
    </row>
    <row r="3164" spans="2:5">
      <c r="B3164" s="17">
        <v>42765</v>
      </c>
      <c r="D3164" t="s">
        <v>943</v>
      </c>
      <c r="E3164">
        <v>390.75</v>
      </c>
    </row>
    <row r="3165" spans="2:5">
      <c r="B3165" s="17">
        <v>42765</v>
      </c>
      <c r="D3165" t="s">
        <v>943</v>
      </c>
      <c r="E3165">
        <v>16.029999999999998</v>
      </c>
    </row>
    <row r="3166" spans="2:5">
      <c r="B3166" s="17">
        <v>42765</v>
      </c>
      <c r="D3166" t="s">
        <v>943</v>
      </c>
      <c r="E3166">
        <v>492.76800000000003</v>
      </c>
    </row>
    <row r="3167" spans="2:5">
      <c r="B3167" s="17">
        <v>42765</v>
      </c>
      <c r="D3167" t="s">
        <v>943</v>
      </c>
      <c r="E3167">
        <v>12.96</v>
      </c>
    </row>
    <row r="3168" spans="2:5">
      <c r="B3168" s="17">
        <v>42765</v>
      </c>
      <c r="D3168" t="s">
        <v>943</v>
      </c>
      <c r="E3168">
        <v>164.68800000000002</v>
      </c>
    </row>
    <row r="3169" spans="2:5">
      <c r="B3169" s="17">
        <v>42765</v>
      </c>
      <c r="D3169" t="s">
        <v>943</v>
      </c>
      <c r="E3169">
        <v>166.5</v>
      </c>
    </row>
    <row r="3170" spans="2:5">
      <c r="B3170" s="17">
        <v>42765</v>
      </c>
      <c r="D3170" t="s">
        <v>943</v>
      </c>
      <c r="E3170">
        <v>12.96</v>
      </c>
    </row>
    <row r="3171" spans="2:5">
      <c r="B3171" s="17">
        <v>42765</v>
      </c>
      <c r="D3171" t="s">
        <v>480</v>
      </c>
      <c r="E3171">
        <v>110.96</v>
      </c>
    </row>
    <row r="3172" spans="2:5">
      <c r="B3172" s="17">
        <v>42765</v>
      </c>
      <c r="D3172" t="s">
        <v>480</v>
      </c>
      <c r="E3172">
        <v>99.98</v>
      </c>
    </row>
    <row r="3173" spans="2:5">
      <c r="B3173" s="17">
        <v>42765</v>
      </c>
      <c r="D3173" t="s">
        <v>480</v>
      </c>
      <c r="E3173">
        <v>11.423999999999999</v>
      </c>
    </row>
    <row r="3174" spans="2:5">
      <c r="B3174" s="17">
        <v>42765</v>
      </c>
      <c r="D3174" t="s">
        <v>1375</v>
      </c>
      <c r="E3174">
        <v>128.12400000000002</v>
      </c>
    </row>
    <row r="3175" spans="2:5">
      <c r="B3175" s="17">
        <v>42764</v>
      </c>
      <c r="D3175" t="s">
        <v>787</v>
      </c>
      <c r="E3175">
        <v>101.4</v>
      </c>
    </row>
    <row r="3176" spans="2:5">
      <c r="B3176" s="17">
        <v>42764</v>
      </c>
      <c r="D3176" t="s">
        <v>787</v>
      </c>
      <c r="E3176">
        <v>4.41</v>
      </c>
    </row>
    <row r="3177" spans="2:5">
      <c r="B3177" s="17">
        <v>42764</v>
      </c>
      <c r="D3177" t="s">
        <v>787</v>
      </c>
      <c r="E3177">
        <v>167.94</v>
      </c>
    </row>
    <row r="3178" spans="2:5">
      <c r="B3178" s="17">
        <v>42764</v>
      </c>
      <c r="D3178" t="s">
        <v>787</v>
      </c>
      <c r="E3178">
        <v>67.8</v>
      </c>
    </row>
    <row r="3179" spans="2:5">
      <c r="B3179" s="17">
        <v>42764</v>
      </c>
      <c r="D3179" t="s">
        <v>787</v>
      </c>
      <c r="E3179">
        <v>5.6820000000000013</v>
      </c>
    </row>
    <row r="3180" spans="2:5">
      <c r="B3180" s="17">
        <v>42764</v>
      </c>
      <c r="D3180" t="s">
        <v>787</v>
      </c>
      <c r="E3180">
        <v>46.26</v>
      </c>
    </row>
    <row r="3181" spans="2:5">
      <c r="B3181" s="17">
        <v>42764</v>
      </c>
      <c r="D3181" t="s">
        <v>1503</v>
      </c>
      <c r="E3181">
        <v>5.78</v>
      </c>
    </row>
    <row r="3182" spans="2:5">
      <c r="B3182" s="17">
        <v>42764</v>
      </c>
      <c r="D3182" t="s">
        <v>1503</v>
      </c>
      <c r="E3182">
        <v>15.28</v>
      </c>
    </row>
    <row r="3183" spans="2:5">
      <c r="B3183" s="17">
        <v>42764</v>
      </c>
      <c r="D3183" t="s">
        <v>1503</v>
      </c>
      <c r="E3183">
        <v>8.73</v>
      </c>
    </row>
    <row r="3184" spans="2:5">
      <c r="B3184" s="17">
        <v>42764</v>
      </c>
      <c r="D3184" t="s">
        <v>1503</v>
      </c>
      <c r="E3184">
        <v>5.68</v>
      </c>
    </row>
    <row r="3185" spans="2:5">
      <c r="B3185" s="17">
        <v>42763</v>
      </c>
      <c r="D3185" t="s">
        <v>1503</v>
      </c>
      <c r="E3185">
        <v>499.58400000000006</v>
      </c>
    </row>
    <row r="3186" spans="2:5">
      <c r="B3186" s="17">
        <v>42763</v>
      </c>
      <c r="D3186" t="s">
        <v>1848</v>
      </c>
      <c r="E3186">
        <v>31.104000000000006</v>
      </c>
    </row>
    <row r="3187" spans="2:5">
      <c r="B3187" s="17">
        <v>42763</v>
      </c>
      <c r="D3187" t="s">
        <v>1848</v>
      </c>
      <c r="E3187">
        <v>13.272000000000002</v>
      </c>
    </row>
    <row r="3188" spans="2:5">
      <c r="B3188" s="17">
        <v>42763</v>
      </c>
      <c r="D3188" t="s">
        <v>1848</v>
      </c>
      <c r="E3188">
        <v>28.272000000000006</v>
      </c>
    </row>
    <row r="3189" spans="2:5">
      <c r="B3189" s="17">
        <v>42762</v>
      </c>
      <c r="D3189" t="s">
        <v>1268</v>
      </c>
      <c r="E3189">
        <v>13.899999999999999</v>
      </c>
    </row>
    <row r="3190" spans="2:5">
      <c r="B3190" s="17">
        <v>42762</v>
      </c>
      <c r="D3190" t="s">
        <v>1268</v>
      </c>
      <c r="E3190">
        <v>26.38</v>
      </c>
    </row>
    <row r="3191" spans="2:5">
      <c r="B3191" s="17">
        <v>42762</v>
      </c>
      <c r="D3191" t="s">
        <v>1268</v>
      </c>
      <c r="E3191">
        <v>127.372</v>
      </c>
    </row>
    <row r="3192" spans="2:5">
      <c r="B3192" s="17">
        <v>42762</v>
      </c>
      <c r="D3192" t="s">
        <v>1268</v>
      </c>
      <c r="E3192">
        <v>47.952000000000005</v>
      </c>
    </row>
    <row r="3193" spans="2:5">
      <c r="B3193" s="17">
        <v>42761</v>
      </c>
      <c r="D3193" t="s">
        <v>1268</v>
      </c>
      <c r="E3193">
        <v>59.94</v>
      </c>
    </row>
    <row r="3194" spans="2:5">
      <c r="B3194" s="17">
        <v>42761</v>
      </c>
      <c r="D3194" t="s">
        <v>1268</v>
      </c>
      <c r="E3194">
        <v>45.36</v>
      </c>
    </row>
    <row r="3195" spans="2:5">
      <c r="B3195" s="17">
        <v>42761</v>
      </c>
      <c r="D3195" t="s">
        <v>836</v>
      </c>
      <c r="E3195">
        <v>26.400000000000002</v>
      </c>
    </row>
    <row r="3196" spans="2:5">
      <c r="B3196" s="17">
        <v>42761</v>
      </c>
      <c r="D3196" t="s">
        <v>836</v>
      </c>
      <c r="E3196">
        <v>41.4</v>
      </c>
    </row>
    <row r="3197" spans="2:5">
      <c r="B3197" s="17">
        <v>42761</v>
      </c>
      <c r="D3197" t="s">
        <v>836</v>
      </c>
      <c r="E3197">
        <v>16.95</v>
      </c>
    </row>
    <row r="3198" spans="2:5">
      <c r="B3198" s="17">
        <v>42761</v>
      </c>
      <c r="D3198" t="s">
        <v>836</v>
      </c>
      <c r="E3198">
        <v>2036.8600000000001</v>
      </c>
    </row>
    <row r="3199" spans="2:5">
      <c r="B3199" s="17">
        <v>42759</v>
      </c>
      <c r="D3199" t="s">
        <v>836</v>
      </c>
      <c r="E3199">
        <v>449.56800000000004</v>
      </c>
    </row>
    <row r="3200" spans="2:5">
      <c r="B3200" s="17">
        <v>42759</v>
      </c>
      <c r="D3200" t="s">
        <v>836</v>
      </c>
      <c r="E3200">
        <v>108.96000000000001</v>
      </c>
    </row>
    <row r="3201" spans="2:5">
      <c r="B3201" s="17">
        <v>42759</v>
      </c>
      <c r="D3201" t="s">
        <v>1153</v>
      </c>
      <c r="E3201">
        <v>30.560000000000002</v>
      </c>
    </row>
    <row r="3202" spans="2:5">
      <c r="B3202" s="17">
        <v>42759</v>
      </c>
      <c r="D3202" t="s">
        <v>1153</v>
      </c>
      <c r="E3202">
        <v>1.2479999999999998</v>
      </c>
    </row>
    <row r="3203" spans="2:5">
      <c r="B3203" s="17">
        <v>42758</v>
      </c>
      <c r="D3203" t="s">
        <v>1153</v>
      </c>
      <c r="E3203">
        <v>18.16</v>
      </c>
    </row>
    <row r="3204" spans="2:5">
      <c r="B3204" s="17">
        <v>42758</v>
      </c>
      <c r="D3204" t="s">
        <v>1153</v>
      </c>
      <c r="E3204">
        <v>59.97</v>
      </c>
    </row>
    <row r="3205" spans="2:5">
      <c r="B3205" s="17">
        <v>42758</v>
      </c>
      <c r="D3205" t="s">
        <v>1153</v>
      </c>
      <c r="E3205">
        <v>761.5440000000001</v>
      </c>
    </row>
    <row r="3206" spans="2:5">
      <c r="B3206" s="17">
        <v>42758</v>
      </c>
      <c r="D3206" t="s">
        <v>459</v>
      </c>
      <c r="E3206">
        <v>359.97</v>
      </c>
    </row>
    <row r="3207" spans="2:5">
      <c r="B3207" s="17">
        <v>42758</v>
      </c>
      <c r="D3207" t="s">
        <v>459</v>
      </c>
      <c r="E3207">
        <v>350.35199999999998</v>
      </c>
    </row>
    <row r="3208" spans="2:5">
      <c r="B3208" s="17">
        <v>42758</v>
      </c>
      <c r="D3208" t="s">
        <v>459</v>
      </c>
      <c r="E3208">
        <v>21.792000000000002</v>
      </c>
    </row>
    <row r="3209" spans="2:5">
      <c r="B3209" s="17">
        <v>42758</v>
      </c>
      <c r="D3209" t="s">
        <v>459</v>
      </c>
      <c r="E3209">
        <v>439.8</v>
      </c>
    </row>
    <row r="3210" spans="2:5">
      <c r="B3210" s="17">
        <v>42757</v>
      </c>
      <c r="D3210" t="s">
        <v>459</v>
      </c>
      <c r="E3210">
        <v>100.94</v>
      </c>
    </row>
    <row r="3211" spans="2:5">
      <c r="B3211" s="17">
        <v>42757</v>
      </c>
      <c r="D3211" t="s">
        <v>459</v>
      </c>
      <c r="E3211">
        <v>7.88</v>
      </c>
    </row>
    <row r="3212" spans="2:5">
      <c r="B3212" s="17">
        <v>42757</v>
      </c>
      <c r="D3212" t="s">
        <v>459</v>
      </c>
      <c r="E3212">
        <v>38.160000000000004</v>
      </c>
    </row>
    <row r="3213" spans="2:5">
      <c r="B3213" s="17">
        <v>42757</v>
      </c>
      <c r="D3213" t="s">
        <v>102</v>
      </c>
      <c r="E3213">
        <v>109.9</v>
      </c>
    </row>
    <row r="3214" spans="2:5">
      <c r="B3214" s="17">
        <v>42757</v>
      </c>
      <c r="D3214" t="s">
        <v>102</v>
      </c>
      <c r="E3214">
        <v>96.53</v>
      </c>
    </row>
    <row r="3215" spans="2:5">
      <c r="B3215" s="17">
        <v>42757</v>
      </c>
      <c r="D3215" t="s">
        <v>102</v>
      </c>
      <c r="E3215">
        <v>63.56</v>
      </c>
    </row>
    <row r="3216" spans="2:5">
      <c r="B3216" s="17">
        <v>42756</v>
      </c>
      <c r="D3216" t="s">
        <v>102</v>
      </c>
      <c r="E3216">
        <v>99.99</v>
      </c>
    </row>
    <row r="3217" spans="2:5">
      <c r="B3217" s="17">
        <v>42756</v>
      </c>
      <c r="D3217" t="s">
        <v>102</v>
      </c>
      <c r="E3217">
        <v>9.64</v>
      </c>
    </row>
    <row r="3218" spans="2:5">
      <c r="B3218" s="17">
        <v>42756</v>
      </c>
      <c r="D3218" t="s">
        <v>1290</v>
      </c>
      <c r="E3218">
        <v>826.62000000000012</v>
      </c>
    </row>
    <row r="3219" spans="2:5">
      <c r="B3219" s="17">
        <v>42756</v>
      </c>
      <c r="D3219" t="s">
        <v>1290</v>
      </c>
      <c r="E3219">
        <v>1633.14</v>
      </c>
    </row>
    <row r="3220" spans="2:5">
      <c r="B3220" s="17">
        <v>42756</v>
      </c>
      <c r="D3220" t="s">
        <v>1290</v>
      </c>
      <c r="E3220">
        <v>544.38</v>
      </c>
    </row>
    <row r="3221" spans="2:5">
      <c r="B3221" s="17">
        <v>42756</v>
      </c>
      <c r="D3221" t="s">
        <v>1290</v>
      </c>
      <c r="E3221">
        <v>47.12</v>
      </c>
    </row>
    <row r="3222" spans="2:5">
      <c r="B3222" s="17">
        <v>42756</v>
      </c>
      <c r="D3222" t="s">
        <v>1290</v>
      </c>
      <c r="E3222">
        <v>523.39200000000005</v>
      </c>
    </row>
    <row r="3223" spans="2:5">
      <c r="B3223" s="17">
        <v>42756</v>
      </c>
      <c r="D3223" t="s">
        <v>1290</v>
      </c>
      <c r="E3223">
        <v>191.976</v>
      </c>
    </row>
    <row r="3224" spans="2:5">
      <c r="B3224" s="17">
        <v>42756</v>
      </c>
      <c r="D3224" t="s">
        <v>1298</v>
      </c>
      <c r="E3224">
        <v>499.16800000000006</v>
      </c>
    </row>
    <row r="3225" spans="2:5">
      <c r="B3225" s="17">
        <v>42756</v>
      </c>
      <c r="D3225" t="s">
        <v>1298</v>
      </c>
      <c r="E3225">
        <v>38.388000000000005</v>
      </c>
    </row>
    <row r="3226" spans="2:5">
      <c r="B3226" s="17">
        <v>42756</v>
      </c>
      <c r="D3226" t="s">
        <v>1298</v>
      </c>
      <c r="E3226">
        <v>95.994000000000014</v>
      </c>
    </row>
    <row r="3227" spans="2:5">
      <c r="B3227" s="17">
        <v>42756</v>
      </c>
      <c r="D3227" t="s">
        <v>1635</v>
      </c>
      <c r="E3227">
        <v>899.13600000000008</v>
      </c>
    </row>
    <row r="3228" spans="2:5">
      <c r="B3228" s="17">
        <v>42756</v>
      </c>
      <c r="D3228" t="s">
        <v>1635</v>
      </c>
      <c r="E3228">
        <v>931.17600000000016</v>
      </c>
    </row>
    <row r="3229" spans="2:5">
      <c r="B3229" s="17">
        <v>42756</v>
      </c>
      <c r="D3229" t="s">
        <v>1635</v>
      </c>
      <c r="E3229">
        <v>430.88</v>
      </c>
    </row>
    <row r="3230" spans="2:5">
      <c r="B3230" s="17">
        <v>42755</v>
      </c>
      <c r="D3230" t="s">
        <v>872</v>
      </c>
      <c r="E3230">
        <v>26.352000000000004</v>
      </c>
    </row>
    <row r="3231" spans="2:5">
      <c r="B3231" s="17">
        <v>42755</v>
      </c>
      <c r="D3231" t="s">
        <v>872</v>
      </c>
      <c r="E3231">
        <v>11.520000000000001</v>
      </c>
    </row>
    <row r="3232" spans="2:5">
      <c r="B3232" s="17">
        <v>42755</v>
      </c>
      <c r="D3232" t="s">
        <v>872</v>
      </c>
      <c r="E3232">
        <v>7.8000000000000007</v>
      </c>
    </row>
    <row r="3233" spans="2:5">
      <c r="B3233" s="17">
        <v>42755</v>
      </c>
      <c r="D3233" t="s">
        <v>872</v>
      </c>
      <c r="E3233">
        <v>400.79999999999995</v>
      </c>
    </row>
    <row r="3234" spans="2:5">
      <c r="B3234" s="17">
        <v>42755</v>
      </c>
      <c r="D3234" t="s">
        <v>1120</v>
      </c>
      <c r="E3234">
        <v>28.792000000000002</v>
      </c>
    </row>
    <row r="3235" spans="2:5">
      <c r="B3235" s="17">
        <v>42755</v>
      </c>
      <c r="D3235" t="s">
        <v>1120</v>
      </c>
      <c r="E3235">
        <v>111.79</v>
      </c>
    </row>
    <row r="3236" spans="2:5">
      <c r="B3236" s="17">
        <v>42754</v>
      </c>
      <c r="D3236" t="s">
        <v>1120</v>
      </c>
      <c r="E3236">
        <v>10.440000000000001</v>
      </c>
    </row>
    <row r="3237" spans="2:5">
      <c r="B3237" s="17">
        <v>42754</v>
      </c>
      <c r="D3237" t="s">
        <v>1120</v>
      </c>
      <c r="E3237">
        <v>18.335999999999999</v>
      </c>
    </row>
    <row r="3238" spans="2:5">
      <c r="B3238" s="17">
        <v>42754</v>
      </c>
      <c r="D3238" t="s">
        <v>675</v>
      </c>
      <c r="E3238">
        <v>10.368000000000002</v>
      </c>
    </row>
    <row r="3239" spans="2:5">
      <c r="B3239" s="17">
        <v>42754</v>
      </c>
      <c r="D3239" t="s">
        <v>675</v>
      </c>
      <c r="E3239">
        <v>10.89</v>
      </c>
    </row>
    <row r="3240" spans="2:5">
      <c r="B3240" s="17">
        <v>42754</v>
      </c>
      <c r="D3240" t="s">
        <v>675</v>
      </c>
      <c r="E3240">
        <v>19.440000000000001</v>
      </c>
    </row>
    <row r="3241" spans="2:5">
      <c r="B3241" s="17">
        <v>42754</v>
      </c>
      <c r="D3241" t="s">
        <v>675</v>
      </c>
      <c r="E3241">
        <v>121.6</v>
      </c>
    </row>
    <row r="3242" spans="2:5">
      <c r="B3242" s="17">
        <v>42754</v>
      </c>
      <c r="D3242" t="s">
        <v>171</v>
      </c>
      <c r="E3242">
        <v>181.86</v>
      </c>
    </row>
    <row r="3243" spans="2:5">
      <c r="B3243" s="17">
        <v>42754</v>
      </c>
      <c r="D3243" t="s">
        <v>171</v>
      </c>
      <c r="E3243">
        <v>45.92</v>
      </c>
    </row>
    <row r="3244" spans="2:5">
      <c r="B3244" s="17">
        <v>42754</v>
      </c>
      <c r="D3244" t="s">
        <v>171</v>
      </c>
      <c r="E3244">
        <v>18.240000000000002</v>
      </c>
    </row>
    <row r="3245" spans="2:5">
      <c r="B3245" s="17">
        <v>42751</v>
      </c>
      <c r="D3245" t="s">
        <v>171</v>
      </c>
      <c r="E3245">
        <v>35.479999999999997</v>
      </c>
    </row>
    <row r="3246" spans="2:5">
      <c r="B3246" s="17">
        <v>42751</v>
      </c>
      <c r="D3246" t="s">
        <v>171</v>
      </c>
      <c r="E3246">
        <v>1158.1199999999999</v>
      </c>
    </row>
    <row r="3247" spans="2:5">
      <c r="B3247" s="17">
        <v>42751</v>
      </c>
      <c r="D3247" t="s">
        <v>1064</v>
      </c>
      <c r="E3247">
        <v>88.920000000000016</v>
      </c>
    </row>
    <row r="3248" spans="2:5">
      <c r="B3248" s="17">
        <v>42751</v>
      </c>
      <c r="D3248" t="s">
        <v>1064</v>
      </c>
      <c r="E3248">
        <v>34.92</v>
      </c>
    </row>
    <row r="3249" spans="2:5">
      <c r="B3249" s="17">
        <v>42751</v>
      </c>
      <c r="D3249" t="s">
        <v>1064</v>
      </c>
      <c r="E3249">
        <v>35.183999999999997</v>
      </c>
    </row>
    <row r="3250" spans="2:5">
      <c r="B3250" s="17">
        <v>42750</v>
      </c>
      <c r="D3250" t="s">
        <v>1064</v>
      </c>
      <c r="E3250">
        <v>25.5</v>
      </c>
    </row>
    <row r="3251" spans="2:5">
      <c r="B3251" s="17">
        <v>42750</v>
      </c>
      <c r="D3251" t="s">
        <v>1064</v>
      </c>
      <c r="E3251">
        <v>10.56</v>
      </c>
    </row>
    <row r="3252" spans="2:5">
      <c r="B3252" s="17">
        <v>42750</v>
      </c>
      <c r="D3252" t="s">
        <v>418</v>
      </c>
      <c r="E3252">
        <v>15.920000000000002</v>
      </c>
    </row>
    <row r="3253" spans="2:5">
      <c r="B3253" s="17">
        <v>42750</v>
      </c>
      <c r="D3253" t="s">
        <v>418</v>
      </c>
      <c r="E3253">
        <v>16.056000000000001</v>
      </c>
    </row>
    <row r="3254" spans="2:5">
      <c r="B3254" s="17">
        <v>42750</v>
      </c>
      <c r="D3254" t="s">
        <v>418</v>
      </c>
      <c r="E3254">
        <v>540.048</v>
      </c>
    </row>
    <row r="3255" spans="2:5">
      <c r="B3255" s="17">
        <v>42750</v>
      </c>
      <c r="D3255" t="s">
        <v>418</v>
      </c>
      <c r="E3255">
        <v>370.78199999999998</v>
      </c>
    </row>
    <row r="3256" spans="2:5">
      <c r="B3256" s="17">
        <v>42750</v>
      </c>
      <c r="D3256" t="s">
        <v>974</v>
      </c>
      <c r="E3256">
        <v>41.6</v>
      </c>
    </row>
    <row r="3257" spans="2:5">
      <c r="B3257" s="17">
        <v>42750</v>
      </c>
      <c r="D3257" t="s">
        <v>974</v>
      </c>
      <c r="E3257">
        <v>23.120000000000005</v>
      </c>
    </row>
    <row r="3258" spans="2:5">
      <c r="B3258" s="17">
        <v>42749</v>
      </c>
      <c r="D3258" t="s">
        <v>974</v>
      </c>
      <c r="E3258">
        <v>113.88800000000002</v>
      </c>
    </row>
    <row r="3259" spans="2:5">
      <c r="B3259" s="17">
        <v>42749</v>
      </c>
      <c r="D3259" t="s">
        <v>584</v>
      </c>
      <c r="E3259">
        <v>113.56800000000001</v>
      </c>
    </row>
    <row r="3260" spans="2:5">
      <c r="B3260" s="17">
        <v>42749</v>
      </c>
      <c r="D3260" t="s">
        <v>584</v>
      </c>
      <c r="E3260">
        <v>7.9200000000000008</v>
      </c>
    </row>
    <row r="3261" spans="2:5">
      <c r="B3261" s="17">
        <v>42749</v>
      </c>
      <c r="D3261" t="s">
        <v>584</v>
      </c>
      <c r="E3261">
        <v>671.98400000000004</v>
      </c>
    </row>
    <row r="3262" spans="2:5">
      <c r="B3262" s="17">
        <v>42749</v>
      </c>
      <c r="D3262" t="s">
        <v>584</v>
      </c>
      <c r="E3262">
        <v>30.559999999999992</v>
      </c>
    </row>
    <row r="3263" spans="2:5">
      <c r="B3263" s="17">
        <v>42749</v>
      </c>
      <c r="D3263" t="s">
        <v>584</v>
      </c>
      <c r="E3263">
        <v>77.951999999999998</v>
      </c>
    </row>
    <row r="3264" spans="2:5">
      <c r="B3264" s="17">
        <v>42749</v>
      </c>
      <c r="D3264" t="s">
        <v>584</v>
      </c>
      <c r="E3264">
        <v>67.992000000000004</v>
      </c>
    </row>
    <row r="3265" spans="2:5">
      <c r="B3265" s="17">
        <v>42749</v>
      </c>
      <c r="D3265" t="s">
        <v>584</v>
      </c>
      <c r="E3265">
        <v>12.224</v>
      </c>
    </row>
    <row r="3266" spans="2:5">
      <c r="B3266" s="17">
        <v>42749</v>
      </c>
      <c r="D3266" t="s">
        <v>584</v>
      </c>
      <c r="E3266">
        <v>44.783999999999999</v>
      </c>
    </row>
    <row r="3267" spans="2:5">
      <c r="B3267" s="17">
        <v>42749</v>
      </c>
      <c r="D3267" t="s">
        <v>1154</v>
      </c>
      <c r="E3267">
        <v>22.847999999999999</v>
      </c>
    </row>
    <row r="3268" spans="2:5">
      <c r="B3268" s="17">
        <v>42749</v>
      </c>
      <c r="D3268" t="s">
        <v>1154</v>
      </c>
      <c r="E3268">
        <v>10.848000000000001</v>
      </c>
    </row>
    <row r="3269" spans="2:5">
      <c r="B3269" s="17">
        <v>42749</v>
      </c>
      <c r="D3269" t="s">
        <v>1154</v>
      </c>
      <c r="E3269">
        <v>18.544</v>
      </c>
    </row>
    <row r="3270" spans="2:5">
      <c r="B3270" s="17">
        <v>42749</v>
      </c>
      <c r="D3270" t="s">
        <v>1154</v>
      </c>
      <c r="E3270">
        <v>9.9600000000000009</v>
      </c>
    </row>
    <row r="3271" spans="2:5">
      <c r="B3271" s="17">
        <v>42749</v>
      </c>
      <c r="D3271" t="s">
        <v>1154</v>
      </c>
      <c r="E3271">
        <v>9.2099999999999991</v>
      </c>
    </row>
    <row r="3272" spans="2:5">
      <c r="B3272" s="17">
        <v>42749</v>
      </c>
      <c r="D3272" t="s">
        <v>1154</v>
      </c>
      <c r="E3272">
        <v>27.93</v>
      </c>
    </row>
    <row r="3273" spans="2:5">
      <c r="B3273" s="17">
        <v>42749</v>
      </c>
      <c r="D3273" t="s">
        <v>182</v>
      </c>
      <c r="E3273">
        <v>14.016</v>
      </c>
    </row>
    <row r="3274" spans="2:5">
      <c r="B3274" s="17">
        <v>42749</v>
      </c>
      <c r="D3274" t="s">
        <v>182</v>
      </c>
      <c r="E3274">
        <v>18.240000000000002</v>
      </c>
    </row>
    <row r="3275" spans="2:5">
      <c r="B3275" s="17">
        <v>42749</v>
      </c>
      <c r="D3275" t="s">
        <v>182</v>
      </c>
      <c r="E3275">
        <v>76.12</v>
      </c>
    </row>
    <row r="3276" spans="2:5">
      <c r="B3276" s="17">
        <v>42748</v>
      </c>
      <c r="D3276" t="s">
        <v>182</v>
      </c>
      <c r="E3276">
        <v>26.720000000000002</v>
      </c>
    </row>
    <row r="3277" spans="2:5">
      <c r="B3277" s="17">
        <v>42748</v>
      </c>
      <c r="D3277" t="s">
        <v>182</v>
      </c>
      <c r="E3277">
        <v>62.352000000000004</v>
      </c>
    </row>
    <row r="3278" spans="2:5">
      <c r="B3278" s="17">
        <v>42748</v>
      </c>
      <c r="D3278" t="s">
        <v>182</v>
      </c>
      <c r="E3278">
        <v>11.56</v>
      </c>
    </row>
    <row r="3279" spans="2:5">
      <c r="B3279" s="17">
        <v>42748</v>
      </c>
      <c r="D3279" t="s">
        <v>182</v>
      </c>
      <c r="E3279">
        <v>9.3239999999999981</v>
      </c>
    </row>
    <row r="3280" spans="2:5">
      <c r="B3280" s="17">
        <v>42747</v>
      </c>
      <c r="D3280" t="s">
        <v>182</v>
      </c>
      <c r="E3280">
        <v>60.864000000000004</v>
      </c>
    </row>
    <row r="3281" spans="2:5">
      <c r="B3281" s="17">
        <v>42747</v>
      </c>
      <c r="D3281" t="s">
        <v>765</v>
      </c>
      <c r="E3281">
        <v>652.99500000000012</v>
      </c>
    </row>
    <row r="3282" spans="2:5">
      <c r="B3282" s="17">
        <v>42747</v>
      </c>
      <c r="D3282" t="s">
        <v>765</v>
      </c>
      <c r="E3282">
        <v>11.220000000000002</v>
      </c>
    </row>
    <row r="3283" spans="2:5">
      <c r="B3283" s="17">
        <v>42747</v>
      </c>
      <c r="D3283" t="s">
        <v>765</v>
      </c>
      <c r="E3283">
        <v>163.96</v>
      </c>
    </row>
    <row r="3284" spans="2:5">
      <c r="B3284" s="17">
        <v>42744</v>
      </c>
      <c r="D3284" t="s">
        <v>765</v>
      </c>
      <c r="E3284">
        <v>8.9039999999999999</v>
      </c>
    </row>
    <row r="3285" spans="2:5">
      <c r="B3285" s="17">
        <v>42743</v>
      </c>
      <c r="D3285" t="s">
        <v>765</v>
      </c>
      <c r="E3285">
        <v>720.06400000000008</v>
      </c>
    </row>
    <row r="3286" spans="2:5">
      <c r="B3286" s="17">
        <v>42742</v>
      </c>
      <c r="D3286" t="s">
        <v>765</v>
      </c>
      <c r="E3286">
        <v>2404.7040000000002</v>
      </c>
    </row>
    <row r="3287" spans="2:5">
      <c r="B3287" s="17">
        <v>42742</v>
      </c>
      <c r="D3287" t="s">
        <v>765</v>
      </c>
      <c r="E3287">
        <v>563.024</v>
      </c>
    </row>
    <row r="3288" spans="2:5">
      <c r="B3288" s="17">
        <v>42742</v>
      </c>
      <c r="D3288" t="s">
        <v>765</v>
      </c>
      <c r="E3288">
        <v>344.90999999999997</v>
      </c>
    </row>
    <row r="3289" spans="2:5">
      <c r="B3289" s="17">
        <v>42742</v>
      </c>
      <c r="D3289" t="s">
        <v>765</v>
      </c>
      <c r="E3289">
        <v>8.64</v>
      </c>
    </row>
    <row r="3290" spans="2:5">
      <c r="B3290" s="17">
        <v>42742</v>
      </c>
      <c r="D3290" t="s">
        <v>1335</v>
      </c>
      <c r="E3290">
        <v>2.0640000000000001</v>
      </c>
    </row>
    <row r="3291" spans="2:5">
      <c r="B3291" s="17">
        <v>42742</v>
      </c>
      <c r="D3291" t="s">
        <v>1335</v>
      </c>
      <c r="E3291">
        <v>61.792000000000002</v>
      </c>
    </row>
    <row r="3292" spans="2:5">
      <c r="B3292" s="17">
        <v>42741</v>
      </c>
      <c r="D3292" t="s">
        <v>1335</v>
      </c>
      <c r="E3292">
        <v>629.94999999999993</v>
      </c>
    </row>
    <row r="3293" spans="2:5">
      <c r="B3293" s="17">
        <v>42738</v>
      </c>
      <c r="D3293" t="s">
        <v>1385</v>
      </c>
      <c r="E3293">
        <v>43.6</v>
      </c>
    </row>
    <row r="3294" spans="2:5">
      <c r="B3294" s="17">
        <v>42738</v>
      </c>
      <c r="D3294" t="s">
        <v>1160</v>
      </c>
      <c r="E3294">
        <v>154.94999999999999</v>
      </c>
    </row>
    <row r="3295" spans="2:5">
      <c r="B3295" s="17">
        <v>42738</v>
      </c>
      <c r="D3295" t="s">
        <v>1160</v>
      </c>
      <c r="E3295">
        <v>11.21</v>
      </c>
    </row>
    <row r="3296" spans="2:5">
      <c r="B3296" s="17">
        <v>42737</v>
      </c>
      <c r="D3296" t="s">
        <v>1160</v>
      </c>
      <c r="E3296">
        <v>82.95</v>
      </c>
    </row>
    <row r="3297" spans="2:5">
      <c r="B3297" s="17">
        <v>42737</v>
      </c>
      <c r="D3297" t="s">
        <v>1160</v>
      </c>
      <c r="E3297">
        <v>22</v>
      </c>
    </row>
    <row r="3298" spans="2:5">
      <c r="B3298" s="17">
        <v>42737</v>
      </c>
      <c r="D3298" t="s">
        <v>1160</v>
      </c>
      <c r="E3298">
        <v>119.93999999999998</v>
      </c>
    </row>
    <row r="3299" spans="2:5">
      <c r="B3299" s="17">
        <v>42737</v>
      </c>
      <c r="D3299" t="s">
        <v>1160</v>
      </c>
      <c r="E3299">
        <v>3.6480000000000006</v>
      </c>
    </row>
    <row r="3300" spans="2:5">
      <c r="B3300" s="17">
        <v>42737</v>
      </c>
      <c r="D3300" t="s">
        <v>1160</v>
      </c>
      <c r="E3300">
        <v>8.64</v>
      </c>
    </row>
    <row r="3301" spans="2:5">
      <c r="B3301" s="17">
        <v>42737</v>
      </c>
      <c r="D3301" t="s">
        <v>1347</v>
      </c>
      <c r="E3301">
        <v>167.95200000000003</v>
      </c>
    </row>
    <row r="3302" spans="2:5">
      <c r="B3302" s="17">
        <v>42737</v>
      </c>
      <c r="D3302" t="s">
        <v>1347</v>
      </c>
      <c r="E3302">
        <v>45.04</v>
      </c>
    </row>
    <row r="3303" spans="2:5">
      <c r="B3303" s="17">
        <v>42737</v>
      </c>
      <c r="D3303" t="s">
        <v>1347</v>
      </c>
      <c r="E3303">
        <v>96.359999999999985</v>
      </c>
    </row>
    <row r="3304" spans="2:5">
      <c r="B3304" s="17">
        <v>42736</v>
      </c>
      <c r="D3304" t="s">
        <v>1347</v>
      </c>
      <c r="E3304">
        <v>21.989999999999995</v>
      </c>
    </row>
    <row r="3305" spans="2:5">
      <c r="B3305" s="17">
        <v>42736</v>
      </c>
      <c r="D3305" t="s">
        <v>1347</v>
      </c>
      <c r="E3305">
        <v>15.28</v>
      </c>
    </row>
    <row r="3306" spans="2:5">
      <c r="B3306" s="17">
        <v>42736</v>
      </c>
      <c r="D3306" t="s">
        <v>486</v>
      </c>
      <c r="E3306">
        <v>34.24</v>
      </c>
    </row>
    <row r="3307" spans="2:5">
      <c r="B3307" s="17">
        <v>42736</v>
      </c>
      <c r="D3307" t="s">
        <v>486</v>
      </c>
      <c r="E3307">
        <v>146.82</v>
      </c>
    </row>
    <row r="3308" spans="2:5">
      <c r="B3308" s="17">
        <v>42736</v>
      </c>
      <c r="D3308" t="s">
        <v>486</v>
      </c>
      <c r="E3308">
        <v>811.28</v>
      </c>
    </row>
    <row r="3309" spans="2:5">
      <c r="B3309" s="17">
        <v>42736</v>
      </c>
      <c r="D3309" t="s">
        <v>486</v>
      </c>
      <c r="E3309">
        <v>1919.9760000000001</v>
      </c>
    </row>
    <row r="3310" spans="2:5">
      <c r="B3310" s="17">
        <v>42736</v>
      </c>
      <c r="D3310" t="s">
        <v>1417</v>
      </c>
      <c r="E3310">
        <v>48.86</v>
      </c>
    </row>
    <row r="3311" spans="2:5">
      <c r="B3311" s="17">
        <v>42736</v>
      </c>
      <c r="D3311" t="s">
        <v>1417</v>
      </c>
      <c r="E3311">
        <v>23.36</v>
      </c>
    </row>
    <row r="3312" spans="2:5">
      <c r="B3312" s="17">
        <v>42736</v>
      </c>
      <c r="D3312" t="s">
        <v>1417</v>
      </c>
      <c r="E3312">
        <v>52.44</v>
      </c>
    </row>
    <row r="3313" spans="2:5">
      <c r="B3313" s="17">
        <v>42736</v>
      </c>
      <c r="D3313" t="s">
        <v>1032</v>
      </c>
      <c r="E3313">
        <v>73.679999999999993</v>
      </c>
    </row>
    <row r="3314" spans="2:5">
      <c r="B3314" s="17">
        <v>42735</v>
      </c>
      <c r="D3314" t="s">
        <v>1032</v>
      </c>
      <c r="E3314">
        <v>139.91999999999999</v>
      </c>
    </row>
    <row r="3315" spans="2:5">
      <c r="B3315" s="17">
        <v>42735</v>
      </c>
      <c r="D3315" t="s">
        <v>1032</v>
      </c>
      <c r="E3315">
        <v>107.88</v>
      </c>
    </row>
    <row r="3316" spans="2:5">
      <c r="B3316" s="17">
        <v>42735</v>
      </c>
      <c r="D3316" t="s">
        <v>1032</v>
      </c>
      <c r="E3316">
        <v>33.29</v>
      </c>
    </row>
    <row r="3317" spans="2:5">
      <c r="B3317" s="17">
        <v>42735</v>
      </c>
      <c r="D3317" t="s">
        <v>1032</v>
      </c>
      <c r="E3317">
        <v>119.94</v>
      </c>
    </row>
    <row r="3318" spans="2:5">
      <c r="B3318" s="17">
        <v>42735</v>
      </c>
      <c r="D3318" t="s">
        <v>1032</v>
      </c>
      <c r="E3318">
        <v>17.309999999999999</v>
      </c>
    </row>
    <row r="3319" spans="2:5">
      <c r="B3319" s="17">
        <v>42735</v>
      </c>
      <c r="D3319" t="s">
        <v>1032</v>
      </c>
      <c r="E3319">
        <v>1.8240000000000003</v>
      </c>
    </row>
    <row r="3320" spans="2:5">
      <c r="B3320" s="17">
        <v>42735</v>
      </c>
      <c r="D3320" t="s">
        <v>1032</v>
      </c>
      <c r="E3320">
        <v>899.98199999999997</v>
      </c>
    </row>
    <row r="3321" spans="2:5">
      <c r="B3321" s="17">
        <v>42734</v>
      </c>
      <c r="D3321" t="s">
        <v>1032</v>
      </c>
      <c r="E3321">
        <v>86.352000000000004</v>
      </c>
    </row>
    <row r="3322" spans="2:5">
      <c r="B3322" s="17">
        <v>42734</v>
      </c>
      <c r="D3322" t="s">
        <v>1527</v>
      </c>
      <c r="E3322">
        <v>139.96000000000004</v>
      </c>
    </row>
    <row r="3323" spans="2:5">
      <c r="B3323" s="17">
        <v>42734</v>
      </c>
      <c r="D3323" t="s">
        <v>1527</v>
      </c>
      <c r="E3323">
        <v>119.94</v>
      </c>
    </row>
    <row r="3324" spans="2:5">
      <c r="B3324" s="17">
        <v>42734</v>
      </c>
      <c r="D3324" t="s">
        <v>1527</v>
      </c>
      <c r="E3324">
        <v>12.419999999999998</v>
      </c>
    </row>
    <row r="3325" spans="2:5">
      <c r="B3325" s="17">
        <v>42734</v>
      </c>
      <c r="D3325" t="s">
        <v>1527</v>
      </c>
      <c r="E3325">
        <v>35.04</v>
      </c>
    </row>
    <row r="3326" spans="2:5">
      <c r="B3326" s="17">
        <v>42734</v>
      </c>
      <c r="D3326" t="s">
        <v>1527</v>
      </c>
      <c r="E3326">
        <v>50.94</v>
      </c>
    </row>
    <row r="3327" spans="2:5">
      <c r="B3327" s="17">
        <v>42734</v>
      </c>
      <c r="D3327" t="s">
        <v>1527</v>
      </c>
      <c r="E3327">
        <v>10499.97</v>
      </c>
    </row>
    <row r="3328" spans="2:5">
      <c r="B3328" s="17">
        <v>42734</v>
      </c>
      <c r="D3328" t="s">
        <v>1726</v>
      </c>
      <c r="E3328">
        <v>1247.6399999999999</v>
      </c>
    </row>
    <row r="3329" spans="2:5">
      <c r="B3329" s="17">
        <v>42733</v>
      </c>
      <c r="D3329" t="s">
        <v>1726</v>
      </c>
      <c r="E3329">
        <v>13.904</v>
      </c>
    </row>
    <row r="3330" spans="2:5">
      <c r="B3330" s="17">
        <v>42733</v>
      </c>
      <c r="D3330" t="s">
        <v>231</v>
      </c>
      <c r="E3330">
        <v>19.608000000000001</v>
      </c>
    </row>
    <row r="3331" spans="2:5">
      <c r="B3331" s="17">
        <v>42733</v>
      </c>
      <c r="D3331" t="s">
        <v>231</v>
      </c>
      <c r="E3331">
        <v>4.1580000000000004</v>
      </c>
    </row>
    <row r="3332" spans="2:5">
      <c r="B3332" s="17">
        <v>42733</v>
      </c>
      <c r="D3332" t="s">
        <v>231</v>
      </c>
      <c r="E3332">
        <v>431.16000000000008</v>
      </c>
    </row>
    <row r="3333" spans="2:5">
      <c r="B3333" s="17">
        <v>42733</v>
      </c>
      <c r="D3333" t="s">
        <v>231</v>
      </c>
      <c r="E3333">
        <v>38.880000000000003</v>
      </c>
    </row>
    <row r="3334" spans="2:5">
      <c r="B3334" s="17">
        <v>42733</v>
      </c>
      <c r="D3334" t="s">
        <v>231</v>
      </c>
      <c r="E3334">
        <v>187.76</v>
      </c>
    </row>
    <row r="3335" spans="2:5">
      <c r="B3335" s="17">
        <v>42733</v>
      </c>
      <c r="D3335" t="s">
        <v>938</v>
      </c>
      <c r="E3335">
        <v>43.8</v>
      </c>
    </row>
    <row r="3336" spans="2:5">
      <c r="B3336" s="17">
        <v>42733</v>
      </c>
      <c r="D3336" t="s">
        <v>938</v>
      </c>
      <c r="E3336">
        <v>79.989999999999995</v>
      </c>
    </row>
    <row r="3337" spans="2:5">
      <c r="B3337" s="17">
        <v>42733</v>
      </c>
      <c r="D3337" t="s">
        <v>938</v>
      </c>
      <c r="E3337">
        <v>169.68</v>
      </c>
    </row>
    <row r="3338" spans="2:5">
      <c r="B3338" s="17">
        <v>42733</v>
      </c>
      <c r="D3338" t="s">
        <v>1829</v>
      </c>
      <c r="E3338">
        <v>132.52000000000001</v>
      </c>
    </row>
    <row r="3339" spans="2:5">
      <c r="B3339" s="17">
        <v>42733</v>
      </c>
      <c r="D3339" t="s">
        <v>1829</v>
      </c>
      <c r="E3339">
        <v>2.96</v>
      </c>
    </row>
    <row r="3340" spans="2:5">
      <c r="B3340" s="17">
        <v>42733</v>
      </c>
      <c r="D3340" t="s">
        <v>392</v>
      </c>
      <c r="E3340">
        <v>8.4480000000000004</v>
      </c>
    </row>
    <row r="3341" spans="2:5">
      <c r="B3341" s="17">
        <v>42731</v>
      </c>
      <c r="D3341" t="s">
        <v>392</v>
      </c>
      <c r="E3341">
        <v>95.94</v>
      </c>
    </row>
    <row r="3342" spans="2:5">
      <c r="B3342" s="17">
        <v>42731</v>
      </c>
      <c r="D3342" t="s">
        <v>392</v>
      </c>
      <c r="E3342">
        <v>38.864000000000004</v>
      </c>
    </row>
    <row r="3343" spans="2:5">
      <c r="B3343" s="17">
        <v>42731</v>
      </c>
      <c r="D3343" t="s">
        <v>392</v>
      </c>
      <c r="E3343">
        <v>19.760000000000002</v>
      </c>
    </row>
    <row r="3344" spans="2:5">
      <c r="B3344" s="17">
        <v>42731</v>
      </c>
      <c r="D3344" t="s">
        <v>392</v>
      </c>
      <c r="E3344">
        <v>44.384</v>
      </c>
    </row>
    <row r="3345" spans="2:5">
      <c r="B3345" s="17">
        <v>42731</v>
      </c>
      <c r="D3345" t="s">
        <v>878</v>
      </c>
      <c r="E3345">
        <v>2.9440000000000004</v>
      </c>
    </row>
    <row r="3346" spans="2:5">
      <c r="B3346" s="17">
        <v>42731</v>
      </c>
      <c r="D3346" t="s">
        <v>878</v>
      </c>
      <c r="E3346">
        <v>74.95</v>
      </c>
    </row>
    <row r="3347" spans="2:5">
      <c r="B3347" s="17">
        <v>42731</v>
      </c>
      <c r="D3347" t="s">
        <v>878</v>
      </c>
      <c r="E3347">
        <v>81.360000000000014</v>
      </c>
    </row>
    <row r="3348" spans="2:5">
      <c r="B3348" s="17">
        <v>42730</v>
      </c>
      <c r="D3348" t="s">
        <v>878</v>
      </c>
      <c r="E3348">
        <v>20.232000000000003</v>
      </c>
    </row>
    <row r="3349" spans="2:5">
      <c r="B3349" s="17">
        <v>42730</v>
      </c>
      <c r="D3349" t="s">
        <v>878</v>
      </c>
      <c r="E3349">
        <v>389.05600000000004</v>
      </c>
    </row>
    <row r="3350" spans="2:5">
      <c r="B3350" s="17">
        <v>42730</v>
      </c>
      <c r="D3350" t="s">
        <v>878</v>
      </c>
      <c r="E3350">
        <v>20.736000000000004</v>
      </c>
    </row>
    <row r="3351" spans="2:5">
      <c r="B3351" s="17">
        <v>42730</v>
      </c>
      <c r="D3351" t="s">
        <v>878</v>
      </c>
      <c r="E3351">
        <v>41.472000000000008</v>
      </c>
    </row>
    <row r="3352" spans="2:5">
      <c r="B3352" s="17">
        <v>42730</v>
      </c>
      <c r="D3352" t="s">
        <v>563</v>
      </c>
      <c r="E3352">
        <v>55.584000000000003</v>
      </c>
    </row>
    <row r="3353" spans="2:5">
      <c r="B3353" s="17">
        <v>42730</v>
      </c>
      <c r="D3353" t="s">
        <v>563</v>
      </c>
      <c r="E3353">
        <v>127.38599999999998</v>
      </c>
    </row>
    <row r="3354" spans="2:5">
      <c r="B3354" s="17">
        <v>42730</v>
      </c>
      <c r="D3354" t="s">
        <v>563</v>
      </c>
      <c r="E3354">
        <v>92.52</v>
      </c>
    </row>
    <row r="3355" spans="2:5">
      <c r="B3355" s="17">
        <v>42730</v>
      </c>
      <c r="D3355" t="s">
        <v>563</v>
      </c>
      <c r="E3355">
        <v>37.76</v>
      </c>
    </row>
    <row r="3356" spans="2:5">
      <c r="B3356" s="17">
        <v>42730</v>
      </c>
      <c r="D3356" t="s">
        <v>563</v>
      </c>
      <c r="E3356">
        <v>7.38</v>
      </c>
    </row>
    <row r="3357" spans="2:5">
      <c r="B3357" s="17">
        <v>42730</v>
      </c>
      <c r="D3357" t="s">
        <v>1280</v>
      </c>
      <c r="E3357">
        <v>5.82</v>
      </c>
    </row>
    <row r="3358" spans="2:5">
      <c r="B3358" s="17">
        <v>42730</v>
      </c>
      <c r="D3358" t="s">
        <v>1280</v>
      </c>
      <c r="E3358">
        <v>41.28</v>
      </c>
    </row>
    <row r="3359" spans="2:5">
      <c r="B3359" s="17">
        <v>42730</v>
      </c>
      <c r="D3359" t="s">
        <v>349</v>
      </c>
      <c r="E3359">
        <v>13.36</v>
      </c>
    </row>
    <row r="3360" spans="2:5">
      <c r="B3360" s="17">
        <v>42730</v>
      </c>
      <c r="D3360" t="s">
        <v>349</v>
      </c>
      <c r="E3360">
        <v>31.968000000000004</v>
      </c>
    </row>
    <row r="3361" spans="2:5">
      <c r="B3361" s="17">
        <v>42729</v>
      </c>
      <c r="D3361" t="s">
        <v>992</v>
      </c>
      <c r="E3361">
        <v>16.896000000000001</v>
      </c>
    </row>
    <row r="3362" spans="2:5">
      <c r="B3362" s="17">
        <v>42729</v>
      </c>
      <c r="D3362" t="s">
        <v>992</v>
      </c>
      <c r="E3362">
        <v>6.6720000000000006</v>
      </c>
    </row>
    <row r="3363" spans="2:5">
      <c r="B3363" s="17">
        <v>42729</v>
      </c>
      <c r="D3363" t="s">
        <v>992</v>
      </c>
      <c r="E3363">
        <v>99.13600000000001</v>
      </c>
    </row>
    <row r="3364" spans="2:5">
      <c r="B3364" s="17">
        <v>42729</v>
      </c>
      <c r="D3364" t="s">
        <v>325</v>
      </c>
      <c r="E3364">
        <v>15.991999999999999</v>
      </c>
    </row>
    <row r="3365" spans="2:5">
      <c r="B3365" s="17">
        <v>42729</v>
      </c>
      <c r="D3365" t="s">
        <v>325</v>
      </c>
      <c r="E3365">
        <v>821.87999999999988</v>
      </c>
    </row>
    <row r="3366" spans="2:5">
      <c r="B3366" s="17">
        <v>42729</v>
      </c>
      <c r="D3366" t="s">
        <v>325</v>
      </c>
      <c r="E3366">
        <v>21.96</v>
      </c>
    </row>
    <row r="3367" spans="2:5">
      <c r="B3367" s="17">
        <v>42729</v>
      </c>
      <c r="D3367" t="s">
        <v>325</v>
      </c>
      <c r="E3367">
        <v>18.7</v>
      </c>
    </row>
    <row r="3368" spans="2:5">
      <c r="B3368" s="17">
        <v>42729</v>
      </c>
      <c r="D3368" t="s">
        <v>325</v>
      </c>
      <c r="E3368">
        <v>16.740000000000002</v>
      </c>
    </row>
    <row r="3369" spans="2:5">
      <c r="B3369" s="17">
        <v>42729</v>
      </c>
      <c r="D3369" t="s">
        <v>325</v>
      </c>
      <c r="E3369">
        <v>2504.7399999999998</v>
      </c>
    </row>
    <row r="3370" spans="2:5">
      <c r="B3370" s="17">
        <v>42729</v>
      </c>
      <c r="D3370" t="s">
        <v>266</v>
      </c>
      <c r="E3370">
        <v>718.11599999999987</v>
      </c>
    </row>
    <row r="3371" spans="2:5">
      <c r="B3371" s="17">
        <v>42729</v>
      </c>
      <c r="D3371" t="s">
        <v>266</v>
      </c>
      <c r="E3371">
        <v>31.776</v>
      </c>
    </row>
    <row r="3372" spans="2:5">
      <c r="B3372" s="17">
        <v>42729</v>
      </c>
      <c r="D3372" t="s">
        <v>266</v>
      </c>
      <c r="E3372">
        <v>25.060000000000002</v>
      </c>
    </row>
    <row r="3373" spans="2:5">
      <c r="B3373" s="17">
        <v>42729</v>
      </c>
      <c r="D3373" t="s">
        <v>266</v>
      </c>
      <c r="E3373">
        <v>191.05799999999999</v>
      </c>
    </row>
    <row r="3374" spans="2:5">
      <c r="B3374" s="17">
        <v>42729</v>
      </c>
      <c r="D3374" t="s">
        <v>779</v>
      </c>
      <c r="E3374">
        <v>13.040000000000001</v>
      </c>
    </row>
    <row r="3375" spans="2:5">
      <c r="B3375" s="17">
        <v>42729</v>
      </c>
      <c r="D3375" t="s">
        <v>779</v>
      </c>
      <c r="E3375">
        <v>1525.1879999999996</v>
      </c>
    </row>
    <row r="3376" spans="2:5">
      <c r="B3376" s="17">
        <v>42729</v>
      </c>
      <c r="D3376" t="s">
        <v>779</v>
      </c>
      <c r="E3376">
        <v>59.913000000000011</v>
      </c>
    </row>
    <row r="3377" spans="2:5">
      <c r="B3377" s="17">
        <v>42729</v>
      </c>
      <c r="D3377" t="s">
        <v>779</v>
      </c>
      <c r="E3377">
        <v>22.959999999999997</v>
      </c>
    </row>
    <row r="3378" spans="2:5">
      <c r="B3378" s="17">
        <v>42729</v>
      </c>
      <c r="D3378" t="s">
        <v>1140</v>
      </c>
      <c r="E3378">
        <v>58.407999999999994</v>
      </c>
    </row>
    <row r="3379" spans="2:5">
      <c r="B3379" s="17">
        <v>42729</v>
      </c>
      <c r="D3379" t="s">
        <v>1140</v>
      </c>
      <c r="E3379">
        <v>79.97399999999999</v>
      </c>
    </row>
    <row r="3380" spans="2:5">
      <c r="B3380" s="17">
        <v>42728</v>
      </c>
      <c r="D3380" t="s">
        <v>1140</v>
      </c>
      <c r="E3380">
        <v>42.599999999999994</v>
      </c>
    </row>
    <row r="3381" spans="2:5">
      <c r="B3381" s="17">
        <v>42728</v>
      </c>
      <c r="D3381" t="s">
        <v>1140</v>
      </c>
      <c r="E3381">
        <v>84.056000000000012</v>
      </c>
    </row>
    <row r="3382" spans="2:5">
      <c r="B3382" s="17">
        <v>42728</v>
      </c>
      <c r="D3382" t="s">
        <v>1140</v>
      </c>
      <c r="E3382">
        <v>23.968000000000004</v>
      </c>
    </row>
    <row r="3383" spans="2:5">
      <c r="B3383" s="17">
        <v>42728</v>
      </c>
      <c r="D3383" t="s">
        <v>1140</v>
      </c>
      <c r="E3383">
        <v>28.728000000000002</v>
      </c>
    </row>
    <row r="3384" spans="2:5">
      <c r="B3384" s="17">
        <v>42728</v>
      </c>
      <c r="D3384" t="s">
        <v>842</v>
      </c>
      <c r="E3384">
        <v>77.599999999999994</v>
      </c>
    </row>
    <row r="3385" spans="2:5">
      <c r="B3385" s="17">
        <v>42728</v>
      </c>
      <c r="D3385" t="s">
        <v>842</v>
      </c>
      <c r="E3385">
        <v>4.6560000000000006</v>
      </c>
    </row>
    <row r="3386" spans="2:5">
      <c r="B3386" s="17">
        <v>42728</v>
      </c>
      <c r="D3386" t="s">
        <v>842</v>
      </c>
      <c r="E3386">
        <v>22</v>
      </c>
    </row>
    <row r="3387" spans="2:5">
      <c r="B3387" s="17">
        <v>42728</v>
      </c>
      <c r="D3387" t="s">
        <v>842</v>
      </c>
      <c r="E3387">
        <v>46.76</v>
      </c>
    </row>
    <row r="3388" spans="2:5">
      <c r="B3388" s="17">
        <v>42727</v>
      </c>
      <c r="D3388" t="s">
        <v>842</v>
      </c>
      <c r="E3388">
        <v>183.96800000000002</v>
      </c>
    </row>
    <row r="3389" spans="2:5">
      <c r="B3389" s="17">
        <v>42727</v>
      </c>
      <c r="D3389" t="s">
        <v>842</v>
      </c>
      <c r="E3389">
        <v>1259.97</v>
      </c>
    </row>
    <row r="3390" spans="2:5">
      <c r="B3390" s="17">
        <v>42727</v>
      </c>
      <c r="D3390" t="s">
        <v>645</v>
      </c>
      <c r="E3390">
        <v>68.97</v>
      </c>
    </row>
    <row r="3391" spans="2:5">
      <c r="B3391" s="17">
        <v>42727</v>
      </c>
      <c r="D3391" t="s">
        <v>645</v>
      </c>
      <c r="E3391">
        <v>27.58</v>
      </c>
    </row>
    <row r="3392" spans="2:5">
      <c r="B3392" s="17">
        <v>42727</v>
      </c>
      <c r="D3392" t="s">
        <v>645</v>
      </c>
      <c r="E3392">
        <v>2.9699999999999998</v>
      </c>
    </row>
    <row r="3393" spans="2:5">
      <c r="B3393" s="17">
        <v>42727</v>
      </c>
      <c r="D3393" t="s">
        <v>645</v>
      </c>
      <c r="E3393">
        <v>569.99</v>
      </c>
    </row>
    <row r="3394" spans="2:5">
      <c r="B3394" s="17">
        <v>42727</v>
      </c>
      <c r="D3394" t="s">
        <v>645</v>
      </c>
      <c r="E3394">
        <v>50.97</v>
      </c>
    </row>
    <row r="3395" spans="2:5">
      <c r="B3395" s="17">
        <v>42727</v>
      </c>
      <c r="D3395" t="s">
        <v>645</v>
      </c>
      <c r="E3395">
        <v>70.98</v>
      </c>
    </row>
    <row r="3396" spans="2:5">
      <c r="B3396" s="17">
        <v>42727</v>
      </c>
      <c r="D3396" t="s">
        <v>251</v>
      </c>
      <c r="E3396">
        <v>27.42</v>
      </c>
    </row>
    <row r="3397" spans="2:5">
      <c r="B3397" s="17">
        <v>42727</v>
      </c>
      <c r="D3397" t="s">
        <v>251</v>
      </c>
      <c r="E3397">
        <v>56.56</v>
      </c>
    </row>
    <row r="3398" spans="2:5">
      <c r="B3398" s="17">
        <v>42727</v>
      </c>
      <c r="D3398" t="s">
        <v>1494</v>
      </c>
      <c r="E3398">
        <v>5.56</v>
      </c>
    </row>
    <row r="3399" spans="2:5">
      <c r="B3399" s="17">
        <v>42727</v>
      </c>
      <c r="D3399" t="s">
        <v>1494</v>
      </c>
      <c r="E3399">
        <v>9.02</v>
      </c>
    </row>
    <row r="3400" spans="2:5">
      <c r="B3400" s="17">
        <v>42727</v>
      </c>
      <c r="D3400" t="s">
        <v>1494</v>
      </c>
      <c r="E3400">
        <v>8.6199999999999992</v>
      </c>
    </row>
    <row r="3401" spans="2:5">
      <c r="B3401" s="17">
        <v>42727</v>
      </c>
      <c r="D3401" t="s">
        <v>1494</v>
      </c>
      <c r="E3401">
        <v>659.97600000000011</v>
      </c>
    </row>
    <row r="3402" spans="2:5">
      <c r="B3402" s="17">
        <v>42727</v>
      </c>
      <c r="D3402" t="s">
        <v>1494</v>
      </c>
      <c r="E3402">
        <v>8.4480000000000004</v>
      </c>
    </row>
    <row r="3403" spans="2:5">
      <c r="B3403" s="17">
        <v>42727</v>
      </c>
      <c r="D3403" t="s">
        <v>1494</v>
      </c>
      <c r="E3403">
        <v>39.295999999999999</v>
      </c>
    </row>
    <row r="3404" spans="2:5">
      <c r="B3404" s="17">
        <v>42727</v>
      </c>
      <c r="D3404" t="s">
        <v>1494</v>
      </c>
      <c r="E3404">
        <v>11.76</v>
      </c>
    </row>
    <row r="3405" spans="2:5">
      <c r="B3405" s="17">
        <v>42727</v>
      </c>
      <c r="D3405" t="s">
        <v>525</v>
      </c>
      <c r="E3405">
        <v>40.736000000000004</v>
      </c>
    </row>
    <row r="3406" spans="2:5">
      <c r="B3406" s="17">
        <v>42727</v>
      </c>
      <c r="D3406" t="s">
        <v>525</v>
      </c>
      <c r="E3406">
        <v>150.80000000000001</v>
      </c>
    </row>
    <row r="3407" spans="2:5">
      <c r="B3407" s="17">
        <v>42727</v>
      </c>
      <c r="D3407" t="s">
        <v>1413</v>
      </c>
      <c r="E3407">
        <v>1039.992</v>
      </c>
    </row>
    <row r="3408" spans="2:5">
      <c r="B3408" s="17">
        <v>42726</v>
      </c>
      <c r="D3408" t="s">
        <v>1413</v>
      </c>
      <c r="E3408">
        <v>51.84</v>
      </c>
    </row>
    <row r="3409" spans="2:5">
      <c r="B3409" s="17">
        <v>42726</v>
      </c>
      <c r="D3409" t="s">
        <v>1413</v>
      </c>
      <c r="E3409">
        <v>55.176000000000002</v>
      </c>
    </row>
    <row r="3410" spans="2:5">
      <c r="B3410" s="17">
        <v>42726</v>
      </c>
      <c r="D3410" t="s">
        <v>403</v>
      </c>
      <c r="E3410">
        <v>35.712000000000003</v>
      </c>
    </row>
    <row r="3411" spans="2:5">
      <c r="B3411" s="17">
        <v>42726</v>
      </c>
      <c r="D3411" t="s">
        <v>403</v>
      </c>
      <c r="E3411">
        <v>74.112000000000009</v>
      </c>
    </row>
    <row r="3412" spans="2:5">
      <c r="B3412" s="17">
        <v>42726</v>
      </c>
      <c r="D3412" t="s">
        <v>403</v>
      </c>
      <c r="E3412">
        <v>27.992000000000004</v>
      </c>
    </row>
    <row r="3413" spans="2:5">
      <c r="B3413" s="17">
        <v>42726</v>
      </c>
      <c r="D3413" t="s">
        <v>565</v>
      </c>
      <c r="E3413">
        <v>3.3040000000000003</v>
      </c>
    </row>
    <row r="3414" spans="2:5">
      <c r="B3414" s="17">
        <v>42726</v>
      </c>
      <c r="D3414" t="s">
        <v>565</v>
      </c>
      <c r="E3414">
        <v>28.4</v>
      </c>
    </row>
    <row r="3415" spans="2:5">
      <c r="B3415" s="17">
        <v>42726</v>
      </c>
      <c r="D3415" t="s">
        <v>565</v>
      </c>
      <c r="E3415">
        <v>24.048000000000002</v>
      </c>
    </row>
    <row r="3416" spans="2:5">
      <c r="B3416" s="17">
        <v>42724</v>
      </c>
      <c r="D3416" t="s">
        <v>565</v>
      </c>
      <c r="E3416">
        <v>7.4760000000000018</v>
      </c>
    </row>
    <row r="3417" spans="2:5">
      <c r="B3417" s="17">
        <v>42724</v>
      </c>
      <c r="D3417" t="s">
        <v>565</v>
      </c>
      <c r="E3417">
        <v>6.4640000000000004</v>
      </c>
    </row>
    <row r="3418" spans="2:5">
      <c r="B3418" s="17">
        <v>42724</v>
      </c>
      <c r="D3418" t="s">
        <v>565</v>
      </c>
      <c r="E3418">
        <v>11.52</v>
      </c>
    </row>
    <row r="3419" spans="2:5">
      <c r="B3419" s="17">
        <v>42724</v>
      </c>
      <c r="D3419" t="s">
        <v>565</v>
      </c>
      <c r="E3419">
        <v>195.96000000000004</v>
      </c>
    </row>
    <row r="3420" spans="2:5">
      <c r="B3420" s="17">
        <v>42723</v>
      </c>
      <c r="D3420" t="s">
        <v>565</v>
      </c>
      <c r="E3420">
        <v>4.3600000000000003</v>
      </c>
    </row>
    <row r="3421" spans="2:5">
      <c r="B3421" s="17">
        <v>42723</v>
      </c>
      <c r="D3421" t="s">
        <v>565</v>
      </c>
      <c r="E3421">
        <v>10.688000000000001</v>
      </c>
    </row>
    <row r="3422" spans="2:5">
      <c r="B3422" s="17">
        <v>42723</v>
      </c>
      <c r="D3422" t="s">
        <v>889</v>
      </c>
      <c r="E3422">
        <v>36.288000000000011</v>
      </c>
    </row>
    <row r="3423" spans="2:5">
      <c r="B3423" s="17">
        <v>42723</v>
      </c>
      <c r="D3423" t="s">
        <v>889</v>
      </c>
      <c r="E3423">
        <v>78.304000000000002</v>
      </c>
    </row>
    <row r="3424" spans="2:5">
      <c r="B3424" s="17">
        <v>42723</v>
      </c>
      <c r="D3424" t="s">
        <v>889</v>
      </c>
      <c r="E3424">
        <v>127.785</v>
      </c>
    </row>
    <row r="3425" spans="2:5">
      <c r="B3425" s="17">
        <v>42723</v>
      </c>
      <c r="D3425" t="s">
        <v>889</v>
      </c>
      <c r="E3425">
        <v>6.1039999999999983</v>
      </c>
    </row>
    <row r="3426" spans="2:5">
      <c r="B3426" s="17">
        <v>42723</v>
      </c>
      <c r="D3426" t="s">
        <v>889</v>
      </c>
      <c r="E3426">
        <v>10.824</v>
      </c>
    </row>
    <row r="3427" spans="2:5">
      <c r="B3427" s="17">
        <v>42722</v>
      </c>
      <c r="D3427" t="s">
        <v>889</v>
      </c>
      <c r="E3427">
        <v>5.88</v>
      </c>
    </row>
    <row r="3428" spans="2:5">
      <c r="B3428" s="17">
        <v>42722</v>
      </c>
      <c r="D3428" t="s">
        <v>1366</v>
      </c>
      <c r="E3428">
        <v>977.29200000000003</v>
      </c>
    </row>
    <row r="3429" spans="2:5">
      <c r="B3429" s="17">
        <v>42722</v>
      </c>
      <c r="D3429" t="s">
        <v>1366</v>
      </c>
      <c r="E3429">
        <v>79.099999999999994</v>
      </c>
    </row>
    <row r="3430" spans="2:5">
      <c r="B3430" s="17">
        <v>42722</v>
      </c>
      <c r="D3430" t="s">
        <v>940</v>
      </c>
      <c r="E3430">
        <v>2.88</v>
      </c>
    </row>
    <row r="3431" spans="2:5">
      <c r="B3431" s="17">
        <v>42722</v>
      </c>
      <c r="D3431" t="s">
        <v>940</v>
      </c>
      <c r="E3431">
        <v>1443.96</v>
      </c>
    </row>
    <row r="3432" spans="2:5">
      <c r="B3432" s="17">
        <v>42722</v>
      </c>
      <c r="D3432" t="s">
        <v>940</v>
      </c>
      <c r="E3432">
        <v>20.724000000000004</v>
      </c>
    </row>
    <row r="3433" spans="2:5">
      <c r="B3433" s="17">
        <v>42722</v>
      </c>
      <c r="D3433" t="s">
        <v>940</v>
      </c>
      <c r="E3433">
        <v>415.87200000000007</v>
      </c>
    </row>
    <row r="3434" spans="2:5">
      <c r="B3434" s="17">
        <v>42722</v>
      </c>
      <c r="D3434" t="s">
        <v>940</v>
      </c>
      <c r="E3434">
        <v>19.008000000000003</v>
      </c>
    </row>
    <row r="3435" spans="2:5">
      <c r="B3435" s="17">
        <v>42722</v>
      </c>
      <c r="D3435" t="s">
        <v>940</v>
      </c>
      <c r="E3435">
        <v>167.96</v>
      </c>
    </row>
    <row r="3436" spans="2:5">
      <c r="B3436" s="17">
        <v>42722</v>
      </c>
      <c r="D3436" t="s">
        <v>63</v>
      </c>
      <c r="E3436">
        <v>12.96</v>
      </c>
    </row>
    <row r="3437" spans="2:5">
      <c r="B3437" s="17">
        <v>42722</v>
      </c>
      <c r="D3437" t="s">
        <v>63</v>
      </c>
      <c r="E3437">
        <v>27.76</v>
      </c>
    </row>
    <row r="3438" spans="2:5">
      <c r="B3438" s="17">
        <v>42722</v>
      </c>
      <c r="D3438" t="s">
        <v>63</v>
      </c>
      <c r="E3438">
        <v>89.987999999999985</v>
      </c>
    </row>
    <row r="3439" spans="2:5">
      <c r="B3439" s="17">
        <v>42722</v>
      </c>
      <c r="D3439" t="s">
        <v>63</v>
      </c>
      <c r="E3439">
        <v>33.29</v>
      </c>
    </row>
    <row r="3440" spans="2:5">
      <c r="B3440" s="17">
        <v>42722</v>
      </c>
      <c r="D3440" t="s">
        <v>63</v>
      </c>
      <c r="E3440">
        <v>7.78</v>
      </c>
    </row>
    <row r="3441" spans="2:5">
      <c r="B3441" s="17">
        <v>42722</v>
      </c>
      <c r="D3441" t="s">
        <v>63</v>
      </c>
      <c r="E3441">
        <v>13.761999999999997</v>
      </c>
    </row>
    <row r="3442" spans="2:5">
      <c r="B3442" s="17">
        <v>42722</v>
      </c>
      <c r="D3442" t="s">
        <v>63</v>
      </c>
      <c r="E3442">
        <v>11.673000000000002</v>
      </c>
    </row>
    <row r="3443" spans="2:5">
      <c r="B3443" s="17">
        <v>42722</v>
      </c>
      <c r="D3443" t="s">
        <v>63</v>
      </c>
      <c r="E3443">
        <v>64.848000000000013</v>
      </c>
    </row>
    <row r="3444" spans="2:5">
      <c r="B3444" s="17">
        <v>42722</v>
      </c>
      <c r="D3444" t="s">
        <v>1307</v>
      </c>
      <c r="E3444">
        <v>364.08000000000004</v>
      </c>
    </row>
    <row r="3445" spans="2:5">
      <c r="B3445" s="17">
        <v>42722</v>
      </c>
      <c r="D3445" t="s">
        <v>1307</v>
      </c>
      <c r="E3445">
        <v>71.088000000000008</v>
      </c>
    </row>
    <row r="3446" spans="2:5">
      <c r="B3446" s="17">
        <v>42722</v>
      </c>
      <c r="D3446" t="s">
        <v>185</v>
      </c>
      <c r="E3446">
        <v>501.81000000000006</v>
      </c>
    </row>
    <row r="3447" spans="2:5">
      <c r="B3447" s="17">
        <v>42722</v>
      </c>
      <c r="D3447" t="s">
        <v>185</v>
      </c>
      <c r="E3447">
        <v>359.49899999999997</v>
      </c>
    </row>
    <row r="3448" spans="2:5">
      <c r="B3448" s="17">
        <v>42721</v>
      </c>
      <c r="D3448" t="s">
        <v>185</v>
      </c>
      <c r="E3448">
        <v>10.48</v>
      </c>
    </row>
    <row r="3449" spans="2:5">
      <c r="B3449" s="17">
        <v>42721</v>
      </c>
      <c r="D3449" t="s">
        <v>185</v>
      </c>
      <c r="E3449">
        <v>39.960000000000008</v>
      </c>
    </row>
    <row r="3450" spans="2:5">
      <c r="B3450" s="17">
        <v>42721</v>
      </c>
      <c r="D3450" t="s">
        <v>185</v>
      </c>
      <c r="E3450">
        <v>34.08</v>
      </c>
    </row>
    <row r="3451" spans="2:5">
      <c r="B3451" s="17">
        <v>42721</v>
      </c>
      <c r="D3451" t="s">
        <v>185</v>
      </c>
      <c r="E3451">
        <v>48.87</v>
      </c>
    </row>
    <row r="3452" spans="2:5">
      <c r="B3452" s="17">
        <v>42721</v>
      </c>
      <c r="D3452" t="s">
        <v>185</v>
      </c>
      <c r="E3452">
        <v>723.92</v>
      </c>
    </row>
    <row r="3453" spans="2:5">
      <c r="B3453" s="17">
        <v>42721</v>
      </c>
      <c r="D3453" t="s">
        <v>185</v>
      </c>
      <c r="E3453">
        <v>5.16</v>
      </c>
    </row>
    <row r="3454" spans="2:5">
      <c r="B3454" s="17">
        <v>42721</v>
      </c>
      <c r="D3454" t="s">
        <v>673</v>
      </c>
      <c r="E3454">
        <v>67.839999999999989</v>
      </c>
    </row>
    <row r="3455" spans="2:5">
      <c r="B3455" s="17">
        <v>42720</v>
      </c>
      <c r="D3455" t="s">
        <v>673</v>
      </c>
      <c r="E3455">
        <v>853.92999999999984</v>
      </c>
    </row>
    <row r="3456" spans="2:5">
      <c r="B3456" s="17">
        <v>42720</v>
      </c>
      <c r="D3456" t="s">
        <v>673</v>
      </c>
      <c r="E3456">
        <v>18.687999999999999</v>
      </c>
    </row>
    <row r="3457" spans="2:5">
      <c r="B3457" s="17">
        <v>42720</v>
      </c>
      <c r="D3457" t="s">
        <v>673</v>
      </c>
      <c r="E3457">
        <v>701.96</v>
      </c>
    </row>
    <row r="3458" spans="2:5">
      <c r="B3458" s="17">
        <v>42720</v>
      </c>
      <c r="D3458" t="s">
        <v>1396</v>
      </c>
      <c r="E3458">
        <v>126.30000000000001</v>
      </c>
    </row>
    <row r="3459" spans="2:5">
      <c r="B3459" s="17">
        <v>42720</v>
      </c>
      <c r="D3459" t="s">
        <v>1396</v>
      </c>
      <c r="E3459">
        <v>38.04</v>
      </c>
    </row>
    <row r="3460" spans="2:5">
      <c r="B3460" s="17">
        <v>42719</v>
      </c>
      <c r="D3460" t="s">
        <v>296</v>
      </c>
      <c r="E3460">
        <v>12.84</v>
      </c>
    </row>
    <row r="3461" spans="2:5">
      <c r="B3461" s="17">
        <v>42719</v>
      </c>
      <c r="D3461" t="s">
        <v>296</v>
      </c>
      <c r="E3461">
        <v>52.272000000000006</v>
      </c>
    </row>
    <row r="3462" spans="2:5">
      <c r="B3462" s="17">
        <v>42719</v>
      </c>
      <c r="D3462" t="s">
        <v>296</v>
      </c>
      <c r="E3462">
        <v>33.567999999999991</v>
      </c>
    </row>
    <row r="3463" spans="2:5">
      <c r="B3463" s="17">
        <v>42719</v>
      </c>
      <c r="D3463" t="s">
        <v>296</v>
      </c>
      <c r="E3463">
        <v>58.730000000000004</v>
      </c>
    </row>
    <row r="3464" spans="2:5">
      <c r="B3464" s="17">
        <v>42719</v>
      </c>
      <c r="D3464" t="s">
        <v>296</v>
      </c>
      <c r="E3464">
        <v>93.344000000000008</v>
      </c>
    </row>
    <row r="3465" spans="2:5">
      <c r="B3465" s="17">
        <v>42719</v>
      </c>
      <c r="D3465" t="s">
        <v>296</v>
      </c>
      <c r="E3465">
        <v>1879.96</v>
      </c>
    </row>
    <row r="3466" spans="2:5">
      <c r="B3466" s="17">
        <v>42719</v>
      </c>
      <c r="D3466" t="s">
        <v>296</v>
      </c>
      <c r="E3466">
        <v>27.46</v>
      </c>
    </row>
    <row r="3467" spans="2:5">
      <c r="B3467" s="17">
        <v>42718</v>
      </c>
      <c r="D3467" t="s">
        <v>296</v>
      </c>
      <c r="E3467">
        <v>89.98</v>
      </c>
    </row>
    <row r="3468" spans="2:5">
      <c r="B3468" s="17">
        <v>42718</v>
      </c>
      <c r="D3468" t="s">
        <v>296</v>
      </c>
      <c r="E3468">
        <v>828.59999999999991</v>
      </c>
    </row>
    <row r="3469" spans="2:5">
      <c r="B3469" s="17">
        <v>42718</v>
      </c>
      <c r="D3469" t="s">
        <v>296</v>
      </c>
      <c r="E3469">
        <v>979.95</v>
      </c>
    </row>
    <row r="3470" spans="2:5">
      <c r="B3470" s="17">
        <v>42718</v>
      </c>
      <c r="D3470" t="s">
        <v>296</v>
      </c>
      <c r="E3470">
        <v>135.29999999999998</v>
      </c>
    </row>
    <row r="3471" spans="2:5">
      <c r="B3471" s="17">
        <v>42718</v>
      </c>
      <c r="D3471" t="s">
        <v>296</v>
      </c>
      <c r="E3471">
        <v>46.94</v>
      </c>
    </row>
    <row r="3472" spans="2:5">
      <c r="B3472" s="17">
        <v>42718</v>
      </c>
      <c r="D3472" t="s">
        <v>296</v>
      </c>
      <c r="E3472">
        <v>143.73000000000002</v>
      </c>
    </row>
    <row r="3473" spans="2:5">
      <c r="B3473" s="17">
        <v>42718</v>
      </c>
      <c r="D3473" t="s">
        <v>296</v>
      </c>
      <c r="E3473">
        <v>166.16</v>
      </c>
    </row>
    <row r="3474" spans="2:5">
      <c r="B3474" s="17">
        <v>42718</v>
      </c>
      <c r="D3474" t="s">
        <v>296</v>
      </c>
      <c r="E3474">
        <v>8.76</v>
      </c>
    </row>
    <row r="3475" spans="2:5">
      <c r="B3475" s="17">
        <v>42718</v>
      </c>
      <c r="D3475" t="s">
        <v>296</v>
      </c>
      <c r="E3475">
        <v>43.584000000000003</v>
      </c>
    </row>
    <row r="3476" spans="2:5">
      <c r="B3476" s="17">
        <v>42717</v>
      </c>
      <c r="D3476" t="s">
        <v>296</v>
      </c>
      <c r="E3476">
        <v>117.48800000000001</v>
      </c>
    </row>
    <row r="3477" spans="2:5">
      <c r="B3477" s="17">
        <v>42717</v>
      </c>
      <c r="D3477" t="s">
        <v>296</v>
      </c>
      <c r="E3477">
        <v>18.84</v>
      </c>
    </row>
    <row r="3478" spans="2:5">
      <c r="B3478" s="17">
        <v>42717</v>
      </c>
      <c r="D3478" t="s">
        <v>296</v>
      </c>
      <c r="E3478">
        <v>57.567999999999998</v>
      </c>
    </row>
    <row r="3479" spans="2:5">
      <c r="B3479" s="17">
        <v>42717</v>
      </c>
      <c r="D3479" t="s">
        <v>296</v>
      </c>
      <c r="E3479">
        <v>6.99</v>
      </c>
    </row>
    <row r="3480" spans="2:5">
      <c r="B3480" s="17">
        <v>42716</v>
      </c>
      <c r="D3480" t="s">
        <v>296</v>
      </c>
      <c r="E3480">
        <v>107.42400000000001</v>
      </c>
    </row>
    <row r="3481" spans="2:5">
      <c r="B3481" s="17">
        <v>42716</v>
      </c>
      <c r="D3481" t="s">
        <v>296</v>
      </c>
      <c r="E3481">
        <v>158.28</v>
      </c>
    </row>
    <row r="3482" spans="2:5">
      <c r="B3482" s="17">
        <v>42716</v>
      </c>
      <c r="D3482" t="s">
        <v>296</v>
      </c>
      <c r="E3482">
        <v>497.93999999999994</v>
      </c>
    </row>
    <row r="3483" spans="2:5">
      <c r="B3483" s="17">
        <v>42716</v>
      </c>
      <c r="D3483" t="s">
        <v>296</v>
      </c>
      <c r="E3483">
        <v>516.48800000000006</v>
      </c>
    </row>
    <row r="3484" spans="2:5">
      <c r="B3484" s="17">
        <v>42716</v>
      </c>
      <c r="D3484" t="s">
        <v>296</v>
      </c>
      <c r="E3484">
        <v>1007.2320000000001</v>
      </c>
    </row>
    <row r="3485" spans="2:5">
      <c r="B3485" s="17">
        <v>42716</v>
      </c>
      <c r="D3485" t="s">
        <v>296</v>
      </c>
      <c r="E3485">
        <v>2065.3200000000002</v>
      </c>
    </row>
    <row r="3486" spans="2:5">
      <c r="B3486" s="17">
        <v>42716</v>
      </c>
      <c r="D3486" t="s">
        <v>296</v>
      </c>
      <c r="E3486">
        <v>15.552000000000003</v>
      </c>
    </row>
    <row r="3487" spans="2:5">
      <c r="B3487" s="17">
        <v>42716</v>
      </c>
      <c r="D3487" t="s">
        <v>296</v>
      </c>
      <c r="E3487">
        <v>25.344000000000001</v>
      </c>
    </row>
    <row r="3488" spans="2:5">
      <c r="B3488" s="17">
        <v>42716</v>
      </c>
      <c r="D3488" t="s">
        <v>296</v>
      </c>
      <c r="E3488">
        <v>88.768000000000001</v>
      </c>
    </row>
    <row r="3489" spans="2:5">
      <c r="B3489" s="17">
        <v>42716</v>
      </c>
      <c r="D3489" t="s">
        <v>296</v>
      </c>
      <c r="E3489">
        <v>1979.89</v>
      </c>
    </row>
    <row r="3490" spans="2:5">
      <c r="B3490" s="17">
        <v>42716</v>
      </c>
      <c r="D3490" t="s">
        <v>296</v>
      </c>
      <c r="E3490">
        <v>79.959999999999994</v>
      </c>
    </row>
    <row r="3491" spans="2:5">
      <c r="B3491" s="17">
        <v>42716</v>
      </c>
      <c r="D3491" t="s">
        <v>296</v>
      </c>
      <c r="E3491">
        <v>1.64</v>
      </c>
    </row>
    <row r="3492" spans="2:5">
      <c r="B3492" s="17">
        <v>42716</v>
      </c>
      <c r="D3492" t="s">
        <v>296</v>
      </c>
      <c r="E3492">
        <v>1049.2</v>
      </c>
    </row>
    <row r="3493" spans="2:5">
      <c r="B3493" s="17">
        <v>42715</v>
      </c>
      <c r="D3493" t="s">
        <v>296</v>
      </c>
      <c r="E3493">
        <v>20.9</v>
      </c>
    </row>
    <row r="3494" spans="2:5">
      <c r="B3494" s="17">
        <v>42715</v>
      </c>
      <c r="D3494" t="s">
        <v>296</v>
      </c>
      <c r="E3494">
        <v>62.65</v>
      </c>
    </row>
    <row r="3495" spans="2:5">
      <c r="B3495" s="17">
        <v>42715</v>
      </c>
      <c r="D3495" t="s">
        <v>296</v>
      </c>
      <c r="E3495">
        <v>390.36799999999999</v>
      </c>
    </row>
    <row r="3496" spans="2:5">
      <c r="B3496" s="17">
        <v>42715</v>
      </c>
      <c r="D3496" t="s">
        <v>296</v>
      </c>
      <c r="E3496">
        <v>101.52000000000001</v>
      </c>
    </row>
    <row r="3497" spans="2:5">
      <c r="B3497" s="17">
        <v>42715</v>
      </c>
      <c r="D3497" t="s">
        <v>296</v>
      </c>
      <c r="E3497">
        <v>68.472000000000008</v>
      </c>
    </row>
    <row r="3498" spans="2:5">
      <c r="B3498" s="17">
        <v>42715</v>
      </c>
      <c r="D3498" t="s">
        <v>296</v>
      </c>
      <c r="E3498">
        <v>1242.8999999999999</v>
      </c>
    </row>
    <row r="3499" spans="2:5">
      <c r="B3499" s="17">
        <v>42715</v>
      </c>
      <c r="D3499" t="s">
        <v>296</v>
      </c>
      <c r="E3499">
        <v>173.79999999999998</v>
      </c>
    </row>
    <row r="3500" spans="2:5">
      <c r="B3500" s="17">
        <v>42715</v>
      </c>
      <c r="D3500" t="s">
        <v>296</v>
      </c>
      <c r="E3500">
        <v>155.94</v>
      </c>
    </row>
    <row r="3501" spans="2:5">
      <c r="B3501" s="17">
        <v>42715</v>
      </c>
      <c r="D3501" t="s">
        <v>296</v>
      </c>
      <c r="E3501">
        <v>663.93600000000004</v>
      </c>
    </row>
    <row r="3502" spans="2:5">
      <c r="B3502" s="17">
        <v>42715</v>
      </c>
      <c r="D3502" t="s">
        <v>296</v>
      </c>
      <c r="E3502">
        <v>71.975999999999999</v>
      </c>
    </row>
    <row r="3503" spans="2:5">
      <c r="B3503" s="17">
        <v>42715</v>
      </c>
      <c r="D3503" t="s">
        <v>407</v>
      </c>
      <c r="E3503">
        <v>2.3679999999999999</v>
      </c>
    </row>
    <row r="3504" spans="2:5">
      <c r="B3504" s="17">
        <v>42715</v>
      </c>
      <c r="D3504" t="s">
        <v>407</v>
      </c>
      <c r="E3504">
        <v>383.97600000000006</v>
      </c>
    </row>
    <row r="3505" spans="2:5">
      <c r="B3505" s="17">
        <v>42715</v>
      </c>
      <c r="D3505" t="s">
        <v>407</v>
      </c>
      <c r="E3505">
        <v>1781.6819999999998</v>
      </c>
    </row>
    <row r="3506" spans="2:5">
      <c r="B3506" s="17">
        <v>42715</v>
      </c>
      <c r="D3506" t="s">
        <v>407</v>
      </c>
      <c r="E3506">
        <v>83.56</v>
      </c>
    </row>
    <row r="3507" spans="2:5">
      <c r="B3507" s="17">
        <v>42715</v>
      </c>
      <c r="D3507" t="s">
        <v>407</v>
      </c>
      <c r="E3507">
        <v>546.06000000000006</v>
      </c>
    </row>
    <row r="3508" spans="2:5">
      <c r="B3508" s="17">
        <v>42715</v>
      </c>
      <c r="D3508" t="s">
        <v>407</v>
      </c>
      <c r="E3508">
        <v>25.83</v>
      </c>
    </row>
    <row r="3509" spans="2:5">
      <c r="B3509" s="17">
        <v>42715</v>
      </c>
      <c r="D3509" t="s">
        <v>407</v>
      </c>
      <c r="E3509">
        <v>95.976000000000013</v>
      </c>
    </row>
    <row r="3510" spans="2:5">
      <c r="B3510" s="17">
        <v>42715</v>
      </c>
      <c r="D3510" t="s">
        <v>407</v>
      </c>
      <c r="E3510">
        <v>1079.316</v>
      </c>
    </row>
    <row r="3511" spans="2:5">
      <c r="B3511" s="17">
        <v>42715</v>
      </c>
      <c r="D3511" t="s">
        <v>407</v>
      </c>
      <c r="E3511">
        <v>83.92</v>
      </c>
    </row>
    <row r="3512" spans="2:5">
      <c r="B3512" s="17">
        <v>42715</v>
      </c>
      <c r="D3512" t="s">
        <v>360</v>
      </c>
      <c r="E3512">
        <v>131.97999999999999</v>
      </c>
    </row>
    <row r="3513" spans="2:5">
      <c r="B3513" s="17">
        <v>42715</v>
      </c>
      <c r="D3513" t="s">
        <v>360</v>
      </c>
      <c r="E3513">
        <v>15.92</v>
      </c>
    </row>
    <row r="3514" spans="2:5">
      <c r="B3514" s="17">
        <v>42715</v>
      </c>
      <c r="D3514" t="s">
        <v>360</v>
      </c>
      <c r="E3514">
        <v>52.29</v>
      </c>
    </row>
    <row r="3515" spans="2:5">
      <c r="B3515" s="17">
        <v>42715</v>
      </c>
      <c r="D3515" t="s">
        <v>360</v>
      </c>
      <c r="E3515">
        <v>91.99</v>
      </c>
    </row>
    <row r="3516" spans="2:5">
      <c r="B3516" s="17">
        <v>42715</v>
      </c>
      <c r="D3516" t="s">
        <v>360</v>
      </c>
      <c r="E3516">
        <v>20.37</v>
      </c>
    </row>
    <row r="3517" spans="2:5">
      <c r="B3517" s="17">
        <v>42715</v>
      </c>
      <c r="D3517" t="s">
        <v>360</v>
      </c>
      <c r="E3517">
        <v>17.52</v>
      </c>
    </row>
    <row r="3518" spans="2:5">
      <c r="B3518" s="17">
        <v>42715</v>
      </c>
      <c r="D3518" t="s">
        <v>1326</v>
      </c>
      <c r="E3518">
        <v>470.37600000000009</v>
      </c>
    </row>
    <row r="3519" spans="2:5">
      <c r="B3519" s="17">
        <v>42715</v>
      </c>
      <c r="D3519" t="s">
        <v>1326</v>
      </c>
      <c r="E3519">
        <v>105.584</v>
      </c>
    </row>
    <row r="3520" spans="2:5">
      <c r="B3520" s="17">
        <v>42715</v>
      </c>
      <c r="D3520" t="s">
        <v>1326</v>
      </c>
      <c r="E3520">
        <v>31.152000000000001</v>
      </c>
    </row>
    <row r="3521" spans="2:5">
      <c r="B3521" s="17">
        <v>42714</v>
      </c>
      <c r="D3521" t="s">
        <v>1326</v>
      </c>
      <c r="E3521">
        <v>6.7830000000000004</v>
      </c>
    </row>
    <row r="3522" spans="2:5">
      <c r="B3522" s="17">
        <v>42714</v>
      </c>
      <c r="D3522" t="s">
        <v>322</v>
      </c>
      <c r="E3522">
        <v>406.36799999999999</v>
      </c>
    </row>
    <row r="3523" spans="2:5">
      <c r="B3523" s="17">
        <v>42714</v>
      </c>
      <c r="D3523" t="s">
        <v>322</v>
      </c>
      <c r="E3523">
        <v>104.68000000000002</v>
      </c>
    </row>
    <row r="3524" spans="2:5">
      <c r="B3524" s="17">
        <v>42714</v>
      </c>
      <c r="D3524" t="s">
        <v>322</v>
      </c>
      <c r="E3524">
        <v>62.957999999999998</v>
      </c>
    </row>
    <row r="3525" spans="2:5">
      <c r="B3525" s="17">
        <v>42714</v>
      </c>
      <c r="D3525" t="s">
        <v>1023</v>
      </c>
      <c r="E3525">
        <v>45.36</v>
      </c>
    </row>
    <row r="3526" spans="2:5">
      <c r="B3526" s="17">
        <v>42714</v>
      </c>
      <c r="D3526" t="s">
        <v>1023</v>
      </c>
      <c r="E3526">
        <v>10.128</v>
      </c>
    </row>
    <row r="3527" spans="2:5">
      <c r="B3527" s="17">
        <v>42714</v>
      </c>
      <c r="D3527" t="s">
        <v>1023</v>
      </c>
      <c r="E3527">
        <v>37.392000000000003</v>
      </c>
    </row>
    <row r="3528" spans="2:5">
      <c r="B3528" s="17">
        <v>42714</v>
      </c>
      <c r="D3528" t="s">
        <v>1023</v>
      </c>
      <c r="E3528">
        <v>79.12</v>
      </c>
    </row>
    <row r="3529" spans="2:5">
      <c r="B3529" s="17">
        <v>42714</v>
      </c>
      <c r="D3529" t="s">
        <v>1023</v>
      </c>
      <c r="E3529">
        <v>19.440000000000001</v>
      </c>
    </row>
    <row r="3530" spans="2:5">
      <c r="B3530" s="17">
        <v>42714</v>
      </c>
      <c r="D3530" t="s">
        <v>1023</v>
      </c>
      <c r="E3530">
        <v>897.15000000000009</v>
      </c>
    </row>
    <row r="3531" spans="2:5">
      <c r="B3531" s="17">
        <v>42714</v>
      </c>
      <c r="D3531" t="s">
        <v>1878</v>
      </c>
      <c r="E3531">
        <v>7.7120000000000006</v>
      </c>
    </row>
    <row r="3532" spans="2:5">
      <c r="B3532" s="17">
        <v>42714</v>
      </c>
      <c r="D3532" t="s">
        <v>1878</v>
      </c>
      <c r="E3532">
        <v>10.368000000000002</v>
      </c>
    </row>
    <row r="3533" spans="2:5">
      <c r="B3533" s="17">
        <v>42714</v>
      </c>
      <c r="D3533" t="s">
        <v>1878</v>
      </c>
      <c r="E3533">
        <v>41.86</v>
      </c>
    </row>
    <row r="3534" spans="2:5">
      <c r="B3534" s="17">
        <v>42714</v>
      </c>
      <c r="D3534" t="s">
        <v>1577</v>
      </c>
      <c r="E3534">
        <v>141.96</v>
      </c>
    </row>
    <row r="3535" spans="2:5">
      <c r="B3535" s="17">
        <v>42713</v>
      </c>
      <c r="D3535" t="s">
        <v>1577</v>
      </c>
      <c r="E3535">
        <v>15.920000000000002</v>
      </c>
    </row>
    <row r="3536" spans="2:5">
      <c r="B3536" s="17">
        <v>42713</v>
      </c>
      <c r="D3536" t="s">
        <v>1577</v>
      </c>
      <c r="E3536">
        <v>70.679999999999993</v>
      </c>
    </row>
    <row r="3537" spans="2:5">
      <c r="B3537" s="17">
        <v>42713</v>
      </c>
      <c r="D3537" t="s">
        <v>1577</v>
      </c>
      <c r="E3537">
        <v>541.24</v>
      </c>
    </row>
    <row r="3538" spans="2:5">
      <c r="B3538" s="17">
        <v>42713</v>
      </c>
      <c r="D3538" t="s">
        <v>1751</v>
      </c>
      <c r="E3538">
        <v>629.64</v>
      </c>
    </row>
    <row r="3539" spans="2:5">
      <c r="B3539" s="17">
        <v>42713</v>
      </c>
      <c r="D3539" t="s">
        <v>1751</v>
      </c>
      <c r="E3539">
        <v>15.936000000000002</v>
      </c>
    </row>
    <row r="3540" spans="2:5">
      <c r="B3540" s="17">
        <v>42713</v>
      </c>
      <c r="D3540" t="s">
        <v>1751</v>
      </c>
      <c r="E3540">
        <v>8.0010000000000012</v>
      </c>
    </row>
    <row r="3541" spans="2:5">
      <c r="B3541" s="17">
        <v>42713</v>
      </c>
      <c r="D3541" t="s">
        <v>1751</v>
      </c>
      <c r="E3541">
        <v>398.97199999999998</v>
      </c>
    </row>
    <row r="3542" spans="2:5">
      <c r="B3542" s="17">
        <v>42713</v>
      </c>
      <c r="D3542" t="s">
        <v>753</v>
      </c>
      <c r="E3542">
        <v>559.62</v>
      </c>
    </row>
    <row r="3543" spans="2:5">
      <c r="B3543" s="17">
        <v>42713</v>
      </c>
      <c r="D3543" t="s">
        <v>753</v>
      </c>
      <c r="E3543">
        <v>109.92</v>
      </c>
    </row>
    <row r="3544" spans="2:5">
      <c r="B3544" s="17">
        <v>42713</v>
      </c>
      <c r="D3544" t="s">
        <v>753</v>
      </c>
      <c r="E3544">
        <v>8.56</v>
      </c>
    </row>
    <row r="3545" spans="2:5">
      <c r="B3545" s="17">
        <v>42713</v>
      </c>
      <c r="D3545" t="s">
        <v>753</v>
      </c>
      <c r="E3545">
        <v>34.650000000000006</v>
      </c>
    </row>
    <row r="3546" spans="2:5">
      <c r="B3546" s="17">
        <v>42713</v>
      </c>
      <c r="D3546" t="s">
        <v>753</v>
      </c>
      <c r="E3546">
        <v>8.7520000000000007</v>
      </c>
    </row>
    <row r="3547" spans="2:5">
      <c r="B3547" s="17">
        <v>42713</v>
      </c>
      <c r="D3547" t="s">
        <v>753</v>
      </c>
      <c r="E3547">
        <v>47.96</v>
      </c>
    </row>
    <row r="3548" spans="2:5">
      <c r="B3548" s="17">
        <v>42713</v>
      </c>
      <c r="D3548" t="s">
        <v>1785</v>
      </c>
      <c r="E3548">
        <v>9.0240000000000009</v>
      </c>
    </row>
    <row r="3549" spans="2:5">
      <c r="B3549" s="17">
        <v>42713</v>
      </c>
      <c r="D3549" t="s">
        <v>1785</v>
      </c>
      <c r="E3549">
        <v>69.456000000000003</v>
      </c>
    </row>
    <row r="3550" spans="2:5">
      <c r="B3550" s="17">
        <v>42713</v>
      </c>
      <c r="D3550" t="s">
        <v>789</v>
      </c>
      <c r="E3550">
        <v>10.86</v>
      </c>
    </row>
    <row r="3551" spans="2:5">
      <c r="B3551" s="17">
        <v>42713</v>
      </c>
      <c r="D3551" t="s">
        <v>789</v>
      </c>
      <c r="E3551">
        <v>79.47</v>
      </c>
    </row>
    <row r="3552" spans="2:5">
      <c r="B3552" s="17">
        <v>42712</v>
      </c>
      <c r="D3552" t="s">
        <v>789</v>
      </c>
      <c r="E3552">
        <v>10.08</v>
      </c>
    </row>
    <row r="3553" spans="2:5">
      <c r="B3553" s="17">
        <v>42712</v>
      </c>
      <c r="D3553" t="s">
        <v>789</v>
      </c>
      <c r="E3553">
        <v>45.660000000000011</v>
      </c>
    </row>
    <row r="3554" spans="2:5">
      <c r="B3554" s="17">
        <v>42712</v>
      </c>
      <c r="D3554" t="s">
        <v>789</v>
      </c>
      <c r="E3554">
        <v>631.17600000000016</v>
      </c>
    </row>
    <row r="3555" spans="2:5">
      <c r="B3555" s="17">
        <v>42712</v>
      </c>
      <c r="D3555" t="s">
        <v>950</v>
      </c>
      <c r="E3555">
        <v>2479.96</v>
      </c>
    </row>
    <row r="3556" spans="2:5">
      <c r="B3556" s="17">
        <v>42712</v>
      </c>
      <c r="D3556" t="s">
        <v>950</v>
      </c>
      <c r="E3556">
        <v>39.992000000000004</v>
      </c>
    </row>
    <row r="3557" spans="2:5">
      <c r="B3557" s="17">
        <v>42712</v>
      </c>
      <c r="D3557" t="s">
        <v>950</v>
      </c>
      <c r="E3557">
        <v>1159.056</v>
      </c>
    </row>
    <row r="3558" spans="2:5">
      <c r="B3558" s="17">
        <v>42712</v>
      </c>
      <c r="D3558" t="s">
        <v>950</v>
      </c>
      <c r="E3558">
        <v>179.89999999999998</v>
      </c>
    </row>
    <row r="3559" spans="2:5">
      <c r="B3559" s="17">
        <v>42712</v>
      </c>
      <c r="D3559" t="s">
        <v>804</v>
      </c>
      <c r="E3559">
        <v>701.96</v>
      </c>
    </row>
    <row r="3560" spans="2:5">
      <c r="B3560" s="17">
        <v>42712</v>
      </c>
      <c r="D3560" t="s">
        <v>804</v>
      </c>
      <c r="E3560">
        <v>12.160000000000002</v>
      </c>
    </row>
    <row r="3561" spans="2:5">
      <c r="B3561" s="17">
        <v>42712</v>
      </c>
      <c r="D3561" t="s">
        <v>758</v>
      </c>
      <c r="E3561">
        <v>32.776000000000003</v>
      </c>
    </row>
    <row r="3562" spans="2:5">
      <c r="B3562" s="17">
        <v>42712</v>
      </c>
      <c r="D3562" t="s">
        <v>758</v>
      </c>
      <c r="E3562">
        <v>114.28800000000001</v>
      </c>
    </row>
    <row r="3563" spans="2:5">
      <c r="B3563" s="17">
        <v>42712</v>
      </c>
      <c r="D3563" t="s">
        <v>758</v>
      </c>
      <c r="E3563">
        <v>36.624000000000002</v>
      </c>
    </row>
    <row r="3564" spans="2:5">
      <c r="B3564" s="17">
        <v>42712</v>
      </c>
      <c r="D3564" t="s">
        <v>758</v>
      </c>
      <c r="E3564">
        <v>49.616000000000007</v>
      </c>
    </row>
    <row r="3565" spans="2:5">
      <c r="B3565" s="17">
        <v>42712</v>
      </c>
      <c r="D3565" t="s">
        <v>758</v>
      </c>
      <c r="E3565">
        <v>508.70400000000006</v>
      </c>
    </row>
    <row r="3566" spans="2:5">
      <c r="B3566" s="17">
        <v>42712</v>
      </c>
      <c r="D3566" t="s">
        <v>585</v>
      </c>
      <c r="E3566">
        <v>57.36</v>
      </c>
    </row>
    <row r="3567" spans="2:5">
      <c r="B3567" s="17">
        <v>42710</v>
      </c>
      <c r="D3567" t="s">
        <v>585</v>
      </c>
      <c r="E3567">
        <v>906.68000000000006</v>
      </c>
    </row>
    <row r="3568" spans="2:5">
      <c r="B3568" s="17">
        <v>42710</v>
      </c>
      <c r="D3568" t="s">
        <v>585</v>
      </c>
      <c r="E3568">
        <v>67.860000000000014</v>
      </c>
    </row>
    <row r="3569" spans="2:5">
      <c r="B3569" s="17">
        <v>42710</v>
      </c>
      <c r="D3569" t="s">
        <v>585</v>
      </c>
      <c r="E3569">
        <v>19.728000000000002</v>
      </c>
    </row>
    <row r="3570" spans="2:5">
      <c r="B3570" s="17">
        <v>42710</v>
      </c>
      <c r="D3570" t="s">
        <v>585</v>
      </c>
      <c r="E3570">
        <v>151.18799999999999</v>
      </c>
    </row>
    <row r="3571" spans="2:5">
      <c r="B3571" s="17">
        <v>42710</v>
      </c>
      <c r="D3571" t="s">
        <v>621</v>
      </c>
      <c r="E3571">
        <v>979.95</v>
      </c>
    </row>
    <row r="3572" spans="2:5">
      <c r="B3572" s="17">
        <v>42710</v>
      </c>
      <c r="D3572" t="s">
        <v>621</v>
      </c>
      <c r="E3572">
        <v>4.3600000000000003</v>
      </c>
    </row>
    <row r="3573" spans="2:5">
      <c r="B3573" s="17">
        <v>42710</v>
      </c>
      <c r="D3573" t="s">
        <v>621</v>
      </c>
      <c r="E3573">
        <v>83.920000000000016</v>
      </c>
    </row>
    <row r="3574" spans="2:5">
      <c r="B3574" s="17">
        <v>42710</v>
      </c>
      <c r="D3574" t="s">
        <v>621</v>
      </c>
      <c r="E3574">
        <v>14.624000000000002</v>
      </c>
    </row>
    <row r="3575" spans="2:5">
      <c r="B3575" s="17">
        <v>42710</v>
      </c>
      <c r="D3575" t="s">
        <v>621</v>
      </c>
      <c r="E3575">
        <v>136.99</v>
      </c>
    </row>
    <row r="3576" spans="2:5">
      <c r="B3576" s="17">
        <v>42710</v>
      </c>
      <c r="D3576" t="s">
        <v>574</v>
      </c>
      <c r="E3576">
        <v>3.15</v>
      </c>
    </row>
    <row r="3577" spans="2:5">
      <c r="B3577" s="17">
        <v>42710</v>
      </c>
      <c r="D3577" t="s">
        <v>574</v>
      </c>
      <c r="E3577">
        <v>166.44</v>
      </c>
    </row>
    <row r="3578" spans="2:5">
      <c r="B3578" s="17">
        <v>42710</v>
      </c>
      <c r="D3578" t="s">
        <v>574</v>
      </c>
      <c r="E3578">
        <v>47.992000000000004</v>
      </c>
    </row>
    <row r="3579" spans="2:5">
      <c r="B3579" s="17">
        <v>42710</v>
      </c>
      <c r="D3579" t="s">
        <v>203</v>
      </c>
      <c r="E3579">
        <v>45.216000000000001</v>
      </c>
    </row>
    <row r="3580" spans="2:5">
      <c r="B3580" s="17">
        <v>42710</v>
      </c>
      <c r="D3580" t="s">
        <v>203</v>
      </c>
      <c r="E3580">
        <v>28.782000000000004</v>
      </c>
    </row>
    <row r="3581" spans="2:5">
      <c r="B3581" s="17">
        <v>42710</v>
      </c>
      <c r="D3581" t="s">
        <v>203</v>
      </c>
      <c r="E3581">
        <v>24.448</v>
      </c>
    </row>
    <row r="3582" spans="2:5">
      <c r="B3582" s="17">
        <v>42710</v>
      </c>
      <c r="D3582" t="s">
        <v>203</v>
      </c>
      <c r="E3582">
        <v>521.96</v>
      </c>
    </row>
    <row r="3583" spans="2:5">
      <c r="B3583" s="17">
        <v>42710</v>
      </c>
      <c r="D3583" t="s">
        <v>1644</v>
      </c>
      <c r="E3583">
        <v>13.591999999999999</v>
      </c>
    </row>
    <row r="3584" spans="2:5">
      <c r="B3584" s="17">
        <v>42710</v>
      </c>
      <c r="D3584" t="s">
        <v>1644</v>
      </c>
      <c r="E3584">
        <v>10.368000000000002</v>
      </c>
    </row>
    <row r="3585" spans="2:5">
      <c r="B3585" s="17">
        <v>42709</v>
      </c>
      <c r="D3585" t="s">
        <v>1644</v>
      </c>
      <c r="E3585">
        <v>13.343999999999998</v>
      </c>
    </row>
    <row r="3586" spans="2:5">
      <c r="B3586" s="17">
        <v>42709</v>
      </c>
      <c r="D3586" t="s">
        <v>1644</v>
      </c>
      <c r="E3586">
        <v>76.75200000000001</v>
      </c>
    </row>
    <row r="3587" spans="2:5">
      <c r="B3587" s="17">
        <v>42709</v>
      </c>
      <c r="D3587" t="s">
        <v>1644</v>
      </c>
      <c r="E3587">
        <v>102.33600000000001</v>
      </c>
    </row>
    <row r="3588" spans="2:5">
      <c r="B3588" s="17">
        <v>42709</v>
      </c>
      <c r="D3588" t="s">
        <v>1644</v>
      </c>
      <c r="E3588">
        <v>10.32</v>
      </c>
    </row>
    <row r="3589" spans="2:5">
      <c r="B3589" s="17">
        <v>42709</v>
      </c>
      <c r="D3589" t="s">
        <v>1644</v>
      </c>
      <c r="E3589">
        <v>47.32</v>
      </c>
    </row>
    <row r="3590" spans="2:5">
      <c r="B3590" s="17">
        <v>42709</v>
      </c>
      <c r="D3590" t="s">
        <v>211</v>
      </c>
      <c r="E3590">
        <v>23.376000000000001</v>
      </c>
    </row>
    <row r="3591" spans="2:5">
      <c r="B3591" s="17">
        <v>42709</v>
      </c>
      <c r="D3591" t="s">
        <v>211</v>
      </c>
      <c r="E3591">
        <v>16.72</v>
      </c>
    </row>
    <row r="3592" spans="2:5">
      <c r="B3592" s="17">
        <v>42709</v>
      </c>
      <c r="D3592" t="s">
        <v>211</v>
      </c>
      <c r="E3592">
        <v>16.192</v>
      </c>
    </row>
    <row r="3593" spans="2:5">
      <c r="B3593" s="17">
        <v>42709</v>
      </c>
      <c r="D3593" t="s">
        <v>211</v>
      </c>
      <c r="E3593">
        <v>5.3460000000000019</v>
      </c>
    </row>
    <row r="3594" spans="2:5">
      <c r="B3594" s="17">
        <v>42709</v>
      </c>
      <c r="D3594" t="s">
        <v>1646</v>
      </c>
      <c r="E3594">
        <v>188.55199999999996</v>
      </c>
    </row>
    <row r="3595" spans="2:5">
      <c r="B3595" s="17">
        <v>42709</v>
      </c>
      <c r="D3595" t="s">
        <v>1646</v>
      </c>
      <c r="E3595">
        <v>54.768000000000001</v>
      </c>
    </row>
    <row r="3596" spans="2:5">
      <c r="B3596" s="17">
        <v>42709</v>
      </c>
      <c r="D3596" t="s">
        <v>1646</v>
      </c>
      <c r="E3596">
        <v>13.392000000000001</v>
      </c>
    </row>
    <row r="3597" spans="2:5">
      <c r="B3597" s="17">
        <v>42709</v>
      </c>
      <c r="D3597" t="s">
        <v>1646</v>
      </c>
      <c r="E3597">
        <v>23.92</v>
      </c>
    </row>
    <row r="3598" spans="2:5">
      <c r="B3598" s="17">
        <v>42709</v>
      </c>
      <c r="D3598" t="s">
        <v>1722</v>
      </c>
      <c r="E3598">
        <v>61.567999999999998</v>
      </c>
    </row>
    <row r="3599" spans="2:5">
      <c r="B3599" s="17">
        <v>42709</v>
      </c>
      <c r="D3599" t="s">
        <v>1722</v>
      </c>
      <c r="E3599">
        <v>8.8000000000000007</v>
      </c>
    </row>
    <row r="3600" spans="2:5">
      <c r="B3600" s="17">
        <v>42709</v>
      </c>
      <c r="D3600" t="s">
        <v>1722</v>
      </c>
      <c r="E3600">
        <v>142.80000000000001</v>
      </c>
    </row>
    <row r="3601" spans="2:5">
      <c r="B3601" s="17">
        <v>42708</v>
      </c>
      <c r="D3601" t="s">
        <v>1722</v>
      </c>
      <c r="E3601">
        <v>399.95</v>
      </c>
    </row>
    <row r="3602" spans="2:5">
      <c r="B3602" s="17">
        <v>42708</v>
      </c>
      <c r="D3602" t="s">
        <v>1011</v>
      </c>
      <c r="E3602">
        <v>649</v>
      </c>
    </row>
    <row r="3603" spans="2:5">
      <c r="B3603" s="17">
        <v>42708</v>
      </c>
      <c r="D3603" t="s">
        <v>1011</v>
      </c>
      <c r="E3603">
        <v>74.352000000000004</v>
      </c>
    </row>
    <row r="3604" spans="2:5">
      <c r="B3604" s="17">
        <v>42708</v>
      </c>
      <c r="D3604" t="s">
        <v>1011</v>
      </c>
      <c r="E3604">
        <v>11.76</v>
      </c>
    </row>
    <row r="3605" spans="2:5">
      <c r="B3605" s="17">
        <v>42708</v>
      </c>
      <c r="D3605" t="s">
        <v>1011</v>
      </c>
      <c r="E3605">
        <v>12.99</v>
      </c>
    </row>
    <row r="3606" spans="2:5">
      <c r="B3606" s="17">
        <v>42708</v>
      </c>
      <c r="D3606" t="s">
        <v>1011</v>
      </c>
      <c r="E3606">
        <v>182.22</v>
      </c>
    </row>
    <row r="3607" spans="2:5">
      <c r="B3607" s="17">
        <v>42708</v>
      </c>
      <c r="D3607" t="s">
        <v>1834</v>
      </c>
      <c r="E3607">
        <v>11.352000000000002</v>
      </c>
    </row>
    <row r="3608" spans="2:5">
      <c r="B3608" s="17">
        <v>42708</v>
      </c>
      <c r="D3608" t="s">
        <v>1834</v>
      </c>
      <c r="E3608">
        <v>61.44</v>
      </c>
    </row>
    <row r="3609" spans="2:5">
      <c r="B3609" s="17">
        <v>42708</v>
      </c>
      <c r="D3609" t="s">
        <v>769</v>
      </c>
      <c r="E3609">
        <v>38.9</v>
      </c>
    </row>
    <row r="3610" spans="2:5">
      <c r="B3610" s="17">
        <v>42707</v>
      </c>
      <c r="D3610" t="s">
        <v>769</v>
      </c>
      <c r="E3610">
        <v>99.390000000000015</v>
      </c>
    </row>
    <row r="3611" spans="2:5">
      <c r="B3611" s="17">
        <v>42707</v>
      </c>
      <c r="D3611" t="s">
        <v>556</v>
      </c>
      <c r="E3611">
        <v>92.94</v>
      </c>
    </row>
    <row r="3612" spans="2:5">
      <c r="B3612" s="17">
        <v>42707</v>
      </c>
      <c r="D3612" t="s">
        <v>556</v>
      </c>
      <c r="E3612">
        <v>20.94</v>
      </c>
    </row>
    <row r="3613" spans="2:5">
      <c r="B3613" s="17">
        <v>42707</v>
      </c>
      <c r="D3613" t="s">
        <v>556</v>
      </c>
      <c r="E3613">
        <v>58.68</v>
      </c>
    </row>
    <row r="3614" spans="2:5">
      <c r="B3614" s="17">
        <v>42707</v>
      </c>
      <c r="D3614" t="s">
        <v>1855</v>
      </c>
      <c r="E3614">
        <v>24.816000000000003</v>
      </c>
    </row>
    <row r="3615" spans="2:5">
      <c r="B3615" s="17">
        <v>42707</v>
      </c>
      <c r="D3615" t="s">
        <v>1855</v>
      </c>
      <c r="E3615">
        <v>14.976000000000003</v>
      </c>
    </row>
    <row r="3616" spans="2:5">
      <c r="B3616" s="17">
        <v>42707</v>
      </c>
      <c r="D3616" t="s">
        <v>1855</v>
      </c>
      <c r="E3616">
        <v>41.96</v>
      </c>
    </row>
    <row r="3617" spans="2:5">
      <c r="B3617" s="17">
        <v>42707</v>
      </c>
      <c r="D3617" t="s">
        <v>1855</v>
      </c>
      <c r="E3617">
        <v>9.4499999999999993</v>
      </c>
    </row>
    <row r="3618" spans="2:5">
      <c r="B3618" s="17">
        <v>42707</v>
      </c>
      <c r="D3618" t="s">
        <v>1336</v>
      </c>
      <c r="E3618">
        <v>83.920000000000016</v>
      </c>
    </row>
    <row r="3619" spans="2:5">
      <c r="B3619" s="17">
        <v>42707</v>
      </c>
      <c r="D3619" t="s">
        <v>1336</v>
      </c>
      <c r="E3619">
        <v>31.176000000000002</v>
      </c>
    </row>
    <row r="3620" spans="2:5">
      <c r="B3620" s="17">
        <v>42707</v>
      </c>
      <c r="D3620" t="s">
        <v>1336</v>
      </c>
      <c r="E3620">
        <v>172.75200000000001</v>
      </c>
    </row>
    <row r="3621" spans="2:5">
      <c r="B3621" s="17">
        <v>42707</v>
      </c>
      <c r="D3621" t="s">
        <v>1336</v>
      </c>
      <c r="E3621">
        <v>9.2959999999999994</v>
      </c>
    </row>
    <row r="3622" spans="2:5">
      <c r="B3622" s="17">
        <v>42707</v>
      </c>
      <c r="D3622" t="s">
        <v>1336</v>
      </c>
      <c r="E3622">
        <v>21.6</v>
      </c>
    </row>
    <row r="3623" spans="2:5">
      <c r="B3623" s="17">
        <v>42707</v>
      </c>
      <c r="D3623" t="s">
        <v>1679</v>
      </c>
      <c r="E3623">
        <v>11.07</v>
      </c>
    </row>
    <row r="3624" spans="2:5">
      <c r="B3624" s="17">
        <v>42707</v>
      </c>
      <c r="D3624" t="s">
        <v>1679</v>
      </c>
      <c r="E3624">
        <v>10.68</v>
      </c>
    </row>
    <row r="3625" spans="2:5">
      <c r="B3625" s="17">
        <v>42707</v>
      </c>
      <c r="D3625" t="s">
        <v>445</v>
      </c>
      <c r="E3625">
        <v>374.37600000000003</v>
      </c>
    </row>
    <row r="3626" spans="2:5">
      <c r="B3626" s="17">
        <v>42706</v>
      </c>
      <c r="D3626" t="s">
        <v>445</v>
      </c>
      <c r="E3626">
        <v>3.5519999999999996</v>
      </c>
    </row>
    <row r="3627" spans="2:5">
      <c r="B3627" s="17">
        <v>42706</v>
      </c>
      <c r="D3627" t="s">
        <v>445</v>
      </c>
      <c r="E3627">
        <v>15.552000000000003</v>
      </c>
    </row>
    <row r="3628" spans="2:5">
      <c r="B3628" s="17">
        <v>42706</v>
      </c>
      <c r="D3628" t="s">
        <v>445</v>
      </c>
      <c r="E3628">
        <v>127.98399999999999</v>
      </c>
    </row>
    <row r="3629" spans="2:5">
      <c r="B3629" s="17">
        <v>42706</v>
      </c>
      <c r="D3629" t="s">
        <v>445</v>
      </c>
      <c r="E3629">
        <v>82.38</v>
      </c>
    </row>
    <row r="3630" spans="2:5">
      <c r="B3630" s="17">
        <v>42706</v>
      </c>
      <c r="D3630" t="s">
        <v>1162</v>
      </c>
      <c r="E3630">
        <v>1889.9899999999998</v>
      </c>
    </row>
    <row r="3631" spans="2:5">
      <c r="B3631" s="17">
        <v>42706</v>
      </c>
      <c r="D3631" t="s">
        <v>1162</v>
      </c>
      <c r="E3631">
        <v>52</v>
      </c>
    </row>
    <row r="3632" spans="2:5">
      <c r="B3632" s="17">
        <v>42706</v>
      </c>
      <c r="D3632" t="s">
        <v>111</v>
      </c>
      <c r="E3632">
        <v>50.04</v>
      </c>
    </row>
    <row r="3633" spans="2:5">
      <c r="B3633" s="17">
        <v>42706</v>
      </c>
      <c r="D3633" t="s">
        <v>111</v>
      </c>
      <c r="E3633">
        <v>179.95000000000002</v>
      </c>
    </row>
    <row r="3634" spans="2:5">
      <c r="B3634" s="17">
        <v>42706</v>
      </c>
      <c r="D3634" t="s">
        <v>111</v>
      </c>
      <c r="E3634">
        <v>1199.9760000000001</v>
      </c>
    </row>
    <row r="3635" spans="2:5">
      <c r="B3635" s="17">
        <v>42706</v>
      </c>
      <c r="D3635" t="s">
        <v>111</v>
      </c>
      <c r="E3635">
        <v>27.15</v>
      </c>
    </row>
    <row r="3636" spans="2:5">
      <c r="B3636" s="17">
        <v>42706</v>
      </c>
      <c r="D3636" t="s">
        <v>111</v>
      </c>
      <c r="E3636">
        <v>1004.0239999999999</v>
      </c>
    </row>
    <row r="3637" spans="2:5">
      <c r="B3637" s="17">
        <v>42706</v>
      </c>
      <c r="D3637" t="s">
        <v>1578</v>
      </c>
      <c r="E3637">
        <v>9.68</v>
      </c>
    </row>
    <row r="3638" spans="2:5">
      <c r="B3638" s="17">
        <v>42706</v>
      </c>
      <c r="D3638" t="s">
        <v>1578</v>
      </c>
      <c r="E3638">
        <v>28.349999999999998</v>
      </c>
    </row>
    <row r="3639" spans="2:5">
      <c r="B3639" s="17">
        <v>42706</v>
      </c>
      <c r="D3639" t="s">
        <v>1578</v>
      </c>
      <c r="E3639">
        <v>55.98</v>
      </c>
    </row>
    <row r="3640" spans="2:5">
      <c r="B3640" s="17">
        <v>42706</v>
      </c>
      <c r="D3640" t="s">
        <v>1578</v>
      </c>
      <c r="E3640">
        <v>1336.829</v>
      </c>
    </row>
    <row r="3641" spans="2:5">
      <c r="B3641" s="17">
        <v>42706</v>
      </c>
      <c r="D3641" t="s">
        <v>1578</v>
      </c>
      <c r="E3641">
        <v>113.56800000000001</v>
      </c>
    </row>
    <row r="3642" spans="2:5">
      <c r="B3642" s="17">
        <v>42706</v>
      </c>
      <c r="D3642" t="s">
        <v>416</v>
      </c>
      <c r="E3642">
        <v>109.48</v>
      </c>
    </row>
    <row r="3643" spans="2:5">
      <c r="B3643" s="17">
        <v>42705</v>
      </c>
      <c r="D3643" t="s">
        <v>416</v>
      </c>
      <c r="E3643">
        <v>19.440000000000001</v>
      </c>
    </row>
    <row r="3644" spans="2:5">
      <c r="B3644" s="17">
        <v>42705</v>
      </c>
      <c r="D3644" t="s">
        <v>416</v>
      </c>
      <c r="E3644">
        <v>31.92</v>
      </c>
    </row>
    <row r="3645" spans="2:5">
      <c r="B3645" s="17">
        <v>42705</v>
      </c>
      <c r="D3645" t="s">
        <v>416</v>
      </c>
      <c r="E3645">
        <v>29.79</v>
      </c>
    </row>
    <row r="3646" spans="2:5">
      <c r="B3646" s="17">
        <v>42705</v>
      </c>
      <c r="D3646" t="s">
        <v>416</v>
      </c>
      <c r="E3646">
        <v>128.9</v>
      </c>
    </row>
    <row r="3647" spans="2:5">
      <c r="B3647" s="17">
        <v>42705</v>
      </c>
      <c r="D3647" t="s">
        <v>416</v>
      </c>
      <c r="E3647">
        <v>60.12</v>
      </c>
    </row>
    <row r="3648" spans="2:5">
      <c r="B3648" s="17">
        <v>42705</v>
      </c>
      <c r="D3648" t="s">
        <v>416</v>
      </c>
      <c r="E3648">
        <v>69.48</v>
      </c>
    </row>
    <row r="3649" spans="2:5">
      <c r="B3649" s="17">
        <v>42705</v>
      </c>
      <c r="D3649" t="s">
        <v>416</v>
      </c>
      <c r="E3649">
        <v>87.92</v>
      </c>
    </row>
    <row r="3650" spans="2:5">
      <c r="B3650" s="17">
        <v>42705</v>
      </c>
      <c r="D3650" t="s">
        <v>416</v>
      </c>
      <c r="E3650">
        <v>22.424000000000003</v>
      </c>
    </row>
    <row r="3651" spans="2:5">
      <c r="B3651" s="17">
        <v>42705</v>
      </c>
      <c r="D3651" t="s">
        <v>416</v>
      </c>
      <c r="E3651">
        <v>90.480000000000018</v>
      </c>
    </row>
    <row r="3652" spans="2:5">
      <c r="B3652" s="17">
        <v>42705</v>
      </c>
      <c r="D3652" t="s">
        <v>416</v>
      </c>
      <c r="E3652">
        <v>42.76</v>
      </c>
    </row>
    <row r="3653" spans="2:5">
      <c r="B3653" s="17">
        <v>42705</v>
      </c>
      <c r="D3653" t="s">
        <v>1883</v>
      </c>
      <c r="E3653">
        <v>178.10999999999999</v>
      </c>
    </row>
    <row r="3654" spans="2:5">
      <c r="B3654" s="17">
        <v>42705</v>
      </c>
      <c r="D3654" t="s">
        <v>71</v>
      </c>
      <c r="E3654">
        <v>1089.75</v>
      </c>
    </row>
    <row r="3655" spans="2:5">
      <c r="B3655" s="17">
        <v>42705</v>
      </c>
      <c r="D3655" t="s">
        <v>71</v>
      </c>
      <c r="E3655">
        <v>61.06</v>
      </c>
    </row>
    <row r="3656" spans="2:5">
      <c r="B3656" s="17">
        <v>42705</v>
      </c>
      <c r="D3656" t="s">
        <v>71</v>
      </c>
      <c r="E3656">
        <v>459.92</v>
      </c>
    </row>
    <row r="3657" spans="2:5">
      <c r="B3657" s="17">
        <v>42705</v>
      </c>
      <c r="D3657" t="s">
        <v>71</v>
      </c>
      <c r="E3657">
        <v>27.52</v>
      </c>
    </row>
    <row r="3658" spans="2:5">
      <c r="B3658" s="17">
        <v>42705</v>
      </c>
      <c r="D3658" t="s">
        <v>71</v>
      </c>
      <c r="E3658">
        <v>592.74</v>
      </c>
    </row>
    <row r="3659" spans="2:5">
      <c r="B3659" s="17">
        <v>42705</v>
      </c>
      <c r="D3659" t="s">
        <v>797</v>
      </c>
      <c r="E3659">
        <v>13.247999999999999</v>
      </c>
    </row>
    <row r="3660" spans="2:5">
      <c r="B3660" s="17">
        <v>42705</v>
      </c>
      <c r="D3660" t="s">
        <v>797</v>
      </c>
      <c r="E3660">
        <v>83.987999999999985</v>
      </c>
    </row>
    <row r="3661" spans="2:5">
      <c r="B3661" s="17">
        <v>42705</v>
      </c>
      <c r="D3661" t="s">
        <v>797</v>
      </c>
      <c r="E3661">
        <v>1.2479999999999998</v>
      </c>
    </row>
    <row r="3662" spans="2:5">
      <c r="B3662" s="17">
        <v>42705</v>
      </c>
      <c r="D3662" t="s">
        <v>797</v>
      </c>
      <c r="E3662">
        <v>9.7080000000000002</v>
      </c>
    </row>
    <row r="3663" spans="2:5">
      <c r="B3663" s="17">
        <v>42705</v>
      </c>
      <c r="D3663" t="s">
        <v>797</v>
      </c>
      <c r="E3663">
        <v>27.240000000000002</v>
      </c>
    </row>
    <row r="3664" spans="2:5">
      <c r="B3664" s="17">
        <v>42705</v>
      </c>
      <c r="D3664" t="s">
        <v>1368</v>
      </c>
      <c r="E3664">
        <v>444.76800000000003</v>
      </c>
    </row>
    <row r="3665" spans="2:5">
      <c r="B3665" s="17">
        <v>42705</v>
      </c>
      <c r="D3665" t="s">
        <v>1368</v>
      </c>
      <c r="E3665">
        <v>37.207999999999998</v>
      </c>
    </row>
    <row r="3666" spans="2:5">
      <c r="B3666" s="17">
        <v>42704</v>
      </c>
      <c r="D3666" t="s">
        <v>1368</v>
      </c>
      <c r="E3666">
        <v>57.576000000000001</v>
      </c>
    </row>
    <row r="3667" spans="2:5">
      <c r="B3667" s="17">
        <v>42704</v>
      </c>
      <c r="D3667" t="s">
        <v>1368</v>
      </c>
      <c r="E3667">
        <v>872.94</v>
      </c>
    </row>
    <row r="3668" spans="2:5">
      <c r="B3668" s="17">
        <v>42704</v>
      </c>
      <c r="D3668" t="s">
        <v>1368</v>
      </c>
      <c r="E3668">
        <v>41.54</v>
      </c>
    </row>
    <row r="3669" spans="2:5">
      <c r="B3669" s="17">
        <v>42704</v>
      </c>
      <c r="D3669" t="s">
        <v>1186</v>
      </c>
      <c r="E3669">
        <v>12.96</v>
      </c>
    </row>
    <row r="3670" spans="2:5">
      <c r="B3670" s="17">
        <v>42704</v>
      </c>
      <c r="D3670" t="s">
        <v>1186</v>
      </c>
      <c r="E3670">
        <v>33.450000000000003</v>
      </c>
    </row>
    <row r="3671" spans="2:5">
      <c r="B3671" s="17">
        <v>42703</v>
      </c>
      <c r="D3671" t="s">
        <v>1186</v>
      </c>
      <c r="E3671">
        <v>10.4</v>
      </c>
    </row>
    <row r="3672" spans="2:5">
      <c r="B3672" s="17">
        <v>42703</v>
      </c>
      <c r="D3672" t="s">
        <v>1186</v>
      </c>
      <c r="E3672">
        <v>2.6240000000000001</v>
      </c>
    </row>
    <row r="3673" spans="2:5">
      <c r="B3673" s="17">
        <v>42702</v>
      </c>
      <c r="D3673" t="s">
        <v>1186</v>
      </c>
      <c r="E3673">
        <v>104.88</v>
      </c>
    </row>
    <row r="3674" spans="2:5">
      <c r="B3674" s="17">
        <v>42702</v>
      </c>
      <c r="D3674" t="s">
        <v>1186</v>
      </c>
      <c r="E3674">
        <v>34.700000000000003</v>
      </c>
    </row>
    <row r="3675" spans="2:5">
      <c r="B3675" s="17">
        <v>42702</v>
      </c>
      <c r="D3675" t="s">
        <v>1186</v>
      </c>
      <c r="E3675">
        <v>33.72</v>
      </c>
    </row>
    <row r="3676" spans="2:5">
      <c r="B3676" s="17">
        <v>42702</v>
      </c>
      <c r="D3676" t="s">
        <v>1186</v>
      </c>
      <c r="E3676">
        <v>14.940000000000001</v>
      </c>
    </row>
    <row r="3677" spans="2:5">
      <c r="B3677" s="17">
        <v>42702</v>
      </c>
      <c r="D3677" t="s">
        <v>589</v>
      </c>
      <c r="E3677">
        <v>15.984000000000002</v>
      </c>
    </row>
    <row r="3678" spans="2:5">
      <c r="B3678" s="17">
        <v>42702</v>
      </c>
      <c r="D3678" t="s">
        <v>589</v>
      </c>
      <c r="E3678">
        <v>11.16</v>
      </c>
    </row>
    <row r="3679" spans="2:5">
      <c r="B3679" s="17">
        <v>42702</v>
      </c>
      <c r="D3679" t="s">
        <v>589</v>
      </c>
      <c r="E3679">
        <v>896.32799999999997</v>
      </c>
    </row>
    <row r="3680" spans="2:5">
      <c r="B3680" s="17">
        <v>42702</v>
      </c>
      <c r="D3680" t="s">
        <v>1288</v>
      </c>
      <c r="E3680">
        <v>189</v>
      </c>
    </row>
    <row r="3681" spans="2:5">
      <c r="B3681" s="17">
        <v>42702</v>
      </c>
      <c r="D3681" t="s">
        <v>1288</v>
      </c>
      <c r="E3681">
        <v>143.85600000000002</v>
      </c>
    </row>
    <row r="3682" spans="2:5">
      <c r="B3682" s="17">
        <v>42702</v>
      </c>
      <c r="D3682" t="s">
        <v>1288</v>
      </c>
      <c r="E3682">
        <v>419.4</v>
      </c>
    </row>
    <row r="3683" spans="2:5">
      <c r="B3683" s="17">
        <v>42702</v>
      </c>
      <c r="D3683" t="s">
        <v>1288</v>
      </c>
      <c r="E3683">
        <v>13.005000000000003</v>
      </c>
    </row>
    <row r="3684" spans="2:5">
      <c r="B3684" s="17">
        <v>42701</v>
      </c>
      <c r="D3684" t="s">
        <v>1288</v>
      </c>
      <c r="E3684">
        <v>148.25700000000001</v>
      </c>
    </row>
    <row r="3685" spans="2:5">
      <c r="B3685" s="17">
        <v>42701</v>
      </c>
      <c r="D3685" t="s">
        <v>1769</v>
      </c>
      <c r="E3685">
        <v>29.36</v>
      </c>
    </row>
    <row r="3686" spans="2:5">
      <c r="B3686" s="17">
        <v>42701</v>
      </c>
      <c r="D3686" t="s">
        <v>1553</v>
      </c>
      <c r="E3686">
        <v>15.92</v>
      </c>
    </row>
    <row r="3687" spans="2:5">
      <c r="B3687" s="17">
        <v>42701</v>
      </c>
      <c r="D3687" t="s">
        <v>1553</v>
      </c>
      <c r="E3687">
        <v>146.44999999999999</v>
      </c>
    </row>
    <row r="3688" spans="2:5">
      <c r="B3688" s="17">
        <v>42701</v>
      </c>
      <c r="D3688" t="s">
        <v>1553</v>
      </c>
      <c r="E3688">
        <v>15.14</v>
      </c>
    </row>
    <row r="3689" spans="2:5">
      <c r="B3689" s="17">
        <v>42701</v>
      </c>
      <c r="D3689" t="s">
        <v>1553</v>
      </c>
      <c r="E3689">
        <v>5.76</v>
      </c>
    </row>
    <row r="3690" spans="2:5">
      <c r="B3690" s="17">
        <v>42701</v>
      </c>
      <c r="D3690" t="s">
        <v>1553</v>
      </c>
      <c r="E3690">
        <v>1399.98</v>
      </c>
    </row>
    <row r="3691" spans="2:5">
      <c r="B3691" s="17">
        <v>42701</v>
      </c>
      <c r="D3691" t="s">
        <v>1687</v>
      </c>
      <c r="E3691">
        <v>11.088000000000003</v>
      </c>
    </row>
    <row r="3692" spans="2:5">
      <c r="B3692" s="17">
        <v>42701</v>
      </c>
      <c r="D3692" t="s">
        <v>1687</v>
      </c>
      <c r="E3692">
        <v>54.900000000000006</v>
      </c>
    </row>
    <row r="3693" spans="2:5">
      <c r="B3693" s="17">
        <v>42701</v>
      </c>
      <c r="D3693" t="s">
        <v>1687</v>
      </c>
      <c r="E3693">
        <v>19.936000000000003</v>
      </c>
    </row>
    <row r="3694" spans="2:5">
      <c r="B3694" s="17">
        <v>42701</v>
      </c>
      <c r="D3694" t="s">
        <v>1687</v>
      </c>
      <c r="E3694">
        <v>65.567999999999998</v>
      </c>
    </row>
    <row r="3695" spans="2:5">
      <c r="B3695" s="17">
        <v>42701</v>
      </c>
      <c r="D3695" t="s">
        <v>1025</v>
      </c>
      <c r="E3695">
        <v>14.200000000000001</v>
      </c>
    </row>
    <row r="3696" spans="2:5">
      <c r="B3696" s="17">
        <v>42701</v>
      </c>
      <c r="D3696" t="s">
        <v>1025</v>
      </c>
      <c r="E3696">
        <v>34.5</v>
      </c>
    </row>
    <row r="3697" spans="2:5">
      <c r="B3697" s="17">
        <v>42701</v>
      </c>
      <c r="D3697" t="s">
        <v>1025</v>
      </c>
      <c r="E3697">
        <v>1669.6</v>
      </c>
    </row>
    <row r="3698" spans="2:5">
      <c r="B3698" s="17">
        <v>42700</v>
      </c>
      <c r="D3698" t="s">
        <v>1025</v>
      </c>
      <c r="E3698">
        <v>10.368000000000002</v>
      </c>
    </row>
    <row r="3699" spans="2:5">
      <c r="B3699" s="17">
        <v>42700</v>
      </c>
      <c r="D3699" t="s">
        <v>1025</v>
      </c>
      <c r="E3699">
        <v>10.86</v>
      </c>
    </row>
    <row r="3700" spans="2:5">
      <c r="B3700" s="17">
        <v>42700</v>
      </c>
      <c r="D3700" t="s">
        <v>1025</v>
      </c>
      <c r="E3700">
        <v>426.78999999999996</v>
      </c>
    </row>
    <row r="3701" spans="2:5">
      <c r="B3701" s="17">
        <v>42700</v>
      </c>
      <c r="D3701" t="s">
        <v>1025</v>
      </c>
      <c r="E3701">
        <v>19.103999999999999</v>
      </c>
    </row>
    <row r="3702" spans="2:5">
      <c r="B3702" s="17">
        <v>42700</v>
      </c>
      <c r="D3702" t="s">
        <v>1025</v>
      </c>
      <c r="E3702">
        <v>49.08</v>
      </c>
    </row>
    <row r="3703" spans="2:5">
      <c r="B3703" s="17">
        <v>42700</v>
      </c>
      <c r="D3703" t="s">
        <v>1206</v>
      </c>
      <c r="E3703">
        <v>18.240000000000002</v>
      </c>
    </row>
    <row r="3704" spans="2:5">
      <c r="B3704" s="17">
        <v>42700</v>
      </c>
      <c r="D3704" t="s">
        <v>1206</v>
      </c>
      <c r="E3704">
        <v>599.97</v>
      </c>
    </row>
    <row r="3705" spans="2:5">
      <c r="B3705" s="17">
        <v>42700</v>
      </c>
      <c r="D3705" t="s">
        <v>1206</v>
      </c>
      <c r="E3705">
        <v>38.97</v>
      </c>
    </row>
    <row r="3706" spans="2:5">
      <c r="B3706" s="17">
        <v>42700</v>
      </c>
      <c r="D3706" t="s">
        <v>1206</v>
      </c>
      <c r="E3706">
        <v>45.84</v>
      </c>
    </row>
    <row r="3707" spans="2:5">
      <c r="B3707" s="17">
        <v>42700</v>
      </c>
      <c r="D3707" t="s">
        <v>1206</v>
      </c>
      <c r="E3707">
        <v>95.84</v>
      </c>
    </row>
    <row r="3708" spans="2:5">
      <c r="B3708" s="17">
        <v>42700</v>
      </c>
      <c r="D3708" t="s">
        <v>1206</v>
      </c>
      <c r="E3708">
        <v>12.96</v>
      </c>
    </row>
    <row r="3709" spans="2:5">
      <c r="B3709" s="17">
        <v>42700</v>
      </c>
      <c r="D3709" t="s">
        <v>1054</v>
      </c>
      <c r="E3709">
        <v>14.76</v>
      </c>
    </row>
    <row r="3710" spans="2:5">
      <c r="B3710" s="17">
        <v>42700</v>
      </c>
      <c r="D3710" t="s">
        <v>1054</v>
      </c>
      <c r="E3710">
        <v>3.2730000000000006</v>
      </c>
    </row>
    <row r="3711" spans="2:5">
      <c r="B3711" s="17">
        <v>42700</v>
      </c>
      <c r="D3711" t="s">
        <v>1054</v>
      </c>
      <c r="E3711">
        <v>87.92</v>
      </c>
    </row>
    <row r="3712" spans="2:5">
      <c r="B3712" s="17">
        <v>42700</v>
      </c>
      <c r="D3712" t="s">
        <v>1054</v>
      </c>
      <c r="E3712">
        <v>23.36</v>
      </c>
    </row>
    <row r="3713" spans="2:5">
      <c r="B3713" s="17">
        <v>42700</v>
      </c>
      <c r="D3713" t="s">
        <v>1054</v>
      </c>
      <c r="E3713">
        <v>39.979999999999997</v>
      </c>
    </row>
    <row r="3714" spans="2:5">
      <c r="B3714" s="17">
        <v>42699</v>
      </c>
      <c r="D3714" t="s">
        <v>1054</v>
      </c>
      <c r="E3714">
        <v>63.686</v>
      </c>
    </row>
    <row r="3715" spans="2:5">
      <c r="B3715" s="17">
        <v>42699</v>
      </c>
      <c r="D3715" t="s">
        <v>1606</v>
      </c>
      <c r="E3715">
        <v>10.368000000000002</v>
      </c>
    </row>
    <row r="3716" spans="2:5">
      <c r="B3716" s="17">
        <v>42699</v>
      </c>
      <c r="D3716" t="s">
        <v>1606</v>
      </c>
      <c r="E3716">
        <v>77.720000000000013</v>
      </c>
    </row>
    <row r="3717" spans="2:5">
      <c r="B3717" s="17">
        <v>42699</v>
      </c>
      <c r="D3717" t="s">
        <v>1606</v>
      </c>
      <c r="E3717">
        <v>520.46399999999994</v>
      </c>
    </row>
    <row r="3718" spans="2:5">
      <c r="B3718" s="17">
        <v>42699</v>
      </c>
      <c r="D3718" t="s">
        <v>1090</v>
      </c>
      <c r="E3718">
        <v>128.85000000000002</v>
      </c>
    </row>
    <row r="3719" spans="2:5">
      <c r="B3719" s="17">
        <v>42699</v>
      </c>
      <c r="D3719" t="s">
        <v>1090</v>
      </c>
      <c r="E3719">
        <v>116.312</v>
      </c>
    </row>
    <row r="3720" spans="2:5">
      <c r="B3720" s="17">
        <v>42699</v>
      </c>
      <c r="D3720" t="s">
        <v>1090</v>
      </c>
      <c r="E3720">
        <v>14.952000000000002</v>
      </c>
    </row>
    <row r="3721" spans="2:5">
      <c r="B3721" s="17">
        <v>42699</v>
      </c>
      <c r="D3721" t="s">
        <v>1090</v>
      </c>
      <c r="E3721">
        <v>17.940000000000001</v>
      </c>
    </row>
    <row r="3722" spans="2:5">
      <c r="B3722" s="17">
        <v>42699</v>
      </c>
      <c r="D3722" t="s">
        <v>1090</v>
      </c>
      <c r="E3722">
        <v>116.98</v>
      </c>
    </row>
    <row r="3723" spans="2:5">
      <c r="B3723" s="17">
        <v>42699</v>
      </c>
      <c r="D3723" t="s">
        <v>890</v>
      </c>
      <c r="E3723">
        <v>1.3919999999999997</v>
      </c>
    </row>
    <row r="3724" spans="2:5">
      <c r="B3724" s="17">
        <v>42699</v>
      </c>
      <c r="D3724" t="s">
        <v>890</v>
      </c>
      <c r="E3724">
        <v>721.87500000000011</v>
      </c>
    </row>
    <row r="3725" spans="2:5">
      <c r="B3725" s="17">
        <v>42699</v>
      </c>
      <c r="D3725" t="s">
        <v>890</v>
      </c>
      <c r="E3725">
        <v>73.567999999999998</v>
      </c>
    </row>
    <row r="3726" spans="2:5">
      <c r="B3726" s="17">
        <v>42698</v>
      </c>
      <c r="D3726" t="s">
        <v>890</v>
      </c>
      <c r="E3726">
        <v>13.584000000000001</v>
      </c>
    </row>
    <row r="3727" spans="2:5">
      <c r="B3727" s="17">
        <v>42698</v>
      </c>
      <c r="D3727" t="s">
        <v>890</v>
      </c>
      <c r="E3727">
        <v>64.784000000000006</v>
      </c>
    </row>
    <row r="3728" spans="2:5">
      <c r="B3728" s="17">
        <v>42698</v>
      </c>
      <c r="D3728" t="s">
        <v>890</v>
      </c>
      <c r="E3728">
        <v>7.28</v>
      </c>
    </row>
    <row r="3729" spans="2:5">
      <c r="B3729" s="17">
        <v>42698</v>
      </c>
      <c r="D3729" t="s">
        <v>890</v>
      </c>
      <c r="E3729">
        <v>5.4</v>
      </c>
    </row>
    <row r="3730" spans="2:5">
      <c r="B3730" s="17">
        <v>42698</v>
      </c>
      <c r="D3730" t="s">
        <v>890</v>
      </c>
      <c r="E3730">
        <v>6.5400000000000009</v>
      </c>
    </row>
    <row r="3731" spans="2:5">
      <c r="B3731" s="17">
        <v>42698</v>
      </c>
      <c r="D3731" t="s">
        <v>1314</v>
      </c>
      <c r="E3731">
        <v>40.199999999999996</v>
      </c>
    </row>
    <row r="3732" spans="2:5">
      <c r="B3732" s="17">
        <v>42698</v>
      </c>
      <c r="D3732" t="s">
        <v>1314</v>
      </c>
      <c r="E3732">
        <v>735.98</v>
      </c>
    </row>
    <row r="3733" spans="2:5">
      <c r="B3733" s="17">
        <v>42698</v>
      </c>
      <c r="D3733" t="s">
        <v>1314</v>
      </c>
      <c r="E3733">
        <v>22.75</v>
      </c>
    </row>
    <row r="3734" spans="2:5">
      <c r="B3734" s="17">
        <v>42698</v>
      </c>
      <c r="D3734" t="s">
        <v>1314</v>
      </c>
      <c r="E3734">
        <v>31.44</v>
      </c>
    </row>
    <row r="3735" spans="2:5">
      <c r="B3735" s="17">
        <v>42698</v>
      </c>
      <c r="D3735" t="s">
        <v>1314</v>
      </c>
      <c r="E3735">
        <v>8.64</v>
      </c>
    </row>
    <row r="3736" spans="2:5">
      <c r="B3736" s="17">
        <v>42698</v>
      </c>
      <c r="D3736" t="s">
        <v>1314</v>
      </c>
      <c r="E3736">
        <v>38.880000000000003</v>
      </c>
    </row>
    <row r="3737" spans="2:5">
      <c r="B3737" s="17">
        <v>42698</v>
      </c>
      <c r="D3737" t="s">
        <v>888</v>
      </c>
      <c r="E3737">
        <v>12.96</v>
      </c>
    </row>
    <row r="3738" spans="2:5">
      <c r="B3738" s="17">
        <v>42698</v>
      </c>
      <c r="D3738" t="s">
        <v>888</v>
      </c>
      <c r="E3738">
        <v>26.25</v>
      </c>
    </row>
    <row r="3739" spans="2:5">
      <c r="B3739" s="17">
        <v>42698</v>
      </c>
      <c r="D3739" t="s">
        <v>888</v>
      </c>
      <c r="E3739">
        <v>64.959999999999994</v>
      </c>
    </row>
    <row r="3740" spans="2:5">
      <c r="B3740" s="17">
        <v>42698</v>
      </c>
      <c r="D3740" t="s">
        <v>888</v>
      </c>
      <c r="E3740">
        <v>43.7</v>
      </c>
    </row>
    <row r="3741" spans="2:5">
      <c r="B3741" s="17">
        <v>42698</v>
      </c>
      <c r="D3741" t="s">
        <v>888</v>
      </c>
      <c r="E3741">
        <v>52.679999999999993</v>
      </c>
    </row>
    <row r="3742" spans="2:5">
      <c r="B3742" s="17">
        <v>42698</v>
      </c>
      <c r="D3742" t="s">
        <v>577</v>
      </c>
      <c r="E3742">
        <v>2.032</v>
      </c>
    </row>
    <row r="3743" spans="2:5">
      <c r="B3743" s="17">
        <v>42698</v>
      </c>
      <c r="D3743" t="s">
        <v>577</v>
      </c>
      <c r="E3743">
        <v>159.80000000000001</v>
      </c>
    </row>
    <row r="3744" spans="2:5">
      <c r="B3744" s="17">
        <v>42698</v>
      </c>
      <c r="D3744" t="s">
        <v>577</v>
      </c>
      <c r="E3744">
        <v>44.75</v>
      </c>
    </row>
    <row r="3745" spans="2:5">
      <c r="B3745" s="17">
        <v>42698</v>
      </c>
      <c r="D3745" t="s">
        <v>577</v>
      </c>
      <c r="E3745">
        <v>974.98799999999983</v>
      </c>
    </row>
    <row r="3746" spans="2:5">
      <c r="B3746" s="17">
        <v>42698</v>
      </c>
      <c r="D3746" t="s">
        <v>771</v>
      </c>
      <c r="E3746">
        <v>56.328000000000003</v>
      </c>
    </row>
    <row r="3747" spans="2:5">
      <c r="B3747" s="17">
        <v>42698</v>
      </c>
      <c r="D3747" t="s">
        <v>771</v>
      </c>
      <c r="E3747">
        <v>39.264000000000003</v>
      </c>
    </row>
    <row r="3748" spans="2:5">
      <c r="B3748" s="17">
        <v>42698</v>
      </c>
      <c r="D3748" t="s">
        <v>771</v>
      </c>
      <c r="E3748">
        <v>95.231999999999999</v>
      </c>
    </row>
    <row r="3749" spans="2:5">
      <c r="B3749" s="17">
        <v>42698</v>
      </c>
      <c r="D3749" t="s">
        <v>771</v>
      </c>
      <c r="E3749">
        <v>1199.98</v>
      </c>
    </row>
    <row r="3750" spans="2:5">
      <c r="B3750" s="17">
        <v>42698</v>
      </c>
      <c r="D3750" t="s">
        <v>771</v>
      </c>
      <c r="E3750">
        <v>73.849999999999994</v>
      </c>
    </row>
    <row r="3751" spans="2:5">
      <c r="B3751" s="17">
        <v>42698</v>
      </c>
      <c r="D3751" t="s">
        <v>771</v>
      </c>
      <c r="E3751">
        <v>25.71</v>
      </c>
    </row>
    <row r="3752" spans="2:5">
      <c r="B3752" s="17">
        <v>42698</v>
      </c>
      <c r="D3752" t="s">
        <v>771</v>
      </c>
      <c r="E3752">
        <v>17.28</v>
      </c>
    </row>
    <row r="3753" spans="2:5">
      <c r="B3753" s="17">
        <v>42697</v>
      </c>
      <c r="D3753" t="s">
        <v>771</v>
      </c>
      <c r="E3753">
        <v>526.58199999999999</v>
      </c>
    </row>
    <row r="3754" spans="2:5">
      <c r="B3754" s="17">
        <v>42697</v>
      </c>
      <c r="D3754" t="s">
        <v>771</v>
      </c>
      <c r="E3754">
        <v>22.77</v>
      </c>
    </row>
    <row r="3755" spans="2:5">
      <c r="B3755" s="17">
        <v>42697</v>
      </c>
      <c r="D3755" t="s">
        <v>771</v>
      </c>
      <c r="E3755">
        <v>10.192000000000002</v>
      </c>
    </row>
    <row r="3756" spans="2:5">
      <c r="B3756" s="17">
        <v>42696</v>
      </c>
      <c r="D3756" t="s">
        <v>771</v>
      </c>
      <c r="E3756">
        <v>22.830000000000002</v>
      </c>
    </row>
    <row r="3757" spans="2:5">
      <c r="B3757" s="17">
        <v>42696</v>
      </c>
      <c r="D3757" t="s">
        <v>771</v>
      </c>
      <c r="E3757">
        <v>54.32</v>
      </c>
    </row>
    <row r="3758" spans="2:5">
      <c r="B3758" s="17">
        <v>42696</v>
      </c>
      <c r="D3758" t="s">
        <v>771</v>
      </c>
      <c r="E3758">
        <v>196.77600000000001</v>
      </c>
    </row>
    <row r="3759" spans="2:5">
      <c r="B3759" s="17">
        <v>42696</v>
      </c>
      <c r="D3759" t="s">
        <v>771</v>
      </c>
      <c r="E3759">
        <v>81.567999999999998</v>
      </c>
    </row>
    <row r="3760" spans="2:5">
      <c r="B3760" s="17">
        <v>42696</v>
      </c>
      <c r="D3760" t="s">
        <v>1599</v>
      </c>
      <c r="E3760">
        <v>97.184000000000012</v>
      </c>
    </row>
    <row r="3761" spans="2:5">
      <c r="B3761" s="17">
        <v>42696</v>
      </c>
      <c r="D3761" t="s">
        <v>1599</v>
      </c>
      <c r="E3761">
        <v>24.320000000000004</v>
      </c>
    </row>
    <row r="3762" spans="2:5">
      <c r="B3762" s="17">
        <v>42696</v>
      </c>
      <c r="D3762" t="s">
        <v>1599</v>
      </c>
      <c r="E3762">
        <v>18.96</v>
      </c>
    </row>
    <row r="3763" spans="2:5">
      <c r="B3763" s="17">
        <v>42696</v>
      </c>
      <c r="D3763" t="s">
        <v>1599</v>
      </c>
      <c r="E3763">
        <v>10.8</v>
      </c>
    </row>
    <row r="3764" spans="2:5">
      <c r="B3764" s="17">
        <v>42696</v>
      </c>
      <c r="D3764" t="s">
        <v>1599</v>
      </c>
      <c r="E3764">
        <v>33.375999999999998</v>
      </c>
    </row>
    <row r="3765" spans="2:5">
      <c r="B3765" s="17">
        <v>42696</v>
      </c>
      <c r="D3765" t="s">
        <v>759</v>
      </c>
      <c r="E3765">
        <v>13.36</v>
      </c>
    </row>
    <row r="3766" spans="2:5">
      <c r="B3766" s="17">
        <v>42695</v>
      </c>
      <c r="D3766" t="s">
        <v>759</v>
      </c>
      <c r="E3766">
        <v>158.9</v>
      </c>
    </row>
    <row r="3767" spans="2:5">
      <c r="B3767" s="17">
        <v>42695</v>
      </c>
      <c r="D3767" t="s">
        <v>759</v>
      </c>
      <c r="E3767">
        <v>5.9840000000000009</v>
      </c>
    </row>
    <row r="3768" spans="2:5">
      <c r="B3768" s="17">
        <v>42695</v>
      </c>
      <c r="D3768" t="s">
        <v>759</v>
      </c>
      <c r="E3768">
        <v>189.95000000000002</v>
      </c>
    </row>
    <row r="3769" spans="2:5">
      <c r="B3769" s="17">
        <v>42695</v>
      </c>
      <c r="D3769" t="s">
        <v>759</v>
      </c>
      <c r="E3769">
        <v>149.94999999999999</v>
      </c>
    </row>
    <row r="3770" spans="2:5">
      <c r="B3770" s="17">
        <v>42695</v>
      </c>
      <c r="D3770" t="s">
        <v>1109</v>
      </c>
      <c r="E3770">
        <v>29.950000000000003</v>
      </c>
    </row>
    <row r="3771" spans="2:5">
      <c r="B3771" s="17">
        <v>42695</v>
      </c>
      <c r="D3771" t="s">
        <v>1109</v>
      </c>
      <c r="E3771">
        <v>44.400000000000006</v>
      </c>
    </row>
    <row r="3772" spans="2:5">
      <c r="B3772" s="17">
        <v>42695</v>
      </c>
      <c r="D3772" t="s">
        <v>1518</v>
      </c>
      <c r="E3772">
        <v>66.283999999999992</v>
      </c>
    </row>
    <row r="3773" spans="2:5">
      <c r="B3773" s="17">
        <v>42695</v>
      </c>
      <c r="D3773" t="s">
        <v>1518</v>
      </c>
      <c r="E3773">
        <v>15.24</v>
      </c>
    </row>
    <row r="3774" spans="2:5">
      <c r="B3774" s="17">
        <v>42695</v>
      </c>
      <c r="D3774" t="s">
        <v>1518</v>
      </c>
      <c r="E3774">
        <v>13.23</v>
      </c>
    </row>
    <row r="3775" spans="2:5">
      <c r="B3775" s="17">
        <v>42695</v>
      </c>
      <c r="D3775" t="s">
        <v>1518</v>
      </c>
      <c r="E3775">
        <v>11.808</v>
      </c>
    </row>
    <row r="3776" spans="2:5">
      <c r="B3776" s="17">
        <v>42695</v>
      </c>
      <c r="D3776" t="s">
        <v>1518</v>
      </c>
      <c r="E3776">
        <v>28.16</v>
      </c>
    </row>
    <row r="3777" spans="2:5">
      <c r="B3777" s="17">
        <v>42695</v>
      </c>
      <c r="D3777" t="s">
        <v>1518</v>
      </c>
      <c r="E3777">
        <v>504.90000000000003</v>
      </c>
    </row>
    <row r="3778" spans="2:5">
      <c r="B3778" s="17">
        <v>42694</v>
      </c>
      <c r="D3778" t="s">
        <v>1860</v>
      </c>
      <c r="E3778">
        <v>544.38</v>
      </c>
    </row>
    <row r="3779" spans="2:5">
      <c r="B3779" s="17">
        <v>42694</v>
      </c>
      <c r="D3779" t="s">
        <v>1860</v>
      </c>
      <c r="E3779">
        <v>481.32</v>
      </c>
    </row>
    <row r="3780" spans="2:5">
      <c r="B3780" s="17">
        <v>42694</v>
      </c>
      <c r="D3780" t="s">
        <v>1491</v>
      </c>
      <c r="E3780">
        <v>13.98</v>
      </c>
    </row>
    <row r="3781" spans="2:5">
      <c r="B3781" s="17">
        <v>42694</v>
      </c>
      <c r="D3781" t="s">
        <v>1491</v>
      </c>
      <c r="E3781">
        <v>166.72</v>
      </c>
    </row>
    <row r="3782" spans="2:5">
      <c r="B3782" s="17">
        <v>42694</v>
      </c>
      <c r="D3782" t="s">
        <v>1491</v>
      </c>
      <c r="E3782">
        <v>24.816000000000003</v>
      </c>
    </row>
    <row r="3783" spans="2:5">
      <c r="B3783" s="17">
        <v>42694</v>
      </c>
      <c r="D3783" t="s">
        <v>1491</v>
      </c>
      <c r="E3783">
        <v>124.36</v>
      </c>
    </row>
    <row r="3784" spans="2:5">
      <c r="B3784" s="17">
        <v>42694</v>
      </c>
      <c r="D3784" t="s">
        <v>1491</v>
      </c>
      <c r="E3784">
        <v>32.56</v>
      </c>
    </row>
    <row r="3785" spans="2:5">
      <c r="B3785" s="17">
        <v>42694</v>
      </c>
      <c r="D3785" t="s">
        <v>1491</v>
      </c>
      <c r="E3785">
        <v>46.672000000000004</v>
      </c>
    </row>
    <row r="3786" spans="2:5">
      <c r="B3786" s="17">
        <v>42694</v>
      </c>
      <c r="D3786" t="s">
        <v>1491</v>
      </c>
      <c r="E3786">
        <v>119.83299999999998</v>
      </c>
    </row>
    <row r="3787" spans="2:5">
      <c r="B3787" s="17">
        <v>42694</v>
      </c>
      <c r="D3787" t="s">
        <v>1560</v>
      </c>
      <c r="E3787">
        <v>119.98</v>
      </c>
    </row>
    <row r="3788" spans="2:5">
      <c r="B3788" s="17">
        <v>42694</v>
      </c>
      <c r="D3788" t="s">
        <v>1560</v>
      </c>
      <c r="E3788">
        <v>38.82</v>
      </c>
    </row>
    <row r="3789" spans="2:5">
      <c r="B3789" s="17">
        <v>42694</v>
      </c>
      <c r="D3789" t="s">
        <v>1560</v>
      </c>
      <c r="E3789">
        <v>1141.9379999999999</v>
      </c>
    </row>
    <row r="3790" spans="2:5">
      <c r="B3790" s="17">
        <v>42694</v>
      </c>
      <c r="D3790" t="s">
        <v>1560</v>
      </c>
      <c r="E3790">
        <v>1704.56</v>
      </c>
    </row>
    <row r="3791" spans="2:5">
      <c r="B3791" s="17">
        <v>42694</v>
      </c>
      <c r="D3791" t="s">
        <v>1792</v>
      </c>
      <c r="E3791">
        <v>3.2</v>
      </c>
    </row>
    <row r="3792" spans="2:5">
      <c r="B3792" s="17">
        <v>42694</v>
      </c>
      <c r="D3792" t="s">
        <v>1792</v>
      </c>
      <c r="E3792">
        <v>18.96</v>
      </c>
    </row>
    <row r="3793" spans="2:5">
      <c r="B3793" s="17">
        <v>42694</v>
      </c>
      <c r="D3793" t="s">
        <v>1792</v>
      </c>
      <c r="E3793">
        <v>6.63</v>
      </c>
    </row>
    <row r="3794" spans="2:5">
      <c r="B3794" s="17">
        <v>42694</v>
      </c>
      <c r="D3794" t="s">
        <v>1792</v>
      </c>
      <c r="E3794">
        <v>12.96</v>
      </c>
    </row>
    <row r="3795" spans="2:5">
      <c r="B3795" s="17">
        <v>42694</v>
      </c>
      <c r="D3795" t="s">
        <v>1792</v>
      </c>
      <c r="E3795">
        <v>32.400000000000006</v>
      </c>
    </row>
    <row r="3796" spans="2:5">
      <c r="B3796" s="17">
        <v>42694</v>
      </c>
      <c r="D3796" t="s">
        <v>1792</v>
      </c>
      <c r="E3796">
        <v>18.704000000000001</v>
      </c>
    </row>
    <row r="3797" spans="2:5">
      <c r="B3797" s="17">
        <v>42694</v>
      </c>
      <c r="D3797" t="s">
        <v>1381</v>
      </c>
      <c r="E3797">
        <v>12.672000000000001</v>
      </c>
    </row>
    <row r="3798" spans="2:5">
      <c r="B3798" s="17">
        <v>42694</v>
      </c>
      <c r="D3798" t="s">
        <v>1381</v>
      </c>
      <c r="E3798">
        <v>5.76</v>
      </c>
    </row>
    <row r="3799" spans="2:5">
      <c r="B3799" s="17">
        <v>42694</v>
      </c>
      <c r="D3799" t="s">
        <v>1381</v>
      </c>
      <c r="E3799">
        <v>7.2359999999999998</v>
      </c>
    </row>
    <row r="3800" spans="2:5">
      <c r="B3800" s="17">
        <v>42693</v>
      </c>
      <c r="D3800" t="s">
        <v>1381</v>
      </c>
      <c r="E3800">
        <v>4.8239999999999998</v>
      </c>
    </row>
    <row r="3801" spans="2:5">
      <c r="B3801" s="17">
        <v>42693</v>
      </c>
      <c r="D3801" t="s">
        <v>1381</v>
      </c>
      <c r="E3801">
        <v>91.360000000000014</v>
      </c>
    </row>
    <row r="3802" spans="2:5">
      <c r="B3802" s="17">
        <v>42693</v>
      </c>
      <c r="D3802" t="s">
        <v>905</v>
      </c>
      <c r="E3802">
        <v>130.11199999999999</v>
      </c>
    </row>
    <row r="3803" spans="2:5">
      <c r="B3803" s="17">
        <v>42693</v>
      </c>
      <c r="D3803" t="s">
        <v>905</v>
      </c>
      <c r="E3803">
        <v>99.949999999999989</v>
      </c>
    </row>
    <row r="3804" spans="2:5">
      <c r="B3804" s="17">
        <v>42693</v>
      </c>
      <c r="D3804" t="s">
        <v>905</v>
      </c>
      <c r="E3804">
        <v>29.339999999999996</v>
      </c>
    </row>
    <row r="3805" spans="2:5">
      <c r="B3805" s="17">
        <v>42693</v>
      </c>
      <c r="D3805" t="s">
        <v>905</v>
      </c>
      <c r="E3805">
        <v>36.672000000000004</v>
      </c>
    </row>
    <row r="3806" spans="2:5">
      <c r="B3806" s="17">
        <v>42693</v>
      </c>
      <c r="D3806" t="s">
        <v>905</v>
      </c>
      <c r="E3806">
        <v>1665.62</v>
      </c>
    </row>
    <row r="3807" spans="2:5">
      <c r="B3807" s="17">
        <v>42693</v>
      </c>
      <c r="D3807" t="s">
        <v>1891</v>
      </c>
      <c r="E3807">
        <v>13.360000000000001</v>
      </c>
    </row>
    <row r="3808" spans="2:5">
      <c r="B3808" s="17">
        <v>42693</v>
      </c>
      <c r="D3808" t="s">
        <v>1414</v>
      </c>
      <c r="E3808">
        <v>78.256</v>
      </c>
    </row>
    <row r="3809" spans="2:5">
      <c r="B3809" s="17">
        <v>42693</v>
      </c>
      <c r="D3809" t="s">
        <v>1414</v>
      </c>
      <c r="E3809">
        <v>102.01800000000001</v>
      </c>
    </row>
    <row r="3810" spans="2:5">
      <c r="B3810" s="17">
        <v>42693</v>
      </c>
      <c r="D3810" t="s">
        <v>1884</v>
      </c>
      <c r="E3810">
        <v>6.48</v>
      </c>
    </row>
    <row r="3811" spans="2:5">
      <c r="B3811" s="17">
        <v>42693</v>
      </c>
      <c r="D3811" t="s">
        <v>1884</v>
      </c>
      <c r="E3811">
        <v>6.9840000000000009</v>
      </c>
    </row>
    <row r="3812" spans="2:5">
      <c r="B3812" s="17">
        <v>42693</v>
      </c>
      <c r="D3812" t="s">
        <v>1823</v>
      </c>
      <c r="E3812">
        <v>50.352000000000004</v>
      </c>
    </row>
    <row r="3813" spans="2:5">
      <c r="B3813" s="17">
        <v>42693</v>
      </c>
      <c r="D3813" t="s">
        <v>1150</v>
      </c>
      <c r="E3813">
        <v>34.019999999999996</v>
      </c>
    </row>
    <row r="3814" spans="2:5">
      <c r="B3814" s="17">
        <v>42693</v>
      </c>
      <c r="D3814" t="s">
        <v>1150</v>
      </c>
      <c r="E3814">
        <v>6.63</v>
      </c>
    </row>
    <row r="3815" spans="2:5">
      <c r="B3815" s="17">
        <v>42693</v>
      </c>
      <c r="D3815" t="s">
        <v>1150</v>
      </c>
      <c r="E3815">
        <v>5.88</v>
      </c>
    </row>
    <row r="3816" spans="2:5">
      <c r="B3816" s="17">
        <v>42693</v>
      </c>
      <c r="D3816" t="s">
        <v>1150</v>
      </c>
      <c r="E3816">
        <v>1000.0200000000001</v>
      </c>
    </row>
    <row r="3817" spans="2:5">
      <c r="B3817" s="17">
        <v>42693</v>
      </c>
      <c r="D3817" t="s">
        <v>1150</v>
      </c>
      <c r="E3817">
        <v>69.5</v>
      </c>
    </row>
    <row r="3818" spans="2:5">
      <c r="B3818" s="17">
        <v>42692</v>
      </c>
      <c r="D3818" t="s">
        <v>1525</v>
      </c>
      <c r="E3818">
        <v>166.44</v>
      </c>
    </row>
    <row r="3819" spans="2:5">
      <c r="B3819" s="17">
        <v>42692</v>
      </c>
      <c r="D3819" t="s">
        <v>1525</v>
      </c>
      <c r="E3819">
        <v>71</v>
      </c>
    </row>
    <row r="3820" spans="2:5">
      <c r="B3820" s="17">
        <v>42692</v>
      </c>
      <c r="D3820" t="s">
        <v>1525</v>
      </c>
      <c r="E3820">
        <v>124.36</v>
      </c>
    </row>
    <row r="3821" spans="2:5">
      <c r="B3821" s="17">
        <v>42692</v>
      </c>
      <c r="D3821" t="s">
        <v>780</v>
      </c>
      <c r="E3821">
        <v>23.88</v>
      </c>
    </row>
    <row r="3822" spans="2:5">
      <c r="B3822" s="17">
        <v>42692</v>
      </c>
      <c r="D3822" t="s">
        <v>780</v>
      </c>
      <c r="E3822">
        <v>15.92</v>
      </c>
    </row>
    <row r="3823" spans="2:5">
      <c r="B3823" s="17">
        <v>42692</v>
      </c>
      <c r="D3823" t="s">
        <v>780</v>
      </c>
      <c r="E3823">
        <v>375.34</v>
      </c>
    </row>
    <row r="3824" spans="2:5">
      <c r="B3824" s="17">
        <v>42692</v>
      </c>
      <c r="D3824" t="s">
        <v>780</v>
      </c>
      <c r="E3824">
        <v>839.43000000000006</v>
      </c>
    </row>
    <row r="3825" spans="2:5">
      <c r="B3825" s="17">
        <v>42692</v>
      </c>
      <c r="D3825" t="s">
        <v>780</v>
      </c>
      <c r="E3825">
        <v>7.8239999999999998</v>
      </c>
    </row>
    <row r="3826" spans="2:5">
      <c r="B3826" s="17">
        <v>42692</v>
      </c>
      <c r="D3826" t="s">
        <v>648</v>
      </c>
      <c r="E3826">
        <v>1586.6899999999998</v>
      </c>
    </row>
    <row r="3827" spans="2:5">
      <c r="B3827" s="17">
        <v>42692</v>
      </c>
      <c r="D3827" t="s">
        <v>648</v>
      </c>
      <c r="E3827">
        <v>84.99</v>
      </c>
    </row>
    <row r="3828" spans="2:5">
      <c r="B3828" s="17">
        <v>42692</v>
      </c>
      <c r="D3828" t="s">
        <v>648</v>
      </c>
      <c r="E3828">
        <v>411.8</v>
      </c>
    </row>
    <row r="3829" spans="2:5">
      <c r="B3829" s="17">
        <v>42692</v>
      </c>
      <c r="D3829" t="s">
        <v>648</v>
      </c>
      <c r="E3829">
        <v>4.17</v>
      </c>
    </row>
    <row r="3830" spans="2:5">
      <c r="B3830" s="17">
        <v>42691</v>
      </c>
      <c r="D3830" t="s">
        <v>648</v>
      </c>
      <c r="E3830">
        <v>67.040000000000006</v>
      </c>
    </row>
    <row r="3831" spans="2:5">
      <c r="B3831" s="17">
        <v>42691</v>
      </c>
      <c r="D3831" t="s">
        <v>1403</v>
      </c>
      <c r="E3831">
        <v>37.32</v>
      </c>
    </row>
    <row r="3832" spans="2:5">
      <c r="B3832" s="17">
        <v>42691</v>
      </c>
      <c r="D3832" t="s">
        <v>1403</v>
      </c>
      <c r="E3832">
        <v>18.45</v>
      </c>
    </row>
    <row r="3833" spans="2:5">
      <c r="B3833" s="17">
        <v>42691</v>
      </c>
      <c r="D3833" t="s">
        <v>1403</v>
      </c>
      <c r="E3833">
        <v>1.6410000000000002</v>
      </c>
    </row>
    <row r="3834" spans="2:5">
      <c r="B3834" s="17">
        <v>42690</v>
      </c>
      <c r="D3834" t="s">
        <v>1403</v>
      </c>
      <c r="E3834">
        <v>629.95799999999997</v>
      </c>
    </row>
    <row r="3835" spans="2:5">
      <c r="B3835" s="17">
        <v>42690</v>
      </c>
      <c r="D3835" t="s">
        <v>1376</v>
      </c>
      <c r="E3835">
        <v>695.16</v>
      </c>
    </row>
    <row r="3836" spans="2:5">
      <c r="B3836" s="17">
        <v>42689</v>
      </c>
      <c r="D3836" t="s">
        <v>1376</v>
      </c>
      <c r="E3836">
        <v>25.920000000000005</v>
      </c>
    </row>
    <row r="3837" spans="2:5">
      <c r="B3837" s="17">
        <v>42689</v>
      </c>
      <c r="D3837" t="s">
        <v>1376</v>
      </c>
      <c r="E3837">
        <v>6.3299999999999992</v>
      </c>
    </row>
    <row r="3838" spans="2:5">
      <c r="B3838" s="17">
        <v>42689</v>
      </c>
      <c r="D3838" t="s">
        <v>1376</v>
      </c>
      <c r="E3838">
        <v>75.88</v>
      </c>
    </row>
    <row r="3839" spans="2:5">
      <c r="B3839" s="17">
        <v>42689</v>
      </c>
      <c r="D3839" t="s">
        <v>1376</v>
      </c>
      <c r="E3839">
        <v>141.96</v>
      </c>
    </row>
    <row r="3840" spans="2:5">
      <c r="B3840" s="17">
        <v>42689</v>
      </c>
      <c r="D3840" t="s">
        <v>342</v>
      </c>
      <c r="E3840">
        <v>182.55</v>
      </c>
    </row>
    <row r="3841" spans="2:5">
      <c r="B3841" s="17">
        <v>42688</v>
      </c>
      <c r="D3841" t="s">
        <v>342</v>
      </c>
      <c r="E3841">
        <v>474.95</v>
      </c>
    </row>
    <row r="3842" spans="2:5">
      <c r="B3842" s="17">
        <v>42688</v>
      </c>
      <c r="D3842" t="s">
        <v>342</v>
      </c>
      <c r="E3842">
        <v>607.52</v>
      </c>
    </row>
    <row r="3843" spans="2:5">
      <c r="B3843" s="17">
        <v>42688</v>
      </c>
      <c r="D3843" t="s">
        <v>1613</v>
      </c>
      <c r="E3843">
        <v>31.16</v>
      </c>
    </row>
    <row r="3844" spans="2:5">
      <c r="B3844" s="17">
        <v>42688</v>
      </c>
      <c r="D3844" t="s">
        <v>1613</v>
      </c>
      <c r="E3844">
        <v>934.9559999999999</v>
      </c>
    </row>
    <row r="3845" spans="2:5">
      <c r="B3845" s="17">
        <v>42688</v>
      </c>
      <c r="D3845" t="s">
        <v>1613</v>
      </c>
      <c r="E3845">
        <v>46.864000000000004</v>
      </c>
    </row>
    <row r="3846" spans="2:5">
      <c r="B3846" s="17">
        <v>42688</v>
      </c>
      <c r="D3846" t="s">
        <v>1613</v>
      </c>
      <c r="E3846">
        <v>26.160000000000004</v>
      </c>
    </row>
    <row r="3847" spans="2:5">
      <c r="B3847" s="17">
        <v>42688</v>
      </c>
      <c r="D3847" t="s">
        <v>1613</v>
      </c>
      <c r="E3847">
        <v>23.128</v>
      </c>
    </row>
    <row r="3848" spans="2:5">
      <c r="B3848" s="17">
        <v>42688</v>
      </c>
      <c r="D3848" t="s">
        <v>1613</v>
      </c>
      <c r="E3848">
        <v>59.24</v>
      </c>
    </row>
    <row r="3849" spans="2:5">
      <c r="B3849" s="17">
        <v>42688</v>
      </c>
      <c r="D3849" t="s">
        <v>1562</v>
      </c>
      <c r="E3849">
        <v>13.48</v>
      </c>
    </row>
    <row r="3850" spans="2:5">
      <c r="B3850" s="17">
        <v>42688</v>
      </c>
      <c r="D3850" t="s">
        <v>1562</v>
      </c>
      <c r="E3850">
        <v>181.95</v>
      </c>
    </row>
    <row r="3851" spans="2:5">
      <c r="B3851" s="17">
        <v>42688</v>
      </c>
      <c r="D3851" t="s">
        <v>1562</v>
      </c>
      <c r="E3851">
        <v>28.672000000000004</v>
      </c>
    </row>
    <row r="3852" spans="2:5">
      <c r="B3852" s="17">
        <v>42688</v>
      </c>
      <c r="D3852" t="s">
        <v>1562</v>
      </c>
      <c r="E3852">
        <v>29.311999999999994</v>
      </c>
    </row>
    <row r="3853" spans="2:5">
      <c r="B3853" s="17">
        <v>42688</v>
      </c>
      <c r="D3853" t="s">
        <v>1562</v>
      </c>
      <c r="E3853">
        <v>72.703999999999994</v>
      </c>
    </row>
    <row r="3854" spans="2:5">
      <c r="B3854" s="17">
        <v>42688</v>
      </c>
      <c r="D3854" t="s">
        <v>564</v>
      </c>
      <c r="E3854">
        <v>12.263999999999999</v>
      </c>
    </row>
    <row r="3855" spans="2:5">
      <c r="B3855" s="17">
        <v>42688</v>
      </c>
      <c r="D3855" t="s">
        <v>564</v>
      </c>
      <c r="E3855">
        <v>62.04</v>
      </c>
    </row>
    <row r="3856" spans="2:5">
      <c r="B3856" s="17">
        <v>42688</v>
      </c>
      <c r="D3856" t="s">
        <v>564</v>
      </c>
      <c r="E3856">
        <v>494.97</v>
      </c>
    </row>
    <row r="3857" spans="2:5">
      <c r="B3857" s="17">
        <v>42687</v>
      </c>
      <c r="D3857" t="s">
        <v>564</v>
      </c>
      <c r="E3857">
        <v>367.96</v>
      </c>
    </row>
    <row r="3858" spans="2:5">
      <c r="B3858" s="17">
        <v>42687</v>
      </c>
      <c r="D3858" t="s">
        <v>564</v>
      </c>
      <c r="E3858">
        <v>44.96</v>
      </c>
    </row>
    <row r="3859" spans="2:5">
      <c r="B3859" s="17">
        <v>42687</v>
      </c>
      <c r="D3859" t="s">
        <v>1467</v>
      </c>
      <c r="E3859">
        <v>182.94</v>
      </c>
    </row>
    <row r="3860" spans="2:5">
      <c r="B3860" s="17">
        <v>42687</v>
      </c>
      <c r="D3860" t="s">
        <v>1467</v>
      </c>
      <c r="E3860">
        <v>13.839999999999998</v>
      </c>
    </row>
    <row r="3861" spans="2:5">
      <c r="B3861" s="17">
        <v>42687</v>
      </c>
      <c r="D3861" t="s">
        <v>1467</v>
      </c>
      <c r="E3861">
        <v>175.87200000000001</v>
      </c>
    </row>
    <row r="3862" spans="2:5">
      <c r="B3862" s="17">
        <v>42687</v>
      </c>
      <c r="D3862" t="s">
        <v>244</v>
      </c>
      <c r="E3862">
        <v>27.46</v>
      </c>
    </row>
    <row r="3863" spans="2:5">
      <c r="B3863" s="17">
        <v>42687</v>
      </c>
      <c r="D3863" t="s">
        <v>244</v>
      </c>
      <c r="E3863">
        <v>35.910000000000004</v>
      </c>
    </row>
    <row r="3864" spans="2:5">
      <c r="B3864" s="17">
        <v>42687</v>
      </c>
      <c r="D3864" t="s">
        <v>244</v>
      </c>
      <c r="E3864">
        <v>17.880000000000003</v>
      </c>
    </row>
    <row r="3865" spans="2:5">
      <c r="B3865" s="17">
        <v>42687</v>
      </c>
      <c r="D3865" t="s">
        <v>244</v>
      </c>
      <c r="E3865">
        <v>1003.6200000000001</v>
      </c>
    </row>
    <row r="3866" spans="2:5">
      <c r="B3866" s="17">
        <v>42687</v>
      </c>
      <c r="D3866" t="s">
        <v>244</v>
      </c>
      <c r="E3866">
        <v>14.376000000000001</v>
      </c>
    </row>
    <row r="3867" spans="2:5">
      <c r="B3867" s="17">
        <v>42687</v>
      </c>
      <c r="D3867" t="s">
        <v>244</v>
      </c>
      <c r="E3867">
        <v>37.93</v>
      </c>
    </row>
    <row r="3868" spans="2:5">
      <c r="B3868" s="17">
        <v>42687</v>
      </c>
      <c r="D3868" t="s">
        <v>244</v>
      </c>
      <c r="E3868">
        <v>479.97</v>
      </c>
    </row>
    <row r="3869" spans="2:5">
      <c r="B3869" s="17">
        <v>42687</v>
      </c>
      <c r="D3869" t="s">
        <v>1440</v>
      </c>
      <c r="E3869">
        <v>2879.9520000000002</v>
      </c>
    </row>
    <row r="3870" spans="2:5">
      <c r="B3870" s="17">
        <v>42686</v>
      </c>
      <c r="D3870" t="s">
        <v>913</v>
      </c>
      <c r="E3870">
        <v>90.480000000000018</v>
      </c>
    </row>
    <row r="3871" spans="2:5">
      <c r="B3871" s="17">
        <v>42686</v>
      </c>
      <c r="D3871" t="s">
        <v>913</v>
      </c>
      <c r="E3871">
        <v>8.5440000000000005</v>
      </c>
    </row>
    <row r="3872" spans="2:5">
      <c r="B3872" s="17">
        <v>42686</v>
      </c>
      <c r="D3872" t="s">
        <v>913</v>
      </c>
      <c r="E3872">
        <v>842.37600000000009</v>
      </c>
    </row>
    <row r="3873" spans="2:5">
      <c r="B3873" s="17">
        <v>42686</v>
      </c>
      <c r="D3873" t="s">
        <v>263</v>
      </c>
      <c r="E3873">
        <v>21.312000000000005</v>
      </c>
    </row>
    <row r="3874" spans="2:5">
      <c r="B3874" s="17">
        <v>42686</v>
      </c>
      <c r="D3874" t="s">
        <v>263</v>
      </c>
      <c r="E3874">
        <v>19.440000000000001</v>
      </c>
    </row>
    <row r="3875" spans="2:5">
      <c r="B3875" s="17">
        <v>42686</v>
      </c>
      <c r="D3875" t="s">
        <v>263</v>
      </c>
      <c r="E3875">
        <v>12.3</v>
      </c>
    </row>
    <row r="3876" spans="2:5">
      <c r="B3876" s="17">
        <v>42686</v>
      </c>
      <c r="D3876" t="s">
        <v>263</v>
      </c>
      <c r="E3876">
        <v>41.96</v>
      </c>
    </row>
    <row r="3877" spans="2:5">
      <c r="B3877" s="17">
        <v>42686</v>
      </c>
      <c r="D3877" t="s">
        <v>263</v>
      </c>
      <c r="E3877">
        <v>191.98400000000001</v>
      </c>
    </row>
    <row r="3878" spans="2:5">
      <c r="B3878" s="17">
        <v>42686</v>
      </c>
      <c r="D3878" t="s">
        <v>263</v>
      </c>
      <c r="E3878">
        <v>95.94</v>
      </c>
    </row>
    <row r="3879" spans="2:5">
      <c r="B3879" s="17">
        <v>42686</v>
      </c>
      <c r="D3879" t="s">
        <v>1645</v>
      </c>
      <c r="E3879">
        <v>158.928</v>
      </c>
    </row>
    <row r="3880" spans="2:5">
      <c r="B3880" s="17">
        <v>42686</v>
      </c>
      <c r="D3880" t="s">
        <v>1645</v>
      </c>
      <c r="E3880">
        <v>13.023000000000001</v>
      </c>
    </row>
    <row r="3881" spans="2:5">
      <c r="B3881" s="17">
        <v>42686</v>
      </c>
      <c r="D3881" t="s">
        <v>1321</v>
      </c>
      <c r="E3881">
        <v>39.311999999999998</v>
      </c>
    </row>
    <row r="3882" spans="2:5">
      <c r="B3882" s="17">
        <v>42686</v>
      </c>
      <c r="D3882" t="s">
        <v>1321</v>
      </c>
      <c r="E3882">
        <v>96.08</v>
      </c>
    </row>
    <row r="3883" spans="2:5">
      <c r="B3883" s="17">
        <v>42686</v>
      </c>
      <c r="D3883" t="s">
        <v>1321</v>
      </c>
      <c r="E3883">
        <v>3.62</v>
      </c>
    </row>
    <row r="3884" spans="2:5">
      <c r="B3884" s="17">
        <v>42686</v>
      </c>
      <c r="D3884" t="s">
        <v>1321</v>
      </c>
      <c r="E3884">
        <v>629.09999999999991</v>
      </c>
    </row>
    <row r="3885" spans="2:5">
      <c r="B3885" s="17">
        <v>42686</v>
      </c>
      <c r="D3885" t="s">
        <v>1321</v>
      </c>
      <c r="E3885">
        <v>90.48</v>
      </c>
    </row>
    <row r="3886" spans="2:5">
      <c r="B3886" s="17">
        <v>42685</v>
      </c>
      <c r="D3886" t="s">
        <v>351</v>
      </c>
      <c r="E3886">
        <v>153.55199999999999</v>
      </c>
    </row>
    <row r="3887" spans="2:5">
      <c r="B3887" s="17">
        <v>42685</v>
      </c>
      <c r="D3887" t="s">
        <v>1670</v>
      </c>
      <c r="E3887">
        <v>3.8560000000000003</v>
      </c>
    </row>
    <row r="3888" spans="2:5">
      <c r="B3888" s="17">
        <v>42685</v>
      </c>
      <c r="D3888" t="s">
        <v>1670</v>
      </c>
      <c r="E3888">
        <v>39.581999999999987</v>
      </c>
    </row>
    <row r="3889" spans="2:5">
      <c r="B3889" s="17">
        <v>42685</v>
      </c>
      <c r="D3889" t="s">
        <v>900</v>
      </c>
      <c r="E3889">
        <v>44.688000000000002</v>
      </c>
    </row>
    <row r="3890" spans="2:5">
      <c r="B3890" s="17">
        <v>42685</v>
      </c>
      <c r="D3890" t="s">
        <v>900</v>
      </c>
      <c r="E3890">
        <v>31.744</v>
      </c>
    </row>
    <row r="3891" spans="2:5">
      <c r="B3891" s="17">
        <v>42685</v>
      </c>
      <c r="D3891" t="s">
        <v>900</v>
      </c>
      <c r="E3891">
        <v>40.97999999999999</v>
      </c>
    </row>
    <row r="3892" spans="2:5">
      <c r="B3892" s="17">
        <v>42685</v>
      </c>
      <c r="D3892" t="s">
        <v>900</v>
      </c>
      <c r="E3892">
        <v>3.1679999999999993</v>
      </c>
    </row>
    <row r="3893" spans="2:5">
      <c r="B3893" s="17">
        <v>42685</v>
      </c>
      <c r="D3893" t="s">
        <v>541</v>
      </c>
      <c r="E3893">
        <v>21</v>
      </c>
    </row>
    <row r="3894" spans="2:5">
      <c r="B3894" s="17">
        <v>42685</v>
      </c>
      <c r="D3894" t="s">
        <v>541</v>
      </c>
      <c r="E3894">
        <v>120</v>
      </c>
    </row>
    <row r="3895" spans="2:5">
      <c r="B3895" s="17">
        <v>42685</v>
      </c>
      <c r="D3895" t="s">
        <v>541</v>
      </c>
      <c r="E3895">
        <v>31.799999999999997</v>
      </c>
    </row>
    <row r="3896" spans="2:5">
      <c r="B3896" s="17">
        <v>42685</v>
      </c>
      <c r="D3896" t="s">
        <v>541</v>
      </c>
      <c r="E3896">
        <v>44.75</v>
      </c>
    </row>
    <row r="3897" spans="2:5">
      <c r="B3897" s="17">
        <v>42685</v>
      </c>
      <c r="D3897" t="s">
        <v>541</v>
      </c>
      <c r="E3897">
        <v>3.1320000000000001</v>
      </c>
    </row>
    <row r="3898" spans="2:5">
      <c r="B3898" s="17">
        <v>42685</v>
      </c>
      <c r="D3898" t="s">
        <v>685</v>
      </c>
      <c r="E3898">
        <v>750.68</v>
      </c>
    </row>
    <row r="3899" spans="2:5">
      <c r="B3899" s="17">
        <v>42685</v>
      </c>
      <c r="D3899" t="s">
        <v>685</v>
      </c>
      <c r="E3899">
        <v>16.032</v>
      </c>
    </row>
    <row r="3900" spans="2:5">
      <c r="B3900" s="17">
        <v>42685</v>
      </c>
      <c r="D3900" t="s">
        <v>685</v>
      </c>
      <c r="E3900">
        <v>164.38800000000001</v>
      </c>
    </row>
    <row r="3901" spans="2:5">
      <c r="B3901" s="17">
        <v>42685</v>
      </c>
      <c r="D3901" t="s">
        <v>766</v>
      </c>
      <c r="E3901">
        <v>13.247999999999999</v>
      </c>
    </row>
    <row r="3902" spans="2:5">
      <c r="B3902" s="17">
        <v>42685</v>
      </c>
      <c r="D3902" t="s">
        <v>766</v>
      </c>
      <c r="E3902">
        <v>725.84</v>
      </c>
    </row>
    <row r="3903" spans="2:5">
      <c r="B3903" s="17">
        <v>42685</v>
      </c>
      <c r="D3903" t="s">
        <v>766</v>
      </c>
      <c r="E3903">
        <v>72.45</v>
      </c>
    </row>
    <row r="3904" spans="2:5">
      <c r="B3904" s="17">
        <v>42685</v>
      </c>
      <c r="D3904" t="s">
        <v>766</v>
      </c>
      <c r="E3904">
        <v>13.96</v>
      </c>
    </row>
    <row r="3905" spans="2:5">
      <c r="B3905" s="17">
        <v>42684</v>
      </c>
      <c r="D3905" t="s">
        <v>766</v>
      </c>
      <c r="E3905">
        <v>33.264000000000003</v>
      </c>
    </row>
    <row r="3906" spans="2:5">
      <c r="B3906" s="17">
        <v>42684</v>
      </c>
      <c r="D3906" t="s">
        <v>475</v>
      </c>
      <c r="E3906">
        <v>14.850000000000001</v>
      </c>
    </row>
    <row r="3907" spans="2:5">
      <c r="B3907" s="17">
        <v>42684</v>
      </c>
      <c r="D3907" t="s">
        <v>475</v>
      </c>
      <c r="E3907">
        <v>27.168000000000003</v>
      </c>
    </row>
    <row r="3908" spans="2:5">
      <c r="B3908" s="17">
        <v>42684</v>
      </c>
      <c r="D3908" t="s">
        <v>475</v>
      </c>
      <c r="E3908">
        <v>78.852799999999988</v>
      </c>
    </row>
    <row r="3909" spans="2:5">
      <c r="B3909" s="17">
        <v>42684</v>
      </c>
      <c r="D3909" t="s">
        <v>475</v>
      </c>
      <c r="E3909">
        <v>7.4</v>
      </c>
    </row>
    <row r="3910" spans="2:5">
      <c r="B3910" s="17">
        <v>42684</v>
      </c>
      <c r="D3910" t="s">
        <v>475</v>
      </c>
      <c r="E3910">
        <v>64.784000000000006</v>
      </c>
    </row>
    <row r="3911" spans="2:5">
      <c r="B3911" s="17">
        <v>42684</v>
      </c>
      <c r="D3911" t="s">
        <v>1796</v>
      </c>
      <c r="E3911">
        <v>1.1880000000000002</v>
      </c>
    </row>
    <row r="3912" spans="2:5">
      <c r="B3912" s="17">
        <v>42684</v>
      </c>
      <c r="D3912" t="s">
        <v>1796</v>
      </c>
      <c r="E3912">
        <v>1.6799999999999995</v>
      </c>
    </row>
    <row r="3913" spans="2:5">
      <c r="B3913" s="17">
        <v>42684</v>
      </c>
      <c r="D3913" t="s">
        <v>1481</v>
      </c>
      <c r="E3913">
        <v>7.968</v>
      </c>
    </row>
    <row r="3914" spans="2:5">
      <c r="B3914" s="17">
        <v>42684</v>
      </c>
      <c r="D3914" t="s">
        <v>1481</v>
      </c>
      <c r="E3914">
        <v>113.372</v>
      </c>
    </row>
    <row r="3915" spans="2:5">
      <c r="B3915" s="17">
        <v>42684</v>
      </c>
      <c r="D3915" t="s">
        <v>1481</v>
      </c>
      <c r="E3915">
        <v>2.9600000000000004</v>
      </c>
    </row>
    <row r="3916" spans="2:5">
      <c r="B3916" s="17">
        <v>42684</v>
      </c>
      <c r="D3916" t="s">
        <v>1481</v>
      </c>
      <c r="E3916">
        <v>2.48</v>
      </c>
    </row>
    <row r="3917" spans="2:5">
      <c r="B3917" s="17">
        <v>42684</v>
      </c>
      <c r="D3917" t="s">
        <v>1481</v>
      </c>
      <c r="E3917">
        <v>25.9</v>
      </c>
    </row>
    <row r="3918" spans="2:5">
      <c r="B3918" s="17">
        <v>42684</v>
      </c>
      <c r="D3918" t="s">
        <v>1481</v>
      </c>
      <c r="E3918">
        <v>118.25</v>
      </c>
    </row>
    <row r="3919" spans="2:5">
      <c r="B3919" s="17">
        <v>42684</v>
      </c>
      <c r="D3919" t="s">
        <v>1742</v>
      </c>
      <c r="E3919">
        <v>4.28</v>
      </c>
    </row>
    <row r="3920" spans="2:5">
      <c r="B3920" s="17">
        <v>42684</v>
      </c>
      <c r="D3920" t="s">
        <v>1742</v>
      </c>
      <c r="E3920">
        <v>393.56799999999998</v>
      </c>
    </row>
    <row r="3921" spans="2:5">
      <c r="B3921" s="17">
        <v>42684</v>
      </c>
      <c r="D3921" t="s">
        <v>1742</v>
      </c>
      <c r="E3921">
        <v>6.0299999999999994</v>
      </c>
    </row>
    <row r="3922" spans="2:5">
      <c r="B3922" s="17">
        <v>42684</v>
      </c>
      <c r="D3922" t="s">
        <v>1742</v>
      </c>
      <c r="E3922">
        <v>101.12</v>
      </c>
    </row>
    <row r="3923" spans="2:5">
      <c r="B3923" s="17">
        <v>42684</v>
      </c>
      <c r="D3923" t="s">
        <v>1742</v>
      </c>
      <c r="E3923">
        <v>19.600000000000001</v>
      </c>
    </row>
    <row r="3924" spans="2:5">
      <c r="B3924" s="17">
        <v>42684</v>
      </c>
      <c r="D3924" t="s">
        <v>1008</v>
      </c>
      <c r="E3924">
        <v>68.459999999999994</v>
      </c>
    </row>
    <row r="3925" spans="2:5">
      <c r="B3925" s="17">
        <v>42684</v>
      </c>
      <c r="D3925" t="s">
        <v>1008</v>
      </c>
      <c r="E3925">
        <v>1207.8399999999999</v>
      </c>
    </row>
    <row r="3926" spans="2:5">
      <c r="B3926" s="17">
        <v>42684</v>
      </c>
      <c r="D3926" t="s">
        <v>1008</v>
      </c>
      <c r="E3926">
        <v>12.53</v>
      </c>
    </row>
    <row r="3927" spans="2:5">
      <c r="B3927" s="17">
        <v>42684</v>
      </c>
      <c r="D3927" t="s">
        <v>1008</v>
      </c>
      <c r="E3927">
        <v>34.58</v>
      </c>
    </row>
    <row r="3928" spans="2:5">
      <c r="B3928" s="17">
        <v>42684</v>
      </c>
      <c r="D3928" t="s">
        <v>269</v>
      </c>
      <c r="E3928">
        <v>90.93</v>
      </c>
    </row>
    <row r="3929" spans="2:5">
      <c r="B3929" s="17">
        <v>42684</v>
      </c>
      <c r="D3929" t="s">
        <v>269</v>
      </c>
      <c r="E3929">
        <v>52.775999999999996</v>
      </c>
    </row>
    <row r="3930" spans="2:5">
      <c r="B3930" s="17">
        <v>42684</v>
      </c>
      <c r="D3930" t="s">
        <v>269</v>
      </c>
      <c r="E3930">
        <v>13.904</v>
      </c>
    </row>
    <row r="3931" spans="2:5">
      <c r="B3931" s="17">
        <v>42684</v>
      </c>
      <c r="D3931" t="s">
        <v>269</v>
      </c>
      <c r="E3931">
        <v>20.72</v>
      </c>
    </row>
    <row r="3932" spans="2:5">
      <c r="B3932" s="17">
        <v>42684</v>
      </c>
      <c r="D3932" t="s">
        <v>269</v>
      </c>
      <c r="E3932">
        <v>3.024</v>
      </c>
    </row>
    <row r="3933" spans="2:5">
      <c r="B3933" s="17">
        <v>42684</v>
      </c>
      <c r="D3933" t="s">
        <v>269</v>
      </c>
      <c r="E3933">
        <v>3.64</v>
      </c>
    </row>
    <row r="3934" spans="2:5">
      <c r="B3934" s="17">
        <v>42684</v>
      </c>
      <c r="D3934" t="s">
        <v>269</v>
      </c>
      <c r="E3934">
        <v>159.768</v>
      </c>
    </row>
    <row r="3935" spans="2:5">
      <c r="B3935" s="17">
        <v>42684</v>
      </c>
      <c r="D3935" t="s">
        <v>269</v>
      </c>
      <c r="E3935">
        <v>47.616</v>
      </c>
    </row>
    <row r="3936" spans="2:5">
      <c r="B3936" s="17">
        <v>42684</v>
      </c>
      <c r="D3936" t="s">
        <v>269</v>
      </c>
      <c r="E3936">
        <v>23.480000000000004</v>
      </c>
    </row>
    <row r="3937" spans="2:5">
      <c r="B3937" s="17">
        <v>42684</v>
      </c>
      <c r="D3937" t="s">
        <v>269</v>
      </c>
      <c r="E3937">
        <v>38.376000000000005</v>
      </c>
    </row>
    <row r="3938" spans="2:5">
      <c r="B3938" s="17">
        <v>42684</v>
      </c>
      <c r="D3938" t="s">
        <v>269</v>
      </c>
      <c r="E3938">
        <v>156.512</v>
      </c>
    </row>
    <row r="3939" spans="2:5">
      <c r="B3939" s="17">
        <v>42684</v>
      </c>
      <c r="D3939" t="s">
        <v>249</v>
      </c>
      <c r="E3939">
        <v>6.9239999999999977</v>
      </c>
    </row>
    <row r="3940" spans="2:5">
      <c r="B3940" s="17">
        <v>42683</v>
      </c>
      <c r="D3940" t="s">
        <v>249</v>
      </c>
      <c r="E3940">
        <v>5.9039999999999999</v>
      </c>
    </row>
    <row r="3941" spans="2:5">
      <c r="B3941" s="17">
        <v>42682</v>
      </c>
      <c r="D3941" t="s">
        <v>249</v>
      </c>
      <c r="E3941">
        <v>13.712000000000002</v>
      </c>
    </row>
    <row r="3942" spans="2:5">
      <c r="B3942" s="17">
        <v>42682</v>
      </c>
      <c r="D3942" t="s">
        <v>249</v>
      </c>
      <c r="E3942">
        <v>481.32</v>
      </c>
    </row>
    <row r="3943" spans="2:5">
      <c r="B3943" s="17">
        <v>42681</v>
      </c>
      <c r="D3943" t="s">
        <v>249</v>
      </c>
      <c r="E3943">
        <v>6.3840000000000003</v>
      </c>
    </row>
    <row r="3944" spans="2:5">
      <c r="B3944" s="17">
        <v>42681</v>
      </c>
      <c r="D3944" t="s">
        <v>249</v>
      </c>
      <c r="E3944">
        <v>170.78599999999997</v>
      </c>
    </row>
    <row r="3945" spans="2:5">
      <c r="B3945" s="17">
        <v>42681</v>
      </c>
      <c r="D3945" t="s">
        <v>249</v>
      </c>
      <c r="E3945">
        <v>72.224000000000004</v>
      </c>
    </row>
    <row r="3946" spans="2:5">
      <c r="B3946" s="17">
        <v>42681</v>
      </c>
      <c r="D3946" t="s">
        <v>249</v>
      </c>
      <c r="E3946">
        <v>754.44999999999993</v>
      </c>
    </row>
    <row r="3947" spans="2:5">
      <c r="B3947" s="17">
        <v>42681</v>
      </c>
      <c r="D3947" t="s">
        <v>249</v>
      </c>
      <c r="E3947">
        <v>186.048</v>
      </c>
    </row>
    <row r="3948" spans="2:5">
      <c r="B3948" s="17">
        <v>42681</v>
      </c>
      <c r="D3948" t="s">
        <v>249</v>
      </c>
      <c r="E3948">
        <v>38.088000000000001</v>
      </c>
    </row>
    <row r="3949" spans="2:5">
      <c r="B3949" s="17">
        <v>42681</v>
      </c>
      <c r="D3949" t="s">
        <v>396</v>
      </c>
      <c r="E3949">
        <v>2.8080000000000007</v>
      </c>
    </row>
    <row r="3950" spans="2:5">
      <c r="B3950" s="17">
        <v>42681</v>
      </c>
      <c r="D3950" t="s">
        <v>396</v>
      </c>
      <c r="E3950">
        <v>70.56</v>
      </c>
    </row>
    <row r="3951" spans="2:5">
      <c r="B3951" s="17">
        <v>42681</v>
      </c>
      <c r="D3951" t="s">
        <v>396</v>
      </c>
      <c r="E3951">
        <v>81.96</v>
      </c>
    </row>
    <row r="3952" spans="2:5">
      <c r="B3952" s="17">
        <v>42681</v>
      </c>
      <c r="D3952" t="s">
        <v>396</v>
      </c>
      <c r="E3952">
        <v>11.231999999999999</v>
      </c>
    </row>
    <row r="3953" spans="2:5">
      <c r="B3953" s="17">
        <v>42681</v>
      </c>
      <c r="D3953" t="s">
        <v>396</v>
      </c>
      <c r="E3953">
        <v>27.792000000000002</v>
      </c>
    </row>
    <row r="3954" spans="2:5">
      <c r="B3954" s="17">
        <v>42681</v>
      </c>
      <c r="D3954" t="s">
        <v>396</v>
      </c>
      <c r="E3954">
        <v>37.408000000000001</v>
      </c>
    </row>
    <row r="3955" spans="2:5">
      <c r="B3955" s="17">
        <v>42681</v>
      </c>
      <c r="D3955" t="s">
        <v>396</v>
      </c>
      <c r="E3955">
        <v>25.344000000000001</v>
      </c>
    </row>
    <row r="3956" spans="2:5">
      <c r="B3956" s="17">
        <v>42681</v>
      </c>
      <c r="D3956" t="s">
        <v>396</v>
      </c>
      <c r="E3956">
        <v>14.03</v>
      </c>
    </row>
    <row r="3957" spans="2:5">
      <c r="B3957" s="17">
        <v>42681</v>
      </c>
      <c r="D3957" t="s">
        <v>396</v>
      </c>
      <c r="E3957">
        <v>27.96</v>
      </c>
    </row>
    <row r="3958" spans="2:5">
      <c r="B3958" s="17">
        <v>42681</v>
      </c>
      <c r="D3958" t="s">
        <v>478</v>
      </c>
      <c r="E3958">
        <v>845.48799999999994</v>
      </c>
    </row>
    <row r="3959" spans="2:5">
      <c r="B3959" s="17">
        <v>42681</v>
      </c>
      <c r="D3959" t="s">
        <v>478</v>
      </c>
      <c r="E3959">
        <v>10.368000000000002</v>
      </c>
    </row>
    <row r="3960" spans="2:5">
      <c r="B3960" s="17">
        <v>42681</v>
      </c>
      <c r="D3960" t="s">
        <v>478</v>
      </c>
      <c r="E3960">
        <v>23.680000000000003</v>
      </c>
    </row>
    <row r="3961" spans="2:5">
      <c r="B3961" s="17">
        <v>42681</v>
      </c>
      <c r="D3961" t="s">
        <v>478</v>
      </c>
      <c r="E3961">
        <v>40</v>
      </c>
    </row>
    <row r="3962" spans="2:5">
      <c r="B3962" s="17">
        <v>42680</v>
      </c>
      <c r="D3962" t="s">
        <v>478</v>
      </c>
      <c r="E3962">
        <v>20.16</v>
      </c>
    </row>
    <row r="3963" spans="2:5">
      <c r="B3963" s="17">
        <v>42680</v>
      </c>
      <c r="D3963" t="s">
        <v>206</v>
      </c>
      <c r="E3963">
        <v>17.184000000000001</v>
      </c>
    </row>
    <row r="3964" spans="2:5">
      <c r="B3964" s="17">
        <v>42680</v>
      </c>
      <c r="D3964" t="s">
        <v>206</v>
      </c>
      <c r="E3964">
        <v>2.61</v>
      </c>
    </row>
    <row r="3965" spans="2:5">
      <c r="B3965" s="17">
        <v>42680</v>
      </c>
      <c r="D3965" t="s">
        <v>206</v>
      </c>
      <c r="E3965">
        <v>33.9</v>
      </c>
    </row>
    <row r="3966" spans="2:5">
      <c r="B3966" s="17">
        <v>42680</v>
      </c>
      <c r="D3966" t="s">
        <v>206</v>
      </c>
      <c r="E3966">
        <v>89.97</v>
      </c>
    </row>
    <row r="3967" spans="2:5">
      <c r="B3967" s="17">
        <v>42680</v>
      </c>
      <c r="D3967" t="s">
        <v>206</v>
      </c>
      <c r="E3967">
        <v>18.72</v>
      </c>
    </row>
    <row r="3968" spans="2:5">
      <c r="B3968" s="17">
        <v>42680</v>
      </c>
      <c r="D3968" t="s">
        <v>206</v>
      </c>
      <c r="E3968">
        <v>11.328000000000001</v>
      </c>
    </row>
    <row r="3969" spans="2:5">
      <c r="B3969" s="17">
        <v>42679</v>
      </c>
      <c r="D3969" t="s">
        <v>206</v>
      </c>
      <c r="E3969">
        <v>17.760000000000002</v>
      </c>
    </row>
    <row r="3970" spans="2:5">
      <c r="B3970" s="17">
        <v>42679</v>
      </c>
      <c r="D3970" t="s">
        <v>206</v>
      </c>
      <c r="E3970">
        <v>146.352</v>
      </c>
    </row>
    <row r="3971" spans="2:5">
      <c r="B3971" s="17">
        <v>42679</v>
      </c>
      <c r="D3971" t="s">
        <v>1080</v>
      </c>
      <c r="E3971">
        <v>7.9</v>
      </c>
    </row>
    <row r="3972" spans="2:5">
      <c r="B3972" s="17">
        <v>42679</v>
      </c>
      <c r="D3972" t="s">
        <v>1080</v>
      </c>
      <c r="E3972">
        <v>902.71199999999999</v>
      </c>
    </row>
    <row r="3973" spans="2:5">
      <c r="B3973" s="17">
        <v>42679</v>
      </c>
      <c r="D3973" t="s">
        <v>1080</v>
      </c>
      <c r="E3973">
        <v>53.97</v>
      </c>
    </row>
    <row r="3974" spans="2:5">
      <c r="B3974" s="17">
        <v>42679</v>
      </c>
      <c r="D3974" t="s">
        <v>1257</v>
      </c>
      <c r="E3974">
        <v>26.49</v>
      </c>
    </row>
    <row r="3975" spans="2:5">
      <c r="B3975" s="17">
        <v>42679</v>
      </c>
      <c r="D3975" t="s">
        <v>1257</v>
      </c>
      <c r="E3975">
        <v>4.9920000000000009</v>
      </c>
    </row>
    <row r="3976" spans="2:5">
      <c r="B3976" s="17">
        <v>42679</v>
      </c>
      <c r="D3976" t="s">
        <v>1257</v>
      </c>
      <c r="E3976">
        <v>2575.944</v>
      </c>
    </row>
    <row r="3977" spans="2:5">
      <c r="B3977" s="17">
        <v>42679</v>
      </c>
      <c r="D3977" t="s">
        <v>1257</v>
      </c>
      <c r="E3977">
        <v>45.36</v>
      </c>
    </row>
    <row r="3978" spans="2:5">
      <c r="B3978" s="17">
        <v>42679</v>
      </c>
      <c r="D3978" t="s">
        <v>1600</v>
      </c>
      <c r="E3978">
        <v>33.568000000000005</v>
      </c>
    </row>
    <row r="3979" spans="2:5">
      <c r="B3979" s="17">
        <v>42679</v>
      </c>
      <c r="D3979" t="s">
        <v>733</v>
      </c>
      <c r="E3979">
        <v>21.12</v>
      </c>
    </row>
    <row r="3980" spans="2:5">
      <c r="B3980" s="17">
        <v>42679</v>
      </c>
      <c r="D3980" t="s">
        <v>733</v>
      </c>
      <c r="E3980">
        <v>698.35200000000009</v>
      </c>
    </row>
    <row r="3981" spans="2:5">
      <c r="B3981" s="17">
        <v>42679</v>
      </c>
      <c r="D3981" t="s">
        <v>733</v>
      </c>
      <c r="E3981">
        <v>1747.25</v>
      </c>
    </row>
    <row r="3982" spans="2:5">
      <c r="B3982" s="17">
        <v>42679</v>
      </c>
      <c r="D3982" t="s">
        <v>733</v>
      </c>
      <c r="E3982">
        <v>35.445</v>
      </c>
    </row>
    <row r="3983" spans="2:5">
      <c r="B3983" s="17">
        <v>42679</v>
      </c>
      <c r="D3983" t="s">
        <v>733</v>
      </c>
      <c r="E3983">
        <v>45.120000000000005</v>
      </c>
    </row>
    <row r="3984" spans="2:5">
      <c r="B3984" s="17">
        <v>42679</v>
      </c>
      <c r="D3984" t="s">
        <v>733</v>
      </c>
      <c r="E3984">
        <v>100.80000000000001</v>
      </c>
    </row>
    <row r="3985" spans="2:5">
      <c r="B3985" s="17">
        <v>42679</v>
      </c>
      <c r="D3985" t="s">
        <v>733</v>
      </c>
      <c r="E3985">
        <v>47.968000000000004</v>
      </c>
    </row>
    <row r="3986" spans="2:5">
      <c r="B3986" s="17">
        <v>42679</v>
      </c>
      <c r="D3986" t="s">
        <v>659</v>
      </c>
      <c r="E3986">
        <v>866.64599999999996</v>
      </c>
    </row>
    <row r="3987" spans="2:5">
      <c r="B3987" s="17">
        <v>42679</v>
      </c>
      <c r="D3987" t="s">
        <v>659</v>
      </c>
      <c r="E3987">
        <v>19.89</v>
      </c>
    </row>
    <row r="3988" spans="2:5">
      <c r="B3988" s="17">
        <v>42678</v>
      </c>
      <c r="D3988" t="s">
        <v>659</v>
      </c>
      <c r="E3988">
        <v>399.98</v>
      </c>
    </row>
    <row r="3989" spans="2:5">
      <c r="B3989" s="17">
        <v>42678</v>
      </c>
      <c r="D3989" t="s">
        <v>659</v>
      </c>
      <c r="E3989">
        <v>106.32</v>
      </c>
    </row>
    <row r="3990" spans="2:5">
      <c r="B3990" s="17">
        <v>42678</v>
      </c>
      <c r="D3990" t="s">
        <v>137</v>
      </c>
      <c r="E3990">
        <v>2563.056</v>
      </c>
    </row>
    <row r="3991" spans="2:5">
      <c r="B3991" s="17">
        <v>42678</v>
      </c>
      <c r="D3991" t="s">
        <v>137</v>
      </c>
      <c r="E3991">
        <v>27.882000000000005</v>
      </c>
    </row>
    <row r="3992" spans="2:5">
      <c r="B3992" s="17">
        <v>42678</v>
      </c>
      <c r="D3992" t="s">
        <v>137</v>
      </c>
      <c r="E3992">
        <v>540.048</v>
      </c>
    </row>
    <row r="3993" spans="2:5">
      <c r="B3993" s="17">
        <v>42678</v>
      </c>
      <c r="D3993" t="s">
        <v>137</v>
      </c>
      <c r="E3993">
        <v>33.4</v>
      </c>
    </row>
    <row r="3994" spans="2:5">
      <c r="B3994" s="17">
        <v>42678</v>
      </c>
      <c r="D3994" t="s">
        <v>137</v>
      </c>
      <c r="E3994">
        <v>799.56000000000006</v>
      </c>
    </row>
    <row r="3995" spans="2:5">
      <c r="B3995" s="17">
        <v>42678</v>
      </c>
      <c r="D3995" t="s">
        <v>137</v>
      </c>
      <c r="E3995">
        <v>197.96999999999997</v>
      </c>
    </row>
    <row r="3996" spans="2:5">
      <c r="B3996" s="17">
        <v>42678</v>
      </c>
      <c r="D3996" t="s">
        <v>137</v>
      </c>
      <c r="E3996">
        <v>43.96</v>
      </c>
    </row>
    <row r="3997" spans="2:5">
      <c r="B3997" s="17">
        <v>42678</v>
      </c>
      <c r="D3997" t="s">
        <v>137</v>
      </c>
      <c r="E3997">
        <v>39.76</v>
      </c>
    </row>
    <row r="3998" spans="2:5">
      <c r="B3998" s="17">
        <v>42678</v>
      </c>
      <c r="D3998" t="s">
        <v>137</v>
      </c>
      <c r="E3998">
        <v>572.76</v>
      </c>
    </row>
    <row r="3999" spans="2:5">
      <c r="B3999" s="17">
        <v>42678</v>
      </c>
      <c r="D3999" t="s">
        <v>1410</v>
      </c>
      <c r="E3999">
        <v>141.37199999999999</v>
      </c>
    </row>
    <row r="4000" spans="2:5">
      <c r="B4000" s="17">
        <v>42678</v>
      </c>
      <c r="D4000" t="s">
        <v>1410</v>
      </c>
      <c r="E4000">
        <v>24.849999999999998</v>
      </c>
    </row>
    <row r="4001" spans="2:5">
      <c r="B4001" s="17">
        <v>42678</v>
      </c>
      <c r="D4001" t="s">
        <v>1410</v>
      </c>
      <c r="E4001">
        <v>5.5530000000000008</v>
      </c>
    </row>
    <row r="4002" spans="2:5">
      <c r="B4002" s="17">
        <v>42678</v>
      </c>
      <c r="D4002" t="s">
        <v>1410</v>
      </c>
      <c r="E4002">
        <v>8.82</v>
      </c>
    </row>
    <row r="4003" spans="2:5">
      <c r="B4003" s="17">
        <v>42678</v>
      </c>
      <c r="D4003" t="s">
        <v>1410</v>
      </c>
      <c r="E4003">
        <v>37.94</v>
      </c>
    </row>
    <row r="4004" spans="2:5">
      <c r="B4004" s="17">
        <v>42678</v>
      </c>
      <c r="D4004" t="s">
        <v>1410</v>
      </c>
      <c r="E4004">
        <v>4.2</v>
      </c>
    </row>
    <row r="4005" spans="2:5">
      <c r="B4005" s="17">
        <v>42678</v>
      </c>
      <c r="D4005" t="s">
        <v>417</v>
      </c>
      <c r="E4005">
        <v>47.9</v>
      </c>
    </row>
    <row r="4006" spans="2:5">
      <c r="B4006" s="17">
        <v>42678</v>
      </c>
      <c r="D4006" t="s">
        <v>417</v>
      </c>
      <c r="E4006">
        <v>61.96</v>
      </c>
    </row>
    <row r="4007" spans="2:5">
      <c r="B4007" s="17">
        <v>42678</v>
      </c>
      <c r="D4007" t="s">
        <v>417</v>
      </c>
      <c r="E4007">
        <v>1117.92</v>
      </c>
    </row>
    <row r="4008" spans="2:5">
      <c r="B4008" s="17">
        <v>42677</v>
      </c>
      <c r="D4008" t="s">
        <v>417</v>
      </c>
      <c r="E4008">
        <v>1999.96</v>
      </c>
    </row>
    <row r="4009" spans="2:5">
      <c r="B4009" s="17">
        <v>42677</v>
      </c>
      <c r="D4009" t="s">
        <v>417</v>
      </c>
      <c r="E4009">
        <v>453.57600000000002</v>
      </c>
    </row>
    <row r="4010" spans="2:5">
      <c r="B4010" s="17">
        <v>42677</v>
      </c>
      <c r="D4010" t="s">
        <v>417</v>
      </c>
      <c r="E4010">
        <v>45.36</v>
      </c>
    </row>
    <row r="4011" spans="2:5">
      <c r="B4011" s="17">
        <v>42677</v>
      </c>
      <c r="D4011" t="s">
        <v>417</v>
      </c>
      <c r="E4011">
        <v>131.88000000000002</v>
      </c>
    </row>
    <row r="4012" spans="2:5">
      <c r="B4012" s="17">
        <v>42677</v>
      </c>
      <c r="D4012" t="s">
        <v>417</v>
      </c>
      <c r="E4012">
        <v>2.3280000000000003</v>
      </c>
    </row>
    <row r="4013" spans="2:5">
      <c r="B4013" s="17">
        <v>42677</v>
      </c>
      <c r="D4013" t="s">
        <v>417</v>
      </c>
      <c r="E4013">
        <v>7.9680000000000009</v>
      </c>
    </row>
    <row r="4014" spans="2:5">
      <c r="B4014" s="17">
        <v>42677</v>
      </c>
      <c r="D4014" t="s">
        <v>917</v>
      </c>
      <c r="E4014">
        <v>1499.9699999999998</v>
      </c>
    </row>
    <row r="4015" spans="2:5">
      <c r="B4015" s="17">
        <v>42677</v>
      </c>
      <c r="D4015" t="s">
        <v>917</v>
      </c>
      <c r="E4015">
        <v>31.32</v>
      </c>
    </row>
    <row r="4016" spans="2:5">
      <c r="B4016" s="17">
        <v>42677</v>
      </c>
      <c r="D4016" t="s">
        <v>917</v>
      </c>
      <c r="E4016">
        <v>11.840000000000002</v>
      </c>
    </row>
    <row r="4017" spans="2:5">
      <c r="B4017" s="17">
        <v>42677</v>
      </c>
      <c r="D4017" t="s">
        <v>917</v>
      </c>
      <c r="E4017">
        <v>22.784000000000002</v>
      </c>
    </row>
    <row r="4018" spans="2:5">
      <c r="B4018" s="17">
        <v>42677</v>
      </c>
      <c r="D4018" t="s">
        <v>917</v>
      </c>
      <c r="E4018">
        <v>25.584000000000003</v>
      </c>
    </row>
    <row r="4019" spans="2:5">
      <c r="B4019" s="17">
        <v>42677</v>
      </c>
      <c r="D4019" t="s">
        <v>917</v>
      </c>
      <c r="E4019">
        <v>55.360000000000007</v>
      </c>
    </row>
    <row r="4020" spans="2:5">
      <c r="B4020" s="17">
        <v>42677</v>
      </c>
      <c r="D4020" t="s">
        <v>917</v>
      </c>
      <c r="E4020">
        <v>11.56</v>
      </c>
    </row>
    <row r="4021" spans="2:5">
      <c r="B4021" s="17">
        <v>42677</v>
      </c>
      <c r="D4021" t="s">
        <v>917</v>
      </c>
      <c r="E4021">
        <v>842.72</v>
      </c>
    </row>
    <row r="4022" spans="2:5">
      <c r="B4022" s="17">
        <v>42677</v>
      </c>
      <c r="D4022" t="s">
        <v>917</v>
      </c>
      <c r="E4022">
        <v>41.96</v>
      </c>
    </row>
    <row r="4023" spans="2:5">
      <c r="B4023" s="17">
        <v>42677</v>
      </c>
      <c r="D4023" t="s">
        <v>1070</v>
      </c>
      <c r="E4023">
        <v>66.300000000000011</v>
      </c>
    </row>
    <row r="4024" spans="2:5">
      <c r="B4024" s="17">
        <v>42677</v>
      </c>
      <c r="D4024" t="s">
        <v>1070</v>
      </c>
      <c r="E4024">
        <v>18.920000000000002</v>
      </c>
    </row>
    <row r="4025" spans="2:5">
      <c r="B4025" s="17">
        <v>42677</v>
      </c>
      <c r="D4025" t="s">
        <v>1070</v>
      </c>
      <c r="E4025">
        <v>15.42</v>
      </c>
    </row>
    <row r="4026" spans="2:5">
      <c r="B4026" s="17">
        <v>42677</v>
      </c>
      <c r="D4026" t="s">
        <v>1070</v>
      </c>
      <c r="E4026">
        <v>33.9</v>
      </c>
    </row>
    <row r="4027" spans="2:5">
      <c r="B4027" s="17">
        <v>42677</v>
      </c>
      <c r="D4027" t="s">
        <v>1070</v>
      </c>
      <c r="E4027">
        <v>455.97</v>
      </c>
    </row>
    <row r="4028" spans="2:5">
      <c r="B4028" s="17">
        <v>42677</v>
      </c>
      <c r="D4028" t="s">
        <v>1070</v>
      </c>
      <c r="E4028">
        <v>10.440000000000001</v>
      </c>
    </row>
    <row r="4029" spans="2:5">
      <c r="B4029" s="17">
        <v>42677</v>
      </c>
      <c r="D4029" t="s">
        <v>1173</v>
      </c>
      <c r="E4029">
        <v>5.2140000000000004</v>
      </c>
    </row>
    <row r="4030" spans="2:5">
      <c r="B4030" s="17">
        <v>42677</v>
      </c>
      <c r="D4030" t="s">
        <v>1173</v>
      </c>
      <c r="E4030">
        <v>34.248000000000005</v>
      </c>
    </row>
    <row r="4031" spans="2:5">
      <c r="B4031" s="17">
        <v>42677</v>
      </c>
      <c r="D4031" t="s">
        <v>1173</v>
      </c>
      <c r="E4031">
        <v>3.52</v>
      </c>
    </row>
    <row r="4032" spans="2:5">
      <c r="B4032" s="17">
        <v>42675</v>
      </c>
      <c r="D4032" t="s">
        <v>1173</v>
      </c>
      <c r="E4032">
        <v>1.7999999999999996</v>
      </c>
    </row>
    <row r="4033" spans="2:5">
      <c r="B4033" s="17">
        <v>42675</v>
      </c>
      <c r="D4033" t="s">
        <v>1173</v>
      </c>
      <c r="E4033">
        <v>194.52800000000002</v>
      </c>
    </row>
    <row r="4034" spans="2:5">
      <c r="B4034" s="17">
        <v>42675</v>
      </c>
      <c r="D4034" t="s">
        <v>1173</v>
      </c>
      <c r="E4034">
        <v>961.48000000000013</v>
      </c>
    </row>
    <row r="4035" spans="2:5">
      <c r="B4035" s="17">
        <v>42675</v>
      </c>
      <c r="D4035" t="s">
        <v>1173</v>
      </c>
      <c r="E4035">
        <v>18.84</v>
      </c>
    </row>
    <row r="4036" spans="2:5">
      <c r="B4036" s="17">
        <v>42674</v>
      </c>
      <c r="D4036" t="s">
        <v>1173</v>
      </c>
      <c r="E4036">
        <v>38.880000000000003</v>
      </c>
    </row>
    <row r="4037" spans="2:5">
      <c r="B4037" s="17">
        <v>42674</v>
      </c>
      <c r="D4037" t="s">
        <v>1588</v>
      </c>
      <c r="E4037">
        <v>183.84</v>
      </c>
    </row>
    <row r="4038" spans="2:5">
      <c r="B4038" s="17">
        <v>42674</v>
      </c>
      <c r="D4038" t="s">
        <v>1588</v>
      </c>
      <c r="E4038">
        <v>579.29999999999995</v>
      </c>
    </row>
    <row r="4039" spans="2:5">
      <c r="B4039" s="17">
        <v>42674</v>
      </c>
      <c r="D4039" t="s">
        <v>1588</v>
      </c>
      <c r="E4039">
        <v>900.08</v>
      </c>
    </row>
    <row r="4040" spans="2:5">
      <c r="B4040" s="17">
        <v>42674</v>
      </c>
      <c r="D4040" t="s">
        <v>1588</v>
      </c>
      <c r="E4040">
        <v>1793.98</v>
      </c>
    </row>
    <row r="4041" spans="2:5">
      <c r="B4041" s="17">
        <v>42674</v>
      </c>
      <c r="D4041" t="s">
        <v>1283</v>
      </c>
      <c r="E4041">
        <v>72.64</v>
      </c>
    </row>
    <row r="4042" spans="2:5">
      <c r="B4042" s="17">
        <v>42674</v>
      </c>
      <c r="D4042" t="s">
        <v>1283</v>
      </c>
      <c r="E4042">
        <v>772.47</v>
      </c>
    </row>
    <row r="4043" spans="2:5">
      <c r="B4043" s="17">
        <v>42674</v>
      </c>
      <c r="D4043" t="s">
        <v>1283</v>
      </c>
      <c r="E4043">
        <v>39.92</v>
      </c>
    </row>
    <row r="4044" spans="2:5">
      <c r="B4044" s="17">
        <v>42673</v>
      </c>
      <c r="D4044" t="s">
        <v>1056</v>
      </c>
      <c r="E4044">
        <v>45.240000000000009</v>
      </c>
    </row>
    <row r="4045" spans="2:5">
      <c r="B4045" s="17">
        <v>42673</v>
      </c>
      <c r="D4045" t="s">
        <v>1056</v>
      </c>
      <c r="E4045">
        <v>18.687999999999999</v>
      </c>
    </row>
    <row r="4046" spans="2:5">
      <c r="B4046" s="17">
        <v>42673</v>
      </c>
      <c r="D4046" t="s">
        <v>1056</v>
      </c>
      <c r="E4046">
        <v>11.648000000000001</v>
      </c>
    </row>
    <row r="4047" spans="2:5">
      <c r="B4047" s="17">
        <v>42673</v>
      </c>
      <c r="D4047" t="s">
        <v>1056</v>
      </c>
      <c r="E4047">
        <v>112.77600000000001</v>
      </c>
    </row>
    <row r="4048" spans="2:5">
      <c r="B4048" s="17">
        <v>42672</v>
      </c>
      <c r="D4048" t="s">
        <v>1056</v>
      </c>
      <c r="E4048">
        <v>377.45</v>
      </c>
    </row>
    <row r="4049" spans="2:5">
      <c r="B4049" s="17">
        <v>42672</v>
      </c>
      <c r="D4049" t="s">
        <v>1056</v>
      </c>
      <c r="E4049">
        <v>15.936000000000002</v>
      </c>
    </row>
    <row r="4050" spans="2:5">
      <c r="B4050" s="17">
        <v>42672</v>
      </c>
      <c r="D4050" t="s">
        <v>1056</v>
      </c>
      <c r="E4050">
        <v>28.68</v>
      </c>
    </row>
    <row r="4051" spans="2:5">
      <c r="B4051" s="17">
        <v>42672</v>
      </c>
      <c r="D4051" t="s">
        <v>1789</v>
      </c>
      <c r="E4051">
        <v>563.93999999999994</v>
      </c>
    </row>
    <row r="4052" spans="2:5">
      <c r="B4052" s="17">
        <v>42671</v>
      </c>
      <c r="D4052" t="s">
        <v>1789</v>
      </c>
      <c r="E4052">
        <v>66.976000000000013</v>
      </c>
    </row>
    <row r="4053" spans="2:5">
      <c r="B4053" s="17">
        <v>42671</v>
      </c>
      <c r="D4053" t="s">
        <v>1339</v>
      </c>
      <c r="E4053">
        <v>2003.52</v>
      </c>
    </row>
    <row r="4054" spans="2:5">
      <c r="B4054" s="17">
        <v>42671</v>
      </c>
      <c r="D4054" t="s">
        <v>1339</v>
      </c>
      <c r="E4054">
        <v>46.53</v>
      </c>
    </row>
    <row r="4055" spans="2:5">
      <c r="B4055" s="17">
        <v>42671</v>
      </c>
      <c r="D4055" t="s">
        <v>1339</v>
      </c>
      <c r="E4055">
        <v>51.840000000000011</v>
      </c>
    </row>
    <row r="4056" spans="2:5">
      <c r="B4056" s="17">
        <v>42671</v>
      </c>
      <c r="D4056" t="s">
        <v>851</v>
      </c>
      <c r="E4056">
        <v>165.60000000000002</v>
      </c>
    </row>
    <row r="4057" spans="2:5">
      <c r="B4057" s="17">
        <v>42671</v>
      </c>
      <c r="D4057" t="s">
        <v>239</v>
      </c>
      <c r="E4057">
        <v>13.488</v>
      </c>
    </row>
    <row r="4058" spans="2:5">
      <c r="B4058" s="17">
        <v>42671</v>
      </c>
      <c r="D4058" t="s">
        <v>239</v>
      </c>
      <c r="E4058">
        <v>11.416</v>
      </c>
    </row>
    <row r="4059" spans="2:5">
      <c r="B4059" s="17">
        <v>42671</v>
      </c>
      <c r="D4059" t="s">
        <v>239</v>
      </c>
      <c r="E4059">
        <v>9892.74</v>
      </c>
    </row>
    <row r="4060" spans="2:5">
      <c r="B4060" s="17">
        <v>42671</v>
      </c>
      <c r="D4060" t="s">
        <v>239</v>
      </c>
      <c r="E4060">
        <v>4.7879999999999985</v>
      </c>
    </row>
    <row r="4061" spans="2:5">
      <c r="B4061" s="17">
        <v>42671</v>
      </c>
      <c r="D4061" t="s">
        <v>239</v>
      </c>
      <c r="E4061">
        <v>3.68</v>
      </c>
    </row>
    <row r="4062" spans="2:5">
      <c r="B4062" s="17">
        <v>42671</v>
      </c>
      <c r="D4062" t="s">
        <v>239</v>
      </c>
      <c r="E4062">
        <v>563.91999999999996</v>
      </c>
    </row>
    <row r="4063" spans="2:5">
      <c r="B4063" s="17">
        <v>42671</v>
      </c>
      <c r="D4063" t="s">
        <v>239</v>
      </c>
      <c r="E4063">
        <v>34.944000000000003</v>
      </c>
    </row>
    <row r="4064" spans="2:5">
      <c r="B4064" s="17">
        <v>42671</v>
      </c>
      <c r="D4064" t="s">
        <v>624</v>
      </c>
      <c r="E4064">
        <v>21.209999999999997</v>
      </c>
    </row>
    <row r="4065" spans="2:5">
      <c r="B4065" s="17">
        <v>42671</v>
      </c>
      <c r="D4065" t="s">
        <v>624</v>
      </c>
      <c r="E4065">
        <v>1652.94</v>
      </c>
    </row>
    <row r="4066" spans="2:5">
      <c r="B4066" s="17">
        <v>42671</v>
      </c>
      <c r="D4066" t="s">
        <v>624</v>
      </c>
      <c r="E4066">
        <v>14.76</v>
      </c>
    </row>
    <row r="4067" spans="2:5">
      <c r="B4067" s="17">
        <v>42671</v>
      </c>
      <c r="D4067" t="s">
        <v>624</v>
      </c>
      <c r="E4067">
        <v>564.19499999999994</v>
      </c>
    </row>
    <row r="4068" spans="2:5">
      <c r="B4068" s="17">
        <v>42671</v>
      </c>
      <c r="D4068" t="s">
        <v>624</v>
      </c>
      <c r="E4068">
        <v>87.168000000000006</v>
      </c>
    </row>
    <row r="4069" spans="2:5">
      <c r="B4069" s="17">
        <v>42670</v>
      </c>
      <c r="D4069" t="s">
        <v>624</v>
      </c>
      <c r="E4069">
        <v>2.2140000000000004</v>
      </c>
    </row>
    <row r="4070" spans="2:5">
      <c r="B4070" s="17">
        <v>42670</v>
      </c>
      <c r="D4070" t="s">
        <v>624</v>
      </c>
      <c r="E4070">
        <v>19.440000000000001</v>
      </c>
    </row>
    <row r="4071" spans="2:5">
      <c r="B4071" s="17">
        <v>42670</v>
      </c>
      <c r="D4071" t="s">
        <v>1618</v>
      </c>
      <c r="E4071">
        <v>133.38</v>
      </c>
    </row>
    <row r="4072" spans="2:5">
      <c r="B4072" s="17">
        <v>42670</v>
      </c>
      <c r="D4072" t="s">
        <v>1618</v>
      </c>
      <c r="E4072">
        <v>14.62</v>
      </c>
    </row>
    <row r="4073" spans="2:5">
      <c r="B4073" s="17">
        <v>42670</v>
      </c>
      <c r="D4073" t="s">
        <v>1618</v>
      </c>
      <c r="E4073">
        <v>5.76</v>
      </c>
    </row>
    <row r="4074" spans="2:5">
      <c r="B4074" s="17">
        <v>42670</v>
      </c>
      <c r="D4074" t="s">
        <v>1618</v>
      </c>
      <c r="E4074">
        <v>21.48</v>
      </c>
    </row>
    <row r="4075" spans="2:5">
      <c r="B4075" s="17">
        <v>42670</v>
      </c>
      <c r="D4075" t="s">
        <v>1618</v>
      </c>
      <c r="E4075">
        <v>396.92</v>
      </c>
    </row>
    <row r="4076" spans="2:5">
      <c r="B4076" s="17">
        <v>42670</v>
      </c>
      <c r="D4076" t="s">
        <v>1618</v>
      </c>
      <c r="E4076">
        <v>17.149999999999999</v>
      </c>
    </row>
    <row r="4077" spans="2:5">
      <c r="B4077" s="17">
        <v>42670</v>
      </c>
      <c r="D4077" t="s">
        <v>1618</v>
      </c>
      <c r="E4077">
        <v>23.12</v>
      </c>
    </row>
    <row r="4078" spans="2:5">
      <c r="B4078" s="17">
        <v>42668</v>
      </c>
      <c r="D4078" t="s">
        <v>1794</v>
      </c>
      <c r="E4078">
        <v>81.424000000000007</v>
      </c>
    </row>
    <row r="4079" spans="2:5">
      <c r="B4079" s="17">
        <v>42667</v>
      </c>
      <c r="D4079" t="s">
        <v>1794</v>
      </c>
      <c r="E4079">
        <v>134.80000000000001</v>
      </c>
    </row>
    <row r="4080" spans="2:5">
      <c r="B4080" s="17">
        <v>42667</v>
      </c>
      <c r="D4080" t="s">
        <v>1794</v>
      </c>
      <c r="E4080">
        <v>63.88</v>
      </c>
    </row>
    <row r="4081" spans="2:5">
      <c r="B4081" s="17">
        <v>42667</v>
      </c>
      <c r="D4081" t="s">
        <v>1794</v>
      </c>
      <c r="E4081">
        <v>6.0960000000000001</v>
      </c>
    </row>
    <row r="4082" spans="2:5">
      <c r="B4082" s="17">
        <v>42667</v>
      </c>
      <c r="D4082" t="s">
        <v>1068</v>
      </c>
      <c r="E4082">
        <v>1114.2719999999999</v>
      </c>
    </row>
    <row r="4083" spans="2:5">
      <c r="B4083" s="17">
        <v>42667</v>
      </c>
      <c r="D4083" t="s">
        <v>1068</v>
      </c>
      <c r="E4083">
        <v>9.84</v>
      </c>
    </row>
    <row r="4084" spans="2:5">
      <c r="B4084" s="17">
        <v>42667</v>
      </c>
      <c r="D4084" t="s">
        <v>1068</v>
      </c>
      <c r="E4084">
        <v>18.693000000000001</v>
      </c>
    </row>
    <row r="4085" spans="2:5">
      <c r="B4085" s="17">
        <v>42666</v>
      </c>
      <c r="D4085" t="s">
        <v>1068</v>
      </c>
      <c r="E4085">
        <v>383.952</v>
      </c>
    </row>
    <row r="4086" spans="2:5">
      <c r="B4086" s="17">
        <v>42666</v>
      </c>
      <c r="D4086" t="s">
        <v>1068</v>
      </c>
      <c r="E4086">
        <v>657.93</v>
      </c>
    </row>
    <row r="4087" spans="2:5">
      <c r="B4087" s="17">
        <v>42666</v>
      </c>
      <c r="D4087" t="s">
        <v>1068</v>
      </c>
      <c r="E4087">
        <v>33.479999999999997</v>
      </c>
    </row>
    <row r="4088" spans="2:5">
      <c r="B4088" s="17">
        <v>42666</v>
      </c>
      <c r="D4088" t="s">
        <v>1068</v>
      </c>
      <c r="E4088">
        <v>13.899999999999999</v>
      </c>
    </row>
    <row r="4089" spans="2:5">
      <c r="B4089" s="17">
        <v>42665</v>
      </c>
      <c r="D4089" t="s">
        <v>1068</v>
      </c>
      <c r="E4089">
        <v>26.86</v>
      </c>
    </row>
    <row r="4090" spans="2:5">
      <c r="B4090" s="17">
        <v>42665</v>
      </c>
      <c r="D4090" t="s">
        <v>56</v>
      </c>
      <c r="E4090">
        <v>49.12</v>
      </c>
    </row>
    <row r="4091" spans="2:5">
      <c r="B4091" s="17">
        <v>42665</v>
      </c>
      <c r="D4091" t="s">
        <v>56</v>
      </c>
      <c r="E4091">
        <v>383.64</v>
      </c>
    </row>
    <row r="4092" spans="2:5">
      <c r="B4092" s="17">
        <v>42665</v>
      </c>
      <c r="D4092" t="s">
        <v>56</v>
      </c>
      <c r="E4092">
        <v>56.519999999999996</v>
      </c>
    </row>
    <row r="4093" spans="2:5">
      <c r="B4093" s="17">
        <v>42665</v>
      </c>
      <c r="D4093" t="s">
        <v>56</v>
      </c>
      <c r="E4093">
        <v>60.35</v>
      </c>
    </row>
    <row r="4094" spans="2:5">
      <c r="B4094" s="17">
        <v>42664</v>
      </c>
      <c r="D4094" t="s">
        <v>56</v>
      </c>
      <c r="E4094">
        <v>35.520000000000003</v>
      </c>
    </row>
    <row r="4095" spans="2:5">
      <c r="B4095" s="17">
        <v>42664</v>
      </c>
      <c r="D4095" t="s">
        <v>56</v>
      </c>
      <c r="E4095">
        <v>11.200000000000001</v>
      </c>
    </row>
    <row r="4096" spans="2:5">
      <c r="B4096" s="17">
        <v>42664</v>
      </c>
      <c r="D4096" t="s">
        <v>56</v>
      </c>
      <c r="E4096">
        <v>15.260000000000002</v>
      </c>
    </row>
    <row r="4097" spans="2:5">
      <c r="B4097" s="17">
        <v>42664</v>
      </c>
      <c r="D4097" t="s">
        <v>56</v>
      </c>
      <c r="E4097">
        <v>1029.95</v>
      </c>
    </row>
    <row r="4098" spans="2:5">
      <c r="B4098" s="17">
        <v>42664</v>
      </c>
      <c r="D4098" t="s">
        <v>761</v>
      </c>
      <c r="E4098">
        <v>119.80000000000001</v>
      </c>
    </row>
    <row r="4099" spans="2:5">
      <c r="B4099" s="17">
        <v>42664</v>
      </c>
      <c r="D4099" t="s">
        <v>761</v>
      </c>
      <c r="E4099">
        <v>14.8</v>
      </c>
    </row>
    <row r="4100" spans="2:5">
      <c r="B4100" s="17">
        <v>42664</v>
      </c>
      <c r="D4100" t="s">
        <v>761</v>
      </c>
      <c r="E4100">
        <v>85.224000000000004</v>
      </c>
    </row>
    <row r="4101" spans="2:5">
      <c r="B4101" s="17">
        <v>42664</v>
      </c>
      <c r="D4101" t="s">
        <v>761</v>
      </c>
      <c r="E4101">
        <v>6.6719999999999988</v>
      </c>
    </row>
    <row r="4102" spans="2:5">
      <c r="B4102" s="17">
        <v>42664</v>
      </c>
      <c r="D4102" t="s">
        <v>761</v>
      </c>
      <c r="E4102">
        <v>64.959999999999994</v>
      </c>
    </row>
    <row r="4103" spans="2:5">
      <c r="B4103" s="17">
        <v>42664</v>
      </c>
      <c r="D4103" t="s">
        <v>761</v>
      </c>
      <c r="E4103">
        <v>13.52</v>
      </c>
    </row>
    <row r="4104" spans="2:5">
      <c r="B4104" s="17">
        <v>42664</v>
      </c>
      <c r="D4104" t="s">
        <v>761</v>
      </c>
      <c r="E4104">
        <v>458.42999999999995</v>
      </c>
    </row>
    <row r="4105" spans="2:5">
      <c r="B4105" s="17">
        <v>42664</v>
      </c>
      <c r="D4105" t="s">
        <v>768</v>
      </c>
      <c r="E4105">
        <v>387.13600000000002</v>
      </c>
    </row>
    <row r="4106" spans="2:5">
      <c r="B4106" s="17">
        <v>42664</v>
      </c>
      <c r="D4106" t="s">
        <v>768</v>
      </c>
      <c r="E4106">
        <v>403.92</v>
      </c>
    </row>
    <row r="4107" spans="2:5">
      <c r="B4107" s="17">
        <v>42664</v>
      </c>
      <c r="D4107" t="s">
        <v>323</v>
      </c>
      <c r="E4107">
        <v>23.32</v>
      </c>
    </row>
    <row r="4108" spans="2:5">
      <c r="B4108" s="17">
        <v>42664</v>
      </c>
      <c r="D4108" t="s">
        <v>323</v>
      </c>
      <c r="E4108">
        <v>30.98</v>
      </c>
    </row>
    <row r="4109" spans="2:5">
      <c r="B4109" s="17">
        <v>42664</v>
      </c>
      <c r="D4109" t="s">
        <v>323</v>
      </c>
      <c r="E4109">
        <v>119.96</v>
      </c>
    </row>
    <row r="4110" spans="2:5">
      <c r="B4110" s="17">
        <v>42664</v>
      </c>
      <c r="D4110" t="s">
        <v>323</v>
      </c>
      <c r="E4110">
        <v>363.92</v>
      </c>
    </row>
    <row r="4111" spans="2:5">
      <c r="B4111" s="17">
        <v>42664</v>
      </c>
      <c r="D4111" t="s">
        <v>323</v>
      </c>
      <c r="E4111">
        <v>35.808</v>
      </c>
    </row>
    <row r="4112" spans="2:5">
      <c r="B4112" s="17">
        <v>42664</v>
      </c>
      <c r="D4112" t="s">
        <v>323</v>
      </c>
      <c r="E4112">
        <v>122.688</v>
      </c>
    </row>
    <row r="4113" spans="2:5">
      <c r="B4113" s="17">
        <v>42664</v>
      </c>
      <c r="D4113" t="s">
        <v>1358</v>
      </c>
      <c r="E4113">
        <v>892.13600000000008</v>
      </c>
    </row>
    <row r="4114" spans="2:5">
      <c r="B4114" s="17">
        <v>42664</v>
      </c>
      <c r="D4114" t="s">
        <v>1358</v>
      </c>
      <c r="E4114">
        <v>50.22</v>
      </c>
    </row>
    <row r="4115" spans="2:5">
      <c r="B4115" s="17">
        <v>42663</v>
      </c>
      <c r="D4115" t="s">
        <v>1358</v>
      </c>
      <c r="E4115">
        <v>83.42</v>
      </c>
    </row>
    <row r="4116" spans="2:5">
      <c r="B4116" s="17">
        <v>42663</v>
      </c>
      <c r="D4116" t="s">
        <v>1358</v>
      </c>
      <c r="E4116">
        <v>5.8719999999999999</v>
      </c>
    </row>
    <row r="4117" spans="2:5">
      <c r="B4117" s="17">
        <v>42663</v>
      </c>
      <c r="D4117" t="s">
        <v>1358</v>
      </c>
      <c r="E4117">
        <v>73.536000000000001</v>
      </c>
    </row>
    <row r="4118" spans="2:5">
      <c r="B4118" s="17">
        <v>42663</v>
      </c>
      <c r="D4118" t="s">
        <v>1497</v>
      </c>
      <c r="E4118">
        <v>80.58</v>
      </c>
    </row>
    <row r="4119" spans="2:5">
      <c r="B4119" s="17">
        <v>42663</v>
      </c>
      <c r="D4119" t="s">
        <v>1227</v>
      </c>
      <c r="E4119">
        <v>361.92</v>
      </c>
    </row>
    <row r="4120" spans="2:5">
      <c r="B4120" s="17">
        <v>42663</v>
      </c>
      <c r="D4120" t="s">
        <v>1227</v>
      </c>
      <c r="E4120">
        <v>153.55199999999999</v>
      </c>
    </row>
    <row r="4121" spans="2:5">
      <c r="B4121" s="17">
        <v>42663</v>
      </c>
      <c r="D4121" t="s">
        <v>1227</v>
      </c>
      <c r="E4121">
        <v>65.34</v>
      </c>
    </row>
    <row r="4122" spans="2:5">
      <c r="B4122" s="17">
        <v>42663</v>
      </c>
      <c r="D4122" t="s">
        <v>1227</v>
      </c>
      <c r="E4122">
        <v>123.92</v>
      </c>
    </row>
    <row r="4123" spans="2:5">
      <c r="B4123" s="17">
        <v>42663</v>
      </c>
      <c r="D4123" t="s">
        <v>1565</v>
      </c>
      <c r="E4123">
        <v>35.099999999999994</v>
      </c>
    </row>
    <row r="4124" spans="2:5">
      <c r="B4124" s="17">
        <v>42663</v>
      </c>
      <c r="D4124" t="s">
        <v>1565</v>
      </c>
      <c r="E4124">
        <v>44.75</v>
      </c>
    </row>
    <row r="4125" spans="2:5">
      <c r="B4125" s="17">
        <v>42661</v>
      </c>
      <c r="D4125" t="s">
        <v>1565</v>
      </c>
      <c r="E4125">
        <v>1424.9</v>
      </c>
    </row>
    <row r="4126" spans="2:5">
      <c r="B4126" s="17">
        <v>42660</v>
      </c>
      <c r="D4126" t="s">
        <v>582</v>
      </c>
      <c r="E4126">
        <v>80.28</v>
      </c>
    </row>
    <row r="4127" spans="2:5">
      <c r="B4127" s="17">
        <v>42660</v>
      </c>
      <c r="D4127" t="s">
        <v>582</v>
      </c>
      <c r="E4127">
        <v>18.54</v>
      </c>
    </row>
    <row r="4128" spans="2:5">
      <c r="B4128" s="17">
        <v>42660</v>
      </c>
      <c r="D4128" t="s">
        <v>582</v>
      </c>
      <c r="E4128">
        <v>679.96</v>
      </c>
    </row>
    <row r="4129" spans="2:5">
      <c r="B4129" s="17">
        <v>42660</v>
      </c>
      <c r="D4129" t="s">
        <v>582</v>
      </c>
      <c r="E4129">
        <v>62.820000000000007</v>
      </c>
    </row>
    <row r="4130" spans="2:5">
      <c r="B4130" s="17">
        <v>42660</v>
      </c>
      <c r="D4130" t="s">
        <v>582</v>
      </c>
      <c r="E4130">
        <v>6.48</v>
      </c>
    </row>
    <row r="4131" spans="2:5">
      <c r="B4131" s="17">
        <v>42660</v>
      </c>
      <c r="D4131" t="s">
        <v>582</v>
      </c>
      <c r="E4131">
        <v>19.459999999999997</v>
      </c>
    </row>
    <row r="4132" spans="2:5">
      <c r="B4132" s="17">
        <v>42659</v>
      </c>
      <c r="D4132" t="s">
        <v>582</v>
      </c>
      <c r="E4132">
        <v>60.339999999999996</v>
      </c>
    </row>
    <row r="4133" spans="2:5">
      <c r="B4133" s="17">
        <v>42658</v>
      </c>
      <c r="D4133" t="s">
        <v>866</v>
      </c>
      <c r="E4133">
        <v>3.69</v>
      </c>
    </row>
    <row r="4134" spans="2:5">
      <c r="B4134" s="17">
        <v>42658</v>
      </c>
      <c r="D4134" t="s">
        <v>866</v>
      </c>
      <c r="E4134">
        <v>122.12</v>
      </c>
    </row>
    <row r="4135" spans="2:5">
      <c r="B4135" s="17">
        <v>42658</v>
      </c>
      <c r="D4135" t="s">
        <v>866</v>
      </c>
      <c r="E4135">
        <v>9.3920000000000012</v>
      </c>
    </row>
    <row r="4136" spans="2:5">
      <c r="B4136" s="17">
        <v>42658</v>
      </c>
      <c r="D4136" t="s">
        <v>866</v>
      </c>
      <c r="E4136">
        <v>9.3280000000000012</v>
      </c>
    </row>
    <row r="4137" spans="2:5">
      <c r="B4137" s="17">
        <v>42658</v>
      </c>
      <c r="D4137" t="s">
        <v>78</v>
      </c>
      <c r="E4137">
        <v>79.97399999999999</v>
      </c>
    </row>
    <row r="4138" spans="2:5">
      <c r="B4138" s="17">
        <v>42658</v>
      </c>
      <c r="D4138" t="s">
        <v>78</v>
      </c>
      <c r="E4138">
        <v>2.9460000000000006</v>
      </c>
    </row>
    <row r="4139" spans="2:5">
      <c r="B4139" s="17">
        <v>42658</v>
      </c>
      <c r="D4139" t="s">
        <v>78</v>
      </c>
      <c r="E4139">
        <v>10.9</v>
      </c>
    </row>
    <row r="4140" spans="2:5">
      <c r="B4140" s="17">
        <v>42658</v>
      </c>
      <c r="D4140" t="s">
        <v>78</v>
      </c>
      <c r="E4140">
        <v>59.98</v>
      </c>
    </row>
    <row r="4141" spans="2:5">
      <c r="B4141" s="17">
        <v>42658</v>
      </c>
      <c r="D4141" t="s">
        <v>78</v>
      </c>
      <c r="E4141">
        <v>61.929000000000002</v>
      </c>
    </row>
    <row r="4142" spans="2:5">
      <c r="B4142" s="17">
        <v>42658</v>
      </c>
      <c r="D4142" t="s">
        <v>78</v>
      </c>
      <c r="E4142">
        <v>40.68</v>
      </c>
    </row>
    <row r="4143" spans="2:5">
      <c r="B4143" s="17">
        <v>42658</v>
      </c>
      <c r="D4143" t="s">
        <v>78</v>
      </c>
      <c r="E4143">
        <v>20.568000000000001</v>
      </c>
    </row>
    <row r="4144" spans="2:5">
      <c r="B4144" s="17">
        <v>42658</v>
      </c>
      <c r="D4144" t="s">
        <v>78</v>
      </c>
      <c r="E4144">
        <v>4.355999999999999</v>
      </c>
    </row>
    <row r="4145" spans="2:5">
      <c r="B4145" s="17">
        <v>42658</v>
      </c>
      <c r="D4145" t="s">
        <v>78</v>
      </c>
      <c r="E4145">
        <v>19.040000000000003</v>
      </c>
    </row>
    <row r="4146" spans="2:5">
      <c r="B4146" s="17">
        <v>42657</v>
      </c>
      <c r="D4146" t="s">
        <v>78</v>
      </c>
      <c r="E4146">
        <v>1056.8599999999999</v>
      </c>
    </row>
    <row r="4147" spans="2:5">
      <c r="B4147" s="17">
        <v>42657</v>
      </c>
      <c r="D4147" t="s">
        <v>78</v>
      </c>
      <c r="E4147">
        <v>1097.5440000000003</v>
      </c>
    </row>
    <row r="4148" spans="2:5">
      <c r="B4148" s="17">
        <v>42657</v>
      </c>
      <c r="D4148" t="s">
        <v>526</v>
      </c>
      <c r="E4148">
        <v>190.92</v>
      </c>
    </row>
    <row r="4149" spans="2:5">
      <c r="B4149" s="17">
        <v>42657</v>
      </c>
      <c r="D4149" t="s">
        <v>526</v>
      </c>
      <c r="E4149">
        <v>114.94999999999999</v>
      </c>
    </row>
    <row r="4150" spans="2:5">
      <c r="B4150" s="17">
        <v>42657</v>
      </c>
      <c r="D4150" t="s">
        <v>526</v>
      </c>
      <c r="E4150">
        <v>12.957000000000001</v>
      </c>
    </row>
    <row r="4151" spans="2:5">
      <c r="B4151" s="17">
        <v>42657</v>
      </c>
      <c r="D4151" t="s">
        <v>526</v>
      </c>
      <c r="E4151">
        <v>8.56</v>
      </c>
    </row>
    <row r="4152" spans="2:5">
      <c r="B4152" s="17">
        <v>42657</v>
      </c>
      <c r="D4152" t="s">
        <v>526</v>
      </c>
      <c r="E4152">
        <v>45.36</v>
      </c>
    </row>
    <row r="4153" spans="2:5">
      <c r="B4153" s="17">
        <v>42657</v>
      </c>
      <c r="D4153" t="s">
        <v>526</v>
      </c>
      <c r="E4153">
        <v>1421.6640000000002</v>
      </c>
    </row>
    <row r="4154" spans="2:5">
      <c r="B4154" s="17">
        <v>42657</v>
      </c>
      <c r="D4154" t="s">
        <v>1445</v>
      </c>
      <c r="E4154">
        <v>34.049999999999997</v>
      </c>
    </row>
    <row r="4155" spans="2:5">
      <c r="B4155" s="17">
        <v>42657</v>
      </c>
      <c r="D4155" t="s">
        <v>1445</v>
      </c>
      <c r="E4155">
        <v>352.38</v>
      </c>
    </row>
    <row r="4156" spans="2:5">
      <c r="B4156" s="17">
        <v>42656</v>
      </c>
      <c r="D4156" t="s">
        <v>1445</v>
      </c>
      <c r="E4156">
        <v>68.111999999999995</v>
      </c>
    </row>
    <row r="4157" spans="2:5">
      <c r="B4157" s="17">
        <v>42656</v>
      </c>
      <c r="D4157" t="s">
        <v>1445</v>
      </c>
      <c r="E4157">
        <v>10.584000000000001</v>
      </c>
    </row>
    <row r="4158" spans="2:5">
      <c r="B4158" s="17">
        <v>42656</v>
      </c>
      <c r="D4158" t="s">
        <v>1445</v>
      </c>
      <c r="E4158">
        <v>405.85999999999996</v>
      </c>
    </row>
    <row r="4159" spans="2:5">
      <c r="B4159" s="17">
        <v>42656</v>
      </c>
      <c r="D4159" t="s">
        <v>53</v>
      </c>
      <c r="E4159">
        <v>680.01</v>
      </c>
    </row>
    <row r="4160" spans="2:5">
      <c r="B4160" s="17">
        <v>42656</v>
      </c>
      <c r="D4160" t="s">
        <v>53</v>
      </c>
      <c r="E4160">
        <v>19.440000000000001</v>
      </c>
    </row>
    <row r="4161" spans="2:5">
      <c r="B4161" s="17">
        <v>42656</v>
      </c>
      <c r="D4161" t="s">
        <v>53</v>
      </c>
      <c r="E4161">
        <v>156.79200000000003</v>
      </c>
    </row>
    <row r="4162" spans="2:5">
      <c r="B4162" s="17">
        <v>42656</v>
      </c>
      <c r="D4162" t="s">
        <v>53</v>
      </c>
      <c r="E4162">
        <v>431.97600000000006</v>
      </c>
    </row>
    <row r="4163" spans="2:5">
      <c r="B4163" s="17">
        <v>42656</v>
      </c>
      <c r="D4163" t="s">
        <v>53</v>
      </c>
      <c r="E4163">
        <v>35.89</v>
      </c>
    </row>
    <row r="4164" spans="2:5">
      <c r="B4164" s="17">
        <v>42656</v>
      </c>
      <c r="D4164" t="s">
        <v>736</v>
      </c>
      <c r="E4164">
        <v>47.207999999999998</v>
      </c>
    </row>
    <row r="4165" spans="2:5">
      <c r="B4165" s="17">
        <v>42656</v>
      </c>
      <c r="D4165" t="s">
        <v>736</v>
      </c>
      <c r="E4165">
        <v>189.7</v>
      </c>
    </row>
    <row r="4166" spans="2:5">
      <c r="B4166" s="17">
        <v>42656</v>
      </c>
      <c r="D4166" t="s">
        <v>736</v>
      </c>
      <c r="E4166">
        <v>59.808000000000007</v>
      </c>
    </row>
    <row r="4167" spans="2:5">
      <c r="B4167" s="17">
        <v>42656</v>
      </c>
      <c r="D4167" t="s">
        <v>736</v>
      </c>
      <c r="E4167">
        <v>968.74400000000014</v>
      </c>
    </row>
    <row r="4168" spans="2:5">
      <c r="B4168" s="17">
        <v>42656</v>
      </c>
      <c r="D4168" t="s">
        <v>1273</v>
      </c>
      <c r="E4168">
        <v>479.98400000000004</v>
      </c>
    </row>
    <row r="4169" spans="2:5">
      <c r="B4169" s="17">
        <v>42656</v>
      </c>
      <c r="D4169" t="s">
        <v>1273</v>
      </c>
      <c r="E4169">
        <v>18.689999999999998</v>
      </c>
    </row>
    <row r="4170" spans="2:5">
      <c r="B4170" s="17">
        <v>42656</v>
      </c>
      <c r="D4170" t="s">
        <v>1273</v>
      </c>
      <c r="E4170">
        <v>13.36</v>
      </c>
    </row>
    <row r="4171" spans="2:5">
      <c r="B4171" s="17">
        <v>42656</v>
      </c>
      <c r="D4171" t="s">
        <v>1557</v>
      </c>
      <c r="E4171">
        <v>13.86</v>
      </c>
    </row>
    <row r="4172" spans="2:5">
      <c r="B4172" s="17">
        <v>42656</v>
      </c>
      <c r="D4172" t="s">
        <v>1557</v>
      </c>
      <c r="E4172">
        <v>13.375999999999999</v>
      </c>
    </row>
    <row r="4173" spans="2:5">
      <c r="B4173" s="17">
        <v>42656</v>
      </c>
      <c r="D4173" t="s">
        <v>1557</v>
      </c>
      <c r="E4173">
        <v>437.47200000000009</v>
      </c>
    </row>
    <row r="4174" spans="2:5">
      <c r="B4174" s="17">
        <v>42656</v>
      </c>
      <c r="D4174" t="s">
        <v>174</v>
      </c>
      <c r="E4174">
        <v>407.97600000000006</v>
      </c>
    </row>
    <row r="4175" spans="2:5">
      <c r="B4175" s="17">
        <v>42654</v>
      </c>
      <c r="D4175" t="s">
        <v>174</v>
      </c>
      <c r="E4175">
        <v>384.45000000000005</v>
      </c>
    </row>
    <row r="4176" spans="2:5">
      <c r="B4176" s="17">
        <v>42654</v>
      </c>
      <c r="D4176" t="s">
        <v>174</v>
      </c>
      <c r="E4176">
        <v>149.97</v>
      </c>
    </row>
    <row r="4177" spans="2:5">
      <c r="B4177" s="17">
        <v>42653</v>
      </c>
      <c r="D4177" t="s">
        <v>174</v>
      </c>
      <c r="E4177">
        <v>1951.84</v>
      </c>
    </row>
    <row r="4178" spans="2:5">
      <c r="B4178" s="17">
        <v>42653</v>
      </c>
      <c r="D4178" t="s">
        <v>1200</v>
      </c>
      <c r="E4178">
        <v>171.55</v>
      </c>
    </row>
    <row r="4179" spans="2:5">
      <c r="B4179" s="17">
        <v>42653</v>
      </c>
      <c r="D4179" t="s">
        <v>1200</v>
      </c>
      <c r="E4179">
        <v>191.82</v>
      </c>
    </row>
    <row r="4180" spans="2:5">
      <c r="B4180" s="17">
        <v>42653</v>
      </c>
      <c r="D4180" t="s">
        <v>1200</v>
      </c>
      <c r="E4180">
        <v>465.18</v>
      </c>
    </row>
    <row r="4181" spans="2:5">
      <c r="B4181" s="17">
        <v>42653</v>
      </c>
      <c r="D4181" t="s">
        <v>1200</v>
      </c>
      <c r="E4181">
        <v>81.94</v>
      </c>
    </row>
    <row r="4182" spans="2:5">
      <c r="B4182" s="17">
        <v>42653</v>
      </c>
      <c r="D4182" t="s">
        <v>1100</v>
      </c>
      <c r="E4182">
        <v>33.92</v>
      </c>
    </row>
    <row r="4183" spans="2:5">
      <c r="B4183" s="17">
        <v>42653</v>
      </c>
      <c r="D4183" t="s">
        <v>1100</v>
      </c>
      <c r="E4183">
        <v>699.98</v>
      </c>
    </row>
    <row r="4184" spans="2:5">
      <c r="B4184" s="17">
        <v>42652</v>
      </c>
      <c r="D4184" t="s">
        <v>1100</v>
      </c>
      <c r="E4184">
        <v>584.82000000000005</v>
      </c>
    </row>
    <row r="4185" spans="2:5">
      <c r="B4185" s="17">
        <v>42652</v>
      </c>
      <c r="D4185" t="s">
        <v>1100</v>
      </c>
      <c r="E4185">
        <v>11.952000000000002</v>
      </c>
    </row>
    <row r="4186" spans="2:5">
      <c r="B4186" s="17">
        <v>42652</v>
      </c>
      <c r="D4186" t="s">
        <v>1100</v>
      </c>
      <c r="E4186">
        <v>3.536</v>
      </c>
    </row>
    <row r="4187" spans="2:5">
      <c r="B4187" s="17">
        <v>42652</v>
      </c>
      <c r="D4187" t="s">
        <v>1100</v>
      </c>
      <c r="E4187">
        <v>13.4</v>
      </c>
    </row>
    <row r="4188" spans="2:5">
      <c r="B4188" s="17">
        <v>42652</v>
      </c>
      <c r="D4188" t="s">
        <v>1100</v>
      </c>
      <c r="E4188">
        <v>4.9800000000000004</v>
      </c>
    </row>
    <row r="4189" spans="2:5">
      <c r="B4189" s="17">
        <v>42651</v>
      </c>
      <c r="D4189" t="s">
        <v>1100</v>
      </c>
      <c r="E4189">
        <v>109.69</v>
      </c>
    </row>
    <row r="4190" spans="2:5">
      <c r="B4190" s="17">
        <v>42651</v>
      </c>
      <c r="D4190" t="s">
        <v>750</v>
      </c>
      <c r="E4190">
        <v>113.78999999999999</v>
      </c>
    </row>
    <row r="4191" spans="2:5">
      <c r="B4191" s="17">
        <v>42651</v>
      </c>
      <c r="D4191" t="s">
        <v>750</v>
      </c>
      <c r="E4191">
        <v>78.150000000000006</v>
      </c>
    </row>
    <row r="4192" spans="2:5">
      <c r="B4192" s="17">
        <v>42651</v>
      </c>
      <c r="D4192" t="s">
        <v>750</v>
      </c>
      <c r="E4192">
        <v>1.7280000000000002</v>
      </c>
    </row>
    <row r="4193" spans="2:5">
      <c r="B4193" s="17">
        <v>42650</v>
      </c>
      <c r="D4193" t="s">
        <v>750</v>
      </c>
      <c r="E4193">
        <v>40.56</v>
      </c>
    </row>
    <row r="4194" spans="2:5">
      <c r="B4194" s="17">
        <v>42650</v>
      </c>
      <c r="D4194" t="s">
        <v>750</v>
      </c>
      <c r="E4194">
        <v>182.94</v>
      </c>
    </row>
    <row r="4195" spans="2:5">
      <c r="B4195" s="17">
        <v>42650</v>
      </c>
      <c r="D4195" t="s">
        <v>750</v>
      </c>
      <c r="E4195">
        <v>193.86</v>
      </c>
    </row>
    <row r="4196" spans="2:5">
      <c r="B4196" s="17">
        <v>42650</v>
      </c>
      <c r="D4196" t="s">
        <v>750</v>
      </c>
      <c r="E4196">
        <v>15.528</v>
      </c>
    </row>
    <row r="4197" spans="2:5">
      <c r="B4197" s="17">
        <v>42650</v>
      </c>
      <c r="D4197" t="s">
        <v>113</v>
      </c>
      <c r="E4197">
        <v>104.85</v>
      </c>
    </row>
    <row r="4198" spans="2:5">
      <c r="B4198" s="17">
        <v>42649</v>
      </c>
      <c r="D4198" t="s">
        <v>113</v>
      </c>
      <c r="E4198">
        <v>182.72</v>
      </c>
    </row>
    <row r="4199" spans="2:5">
      <c r="B4199" s="17">
        <v>42649</v>
      </c>
      <c r="D4199" t="s">
        <v>113</v>
      </c>
      <c r="E4199">
        <v>400.03199999999998</v>
      </c>
    </row>
    <row r="4200" spans="2:5">
      <c r="B4200" s="17">
        <v>42649</v>
      </c>
      <c r="D4200" t="s">
        <v>113</v>
      </c>
      <c r="E4200">
        <v>33.630000000000003</v>
      </c>
    </row>
    <row r="4201" spans="2:5">
      <c r="B4201" s="17">
        <v>42649</v>
      </c>
      <c r="D4201" t="s">
        <v>113</v>
      </c>
      <c r="E4201">
        <v>542.64599999999996</v>
      </c>
    </row>
    <row r="4202" spans="2:5">
      <c r="B4202" s="17">
        <v>42649</v>
      </c>
      <c r="D4202" t="s">
        <v>113</v>
      </c>
      <c r="E4202">
        <v>6.3</v>
      </c>
    </row>
    <row r="4203" spans="2:5">
      <c r="B4203" s="17">
        <v>42647</v>
      </c>
      <c r="D4203" t="s">
        <v>1270</v>
      </c>
      <c r="E4203">
        <v>394.81600000000003</v>
      </c>
    </row>
    <row r="4204" spans="2:5">
      <c r="B4204" s="17">
        <v>42647</v>
      </c>
      <c r="D4204" t="s">
        <v>1270</v>
      </c>
      <c r="E4204">
        <v>18.192000000000004</v>
      </c>
    </row>
    <row r="4205" spans="2:5">
      <c r="B4205" s="17">
        <v>42647</v>
      </c>
      <c r="D4205" t="s">
        <v>1270</v>
      </c>
      <c r="E4205">
        <v>1649.95</v>
      </c>
    </row>
    <row r="4206" spans="2:5">
      <c r="B4206" s="17">
        <v>42647</v>
      </c>
      <c r="D4206" t="s">
        <v>1270</v>
      </c>
      <c r="E4206">
        <v>111.89999999999999</v>
      </c>
    </row>
    <row r="4207" spans="2:5">
      <c r="B4207" s="17">
        <v>42647</v>
      </c>
      <c r="D4207" t="s">
        <v>1270</v>
      </c>
      <c r="E4207">
        <v>581.96</v>
      </c>
    </row>
    <row r="4208" spans="2:5">
      <c r="B4208" s="17">
        <v>42647</v>
      </c>
      <c r="D4208" t="s">
        <v>1270</v>
      </c>
      <c r="E4208">
        <v>29.98</v>
      </c>
    </row>
    <row r="4209" spans="2:5">
      <c r="B4209" s="17">
        <v>42647</v>
      </c>
      <c r="D4209" t="s">
        <v>1270</v>
      </c>
      <c r="E4209">
        <v>772.68</v>
      </c>
    </row>
    <row r="4210" spans="2:5">
      <c r="B4210" s="17">
        <v>42646</v>
      </c>
      <c r="D4210" t="s">
        <v>1270</v>
      </c>
      <c r="E4210">
        <v>21.92</v>
      </c>
    </row>
    <row r="4211" spans="2:5">
      <c r="B4211" s="17">
        <v>42646</v>
      </c>
      <c r="D4211" t="s">
        <v>1270</v>
      </c>
      <c r="E4211">
        <v>48.72</v>
      </c>
    </row>
    <row r="4212" spans="2:5">
      <c r="B4212" s="17">
        <v>42646</v>
      </c>
      <c r="D4212" t="s">
        <v>346</v>
      </c>
      <c r="E4212">
        <v>25.92</v>
      </c>
    </row>
    <row r="4213" spans="2:5">
      <c r="B4213" s="17">
        <v>42646</v>
      </c>
      <c r="D4213" t="s">
        <v>346</v>
      </c>
      <c r="E4213">
        <v>40.46</v>
      </c>
    </row>
    <row r="4214" spans="2:5">
      <c r="B4214" s="17">
        <v>42646</v>
      </c>
      <c r="D4214" t="s">
        <v>346</v>
      </c>
      <c r="E4214">
        <v>33.869999999999997</v>
      </c>
    </row>
    <row r="4215" spans="2:5">
      <c r="B4215" s="17">
        <v>42646</v>
      </c>
      <c r="D4215" t="s">
        <v>346</v>
      </c>
      <c r="E4215">
        <v>24.704000000000001</v>
      </c>
    </row>
    <row r="4216" spans="2:5">
      <c r="B4216" s="17">
        <v>42646</v>
      </c>
      <c r="D4216" t="s">
        <v>346</v>
      </c>
      <c r="E4216">
        <v>59.699999999999996</v>
      </c>
    </row>
    <row r="4217" spans="2:5">
      <c r="B4217" s="17">
        <v>42645</v>
      </c>
      <c r="D4217" t="s">
        <v>502</v>
      </c>
      <c r="E4217">
        <v>14.52</v>
      </c>
    </row>
    <row r="4218" spans="2:5">
      <c r="B4218" s="17">
        <v>42645</v>
      </c>
      <c r="D4218" t="s">
        <v>502</v>
      </c>
      <c r="E4218">
        <v>104.184</v>
      </c>
    </row>
    <row r="4219" spans="2:5">
      <c r="B4219" s="17">
        <v>42645</v>
      </c>
      <c r="D4219" t="s">
        <v>502</v>
      </c>
      <c r="E4219">
        <v>2079.4</v>
      </c>
    </row>
    <row r="4220" spans="2:5">
      <c r="B4220" s="17">
        <v>42645</v>
      </c>
      <c r="D4220" t="s">
        <v>502</v>
      </c>
      <c r="E4220">
        <v>629.94999999999993</v>
      </c>
    </row>
    <row r="4221" spans="2:5">
      <c r="B4221" s="17">
        <v>42645</v>
      </c>
      <c r="D4221" t="s">
        <v>502</v>
      </c>
      <c r="E4221">
        <v>72.42</v>
      </c>
    </row>
    <row r="4222" spans="2:5">
      <c r="B4222" s="17">
        <v>42645</v>
      </c>
      <c r="D4222" t="s">
        <v>502</v>
      </c>
      <c r="E4222">
        <v>415.17600000000004</v>
      </c>
    </row>
    <row r="4223" spans="2:5">
      <c r="B4223" s="17">
        <v>42645</v>
      </c>
      <c r="D4223" t="s">
        <v>502</v>
      </c>
      <c r="E4223">
        <v>35.231999999999999</v>
      </c>
    </row>
    <row r="4224" spans="2:5">
      <c r="B4224" s="17">
        <v>42644</v>
      </c>
      <c r="D4224" t="s">
        <v>502</v>
      </c>
      <c r="E4224">
        <v>54.96</v>
      </c>
    </row>
    <row r="4225" spans="2:5">
      <c r="B4225" s="17">
        <v>42644</v>
      </c>
      <c r="D4225" t="s">
        <v>502</v>
      </c>
      <c r="E4225">
        <v>165.60000000000002</v>
      </c>
    </row>
    <row r="4226" spans="2:5">
      <c r="B4226" s="17">
        <v>42644</v>
      </c>
      <c r="D4226" t="s">
        <v>502</v>
      </c>
      <c r="E4226">
        <v>115.84</v>
      </c>
    </row>
    <row r="4227" spans="2:5">
      <c r="B4227" s="17">
        <v>42644</v>
      </c>
      <c r="D4227" t="s">
        <v>502</v>
      </c>
      <c r="E4227">
        <v>781.86399999999992</v>
      </c>
    </row>
    <row r="4228" spans="2:5">
      <c r="B4228" s="17">
        <v>42644</v>
      </c>
      <c r="D4228" t="s">
        <v>204</v>
      </c>
      <c r="E4228">
        <v>30.816000000000003</v>
      </c>
    </row>
    <row r="4229" spans="2:5">
      <c r="B4229" s="17">
        <v>42644</v>
      </c>
      <c r="D4229" t="s">
        <v>204</v>
      </c>
      <c r="E4229">
        <v>23.92</v>
      </c>
    </row>
    <row r="4230" spans="2:5">
      <c r="B4230" s="17">
        <v>42644</v>
      </c>
      <c r="D4230" t="s">
        <v>204</v>
      </c>
      <c r="E4230">
        <v>172.5</v>
      </c>
    </row>
    <row r="4231" spans="2:5">
      <c r="B4231" s="17">
        <v>42644</v>
      </c>
      <c r="D4231" t="s">
        <v>204</v>
      </c>
      <c r="E4231">
        <v>179.97</v>
      </c>
    </row>
    <row r="4232" spans="2:5">
      <c r="B4232" s="17">
        <v>42643</v>
      </c>
      <c r="D4232" t="s">
        <v>204</v>
      </c>
      <c r="E4232">
        <v>17.309999999999999</v>
      </c>
    </row>
    <row r="4233" spans="2:5">
      <c r="B4233" s="17">
        <v>42643</v>
      </c>
      <c r="D4233" t="s">
        <v>204</v>
      </c>
      <c r="E4233">
        <v>4.7039999999999997</v>
      </c>
    </row>
    <row r="4234" spans="2:5">
      <c r="B4234" s="17">
        <v>42642</v>
      </c>
      <c r="D4234" t="s">
        <v>204</v>
      </c>
      <c r="E4234">
        <v>16.739999999999998</v>
      </c>
    </row>
    <row r="4235" spans="2:5">
      <c r="B4235" s="17">
        <v>42642</v>
      </c>
      <c r="D4235" t="s">
        <v>204</v>
      </c>
      <c r="E4235">
        <v>88.08</v>
      </c>
    </row>
    <row r="4236" spans="2:5">
      <c r="B4236" s="17">
        <v>42642</v>
      </c>
      <c r="D4236" t="s">
        <v>80</v>
      </c>
      <c r="E4236">
        <v>751.92</v>
      </c>
    </row>
    <row r="4237" spans="2:5">
      <c r="B4237" s="17">
        <v>42642</v>
      </c>
      <c r="D4237" t="s">
        <v>80</v>
      </c>
      <c r="E4237">
        <v>863.928</v>
      </c>
    </row>
    <row r="4238" spans="2:5">
      <c r="B4238" s="17">
        <v>42642</v>
      </c>
      <c r="D4238" t="s">
        <v>80</v>
      </c>
      <c r="E4238">
        <v>11.647999999999998</v>
      </c>
    </row>
    <row r="4239" spans="2:5">
      <c r="B4239" s="17">
        <v>42642</v>
      </c>
      <c r="D4239" t="s">
        <v>80</v>
      </c>
      <c r="E4239">
        <v>85.245999999999995</v>
      </c>
    </row>
    <row r="4240" spans="2:5">
      <c r="B4240" s="17">
        <v>42642</v>
      </c>
      <c r="D4240" t="s">
        <v>80</v>
      </c>
      <c r="E4240">
        <v>137.94</v>
      </c>
    </row>
    <row r="4241" spans="2:5">
      <c r="B4241" s="17">
        <v>42642</v>
      </c>
      <c r="D4241" t="s">
        <v>80</v>
      </c>
      <c r="E4241">
        <v>111.15</v>
      </c>
    </row>
    <row r="4242" spans="2:5">
      <c r="B4242" s="17">
        <v>42642</v>
      </c>
      <c r="D4242" t="s">
        <v>80</v>
      </c>
      <c r="E4242">
        <v>901.94999999999993</v>
      </c>
    </row>
    <row r="4243" spans="2:5">
      <c r="B4243" s="17">
        <v>42642</v>
      </c>
      <c r="D4243" t="s">
        <v>80</v>
      </c>
      <c r="E4243">
        <v>366.00899999999996</v>
      </c>
    </row>
    <row r="4244" spans="2:5">
      <c r="B4244" s="17">
        <v>42641</v>
      </c>
      <c r="D4244" t="s">
        <v>1400</v>
      </c>
      <c r="E4244">
        <v>2104.5499999999997</v>
      </c>
    </row>
    <row r="4245" spans="2:5">
      <c r="B4245" s="17">
        <v>42640</v>
      </c>
      <c r="D4245" t="s">
        <v>1400</v>
      </c>
      <c r="E4245">
        <v>40.700000000000003</v>
      </c>
    </row>
    <row r="4246" spans="2:5">
      <c r="B4246" s="17">
        <v>42640</v>
      </c>
      <c r="D4246" t="s">
        <v>1400</v>
      </c>
      <c r="E4246">
        <v>31.96</v>
      </c>
    </row>
    <row r="4247" spans="2:5">
      <c r="B4247" s="17">
        <v>42640</v>
      </c>
      <c r="D4247" t="s">
        <v>1400</v>
      </c>
      <c r="E4247">
        <v>47.9</v>
      </c>
    </row>
    <row r="4248" spans="2:5">
      <c r="B4248" s="17">
        <v>42640</v>
      </c>
      <c r="D4248" t="s">
        <v>1400</v>
      </c>
      <c r="E4248">
        <v>1112.94</v>
      </c>
    </row>
    <row r="4249" spans="2:5">
      <c r="B4249" s="17">
        <v>42640</v>
      </c>
      <c r="D4249" t="s">
        <v>1400</v>
      </c>
      <c r="E4249">
        <v>22.919999999999998</v>
      </c>
    </row>
    <row r="4250" spans="2:5">
      <c r="B4250" s="17">
        <v>42639</v>
      </c>
      <c r="D4250" t="s">
        <v>1400</v>
      </c>
      <c r="E4250">
        <v>23.04</v>
      </c>
    </row>
    <row r="4251" spans="2:5">
      <c r="B4251" s="17">
        <v>42639</v>
      </c>
      <c r="D4251" t="s">
        <v>1400</v>
      </c>
      <c r="E4251">
        <v>36.192</v>
      </c>
    </row>
    <row r="4252" spans="2:5">
      <c r="B4252" s="17">
        <v>42639</v>
      </c>
      <c r="D4252" t="s">
        <v>450</v>
      </c>
      <c r="E4252">
        <v>33.36</v>
      </c>
    </row>
    <row r="4253" spans="2:5">
      <c r="B4253" s="17">
        <v>42639</v>
      </c>
      <c r="D4253" t="s">
        <v>450</v>
      </c>
      <c r="E4253">
        <v>13.76</v>
      </c>
    </row>
    <row r="4254" spans="2:5">
      <c r="B4254" s="17">
        <v>42639</v>
      </c>
      <c r="D4254" t="s">
        <v>450</v>
      </c>
      <c r="E4254">
        <v>496.86</v>
      </c>
    </row>
    <row r="4255" spans="2:5">
      <c r="B4255" s="17">
        <v>42639</v>
      </c>
      <c r="D4255" t="s">
        <v>450</v>
      </c>
      <c r="E4255">
        <v>389.97</v>
      </c>
    </row>
    <row r="4256" spans="2:5">
      <c r="B4256" s="17">
        <v>42639</v>
      </c>
      <c r="D4256" t="s">
        <v>450</v>
      </c>
      <c r="E4256">
        <v>58.415999999999997</v>
      </c>
    </row>
    <row r="4257" spans="2:5">
      <c r="B4257" s="17">
        <v>42639</v>
      </c>
      <c r="D4257" t="s">
        <v>54</v>
      </c>
      <c r="E4257">
        <v>7.16</v>
      </c>
    </row>
    <row r="4258" spans="2:5">
      <c r="B4258" s="17">
        <v>42639</v>
      </c>
      <c r="D4258" t="s">
        <v>54</v>
      </c>
      <c r="E4258">
        <v>7.4340000000000011</v>
      </c>
    </row>
    <row r="4259" spans="2:5">
      <c r="B4259" s="17">
        <v>42639</v>
      </c>
      <c r="D4259" t="s">
        <v>54</v>
      </c>
      <c r="E4259">
        <v>182.67000000000002</v>
      </c>
    </row>
    <row r="4260" spans="2:5">
      <c r="B4260" s="17">
        <v>42639</v>
      </c>
      <c r="D4260" t="s">
        <v>54</v>
      </c>
      <c r="E4260">
        <v>101.69999999999999</v>
      </c>
    </row>
    <row r="4261" spans="2:5">
      <c r="B4261" s="17">
        <v>42639</v>
      </c>
      <c r="D4261" t="s">
        <v>54</v>
      </c>
      <c r="E4261">
        <v>1126.02</v>
      </c>
    </row>
    <row r="4262" spans="2:5">
      <c r="B4262" s="17">
        <v>42639</v>
      </c>
      <c r="D4262" t="s">
        <v>54</v>
      </c>
      <c r="E4262">
        <v>1263.3000000000002</v>
      </c>
    </row>
    <row r="4263" spans="2:5">
      <c r="B4263" s="17">
        <v>42639</v>
      </c>
      <c r="D4263" t="s">
        <v>54</v>
      </c>
      <c r="E4263">
        <v>12.672000000000001</v>
      </c>
    </row>
    <row r="4264" spans="2:5">
      <c r="B4264" s="17">
        <v>42639</v>
      </c>
      <c r="D4264" t="s">
        <v>54</v>
      </c>
      <c r="E4264">
        <v>6.8880000000000017</v>
      </c>
    </row>
    <row r="4265" spans="2:5">
      <c r="B4265" s="17">
        <v>42639</v>
      </c>
      <c r="D4265" t="s">
        <v>54</v>
      </c>
      <c r="E4265">
        <v>32.544000000000004</v>
      </c>
    </row>
    <row r="4266" spans="2:5">
      <c r="B4266" s="17">
        <v>42639</v>
      </c>
      <c r="D4266" t="s">
        <v>54</v>
      </c>
      <c r="E4266">
        <v>347.80200000000002</v>
      </c>
    </row>
    <row r="4267" spans="2:5">
      <c r="B4267" s="17">
        <v>42638</v>
      </c>
      <c r="D4267" t="s">
        <v>54</v>
      </c>
      <c r="E4267">
        <v>97.984000000000009</v>
      </c>
    </row>
    <row r="4268" spans="2:5">
      <c r="B4268" s="17">
        <v>42638</v>
      </c>
      <c r="D4268" t="s">
        <v>1576</v>
      </c>
      <c r="E4268">
        <v>62.400000000000006</v>
      </c>
    </row>
    <row r="4269" spans="2:5">
      <c r="B4269" s="17">
        <v>42638</v>
      </c>
      <c r="D4269" t="s">
        <v>1576</v>
      </c>
      <c r="E4269">
        <v>167.292</v>
      </c>
    </row>
    <row r="4270" spans="2:5">
      <c r="B4270" s="17">
        <v>42638</v>
      </c>
      <c r="D4270" t="s">
        <v>1576</v>
      </c>
      <c r="E4270">
        <v>34.950000000000003</v>
      </c>
    </row>
    <row r="4271" spans="2:5">
      <c r="B4271" s="17">
        <v>42638</v>
      </c>
      <c r="D4271" t="s">
        <v>1576</v>
      </c>
      <c r="E4271">
        <v>152</v>
      </c>
    </row>
    <row r="4272" spans="2:5">
      <c r="B4272" s="17">
        <v>42638</v>
      </c>
      <c r="D4272" t="s">
        <v>1576</v>
      </c>
      <c r="E4272">
        <v>31.56</v>
      </c>
    </row>
    <row r="4273" spans="2:5">
      <c r="B4273" s="17">
        <v>42638</v>
      </c>
      <c r="D4273" t="s">
        <v>612</v>
      </c>
      <c r="E4273">
        <v>116.75999999999999</v>
      </c>
    </row>
    <row r="4274" spans="2:5">
      <c r="B4274" s="17">
        <v>42638</v>
      </c>
      <c r="D4274" t="s">
        <v>612</v>
      </c>
      <c r="E4274">
        <v>39.808</v>
      </c>
    </row>
    <row r="4275" spans="2:5">
      <c r="B4275" s="17">
        <v>42638</v>
      </c>
      <c r="D4275" t="s">
        <v>612</v>
      </c>
      <c r="E4275">
        <v>25.92</v>
      </c>
    </row>
    <row r="4276" spans="2:5">
      <c r="B4276" s="17">
        <v>42638</v>
      </c>
      <c r="D4276" t="s">
        <v>612</v>
      </c>
      <c r="E4276">
        <v>34.650000000000006</v>
      </c>
    </row>
    <row r="4277" spans="2:5">
      <c r="B4277" s="17">
        <v>42638</v>
      </c>
      <c r="D4277" t="s">
        <v>1071</v>
      </c>
      <c r="E4277">
        <v>79.95</v>
      </c>
    </row>
    <row r="4278" spans="2:5">
      <c r="B4278" s="17">
        <v>42638</v>
      </c>
      <c r="D4278" t="s">
        <v>1071</v>
      </c>
      <c r="E4278">
        <v>70.98</v>
      </c>
    </row>
    <row r="4279" spans="2:5">
      <c r="B4279" s="17">
        <v>42638</v>
      </c>
      <c r="D4279" t="s">
        <v>1071</v>
      </c>
      <c r="E4279">
        <v>91.679999999999993</v>
      </c>
    </row>
    <row r="4280" spans="2:5">
      <c r="B4280" s="17">
        <v>42638</v>
      </c>
      <c r="D4280" t="s">
        <v>1071</v>
      </c>
      <c r="E4280">
        <v>33.75</v>
      </c>
    </row>
    <row r="4281" spans="2:5">
      <c r="B4281" s="17">
        <v>42638</v>
      </c>
      <c r="D4281" t="s">
        <v>1071</v>
      </c>
      <c r="E4281">
        <v>3040</v>
      </c>
    </row>
    <row r="4282" spans="2:5">
      <c r="B4282" s="17">
        <v>42638</v>
      </c>
      <c r="D4282" t="s">
        <v>1071</v>
      </c>
      <c r="E4282">
        <v>7.3120000000000012</v>
      </c>
    </row>
    <row r="4283" spans="2:5">
      <c r="B4283" s="17">
        <v>42638</v>
      </c>
      <c r="D4283" t="s">
        <v>1071</v>
      </c>
      <c r="E4283">
        <v>494.98199999999997</v>
      </c>
    </row>
    <row r="4284" spans="2:5">
      <c r="B4284" s="17">
        <v>42638</v>
      </c>
      <c r="D4284" t="s">
        <v>1526</v>
      </c>
      <c r="E4284">
        <v>3.7440000000000007</v>
      </c>
    </row>
    <row r="4285" spans="2:5">
      <c r="B4285" s="17">
        <v>42638</v>
      </c>
      <c r="D4285" t="s">
        <v>1526</v>
      </c>
      <c r="E4285">
        <v>17.856000000000002</v>
      </c>
    </row>
    <row r="4286" spans="2:5">
      <c r="B4286" s="17">
        <v>42638</v>
      </c>
      <c r="D4286" t="s">
        <v>1526</v>
      </c>
      <c r="E4286">
        <v>59.97</v>
      </c>
    </row>
    <row r="4287" spans="2:5">
      <c r="B4287" s="17">
        <v>42637</v>
      </c>
      <c r="D4287" t="s">
        <v>1526</v>
      </c>
      <c r="E4287">
        <v>13.36</v>
      </c>
    </row>
    <row r="4288" spans="2:5">
      <c r="B4288" s="17">
        <v>42637</v>
      </c>
      <c r="D4288" t="s">
        <v>1526</v>
      </c>
      <c r="E4288">
        <v>78.759000000000015</v>
      </c>
    </row>
    <row r="4289" spans="2:5">
      <c r="B4289" s="17">
        <v>42637</v>
      </c>
      <c r="D4289" t="s">
        <v>1526</v>
      </c>
      <c r="E4289">
        <v>3406.6640000000002</v>
      </c>
    </row>
    <row r="4290" spans="2:5">
      <c r="B4290" s="17">
        <v>42637</v>
      </c>
      <c r="D4290" t="s">
        <v>1526</v>
      </c>
      <c r="E4290">
        <v>37.17</v>
      </c>
    </row>
    <row r="4291" spans="2:5">
      <c r="B4291" s="17">
        <v>42637</v>
      </c>
      <c r="D4291" t="s">
        <v>1526</v>
      </c>
      <c r="E4291">
        <v>64.959999999999994</v>
      </c>
    </row>
    <row r="4292" spans="2:5">
      <c r="B4292" s="17">
        <v>42637</v>
      </c>
      <c r="D4292" t="s">
        <v>1526</v>
      </c>
      <c r="E4292">
        <v>595.38</v>
      </c>
    </row>
    <row r="4293" spans="2:5">
      <c r="B4293" s="17">
        <v>42637</v>
      </c>
      <c r="D4293" t="s">
        <v>385</v>
      </c>
      <c r="E4293">
        <v>5.08</v>
      </c>
    </row>
    <row r="4294" spans="2:5">
      <c r="B4294" s="17">
        <v>42637</v>
      </c>
      <c r="D4294" t="s">
        <v>385</v>
      </c>
      <c r="E4294">
        <v>563.4</v>
      </c>
    </row>
    <row r="4295" spans="2:5">
      <c r="B4295" s="17">
        <v>42637</v>
      </c>
      <c r="D4295" t="s">
        <v>385</v>
      </c>
      <c r="E4295">
        <v>59.98</v>
      </c>
    </row>
    <row r="4296" spans="2:5">
      <c r="B4296" s="17">
        <v>42637</v>
      </c>
      <c r="D4296" t="s">
        <v>385</v>
      </c>
      <c r="E4296">
        <v>1568.61</v>
      </c>
    </row>
    <row r="4297" spans="2:5">
      <c r="B4297" s="17">
        <v>42637</v>
      </c>
      <c r="D4297" t="s">
        <v>385</v>
      </c>
      <c r="E4297">
        <v>17.3</v>
      </c>
    </row>
    <row r="4298" spans="2:5">
      <c r="B4298" s="17">
        <v>42637</v>
      </c>
      <c r="D4298" t="s">
        <v>385</v>
      </c>
      <c r="E4298">
        <v>160</v>
      </c>
    </row>
    <row r="4299" spans="2:5">
      <c r="B4299" s="17">
        <v>42636</v>
      </c>
      <c r="D4299" t="s">
        <v>1021</v>
      </c>
      <c r="E4299">
        <v>456.58800000000008</v>
      </c>
    </row>
    <row r="4300" spans="2:5">
      <c r="B4300" s="17">
        <v>42636</v>
      </c>
      <c r="D4300" t="s">
        <v>1021</v>
      </c>
      <c r="E4300">
        <v>4499.9850000000006</v>
      </c>
    </row>
    <row r="4301" spans="2:5">
      <c r="B4301" s="17">
        <v>42636</v>
      </c>
      <c r="D4301" t="s">
        <v>1021</v>
      </c>
      <c r="E4301">
        <v>59.975999999999999</v>
      </c>
    </row>
    <row r="4302" spans="2:5">
      <c r="B4302" s="17">
        <v>42636</v>
      </c>
      <c r="D4302" t="s">
        <v>1021</v>
      </c>
      <c r="E4302">
        <v>73.36</v>
      </c>
    </row>
    <row r="4303" spans="2:5">
      <c r="B4303" s="17">
        <v>42636</v>
      </c>
      <c r="D4303" t="s">
        <v>1021</v>
      </c>
      <c r="E4303">
        <v>194.35200000000003</v>
      </c>
    </row>
    <row r="4304" spans="2:5">
      <c r="B4304" s="17">
        <v>42636</v>
      </c>
      <c r="D4304" t="s">
        <v>1021</v>
      </c>
      <c r="E4304">
        <v>4.4160000000000004</v>
      </c>
    </row>
    <row r="4305" spans="2:5">
      <c r="B4305" s="17">
        <v>42636</v>
      </c>
      <c r="D4305" t="s">
        <v>997</v>
      </c>
      <c r="E4305">
        <v>17.216000000000001</v>
      </c>
    </row>
    <row r="4306" spans="2:5">
      <c r="B4306" s="17">
        <v>42636</v>
      </c>
      <c r="D4306" t="s">
        <v>997</v>
      </c>
      <c r="E4306">
        <v>11.56</v>
      </c>
    </row>
    <row r="4307" spans="2:5">
      <c r="B4307" s="17">
        <v>42636</v>
      </c>
      <c r="D4307" t="s">
        <v>997</v>
      </c>
      <c r="E4307">
        <v>88.4</v>
      </c>
    </row>
    <row r="4308" spans="2:5">
      <c r="B4308" s="17">
        <v>42636</v>
      </c>
      <c r="D4308" t="s">
        <v>997</v>
      </c>
      <c r="E4308">
        <v>6.48</v>
      </c>
    </row>
    <row r="4309" spans="2:5">
      <c r="B4309" s="17">
        <v>42636</v>
      </c>
      <c r="D4309" t="s">
        <v>997</v>
      </c>
      <c r="E4309">
        <v>33.520000000000003</v>
      </c>
    </row>
    <row r="4310" spans="2:5">
      <c r="B4310" s="17">
        <v>42636</v>
      </c>
      <c r="D4310" t="s">
        <v>997</v>
      </c>
      <c r="E4310">
        <v>9.94</v>
      </c>
    </row>
    <row r="4311" spans="2:5">
      <c r="B4311" s="17">
        <v>42636</v>
      </c>
      <c r="D4311" t="s">
        <v>997</v>
      </c>
      <c r="E4311">
        <v>41.92</v>
      </c>
    </row>
    <row r="4312" spans="2:5">
      <c r="B4312" s="17">
        <v>42635</v>
      </c>
      <c r="D4312" t="s">
        <v>997</v>
      </c>
      <c r="E4312">
        <v>4.3440000000000003</v>
      </c>
    </row>
    <row r="4313" spans="2:5">
      <c r="B4313" s="17">
        <v>42635</v>
      </c>
      <c r="D4313" t="s">
        <v>997</v>
      </c>
      <c r="E4313">
        <v>94.992000000000004</v>
      </c>
    </row>
    <row r="4314" spans="2:5">
      <c r="B4314" s="17">
        <v>42635</v>
      </c>
      <c r="D4314" t="s">
        <v>997</v>
      </c>
      <c r="E4314">
        <v>74.352000000000004</v>
      </c>
    </row>
    <row r="4315" spans="2:5">
      <c r="B4315" s="17">
        <v>42635</v>
      </c>
      <c r="D4315" t="s">
        <v>997</v>
      </c>
      <c r="E4315">
        <v>14.04</v>
      </c>
    </row>
    <row r="4316" spans="2:5">
      <c r="B4316" s="17">
        <v>42635</v>
      </c>
      <c r="D4316" t="s">
        <v>997</v>
      </c>
      <c r="E4316">
        <v>24.784000000000002</v>
      </c>
    </row>
    <row r="4317" spans="2:5">
      <c r="B4317" s="17">
        <v>42635</v>
      </c>
      <c r="D4317" t="s">
        <v>997</v>
      </c>
      <c r="E4317">
        <v>657.55200000000013</v>
      </c>
    </row>
    <row r="4318" spans="2:5">
      <c r="B4318" s="17">
        <v>42635</v>
      </c>
      <c r="D4318" t="s">
        <v>1216</v>
      </c>
      <c r="E4318">
        <v>659.9</v>
      </c>
    </row>
    <row r="4319" spans="2:5">
      <c r="B4319" s="17">
        <v>42635</v>
      </c>
      <c r="D4319" t="s">
        <v>1216</v>
      </c>
      <c r="E4319">
        <v>1684.7520000000002</v>
      </c>
    </row>
    <row r="4320" spans="2:5">
      <c r="B4320" s="17">
        <v>42635</v>
      </c>
      <c r="D4320" t="s">
        <v>1216</v>
      </c>
      <c r="E4320">
        <v>559.91999999999996</v>
      </c>
    </row>
    <row r="4321" spans="2:5">
      <c r="B4321" s="17">
        <v>42635</v>
      </c>
      <c r="D4321" t="s">
        <v>1216</v>
      </c>
      <c r="E4321">
        <v>1219.96</v>
      </c>
    </row>
    <row r="4322" spans="2:5">
      <c r="B4322" s="17">
        <v>42635</v>
      </c>
      <c r="D4322" t="s">
        <v>1216</v>
      </c>
      <c r="E4322">
        <v>40.752000000000002</v>
      </c>
    </row>
    <row r="4323" spans="2:5">
      <c r="B4323" s="17">
        <v>42635</v>
      </c>
      <c r="D4323" t="s">
        <v>1216</v>
      </c>
      <c r="E4323">
        <v>139.96000000000004</v>
      </c>
    </row>
    <row r="4324" spans="2:5">
      <c r="B4324" s="17">
        <v>42635</v>
      </c>
      <c r="D4324" t="s">
        <v>1216</v>
      </c>
      <c r="E4324">
        <v>25.349999999999998</v>
      </c>
    </row>
    <row r="4325" spans="2:5">
      <c r="B4325" s="17">
        <v>42635</v>
      </c>
      <c r="D4325" t="s">
        <v>1052</v>
      </c>
      <c r="E4325">
        <v>82.26</v>
      </c>
    </row>
    <row r="4326" spans="2:5">
      <c r="B4326" s="17">
        <v>42633</v>
      </c>
      <c r="D4326" t="s">
        <v>1052</v>
      </c>
      <c r="E4326">
        <v>10.528</v>
      </c>
    </row>
    <row r="4327" spans="2:5">
      <c r="B4327" s="17">
        <v>42633</v>
      </c>
      <c r="D4327" t="s">
        <v>1052</v>
      </c>
      <c r="E4327">
        <v>42.384</v>
      </c>
    </row>
    <row r="4328" spans="2:5">
      <c r="B4328" s="17">
        <v>42633</v>
      </c>
      <c r="D4328" t="s">
        <v>1052</v>
      </c>
      <c r="E4328">
        <v>15.8</v>
      </c>
    </row>
    <row r="4329" spans="2:5">
      <c r="B4329" s="17">
        <v>42633</v>
      </c>
      <c r="D4329" t="s">
        <v>1052</v>
      </c>
      <c r="E4329">
        <v>14.368000000000002</v>
      </c>
    </row>
    <row r="4330" spans="2:5">
      <c r="B4330" s="17">
        <v>42633</v>
      </c>
      <c r="D4330" t="s">
        <v>1052</v>
      </c>
      <c r="E4330">
        <v>70.448000000000008</v>
      </c>
    </row>
    <row r="4331" spans="2:5">
      <c r="B4331" s="17">
        <v>42633</v>
      </c>
      <c r="D4331" t="s">
        <v>1052</v>
      </c>
      <c r="E4331">
        <v>39.880000000000003</v>
      </c>
    </row>
    <row r="4332" spans="2:5">
      <c r="B4332" s="17">
        <v>42633</v>
      </c>
      <c r="D4332" t="s">
        <v>887</v>
      </c>
      <c r="E4332">
        <v>12.192</v>
      </c>
    </row>
    <row r="4333" spans="2:5">
      <c r="B4333" s="17">
        <v>42633</v>
      </c>
      <c r="D4333" t="s">
        <v>887</v>
      </c>
      <c r="E4333">
        <v>20.82</v>
      </c>
    </row>
    <row r="4334" spans="2:5">
      <c r="B4334" s="17">
        <v>42633</v>
      </c>
      <c r="D4334" t="s">
        <v>887</v>
      </c>
      <c r="E4334">
        <v>49.44</v>
      </c>
    </row>
    <row r="4335" spans="2:5">
      <c r="B4335" s="17">
        <v>42633</v>
      </c>
      <c r="D4335" t="s">
        <v>887</v>
      </c>
      <c r="E4335">
        <v>6.2159999999999993</v>
      </c>
    </row>
    <row r="4336" spans="2:5">
      <c r="B4336" s="17">
        <v>42632</v>
      </c>
      <c r="D4336" t="s">
        <v>887</v>
      </c>
      <c r="E4336">
        <v>23.616</v>
      </c>
    </row>
    <row r="4337" spans="2:5">
      <c r="B4337" s="17">
        <v>42632</v>
      </c>
      <c r="D4337" t="s">
        <v>887</v>
      </c>
      <c r="E4337">
        <v>24.032</v>
      </c>
    </row>
    <row r="4338" spans="2:5">
      <c r="B4338" s="17">
        <v>42632</v>
      </c>
      <c r="D4338" t="s">
        <v>887</v>
      </c>
      <c r="E4338">
        <v>2.0880000000000001</v>
      </c>
    </row>
    <row r="4339" spans="2:5">
      <c r="B4339" s="17">
        <v>42632</v>
      </c>
      <c r="D4339" t="s">
        <v>887</v>
      </c>
      <c r="E4339">
        <v>4.4879999999999995</v>
      </c>
    </row>
    <row r="4340" spans="2:5">
      <c r="B4340" s="17">
        <v>42632</v>
      </c>
      <c r="D4340" t="s">
        <v>887</v>
      </c>
      <c r="E4340">
        <v>134.27200000000002</v>
      </c>
    </row>
    <row r="4341" spans="2:5">
      <c r="B4341" s="17">
        <v>42632</v>
      </c>
      <c r="D4341" t="s">
        <v>887</v>
      </c>
      <c r="E4341">
        <v>195.136</v>
      </c>
    </row>
    <row r="4342" spans="2:5">
      <c r="B4342" s="17">
        <v>42632</v>
      </c>
      <c r="D4342" t="s">
        <v>66</v>
      </c>
      <c r="E4342">
        <v>40.46</v>
      </c>
    </row>
    <row r="4343" spans="2:5">
      <c r="B4343" s="17">
        <v>42632</v>
      </c>
      <c r="D4343" t="s">
        <v>66</v>
      </c>
      <c r="E4343">
        <v>404.93999999999994</v>
      </c>
    </row>
    <row r="4344" spans="2:5">
      <c r="B4344" s="17">
        <v>42632</v>
      </c>
      <c r="D4344" t="s">
        <v>66</v>
      </c>
      <c r="E4344">
        <v>30.345000000000006</v>
      </c>
    </row>
    <row r="4345" spans="2:5">
      <c r="B4345" s="17">
        <v>42632</v>
      </c>
      <c r="D4345" t="s">
        <v>66</v>
      </c>
      <c r="E4345">
        <v>127.554</v>
      </c>
    </row>
    <row r="4346" spans="2:5">
      <c r="B4346" s="17">
        <v>42632</v>
      </c>
      <c r="D4346" t="s">
        <v>66</v>
      </c>
      <c r="E4346">
        <v>77.951999999999998</v>
      </c>
    </row>
    <row r="4347" spans="2:5">
      <c r="B4347" s="17">
        <v>42632</v>
      </c>
      <c r="D4347" t="s">
        <v>314</v>
      </c>
      <c r="E4347">
        <v>38.432000000000002</v>
      </c>
    </row>
    <row r="4348" spans="2:5">
      <c r="B4348" s="17">
        <v>42632</v>
      </c>
      <c r="D4348" t="s">
        <v>314</v>
      </c>
      <c r="E4348">
        <v>21.568000000000001</v>
      </c>
    </row>
    <row r="4349" spans="2:5">
      <c r="B4349" s="17">
        <v>42632</v>
      </c>
      <c r="D4349" t="s">
        <v>314</v>
      </c>
      <c r="E4349">
        <v>81.576000000000008</v>
      </c>
    </row>
    <row r="4350" spans="2:5">
      <c r="B4350" s="17">
        <v>42632</v>
      </c>
      <c r="D4350" t="s">
        <v>314</v>
      </c>
      <c r="E4350">
        <v>12.96</v>
      </c>
    </row>
    <row r="4351" spans="2:5">
      <c r="B4351" s="17">
        <v>42632</v>
      </c>
      <c r="D4351" t="s">
        <v>314</v>
      </c>
      <c r="E4351">
        <v>113.56800000000001</v>
      </c>
    </row>
    <row r="4352" spans="2:5">
      <c r="B4352" s="17">
        <v>42631</v>
      </c>
      <c r="D4352" t="s">
        <v>314</v>
      </c>
      <c r="E4352">
        <v>32.400000000000006</v>
      </c>
    </row>
    <row r="4353" spans="2:5">
      <c r="B4353" s="17">
        <v>42631</v>
      </c>
      <c r="D4353" t="s">
        <v>314</v>
      </c>
      <c r="E4353">
        <v>14.62</v>
      </c>
    </row>
    <row r="4354" spans="2:5">
      <c r="B4354" s="17">
        <v>42631</v>
      </c>
      <c r="D4354" t="s">
        <v>592</v>
      </c>
      <c r="E4354">
        <v>944.93000000000006</v>
      </c>
    </row>
    <row r="4355" spans="2:5">
      <c r="B4355" s="17">
        <v>42631</v>
      </c>
      <c r="D4355" t="s">
        <v>592</v>
      </c>
      <c r="E4355">
        <v>19.096</v>
      </c>
    </row>
    <row r="4356" spans="2:5">
      <c r="B4356" s="17">
        <v>42631</v>
      </c>
      <c r="D4356" t="s">
        <v>592</v>
      </c>
      <c r="E4356">
        <v>18.496000000000002</v>
      </c>
    </row>
    <row r="4357" spans="2:5">
      <c r="B4357" s="17">
        <v>42631</v>
      </c>
      <c r="D4357" t="s">
        <v>592</v>
      </c>
      <c r="E4357">
        <v>86.97</v>
      </c>
    </row>
    <row r="4358" spans="2:5">
      <c r="B4358" s="17">
        <v>42631</v>
      </c>
      <c r="D4358" t="s">
        <v>1063</v>
      </c>
      <c r="E4358">
        <v>15.696000000000002</v>
      </c>
    </row>
    <row r="4359" spans="2:5">
      <c r="B4359" s="17">
        <v>42631</v>
      </c>
      <c r="D4359" t="s">
        <v>1063</v>
      </c>
      <c r="E4359">
        <v>2.6280000000000001</v>
      </c>
    </row>
    <row r="4360" spans="2:5">
      <c r="B4360" s="17">
        <v>42631</v>
      </c>
      <c r="D4360" t="s">
        <v>1063</v>
      </c>
      <c r="E4360">
        <v>14.427000000000003</v>
      </c>
    </row>
    <row r="4361" spans="2:5">
      <c r="B4361" s="17">
        <v>42631</v>
      </c>
      <c r="D4361" t="s">
        <v>1063</v>
      </c>
      <c r="E4361">
        <v>122.91999999999999</v>
      </c>
    </row>
    <row r="4362" spans="2:5">
      <c r="B4362" s="17">
        <v>42631</v>
      </c>
      <c r="D4362" t="s">
        <v>515</v>
      </c>
      <c r="E4362">
        <v>7.0679999999999996</v>
      </c>
    </row>
    <row r="4363" spans="2:5">
      <c r="B4363" s="17">
        <v>42631</v>
      </c>
      <c r="D4363" t="s">
        <v>515</v>
      </c>
      <c r="E4363">
        <v>9.08</v>
      </c>
    </row>
    <row r="4364" spans="2:5">
      <c r="B4364" s="17">
        <v>42631</v>
      </c>
      <c r="D4364" t="s">
        <v>515</v>
      </c>
      <c r="E4364">
        <v>4.91</v>
      </c>
    </row>
    <row r="4365" spans="2:5">
      <c r="B4365" s="17">
        <v>42631</v>
      </c>
      <c r="D4365" t="s">
        <v>515</v>
      </c>
      <c r="E4365">
        <v>151.19200000000001</v>
      </c>
    </row>
    <row r="4366" spans="2:5">
      <c r="B4366" s="17">
        <v>42631</v>
      </c>
      <c r="D4366" t="s">
        <v>515</v>
      </c>
      <c r="E4366">
        <v>39</v>
      </c>
    </row>
    <row r="4367" spans="2:5">
      <c r="B4367" s="17">
        <v>42630</v>
      </c>
      <c r="D4367" t="s">
        <v>138</v>
      </c>
      <c r="E4367">
        <v>128.39999999999998</v>
      </c>
    </row>
    <row r="4368" spans="2:5">
      <c r="B4368" s="17">
        <v>42630</v>
      </c>
      <c r="D4368" t="s">
        <v>138</v>
      </c>
      <c r="E4368">
        <v>39.72</v>
      </c>
    </row>
    <row r="4369" spans="2:5">
      <c r="B4369" s="17">
        <v>42630</v>
      </c>
      <c r="D4369" t="s">
        <v>138</v>
      </c>
      <c r="E4369">
        <v>27.88</v>
      </c>
    </row>
    <row r="4370" spans="2:5">
      <c r="B4370" s="17">
        <v>42630</v>
      </c>
      <c r="D4370" t="s">
        <v>138</v>
      </c>
      <c r="E4370">
        <v>14.352000000000002</v>
      </c>
    </row>
    <row r="4371" spans="2:5">
      <c r="B4371" s="17">
        <v>42630</v>
      </c>
      <c r="D4371" t="s">
        <v>138</v>
      </c>
      <c r="E4371">
        <v>64.959999999999994</v>
      </c>
    </row>
    <row r="4372" spans="2:5">
      <c r="B4372" s="17">
        <v>42630</v>
      </c>
      <c r="D4372" t="s">
        <v>138</v>
      </c>
      <c r="E4372">
        <v>68.599999999999994</v>
      </c>
    </row>
    <row r="4373" spans="2:5">
      <c r="B4373" s="17">
        <v>42630</v>
      </c>
      <c r="D4373" t="s">
        <v>961</v>
      </c>
      <c r="E4373">
        <v>100.70400000000001</v>
      </c>
    </row>
    <row r="4374" spans="2:5">
      <c r="B4374" s="17">
        <v>42630</v>
      </c>
      <c r="D4374" t="s">
        <v>961</v>
      </c>
      <c r="E4374">
        <v>2.3280000000000003</v>
      </c>
    </row>
    <row r="4375" spans="2:5">
      <c r="B4375" s="17">
        <v>42630</v>
      </c>
      <c r="D4375" t="s">
        <v>961</v>
      </c>
      <c r="E4375">
        <v>10.779999999999996</v>
      </c>
    </row>
    <row r="4376" spans="2:5">
      <c r="B4376" s="17">
        <v>42630</v>
      </c>
      <c r="D4376" t="s">
        <v>961</v>
      </c>
      <c r="E4376">
        <v>58.368000000000009</v>
      </c>
    </row>
    <row r="4377" spans="2:5">
      <c r="B4377" s="17">
        <v>42630</v>
      </c>
      <c r="D4377" t="s">
        <v>961</v>
      </c>
      <c r="E4377">
        <v>40.968000000000004</v>
      </c>
    </row>
    <row r="4378" spans="2:5">
      <c r="B4378" s="17">
        <v>42630</v>
      </c>
      <c r="D4378" t="s">
        <v>1361</v>
      </c>
      <c r="E4378">
        <v>71.959999999999994</v>
      </c>
    </row>
    <row r="4379" spans="2:5">
      <c r="B4379" s="17">
        <v>42630</v>
      </c>
      <c r="D4379" t="s">
        <v>1361</v>
      </c>
      <c r="E4379">
        <v>10.368000000000002</v>
      </c>
    </row>
    <row r="4380" spans="2:5">
      <c r="B4380" s="17">
        <v>42630</v>
      </c>
      <c r="D4380" t="s">
        <v>1361</v>
      </c>
      <c r="E4380">
        <v>1.1919999999999997</v>
      </c>
    </row>
    <row r="4381" spans="2:5">
      <c r="B4381" s="17">
        <v>42629</v>
      </c>
      <c r="D4381" t="s">
        <v>1361</v>
      </c>
      <c r="E4381">
        <v>17.28</v>
      </c>
    </row>
    <row r="4382" spans="2:5">
      <c r="B4382" s="17">
        <v>42629</v>
      </c>
      <c r="D4382" t="s">
        <v>1361</v>
      </c>
      <c r="E4382">
        <v>17.712</v>
      </c>
    </row>
    <row r="4383" spans="2:5">
      <c r="B4383" s="17">
        <v>42629</v>
      </c>
      <c r="D4383" t="s">
        <v>1361</v>
      </c>
      <c r="E4383">
        <v>54.96</v>
      </c>
    </row>
    <row r="4384" spans="2:5">
      <c r="B4384" s="17">
        <v>42629</v>
      </c>
      <c r="D4384" t="s">
        <v>1361</v>
      </c>
      <c r="E4384">
        <v>18.48</v>
      </c>
    </row>
    <row r="4385" spans="2:5">
      <c r="B4385" s="17">
        <v>42628</v>
      </c>
      <c r="D4385" t="s">
        <v>1361</v>
      </c>
      <c r="E4385">
        <v>8.74</v>
      </c>
    </row>
    <row r="4386" spans="2:5">
      <c r="B4386" s="17">
        <v>42628</v>
      </c>
      <c r="D4386" t="s">
        <v>783</v>
      </c>
      <c r="E4386">
        <v>44.75</v>
      </c>
    </row>
    <row r="4387" spans="2:5">
      <c r="B4387" s="17">
        <v>42628</v>
      </c>
      <c r="D4387" t="s">
        <v>783</v>
      </c>
      <c r="E4387">
        <v>31.96</v>
      </c>
    </row>
    <row r="4388" spans="2:5">
      <c r="B4388" s="17">
        <v>42628</v>
      </c>
      <c r="D4388" t="s">
        <v>783</v>
      </c>
      <c r="E4388">
        <v>1117.92</v>
      </c>
    </row>
    <row r="4389" spans="2:5">
      <c r="B4389" s="17">
        <v>42628</v>
      </c>
      <c r="D4389" t="s">
        <v>783</v>
      </c>
      <c r="E4389">
        <v>6.3680000000000003</v>
      </c>
    </row>
    <row r="4390" spans="2:5">
      <c r="B4390" s="17">
        <v>42628</v>
      </c>
      <c r="D4390" t="s">
        <v>783</v>
      </c>
      <c r="E4390">
        <v>48.848000000000006</v>
      </c>
    </row>
    <row r="4391" spans="2:5">
      <c r="B4391" s="17">
        <v>42628</v>
      </c>
      <c r="D4391" t="s">
        <v>783</v>
      </c>
      <c r="E4391">
        <v>19.648</v>
      </c>
    </row>
    <row r="4392" spans="2:5">
      <c r="B4392" s="17">
        <v>42627</v>
      </c>
      <c r="D4392" t="s">
        <v>783</v>
      </c>
      <c r="E4392">
        <v>103.96799999999999</v>
      </c>
    </row>
    <row r="4393" spans="2:5">
      <c r="B4393" s="17">
        <v>42627</v>
      </c>
      <c r="D4393" t="s">
        <v>783</v>
      </c>
      <c r="E4393">
        <v>61.192</v>
      </c>
    </row>
    <row r="4394" spans="2:5">
      <c r="B4394" s="17">
        <v>42627</v>
      </c>
      <c r="D4394" t="s">
        <v>783</v>
      </c>
      <c r="E4394">
        <v>67.84</v>
      </c>
    </row>
    <row r="4395" spans="2:5">
      <c r="B4395" s="17">
        <v>42626</v>
      </c>
      <c r="D4395" t="s">
        <v>783</v>
      </c>
      <c r="E4395">
        <v>1319.96</v>
      </c>
    </row>
    <row r="4396" spans="2:5">
      <c r="B4396" s="17">
        <v>42626</v>
      </c>
      <c r="D4396" t="s">
        <v>1105</v>
      </c>
      <c r="E4396">
        <v>595</v>
      </c>
    </row>
    <row r="4397" spans="2:5">
      <c r="B4397" s="17">
        <v>42626</v>
      </c>
      <c r="D4397" t="s">
        <v>1105</v>
      </c>
      <c r="E4397">
        <v>61.120000000000005</v>
      </c>
    </row>
    <row r="4398" spans="2:5">
      <c r="B4398" s="17">
        <v>42626</v>
      </c>
      <c r="D4398" t="s">
        <v>1105</v>
      </c>
      <c r="E4398">
        <v>10.776000000000002</v>
      </c>
    </row>
    <row r="4399" spans="2:5">
      <c r="B4399" s="17">
        <v>42626</v>
      </c>
      <c r="D4399" t="s">
        <v>1105</v>
      </c>
      <c r="E4399">
        <v>67.176000000000002</v>
      </c>
    </row>
    <row r="4400" spans="2:5">
      <c r="B4400" s="17">
        <v>42626</v>
      </c>
      <c r="D4400" t="s">
        <v>1105</v>
      </c>
      <c r="E4400">
        <v>15.231999999999999</v>
      </c>
    </row>
    <row r="4401" spans="2:5">
      <c r="B4401" s="17">
        <v>42626</v>
      </c>
      <c r="D4401" t="s">
        <v>1105</v>
      </c>
      <c r="E4401">
        <v>49.5</v>
      </c>
    </row>
    <row r="4402" spans="2:5">
      <c r="B4402" s="17">
        <v>42626</v>
      </c>
      <c r="D4402" t="s">
        <v>1105</v>
      </c>
      <c r="E4402">
        <v>28.4</v>
      </c>
    </row>
    <row r="4403" spans="2:5">
      <c r="B4403" s="17">
        <v>42626</v>
      </c>
      <c r="D4403" t="s">
        <v>1105</v>
      </c>
      <c r="E4403">
        <v>8.32</v>
      </c>
    </row>
    <row r="4404" spans="2:5">
      <c r="B4404" s="17">
        <v>42626</v>
      </c>
      <c r="D4404" t="s">
        <v>1105</v>
      </c>
      <c r="E4404">
        <v>99.390000000000015</v>
      </c>
    </row>
    <row r="4405" spans="2:5">
      <c r="B4405" s="17">
        <v>42625</v>
      </c>
      <c r="D4405" t="s">
        <v>1105</v>
      </c>
      <c r="E4405">
        <v>1016.792</v>
      </c>
    </row>
    <row r="4406" spans="2:5">
      <c r="B4406" s="17">
        <v>42625</v>
      </c>
      <c r="D4406" t="s">
        <v>1105</v>
      </c>
      <c r="E4406">
        <v>38.136000000000003</v>
      </c>
    </row>
    <row r="4407" spans="2:5">
      <c r="B4407" s="17">
        <v>42625</v>
      </c>
      <c r="D4407" t="s">
        <v>1105</v>
      </c>
      <c r="E4407">
        <v>361.37600000000003</v>
      </c>
    </row>
    <row r="4408" spans="2:5">
      <c r="B4408" s="17">
        <v>42625</v>
      </c>
      <c r="D4408" t="s">
        <v>1365</v>
      </c>
      <c r="E4408">
        <v>630.024</v>
      </c>
    </row>
    <row r="4409" spans="2:5">
      <c r="B4409" s="17">
        <v>42625</v>
      </c>
      <c r="D4409" t="s">
        <v>1365</v>
      </c>
      <c r="E4409">
        <v>499.98</v>
      </c>
    </row>
    <row r="4410" spans="2:5">
      <c r="B4410" s="17">
        <v>42625</v>
      </c>
      <c r="D4410" t="s">
        <v>683</v>
      </c>
      <c r="E4410">
        <v>5.28</v>
      </c>
    </row>
    <row r="4411" spans="2:5">
      <c r="B4411" s="17">
        <v>42625</v>
      </c>
      <c r="D4411" t="s">
        <v>683</v>
      </c>
      <c r="E4411">
        <v>8.26</v>
      </c>
    </row>
    <row r="4412" spans="2:5">
      <c r="B4412" s="17">
        <v>42625</v>
      </c>
      <c r="D4412" t="s">
        <v>683</v>
      </c>
      <c r="E4412">
        <v>7.38</v>
      </c>
    </row>
    <row r="4413" spans="2:5">
      <c r="B4413" s="17">
        <v>42625</v>
      </c>
      <c r="D4413" t="s">
        <v>683</v>
      </c>
      <c r="E4413">
        <v>2.2959999999999994</v>
      </c>
    </row>
    <row r="4414" spans="2:5">
      <c r="B4414" s="17">
        <v>42625</v>
      </c>
      <c r="D4414" t="s">
        <v>683</v>
      </c>
      <c r="E4414">
        <v>408.00599999999997</v>
      </c>
    </row>
    <row r="4415" spans="2:5">
      <c r="B4415" s="17">
        <v>42625</v>
      </c>
      <c r="D4415" t="s">
        <v>683</v>
      </c>
      <c r="E4415">
        <v>40.44</v>
      </c>
    </row>
    <row r="4416" spans="2:5">
      <c r="B4416" s="17">
        <v>42625</v>
      </c>
      <c r="D4416" t="s">
        <v>683</v>
      </c>
      <c r="E4416">
        <v>380.05799999999994</v>
      </c>
    </row>
    <row r="4417" spans="2:5">
      <c r="B4417" s="17">
        <v>42625</v>
      </c>
      <c r="D4417" t="s">
        <v>683</v>
      </c>
      <c r="E4417">
        <v>1199.9759999999999</v>
      </c>
    </row>
    <row r="4418" spans="2:5">
      <c r="B4418" s="17">
        <v>42625</v>
      </c>
      <c r="D4418" t="s">
        <v>683</v>
      </c>
      <c r="E4418">
        <v>48.576000000000001</v>
      </c>
    </row>
    <row r="4419" spans="2:5">
      <c r="B4419" s="17">
        <v>42625</v>
      </c>
      <c r="D4419" t="s">
        <v>683</v>
      </c>
      <c r="E4419">
        <v>9.84</v>
      </c>
    </row>
    <row r="4420" spans="2:5">
      <c r="B4420" s="17">
        <v>42624</v>
      </c>
      <c r="D4420" t="s">
        <v>808</v>
      </c>
      <c r="E4420">
        <v>19.920000000000002</v>
      </c>
    </row>
    <row r="4421" spans="2:5">
      <c r="B4421" s="17">
        <v>42624</v>
      </c>
      <c r="D4421" t="s">
        <v>808</v>
      </c>
      <c r="E4421">
        <v>89.97</v>
      </c>
    </row>
    <row r="4422" spans="2:5">
      <c r="B4422" s="17">
        <v>42624</v>
      </c>
      <c r="D4422" t="s">
        <v>808</v>
      </c>
      <c r="E4422">
        <v>13.98</v>
      </c>
    </row>
    <row r="4423" spans="2:5">
      <c r="B4423" s="17">
        <v>42624</v>
      </c>
      <c r="D4423" t="s">
        <v>808</v>
      </c>
      <c r="E4423">
        <v>23.65</v>
      </c>
    </row>
    <row r="4424" spans="2:5">
      <c r="B4424" s="17">
        <v>42624</v>
      </c>
      <c r="D4424" t="s">
        <v>808</v>
      </c>
      <c r="E4424">
        <v>44.02</v>
      </c>
    </row>
    <row r="4425" spans="2:5">
      <c r="B4425" s="17">
        <v>42624</v>
      </c>
      <c r="D4425" t="s">
        <v>808</v>
      </c>
      <c r="E4425">
        <v>52.136000000000003</v>
      </c>
    </row>
    <row r="4426" spans="2:5">
      <c r="B4426" s="17">
        <v>42624</v>
      </c>
      <c r="D4426" t="s">
        <v>808</v>
      </c>
      <c r="E4426">
        <v>4.18</v>
      </c>
    </row>
    <row r="4427" spans="2:5">
      <c r="B4427" s="17">
        <v>42624</v>
      </c>
      <c r="D4427" t="s">
        <v>808</v>
      </c>
      <c r="E4427">
        <v>3.1359999999999992</v>
      </c>
    </row>
    <row r="4428" spans="2:5">
      <c r="B4428" s="17">
        <v>42624</v>
      </c>
      <c r="D4428" t="s">
        <v>297</v>
      </c>
      <c r="E4428">
        <v>77.55</v>
      </c>
    </row>
    <row r="4429" spans="2:5">
      <c r="B4429" s="17">
        <v>42624</v>
      </c>
      <c r="D4429" t="s">
        <v>297</v>
      </c>
      <c r="E4429">
        <v>24.88</v>
      </c>
    </row>
    <row r="4430" spans="2:5">
      <c r="B4430" s="17">
        <v>42624</v>
      </c>
      <c r="D4430" t="s">
        <v>297</v>
      </c>
      <c r="E4430">
        <v>140.75</v>
      </c>
    </row>
    <row r="4431" spans="2:5">
      <c r="B4431" s="17">
        <v>42624</v>
      </c>
      <c r="D4431" t="s">
        <v>297</v>
      </c>
      <c r="E4431">
        <v>36.630000000000003</v>
      </c>
    </row>
    <row r="4432" spans="2:5">
      <c r="B4432" s="17">
        <v>42624</v>
      </c>
      <c r="D4432" t="s">
        <v>297</v>
      </c>
      <c r="E4432">
        <v>30.36</v>
      </c>
    </row>
    <row r="4433" spans="2:5">
      <c r="B4433" s="17">
        <v>42624</v>
      </c>
      <c r="D4433" t="s">
        <v>297</v>
      </c>
      <c r="E4433">
        <v>2279.96</v>
      </c>
    </row>
    <row r="4434" spans="2:5">
      <c r="B4434" s="17">
        <v>42624</v>
      </c>
      <c r="D4434" t="s">
        <v>297</v>
      </c>
      <c r="E4434">
        <v>14.940000000000001</v>
      </c>
    </row>
    <row r="4435" spans="2:5">
      <c r="B4435" s="17">
        <v>42624</v>
      </c>
      <c r="D4435" t="s">
        <v>297</v>
      </c>
      <c r="E4435">
        <v>19.54</v>
      </c>
    </row>
    <row r="4436" spans="2:5">
      <c r="B4436" s="17">
        <v>42624</v>
      </c>
      <c r="D4436" t="s">
        <v>297</v>
      </c>
      <c r="E4436">
        <v>6.27</v>
      </c>
    </row>
    <row r="4437" spans="2:5">
      <c r="B4437" s="17">
        <v>42623</v>
      </c>
      <c r="D4437" t="s">
        <v>297</v>
      </c>
      <c r="E4437">
        <v>4.3680000000000003</v>
      </c>
    </row>
    <row r="4438" spans="2:5">
      <c r="B4438" s="17">
        <v>42623</v>
      </c>
      <c r="D4438" t="s">
        <v>297</v>
      </c>
      <c r="E4438">
        <v>31.983999999999998</v>
      </c>
    </row>
    <row r="4439" spans="2:5">
      <c r="B4439" s="17">
        <v>42623</v>
      </c>
      <c r="D4439" t="s">
        <v>661</v>
      </c>
      <c r="E4439">
        <v>37.68</v>
      </c>
    </row>
    <row r="4440" spans="2:5">
      <c r="B4440" s="17">
        <v>42623</v>
      </c>
      <c r="D4440" t="s">
        <v>661</v>
      </c>
      <c r="E4440">
        <v>19.98</v>
      </c>
    </row>
    <row r="4441" spans="2:5">
      <c r="B4441" s="17">
        <v>42623</v>
      </c>
      <c r="D4441" t="s">
        <v>661</v>
      </c>
      <c r="E4441">
        <v>20.58</v>
      </c>
    </row>
    <row r="4442" spans="2:5">
      <c r="B4442" s="17">
        <v>42623</v>
      </c>
      <c r="D4442" t="s">
        <v>661</v>
      </c>
      <c r="E4442">
        <v>17.38</v>
      </c>
    </row>
    <row r="4443" spans="2:5">
      <c r="B4443" s="17">
        <v>42623</v>
      </c>
      <c r="D4443" t="s">
        <v>661</v>
      </c>
      <c r="E4443">
        <v>1474.8020000000001</v>
      </c>
    </row>
    <row r="4444" spans="2:5">
      <c r="B4444" s="17">
        <v>42623</v>
      </c>
      <c r="D4444" t="s">
        <v>661</v>
      </c>
      <c r="E4444">
        <v>110.096</v>
      </c>
    </row>
    <row r="4445" spans="2:5">
      <c r="B4445" s="17">
        <v>42623</v>
      </c>
      <c r="D4445" t="s">
        <v>813</v>
      </c>
      <c r="E4445">
        <v>16.752000000000002</v>
      </c>
    </row>
    <row r="4446" spans="2:5">
      <c r="B4446" s="17">
        <v>42623</v>
      </c>
      <c r="D4446" t="s">
        <v>813</v>
      </c>
      <c r="E4446">
        <v>1537.0739999999998</v>
      </c>
    </row>
    <row r="4447" spans="2:5">
      <c r="B4447" s="17">
        <v>42623</v>
      </c>
      <c r="D4447" t="s">
        <v>813</v>
      </c>
      <c r="E4447">
        <v>449.37200000000001</v>
      </c>
    </row>
    <row r="4448" spans="2:5">
      <c r="B4448" s="17">
        <v>42622</v>
      </c>
      <c r="D4448" t="s">
        <v>553</v>
      </c>
      <c r="E4448">
        <v>674.35200000000009</v>
      </c>
    </row>
    <row r="4449" spans="2:5">
      <c r="B4449" s="17">
        <v>42622</v>
      </c>
      <c r="D4449" t="s">
        <v>553</v>
      </c>
      <c r="E4449">
        <v>22.752000000000002</v>
      </c>
    </row>
    <row r="4450" spans="2:5">
      <c r="B4450" s="17">
        <v>42622</v>
      </c>
      <c r="D4450" t="s">
        <v>553</v>
      </c>
      <c r="E4450">
        <v>59.97</v>
      </c>
    </row>
    <row r="4451" spans="2:5">
      <c r="B4451" s="17">
        <v>42621</v>
      </c>
      <c r="D4451" t="s">
        <v>553</v>
      </c>
      <c r="E4451">
        <v>83.36</v>
      </c>
    </row>
    <row r="4452" spans="2:5">
      <c r="B4452" s="17">
        <v>42621</v>
      </c>
      <c r="D4452" t="s">
        <v>553</v>
      </c>
      <c r="E4452">
        <v>95.968000000000004</v>
      </c>
    </row>
    <row r="4453" spans="2:5">
      <c r="B4453" s="17">
        <v>42621</v>
      </c>
      <c r="D4453" t="s">
        <v>553</v>
      </c>
      <c r="E4453">
        <v>47.991999999999997</v>
      </c>
    </row>
    <row r="4454" spans="2:5">
      <c r="B4454" s="17">
        <v>42621</v>
      </c>
      <c r="D4454" t="s">
        <v>553</v>
      </c>
      <c r="E4454">
        <v>6.96</v>
      </c>
    </row>
    <row r="4455" spans="2:5">
      <c r="B4455" s="17">
        <v>42621</v>
      </c>
      <c r="D4455" t="s">
        <v>1401</v>
      </c>
      <c r="E4455">
        <v>9.8880000000000017</v>
      </c>
    </row>
    <row r="4456" spans="2:5">
      <c r="B4456" s="17">
        <v>42621</v>
      </c>
      <c r="D4456" t="s">
        <v>1401</v>
      </c>
      <c r="E4456">
        <v>671.5440000000001</v>
      </c>
    </row>
    <row r="4457" spans="2:5">
      <c r="B4457" s="17">
        <v>42621</v>
      </c>
      <c r="D4457" t="s">
        <v>1401</v>
      </c>
      <c r="E4457">
        <v>28.14</v>
      </c>
    </row>
    <row r="4458" spans="2:5">
      <c r="B4458" s="17">
        <v>42621</v>
      </c>
      <c r="D4458" t="s">
        <v>1401</v>
      </c>
      <c r="E4458">
        <v>36</v>
      </c>
    </row>
    <row r="4459" spans="2:5">
      <c r="B4459" s="17">
        <v>42621</v>
      </c>
      <c r="D4459" t="s">
        <v>551</v>
      </c>
      <c r="E4459">
        <v>92.94</v>
      </c>
    </row>
    <row r="4460" spans="2:5">
      <c r="B4460" s="17">
        <v>42621</v>
      </c>
      <c r="D4460" t="s">
        <v>551</v>
      </c>
      <c r="E4460">
        <v>55.00800000000001</v>
      </c>
    </row>
    <row r="4461" spans="2:5">
      <c r="B4461" s="17">
        <v>42621</v>
      </c>
      <c r="D4461" t="s">
        <v>551</v>
      </c>
      <c r="E4461">
        <v>35.231999999999999</v>
      </c>
    </row>
    <row r="4462" spans="2:5">
      <c r="B4462" s="17">
        <v>42621</v>
      </c>
      <c r="D4462" t="s">
        <v>551</v>
      </c>
      <c r="E4462">
        <v>41.96</v>
      </c>
    </row>
    <row r="4463" spans="2:5">
      <c r="B4463" s="17">
        <v>42621</v>
      </c>
      <c r="D4463" t="s">
        <v>551</v>
      </c>
      <c r="E4463">
        <v>451.15199999999993</v>
      </c>
    </row>
    <row r="4464" spans="2:5">
      <c r="B4464" s="17">
        <v>42621</v>
      </c>
      <c r="D4464" t="s">
        <v>551</v>
      </c>
      <c r="E4464">
        <v>31.504000000000005</v>
      </c>
    </row>
    <row r="4465" spans="2:5">
      <c r="B4465" s="17">
        <v>42621</v>
      </c>
      <c r="D4465" t="s">
        <v>1502</v>
      </c>
      <c r="E4465">
        <v>2678.94</v>
      </c>
    </row>
    <row r="4466" spans="2:5">
      <c r="B4466" s="17">
        <v>42621</v>
      </c>
      <c r="D4466" t="s">
        <v>1502</v>
      </c>
      <c r="E4466">
        <v>14.111999999999998</v>
      </c>
    </row>
    <row r="4467" spans="2:5">
      <c r="B4467" s="17">
        <v>42621</v>
      </c>
      <c r="D4467" t="s">
        <v>1502</v>
      </c>
      <c r="E4467">
        <v>155.82000000000002</v>
      </c>
    </row>
    <row r="4468" spans="2:5">
      <c r="B4468" s="17">
        <v>42621</v>
      </c>
      <c r="D4468" t="s">
        <v>1502</v>
      </c>
      <c r="E4468">
        <v>70.00800000000001</v>
      </c>
    </row>
    <row r="4469" spans="2:5">
      <c r="B4469" s="17">
        <v>42621</v>
      </c>
      <c r="D4469" t="s">
        <v>1502</v>
      </c>
      <c r="E4469">
        <v>13.216000000000001</v>
      </c>
    </row>
    <row r="4470" spans="2:5">
      <c r="B4470" s="17">
        <v>42621</v>
      </c>
      <c r="D4470" t="s">
        <v>1502</v>
      </c>
      <c r="E4470">
        <v>32.400000000000006</v>
      </c>
    </row>
    <row r="4471" spans="2:5">
      <c r="B4471" s="17">
        <v>42621</v>
      </c>
      <c r="D4471" t="s">
        <v>1502</v>
      </c>
      <c r="E4471">
        <v>41.86</v>
      </c>
    </row>
    <row r="4472" spans="2:5">
      <c r="B4472" s="17">
        <v>42619</v>
      </c>
      <c r="D4472" t="s">
        <v>1561</v>
      </c>
      <c r="E4472">
        <v>14.720000000000002</v>
      </c>
    </row>
    <row r="4473" spans="2:5">
      <c r="B4473" s="17">
        <v>42619</v>
      </c>
      <c r="D4473" t="s">
        <v>1561</v>
      </c>
      <c r="E4473">
        <v>38.975999999999999</v>
      </c>
    </row>
    <row r="4474" spans="2:5">
      <c r="B4474" s="17">
        <v>42619</v>
      </c>
      <c r="D4474" t="s">
        <v>1561</v>
      </c>
      <c r="E4474">
        <v>9.2159999999999993</v>
      </c>
    </row>
    <row r="4475" spans="2:5">
      <c r="B4475" s="17">
        <v>42619</v>
      </c>
      <c r="D4475" t="s">
        <v>1561</v>
      </c>
      <c r="E4475">
        <v>41.957999999999998</v>
      </c>
    </row>
    <row r="4476" spans="2:5">
      <c r="B4476" s="17">
        <v>42619</v>
      </c>
      <c r="D4476" t="s">
        <v>1561</v>
      </c>
      <c r="E4476">
        <v>89.567999999999998</v>
      </c>
    </row>
    <row r="4477" spans="2:5">
      <c r="B4477" s="17">
        <v>42619</v>
      </c>
      <c r="D4477" t="s">
        <v>1731</v>
      </c>
      <c r="E4477">
        <v>22.248000000000001</v>
      </c>
    </row>
    <row r="4478" spans="2:5">
      <c r="B4478" s="17">
        <v>42619</v>
      </c>
      <c r="D4478" t="s">
        <v>1731</v>
      </c>
      <c r="E4478">
        <v>148.28800000000001</v>
      </c>
    </row>
    <row r="4479" spans="2:5">
      <c r="B4479" s="17">
        <v>42619</v>
      </c>
      <c r="D4479" t="s">
        <v>1095</v>
      </c>
      <c r="E4479">
        <v>4.6240000000000006</v>
      </c>
    </row>
    <row r="4480" spans="2:5">
      <c r="B4480" s="17">
        <v>42618</v>
      </c>
      <c r="D4480" t="s">
        <v>1095</v>
      </c>
      <c r="E4480">
        <v>178.92000000000002</v>
      </c>
    </row>
    <row r="4481" spans="2:5">
      <c r="B4481" s="17">
        <v>42618</v>
      </c>
      <c r="D4481" t="s">
        <v>1095</v>
      </c>
      <c r="E4481">
        <v>69.888000000000005</v>
      </c>
    </row>
    <row r="4482" spans="2:5">
      <c r="B4482" s="17">
        <v>42618</v>
      </c>
      <c r="D4482" t="s">
        <v>647</v>
      </c>
      <c r="E4482">
        <v>37.299999999999997</v>
      </c>
    </row>
    <row r="4483" spans="2:5">
      <c r="B4483" s="17">
        <v>42618</v>
      </c>
      <c r="D4483" t="s">
        <v>647</v>
      </c>
      <c r="E4483">
        <v>81.96</v>
      </c>
    </row>
    <row r="4484" spans="2:5">
      <c r="B4484" s="17">
        <v>42618</v>
      </c>
      <c r="D4484" t="s">
        <v>647</v>
      </c>
      <c r="E4484">
        <v>20.368000000000002</v>
      </c>
    </row>
    <row r="4485" spans="2:5">
      <c r="B4485" s="17">
        <v>42618</v>
      </c>
      <c r="D4485" t="s">
        <v>647</v>
      </c>
      <c r="E4485">
        <v>49.847999999999999</v>
      </c>
    </row>
    <row r="4486" spans="2:5">
      <c r="B4486" s="17">
        <v>42618</v>
      </c>
      <c r="D4486" t="s">
        <v>647</v>
      </c>
      <c r="E4486">
        <v>67.710000000000008</v>
      </c>
    </row>
    <row r="4487" spans="2:5">
      <c r="B4487" s="17">
        <v>42618</v>
      </c>
      <c r="D4487" t="s">
        <v>647</v>
      </c>
      <c r="E4487">
        <v>129.91999999999999</v>
      </c>
    </row>
    <row r="4488" spans="2:5">
      <c r="B4488" s="17">
        <v>42618</v>
      </c>
      <c r="D4488" t="s">
        <v>647</v>
      </c>
      <c r="E4488">
        <v>467.46</v>
      </c>
    </row>
    <row r="4489" spans="2:5">
      <c r="B4489" s="17">
        <v>42618</v>
      </c>
      <c r="D4489" t="s">
        <v>647</v>
      </c>
      <c r="E4489">
        <v>61.4</v>
      </c>
    </row>
    <row r="4490" spans="2:5">
      <c r="B4490" s="17">
        <v>42618</v>
      </c>
      <c r="D4490" t="s">
        <v>1774</v>
      </c>
      <c r="E4490">
        <v>720.76</v>
      </c>
    </row>
    <row r="4491" spans="2:5">
      <c r="B4491" s="17">
        <v>42618</v>
      </c>
      <c r="D4491" t="s">
        <v>1774</v>
      </c>
      <c r="E4491">
        <v>5.1840000000000011</v>
      </c>
    </row>
    <row r="4492" spans="2:5">
      <c r="B4492" s="17">
        <v>42618</v>
      </c>
      <c r="D4492" t="s">
        <v>1774</v>
      </c>
      <c r="E4492">
        <v>14.7</v>
      </c>
    </row>
    <row r="4493" spans="2:5">
      <c r="B4493" s="17">
        <v>42618</v>
      </c>
      <c r="D4493" t="s">
        <v>939</v>
      </c>
      <c r="E4493">
        <v>9.98</v>
      </c>
    </row>
    <row r="4494" spans="2:5">
      <c r="B4494" s="17">
        <v>42618</v>
      </c>
      <c r="D4494" t="s">
        <v>939</v>
      </c>
      <c r="E4494">
        <v>29.74</v>
      </c>
    </row>
    <row r="4495" spans="2:5">
      <c r="B4495" s="17">
        <v>42618</v>
      </c>
      <c r="D4495" t="s">
        <v>939</v>
      </c>
      <c r="E4495">
        <v>31.104000000000006</v>
      </c>
    </row>
    <row r="4496" spans="2:5">
      <c r="B4496" s="17">
        <v>42618</v>
      </c>
      <c r="D4496" t="s">
        <v>939</v>
      </c>
      <c r="E4496">
        <v>3.64</v>
      </c>
    </row>
    <row r="4497" spans="2:5">
      <c r="B4497" s="17">
        <v>42618</v>
      </c>
      <c r="D4497" t="s">
        <v>939</v>
      </c>
      <c r="E4497">
        <v>881.93</v>
      </c>
    </row>
    <row r="4498" spans="2:5">
      <c r="B4498" s="17">
        <v>42618</v>
      </c>
      <c r="D4498" t="s">
        <v>939</v>
      </c>
      <c r="E4498">
        <v>479.97</v>
      </c>
    </row>
    <row r="4499" spans="2:5">
      <c r="B4499" s="17">
        <v>42618</v>
      </c>
      <c r="D4499" t="s">
        <v>1039</v>
      </c>
      <c r="E4499">
        <v>731.93999999999994</v>
      </c>
    </row>
    <row r="4500" spans="2:5">
      <c r="B4500" s="17">
        <v>42618</v>
      </c>
      <c r="D4500" t="s">
        <v>1039</v>
      </c>
      <c r="E4500">
        <v>27.680000000000003</v>
      </c>
    </row>
    <row r="4501" spans="2:5">
      <c r="B4501" s="17">
        <v>42618</v>
      </c>
      <c r="D4501" t="s">
        <v>1039</v>
      </c>
      <c r="E4501">
        <v>37.44</v>
      </c>
    </row>
    <row r="4502" spans="2:5">
      <c r="B4502" s="17">
        <v>42618</v>
      </c>
      <c r="D4502" t="s">
        <v>404</v>
      </c>
      <c r="E4502">
        <v>26.975999999999999</v>
      </c>
    </row>
    <row r="4503" spans="2:5">
      <c r="B4503" s="17">
        <v>42618</v>
      </c>
      <c r="D4503" t="s">
        <v>404</v>
      </c>
      <c r="E4503">
        <v>11.36</v>
      </c>
    </row>
    <row r="4504" spans="2:5">
      <c r="B4504" s="17">
        <v>42618</v>
      </c>
      <c r="D4504" t="s">
        <v>404</v>
      </c>
      <c r="E4504">
        <v>14.62</v>
      </c>
    </row>
    <row r="4505" spans="2:5">
      <c r="B4505" s="17">
        <v>42618</v>
      </c>
      <c r="D4505" t="s">
        <v>404</v>
      </c>
      <c r="E4505">
        <v>14.82</v>
      </c>
    </row>
    <row r="4506" spans="2:5">
      <c r="B4506" s="17">
        <v>42618</v>
      </c>
      <c r="D4506" t="s">
        <v>404</v>
      </c>
      <c r="E4506">
        <v>119.97600000000001</v>
      </c>
    </row>
    <row r="4507" spans="2:5">
      <c r="B4507" s="17">
        <v>42618</v>
      </c>
      <c r="D4507" t="s">
        <v>404</v>
      </c>
      <c r="E4507">
        <v>14.96</v>
      </c>
    </row>
    <row r="4508" spans="2:5">
      <c r="B4508" s="17">
        <v>42618</v>
      </c>
      <c r="D4508" t="s">
        <v>404</v>
      </c>
      <c r="E4508">
        <v>12.9</v>
      </c>
    </row>
    <row r="4509" spans="2:5">
      <c r="B4509" s="17">
        <v>42618</v>
      </c>
      <c r="D4509" t="s">
        <v>1843</v>
      </c>
      <c r="E4509">
        <v>1603.1360000000002</v>
      </c>
    </row>
    <row r="4510" spans="2:5">
      <c r="B4510" s="17">
        <v>42618</v>
      </c>
      <c r="D4510" t="s">
        <v>1843</v>
      </c>
      <c r="E4510">
        <v>359.96999999999997</v>
      </c>
    </row>
    <row r="4511" spans="2:5">
      <c r="B4511" s="17">
        <v>42618</v>
      </c>
      <c r="D4511" t="s">
        <v>1556</v>
      </c>
      <c r="E4511">
        <v>12.96</v>
      </c>
    </row>
    <row r="4512" spans="2:5">
      <c r="B4512" s="17">
        <v>42618</v>
      </c>
      <c r="D4512" t="s">
        <v>1556</v>
      </c>
      <c r="E4512">
        <v>116.82</v>
      </c>
    </row>
    <row r="4513" spans="2:5">
      <c r="B4513" s="17">
        <v>42618</v>
      </c>
      <c r="D4513" t="s">
        <v>215</v>
      </c>
      <c r="E4513">
        <v>44.460000000000008</v>
      </c>
    </row>
    <row r="4514" spans="2:5">
      <c r="B4514" s="17">
        <v>42618</v>
      </c>
      <c r="D4514" t="s">
        <v>215</v>
      </c>
      <c r="E4514">
        <v>479.97</v>
      </c>
    </row>
    <row r="4515" spans="2:5">
      <c r="B4515" s="17">
        <v>42618</v>
      </c>
      <c r="D4515" t="s">
        <v>215</v>
      </c>
      <c r="E4515">
        <v>57.584000000000003</v>
      </c>
    </row>
    <row r="4516" spans="2:5">
      <c r="B4516" s="17">
        <v>42618</v>
      </c>
      <c r="D4516" t="s">
        <v>215</v>
      </c>
      <c r="E4516">
        <v>81.424000000000007</v>
      </c>
    </row>
    <row r="4517" spans="2:5">
      <c r="B4517" s="17">
        <v>42618</v>
      </c>
      <c r="D4517" t="s">
        <v>215</v>
      </c>
      <c r="E4517">
        <v>36.112000000000002</v>
      </c>
    </row>
    <row r="4518" spans="2:5">
      <c r="B4518" s="17">
        <v>42617</v>
      </c>
      <c r="D4518" t="s">
        <v>215</v>
      </c>
      <c r="E4518">
        <v>35.568000000000005</v>
      </c>
    </row>
    <row r="4519" spans="2:5">
      <c r="B4519" s="17">
        <v>42617</v>
      </c>
      <c r="D4519" t="s">
        <v>215</v>
      </c>
      <c r="E4519">
        <v>88.768000000000001</v>
      </c>
    </row>
    <row r="4520" spans="2:5">
      <c r="B4520" s="17">
        <v>42617</v>
      </c>
      <c r="D4520" t="s">
        <v>215</v>
      </c>
      <c r="E4520">
        <v>84.84</v>
      </c>
    </row>
    <row r="4521" spans="2:5">
      <c r="B4521" s="17">
        <v>42617</v>
      </c>
      <c r="D4521" t="s">
        <v>1864</v>
      </c>
      <c r="E4521">
        <v>29.120000000000005</v>
      </c>
    </row>
    <row r="4522" spans="2:5">
      <c r="B4522" s="17">
        <v>42617</v>
      </c>
      <c r="D4522" t="s">
        <v>1864</v>
      </c>
      <c r="E4522">
        <v>23.987999999999996</v>
      </c>
    </row>
    <row r="4523" spans="2:5">
      <c r="B4523" s="17">
        <v>42617</v>
      </c>
      <c r="D4523" t="s">
        <v>1864</v>
      </c>
      <c r="E4523">
        <v>863.12799999999993</v>
      </c>
    </row>
    <row r="4524" spans="2:5">
      <c r="B4524" s="17">
        <v>42617</v>
      </c>
      <c r="D4524" t="s">
        <v>1215</v>
      </c>
      <c r="E4524">
        <v>3.5639999999999992</v>
      </c>
    </row>
    <row r="4525" spans="2:5">
      <c r="B4525" s="17">
        <v>42617</v>
      </c>
      <c r="D4525" t="s">
        <v>1215</v>
      </c>
      <c r="E4525">
        <v>956.6647999999999</v>
      </c>
    </row>
    <row r="4526" spans="2:5">
      <c r="B4526" s="17">
        <v>42617</v>
      </c>
      <c r="D4526" t="s">
        <v>1641</v>
      </c>
      <c r="E4526">
        <v>12.587999999999997</v>
      </c>
    </row>
    <row r="4527" spans="2:5">
      <c r="B4527" s="17">
        <v>42617</v>
      </c>
      <c r="D4527" t="s">
        <v>1641</v>
      </c>
      <c r="E4527">
        <v>171.96</v>
      </c>
    </row>
    <row r="4528" spans="2:5">
      <c r="B4528" s="17">
        <v>42617</v>
      </c>
      <c r="D4528" t="s">
        <v>1641</v>
      </c>
      <c r="E4528">
        <v>104.9</v>
      </c>
    </row>
    <row r="4529" spans="2:5">
      <c r="B4529" s="17">
        <v>42617</v>
      </c>
      <c r="D4529" t="s">
        <v>1641</v>
      </c>
      <c r="E4529">
        <v>39.68</v>
      </c>
    </row>
    <row r="4530" spans="2:5">
      <c r="B4530" s="17">
        <v>42617</v>
      </c>
      <c r="D4530" t="s">
        <v>429</v>
      </c>
      <c r="E4530">
        <v>51.75</v>
      </c>
    </row>
    <row r="4531" spans="2:5">
      <c r="B4531" s="17">
        <v>42617</v>
      </c>
      <c r="D4531" t="s">
        <v>429</v>
      </c>
      <c r="E4531">
        <v>53.248000000000005</v>
      </c>
    </row>
    <row r="4532" spans="2:5">
      <c r="B4532" s="17">
        <v>42617</v>
      </c>
      <c r="D4532" t="s">
        <v>429</v>
      </c>
      <c r="E4532">
        <v>11.840000000000002</v>
      </c>
    </row>
    <row r="4533" spans="2:5">
      <c r="B4533" s="17">
        <v>42617</v>
      </c>
      <c r="D4533" t="s">
        <v>429</v>
      </c>
      <c r="E4533">
        <v>479.72</v>
      </c>
    </row>
    <row r="4534" spans="2:5">
      <c r="B4534" s="17">
        <v>42617</v>
      </c>
      <c r="D4534" t="s">
        <v>429</v>
      </c>
      <c r="E4534">
        <v>72</v>
      </c>
    </row>
    <row r="4535" spans="2:5">
      <c r="B4535" s="17">
        <v>42617</v>
      </c>
      <c r="D4535" t="s">
        <v>429</v>
      </c>
      <c r="E4535">
        <v>113.88800000000002</v>
      </c>
    </row>
    <row r="4536" spans="2:5">
      <c r="B4536" s="17">
        <v>42616</v>
      </c>
      <c r="D4536" t="s">
        <v>429</v>
      </c>
      <c r="E4536">
        <v>158.13</v>
      </c>
    </row>
    <row r="4537" spans="2:5">
      <c r="B4537" s="17">
        <v>42616</v>
      </c>
      <c r="D4537" t="s">
        <v>429</v>
      </c>
      <c r="E4537">
        <v>89.97</v>
      </c>
    </row>
    <row r="4538" spans="2:5">
      <c r="B4538" s="17">
        <v>42616</v>
      </c>
      <c r="D4538" t="s">
        <v>658</v>
      </c>
      <c r="E4538">
        <v>756.80000000000007</v>
      </c>
    </row>
    <row r="4539" spans="2:5">
      <c r="B4539" s="17">
        <v>42616</v>
      </c>
      <c r="D4539" t="s">
        <v>658</v>
      </c>
      <c r="E4539">
        <v>10.74</v>
      </c>
    </row>
    <row r="4540" spans="2:5">
      <c r="B4540" s="17">
        <v>42616</v>
      </c>
      <c r="D4540" t="s">
        <v>658</v>
      </c>
      <c r="E4540">
        <v>38.29</v>
      </c>
    </row>
    <row r="4541" spans="2:5">
      <c r="B4541" s="17">
        <v>42616</v>
      </c>
      <c r="D4541" t="s">
        <v>658</v>
      </c>
      <c r="E4541">
        <v>192.8</v>
      </c>
    </row>
    <row r="4542" spans="2:5">
      <c r="B4542" s="17">
        <v>42616</v>
      </c>
      <c r="D4542" t="s">
        <v>658</v>
      </c>
      <c r="E4542">
        <v>17.584000000000003</v>
      </c>
    </row>
    <row r="4543" spans="2:5">
      <c r="B4543" s="17">
        <v>42616</v>
      </c>
      <c r="D4543" t="s">
        <v>658</v>
      </c>
      <c r="E4543">
        <v>104.78399999999999</v>
      </c>
    </row>
    <row r="4544" spans="2:5">
      <c r="B4544" s="17">
        <v>42616</v>
      </c>
      <c r="D4544" t="s">
        <v>658</v>
      </c>
      <c r="E4544">
        <v>47.952000000000005</v>
      </c>
    </row>
    <row r="4545" spans="2:5">
      <c r="B4545" s="17">
        <v>42616</v>
      </c>
      <c r="D4545" t="s">
        <v>656</v>
      </c>
      <c r="E4545">
        <v>650.35200000000009</v>
      </c>
    </row>
    <row r="4546" spans="2:5">
      <c r="B4546" s="17">
        <v>42616</v>
      </c>
      <c r="D4546" t="s">
        <v>656</v>
      </c>
      <c r="E4546">
        <v>629.18400000000008</v>
      </c>
    </row>
    <row r="4547" spans="2:5">
      <c r="B4547" s="17">
        <v>42616</v>
      </c>
      <c r="D4547" t="s">
        <v>656</v>
      </c>
      <c r="E4547">
        <v>15.176</v>
      </c>
    </row>
    <row r="4548" spans="2:5">
      <c r="B4548" s="17">
        <v>42616</v>
      </c>
      <c r="D4548" t="s">
        <v>656</v>
      </c>
      <c r="E4548">
        <v>50.496000000000002</v>
      </c>
    </row>
    <row r="4549" spans="2:5">
      <c r="B4549" s="17">
        <v>42615</v>
      </c>
      <c r="D4549" t="s">
        <v>656</v>
      </c>
      <c r="E4549">
        <v>7.7120000000000006</v>
      </c>
    </row>
    <row r="4550" spans="2:5">
      <c r="B4550" s="17">
        <v>42615</v>
      </c>
      <c r="D4550" t="s">
        <v>656</v>
      </c>
      <c r="E4550">
        <v>4.1760000000000002</v>
      </c>
    </row>
    <row r="4551" spans="2:5">
      <c r="B4551" s="17">
        <v>42615</v>
      </c>
      <c r="D4551" t="s">
        <v>119</v>
      </c>
      <c r="E4551">
        <v>38.880000000000003</v>
      </c>
    </row>
    <row r="4552" spans="2:5">
      <c r="B4552" s="17">
        <v>42615</v>
      </c>
      <c r="D4552" t="s">
        <v>119</v>
      </c>
      <c r="E4552">
        <v>45.248000000000005</v>
      </c>
    </row>
    <row r="4553" spans="2:5">
      <c r="B4553" s="17">
        <v>42615</v>
      </c>
      <c r="D4553" t="s">
        <v>119</v>
      </c>
      <c r="E4553">
        <v>876.30000000000007</v>
      </c>
    </row>
    <row r="4554" spans="2:5">
      <c r="B4554" s="17">
        <v>42615</v>
      </c>
      <c r="D4554" t="s">
        <v>119</v>
      </c>
      <c r="E4554">
        <v>185.376</v>
      </c>
    </row>
    <row r="4555" spans="2:5">
      <c r="B4555" s="17">
        <v>42615</v>
      </c>
      <c r="D4555" t="s">
        <v>119</v>
      </c>
      <c r="E4555">
        <v>686.40000000000009</v>
      </c>
    </row>
    <row r="4556" spans="2:5">
      <c r="B4556" s="17">
        <v>42615</v>
      </c>
      <c r="D4556" t="s">
        <v>930</v>
      </c>
      <c r="E4556">
        <v>11.376000000000001</v>
      </c>
    </row>
    <row r="4557" spans="2:5">
      <c r="B4557" s="17">
        <v>42615</v>
      </c>
      <c r="D4557" t="s">
        <v>930</v>
      </c>
      <c r="E4557">
        <v>66.112000000000009</v>
      </c>
    </row>
    <row r="4558" spans="2:5">
      <c r="B4558" s="17">
        <v>42615</v>
      </c>
      <c r="D4558" t="s">
        <v>930</v>
      </c>
      <c r="E4558">
        <v>75.959999999999994</v>
      </c>
    </row>
    <row r="4559" spans="2:5">
      <c r="B4559" s="17">
        <v>42615</v>
      </c>
      <c r="D4559" t="s">
        <v>930</v>
      </c>
      <c r="E4559">
        <v>27.240000000000002</v>
      </c>
    </row>
    <row r="4560" spans="2:5">
      <c r="B4560" s="17">
        <v>42615</v>
      </c>
      <c r="D4560" t="s">
        <v>930</v>
      </c>
      <c r="E4560">
        <v>8.82</v>
      </c>
    </row>
    <row r="4561" spans="2:5">
      <c r="B4561" s="17">
        <v>42615</v>
      </c>
      <c r="D4561" t="s">
        <v>1122</v>
      </c>
      <c r="E4561">
        <v>82.95</v>
      </c>
    </row>
    <row r="4562" spans="2:5">
      <c r="B4562" s="17">
        <v>42615</v>
      </c>
      <c r="D4562" t="s">
        <v>1122</v>
      </c>
      <c r="E4562">
        <v>87.71</v>
      </c>
    </row>
    <row r="4563" spans="2:5">
      <c r="B4563" s="17">
        <v>42615</v>
      </c>
      <c r="D4563" t="s">
        <v>1122</v>
      </c>
      <c r="E4563">
        <v>1101.48</v>
      </c>
    </row>
    <row r="4564" spans="2:5">
      <c r="B4564" s="17">
        <v>42615</v>
      </c>
      <c r="D4564" t="s">
        <v>1122</v>
      </c>
      <c r="E4564">
        <v>20</v>
      </c>
    </row>
    <row r="4565" spans="2:5">
      <c r="B4565" s="17">
        <v>42615</v>
      </c>
      <c r="D4565" t="s">
        <v>1122</v>
      </c>
      <c r="E4565">
        <v>7.98</v>
      </c>
    </row>
    <row r="4566" spans="2:5">
      <c r="B4566" s="17">
        <v>42615</v>
      </c>
      <c r="D4566" t="s">
        <v>1122</v>
      </c>
      <c r="E4566">
        <v>24.1</v>
      </c>
    </row>
    <row r="4567" spans="2:5">
      <c r="B4567" s="17">
        <v>42615</v>
      </c>
      <c r="D4567" t="s">
        <v>1122</v>
      </c>
      <c r="E4567">
        <v>8.75</v>
      </c>
    </row>
    <row r="4568" spans="2:5">
      <c r="B4568" s="17">
        <v>42615</v>
      </c>
      <c r="D4568" t="s">
        <v>1122</v>
      </c>
      <c r="E4568">
        <v>842.94</v>
      </c>
    </row>
    <row r="4569" spans="2:5">
      <c r="B4569" s="17">
        <v>42615</v>
      </c>
      <c r="D4569" t="s">
        <v>1122</v>
      </c>
      <c r="E4569">
        <v>15.260000000000002</v>
      </c>
    </row>
    <row r="4570" spans="2:5">
      <c r="B4570" s="17">
        <v>42615</v>
      </c>
      <c r="D4570" t="s">
        <v>256</v>
      </c>
      <c r="E4570">
        <v>43.32</v>
      </c>
    </row>
    <row r="4571" spans="2:5">
      <c r="B4571" s="17">
        <v>42615</v>
      </c>
      <c r="D4571" t="s">
        <v>256</v>
      </c>
      <c r="E4571">
        <v>43.584000000000003</v>
      </c>
    </row>
    <row r="4572" spans="2:5">
      <c r="B4572" s="17">
        <v>42615</v>
      </c>
      <c r="D4572" t="s">
        <v>256</v>
      </c>
      <c r="E4572">
        <v>116.28</v>
      </c>
    </row>
    <row r="4573" spans="2:5">
      <c r="B4573" s="17">
        <v>42615</v>
      </c>
      <c r="D4573" t="s">
        <v>256</v>
      </c>
      <c r="E4573">
        <v>9.2959999999999994</v>
      </c>
    </row>
    <row r="4574" spans="2:5">
      <c r="B4574" s="17">
        <v>42615</v>
      </c>
      <c r="D4574" t="s">
        <v>256</v>
      </c>
      <c r="E4574">
        <v>19.440000000000001</v>
      </c>
    </row>
    <row r="4575" spans="2:5">
      <c r="B4575" s="17">
        <v>42614</v>
      </c>
      <c r="D4575" t="s">
        <v>256</v>
      </c>
      <c r="E4575">
        <v>9.2480000000000011</v>
      </c>
    </row>
    <row r="4576" spans="2:5">
      <c r="B4576" s="17">
        <v>42614</v>
      </c>
      <c r="D4576" t="s">
        <v>242</v>
      </c>
      <c r="E4576">
        <v>4.1580000000000004</v>
      </c>
    </row>
    <row r="4577" spans="2:5">
      <c r="B4577" s="17">
        <v>42614</v>
      </c>
      <c r="D4577" t="s">
        <v>242</v>
      </c>
      <c r="E4577">
        <v>179.99100000000004</v>
      </c>
    </row>
    <row r="4578" spans="2:5">
      <c r="B4578" s="17">
        <v>42614</v>
      </c>
      <c r="D4578" t="s">
        <v>242</v>
      </c>
      <c r="E4578">
        <v>72</v>
      </c>
    </row>
    <row r="4579" spans="2:5">
      <c r="B4579" s="17">
        <v>42614</v>
      </c>
      <c r="D4579" t="s">
        <v>242</v>
      </c>
      <c r="E4579">
        <v>470.15499999999997</v>
      </c>
    </row>
    <row r="4580" spans="2:5">
      <c r="B4580" s="17">
        <v>42614</v>
      </c>
      <c r="D4580" t="s">
        <v>242</v>
      </c>
      <c r="E4580">
        <v>21.8</v>
      </c>
    </row>
    <row r="4581" spans="2:5">
      <c r="B4581" s="17">
        <v>42614</v>
      </c>
      <c r="D4581" t="s">
        <v>242</v>
      </c>
      <c r="E4581">
        <v>111.67200000000001</v>
      </c>
    </row>
    <row r="4582" spans="2:5">
      <c r="B4582" s="17">
        <v>42614</v>
      </c>
      <c r="D4582" t="s">
        <v>242</v>
      </c>
      <c r="E4582">
        <v>68.111999999999995</v>
      </c>
    </row>
    <row r="4583" spans="2:5">
      <c r="B4583" s="17">
        <v>42614</v>
      </c>
      <c r="D4583" t="s">
        <v>1296</v>
      </c>
      <c r="E4583">
        <v>492.83499999999998</v>
      </c>
    </row>
    <row r="4584" spans="2:5">
      <c r="B4584" s="17">
        <v>42614</v>
      </c>
      <c r="D4584" t="s">
        <v>1296</v>
      </c>
      <c r="E4584">
        <v>1085.42</v>
      </c>
    </row>
    <row r="4585" spans="2:5">
      <c r="B4585" s="17">
        <v>42614</v>
      </c>
      <c r="D4585" t="s">
        <v>1296</v>
      </c>
      <c r="E4585">
        <v>32.064</v>
      </c>
    </row>
    <row r="4586" spans="2:5">
      <c r="B4586" s="17">
        <v>42614</v>
      </c>
      <c r="D4586" t="s">
        <v>884</v>
      </c>
      <c r="E4586">
        <v>21.96</v>
      </c>
    </row>
    <row r="4587" spans="2:5">
      <c r="B4587" s="17">
        <v>42614</v>
      </c>
      <c r="D4587" t="s">
        <v>884</v>
      </c>
      <c r="E4587">
        <v>368.96999999999997</v>
      </c>
    </row>
    <row r="4588" spans="2:5">
      <c r="B4588" s="17">
        <v>42614</v>
      </c>
      <c r="D4588" t="s">
        <v>884</v>
      </c>
      <c r="E4588">
        <v>12.39</v>
      </c>
    </row>
    <row r="4589" spans="2:5">
      <c r="B4589" s="17">
        <v>42614</v>
      </c>
      <c r="D4589" t="s">
        <v>884</v>
      </c>
      <c r="E4589">
        <v>1403.9200000000003</v>
      </c>
    </row>
    <row r="4590" spans="2:5">
      <c r="B4590" s="17">
        <v>42614</v>
      </c>
      <c r="D4590" t="s">
        <v>884</v>
      </c>
      <c r="E4590">
        <v>11.68</v>
      </c>
    </row>
    <row r="4591" spans="2:5">
      <c r="B4591" s="17">
        <v>42614</v>
      </c>
      <c r="D4591" t="s">
        <v>971</v>
      </c>
      <c r="E4591">
        <v>28.752000000000002</v>
      </c>
    </row>
    <row r="4592" spans="2:5">
      <c r="B4592" s="17">
        <v>42614</v>
      </c>
      <c r="D4592" t="s">
        <v>971</v>
      </c>
      <c r="E4592">
        <v>114.94999999999999</v>
      </c>
    </row>
    <row r="4593" spans="2:5">
      <c r="B4593" s="17">
        <v>42614</v>
      </c>
      <c r="D4593" t="s">
        <v>971</v>
      </c>
      <c r="E4593">
        <v>3.62</v>
      </c>
    </row>
    <row r="4594" spans="2:5">
      <c r="B4594" s="17">
        <v>42614</v>
      </c>
      <c r="D4594" t="s">
        <v>971</v>
      </c>
      <c r="E4594">
        <v>40.74</v>
      </c>
    </row>
    <row r="4595" spans="2:5">
      <c r="B4595" s="17">
        <v>42613</v>
      </c>
      <c r="D4595" t="s">
        <v>971</v>
      </c>
      <c r="E4595">
        <v>11.67</v>
      </c>
    </row>
    <row r="4596" spans="2:5">
      <c r="B4596" s="17">
        <v>42612</v>
      </c>
      <c r="D4596" t="s">
        <v>971</v>
      </c>
      <c r="E4596">
        <v>67</v>
      </c>
    </row>
    <row r="4597" spans="2:5">
      <c r="B4597" s="17">
        <v>42612</v>
      </c>
      <c r="D4597" t="s">
        <v>971</v>
      </c>
      <c r="E4597">
        <v>11.744</v>
      </c>
    </row>
    <row r="4598" spans="2:5">
      <c r="B4598" s="17">
        <v>42612</v>
      </c>
      <c r="D4598" t="s">
        <v>125</v>
      </c>
      <c r="E4598">
        <v>93.06</v>
      </c>
    </row>
    <row r="4599" spans="2:5">
      <c r="B4599" s="17">
        <v>42612</v>
      </c>
      <c r="D4599" t="s">
        <v>125</v>
      </c>
      <c r="E4599">
        <v>32.400000000000006</v>
      </c>
    </row>
    <row r="4600" spans="2:5">
      <c r="B4600" s="17">
        <v>42612</v>
      </c>
      <c r="D4600" t="s">
        <v>125</v>
      </c>
      <c r="E4600">
        <v>1082.48</v>
      </c>
    </row>
    <row r="4601" spans="2:5">
      <c r="B4601" s="17">
        <v>42612</v>
      </c>
      <c r="D4601" t="s">
        <v>125</v>
      </c>
      <c r="E4601">
        <v>56.91</v>
      </c>
    </row>
    <row r="4602" spans="2:5">
      <c r="B4602" s="17">
        <v>42612</v>
      </c>
      <c r="D4602" t="s">
        <v>125</v>
      </c>
      <c r="E4602">
        <v>77.599999999999994</v>
      </c>
    </row>
    <row r="4603" spans="2:5">
      <c r="B4603" s="17">
        <v>42611</v>
      </c>
      <c r="D4603" t="s">
        <v>125</v>
      </c>
      <c r="E4603">
        <v>14.28</v>
      </c>
    </row>
    <row r="4604" spans="2:5">
      <c r="B4604" s="17">
        <v>42611</v>
      </c>
      <c r="D4604" t="s">
        <v>125</v>
      </c>
      <c r="E4604">
        <v>50.96</v>
      </c>
    </row>
    <row r="4605" spans="2:5">
      <c r="B4605" s="17">
        <v>42611</v>
      </c>
      <c r="D4605" t="s">
        <v>125</v>
      </c>
      <c r="E4605">
        <v>49.536000000000001</v>
      </c>
    </row>
    <row r="4606" spans="2:5">
      <c r="B4606" s="17">
        <v>42611</v>
      </c>
      <c r="D4606" t="s">
        <v>125</v>
      </c>
      <c r="E4606">
        <v>47.952000000000005</v>
      </c>
    </row>
    <row r="4607" spans="2:5">
      <c r="B4607" s="17">
        <v>42611</v>
      </c>
      <c r="D4607" t="s">
        <v>914</v>
      </c>
      <c r="E4607">
        <v>37.425000000000004</v>
      </c>
    </row>
    <row r="4608" spans="2:5">
      <c r="B4608" s="17">
        <v>42611</v>
      </c>
      <c r="D4608" t="s">
        <v>914</v>
      </c>
      <c r="E4608">
        <v>63.967999999999996</v>
      </c>
    </row>
    <row r="4609" spans="2:5">
      <c r="B4609" s="17">
        <v>42611</v>
      </c>
      <c r="D4609" t="s">
        <v>914</v>
      </c>
      <c r="E4609">
        <v>165.048</v>
      </c>
    </row>
    <row r="4610" spans="2:5">
      <c r="B4610" s="17">
        <v>42611</v>
      </c>
      <c r="D4610" t="s">
        <v>914</v>
      </c>
      <c r="E4610">
        <v>17.616000000000003</v>
      </c>
    </row>
    <row r="4611" spans="2:5">
      <c r="B4611" s="17">
        <v>42611</v>
      </c>
      <c r="D4611" t="s">
        <v>1044</v>
      </c>
      <c r="E4611">
        <v>38.190000000000012</v>
      </c>
    </row>
    <row r="4612" spans="2:5">
      <c r="B4612" s="17">
        <v>42610</v>
      </c>
      <c r="D4612" t="s">
        <v>302</v>
      </c>
      <c r="E4612">
        <v>12.419999999999998</v>
      </c>
    </row>
    <row r="4613" spans="2:5">
      <c r="B4613" s="17">
        <v>42610</v>
      </c>
      <c r="D4613" t="s">
        <v>302</v>
      </c>
      <c r="E4613">
        <v>756.80000000000007</v>
      </c>
    </row>
    <row r="4614" spans="2:5">
      <c r="B4614" s="17">
        <v>42610</v>
      </c>
      <c r="D4614" t="s">
        <v>302</v>
      </c>
      <c r="E4614">
        <v>40.200000000000003</v>
      </c>
    </row>
    <row r="4615" spans="2:5">
      <c r="B4615" s="17">
        <v>42610</v>
      </c>
      <c r="D4615" t="s">
        <v>302</v>
      </c>
      <c r="E4615">
        <v>43.92</v>
      </c>
    </row>
    <row r="4616" spans="2:5">
      <c r="B4616" s="17">
        <v>42610</v>
      </c>
      <c r="D4616" t="s">
        <v>302</v>
      </c>
      <c r="E4616">
        <v>25.031999999999996</v>
      </c>
    </row>
    <row r="4617" spans="2:5">
      <c r="B4617" s="17">
        <v>42610</v>
      </c>
      <c r="D4617" t="s">
        <v>302</v>
      </c>
      <c r="E4617">
        <v>67.13600000000001</v>
      </c>
    </row>
    <row r="4618" spans="2:5">
      <c r="B4618" s="17">
        <v>42609</v>
      </c>
      <c r="D4618" t="s">
        <v>302</v>
      </c>
      <c r="E4618">
        <v>427.64400000000001</v>
      </c>
    </row>
    <row r="4619" spans="2:5">
      <c r="B4619" s="17">
        <v>42609</v>
      </c>
      <c r="D4619" t="s">
        <v>302</v>
      </c>
      <c r="E4619">
        <v>40.669999999999995</v>
      </c>
    </row>
    <row r="4620" spans="2:5">
      <c r="B4620" s="17">
        <v>42609</v>
      </c>
      <c r="D4620" t="s">
        <v>302</v>
      </c>
      <c r="E4620">
        <v>33.479999999999997</v>
      </c>
    </row>
    <row r="4621" spans="2:5">
      <c r="B4621" s="17">
        <v>42609</v>
      </c>
      <c r="D4621" t="s">
        <v>302</v>
      </c>
      <c r="E4621">
        <v>9.7280000000000015</v>
      </c>
    </row>
    <row r="4622" spans="2:5">
      <c r="B4622" s="17">
        <v>42609</v>
      </c>
      <c r="D4622" t="s">
        <v>849</v>
      </c>
      <c r="E4622">
        <v>783.96000000000015</v>
      </c>
    </row>
    <row r="4623" spans="2:5">
      <c r="B4623" s="17">
        <v>42609</v>
      </c>
      <c r="D4623" t="s">
        <v>849</v>
      </c>
      <c r="E4623">
        <v>100</v>
      </c>
    </row>
    <row r="4624" spans="2:5">
      <c r="B4624" s="17">
        <v>42609</v>
      </c>
      <c r="D4624" t="s">
        <v>849</v>
      </c>
      <c r="E4624">
        <v>359.98</v>
      </c>
    </row>
    <row r="4625" spans="2:5">
      <c r="B4625" s="17">
        <v>42609</v>
      </c>
      <c r="D4625" t="s">
        <v>849</v>
      </c>
      <c r="E4625">
        <v>15.552000000000003</v>
      </c>
    </row>
    <row r="4626" spans="2:5">
      <c r="B4626" s="17">
        <v>42609</v>
      </c>
      <c r="D4626" t="s">
        <v>575</v>
      </c>
      <c r="E4626">
        <v>450</v>
      </c>
    </row>
    <row r="4627" spans="2:5">
      <c r="B4627" s="17">
        <v>42609</v>
      </c>
      <c r="D4627" t="s">
        <v>575</v>
      </c>
      <c r="E4627">
        <v>379.4</v>
      </c>
    </row>
    <row r="4628" spans="2:5">
      <c r="B4628" s="17">
        <v>42609</v>
      </c>
      <c r="D4628" t="s">
        <v>575</v>
      </c>
      <c r="E4628">
        <v>16.155999999999999</v>
      </c>
    </row>
    <row r="4629" spans="2:5">
      <c r="B4629" s="17">
        <v>42609</v>
      </c>
      <c r="D4629" t="s">
        <v>575</v>
      </c>
      <c r="E4629">
        <v>54.816000000000003</v>
      </c>
    </row>
    <row r="4630" spans="2:5">
      <c r="B4630" s="17">
        <v>42609</v>
      </c>
      <c r="D4630" t="s">
        <v>575</v>
      </c>
      <c r="E4630">
        <v>17.05</v>
      </c>
    </row>
    <row r="4631" spans="2:5">
      <c r="B4631" s="17">
        <v>42608</v>
      </c>
      <c r="D4631" t="s">
        <v>575</v>
      </c>
      <c r="E4631">
        <v>31.400000000000002</v>
      </c>
    </row>
    <row r="4632" spans="2:5">
      <c r="B4632" s="17">
        <v>42608</v>
      </c>
      <c r="D4632" t="s">
        <v>575</v>
      </c>
      <c r="E4632">
        <v>39.92</v>
      </c>
    </row>
    <row r="4633" spans="2:5">
      <c r="B4633" s="17">
        <v>42608</v>
      </c>
      <c r="D4633" t="s">
        <v>575</v>
      </c>
      <c r="E4633">
        <v>6.68</v>
      </c>
    </row>
    <row r="4634" spans="2:5">
      <c r="B4634" s="17">
        <v>42608</v>
      </c>
      <c r="D4634" t="s">
        <v>575</v>
      </c>
      <c r="E4634">
        <v>8.34</v>
      </c>
    </row>
    <row r="4635" spans="2:5">
      <c r="B4635" s="17">
        <v>42608</v>
      </c>
      <c r="D4635" t="s">
        <v>735</v>
      </c>
      <c r="E4635">
        <v>101.94</v>
      </c>
    </row>
    <row r="4636" spans="2:5">
      <c r="B4636" s="17">
        <v>42608</v>
      </c>
      <c r="D4636" t="s">
        <v>735</v>
      </c>
      <c r="E4636">
        <v>23.2</v>
      </c>
    </row>
    <row r="4637" spans="2:5">
      <c r="B4637" s="17">
        <v>42608</v>
      </c>
      <c r="D4637" t="s">
        <v>735</v>
      </c>
      <c r="E4637">
        <v>7.36</v>
      </c>
    </row>
    <row r="4638" spans="2:5">
      <c r="B4638" s="17">
        <v>42608</v>
      </c>
      <c r="D4638" t="s">
        <v>735</v>
      </c>
      <c r="E4638">
        <v>104.79</v>
      </c>
    </row>
    <row r="4639" spans="2:5">
      <c r="B4639" s="17">
        <v>42608</v>
      </c>
      <c r="D4639" t="s">
        <v>735</v>
      </c>
      <c r="E4639">
        <v>1043.92</v>
      </c>
    </row>
    <row r="4640" spans="2:5">
      <c r="B4640" s="17">
        <v>42608</v>
      </c>
      <c r="D4640" t="s">
        <v>735</v>
      </c>
      <c r="E4640">
        <v>22.919999999999998</v>
      </c>
    </row>
    <row r="4641" spans="2:5">
      <c r="B4641" s="17">
        <v>42608</v>
      </c>
      <c r="D4641" t="s">
        <v>735</v>
      </c>
      <c r="E4641">
        <v>154.44</v>
      </c>
    </row>
    <row r="4642" spans="2:5">
      <c r="B4642" s="17">
        <v>42608</v>
      </c>
      <c r="D4642" t="s">
        <v>434</v>
      </c>
      <c r="E4642">
        <v>7.92</v>
      </c>
    </row>
    <row r="4643" spans="2:5">
      <c r="B4643" s="17">
        <v>42608</v>
      </c>
      <c r="D4643" t="s">
        <v>434</v>
      </c>
      <c r="E4643">
        <v>98.16</v>
      </c>
    </row>
    <row r="4644" spans="2:5">
      <c r="B4644" s="17">
        <v>42608</v>
      </c>
      <c r="D4644" t="s">
        <v>434</v>
      </c>
      <c r="E4644">
        <v>661.17600000000004</v>
      </c>
    </row>
    <row r="4645" spans="2:5">
      <c r="B4645" s="17">
        <v>42608</v>
      </c>
      <c r="D4645" t="s">
        <v>434</v>
      </c>
      <c r="E4645">
        <v>113.22</v>
      </c>
    </row>
    <row r="4646" spans="2:5">
      <c r="B4646" s="17">
        <v>42608</v>
      </c>
      <c r="D4646" t="s">
        <v>434</v>
      </c>
      <c r="E4646">
        <v>35.880000000000003</v>
      </c>
    </row>
    <row r="4647" spans="2:5">
      <c r="B4647" s="17">
        <v>42608</v>
      </c>
      <c r="D4647" t="s">
        <v>434</v>
      </c>
      <c r="E4647">
        <v>4535.9760000000006</v>
      </c>
    </row>
    <row r="4648" spans="2:5">
      <c r="B4648" s="17">
        <v>42608</v>
      </c>
      <c r="D4648" t="s">
        <v>434</v>
      </c>
      <c r="E4648">
        <v>111.67200000000001</v>
      </c>
    </row>
    <row r="4649" spans="2:5">
      <c r="B4649" s="17">
        <v>42608</v>
      </c>
      <c r="D4649" t="s">
        <v>434</v>
      </c>
      <c r="E4649">
        <v>106.08000000000001</v>
      </c>
    </row>
    <row r="4650" spans="2:5">
      <c r="B4650" s="17">
        <v>42608</v>
      </c>
      <c r="D4650" t="s">
        <v>281</v>
      </c>
      <c r="E4650">
        <v>12.39</v>
      </c>
    </row>
    <row r="4651" spans="2:5">
      <c r="B4651" s="17">
        <v>42605</v>
      </c>
      <c r="D4651" t="s">
        <v>281</v>
      </c>
      <c r="E4651">
        <v>19.96</v>
      </c>
    </row>
    <row r="4652" spans="2:5">
      <c r="B4652" s="17">
        <v>42605</v>
      </c>
      <c r="D4652" t="s">
        <v>281</v>
      </c>
      <c r="E4652">
        <v>45.568000000000005</v>
      </c>
    </row>
    <row r="4653" spans="2:5">
      <c r="B4653" s="17">
        <v>42605</v>
      </c>
      <c r="D4653" t="s">
        <v>281</v>
      </c>
      <c r="E4653">
        <v>28.752000000000006</v>
      </c>
    </row>
    <row r="4654" spans="2:5">
      <c r="B4654" s="17">
        <v>42605</v>
      </c>
      <c r="D4654" t="s">
        <v>281</v>
      </c>
      <c r="E4654">
        <v>7.1519999999999992</v>
      </c>
    </row>
    <row r="4655" spans="2:5">
      <c r="B4655" s="17">
        <v>42605</v>
      </c>
      <c r="D4655" t="s">
        <v>281</v>
      </c>
      <c r="E4655">
        <v>51.016000000000005</v>
      </c>
    </row>
    <row r="4656" spans="2:5">
      <c r="B4656" s="17">
        <v>42605</v>
      </c>
      <c r="D4656" t="s">
        <v>281</v>
      </c>
      <c r="E4656">
        <v>25.248000000000001</v>
      </c>
    </row>
    <row r="4657" spans="2:5">
      <c r="B4657" s="17">
        <v>42605</v>
      </c>
      <c r="D4657" t="s">
        <v>281</v>
      </c>
      <c r="E4657">
        <v>56.686</v>
      </c>
    </row>
    <row r="4658" spans="2:5">
      <c r="B4658" s="17">
        <v>42605</v>
      </c>
      <c r="D4658" t="s">
        <v>281</v>
      </c>
      <c r="E4658">
        <v>125.69999999999999</v>
      </c>
    </row>
    <row r="4659" spans="2:5">
      <c r="B4659" s="17">
        <v>42605</v>
      </c>
      <c r="D4659" t="s">
        <v>281</v>
      </c>
      <c r="E4659">
        <v>191.98</v>
      </c>
    </row>
    <row r="4660" spans="2:5">
      <c r="B4660" s="17">
        <v>42605</v>
      </c>
      <c r="D4660" t="s">
        <v>281</v>
      </c>
      <c r="E4660">
        <v>20.86</v>
      </c>
    </row>
    <row r="4661" spans="2:5">
      <c r="B4661" s="17">
        <v>42605</v>
      </c>
      <c r="D4661" t="s">
        <v>281</v>
      </c>
      <c r="E4661">
        <v>19.295999999999999</v>
      </c>
    </row>
    <row r="4662" spans="2:5">
      <c r="B4662" s="17">
        <v>42605</v>
      </c>
      <c r="D4662" t="s">
        <v>1873</v>
      </c>
      <c r="E4662">
        <v>61.1</v>
      </c>
    </row>
    <row r="4663" spans="2:5">
      <c r="B4663" s="17">
        <v>42605</v>
      </c>
      <c r="D4663" t="s">
        <v>1873</v>
      </c>
      <c r="E4663">
        <v>387.13600000000002</v>
      </c>
    </row>
    <row r="4664" spans="2:5">
      <c r="B4664" s="17">
        <v>42605</v>
      </c>
      <c r="D4664" t="s">
        <v>456</v>
      </c>
      <c r="E4664">
        <v>18.16</v>
      </c>
    </row>
    <row r="4665" spans="2:5">
      <c r="B4665" s="17">
        <v>42605</v>
      </c>
      <c r="D4665" t="s">
        <v>456</v>
      </c>
      <c r="E4665">
        <v>120.666</v>
      </c>
    </row>
    <row r="4666" spans="2:5">
      <c r="B4666" s="17">
        <v>42605</v>
      </c>
      <c r="D4666" t="s">
        <v>456</v>
      </c>
      <c r="E4666">
        <v>449.97</v>
      </c>
    </row>
    <row r="4667" spans="2:5">
      <c r="B4667" s="17">
        <v>42604</v>
      </c>
      <c r="D4667" t="s">
        <v>456</v>
      </c>
      <c r="E4667">
        <v>1927.5900000000001</v>
      </c>
    </row>
    <row r="4668" spans="2:5">
      <c r="B4668" s="17">
        <v>42604</v>
      </c>
      <c r="D4668" t="s">
        <v>228</v>
      </c>
      <c r="E4668">
        <v>120.98</v>
      </c>
    </row>
    <row r="4669" spans="2:5">
      <c r="B4669" s="17">
        <v>42604</v>
      </c>
      <c r="D4669" t="s">
        <v>228</v>
      </c>
      <c r="E4669">
        <v>142.18199999999999</v>
      </c>
    </row>
    <row r="4670" spans="2:5">
      <c r="B4670" s="17">
        <v>42604</v>
      </c>
      <c r="D4670" t="s">
        <v>228</v>
      </c>
      <c r="E4670">
        <v>45.68</v>
      </c>
    </row>
    <row r="4671" spans="2:5">
      <c r="B4671" s="17">
        <v>42604</v>
      </c>
      <c r="D4671" t="s">
        <v>228</v>
      </c>
      <c r="E4671">
        <v>60.12</v>
      </c>
    </row>
    <row r="4672" spans="2:5">
      <c r="B4672" s="17">
        <v>42604</v>
      </c>
      <c r="D4672" t="s">
        <v>228</v>
      </c>
      <c r="E4672">
        <v>41.72</v>
      </c>
    </row>
    <row r="4673" spans="2:5">
      <c r="B4673" s="17">
        <v>42604</v>
      </c>
      <c r="D4673" t="s">
        <v>228</v>
      </c>
      <c r="E4673">
        <v>71.599999999999994</v>
      </c>
    </row>
    <row r="4674" spans="2:5">
      <c r="B4674" s="17">
        <v>42604</v>
      </c>
      <c r="D4674" t="s">
        <v>228</v>
      </c>
      <c r="E4674">
        <v>20.16</v>
      </c>
    </row>
    <row r="4675" spans="2:5">
      <c r="B4675" s="17">
        <v>42603</v>
      </c>
      <c r="D4675" t="s">
        <v>826</v>
      </c>
      <c r="E4675">
        <v>29.46</v>
      </c>
    </row>
    <row r="4676" spans="2:5">
      <c r="B4676" s="17">
        <v>42603</v>
      </c>
      <c r="D4676" t="s">
        <v>826</v>
      </c>
      <c r="E4676">
        <v>868.58999999999992</v>
      </c>
    </row>
    <row r="4677" spans="2:5">
      <c r="B4677" s="17">
        <v>42603</v>
      </c>
      <c r="D4677" t="s">
        <v>826</v>
      </c>
      <c r="E4677">
        <v>12.96</v>
      </c>
    </row>
    <row r="4678" spans="2:5">
      <c r="B4678" s="17">
        <v>42603</v>
      </c>
      <c r="D4678" t="s">
        <v>826</v>
      </c>
      <c r="E4678">
        <v>5.5</v>
      </c>
    </row>
    <row r="4679" spans="2:5">
      <c r="B4679" s="17">
        <v>42603</v>
      </c>
      <c r="D4679" t="s">
        <v>826</v>
      </c>
      <c r="E4679">
        <v>121.6</v>
      </c>
    </row>
    <row r="4680" spans="2:5">
      <c r="B4680" s="17">
        <v>42603</v>
      </c>
      <c r="D4680" t="s">
        <v>826</v>
      </c>
      <c r="E4680">
        <v>66.539999999999992</v>
      </c>
    </row>
    <row r="4681" spans="2:5">
      <c r="B4681" s="17">
        <v>42603</v>
      </c>
      <c r="D4681" t="s">
        <v>1420</v>
      </c>
      <c r="E4681">
        <v>43.26</v>
      </c>
    </row>
    <row r="4682" spans="2:5">
      <c r="B4682" s="17">
        <v>42603</v>
      </c>
      <c r="D4682" t="s">
        <v>1420</v>
      </c>
      <c r="E4682">
        <v>177</v>
      </c>
    </row>
    <row r="4683" spans="2:5">
      <c r="B4683" s="17">
        <v>42603</v>
      </c>
      <c r="D4683" t="s">
        <v>1420</v>
      </c>
      <c r="E4683">
        <v>102.59200000000001</v>
      </c>
    </row>
    <row r="4684" spans="2:5">
      <c r="B4684" s="17">
        <v>42603</v>
      </c>
      <c r="D4684" t="s">
        <v>1420</v>
      </c>
      <c r="E4684">
        <v>22.704000000000001</v>
      </c>
    </row>
    <row r="4685" spans="2:5">
      <c r="B4685" s="17">
        <v>42603</v>
      </c>
      <c r="D4685" t="s">
        <v>1420</v>
      </c>
      <c r="E4685">
        <v>93.024000000000001</v>
      </c>
    </row>
    <row r="4686" spans="2:5">
      <c r="B4686" s="17">
        <v>42603</v>
      </c>
      <c r="D4686" t="s">
        <v>1420</v>
      </c>
      <c r="E4686">
        <v>12.768000000000001</v>
      </c>
    </row>
    <row r="4687" spans="2:5">
      <c r="B4687" s="17">
        <v>42602</v>
      </c>
      <c r="D4687" t="s">
        <v>1420</v>
      </c>
      <c r="E4687">
        <v>35.008000000000003</v>
      </c>
    </row>
    <row r="4688" spans="2:5">
      <c r="B4688" s="17">
        <v>42601</v>
      </c>
      <c r="D4688" t="s">
        <v>1420</v>
      </c>
      <c r="E4688">
        <v>39.152000000000001</v>
      </c>
    </row>
    <row r="4689" spans="2:5">
      <c r="B4689" s="17">
        <v>42601</v>
      </c>
      <c r="D4689" t="s">
        <v>1420</v>
      </c>
      <c r="E4689">
        <v>1091.93</v>
      </c>
    </row>
    <row r="4690" spans="2:5">
      <c r="B4690" s="17">
        <v>42601</v>
      </c>
      <c r="D4690" t="s">
        <v>1420</v>
      </c>
      <c r="E4690">
        <v>111.96</v>
      </c>
    </row>
    <row r="4691" spans="2:5">
      <c r="B4691" s="17">
        <v>42600</v>
      </c>
      <c r="D4691" t="s">
        <v>1420</v>
      </c>
      <c r="E4691">
        <v>1649.75</v>
      </c>
    </row>
    <row r="4692" spans="2:5">
      <c r="B4692" s="17">
        <v>42600</v>
      </c>
      <c r="D4692" t="s">
        <v>1127</v>
      </c>
      <c r="E4692">
        <v>20.04</v>
      </c>
    </row>
    <row r="4693" spans="2:5">
      <c r="B4693" s="17">
        <v>42600</v>
      </c>
      <c r="D4693" t="s">
        <v>1127</v>
      </c>
      <c r="E4693">
        <v>35.44</v>
      </c>
    </row>
    <row r="4694" spans="2:5">
      <c r="B4694" s="17">
        <v>42600</v>
      </c>
      <c r="D4694" t="s">
        <v>1127</v>
      </c>
      <c r="E4694">
        <v>11.52</v>
      </c>
    </row>
    <row r="4695" spans="2:5">
      <c r="B4695" s="17">
        <v>42600</v>
      </c>
      <c r="D4695" t="s">
        <v>1127</v>
      </c>
      <c r="E4695">
        <v>4.0199999999999996</v>
      </c>
    </row>
    <row r="4696" spans="2:5">
      <c r="B4696" s="17">
        <v>42600</v>
      </c>
      <c r="D4696" t="s">
        <v>1127</v>
      </c>
      <c r="E4696">
        <v>76.176000000000002</v>
      </c>
    </row>
    <row r="4697" spans="2:5">
      <c r="B4697" s="17">
        <v>42599</v>
      </c>
      <c r="D4697" t="s">
        <v>1127</v>
      </c>
      <c r="E4697">
        <v>65.88</v>
      </c>
    </row>
    <row r="4698" spans="2:5">
      <c r="B4698" s="17">
        <v>42598</v>
      </c>
      <c r="D4698" t="s">
        <v>1127</v>
      </c>
      <c r="E4698">
        <v>43.120000000000005</v>
      </c>
    </row>
    <row r="4699" spans="2:5">
      <c r="B4699" s="17">
        <v>42598</v>
      </c>
      <c r="D4699" t="s">
        <v>1127</v>
      </c>
      <c r="E4699">
        <v>727.45</v>
      </c>
    </row>
    <row r="4700" spans="2:5">
      <c r="B4700" s="17">
        <v>42598</v>
      </c>
      <c r="D4700" t="s">
        <v>1131</v>
      </c>
      <c r="E4700">
        <v>24.96</v>
      </c>
    </row>
    <row r="4701" spans="2:5">
      <c r="B4701" s="17">
        <v>42597</v>
      </c>
      <c r="D4701" t="s">
        <v>1131</v>
      </c>
      <c r="E4701">
        <v>191.976</v>
      </c>
    </row>
    <row r="4702" spans="2:5">
      <c r="B4702" s="17">
        <v>42597</v>
      </c>
      <c r="D4702" t="s">
        <v>1131</v>
      </c>
      <c r="E4702">
        <v>8.2880000000000003</v>
      </c>
    </row>
    <row r="4703" spans="2:5">
      <c r="B4703" s="17">
        <v>42597</v>
      </c>
      <c r="D4703" t="s">
        <v>1131</v>
      </c>
      <c r="E4703">
        <v>139.91999999999999</v>
      </c>
    </row>
    <row r="4704" spans="2:5">
      <c r="B4704" s="17">
        <v>42597</v>
      </c>
      <c r="D4704" t="s">
        <v>1131</v>
      </c>
      <c r="E4704">
        <v>15.872</v>
      </c>
    </row>
    <row r="4705" spans="2:5">
      <c r="B4705" s="17">
        <v>42597</v>
      </c>
      <c r="D4705" t="s">
        <v>1131</v>
      </c>
      <c r="E4705">
        <v>6.2859999999999987</v>
      </c>
    </row>
    <row r="4706" spans="2:5">
      <c r="B4706" s="17">
        <v>42597</v>
      </c>
      <c r="D4706" t="s">
        <v>1131</v>
      </c>
      <c r="E4706">
        <v>34.700000000000003</v>
      </c>
    </row>
    <row r="4707" spans="2:5">
      <c r="B4707" s="17">
        <v>42597</v>
      </c>
      <c r="D4707" t="s">
        <v>1131</v>
      </c>
      <c r="E4707">
        <v>99.87</v>
      </c>
    </row>
    <row r="4708" spans="2:5">
      <c r="B4708" s="17">
        <v>42597</v>
      </c>
      <c r="D4708" t="s">
        <v>1563</v>
      </c>
      <c r="E4708">
        <v>37.94</v>
      </c>
    </row>
    <row r="4709" spans="2:5">
      <c r="B4709" s="17">
        <v>42597</v>
      </c>
      <c r="D4709" t="s">
        <v>1563</v>
      </c>
      <c r="E4709">
        <v>24.900000000000002</v>
      </c>
    </row>
    <row r="4710" spans="2:5">
      <c r="B4710" s="17">
        <v>42597</v>
      </c>
      <c r="D4710" t="s">
        <v>1563</v>
      </c>
      <c r="E4710">
        <v>82.26</v>
      </c>
    </row>
    <row r="4711" spans="2:5">
      <c r="B4711" s="17">
        <v>42596</v>
      </c>
      <c r="D4711" t="s">
        <v>1563</v>
      </c>
      <c r="E4711">
        <v>5.3440000000000003</v>
      </c>
    </row>
    <row r="4712" spans="2:5">
      <c r="B4712" s="17">
        <v>42596</v>
      </c>
      <c r="D4712" t="s">
        <v>1563</v>
      </c>
      <c r="E4712">
        <v>27.72</v>
      </c>
    </row>
    <row r="4713" spans="2:5">
      <c r="B4713" s="17">
        <v>42596</v>
      </c>
      <c r="D4713" t="s">
        <v>1563</v>
      </c>
      <c r="E4713">
        <v>20.608000000000004</v>
      </c>
    </row>
    <row r="4714" spans="2:5">
      <c r="B4714" s="17">
        <v>42596</v>
      </c>
      <c r="D4714" t="s">
        <v>1609</v>
      </c>
      <c r="E4714">
        <v>4.0950000000000006</v>
      </c>
    </row>
    <row r="4715" spans="2:5">
      <c r="B4715" s="17">
        <v>42596</v>
      </c>
      <c r="D4715" t="s">
        <v>1609</v>
      </c>
      <c r="E4715">
        <v>90.882000000000005</v>
      </c>
    </row>
    <row r="4716" spans="2:5">
      <c r="B4716" s="17">
        <v>42596</v>
      </c>
      <c r="D4716" t="s">
        <v>1609</v>
      </c>
      <c r="E4716">
        <v>15.991999999999999</v>
      </c>
    </row>
    <row r="4717" spans="2:5">
      <c r="B4717" s="17">
        <v>42595</v>
      </c>
      <c r="D4717" t="s">
        <v>1609</v>
      </c>
      <c r="E4717">
        <v>120.78399999999999</v>
      </c>
    </row>
    <row r="4718" spans="2:5">
      <c r="B4718" s="17">
        <v>42595</v>
      </c>
      <c r="D4718" t="s">
        <v>1609</v>
      </c>
      <c r="E4718">
        <v>14</v>
      </c>
    </row>
    <row r="4719" spans="2:5">
      <c r="B4719" s="17">
        <v>42595</v>
      </c>
      <c r="D4719" t="s">
        <v>1609</v>
      </c>
      <c r="E4719">
        <v>23.975999999999999</v>
      </c>
    </row>
    <row r="4720" spans="2:5">
      <c r="B4720" s="17">
        <v>42595</v>
      </c>
      <c r="D4720" t="s">
        <v>1609</v>
      </c>
      <c r="E4720">
        <v>19.136000000000003</v>
      </c>
    </row>
    <row r="4721" spans="2:5">
      <c r="B4721" s="17">
        <v>42595</v>
      </c>
      <c r="D4721" t="s">
        <v>1609</v>
      </c>
      <c r="E4721">
        <v>1.4080000000000001</v>
      </c>
    </row>
    <row r="4722" spans="2:5">
      <c r="B4722" s="17">
        <v>42595</v>
      </c>
      <c r="D4722" t="s">
        <v>1568</v>
      </c>
      <c r="E4722">
        <v>169.56800000000001</v>
      </c>
    </row>
    <row r="4723" spans="2:5">
      <c r="B4723" s="17">
        <v>42595</v>
      </c>
      <c r="D4723" t="s">
        <v>1568</v>
      </c>
      <c r="E4723">
        <v>51.712000000000003</v>
      </c>
    </row>
    <row r="4724" spans="2:5">
      <c r="B4724" s="17">
        <v>42595</v>
      </c>
      <c r="D4724" t="s">
        <v>1568</v>
      </c>
      <c r="E4724">
        <v>61.96</v>
      </c>
    </row>
    <row r="4725" spans="2:5">
      <c r="B4725" s="17">
        <v>42595</v>
      </c>
      <c r="D4725" t="s">
        <v>1568</v>
      </c>
      <c r="E4725">
        <v>60.144000000000005</v>
      </c>
    </row>
    <row r="4726" spans="2:5">
      <c r="B4726" s="17">
        <v>42595</v>
      </c>
      <c r="D4726" t="s">
        <v>1568</v>
      </c>
      <c r="E4726">
        <v>387.72</v>
      </c>
    </row>
    <row r="4727" spans="2:5">
      <c r="B4727" s="17">
        <v>42594</v>
      </c>
      <c r="D4727" t="s">
        <v>1568</v>
      </c>
      <c r="E4727">
        <v>27.263999999999999</v>
      </c>
    </row>
    <row r="4728" spans="2:5">
      <c r="B4728" s="17">
        <v>42594</v>
      </c>
      <c r="D4728" t="s">
        <v>1568</v>
      </c>
      <c r="E4728">
        <v>837.59999999999991</v>
      </c>
    </row>
    <row r="4729" spans="2:5">
      <c r="B4729" s="17">
        <v>42594</v>
      </c>
      <c r="D4729" t="s">
        <v>1310</v>
      </c>
      <c r="E4729">
        <v>10.56</v>
      </c>
    </row>
    <row r="4730" spans="2:5">
      <c r="B4730" s="17">
        <v>42594</v>
      </c>
      <c r="D4730" t="s">
        <v>1310</v>
      </c>
      <c r="E4730">
        <v>4.9280000000000008</v>
      </c>
    </row>
    <row r="4731" spans="2:5">
      <c r="B4731" s="17">
        <v>42594</v>
      </c>
      <c r="D4731" t="s">
        <v>1310</v>
      </c>
      <c r="E4731">
        <v>93.36</v>
      </c>
    </row>
    <row r="4732" spans="2:5">
      <c r="B4732" s="17">
        <v>42594</v>
      </c>
      <c r="D4732" t="s">
        <v>1310</v>
      </c>
      <c r="E4732">
        <v>28.849999999999998</v>
      </c>
    </row>
    <row r="4733" spans="2:5">
      <c r="B4733" s="17">
        <v>42594</v>
      </c>
      <c r="D4733" t="s">
        <v>1310</v>
      </c>
      <c r="E4733">
        <v>703.71</v>
      </c>
    </row>
    <row r="4734" spans="2:5">
      <c r="B4734" s="17">
        <v>42593</v>
      </c>
      <c r="D4734" t="s">
        <v>1310</v>
      </c>
      <c r="E4734">
        <v>17.904000000000003</v>
      </c>
    </row>
    <row r="4735" spans="2:5">
      <c r="B4735" s="17">
        <v>42593</v>
      </c>
      <c r="D4735" t="s">
        <v>1310</v>
      </c>
      <c r="E4735">
        <v>11.976000000000003</v>
      </c>
    </row>
    <row r="4736" spans="2:5">
      <c r="B4736" s="17">
        <v>42593</v>
      </c>
      <c r="D4736" t="s">
        <v>839</v>
      </c>
      <c r="E4736">
        <v>67.959999999999994</v>
      </c>
    </row>
    <row r="4737" spans="2:5">
      <c r="B4737" s="17">
        <v>42591</v>
      </c>
      <c r="D4737" t="s">
        <v>839</v>
      </c>
      <c r="E4737">
        <v>59.751999999999995</v>
      </c>
    </row>
    <row r="4738" spans="2:5">
      <c r="B4738" s="17">
        <v>42591</v>
      </c>
      <c r="D4738" t="s">
        <v>839</v>
      </c>
      <c r="E4738">
        <v>30.4</v>
      </c>
    </row>
    <row r="4739" spans="2:5">
      <c r="B4739" s="17">
        <v>42591</v>
      </c>
      <c r="D4739" t="s">
        <v>839</v>
      </c>
      <c r="E4739">
        <v>5399.91</v>
      </c>
    </row>
    <row r="4740" spans="2:5">
      <c r="B4740" s="17">
        <v>42591</v>
      </c>
      <c r="D4740" t="s">
        <v>839</v>
      </c>
      <c r="E4740">
        <v>119.10000000000001</v>
      </c>
    </row>
    <row r="4741" spans="2:5">
      <c r="B4741" s="17">
        <v>42591</v>
      </c>
      <c r="D4741" t="s">
        <v>839</v>
      </c>
      <c r="E4741">
        <v>52.679999999999993</v>
      </c>
    </row>
    <row r="4742" spans="2:5">
      <c r="B4742" s="17">
        <v>42590</v>
      </c>
      <c r="D4742" t="s">
        <v>762</v>
      </c>
      <c r="E4742">
        <v>11.568000000000001</v>
      </c>
    </row>
    <row r="4743" spans="2:5">
      <c r="B4743" s="17">
        <v>42590</v>
      </c>
      <c r="D4743" t="s">
        <v>762</v>
      </c>
      <c r="E4743">
        <v>15.648</v>
      </c>
    </row>
    <row r="4744" spans="2:5">
      <c r="B4744" s="17">
        <v>42590</v>
      </c>
      <c r="D4744" t="s">
        <v>762</v>
      </c>
      <c r="E4744">
        <v>599.29200000000003</v>
      </c>
    </row>
    <row r="4745" spans="2:5">
      <c r="B4745" s="17">
        <v>42590</v>
      </c>
      <c r="D4745" t="s">
        <v>762</v>
      </c>
      <c r="E4745">
        <v>38.08</v>
      </c>
    </row>
    <row r="4746" spans="2:5">
      <c r="B4746" s="17">
        <v>42590</v>
      </c>
      <c r="D4746" t="s">
        <v>762</v>
      </c>
      <c r="E4746">
        <v>6.16</v>
      </c>
    </row>
    <row r="4747" spans="2:5">
      <c r="B4747" s="17">
        <v>42590</v>
      </c>
      <c r="D4747" t="s">
        <v>1242</v>
      </c>
      <c r="E4747">
        <v>915.13600000000008</v>
      </c>
    </row>
    <row r="4748" spans="2:5">
      <c r="B4748" s="17">
        <v>42590</v>
      </c>
      <c r="D4748" t="s">
        <v>1242</v>
      </c>
      <c r="E4748">
        <v>8.56</v>
      </c>
    </row>
    <row r="4749" spans="2:5">
      <c r="B4749" s="17">
        <v>42589</v>
      </c>
      <c r="D4749" t="s">
        <v>1242</v>
      </c>
      <c r="E4749">
        <v>97.82</v>
      </c>
    </row>
    <row r="4750" spans="2:5">
      <c r="B4750" s="17">
        <v>42588</v>
      </c>
      <c r="D4750" t="s">
        <v>1242</v>
      </c>
      <c r="E4750">
        <v>61.44</v>
      </c>
    </row>
    <row r="4751" spans="2:5">
      <c r="B4751" s="17">
        <v>42588</v>
      </c>
      <c r="D4751" t="s">
        <v>1242</v>
      </c>
      <c r="E4751">
        <v>54.792000000000009</v>
      </c>
    </row>
    <row r="4752" spans="2:5">
      <c r="B4752" s="17">
        <v>42588</v>
      </c>
      <c r="D4752" t="s">
        <v>1242</v>
      </c>
      <c r="E4752">
        <v>32.479999999999997</v>
      </c>
    </row>
    <row r="4753" spans="2:5">
      <c r="B4753" s="17">
        <v>42587</v>
      </c>
      <c r="D4753" t="s">
        <v>1242</v>
      </c>
      <c r="E4753">
        <v>17499.949999999997</v>
      </c>
    </row>
    <row r="4754" spans="2:5">
      <c r="B4754" s="17">
        <v>42586</v>
      </c>
      <c r="D4754" t="s">
        <v>1242</v>
      </c>
      <c r="E4754">
        <v>735.98</v>
      </c>
    </row>
    <row r="4755" spans="2:5">
      <c r="B4755" s="17">
        <v>42586</v>
      </c>
      <c r="D4755" t="s">
        <v>1242</v>
      </c>
      <c r="E4755">
        <v>34.370000000000005</v>
      </c>
    </row>
    <row r="4756" spans="2:5">
      <c r="B4756" s="17">
        <v>42586</v>
      </c>
      <c r="D4756" t="s">
        <v>1013</v>
      </c>
      <c r="E4756">
        <v>33.96</v>
      </c>
    </row>
    <row r="4757" spans="2:5">
      <c r="B4757" s="17">
        <v>42586</v>
      </c>
      <c r="D4757" t="s">
        <v>1013</v>
      </c>
      <c r="E4757">
        <v>194.84800000000001</v>
      </c>
    </row>
    <row r="4758" spans="2:5">
      <c r="B4758" s="17">
        <v>42586</v>
      </c>
      <c r="D4758" t="s">
        <v>1013</v>
      </c>
      <c r="E4758">
        <v>69.900000000000006</v>
      </c>
    </row>
    <row r="4759" spans="2:5">
      <c r="B4759" s="17">
        <v>42586</v>
      </c>
      <c r="D4759" t="s">
        <v>1013</v>
      </c>
      <c r="E4759">
        <v>41.849999999999994</v>
      </c>
    </row>
    <row r="4760" spans="2:5">
      <c r="B4760" s="17">
        <v>42586</v>
      </c>
      <c r="D4760" t="s">
        <v>1013</v>
      </c>
      <c r="E4760">
        <v>79.512000000000015</v>
      </c>
    </row>
    <row r="4761" spans="2:5">
      <c r="B4761" s="17">
        <v>42586</v>
      </c>
      <c r="D4761" t="s">
        <v>1013</v>
      </c>
      <c r="E4761">
        <v>28.352</v>
      </c>
    </row>
    <row r="4762" spans="2:5">
      <c r="B4762" s="17">
        <v>42585</v>
      </c>
      <c r="D4762" t="s">
        <v>1013</v>
      </c>
      <c r="E4762">
        <v>5.3880000000000008</v>
      </c>
    </row>
    <row r="4763" spans="2:5">
      <c r="B4763" s="17">
        <v>42585</v>
      </c>
      <c r="D4763" t="s">
        <v>1013</v>
      </c>
      <c r="E4763">
        <v>30.975999999999999</v>
      </c>
    </row>
    <row r="4764" spans="2:5">
      <c r="B4764" s="17">
        <v>42584</v>
      </c>
      <c r="D4764" t="s">
        <v>1013</v>
      </c>
      <c r="E4764">
        <v>1.9639999999999995</v>
      </c>
    </row>
    <row r="4765" spans="2:5">
      <c r="B4765" s="17">
        <v>42584</v>
      </c>
      <c r="D4765" t="s">
        <v>1144</v>
      </c>
      <c r="E4765">
        <v>523.91999999999996</v>
      </c>
    </row>
    <row r="4766" spans="2:5">
      <c r="B4766" s="17">
        <v>42584</v>
      </c>
      <c r="D4766" t="s">
        <v>1144</v>
      </c>
      <c r="E4766">
        <v>15.936000000000002</v>
      </c>
    </row>
    <row r="4767" spans="2:5">
      <c r="B4767" s="17">
        <v>42583</v>
      </c>
      <c r="D4767" t="s">
        <v>1144</v>
      </c>
      <c r="E4767">
        <v>40.879999999999995</v>
      </c>
    </row>
    <row r="4768" spans="2:5">
      <c r="B4768" s="17">
        <v>42583</v>
      </c>
      <c r="D4768" t="s">
        <v>1144</v>
      </c>
      <c r="E4768">
        <v>18.97</v>
      </c>
    </row>
    <row r="4769" spans="2:5">
      <c r="B4769" s="17">
        <v>42583</v>
      </c>
      <c r="D4769" t="s">
        <v>1144</v>
      </c>
      <c r="E4769">
        <v>62.94</v>
      </c>
    </row>
    <row r="4770" spans="2:5">
      <c r="B4770" s="17">
        <v>42583</v>
      </c>
      <c r="D4770" t="s">
        <v>1144</v>
      </c>
      <c r="E4770">
        <v>25.919999999999998</v>
      </c>
    </row>
    <row r="4771" spans="2:5">
      <c r="B4771" s="17">
        <v>42582</v>
      </c>
      <c r="D4771" t="s">
        <v>1144</v>
      </c>
      <c r="E4771">
        <v>27.240000000000002</v>
      </c>
    </row>
    <row r="4772" spans="2:5">
      <c r="B4772" s="17">
        <v>42582</v>
      </c>
      <c r="D4772" t="s">
        <v>1144</v>
      </c>
      <c r="E4772">
        <v>10.496</v>
      </c>
    </row>
    <row r="4773" spans="2:5">
      <c r="B4773" s="17">
        <v>42582</v>
      </c>
      <c r="D4773" t="s">
        <v>1144</v>
      </c>
      <c r="E4773">
        <v>859.2</v>
      </c>
    </row>
    <row r="4774" spans="2:5">
      <c r="B4774" s="17">
        <v>42582</v>
      </c>
      <c r="D4774" t="s">
        <v>485</v>
      </c>
      <c r="E4774">
        <v>36.24</v>
      </c>
    </row>
    <row r="4775" spans="2:5">
      <c r="B4775" s="17">
        <v>42582</v>
      </c>
      <c r="D4775" t="s">
        <v>485</v>
      </c>
      <c r="E4775">
        <v>99.13600000000001</v>
      </c>
    </row>
    <row r="4776" spans="2:5">
      <c r="B4776" s="17">
        <v>42581</v>
      </c>
      <c r="D4776" t="s">
        <v>485</v>
      </c>
      <c r="E4776">
        <v>956.6647999999999</v>
      </c>
    </row>
    <row r="4777" spans="2:5">
      <c r="B4777" s="17">
        <v>42581</v>
      </c>
      <c r="D4777" t="s">
        <v>485</v>
      </c>
      <c r="E4777">
        <v>2.907</v>
      </c>
    </row>
    <row r="4778" spans="2:5">
      <c r="B4778" s="17">
        <v>42581</v>
      </c>
      <c r="D4778" t="s">
        <v>485</v>
      </c>
      <c r="E4778">
        <v>1001.5840000000001</v>
      </c>
    </row>
    <row r="4779" spans="2:5">
      <c r="B4779" s="17">
        <v>42581</v>
      </c>
      <c r="D4779" t="s">
        <v>485</v>
      </c>
      <c r="E4779">
        <v>17.940000000000001</v>
      </c>
    </row>
    <row r="4780" spans="2:5">
      <c r="B4780" s="17">
        <v>42580</v>
      </c>
      <c r="D4780" t="s">
        <v>485</v>
      </c>
      <c r="E4780">
        <v>13.89</v>
      </c>
    </row>
    <row r="4781" spans="2:5">
      <c r="B4781" s="17">
        <v>42580</v>
      </c>
      <c r="D4781" t="s">
        <v>485</v>
      </c>
      <c r="E4781">
        <v>747.55799999999999</v>
      </c>
    </row>
    <row r="4782" spans="2:5">
      <c r="B4782" s="17">
        <v>42580</v>
      </c>
      <c r="D4782" t="s">
        <v>485</v>
      </c>
      <c r="E4782">
        <v>8.9280000000000008</v>
      </c>
    </row>
    <row r="4783" spans="2:5">
      <c r="B4783" s="17">
        <v>42580</v>
      </c>
      <c r="D4783" t="s">
        <v>485</v>
      </c>
      <c r="E4783">
        <v>424.95749999999992</v>
      </c>
    </row>
    <row r="4784" spans="2:5">
      <c r="B4784" s="17">
        <v>42579</v>
      </c>
      <c r="D4784" t="s">
        <v>485</v>
      </c>
      <c r="E4784">
        <v>29.900000000000002</v>
      </c>
    </row>
    <row r="4785" spans="2:5">
      <c r="B4785" s="17">
        <v>42579</v>
      </c>
      <c r="D4785" t="s">
        <v>485</v>
      </c>
      <c r="E4785">
        <v>100</v>
      </c>
    </row>
    <row r="4786" spans="2:5">
      <c r="B4786" s="17">
        <v>42579</v>
      </c>
      <c r="D4786" t="s">
        <v>485</v>
      </c>
      <c r="E4786">
        <v>9.99</v>
      </c>
    </row>
    <row r="4787" spans="2:5">
      <c r="B4787" s="17">
        <v>42579</v>
      </c>
      <c r="D4787" t="s">
        <v>1338</v>
      </c>
      <c r="E4787">
        <v>51.449999999999996</v>
      </c>
    </row>
    <row r="4788" spans="2:5">
      <c r="B4788" s="17">
        <v>42579</v>
      </c>
      <c r="D4788" t="s">
        <v>1338</v>
      </c>
      <c r="E4788">
        <v>7.83</v>
      </c>
    </row>
    <row r="4789" spans="2:5">
      <c r="B4789" s="17">
        <v>42579</v>
      </c>
      <c r="D4789" t="s">
        <v>1338</v>
      </c>
      <c r="E4789">
        <v>35.4</v>
      </c>
    </row>
    <row r="4790" spans="2:5">
      <c r="B4790" s="17">
        <v>42579</v>
      </c>
      <c r="D4790" t="s">
        <v>1338</v>
      </c>
      <c r="E4790">
        <v>29.900000000000002</v>
      </c>
    </row>
    <row r="4791" spans="2:5">
      <c r="B4791" s="17">
        <v>42579</v>
      </c>
      <c r="D4791" t="s">
        <v>1338</v>
      </c>
      <c r="E4791">
        <v>12.96</v>
      </c>
    </row>
    <row r="4792" spans="2:5">
      <c r="B4792" s="17">
        <v>42576</v>
      </c>
      <c r="D4792" t="s">
        <v>1338</v>
      </c>
      <c r="E4792">
        <v>431.97600000000006</v>
      </c>
    </row>
    <row r="4793" spans="2:5">
      <c r="B4793" s="17">
        <v>42576</v>
      </c>
      <c r="D4793" t="s">
        <v>1338</v>
      </c>
      <c r="E4793">
        <v>15.623999999999997</v>
      </c>
    </row>
    <row r="4794" spans="2:5">
      <c r="B4794" s="17">
        <v>42576</v>
      </c>
      <c r="D4794" t="s">
        <v>686</v>
      </c>
      <c r="E4794">
        <v>93.031999999999982</v>
      </c>
    </row>
    <row r="4795" spans="2:5">
      <c r="B4795" s="17">
        <v>42576</v>
      </c>
      <c r="D4795" t="s">
        <v>686</v>
      </c>
      <c r="E4795">
        <v>454.96499999999997</v>
      </c>
    </row>
    <row r="4796" spans="2:5">
      <c r="B4796" s="17">
        <v>42576</v>
      </c>
      <c r="D4796" t="s">
        <v>686</v>
      </c>
      <c r="E4796">
        <v>6.8159999999999981</v>
      </c>
    </row>
    <row r="4797" spans="2:5">
      <c r="B4797" s="17">
        <v>42576</v>
      </c>
      <c r="D4797" t="s">
        <v>686</v>
      </c>
      <c r="E4797">
        <v>393.16500000000002</v>
      </c>
    </row>
    <row r="4798" spans="2:5">
      <c r="B4798" s="17">
        <v>42576</v>
      </c>
      <c r="D4798" t="s">
        <v>686</v>
      </c>
      <c r="E4798">
        <v>15.936000000000002</v>
      </c>
    </row>
    <row r="4799" spans="2:5">
      <c r="B4799" s="17">
        <v>42576</v>
      </c>
      <c r="D4799" t="s">
        <v>1147</v>
      </c>
      <c r="E4799">
        <v>60.048000000000002</v>
      </c>
    </row>
    <row r="4800" spans="2:5">
      <c r="B4800" s="17">
        <v>42576</v>
      </c>
      <c r="D4800" t="s">
        <v>1147</v>
      </c>
      <c r="E4800">
        <v>5.0220000000000002</v>
      </c>
    </row>
    <row r="4801" spans="2:5">
      <c r="B4801" s="17">
        <v>42576</v>
      </c>
      <c r="D4801" t="s">
        <v>1147</v>
      </c>
      <c r="E4801">
        <v>499.95</v>
      </c>
    </row>
    <row r="4802" spans="2:5">
      <c r="B4802" s="17">
        <v>42576</v>
      </c>
      <c r="D4802" t="s">
        <v>1147</v>
      </c>
      <c r="E4802">
        <v>3.04</v>
      </c>
    </row>
    <row r="4803" spans="2:5">
      <c r="B4803" s="17">
        <v>42576</v>
      </c>
      <c r="D4803" t="s">
        <v>1147</v>
      </c>
      <c r="E4803">
        <v>68.64</v>
      </c>
    </row>
    <row r="4804" spans="2:5">
      <c r="B4804" s="17">
        <v>42576</v>
      </c>
      <c r="D4804" t="s">
        <v>1147</v>
      </c>
      <c r="E4804">
        <v>24.224000000000004</v>
      </c>
    </row>
    <row r="4805" spans="2:5">
      <c r="B4805" s="17">
        <v>42576</v>
      </c>
      <c r="D4805" t="s">
        <v>1147</v>
      </c>
      <c r="E4805">
        <v>477.666</v>
      </c>
    </row>
    <row r="4806" spans="2:5">
      <c r="B4806" s="17">
        <v>42576</v>
      </c>
      <c r="D4806" t="s">
        <v>1723</v>
      </c>
      <c r="E4806">
        <v>10.9</v>
      </c>
    </row>
    <row r="4807" spans="2:5">
      <c r="B4807" s="17">
        <v>42576</v>
      </c>
      <c r="D4807" t="s">
        <v>1723</v>
      </c>
      <c r="E4807">
        <v>29.6</v>
      </c>
    </row>
    <row r="4808" spans="2:5">
      <c r="B4808" s="17">
        <v>42576</v>
      </c>
      <c r="D4808" t="s">
        <v>1723</v>
      </c>
      <c r="E4808">
        <v>4.9800000000000004</v>
      </c>
    </row>
    <row r="4809" spans="2:5">
      <c r="B4809" s="17">
        <v>42576</v>
      </c>
      <c r="D4809" t="s">
        <v>1723</v>
      </c>
      <c r="E4809">
        <v>479.97600000000006</v>
      </c>
    </row>
    <row r="4810" spans="2:5">
      <c r="B4810" s="17">
        <v>42576</v>
      </c>
      <c r="D4810" t="s">
        <v>1723</v>
      </c>
      <c r="E4810">
        <v>44.736000000000004</v>
      </c>
    </row>
    <row r="4811" spans="2:5">
      <c r="B4811" s="17">
        <v>42575</v>
      </c>
      <c r="D4811" t="s">
        <v>1723</v>
      </c>
      <c r="E4811">
        <v>5.76</v>
      </c>
    </row>
    <row r="4812" spans="2:5">
      <c r="B4812" s="17">
        <v>42575</v>
      </c>
      <c r="D4812" t="s">
        <v>218</v>
      </c>
      <c r="E4812">
        <v>483.13599999999997</v>
      </c>
    </row>
    <row r="4813" spans="2:5">
      <c r="B4813" s="17">
        <v>42574</v>
      </c>
      <c r="D4813" t="s">
        <v>218</v>
      </c>
      <c r="E4813">
        <v>155.37199999999999</v>
      </c>
    </row>
    <row r="4814" spans="2:5">
      <c r="B4814" s="17">
        <v>42574</v>
      </c>
      <c r="D4814" t="s">
        <v>218</v>
      </c>
      <c r="E4814">
        <v>41.96</v>
      </c>
    </row>
    <row r="4815" spans="2:5">
      <c r="B4815" s="17">
        <v>42574</v>
      </c>
      <c r="D4815" t="s">
        <v>218</v>
      </c>
      <c r="E4815">
        <v>41.7</v>
      </c>
    </row>
    <row r="4816" spans="2:5">
      <c r="B4816" s="17">
        <v>42574</v>
      </c>
      <c r="D4816" t="s">
        <v>218</v>
      </c>
      <c r="E4816">
        <v>63.2</v>
      </c>
    </row>
    <row r="4817" spans="2:5">
      <c r="B4817" s="17">
        <v>42574</v>
      </c>
      <c r="D4817" t="s">
        <v>218</v>
      </c>
      <c r="E4817">
        <v>21.44</v>
      </c>
    </row>
    <row r="4818" spans="2:5">
      <c r="B4818" s="17">
        <v>42574</v>
      </c>
      <c r="D4818" t="s">
        <v>1629</v>
      </c>
      <c r="E4818">
        <v>511.05600000000004</v>
      </c>
    </row>
    <row r="4819" spans="2:5">
      <c r="B4819" s="17">
        <v>42574</v>
      </c>
      <c r="D4819" t="s">
        <v>1629</v>
      </c>
      <c r="E4819">
        <v>6.38</v>
      </c>
    </row>
    <row r="4820" spans="2:5">
      <c r="B4820" s="17">
        <v>42574</v>
      </c>
      <c r="D4820" t="s">
        <v>1629</v>
      </c>
      <c r="E4820">
        <v>6.48</v>
      </c>
    </row>
    <row r="4821" spans="2:5">
      <c r="B4821" s="17">
        <v>42574</v>
      </c>
      <c r="D4821" t="s">
        <v>1629</v>
      </c>
      <c r="E4821">
        <v>127.94999999999999</v>
      </c>
    </row>
    <row r="4822" spans="2:5">
      <c r="B4822" s="17">
        <v>42574</v>
      </c>
      <c r="D4822" t="s">
        <v>147</v>
      </c>
      <c r="E4822">
        <v>442.37199999999996</v>
      </c>
    </row>
    <row r="4823" spans="2:5">
      <c r="B4823" s="17">
        <v>42573</v>
      </c>
      <c r="D4823" t="s">
        <v>147</v>
      </c>
      <c r="E4823">
        <v>563.24</v>
      </c>
    </row>
    <row r="4824" spans="2:5">
      <c r="B4824" s="17">
        <v>42573</v>
      </c>
      <c r="D4824" t="s">
        <v>147</v>
      </c>
      <c r="E4824">
        <v>532.70400000000006</v>
      </c>
    </row>
    <row r="4825" spans="2:5">
      <c r="B4825" s="17">
        <v>42573</v>
      </c>
      <c r="D4825" t="s">
        <v>147</v>
      </c>
      <c r="E4825">
        <v>4.9119999999999999</v>
      </c>
    </row>
    <row r="4826" spans="2:5">
      <c r="B4826" s="17">
        <v>42573</v>
      </c>
      <c r="D4826" t="s">
        <v>147</v>
      </c>
      <c r="E4826">
        <v>118.25</v>
      </c>
    </row>
    <row r="4827" spans="2:5">
      <c r="B4827" s="17">
        <v>42573</v>
      </c>
      <c r="D4827" t="s">
        <v>147</v>
      </c>
      <c r="E4827">
        <v>368.96999999999997</v>
      </c>
    </row>
    <row r="4828" spans="2:5">
      <c r="B4828" s="17">
        <v>42573</v>
      </c>
      <c r="D4828" t="s">
        <v>147</v>
      </c>
      <c r="E4828">
        <v>13.68</v>
      </c>
    </row>
    <row r="4829" spans="2:5">
      <c r="B4829" s="17">
        <v>42573</v>
      </c>
      <c r="D4829" t="s">
        <v>1214</v>
      </c>
      <c r="E4829">
        <v>4.08</v>
      </c>
    </row>
    <row r="4830" spans="2:5">
      <c r="B4830" s="17">
        <v>42573</v>
      </c>
      <c r="D4830" t="s">
        <v>1214</v>
      </c>
      <c r="E4830">
        <v>18.899999999999999</v>
      </c>
    </row>
    <row r="4831" spans="2:5">
      <c r="B4831" s="17">
        <v>42573</v>
      </c>
      <c r="D4831" t="s">
        <v>1214</v>
      </c>
      <c r="E4831">
        <v>10.528</v>
      </c>
    </row>
    <row r="4832" spans="2:5">
      <c r="B4832" s="17">
        <v>42573</v>
      </c>
      <c r="D4832" t="s">
        <v>1214</v>
      </c>
      <c r="E4832">
        <v>11.952000000000002</v>
      </c>
    </row>
    <row r="4833" spans="2:5">
      <c r="B4833" s="17">
        <v>42573</v>
      </c>
      <c r="D4833" t="s">
        <v>1214</v>
      </c>
      <c r="E4833">
        <v>28</v>
      </c>
    </row>
    <row r="4834" spans="2:5">
      <c r="B4834" s="17">
        <v>42573</v>
      </c>
      <c r="D4834" t="s">
        <v>333</v>
      </c>
      <c r="E4834">
        <v>12.201000000000001</v>
      </c>
    </row>
    <row r="4835" spans="2:5">
      <c r="B4835" s="17">
        <v>42572</v>
      </c>
      <c r="D4835" t="s">
        <v>333</v>
      </c>
      <c r="E4835">
        <v>13.216000000000001</v>
      </c>
    </row>
    <row r="4836" spans="2:5">
      <c r="B4836" s="17">
        <v>42572</v>
      </c>
      <c r="D4836" t="s">
        <v>333</v>
      </c>
      <c r="E4836">
        <v>184.75200000000001</v>
      </c>
    </row>
    <row r="4837" spans="2:5">
      <c r="B4837" s="17">
        <v>42572</v>
      </c>
      <c r="D4837" t="s">
        <v>333</v>
      </c>
      <c r="E4837">
        <v>40.775999999999996</v>
      </c>
    </row>
    <row r="4838" spans="2:5">
      <c r="B4838" s="17">
        <v>42572</v>
      </c>
      <c r="D4838" t="s">
        <v>333</v>
      </c>
      <c r="E4838">
        <v>63.936000000000007</v>
      </c>
    </row>
    <row r="4839" spans="2:5">
      <c r="B4839" s="17">
        <v>42572</v>
      </c>
      <c r="D4839" t="s">
        <v>154</v>
      </c>
      <c r="E4839">
        <v>7.8719999999999999</v>
      </c>
    </row>
    <row r="4840" spans="2:5">
      <c r="B4840" s="17">
        <v>42572</v>
      </c>
      <c r="D4840" t="s">
        <v>154</v>
      </c>
      <c r="E4840">
        <v>7.5060000000000002</v>
      </c>
    </row>
    <row r="4841" spans="2:5">
      <c r="B4841" s="17">
        <v>42572</v>
      </c>
      <c r="D4841" t="s">
        <v>154</v>
      </c>
      <c r="E4841">
        <v>13.28</v>
      </c>
    </row>
    <row r="4842" spans="2:5">
      <c r="B4842" s="17">
        <v>42572</v>
      </c>
      <c r="D4842" t="s">
        <v>154</v>
      </c>
      <c r="E4842">
        <v>128.34</v>
      </c>
    </row>
    <row r="4843" spans="2:5">
      <c r="B4843" s="17">
        <v>42572</v>
      </c>
      <c r="D4843" t="s">
        <v>154</v>
      </c>
      <c r="E4843">
        <v>35.880000000000003</v>
      </c>
    </row>
    <row r="4844" spans="2:5">
      <c r="B4844" s="17">
        <v>42571</v>
      </c>
      <c r="D4844" t="s">
        <v>154</v>
      </c>
      <c r="E4844">
        <v>68.432000000000016</v>
      </c>
    </row>
    <row r="4845" spans="2:5">
      <c r="B4845" s="17">
        <v>42570</v>
      </c>
      <c r="D4845" t="s">
        <v>1728</v>
      </c>
      <c r="E4845">
        <v>18.96</v>
      </c>
    </row>
    <row r="4846" spans="2:5">
      <c r="B4846" s="17">
        <v>42570</v>
      </c>
      <c r="D4846" t="s">
        <v>1728</v>
      </c>
      <c r="E4846">
        <v>63.967999999999996</v>
      </c>
    </row>
    <row r="4847" spans="2:5">
      <c r="B4847" s="17">
        <v>42570</v>
      </c>
      <c r="D4847" t="s">
        <v>1728</v>
      </c>
      <c r="E4847">
        <v>35.56</v>
      </c>
    </row>
    <row r="4848" spans="2:5">
      <c r="B4848" s="17">
        <v>42570</v>
      </c>
      <c r="D4848" t="s">
        <v>1757</v>
      </c>
      <c r="E4848">
        <v>97.98</v>
      </c>
    </row>
    <row r="4849" spans="2:5">
      <c r="B4849" s="17">
        <v>42570</v>
      </c>
      <c r="D4849" t="s">
        <v>284</v>
      </c>
      <c r="E4849">
        <v>65.789999999999992</v>
      </c>
    </row>
    <row r="4850" spans="2:5">
      <c r="B4850" s="17">
        <v>42570</v>
      </c>
      <c r="D4850" t="s">
        <v>284</v>
      </c>
      <c r="E4850">
        <v>11.76</v>
      </c>
    </row>
    <row r="4851" spans="2:5">
      <c r="B4851" s="17">
        <v>42570</v>
      </c>
      <c r="D4851" t="s">
        <v>284</v>
      </c>
      <c r="E4851">
        <v>77.52</v>
      </c>
    </row>
    <row r="4852" spans="2:5">
      <c r="B4852" s="17">
        <v>42570</v>
      </c>
      <c r="D4852" t="s">
        <v>284</v>
      </c>
      <c r="E4852">
        <v>48.64</v>
      </c>
    </row>
    <row r="4853" spans="2:5">
      <c r="B4853" s="17">
        <v>42569</v>
      </c>
      <c r="D4853" t="s">
        <v>284</v>
      </c>
      <c r="E4853">
        <v>17.088000000000001</v>
      </c>
    </row>
    <row r="4854" spans="2:5">
      <c r="B4854" s="17">
        <v>42569</v>
      </c>
      <c r="D4854" t="s">
        <v>284</v>
      </c>
      <c r="E4854">
        <v>98.391999999999996</v>
      </c>
    </row>
    <row r="4855" spans="2:5">
      <c r="B4855" s="17">
        <v>42569</v>
      </c>
      <c r="D4855" t="s">
        <v>284</v>
      </c>
      <c r="E4855">
        <v>393.25</v>
      </c>
    </row>
    <row r="4856" spans="2:5">
      <c r="B4856" s="17">
        <v>42569</v>
      </c>
      <c r="D4856" t="s">
        <v>1678</v>
      </c>
      <c r="E4856">
        <v>83.699999999999989</v>
      </c>
    </row>
    <row r="4857" spans="2:5">
      <c r="B4857" s="17">
        <v>42569</v>
      </c>
      <c r="D4857" t="s">
        <v>1678</v>
      </c>
      <c r="E4857">
        <v>163.88</v>
      </c>
    </row>
    <row r="4858" spans="2:5">
      <c r="B4858" s="17">
        <v>42569</v>
      </c>
      <c r="D4858" t="s">
        <v>682</v>
      </c>
      <c r="E4858">
        <v>701.37199999999996</v>
      </c>
    </row>
    <row r="4859" spans="2:5">
      <c r="B4859" s="17">
        <v>42569</v>
      </c>
      <c r="D4859" t="s">
        <v>682</v>
      </c>
      <c r="E4859">
        <v>2.3079999999999994</v>
      </c>
    </row>
    <row r="4860" spans="2:5">
      <c r="B4860" s="17">
        <v>42569</v>
      </c>
      <c r="D4860" t="s">
        <v>682</v>
      </c>
      <c r="E4860">
        <v>1606.23</v>
      </c>
    </row>
    <row r="4861" spans="2:5">
      <c r="B4861" s="17">
        <v>42569</v>
      </c>
      <c r="D4861" t="s">
        <v>1493</v>
      </c>
      <c r="E4861">
        <v>17.04</v>
      </c>
    </row>
    <row r="4862" spans="2:5">
      <c r="B4862" s="17">
        <v>42569</v>
      </c>
      <c r="D4862" t="s">
        <v>1493</v>
      </c>
      <c r="E4862">
        <v>49.53</v>
      </c>
    </row>
    <row r="4863" spans="2:5">
      <c r="B4863" s="17">
        <v>42569</v>
      </c>
      <c r="D4863" t="s">
        <v>1493</v>
      </c>
      <c r="E4863">
        <v>872.32</v>
      </c>
    </row>
    <row r="4864" spans="2:5">
      <c r="B4864" s="17">
        <v>42569</v>
      </c>
      <c r="D4864" t="s">
        <v>476</v>
      </c>
      <c r="E4864">
        <v>159.88</v>
      </c>
    </row>
    <row r="4865" spans="2:5">
      <c r="B4865" s="17">
        <v>42568</v>
      </c>
      <c r="D4865" t="s">
        <v>476</v>
      </c>
      <c r="E4865">
        <v>25.44</v>
      </c>
    </row>
    <row r="4866" spans="2:5">
      <c r="B4866" s="17">
        <v>42568</v>
      </c>
      <c r="D4866" t="s">
        <v>476</v>
      </c>
      <c r="E4866">
        <v>27.93</v>
      </c>
    </row>
    <row r="4867" spans="2:5">
      <c r="B4867" s="17">
        <v>42568</v>
      </c>
      <c r="D4867" t="s">
        <v>476</v>
      </c>
      <c r="E4867">
        <v>5.04</v>
      </c>
    </row>
    <row r="4868" spans="2:5">
      <c r="B4868" s="17">
        <v>42568</v>
      </c>
      <c r="D4868" t="s">
        <v>1113</v>
      </c>
      <c r="E4868">
        <v>25.632000000000001</v>
      </c>
    </row>
    <row r="4869" spans="2:5">
      <c r="B4869" s="17">
        <v>42568</v>
      </c>
      <c r="D4869" t="s">
        <v>1113</v>
      </c>
      <c r="E4869">
        <v>11.952000000000002</v>
      </c>
    </row>
    <row r="4870" spans="2:5">
      <c r="B4870" s="17">
        <v>42568</v>
      </c>
      <c r="D4870" t="s">
        <v>1113</v>
      </c>
      <c r="E4870">
        <v>6.24</v>
      </c>
    </row>
    <row r="4871" spans="2:5">
      <c r="B4871" s="17">
        <v>42568</v>
      </c>
      <c r="D4871" t="s">
        <v>1113</v>
      </c>
      <c r="E4871">
        <v>69.52</v>
      </c>
    </row>
    <row r="4872" spans="2:5">
      <c r="B4872" s="17">
        <v>42568</v>
      </c>
      <c r="D4872" t="s">
        <v>1113</v>
      </c>
      <c r="E4872">
        <v>8.9280000000000008</v>
      </c>
    </row>
    <row r="4873" spans="2:5">
      <c r="B4873" s="17">
        <v>42568</v>
      </c>
      <c r="D4873" t="s">
        <v>1113</v>
      </c>
      <c r="E4873">
        <v>4.6159999999999997</v>
      </c>
    </row>
    <row r="4874" spans="2:5">
      <c r="B4874" s="17">
        <v>42568</v>
      </c>
      <c r="D4874" t="s">
        <v>1113</v>
      </c>
      <c r="E4874">
        <v>383.43799999999999</v>
      </c>
    </row>
    <row r="4875" spans="2:5">
      <c r="B4875" s="17">
        <v>42568</v>
      </c>
      <c r="D4875" t="s">
        <v>1113</v>
      </c>
      <c r="E4875">
        <v>350.98</v>
      </c>
    </row>
    <row r="4876" spans="2:5">
      <c r="B4876" s="17">
        <v>42568</v>
      </c>
      <c r="D4876" t="s">
        <v>660</v>
      </c>
      <c r="E4876">
        <v>13.08</v>
      </c>
    </row>
    <row r="4877" spans="2:5">
      <c r="B4877" s="17">
        <v>42568</v>
      </c>
      <c r="D4877" t="s">
        <v>660</v>
      </c>
      <c r="E4877">
        <v>900.08</v>
      </c>
    </row>
    <row r="4878" spans="2:5">
      <c r="B4878" s="17">
        <v>42568</v>
      </c>
      <c r="D4878" t="s">
        <v>660</v>
      </c>
      <c r="E4878">
        <v>5.3520000000000003</v>
      </c>
    </row>
    <row r="4879" spans="2:5">
      <c r="B4879" s="17">
        <v>42568</v>
      </c>
      <c r="D4879" t="s">
        <v>660</v>
      </c>
      <c r="E4879">
        <v>99.372</v>
      </c>
    </row>
    <row r="4880" spans="2:5">
      <c r="B4880" s="17">
        <v>42568</v>
      </c>
      <c r="D4880" t="s">
        <v>660</v>
      </c>
      <c r="E4880">
        <v>2.6720000000000002</v>
      </c>
    </row>
    <row r="4881" spans="2:5">
      <c r="B4881" s="17">
        <v>42568</v>
      </c>
      <c r="D4881" t="s">
        <v>660</v>
      </c>
      <c r="E4881">
        <v>631.78200000000004</v>
      </c>
    </row>
    <row r="4882" spans="2:5">
      <c r="B4882" s="17">
        <v>42567</v>
      </c>
      <c r="D4882" t="s">
        <v>660</v>
      </c>
      <c r="E4882">
        <v>60.72</v>
      </c>
    </row>
    <row r="4883" spans="2:5">
      <c r="B4883" s="17">
        <v>42567</v>
      </c>
      <c r="D4883" t="s">
        <v>660</v>
      </c>
      <c r="E4883">
        <v>3</v>
      </c>
    </row>
    <row r="4884" spans="2:5">
      <c r="B4884" s="17">
        <v>42567</v>
      </c>
      <c r="D4884" t="s">
        <v>1516</v>
      </c>
      <c r="E4884">
        <v>801.5680000000001</v>
      </c>
    </row>
    <row r="4885" spans="2:5">
      <c r="B4885" s="17">
        <v>42567</v>
      </c>
      <c r="D4885" t="s">
        <v>1516</v>
      </c>
      <c r="E4885">
        <v>368.91</v>
      </c>
    </row>
    <row r="4886" spans="2:5">
      <c r="B4886" s="17">
        <v>42567</v>
      </c>
      <c r="D4886" t="s">
        <v>1516</v>
      </c>
      <c r="E4886">
        <v>885.52800000000002</v>
      </c>
    </row>
    <row r="4887" spans="2:5">
      <c r="B4887" s="17">
        <v>42567</v>
      </c>
      <c r="D4887" t="s">
        <v>1516</v>
      </c>
      <c r="E4887">
        <v>20.100000000000001</v>
      </c>
    </row>
    <row r="4888" spans="2:5">
      <c r="B4888" s="17">
        <v>42567</v>
      </c>
      <c r="D4888" t="s">
        <v>202</v>
      </c>
      <c r="E4888">
        <v>73.584000000000003</v>
      </c>
    </row>
    <row r="4889" spans="2:5">
      <c r="B4889" s="17">
        <v>42567</v>
      </c>
      <c r="D4889" t="s">
        <v>202</v>
      </c>
      <c r="E4889">
        <v>6.48</v>
      </c>
    </row>
    <row r="4890" spans="2:5">
      <c r="B4890" s="17">
        <v>42567</v>
      </c>
      <c r="D4890" t="s">
        <v>202</v>
      </c>
      <c r="E4890">
        <v>396</v>
      </c>
    </row>
    <row r="4891" spans="2:5">
      <c r="B4891" s="17">
        <v>42567</v>
      </c>
      <c r="D4891" t="s">
        <v>202</v>
      </c>
      <c r="E4891">
        <v>437.84999999999997</v>
      </c>
    </row>
    <row r="4892" spans="2:5">
      <c r="B4892" s="17">
        <v>42567</v>
      </c>
      <c r="D4892" t="s">
        <v>343</v>
      </c>
      <c r="E4892">
        <v>109.48</v>
      </c>
    </row>
    <row r="4893" spans="2:5">
      <c r="B4893" s="17">
        <v>42567</v>
      </c>
      <c r="D4893" t="s">
        <v>343</v>
      </c>
      <c r="E4893">
        <v>113.88800000000002</v>
      </c>
    </row>
    <row r="4894" spans="2:5">
      <c r="B4894" s="17">
        <v>42566</v>
      </c>
      <c r="D4894" t="s">
        <v>343</v>
      </c>
      <c r="E4894">
        <v>105.584</v>
      </c>
    </row>
    <row r="4895" spans="2:5">
      <c r="B4895" s="17">
        <v>42566</v>
      </c>
      <c r="D4895" t="s">
        <v>343</v>
      </c>
      <c r="E4895">
        <v>33.4</v>
      </c>
    </row>
    <row r="4896" spans="2:5">
      <c r="B4896" s="17">
        <v>42566</v>
      </c>
      <c r="D4896" t="s">
        <v>343</v>
      </c>
      <c r="E4896">
        <v>14.82</v>
      </c>
    </row>
    <row r="4897" spans="2:5">
      <c r="B4897" s="17">
        <v>42565</v>
      </c>
      <c r="D4897" t="s">
        <v>343</v>
      </c>
      <c r="E4897">
        <v>191.82</v>
      </c>
    </row>
    <row r="4898" spans="2:5">
      <c r="B4898" s="17">
        <v>42565</v>
      </c>
      <c r="D4898" t="s">
        <v>336</v>
      </c>
      <c r="E4898">
        <v>12.32</v>
      </c>
    </row>
    <row r="4899" spans="2:5">
      <c r="B4899" s="17">
        <v>42565</v>
      </c>
      <c r="D4899" t="s">
        <v>336</v>
      </c>
      <c r="E4899">
        <v>12.96</v>
      </c>
    </row>
    <row r="4900" spans="2:5">
      <c r="B4900" s="17">
        <v>42565</v>
      </c>
      <c r="D4900" t="s">
        <v>336</v>
      </c>
      <c r="E4900">
        <v>17.48</v>
      </c>
    </row>
    <row r="4901" spans="2:5">
      <c r="B4901" s="17">
        <v>42565</v>
      </c>
      <c r="D4901" t="s">
        <v>336</v>
      </c>
      <c r="E4901">
        <v>121.78</v>
      </c>
    </row>
    <row r="4902" spans="2:5">
      <c r="B4902" s="17">
        <v>42565</v>
      </c>
      <c r="D4902" t="s">
        <v>336</v>
      </c>
      <c r="E4902">
        <v>5.3440000000000003</v>
      </c>
    </row>
    <row r="4903" spans="2:5">
      <c r="B4903" s="17">
        <v>42565</v>
      </c>
      <c r="D4903" t="s">
        <v>1427</v>
      </c>
      <c r="E4903">
        <v>841.5680000000001</v>
      </c>
    </row>
    <row r="4904" spans="2:5">
      <c r="B4904" s="17">
        <v>42565</v>
      </c>
      <c r="D4904" t="s">
        <v>1427</v>
      </c>
      <c r="E4904">
        <v>21.400000000000002</v>
      </c>
    </row>
    <row r="4905" spans="2:5">
      <c r="B4905" s="17">
        <v>42565</v>
      </c>
      <c r="D4905" t="s">
        <v>1427</v>
      </c>
      <c r="E4905">
        <v>48.664000000000001</v>
      </c>
    </row>
    <row r="4906" spans="2:5">
      <c r="B4906" s="17">
        <v>42565</v>
      </c>
      <c r="D4906" t="s">
        <v>1427</v>
      </c>
      <c r="E4906">
        <v>20.416</v>
      </c>
    </row>
    <row r="4907" spans="2:5">
      <c r="B4907" s="17">
        <v>42565</v>
      </c>
      <c r="D4907" t="s">
        <v>1427</v>
      </c>
      <c r="E4907">
        <v>1128.3899999999999</v>
      </c>
    </row>
    <row r="4908" spans="2:5">
      <c r="B4908" s="17">
        <v>42565</v>
      </c>
      <c r="D4908" t="s">
        <v>1427</v>
      </c>
      <c r="E4908">
        <v>35.4</v>
      </c>
    </row>
    <row r="4909" spans="2:5">
      <c r="B4909" s="17">
        <v>42565</v>
      </c>
      <c r="D4909" t="s">
        <v>1427</v>
      </c>
      <c r="E4909">
        <v>25.92</v>
      </c>
    </row>
    <row r="4910" spans="2:5">
      <c r="B4910" s="17">
        <v>42565</v>
      </c>
      <c r="D4910" t="s">
        <v>362</v>
      </c>
      <c r="E4910">
        <v>437.84999999999997</v>
      </c>
    </row>
    <row r="4911" spans="2:5">
      <c r="B4911" s="17">
        <v>42565</v>
      </c>
      <c r="D4911" t="s">
        <v>362</v>
      </c>
      <c r="E4911">
        <v>673.5680000000001</v>
      </c>
    </row>
    <row r="4912" spans="2:5">
      <c r="B4912" s="17">
        <v>42565</v>
      </c>
      <c r="D4912" t="s">
        <v>362</v>
      </c>
      <c r="E4912">
        <v>40.74</v>
      </c>
    </row>
    <row r="4913" spans="2:5">
      <c r="B4913" s="17">
        <v>42565</v>
      </c>
      <c r="D4913" t="s">
        <v>362</v>
      </c>
      <c r="E4913">
        <v>14.399999999999999</v>
      </c>
    </row>
    <row r="4914" spans="2:5">
      <c r="B4914" s="17">
        <v>42565</v>
      </c>
      <c r="D4914" t="s">
        <v>362</v>
      </c>
      <c r="E4914">
        <v>149.94999999999999</v>
      </c>
    </row>
    <row r="4915" spans="2:5">
      <c r="B4915" s="17">
        <v>42563</v>
      </c>
      <c r="D4915" t="s">
        <v>362</v>
      </c>
      <c r="E4915">
        <v>16.899999999999999</v>
      </c>
    </row>
    <row r="4916" spans="2:5">
      <c r="B4916" s="17">
        <v>42561</v>
      </c>
      <c r="D4916" t="s">
        <v>362</v>
      </c>
      <c r="E4916">
        <v>17.61</v>
      </c>
    </row>
    <row r="4917" spans="2:5">
      <c r="B4917" s="17">
        <v>42561</v>
      </c>
      <c r="D4917" t="s">
        <v>362</v>
      </c>
      <c r="E4917">
        <v>378</v>
      </c>
    </row>
    <row r="4918" spans="2:5">
      <c r="B4918" s="17">
        <v>42561</v>
      </c>
      <c r="D4918" t="s">
        <v>796</v>
      </c>
      <c r="E4918">
        <v>17.64</v>
      </c>
    </row>
    <row r="4919" spans="2:5">
      <c r="B4919" s="17">
        <v>42561</v>
      </c>
      <c r="D4919" t="s">
        <v>796</v>
      </c>
      <c r="E4919">
        <v>373.08</v>
      </c>
    </row>
    <row r="4920" spans="2:5">
      <c r="B4920" s="17">
        <v>42561</v>
      </c>
      <c r="D4920" t="s">
        <v>1616</v>
      </c>
      <c r="E4920">
        <v>1336.4399999999998</v>
      </c>
    </row>
    <row r="4921" spans="2:5">
      <c r="B4921" s="17">
        <v>42560</v>
      </c>
      <c r="D4921" t="s">
        <v>920</v>
      </c>
      <c r="E4921">
        <v>29.97</v>
      </c>
    </row>
    <row r="4922" spans="2:5">
      <c r="B4922" s="17">
        <v>42560</v>
      </c>
      <c r="D4922" t="s">
        <v>1893</v>
      </c>
      <c r="E4922">
        <v>15.136000000000003</v>
      </c>
    </row>
    <row r="4923" spans="2:5">
      <c r="B4923" s="17">
        <v>42559</v>
      </c>
      <c r="D4923" t="s">
        <v>1893</v>
      </c>
      <c r="E4923">
        <v>466.76800000000003</v>
      </c>
    </row>
    <row r="4924" spans="2:5">
      <c r="B4924" s="17">
        <v>42559</v>
      </c>
      <c r="D4924" t="s">
        <v>1869</v>
      </c>
      <c r="E4924">
        <v>15.231999999999999</v>
      </c>
    </row>
    <row r="4925" spans="2:5">
      <c r="B4925" s="17">
        <v>42559</v>
      </c>
      <c r="D4925" t="s">
        <v>1874</v>
      </c>
      <c r="E4925">
        <v>6.2640000000000002</v>
      </c>
    </row>
    <row r="4926" spans="2:5">
      <c r="B4926" s="17">
        <v>42559</v>
      </c>
      <c r="D4926" t="s">
        <v>861</v>
      </c>
      <c r="E4926">
        <v>10.47</v>
      </c>
    </row>
    <row r="4927" spans="2:5">
      <c r="B4927" s="17">
        <v>42559</v>
      </c>
      <c r="D4927" t="s">
        <v>1776</v>
      </c>
      <c r="E4927">
        <v>11.07</v>
      </c>
    </row>
    <row r="4928" spans="2:5">
      <c r="B4928" s="17">
        <v>42559</v>
      </c>
      <c r="D4928" t="s">
        <v>1776</v>
      </c>
      <c r="E4928">
        <v>20.704000000000001</v>
      </c>
    </row>
    <row r="4929" spans="2:5">
      <c r="B4929" s="17">
        <v>42559</v>
      </c>
      <c r="D4929" t="s">
        <v>1776</v>
      </c>
      <c r="E4929">
        <v>20.700000000000003</v>
      </c>
    </row>
    <row r="4930" spans="2:5">
      <c r="B4930" s="17">
        <v>42559</v>
      </c>
      <c r="D4930" t="s">
        <v>743</v>
      </c>
      <c r="E4930">
        <v>11.34</v>
      </c>
    </row>
    <row r="4931" spans="2:5">
      <c r="B4931" s="17">
        <v>42559</v>
      </c>
      <c r="D4931" t="s">
        <v>743</v>
      </c>
      <c r="E4931">
        <v>67.900000000000006</v>
      </c>
    </row>
    <row r="4932" spans="2:5">
      <c r="B4932" s="17">
        <v>42559</v>
      </c>
      <c r="D4932" t="s">
        <v>743</v>
      </c>
      <c r="E4932">
        <v>1059.1199999999999</v>
      </c>
    </row>
    <row r="4933" spans="2:5">
      <c r="B4933" s="17">
        <v>42559</v>
      </c>
      <c r="D4933" t="s">
        <v>743</v>
      </c>
      <c r="E4933">
        <v>68.52</v>
      </c>
    </row>
    <row r="4934" spans="2:5">
      <c r="B4934" s="17">
        <v>42558</v>
      </c>
      <c r="D4934" t="s">
        <v>743</v>
      </c>
      <c r="E4934">
        <v>146.952</v>
      </c>
    </row>
    <row r="4935" spans="2:5">
      <c r="B4935" s="17">
        <v>42558</v>
      </c>
      <c r="D4935" t="s">
        <v>743</v>
      </c>
      <c r="E4935">
        <v>83.13600000000001</v>
      </c>
    </row>
    <row r="4936" spans="2:5">
      <c r="B4936" s="17">
        <v>42558</v>
      </c>
      <c r="D4936" t="s">
        <v>743</v>
      </c>
      <c r="E4936">
        <v>40.479999999999997</v>
      </c>
    </row>
    <row r="4937" spans="2:5">
      <c r="B4937" s="17">
        <v>42558</v>
      </c>
      <c r="D4937" t="s">
        <v>743</v>
      </c>
      <c r="E4937">
        <v>7.61</v>
      </c>
    </row>
    <row r="4938" spans="2:5">
      <c r="B4938" s="17">
        <v>42558</v>
      </c>
      <c r="D4938" t="s">
        <v>743</v>
      </c>
      <c r="E4938">
        <v>3347.37</v>
      </c>
    </row>
    <row r="4939" spans="2:5">
      <c r="B4939" s="17">
        <v>42558</v>
      </c>
      <c r="D4939" t="s">
        <v>1633</v>
      </c>
      <c r="E4939">
        <v>8.4480000000000004</v>
      </c>
    </row>
    <row r="4940" spans="2:5">
      <c r="B4940" s="17">
        <v>42558</v>
      </c>
      <c r="D4940" t="s">
        <v>1633</v>
      </c>
      <c r="E4940">
        <v>728.94600000000003</v>
      </c>
    </row>
    <row r="4941" spans="2:5">
      <c r="B4941" s="17">
        <v>42558</v>
      </c>
      <c r="D4941" t="s">
        <v>1633</v>
      </c>
      <c r="E4941">
        <v>22.428000000000004</v>
      </c>
    </row>
    <row r="4942" spans="2:5">
      <c r="B4942" s="17">
        <v>42558</v>
      </c>
      <c r="D4942" t="s">
        <v>1633</v>
      </c>
      <c r="E4942">
        <v>37.52000000000001</v>
      </c>
    </row>
    <row r="4943" spans="2:5">
      <c r="B4943" s="17">
        <v>42558</v>
      </c>
      <c r="D4943" t="s">
        <v>1605</v>
      </c>
      <c r="E4943">
        <v>1599.92</v>
      </c>
    </row>
    <row r="4944" spans="2:5">
      <c r="B4944" s="17">
        <v>42558</v>
      </c>
      <c r="D4944" t="s">
        <v>1605</v>
      </c>
      <c r="E4944">
        <v>11.09</v>
      </c>
    </row>
    <row r="4945" spans="2:5">
      <c r="B4945" s="17">
        <v>42558</v>
      </c>
      <c r="D4945" t="s">
        <v>1605</v>
      </c>
      <c r="E4945">
        <v>39.872000000000007</v>
      </c>
    </row>
    <row r="4946" spans="2:5">
      <c r="B4946" s="17">
        <v>42558</v>
      </c>
      <c r="D4946" t="s">
        <v>1015</v>
      </c>
      <c r="E4946">
        <v>6</v>
      </c>
    </row>
    <row r="4947" spans="2:5">
      <c r="B4947" s="17">
        <v>42558</v>
      </c>
      <c r="D4947" t="s">
        <v>1015</v>
      </c>
      <c r="E4947">
        <v>1.9079999999999997</v>
      </c>
    </row>
    <row r="4948" spans="2:5">
      <c r="B4948" s="17">
        <v>42558</v>
      </c>
      <c r="D4948" t="s">
        <v>1015</v>
      </c>
      <c r="E4948">
        <v>2.9120000000000004</v>
      </c>
    </row>
    <row r="4949" spans="2:5">
      <c r="B4949" s="17">
        <v>42555</v>
      </c>
      <c r="D4949" t="s">
        <v>1015</v>
      </c>
      <c r="E4949">
        <v>20.736000000000004</v>
      </c>
    </row>
    <row r="4950" spans="2:5">
      <c r="B4950" s="17">
        <v>42555</v>
      </c>
      <c r="D4950" t="s">
        <v>1015</v>
      </c>
      <c r="E4950">
        <v>9.5680000000000014</v>
      </c>
    </row>
    <row r="4951" spans="2:5">
      <c r="B4951" s="17">
        <v>42555</v>
      </c>
      <c r="D4951" t="s">
        <v>1015</v>
      </c>
      <c r="E4951">
        <v>99.567999999999998</v>
      </c>
    </row>
    <row r="4952" spans="2:5">
      <c r="B4952" s="17">
        <v>42555</v>
      </c>
      <c r="D4952" t="s">
        <v>1392</v>
      </c>
      <c r="E4952">
        <v>59.48</v>
      </c>
    </row>
    <row r="4953" spans="2:5">
      <c r="B4953" s="17">
        <v>42555</v>
      </c>
      <c r="D4953" t="s">
        <v>1392</v>
      </c>
      <c r="E4953">
        <v>6.69</v>
      </c>
    </row>
    <row r="4954" spans="2:5">
      <c r="B4954" s="17">
        <v>42555</v>
      </c>
      <c r="D4954" t="s">
        <v>1392</v>
      </c>
      <c r="E4954">
        <v>67.56</v>
      </c>
    </row>
    <row r="4955" spans="2:5">
      <c r="B4955" s="17">
        <v>42555</v>
      </c>
      <c r="D4955" t="s">
        <v>1392</v>
      </c>
      <c r="E4955">
        <v>719.96</v>
      </c>
    </row>
    <row r="4956" spans="2:5">
      <c r="B4956" s="17">
        <v>42554</v>
      </c>
      <c r="D4956" t="s">
        <v>1392</v>
      </c>
      <c r="E4956">
        <v>519.67999999999995</v>
      </c>
    </row>
    <row r="4957" spans="2:5">
      <c r="B4957" s="17">
        <v>42554</v>
      </c>
      <c r="D4957" t="s">
        <v>1392</v>
      </c>
      <c r="E4957">
        <v>7.38</v>
      </c>
    </row>
    <row r="4958" spans="2:5">
      <c r="B4958" s="17">
        <v>42554</v>
      </c>
      <c r="D4958" t="s">
        <v>1392</v>
      </c>
      <c r="E4958">
        <v>14.256000000000002</v>
      </c>
    </row>
    <row r="4959" spans="2:5">
      <c r="B4959" s="17">
        <v>42554</v>
      </c>
      <c r="D4959" t="s">
        <v>1539</v>
      </c>
      <c r="E4959">
        <v>81.98</v>
      </c>
    </row>
    <row r="4960" spans="2:5">
      <c r="B4960" s="17">
        <v>42553</v>
      </c>
      <c r="D4960" t="s">
        <v>1539</v>
      </c>
      <c r="E4960">
        <v>39.624000000000009</v>
      </c>
    </row>
    <row r="4961" spans="2:5">
      <c r="B4961" s="17">
        <v>42553</v>
      </c>
      <c r="D4961" t="s">
        <v>1539</v>
      </c>
      <c r="E4961">
        <v>14.624000000000002</v>
      </c>
    </row>
    <row r="4962" spans="2:5">
      <c r="B4962" s="17">
        <v>42553</v>
      </c>
      <c r="D4962" t="s">
        <v>237</v>
      </c>
      <c r="E4962">
        <v>55.360000000000007</v>
      </c>
    </row>
    <row r="4963" spans="2:5">
      <c r="B4963" s="17">
        <v>42553</v>
      </c>
      <c r="D4963" t="s">
        <v>237</v>
      </c>
      <c r="E4963">
        <v>15.008000000000003</v>
      </c>
    </row>
    <row r="4964" spans="2:5">
      <c r="B4964" s="17">
        <v>42552</v>
      </c>
      <c r="D4964" t="s">
        <v>237</v>
      </c>
      <c r="E4964">
        <v>35.952000000000005</v>
      </c>
    </row>
    <row r="4965" spans="2:5">
      <c r="B4965" s="17">
        <v>42552</v>
      </c>
      <c r="D4965" t="s">
        <v>237</v>
      </c>
      <c r="E4965">
        <v>2396.2655999999997</v>
      </c>
    </row>
    <row r="4966" spans="2:5">
      <c r="B4966" s="17">
        <v>42552</v>
      </c>
      <c r="D4966" t="s">
        <v>1022</v>
      </c>
      <c r="E4966">
        <v>131.136</v>
      </c>
    </row>
    <row r="4967" spans="2:5">
      <c r="B4967" s="17">
        <v>42552</v>
      </c>
      <c r="D4967" t="s">
        <v>1022</v>
      </c>
      <c r="E4967">
        <v>57.584000000000003</v>
      </c>
    </row>
    <row r="4968" spans="2:5">
      <c r="B4968" s="17">
        <v>42552</v>
      </c>
      <c r="D4968" t="s">
        <v>1022</v>
      </c>
      <c r="E4968">
        <v>33.024000000000001</v>
      </c>
    </row>
    <row r="4969" spans="2:5">
      <c r="B4969" s="17">
        <v>42552</v>
      </c>
      <c r="D4969" t="s">
        <v>1022</v>
      </c>
      <c r="E4969">
        <v>67.13600000000001</v>
      </c>
    </row>
    <row r="4970" spans="2:5">
      <c r="B4970" s="17">
        <v>42552</v>
      </c>
      <c r="D4970" t="s">
        <v>1022</v>
      </c>
      <c r="E4970">
        <v>173.94</v>
      </c>
    </row>
    <row r="4971" spans="2:5">
      <c r="B4971" s="17">
        <v>42552</v>
      </c>
      <c r="D4971" t="s">
        <v>1022</v>
      </c>
      <c r="E4971">
        <v>14.76</v>
      </c>
    </row>
    <row r="4972" spans="2:5">
      <c r="B4972" s="17">
        <v>42551</v>
      </c>
      <c r="D4972" t="s">
        <v>1022</v>
      </c>
      <c r="E4972">
        <v>14.136000000000003</v>
      </c>
    </row>
    <row r="4973" spans="2:5">
      <c r="B4973" s="17">
        <v>42551</v>
      </c>
      <c r="D4973" t="s">
        <v>1022</v>
      </c>
      <c r="E4973">
        <v>601.47</v>
      </c>
    </row>
    <row r="4974" spans="2:5">
      <c r="B4974" s="17">
        <v>42551</v>
      </c>
      <c r="D4974" t="s">
        <v>1022</v>
      </c>
      <c r="E4974">
        <v>70.367999999999995</v>
      </c>
    </row>
    <row r="4975" spans="2:5">
      <c r="B4975" s="17">
        <v>42550</v>
      </c>
      <c r="D4975" t="s">
        <v>868</v>
      </c>
      <c r="E4975">
        <v>59.960000000000008</v>
      </c>
    </row>
    <row r="4976" spans="2:5">
      <c r="B4976" s="17">
        <v>42549</v>
      </c>
      <c r="D4976" t="s">
        <v>868</v>
      </c>
      <c r="E4976">
        <v>35.167999999999999</v>
      </c>
    </row>
    <row r="4977" spans="2:5">
      <c r="B4977" s="17">
        <v>42549</v>
      </c>
      <c r="D4977" t="s">
        <v>662</v>
      </c>
      <c r="E4977">
        <v>64.704000000000008</v>
      </c>
    </row>
    <row r="4978" spans="2:5">
      <c r="B4978" s="17">
        <v>42549</v>
      </c>
      <c r="D4978" t="s">
        <v>662</v>
      </c>
      <c r="E4978">
        <v>146.04000000000002</v>
      </c>
    </row>
    <row r="4979" spans="2:5">
      <c r="B4979" s="17">
        <v>42549</v>
      </c>
      <c r="D4979" t="s">
        <v>662</v>
      </c>
      <c r="E4979">
        <v>43.13</v>
      </c>
    </row>
    <row r="4980" spans="2:5">
      <c r="B4980" s="17">
        <v>42549</v>
      </c>
      <c r="D4980" t="s">
        <v>662</v>
      </c>
      <c r="E4980">
        <v>30.87</v>
      </c>
    </row>
    <row r="4981" spans="2:5">
      <c r="B4981" s="17">
        <v>42549</v>
      </c>
      <c r="D4981" t="s">
        <v>662</v>
      </c>
      <c r="E4981">
        <v>14.88</v>
      </c>
    </row>
    <row r="4982" spans="2:5">
      <c r="B4982" s="17">
        <v>42549</v>
      </c>
      <c r="D4982" t="s">
        <v>662</v>
      </c>
      <c r="E4982">
        <v>34.24</v>
      </c>
    </row>
    <row r="4983" spans="2:5">
      <c r="B4983" s="17">
        <v>42549</v>
      </c>
      <c r="D4983" t="s">
        <v>1388</v>
      </c>
      <c r="E4983">
        <v>77.88</v>
      </c>
    </row>
    <row r="4984" spans="2:5">
      <c r="B4984" s="17">
        <v>42548</v>
      </c>
      <c r="D4984" t="s">
        <v>1388</v>
      </c>
      <c r="E4984">
        <v>31.86</v>
      </c>
    </row>
    <row r="4985" spans="2:5">
      <c r="B4985" s="17">
        <v>42548</v>
      </c>
      <c r="D4985" t="s">
        <v>1388</v>
      </c>
      <c r="E4985">
        <v>722.35200000000009</v>
      </c>
    </row>
    <row r="4986" spans="2:5">
      <c r="B4986" s="17">
        <v>42548</v>
      </c>
      <c r="D4986" t="s">
        <v>1388</v>
      </c>
      <c r="E4986">
        <v>95.951999999999998</v>
      </c>
    </row>
    <row r="4987" spans="2:5">
      <c r="B4987" s="17">
        <v>42547</v>
      </c>
      <c r="D4987" t="s">
        <v>1388</v>
      </c>
      <c r="E4987">
        <v>3.2040000000000002</v>
      </c>
    </row>
    <row r="4988" spans="2:5">
      <c r="B4988" s="17">
        <v>42547</v>
      </c>
      <c r="D4988" t="s">
        <v>1388</v>
      </c>
      <c r="E4988">
        <v>10.784000000000001</v>
      </c>
    </row>
    <row r="4989" spans="2:5">
      <c r="B4989" s="17">
        <v>42547</v>
      </c>
      <c r="D4989" t="s">
        <v>1745</v>
      </c>
      <c r="E4989">
        <v>41.92</v>
      </c>
    </row>
    <row r="4990" spans="2:5">
      <c r="B4990" s="17">
        <v>42547</v>
      </c>
      <c r="D4990" t="s">
        <v>1745</v>
      </c>
      <c r="E4990">
        <v>82.800000000000011</v>
      </c>
    </row>
    <row r="4991" spans="2:5">
      <c r="B4991" s="17">
        <v>42547</v>
      </c>
      <c r="D4991" t="s">
        <v>1745</v>
      </c>
      <c r="E4991">
        <v>12.22</v>
      </c>
    </row>
    <row r="4992" spans="2:5">
      <c r="B4992" s="17">
        <v>42547</v>
      </c>
      <c r="D4992" t="s">
        <v>962</v>
      </c>
      <c r="E4992">
        <v>194.94</v>
      </c>
    </row>
    <row r="4993" spans="2:5">
      <c r="B4993" s="17">
        <v>42547</v>
      </c>
      <c r="D4993" t="s">
        <v>962</v>
      </c>
      <c r="E4993">
        <v>70.949999999999989</v>
      </c>
    </row>
    <row r="4994" spans="2:5">
      <c r="B4994" s="17">
        <v>42547</v>
      </c>
      <c r="D4994" t="s">
        <v>962</v>
      </c>
      <c r="E4994">
        <v>91.36</v>
      </c>
    </row>
    <row r="4995" spans="2:5">
      <c r="B4995" s="17">
        <v>42547</v>
      </c>
      <c r="D4995" t="s">
        <v>962</v>
      </c>
      <c r="E4995">
        <v>22.05</v>
      </c>
    </row>
    <row r="4996" spans="2:5">
      <c r="B4996" s="17">
        <v>42547</v>
      </c>
      <c r="D4996" t="s">
        <v>962</v>
      </c>
      <c r="E4996">
        <v>107.94</v>
      </c>
    </row>
    <row r="4997" spans="2:5">
      <c r="B4997" s="17">
        <v>42547</v>
      </c>
      <c r="D4997" t="s">
        <v>1877</v>
      </c>
      <c r="E4997">
        <v>347.80200000000002</v>
      </c>
    </row>
    <row r="4998" spans="2:5">
      <c r="B4998" s="17">
        <v>42547</v>
      </c>
      <c r="D4998" t="s">
        <v>1877</v>
      </c>
      <c r="E4998">
        <v>116</v>
      </c>
    </row>
    <row r="4999" spans="2:5">
      <c r="B4999" s="17">
        <v>42547</v>
      </c>
      <c r="D4999" t="s">
        <v>1877</v>
      </c>
      <c r="E4999">
        <v>9.5550000000000015</v>
      </c>
    </row>
    <row r="5000" spans="2:5">
      <c r="B5000" s="17">
        <v>42547</v>
      </c>
      <c r="D5000" t="s">
        <v>1604</v>
      </c>
      <c r="E5000">
        <v>23.472000000000001</v>
      </c>
    </row>
    <row r="5001" spans="2:5">
      <c r="B5001" s="17">
        <v>42547</v>
      </c>
      <c r="D5001" t="s">
        <v>1604</v>
      </c>
      <c r="E5001">
        <v>86.058000000000007</v>
      </c>
    </row>
    <row r="5002" spans="2:5">
      <c r="B5002" s="17">
        <v>42547</v>
      </c>
      <c r="D5002" t="s">
        <v>1604</v>
      </c>
      <c r="E5002">
        <v>108.78399999999999</v>
      </c>
    </row>
    <row r="5003" spans="2:5">
      <c r="B5003" s="17">
        <v>42546</v>
      </c>
      <c r="D5003" t="s">
        <v>1604</v>
      </c>
      <c r="E5003">
        <v>10.272000000000002</v>
      </c>
    </row>
    <row r="5004" spans="2:5">
      <c r="B5004" s="17">
        <v>42546</v>
      </c>
      <c r="D5004" t="s">
        <v>650</v>
      </c>
      <c r="E5004">
        <v>62.789999999999992</v>
      </c>
    </row>
    <row r="5005" spans="2:5">
      <c r="B5005" s="17">
        <v>42546</v>
      </c>
      <c r="D5005" t="s">
        <v>650</v>
      </c>
      <c r="E5005">
        <v>28.44</v>
      </c>
    </row>
    <row r="5006" spans="2:5">
      <c r="B5006" s="17">
        <v>42546</v>
      </c>
      <c r="D5006" t="s">
        <v>650</v>
      </c>
      <c r="E5006">
        <v>96.08</v>
      </c>
    </row>
    <row r="5007" spans="2:5">
      <c r="B5007" s="17">
        <v>42546</v>
      </c>
      <c r="D5007" t="s">
        <v>650</v>
      </c>
      <c r="E5007">
        <v>11.68</v>
      </c>
    </row>
    <row r="5008" spans="2:5">
      <c r="B5008" s="17">
        <v>42546</v>
      </c>
      <c r="D5008" t="s">
        <v>650</v>
      </c>
      <c r="E5008">
        <v>4.3600000000000003</v>
      </c>
    </row>
    <row r="5009" spans="2:5">
      <c r="B5009" s="17">
        <v>42545</v>
      </c>
      <c r="D5009" t="s">
        <v>650</v>
      </c>
      <c r="E5009">
        <v>25.920000000000005</v>
      </c>
    </row>
    <row r="5010" spans="2:5">
      <c r="B5010" s="17">
        <v>42545</v>
      </c>
      <c r="D5010" t="s">
        <v>650</v>
      </c>
      <c r="E5010">
        <v>15.808000000000002</v>
      </c>
    </row>
    <row r="5011" spans="2:5">
      <c r="B5011" s="17">
        <v>42545</v>
      </c>
      <c r="D5011" t="s">
        <v>650</v>
      </c>
      <c r="E5011">
        <v>10.368000000000002</v>
      </c>
    </row>
    <row r="5012" spans="2:5">
      <c r="B5012" s="17">
        <v>42545</v>
      </c>
      <c r="D5012" t="s">
        <v>785</v>
      </c>
      <c r="E5012">
        <v>192.16</v>
      </c>
    </row>
    <row r="5013" spans="2:5">
      <c r="B5013" s="17">
        <v>42545</v>
      </c>
      <c r="D5013" t="s">
        <v>785</v>
      </c>
      <c r="E5013">
        <v>93.456000000000003</v>
      </c>
    </row>
    <row r="5014" spans="2:5">
      <c r="B5014" s="17">
        <v>42545</v>
      </c>
      <c r="D5014" t="s">
        <v>785</v>
      </c>
      <c r="E5014">
        <v>25.06</v>
      </c>
    </row>
    <row r="5015" spans="2:5">
      <c r="B5015" s="17">
        <v>42544</v>
      </c>
      <c r="D5015" t="s">
        <v>785</v>
      </c>
      <c r="E5015">
        <v>1652.94</v>
      </c>
    </row>
    <row r="5016" spans="2:5">
      <c r="B5016" s="17">
        <v>42544</v>
      </c>
      <c r="D5016" t="s">
        <v>785</v>
      </c>
      <c r="E5016">
        <v>9.2480000000000011</v>
      </c>
    </row>
    <row r="5017" spans="2:5">
      <c r="B5017" s="17">
        <v>42544</v>
      </c>
      <c r="D5017" t="s">
        <v>785</v>
      </c>
      <c r="E5017">
        <v>8.9520000000000017</v>
      </c>
    </row>
    <row r="5018" spans="2:5">
      <c r="B5018" s="17">
        <v>42544</v>
      </c>
      <c r="D5018" t="s">
        <v>785</v>
      </c>
      <c r="E5018">
        <v>8.8560000000000016</v>
      </c>
    </row>
    <row r="5019" spans="2:5">
      <c r="B5019" s="17">
        <v>42544</v>
      </c>
      <c r="D5019" t="s">
        <v>1049</v>
      </c>
      <c r="E5019">
        <v>85.245999999999995</v>
      </c>
    </row>
    <row r="5020" spans="2:5">
      <c r="B5020" s="17">
        <v>42544</v>
      </c>
      <c r="D5020" t="s">
        <v>1049</v>
      </c>
      <c r="E5020">
        <v>21.204000000000004</v>
      </c>
    </row>
    <row r="5021" spans="2:5">
      <c r="B5021" s="17">
        <v>42544</v>
      </c>
      <c r="D5021" t="s">
        <v>1049</v>
      </c>
      <c r="E5021">
        <v>58.248000000000005</v>
      </c>
    </row>
    <row r="5022" spans="2:5">
      <c r="B5022" s="17">
        <v>42544</v>
      </c>
      <c r="D5022" t="s">
        <v>1049</v>
      </c>
      <c r="E5022">
        <v>71.245999999999995</v>
      </c>
    </row>
    <row r="5023" spans="2:5">
      <c r="B5023" s="17">
        <v>42544</v>
      </c>
      <c r="D5023" t="s">
        <v>1049</v>
      </c>
      <c r="E5023">
        <v>7.8719999999999999</v>
      </c>
    </row>
    <row r="5024" spans="2:5">
      <c r="B5024" s="17">
        <v>42544</v>
      </c>
      <c r="D5024" t="s">
        <v>1049</v>
      </c>
      <c r="E5024">
        <v>887.27099999999984</v>
      </c>
    </row>
    <row r="5025" spans="2:5">
      <c r="B5025" s="17">
        <v>42544</v>
      </c>
      <c r="D5025" t="s">
        <v>708</v>
      </c>
      <c r="E5025">
        <v>43.6</v>
      </c>
    </row>
    <row r="5026" spans="2:5">
      <c r="B5026" s="17">
        <v>42542</v>
      </c>
      <c r="D5026" t="s">
        <v>708</v>
      </c>
      <c r="E5026">
        <v>3.9119999999999999</v>
      </c>
    </row>
    <row r="5027" spans="2:5">
      <c r="B5027" s="17">
        <v>42542</v>
      </c>
      <c r="D5027" t="s">
        <v>708</v>
      </c>
      <c r="E5027">
        <v>62.376000000000005</v>
      </c>
    </row>
    <row r="5028" spans="2:5">
      <c r="B5028" s="17">
        <v>42542</v>
      </c>
      <c r="D5028" t="s">
        <v>708</v>
      </c>
      <c r="E5028">
        <v>63.94</v>
      </c>
    </row>
    <row r="5029" spans="2:5">
      <c r="B5029" s="17">
        <v>42542</v>
      </c>
      <c r="D5029" t="s">
        <v>969</v>
      </c>
      <c r="E5029">
        <v>60.600000000000009</v>
      </c>
    </row>
    <row r="5030" spans="2:5">
      <c r="B5030" s="17">
        <v>42541</v>
      </c>
      <c r="D5030" t="s">
        <v>969</v>
      </c>
      <c r="E5030">
        <v>22.72</v>
      </c>
    </row>
    <row r="5031" spans="2:5">
      <c r="B5031" s="17">
        <v>42541</v>
      </c>
      <c r="D5031" t="s">
        <v>969</v>
      </c>
      <c r="E5031">
        <v>12.192</v>
      </c>
    </row>
    <row r="5032" spans="2:5">
      <c r="B5032" s="17">
        <v>42541</v>
      </c>
      <c r="D5032" t="s">
        <v>969</v>
      </c>
      <c r="E5032">
        <v>87.168000000000006</v>
      </c>
    </row>
    <row r="5033" spans="2:5">
      <c r="B5033" s="17">
        <v>42541</v>
      </c>
      <c r="D5033" t="s">
        <v>969</v>
      </c>
      <c r="E5033">
        <v>31.744</v>
      </c>
    </row>
    <row r="5034" spans="2:5">
      <c r="B5034" s="17">
        <v>42541</v>
      </c>
      <c r="D5034" t="s">
        <v>969</v>
      </c>
      <c r="E5034">
        <v>42.599999999999994</v>
      </c>
    </row>
    <row r="5035" spans="2:5">
      <c r="B5035" s="17">
        <v>42541</v>
      </c>
      <c r="D5035" t="s">
        <v>969</v>
      </c>
      <c r="E5035">
        <v>113.94</v>
      </c>
    </row>
    <row r="5036" spans="2:5">
      <c r="B5036" s="17">
        <v>42541</v>
      </c>
      <c r="D5036" t="s">
        <v>618</v>
      </c>
      <c r="E5036">
        <v>129.91999999999999</v>
      </c>
    </row>
    <row r="5037" spans="2:5">
      <c r="B5037" s="17">
        <v>42541</v>
      </c>
      <c r="D5037" t="s">
        <v>618</v>
      </c>
      <c r="E5037">
        <v>5.28</v>
      </c>
    </row>
    <row r="5038" spans="2:5">
      <c r="B5038" s="17">
        <v>42541</v>
      </c>
      <c r="D5038" t="s">
        <v>618</v>
      </c>
      <c r="E5038">
        <v>535.41</v>
      </c>
    </row>
    <row r="5039" spans="2:5">
      <c r="B5039" s="17">
        <v>42541</v>
      </c>
      <c r="D5039" t="s">
        <v>618</v>
      </c>
      <c r="E5039">
        <v>24.27</v>
      </c>
    </row>
    <row r="5040" spans="2:5">
      <c r="B5040" s="17">
        <v>42541</v>
      </c>
      <c r="D5040" t="s">
        <v>618</v>
      </c>
      <c r="E5040">
        <v>2799.9600000000005</v>
      </c>
    </row>
    <row r="5041" spans="2:5">
      <c r="B5041" s="17">
        <v>42541</v>
      </c>
      <c r="D5041" t="s">
        <v>618</v>
      </c>
      <c r="E5041">
        <v>1141.4700000000003</v>
      </c>
    </row>
    <row r="5042" spans="2:5">
      <c r="B5042" s="17">
        <v>42541</v>
      </c>
      <c r="D5042" t="s">
        <v>999</v>
      </c>
      <c r="E5042">
        <v>83.951999999999998</v>
      </c>
    </row>
    <row r="5043" spans="2:5">
      <c r="B5043" s="17">
        <v>42541</v>
      </c>
      <c r="D5043" t="s">
        <v>999</v>
      </c>
      <c r="E5043">
        <v>8.8079999999999981</v>
      </c>
    </row>
    <row r="5044" spans="2:5">
      <c r="B5044" s="17">
        <v>42541</v>
      </c>
      <c r="D5044" t="s">
        <v>999</v>
      </c>
      <c r="E5044">
        <v>48.16</v>
      </c>
    </row>
    <row r="5045" spans="2:5">
      <c r="B5045" s="17">
        <v>42541</v>
      </c>
      <c r="D5045" t="s">
        <v>999</v>
      </c>
      <c r="E5045">
        <v>54.5</v>
      </c>
    </row>
    <row r="5046" spans="2:5">
      <c r="B5046" s="17">
        <v>42541</v>
      </c>
      <c r="D5046" t="s">
        <v>999</v>
      </c>
      <c r="E5046">
        <v>87.28</v>
      </c>
    </row>
    <row r="5047" spans="2:5">
      <c r="B5047" s="17">
        <v>42540</v>
      </c>
      <c r="D5047" t="s">
        <v>999</v>
      </c>
      <c r="E5047">
        <v>344.94</v>
      </c>
    </row>
    <row r="5048" spans="2:5">
      <c r="B5048" s="17">
        <v>42539</v>
      </c>
      <c r="D5048" t="s">
        <v>999</v>
      </c>
      <c r="E5048">
        <v>14.76</v>
      </c>
    </row>
    <row r="5049" spans="2:5">
      <c r="B5049" s="17">
        <v>42539</v>
      </c>
      <c r="D5049" t="s">
        <v>999</v>
      </c>
      <c r="E5049">
        <v>12.76</v>
      </c>
    </row>
    <row r="5050" spans="2:5">
      <c r="B5050" s="17">
        <v>42539</v>
      </c>
      <c r="D5050" t="s">
        <v>1362</v>
      </c>
      <c r="E5050">
        <v>58.48</v>
      </c>
    </row>
    <row r="5051" spans="2:5">
      <c r="B5051" s="17">
        <v>42539</v>
      </c>
      <c r="D5051" t="s">
        <v>1362</v>
      </c>
      <c r="E5051">
        <v>198.744</v>
      </c>
    </row>
    <row r="5052" spans="2:5">
      <c r="B5052" s="17">
        <v>42538</v>
      </c>
      <c r="D5052" t="s">
        <v>1362</v>
      </c>
      <c r="E5052">
        <v>30.96</v>
      </c>
    </row>
    <row r="5053" spans="2:5">
      <c r="B5053" s="17">
        <v>42538</v>
      </c>
      <c r="D5053" t="s">
        <v>1362</v>
      </c>
      <c r="E5053">
        <v>75.48</v>
      </c>
    </row>
    <row r="5054" spans="2:5">
      <c r="B5054" s="17">
        <v>42538</v>
      </c>
      <c r="D5054" t="s">
        <v>1362</v>
      </c>
      <c r="E5054">
        <v>39.979999999999997</v>
      </c>
    </row>
    <row r="5055" spans="2:5">
      <c r="B5055" s="17">
        <v>42538</v>
      </c>
      <c r="D5055" t="s">
        <v>896</v>
      </c>
      <c r="E5055">
        <v>1.81</v>
      </c>
    </row>
    <row r="5056" spans="2:5">
      <c r="B5056" s="17">
        <v>42538</v>
      </c>
      <c r="D5056" t="s">
        <v>896</v>
      </c>
      <c r="E5056">
        <v>8.26</v>
      </c>
    </row>
    <row r="5057" spans="2:5">
      <c r="B5057" s="17">
        <v>42538</v>
      </c>
      <c r="D5057" t="s">
        <v>896</v>
      </c>
      <c r="E5057">
        <v>46.53</v>
      </c>
    </row>
    <row r="5058" spans="2:5">
      <c r="B5058" s="17">
        <v>42538</v>
      </c>
      <c r="D5058" t="s">
        <v>896</v>
      </c>
      <c r="E5058">
        <v>29.24</v>
      </c>
    </row>
    <row r="5059" spans="2:5">
      <c r="B5059" s="17">
        <v>42538</v>
      </c>
      <c r="D5059" t="s">
        <v>896</v>
      </c>
      <c r="E5059">
        <v>35.167999999999999</v>
      </c>
    </row>
    <row r="5060" spans="2:5">
      <c r="B5060" s="17">
        <v>42538</v>
      </c>
      <c r="D5060" t="s">
        <v>896</v>
      </c>
      <c r="E5060">
        <v>1362.8999999999999</v>
      </c>
    </row>
    <row r="5061" spans="2:5">
      <c r="B5061" s="17">
        <v>42538</v>
      </c>
      <c r="D5061" t="s">
        <v>1461</v>
      </c>
      <c r="E5061">
        <v>84.272000000000006</v>
      </c>
    </row>
    <row r="5062" spans="2:5">
      <c r="B5062" s="17">
        <v>42538</v>
      </c>
      <c r="D5062" t="s">
        <v>1461</v>
      </c>
      <c r="E5062">
        <v>22.911000000000005</v>
      </c>
    </row>
    <row r="5063" spans="2:5">
      <c r="B5063" s="17">
        <v>42538</v>
      </c>
      <c r="D5063" t="s">
        <v>1461</v>
      </c>
      <c r="E5063">
        <v>19.456000000000003</v>
      </c>
    </row>
    <row r="5064" spans="2:5">
      <c r="B5064" s="17">
        <v>42538</v>
      </c>
      <c r="D5064" t="s">
        <v>880</v>
      </c>
      <c r="E5064">
        <v>472.51800000000003</v>
      </c>
    </row>
    <row r="5065" spans="2:5">
      <c r="B5065" s="17">
        <v>42538</v>
      </c>
      <c r="D5065" t="s">
        <v>880</v>
      </c>
      <c r="E5065">
        <v>1012.6800000000001</v>
      </c>
    </row>
    <row r="5066" spans="2:5">
      <c r="B5066" s="17">
        <v>42538</v>
      </c>
      <c r="D5066" t="s">
        <v>880</v>
      </c>
      <c r="E5066">
        <v>17.220000000000006</v>
      </c>
    </row>
    <row r="5067" spans="2:5">
      <c r="B5067" s="17">
        <v>42538</v>
      </c>
      <c r="D5067" t="s">
        <v>880</v>
      </c>
      <c r="E5067">
        <v>999.98</v>
      </c>
    </row>
    <row r="5068" spans="2:5">
      <c r="B5068" s="17">
        <v>42538</v>
      </c>
      <c r="D5068" t="s">
        <v>880</v>
      </c>
      <c r="E5068">
        <v>8.6079999999999988</v>
      </c>
    </row>
    <row r="5069" spans="2:5">
      <c r="B5069" s="17">
        <v>42538</v>
      </c>
      <c r="D5069" t="s">
        <v>880</v>
      </c>
      <c r="E5069">
        <v>159.56</v>
      </c>
    </row>
    <row r="5070" spans="2:5">
      <c r="B5070" s="17">
        <v>42537</v>
      </c>
      <c r="D5070" t="s">
        <v>880</v>
      </c>
      <c r="E5070">
        <v>65.94</v>
      </c>
    </row>
    <row r="5071" spans="2:5">
      <c r="B5071" s="17">
        <v>42537</v>
      </c>
      <c r="D5071" t="s">
        <v>880</v>
      </c>
      <c r="E5071">
        <v>94.679999999999993</v>
      </c>
    </row>
    <row r="5072" spans="2:5">
      <c r="B5072" s="17">
        <v>42537</v>
      </c>
      <c r="D5072" t="s">
        <v>880</v>
      </c>
      <c r="E5072">
        <v>23.669999999999998</v>
      </c>
    </row>
    <row r="5073" spans="2:5">
      <c r="B5073" s="17">
        <v>42536</v>
      </c>
      <c r="D5073" t="s">
        <v>880</v>
      </c>
      <c r="E5073">
        <v>1091.1680000000001</v>
      </c>
    </row>
    <row r="5074" spans="2:5">
      <c r="B5074" s="17">
        <v>42535</v>
      </c>
      <c r="D5074" t="s">
        <v>880</v>
      </c>
      <c r="E5074">
        <v>18.689999999999998</v>
      </c>
    </row>
    <row r="5075" spans="2:5">
      <c r="B5075" s="17">
        <v>42535</v>
      </c>
      <c r="D5075" t="s">
        <v>1867</v>
      </c>
      <c r="E5075">
        <v>568.72800000000007</v>
      </c>
    </row>
    <row r="5076" spans="2:5">
      <c r="B5076" s="17">
        <v>42535</v>
      </c>
      <c r="D5076" t="s">
        <v>1867</v>
      </c>
      <c r="E5076">
        <v>7.3120000000000012</v>
      </c>
    </row>
    <row r="5077" spans="2:5">
      <c r="B5077" s="17">
        <v>42535</v>
      </c>
      <c r="D5077" t="s">
        <v>1308</v>
      </c>
      <c r="E5077">
        <v>6.79</v>
      </c>
    </row>
    <row r="5078" spans="2:5">
      <c r="B5078" s="17">
        <v>42535</v>
      </c>
      <c r="D5078" t="s">
        <v>1308</v>
      </c>
      <c r="E5078">
        <v>24.56</v>
      </c>
    </row>
    <row r="5079" spans="2:5">
      <c r="B5079" s="17">
        <v>42535</v>
      </c>
      <c r="D5079" t="s">
        <v>1308</v>
      </c>
      <c r="E5079">
        <v>3.048</v>
      </c>
    </row>
    <row r="5080" spans="2:5">
      <c r="B5080" s="17">
        <v>42535</v>
      </c>
      <c r="D5080" t="s">
        <v>1001</v>
      </c>
      <c r="E5080">
        <v>49.12</v>
      </c>
    </row>
    <row r="5081" spans="2:5">
      <c r="B5081" s="17">
        <v>42535</v>
      </c>
      <c r="D5081" t="s">
        <v>1001</v>
      </c>
      <c r="E5081">
        <v>4355.1680000000006</v>
      </c>
    </row>
    <row r="5082" spans="2:5">
      <c r="B5082" s="17">
        <v>42535</v>
      </c>
      <c r="D5082" t="s">
        <v>1001</v>
      </c>
      <c r="E5082">
        <v>21.88</v>
      </c>
    </row>
    <row r="5083" spans="2:5">
      <c r="B5083" s="17">
        <v>42535</v>
      </c>
      <c r="D5083" t="s">
        <v>1001</v>
      </c>
      <c r="E5083">
        <v>30.48</v>
      </c>
    </row>
    <row r="5084" spans="2:5">
      <c r="B5084" s="17">
        <v>42534</v>
      </c>
      <c r="D5084" t="s">
        <v>1001</v>
      </c>
      <c r="E5084">
        <v>23.987999999999996</v>
      </c>
    </row>
    <row r="5085" spans="2:5">
      <c r="B5085" s="17">
        <v>42534</v>
      </c>
      <c r="D5085" t="s">
        <v>1001</v>
      </c>
      <c r="E5085">
        <v>16.687999999999999</v>
      </c>
    </row>
    <row r="5086" spans="2:5">
      <c r="B5086" s="17">
        <v>42534</v>
      </c>
      <c r="D5086" t="s">
        <v>1001</v>
      </c>
      <c r="E5086">
        <v>468.90000000000003</v>
      </c>
    </row>
    <row r="5087" spans="2:5">
      <c r="B5087" s="17">
        <v>42533</v>
      </c>
      <c r="D5087" t="s">
        <v>1001</v>
      </c>
      <c r="E5087">
        <v>72.48</v>
      </c>
    </row>
    <row r="5088" spans="2:5">
      <c r="B5088" s="17">
        <v>42533</v>
      </c>
      <c r="D5088" t="s">
        <v>1001</v>
      </c>
      <c r="E5088">
        <v>10.95</v>
      </c>
    </row>
    <row r="5089" spans="2:5">
      <c r="B5089" s="17">
        <v>42533</v>
      </c>
      <c r="D5089" t="s">
        <v>1001</v>
      </c>
      <c r="E5089">
        <v>191.82</v>
      </c>
    </row>
    <row r="5090" spans="2:5">
      <c r="B5090" s="17">
        <v>42533</v>
      </c>
      <c r="D5090" t="s">
        <v>1486</v>
      </c>
      <c r="E5090">
        <v>24.1</v>
      </c>
    </row>
    <row r="5091" spans="2:5">
      <c r="B5091" s="17">
        <v>42533</v>
      </c>
      <c r="D5091" t="s">
        <v>1486</v>
      </c>
      <c r="E5091">
        <v>8.7799999999999994</v>
      </c>
    </row>
    <row r="5092" spans="2:5">
      <c r="B5092" s="17">
        <v>42533</v>
      </c>
      <c r="D5092" t="s">
        <v>1486</v>
      </c>
      <c r="E5092">
        <v>376.74</v>
      </c>
    </row>
    <row r="5093" spans="2:5">
      <c r="B5093" s="17">
        <v>42533</v>
      </c>
      <c r="D5093" t="s">
        <v>1486</v>
      </c>
      <c r="E5093">
        <v>29.52</v>
      </c>
    </row>
    <row r="5094" spans="2:5">
      <c r="B5094" s="17">
        <v>42533</v>
      </c>
      <c r="D5094" t="s">
        <v>1486</v>
      </c>
      <c r="E5094">
        <v>11.96</v>
      </c>
    </row>
    <row r="5095" spans="2:5">
      <c r="B5095" s="17">
        <v>42533</v>
      </c>
      <c r="D5095" t="s">
        <v>1486</v>
      </c>
      <c r="E5095">
        <v>26.400000000000002</v>
      </c>
    </row>
    <row r="5096" spans="2:5">
      <c r="B5096" s="17">
        <v>42533</v>
      </c>
      <c r="D5096" t="s">
        <v>1486</v>
      </c>
      <c r="E5096">
        <v>12.78</v>
      </c>
    </row>
    <row r="5097" spans="2:5">
      <c r="B5097" s="17">
        <v>42533</v>
      </c>
      <c r="D5097" t="s">
        <v>1486</v>
      </c>
      <c r="E5097">
        <v>23.968000000000004</v>
      </c>
    </row>
    <row r="5098" spans="2:5">
      <c r="B5098" s="17">
        <v>42533</v>
      </c>
      <c r="D5098" t="s">
        <v>84</v>
      </c>
      <c r="E5098">
        <v>54.224000000000004</v>
      </c>
    </row>
    <row r="5099" spans="2:5">
      <c r="B5099" s="17">
        <v>42533</v>
      </c>
      <c r="D5099" t="s">
        <v>84</v>
      </c>
      <c r="E5099">
        <v>786.74400000000003</v>
      </c>
    </row>
    <row r="5100" spans="2:5">
      <c r="B5100" s="17">
        <v>42533</v>
      </c>
      <c r="D5100" t="s">
        <v>84</v>
      </c>
      <c r="E5100">
        <v>100.24000000000001</v>
      </c>
    </row>
    <row r="5101" spans="2:5">
      <c r="B5101" s="17">
        <v>42533</v>
      </c>
      <c r="D5101" t="s">
        <v>84</v>
      </c>
      <c r="E5101">
        <v>37.76400000000001</v>
      </c>
    </row>
    <row r="5102" spans="2:5">
      <c r="B5102" s="17">
        <v>42533</v>
      </c>
      <c r="D5102" t="s">
        <v>84</v>
      </c>
      <c r="E5102">
        <v>47.04</v>
      </c>
    </row>
    <row r="5103" spans="2:5">
      <c r="B5103" s="17">
        <v>42533</v>
      </c>
      <c r="D5103" t="s">
        <v>1888</v>
      </c>
      <c r="E5103">
        <v>64.623999999999995</v>
      </c>
    </row>
    <row r="5104" spans="2:5">
      <c r="B5104" s="17">
        <v>42533</v>
      </c>
      <c r="D5104" t="s">
        <v>906</v>
      </c>
      <c r="E5104">
        <v>95.976000000000013</v>
      </c>
    </row>
    <row r="5105" spans="2:5">
      <c r="B5105" s="17">
        <v>42533</v>
      </c>
      <c r="D5105" t="s">
        <v>906</v>
      </c>
      <c r="E5105">
        <v>1.7879999999999996</v>
      </c>
    </row>
    <row r="5106" spans="2:5">
      <c r="B5106" s="17">
        <v>42533</v>
      </c>
      <c r="D5106" t="s">
        <v>906</v>
      </c>
      <c r="E5106">
        <v>27.93</v>
      </c>
    </row>
    <row r="5107" spans="2:5">
      <c r="B5107" s="17">
        <v>42533</v>
      </c>
      <c r="D5107" t="s">
        <v>906</v>
      </c>
      <c r="E5107">
        <v>22</v>
      </c>
    </row>
    <row r="5108" spans="2:5">
      <c r="B5108" s="17">
        <v>42533</v>
      </c>
      <c r="D5108" t="s">
        <v>966</v>
      </c>
      <c r="E5108">
        <v>163.88</v>
      </c>
    </row>
    <row r="5109" spans="2:5">
      <c r="B5109" s="17">
        <v>42532</v>
      </c>
      <c r="D5109" t="s">
        <v>966</v>
      </c>
      <c r="E5109">
        <v>3.4860000000000002</v>
      </c>
    </row>
    <row r="5110" spans="2:5">
      <c r="B5110" s="17">
        <v>42532</v>
      </c>
      <c r="D5110" t="s">
        <v>966</v>
      </c>
      <c r="E5110">
        <v>10.584</v>
      </c>
    </row>
    <row r="5111" spans="2:5">
      <c r="B5111" s="17">
        <v>42532</v>
      </c>
      <c r="D5111" t="s">
        <v>966</v>
      </c>
      <c r="E5111">
        <v>15.48</v>
      </c>
    </row>
    <row r="5112" spans="2:5">
      <c r="B5112" s="17">
        <v>42532</v>
      </c>
      <c r="D5112" t="s">
        <v>966</v>
      </c>
      <c r="E5112">
        <v>108.57599999999999</v>
      </c>
    </row>
    <row r="5113" spans="2:5">
      <c r="B5113" s="17">
        <v>42532</v>
      </c>
      <c r="D5113" t="s">
        <v>853</v>
      </c>
      <c r="E5113">
        <v>13.139999999999997</v>
      </c>
    </row>
    <row r="5114" spans="2:5">
      <c r="B5114" s="17">
        <v>42532</v>
      </c>
      <c r="D5114" t="s">
        <v>853</v>
      </c>
      <c r="E5114">
        <v>10.023999999999997</v>
      </c>
    </row>
    <row r="5115" spans="2:5">
      <c r="B5115" s="17">
        <v>42532</v>
      </c>
      <c r="D5115" t="s">
        <v>853</v>
      </c>
      <c r="E5115">
        <v>156.37279999999998</v>
      </c>
    </row>
    <row r="5116" spans="2:5">
      <c r="B5116" s="17">
        <v>42532</v>
      </c>
      <c r="D5116" t="s">
        <v>853</v>
      </c>
      <c r="E5116">
        <v>18.432000000000002</v>
      </c>
    </row>
    <row r="5117" spans="2:5">
      <c r="B5117" s="17">
        <v>42531</v>
      </c>
      <c r="D5117" t="s">
        <v>853</v>
      </c>
      <c r="E5117">
        <v>51.52000000000001</v>
      </c>
    </row>
    <row r="5118" spans="2:5">
      <c r="B5118" s="17">
        <v>42531</v>
      </c>
      <c r="D5118" t="s">
        <v>853</v>
      </c>
      <c r="E5118">
        <v>3.5280000000000005</v>
      </c>
    </row>
    <row r="5119" spans="2:5">
      <c r="B5119" s="17">
        <v>42531</v>
      </c>
      <c r="D5119" t="s">
        <v>1586</v>
      </c>
      <c r="E5119">
        <v>4.6240000000000006</v>
      </c>
    </row>
    <row r="5120" spans="2:5">
      <c r="B5120" s="17">
        <v>42531</v>
      </c>
      <c r="D5120" t="s">
        <v>1586</v>
      </c>
      <c r="E5120">
        <v>55.167999999999999</v>
      </c>
    </row>
    <row r="5121" spans="2:5">
      <c r="B5121" s="17">
        <v>42530</v>
      </c>
      <c r="D5121" t="s">
        <v>1586</v>
      </c>
      <c r="E5121">
        <v>122.97</v>
      </c>
    </row>
    <row r="5122" spans="2:5">
      <c r="B5122" s="17">
        <v>42530</v>
      </c>
      <c r="D5122" t="s">
        <v>1586</v>
      </c>
      <c r="E5122">
        <v>59.97</v>
      </c>
    </row>
    <row r="5123" spans="2:5">
      <c r="B5123" s="17">
        <v>42530</v>
      </c>
      <c r="D5123" t="s">
        <v>1055</v>
      </c>
      <c r="E5123">
        <v>81.540000000000006</v>
      </c>
    </row>
    <row r="5124" spans="2:5">
      <c r="B5124" s="17">
        <v>42530</v>
      </c>
      <c r="D5124" t="s">
        <v>1055</v>
      </c>
      <c r="E5124">
        <v>11.68</v>
      </c>
    </row>
    <row r="5125" spans="2:5">
      <c r="B5125" s="17">
        <v>42528</v>
      </c>
      <c r="D5125" t="s">
        <v>1055</v>
      </c>
      <c r="E5125">
        <v>29</v>
      </c>
    </row>
    <row r="5126" spans="2:5">
      <c r="B5126" s="17">
        <v>42528</v>
      </c>
      <c r="D5126" t="s">
        <v>1055</v>
      </c>
      <c r="E5126">
        <v>14.16</v>
      </c>
    </row>
    <row r="5127" spans="2:5">
      <c r="B5127" s="17">
        <v>42528</v>
      </c>
      <c r="D5127" t="s">
        <v>996</v>
      </c>
      <c r="E5127">
        <v>79.920000000000016</v>
      </c>
    </row>
    <row r="5128" spans="2:5">
      <c r="B5128" s="17">
        <v>42528</v>
      </c>
      <c r="D5128" t="s">
        <v>996</v>
      </c>
      <c r="E5128">
        <v>9.2159999999999993</v>
      </c>
    </row>
    <row r="5129" spans="2:5">
      <c r="B5129" s="17">
        <v>42527</v>
      </c>
      <c r="D5129" t="s">
        <v>996</v>
      </c>
      <c r="E5129">
        <v>10.23</v>
      </c>
    </row>
    <row r="5130" spans="2:5">
      <c r="B5130" s="17">
        <v>42527</v>
      </c>
      <c r="D5130" t="s">
        <v>996</v>
      </c>
      <c r="E5130">
        <v>154.9</v>
      </c>
    </row>
    <row r="5131" spans="2:5">
      <c r="B5131" s="17">
        <v>42527</v>
      </c>
      <c r="D5131" t="s">
        <v>996</v>
      </c>
      <c r="E5131">
        <v>159.98400000000001</v>
      </c>
    </row>
    <row r="5132" spans="2:5">
      <c r="B5132" s="17">
        <v>42527</v>
      </c>
      <c r="D5132" t="s">
        <v>996</v>
      </c>
      <c r="E5132">
        <v>1024.7159999999999</v>
      </c>
    </row>
    <row r="5133" spans="2:5">
      <c r="B5133" s="17">
        <v>42527</v>
      </c>
      <c r="D5133" t="s">
        <v>996</v>
      </c>
      <c r="E5133">
        <v>6.48</v>
      </c>
    </row>
    <row r="5134" spans="2:5">
      <c r="B5134" s="17">
        <v>42527</v>
      </c>
      <c r="D5134" t="s">
        <v>996</v>
      </c>
      <c r="E5134">
        <v>1603.1360000000002</v>
      </c>
    </row>
    <row r="5135" spans="2:5">
      <c r="B5135" s="17">
        <v>42527</v>
      </c>
      <c r="D5135" t="s">
        <v>996</v>
      </c>
      <c r="E5135">
        <v>5.4719999999999995</v>
      </c>
    </row>
    <row r="5136" spans="2:5">
      <c r="B5136" s="17">
        <v>42527</v>
      </c>
      <c r="D5136" t="s">
        <v>996</v>
      </c>
      <c r="E5136">
        <v>47.984000000000002</v>
      </c>
    </row>
    <row r="5137" spans="2:5">
      <c r="B5137" s="17">
        <v>42527</v>
      </c>
      <c r="D5137" t="s">
        <v>1180</v>
      </c>
      <c r="E5137">
        <v>8.26</v>
      </c>
    </row>
    <row r="5138" spans="2:5">
      <c r="B5138" s="17">
        <v>42527</v>
      </c>
      <c r="D5138" t="s">
        <v>1180</v>
      </c>
      <c r="E5138">
        <v>33</v>
      </c>
    </row>
    <row r="5139" spans="2:5">
      <c r="B5139" s="17">
        <v>42527</v>
      </c>
      <c r="D5139" t="s">
        <v>1180</v>
      </c>
      <c r="E5139">
        <v>47.97</v>
      </c>
    </row>
    <row r="5140" spans="2:5">
      <c r="B5140" s="17">
        <v>42527</v>
      </c>
      <c r="D5140" t="s">
        <v>1104</v>
      </c>
      <c r="E5140">
        <v>11.56</v>
      </c>
    </row>
    <row r="5141" spans="2:5">
      <c r="B5141" s="17">
        <v>42527</v>
      </c>
      <c r="D5141" t="s">
        <v>1104</v>
      </c>
      <c r="E5141">
        <v>447.84</v>
      </c>
    </row>
    <row r="5142" spans="2:5">
      <c r="B5142" s="17">
        <v>42527</v>
      </c>
      <c r="D5142" t="s">
        <v>1104</v>
      </c>
      <c r="E5142">
        <v>479.97</v>
      </c>
    </row>
    <row r="5143" spans="2:5">
      <c r="B5143" s="17">
        <v>42527</v>
      </c>
      <c r="D5143" t="s">
        <v>1104</v>
      </c>
      <c r="E5143">
        <v>8.64</v>
      </c>
    </row>
    <row r="5144" spans="2:5">
      <c r="B5144" s="17">
        <v>42527</v>
      </c>
      <c r="D5144" t="s">
        <v>1104</v>
      </c>
      <c r="E5144">
        <v>186.54</v>
      </c>
    </row>
    <row r="5145" spans="2:5">
      <c r="B5145" s="17">
        <v>42527</v>
      </c>
      <c r="D5145" t="s">
        <v>1087</v>
      </c>
      <c r="E5145">
        <v>146.68800000000002</v>
      </c>
    </row>
    <row r="5146" spans="2:5">
      <c r="B5146" s="17">
        <v>42526</v>
      </c>
      <c r="D5146" t="s">
        <v>1087</v>
      </c>
      <c r="E5146">
        <v>31.007999999999999</v>
      </c>
    </row>
    <row r="5147" spans="2:5">
      <c r="B5147" s="17">
        <v>42526</v>
      </c>
      <c r="D5147" t="s">
        <v>1087</v>
      </c>
      <c r="E5147">
        <v>727.29600000000005</v>
      </c>
    </row>
    <row r="5148" spans="2:5">
      <c r="B5148" s="17">
        <v>42526</v>
      </c>
      <c r="D5148" t="s">
        <v>1087</v>
      </c>
      <c r="E5148">
        <v>22.608000000000001</v>
      </c>
    </row>
    <row r="5149" spans="2:5">
      <c r="B5149" s="17">
        <v>42526</v>
      </c>
      <c r="D5149" t="s">
        <v>1087</v>
      </c>
      <c r="E5149">
        <v>666.4</v>
      </c>
    </row>
    <row r="5150" spans="2:5">
      <c r="B5150" s="17">
        <v>42526</v>
      </c>
      <c r="D5150" t="s">
        <v>1087</v>
      </c>
      <c r="E5150">
        <v>837.59999999999991</v>
      </c>
    </row>
    <row r="5151" spans="2:5">
      <c r="B5151" s="17">
        <v>42526</v>
      </c>
      <c r="D5151" t="s">
        <v>1546</v>
      </c>
      <c r="E5151">
        <v>135.9</v>
      </c>
    </row>
    <row r="5152" spans="2:5">
      <c r="B5152" s="17">
        <v>42526</v>
      </c>
      <c r="D5152" t="s">
        <v>1546</v>
      </c>
      <c r="E5152">
        <v>34.68</v>
      </c>
    </row>
    <row r="5153" spans="2:5">
      <c r="B5153" s="17">
        <v>42526</v>
      </c>
      <c r="D5153" t="s">
        <v>1546</v>
      </c>
      <c r="E5153">
        <v>532.70400000000006</v>
      </c>
    </row>
    <row r="5154" spans="2:5">
      <c r="B5154" s="17">
        <v>42525</v>
      </c>
      <c r="D5154" t="s">
        <v>1546</v>
      </c>
      <c r="E5154">
        <v>43.099999999999994</v>
      </c>
    </row>
    <row r="5155" spans="2:5">
      <c r="B5155" s="17">
        <v>42525</v>
      </c>
      <c r="D5155" t="s">
        <v>1237</v>
      </c>
      <c r="E5155">
        <v>15.88</v>
      </c>
    </row>
    <row r="5156" spans="2:5">
      <c r="B5156" s="17">
        <v>42525</v>
      </c>
      <c r="D5156" t="s">
        <v>1237</v>
      </c>
      <c r="E5156">
        <v>21.299999999999997</v>
      </c>
    </row>
    <row r="5157" spans="2:5">
      <c r="B5157" s="17">
        <v>42525</v>
      </c>
      <c r="D5157" t="s">
        <v>1237</v>
      </c>
      <c r="E5157">
        <v>1040.8</v>
      </c>
    </row>
    <row r="5158" spans="2:5">
      <c r="B5158" s="17">
        <v>42525</v>
      </c>
      <c r="D5158" t="s">
        <v>1237</v>
      </c>
      <c r="E5158">
        <v>29.339999999999996</v>
      </c>
    </row>
    <row r="5159" spans="2:5">
      <c r="B5159" s="17">
        <v>42525</v>
      </c>
      <c r="D5159" t="s">
        <v>1779</v>
      </c>
      <c r="E5159">
        <v>25.2</v>
      </c>
    </row>
    <row r="5160" spans="2:5">
      <c r="B5160" s="17">
        <v>42525</v>
      </c>
      <c r="D5160" t="s">
        <v>1779</v>
      </c>
      <c r="E5160">
        <v>37.589999999999996</v>
      </c>
    </row>
    <row r="5161" spans="2:5">
      <c r="B5161" s="17">
        <v>42525</v>
      </c>
      <c r="D5161" t="s">
        <v>1653</v>
      </c>
      <c r="E5161">
        <v>14.97</v>
      </c>
    </row>
    <row r="5162" spans="2:5">
      <c r="B5162" s="17">
        <v>42525</v>
      </c>
      <c r="D5162" t="s">
        <v>1653</v>
      </c>
      <c r="E5162">
        <v>1.98</v>
      </c>
    </row>
    <row r="5163" spans="2:5">
      <c r="B5163" s="17">
        <v>42525</v>
      </c>
      <c r="D5163" t="s">
        <v>1653</v>
      </c>
      <c r="E5163">
        <v>113.55200000000001</v>
      </c>
    </row>
    <row r="5164" spans="2:5">
      <c r="B5164" s="17">
        <v>42525</v>
      </c>
      <c r="D5164" t="s">
        <v>104</v>
      </c>
      <c r="E5164">
        <v>3.3180000000000005</v>
      </c>
    </row>
    <row r="5165" spans="2:5">
      <c r="B5165" s="17">
        <v>42525</v>
      </c>
      <c r="D5165" t="s">
        <v>104</v>
      </c>
      <c r="E5165">
        <v>134.28800000000001</v>
      </c>
    </row>
    <row r="5166" spans="2:5">
      <c r="B5166" s="17">
        <v>42524</v>
      </c>
      <c r="D5166" t="s">
        <v>104</v>
      </c>
      <c r="E5166">
        <v>4.3119999999999985</v>
      </c>
    </row>
    <row r="5167" spans="2:5">
      <c r="B5167" s="17">
        <v>42523</v>
      </c>
      <c r="D5167" t="s">
        <v>104</v>
      </c>
      <c r="E5167">
        <v>26.352000000000004</v>
      </c>
    </row>
    <row r="5168" spans="2:5">
      <c r="B5168" s="17">
        <v>42523</v>
      </c>
      <c r="D5168" t="s">
        <v>104</v>
      </c>
      <c r="E5168">
        <v>19.440000000000001</v>
      </c>
    </row>
    <row r="5169" spans="2:5">
      <c r="B5169" s="17">
        <v>42523</v>
      </c>
      <c r="D5169" t="s">
        <v>104</v>
      </c>
      <c r="E5169">
        <v>98.328000000000003</v>
      </c>
    </row>
    <row r="5170" spans="2:5">
      <c r="B5170" s="17">
        <v>42523</v>
      </c>
      <c r="D5170" t="s">
        <v>104</v>
      </c>
      <c r="E5170">
        <v>5.76</v>
      </c>
    </row>
    <row r="5171" spans="2:5">
      <c r="B5171" s="17">
        <v>42521</v>
      </c>
      <c r="D5171" t="s">
        <v>104</v>
      </c>
      <c r="E5171">
        <v>9.2159999999999993</v>
      </c>
    </row>
    <row r="5172" spans="2:5">
      <c r="B5172" s="17">
        <v>42521</v>
      </c>
      <c r="D5172" t="s">
        <v>1602</v>
      </c>
      <c r="E5172">
        <v>28.048000000000002</v>
      </c>
    </row>
    <row r="5173" spans="2:5">
      <c r="B5173" s="17">
        <v>42521</v>
      </c>
      <c r="D5173" t="s">
        <v>1602</v>
      </c>
      <c r="E5173">
        <v>815.29199999999992</v>
      </c>
    </row>
    <row r="5174" spans="2:5">
      <c r="B5174" s="17">
        <v>42521</v>
      </c>
      <c r="D5174" t="s">
        <v>1602</v>
      </c>
      <c r="E5174">
        <v>12.672000000000001</v>
      </c>
    </row>
    <row r="5175" spans="2:5">
      <c r="B5175" s="17">
        <v>42521</v>
      </c>
      <c r="D5175" t="s">
        <v>1114</v>
      </c>
      <c r="E5175">
        <v>91.96</v>
      </c>
    </row>
    <row r="5176" spans="2:5">
      <c r="B5176" s="17">
        <v>42521</v>
      </c>
      <c r="D5176" t="s">
        <v>1114</v>
      </c>
      <c r="E5176">
        <v>31.983999999999998</v>
      </c>
    </row>
    <row r="5177" spans="2:5">
      <c r="B5177" s="17">
        <v>42520</v>
      </c>
      <c r="D5177" t="s">
        <v>1114</v>
      </c>
      <c r="E5177">
        <v>2887.0560000000005</v>
      </c>
    </row>
    <row r="5178" spans="2:5">
      <c r="B5178" s="17">
        <v>42520</v>
      </c>
      <c r="D5178" t="s">
        <v>1114</v>
      </c>
      <c r="E5178">
        <v>12.96</v>
      </c>
    </row>
    <row r="5179" spans="2:5">
      <c r="B5179" s="17">
        <v>42520</v>
      </c>
      <c r="D5179" t="s">
        <v>1114</v>
      </c>
      <c r="E5179">
        <v>47.52</v>
      </c>
    </row>
    <row r="5180" spans="2:5">
      <c r="B5180" s="17">
        <v>42520</v>
      </c>
      <c r="D5180" t="s">
        <v>1519</v>
      </c>
      <c r="E5180">
        <v>33.44</v>
      </c>
    </row>
    <row r="5181" spans="2:5">
      <c r="B5181" s="17">
        <v>42520</v>
      </c>
      <c r="D5181" t="s">
        <v>1519</v>
      </c>
      <c r="E5181">
        <v>573.17399999999998</v>
      </c>
    </row>
    <row r="5182" spans="2:5">
      <c r="B5182" s="17">
        <v>42520</v>
      </c>
      <c r="D5182" t="s">
        <v>365</v>
      </c>
      <c r="E5182">
        <v>14.78</v>
      </c>
    </row>
    <row r="5183" spans="2:5">
      <c r="B5183" s="17">
        <v>42520</v>
      </c>
      <c r="D5183" t="s">
        <v>365</v>
      </c>
      <c r="E5183">
        <v>146.68799999999999</v>
      </c>
    </row>
    <row r="5184" spans="2:5">
      <c r="B5184" s="17">
        <v>42520</v>
      </c>
      <c r="D5184" t="s">
        <v>672</v>
      </c>
      <c r="E5184">
        <v>25.32</v>
      </c>
    </row>
    <row r="5185" spans="2:5">
      <c r="B5185" s="17">
        <v>42520</v>
      </c>
      <c r="D5185" t="s">
        <v>672</v>
      </c>
      <c r="E5185">
        <v>355.32</v>
      </c>
    </row>
    <row r="5186" spans="2:5">
      <c r="B5186" s="17">
        <v>42520</v>
      </c>
      <c r="D5186" t="s">
        <v>672</v>
      </c>
      <c r="E5186">
        <v>39.99</v>
      </c>
    </row>
    <row r="5187" spans="2:5">
      <c r="B5187" s="17">
        <v>42520</v>
      </c>
      <c r="D5187" t="s">
        <v>672</v>
      </c>
      <c r="E5187">
        <v>2.0679999999999996</v>
      </c>
    </row>
    <row r="5188" spans="2:5">
      <c r="B5188" s="17">
        <v>42520</v>
      </c>
      <c r="D5188" t="s">
        <v>61</v>
      </c>
      <c r="E5188">
        <v>83.84</v>
      </c>
    </row>
    <row r="5189" spans="2:5">
      <c r="B5189" s="17">
        <v>42520</v>
      </c>
      <c r="D5189" t="s">
        <v>61</v>
      </c>
      <c r="E5189">
        <v>9.5519999999999996</v>
      </c>
    </row>
    <row r="5190" spans="2:5">
      <c r="B5190" s="17">
        <v>42520</v>
      </c>
      <c r="D5190" t="s">
        <v>61</v>
      </c>
      <c r="E5190">
        <v>5.3440000000000003</v>
      </c>
    </row>
    <row r="5191" spans="2:5">
      <c r="B5191" s="17">
        <v>42520</v>
      </c>
      <c r="D5191" t="s">
        <v>61</v>
      </c>
      <c r="E5191">
        <v>15.712000000000002</v>
      </c>
    </row>
    <row r="5192" spans="2:5">
      <c r="B5192" s="17">
        <v>42520</v>
      </c>
      <c r="D5192" t="s">
        <v>388</v>
      </c>
      <c r="E5192">
        <v>10.86</v>
      </c>
    </row>
    <row r="5193" spans="2:5">
      <c r="B5193" s="17">
        <v>42520</v>
      </c>
      <c r="D5193" t="s">
        <v>388</v>
      </c>
      <c r="E5193">
        <v>161.28</v>
      </c>
    </row>
    <row r="5194" spans="2:5">
      <c r="B5194" s="17">
        <v>42520</v>
      </c>
      <c r="D5194" t="s">
        <v>388</v>
      </c>
      <c r="E5194">
        <v>32.400000000000006</v>
      </c>
    </row>
    <row r="5195" spans="2:5">
      <c r="B5195" s="17">
        <v>42520</v>
      </c>
      <c r="D5195" t="s">
        <v>388</v>
      </c>
      <c r="E5195">
        <v>18.882000000000005</v>
      </c>
    </row>
    <row r="5196" spans="2:5">
      <c r="B5196" s="17">
        <v>42520</v>
      </c>
      <c r="D5196" t="s">
        <v>869</v>
      </c>
      <c r="E5196">
        <v>122.328</v>
      </c>
    </row>
    <row r="5197" spans="2:5">
      <c r="B5197" s="17">
        <v>42520</v>
      </c>
      <c r="D5197" t="s">
        <v>869</v>
      </c>
      <c r="E5197">
        <v>71.975999999999999</v>
      </c>
    </row>
    <row r="5198" spans="2:5">
      <c r="B5198" s="17">
        <v>42520</v>
      </c>
      <c r="D5198" t="s">
        <v>869</v>
      </c>
      <c r="E5198">
        <v>3.15</v>
      </c>
    </row>
    <row r="5199" spans="2:5">
      <c r="B5199" s="17">
        <v>42520</v>
      </c>
      <c r="D5199" t="s">
        <v>869</v>
      </c>
      <c r="E5199">
        <v>705.54399999999998</v>
      </c>
    </row>
    <row r="5200" spans="2:5">
      <c r="B5200" s="17">
        <v>42520</v>
      </c>
      <c r="D5200" t="s">
        <v>1297</v>
      </c>
      <c r="E5200">
        <v>17.940000000000001</v>
      </c>
    </row>
    <row r="5201" spans="2:5">
      <c r="B5201" s="17">
        <v>42520</v>
      </c>
      <c r="D5201" t="s">
        <v>1297</v>
      </c>
      <c r="E5201">
        <v>165.60000000000002</v>
      </c>
    </row>
    <row r="5202" spans="2:5">
      <c r="B5202" s="17">
        <v>42519</v>
      </c>
      <c r="D5202" t="s">
        <v>1297</v>
      </c>
      <c r="E5202">
        <v>37.520000000000003</v>
      </c>
    </row>
    <row r="5203" spans="2:5">
      <c r="B5203" s="17">
        <v>42519</v>
      </c>
      <c r="D5203" t="s">
        <v>1441</v>
      </c>
      <c r="E5203">
        <v>15.54</v>
      </c>
    </row>
    <row r="5204" spans="2:5">
      <c r="B5204" s="17">
        <v>42519</v>
      </c>
      <c r="D5204" t="s">
        <v>1441</v>
      </c>
      <c r="E5204">
        <v>105.55199999999999</v>
      </c>
    </row>
    <row r="5205" spans="2:5">
      <c r="B5205" s="17">
        <v>42519</v>
      </c>
      <c r="D5205" t="s">
        <v>1441</v>
      </c>
      <c r="E5205">
        <v>15.552000000000003</v>
      </c>
    </row>
    <row r="5206" spans="2:5">
      <c r="B5206" s="17">
        <v>42519</v>
      </c>
      <c r="D5206" t="s">
        <v>1406</v>
      </c>
      <c r="E5206">
        <v>11.232000000000001</v>
      </c>
    </row>
    <row r="5207" spans="2:5">
      <c r="B5207" s="17">
        <v>42518</v>
      </c>
      <c r="D5207" t="s">
        <v>1406</v>
      </c>
      <c r="E5207">
        <v>10.272000000000002</v>
      </c>
    </row>
    <row r="5208" spans="2:5">
      <c r="B5208" s="17">
        <v>42518</v>
      </c>
      <c r="D5208" t="s">
        <v>1406</v>
      </c>
      <c r="E5208">
        <v>8.52</v>
      </c>
    </row>
    <row r="5209" spans="2:5">
      <c r="B5209" s="17">
        <v>42518</v>
      </c>
      <c r="D5209" t="s">
        <v>1406</v>
      </c>
      <c r="E5209">
        <v>17.34</v>
      </c>
    </row>
    <row r="5210" spans="2:5">
      <c r="B5210" s="17">
        <v>42518</v>
      </c>
      <c r="D5210" t="s">
        <v>1406</v>
      </c>
      <c r="E5210">
        <v>71.98</v>
      </c>
    </row>
    <row r="5211" spans="2:5">
      <c r="B5211" s="17">
        <v>42518</v>
      </c>
      <c r="D5211" t="s">
        <v>1512</v>
      </c>
      <c r="E5211">
        <v>22.32</v>
      </c>
    </row>
    <row r="5212" spans="2:5">
      <c r="B5212" s="17">
        <v>42518</v>
      </c>
      <c r="D5212" t="s">
        <v>1512</v>
      </c>
      <c r="E5212">
        <v>103.60000000000001</v>
      </c>
    </row>
    <row r="5213" spans="2:5">
      <c r="B5213" s="17">
        <v>42518</v>
      </c>
      <c r="D5213" t="s">
        <v>1512</v>
      </c>
      <c r="E5213">
        <v>185.376</v>
      </c>
    </row>
    <row r="5214" spans="2:5">
      <c r="B5214" s="17">
        <v>42518</v>
      </c>
      <c r="D5214" t="s">
        <v>207</v>
      </c>
      <c r="E5214">
        <v>58.923999999999985</v>
      </c>
    </row>
    <row r="5215" spans="2:5">
      <c r="B5215" s="17">
        <v>42518</v>
      </c>
      <c r="D5215" t="s">
        <v>207</v>
      </c>
      <c r="E5215">
        <v>6.48</v>
      </c>
    </row>
    <row r="5216" spans="2:5">
      <c r="B5216" s="17">
        <v>42518</v>
      </c>
      <c r="D5216" t="s">
        <v>207</v>
      </c>
      <c r="E5216">
        <v>1399.9440000000002</v>
      </c>
    </row>
    <row r="5217" spans="2:5">
      <c r="B5217" s="17">
        <v>42517</v>
      </c>
      <c r="D5217" t="s">
        <v>207</v>
      </c>
      <c r="E5217">
        <v>145.76400000000001</v>
      </c>
    </row>
    <row r="5218" spans="2:5">
      <c r="B5218" s="17">
        <v>42517</v>
      </c>
      <c r="D5218" t="s">
        <v>207</v>
      </c>
      <c r="E5218">
        <v>562.29250000000013</v>
      </c>
    </row>
    <row r="5219" spans="2:5">
      <c r="B5219" s="17">
        <v>42517</v>
      </c>
      <c r="D5219" t="s">
        <v>207</v>
      </c>
      <c r="E5219">
        <v>1591.02</v>
      </c>
    </row>
    <row r="5220" spans="2:5">
      <c r="B5220" s="17">
        <v>42517</v>
      </c>
      <c r="D5220" t="s">
        <v>207</v>
      </c>
      <c r="E5220">
        <v>37.312000000000005</v>
      </c>
    </row>
    <row r="5221" spans="2:5">
      <c r="B5221" s="17">
        <v>42517</v>
      </c>
      <c r="D5221" t="s">
        <v>207</v>
      </c>
      <c r="E5221">
        <v>32.400000000000006</v>
      </c>
    </row>
    <row r="5222" spans="2:5">
      <c r="B5222" s="17">
        <v>42517</v>
      </c>
      <c r="D5222" t="s">
        <v>207</v>
      </c>
      <c r="E5222">
        <v>41.86</v>
      </c>
    </row>
    <row r="5223" spans="2:5">
      <c r="B5223" s="17">
        <v>42517</v>
      </c>
      <c r="D5223" t="s">
        <v>207</v>
      </c>
      <c r="E5223">
        <v>77.56</v>
      </c>
    </row>
    <row r="5224" spans="2:5">
      <c r="B5224" s="17">
        <v>42516</v>
      </c>
      <c r="D5224" t="s">
        <v>207</v>
      </c>
      <c r="E5224">
        <v>30.816000000000003</v>
      </c>
    </row>
    <row r="5225" spans="2:5">
      <c r="B5225" s="17">
        <v>42516</v>
      </c>
      <c r="D5225" t="s">
        <v>207</v>
      </c>
      <c r="E5225">
        <v>44.783999999999999</v>
      </c>
    </row>
    <row r="5226" spans="2:5">
      <c r="B5226" s="17">
        <v>42516</v>
      </c>
      <c r="D5226" t="s">
        <v>49</v>
      </c>
      <c r="E5226">
        <v>569.53599999999994</v>
      </c>
    </row>
    <row r="5227" spans="2:5">
      <c r="B5227" s="17">
        <v>42516</v>
      </c>
      <c r="D5227" t="s">
        <v>49</v>
      </c>
      <c r="E5227">
        <v>4.338000000000001</v>
      </c>
    </row>
    <row r="5228" spans="2:5">
      <c r="B5228" s="17">
        <v>42516</v>
      </c>
      <c r="D5228" t="s">
        <v>49</v>
      </c>
      <c r="E5228">
        <v>11.880000000000003</v>
      </c>
    </row>
    <row r="5229" spans="2:5">
      <c r="B5229" s="17">
        <v>42516</v>
      </c>
      <c r="D5229" t="s">
        <v>49</v>
      </c>
      <c r="E5229">
        <v>11.168000000000001</v>
      </c>
    </row>
    <row r="5230" spans="2:5">
      <c r="B5230" s="17">
        <v>42516</v>
      </c>
      <c r="D5230" t="s">
        <v>200</v>
      </c>
      <c r="E5230">
        <v>53.952000000000005</v>
      </c>
    </row>
    <row r="5231" spans="2:5">
      <c r="B5231" s="17">
        <v>42516</v>
      </c>
      <c r="D5231" t="s">
        <v>200</v>
      </c>
      <c r="E5231">
        <v>23.34</v>
      </c>
    </row>
    <row r="5232" spans="2:5">
      <c r="B5232" s="17">
        <v>42516</v>
      </c>
      <c r="D5232" t="s">
        <v>200</v>
      </c>
      <c r="E5232">
        <v>513.024</v>
      </c>
    </row>
    <row r="5233" spans="2:5">
      <c r="B5233" s="17">
        <v>42516</v>
      </c>
      <c r="D5233" t="s">
        <v>200</v>
      </c>
      <c r="E5233">
        <v>487.91999999999996</v>
      </c>
    </row>
    <row r="5234" spans="2:5">
      <c r="B5234" s="17">
        <v>42516</v>
      </c>
      <c r="D5234" t="s">
        <v>200</v>
      </c>
      <c r="E5234">
        <v>15.24</v>
      </c>
    </row>
    <row r="5235" spans="2:5">
      <c r="B5235" s="17">
        <v>42516</v>
      </c>
      <c r="D5235" t="s">
        <v>200</v>
      </c>
      <c r="E5235">
        <v>10.56</v>
      </c>
    </row>
    <row r="5236" spans="2:5">
      <c r="B5236" s="17">
        <v>42516</v>
      </c>
      <c r="D5236" t="s">
        <v>1624</v>
      </c>
      <c r="E5236">
        <v>179.97</v>
      </c>
    </row>
    <row r="5237" spans="2:5">
      <c r="B5237" s="17">
        <v>42516</v>
      </c>
      <c r="D5237" t="s">
        <v>1624</v>
      </c>
      <c r="E5237">
        <v>70.88</v>
      </c>
    </row>
    <row r="5238" spans="2:5">
      <c r="B5238" s="17">
        <v>42516</v>
      </c>
      <c r="D5238" t="s">
        <v>1624</v>
      </c>
      <c r="E5238">
        <v>38.339999999999996</v>
      </c>
    </row>
    <row r="5239" spans="2:5">
      <c r="B5239" s="17">
        <v>42516</v>
      </c>
      <c r="D5239" t="s">
        <v>1624</v>
      </c>
      <c r="E5239">
        <v>197.04999999999998</v>
      </c>
    </row>
    <row r="5240" spans="2:5">
      <c r="B5240" s="17">
        <v>42516</v>
      </c>
      <c r="D5240" t="s">
        <v>1624</v>
      </c>
      <c r="E5240">
        <v>35.06</v>
      </c>
    </row>
    <row r="5241" spans="2:5">
      <c r="B5241" s="17">
        <v>42516</v>
      </c>
      <c r="D5241" t="s">
        <v>542</v>
      </c>
      <c r="E5241">
        <v>4.13</v>
      </c>
    </row>
    <row r="5242" spans="2:5">
      <c r="B5242" s="17">
        <v>42515</v>
      </c>
      <c r="D5242" t="s">
        <v>542</v>
      </c>
      <c r="E5242">
        <v>109.8</v>
      </c>
    </row>
    <row r="5243" spans="2:5">
      <c r="B5243" s="17">
        <v>42515</v>
      </c>
      <c r="D5243" t="s">
        <v>1811</v>
      </c>
      <c r="E5243">
        <v>9.82</v>
      </c>
    </row>
    <row r="5244" spans="2:5">
      <c r="B5244" s="17">
        <v>42515</v>
      </c>
      <c r="D5244" t="s">
        <v>1811</v>
      </c>
      <c r="E5244">
        <v>3.9799999999999991</v>
      </c>
    </row>
    <row r="5245" spans="2:5">
      <c r="B5245" s="17">
        <v>42514</v>
      </c>
      <c r="D5245" t="s">
        <v>1432</v>
      </c>
      <c r="E5245">
        <v>20.952000000000002</v>
      </c>
    </row>
    <row r="5246" spans="2:5">
      <c r="B5246" s="17">
        <v>42514</v>
      </c>
      <c r="D5246" t="s">
        <v>1432</v>
      </c>
      <c r="E5246">
        <v>11.784000000000001</v>
      </c>
    </row>
    <row r="5247" spans="2:5">
      <c r="B5247" s="17">
        <v>42514</v>
      </c>
      <c r="D5247" t="s">
        <v>1432</v>
      </c>
      <c r="E5247">
        <v>81.539999999999992</v>
      </c>
    </row>
    <row r="5248" spans="2:5">
      <c r="B5248" s="17">
        <v>42513</v>
      </c>
      <c r="D5248" t="s">
        <v>1432</v>
      </c>
      <c r="E5248">
        <v>167.28</v>
      </c>
    </row>
    <row r="5249" spans="2:5">
      <c r="B5249" s="17">
        <v>42513</v>
      </c>
      <c r="D5249" t="s">
        <v>1432</v>
      </c>
      <c r="E5249">
        <v>136.46400000000003</v>
      </c>
    </row>
    <row r="5250" spans="2:5">
      <c r="B5250" s="17">
        <v>42513</v>
      </c>
      <c r="D5250" t="s">
        <v>271</v>
      </c>
      <c r="E5250">
        <v>12.544</v>
      </c>
    </row>
    <row r="5251" spans="2:5">
      <c r="B5251" s="17">
        <v>42513</v>
      </c>
      <c r="D5251" t="s">
        <v>271</v>
      </c>
      <c r="E5251">
        <v>19.648</v>
      </c>
    </row>
    <row r="5252" spans="2:5">
      <c r="B5252" s="17">
        <v>42513</v>
      </c>
      <c r="D5252" t="s">
        <v>271</v>
      </c>
      <c r="E5252">
        <v>1039.7280000000001</v>
      </c>
    </row>
    <row r="5253" spans="2:5">
      <c r="B5253" s="17">
        <v>42513</v>
      </c>
      <c r="D5253" t="s">
        <v>271</v>
      </c>
      <c r="E5253">
        <v>45.96</v>
      </c>
    </row>
    <row r="5254" spans="2:5">
      <c r="B5254" s="17">
        <v>42513</v>
      </c>
      <c r="D5254" t="s">
        <v>271</v>
      </c>
      <c r="E5254">
        <v>19.312000000000001</v>
      </c>
    </row>
    <row r="5255" spans="2:5">
      <c r="B5255" s="17">
        <v>42512</v>
      </c>
      <c r="D5255" t="s">
        <v>390</v>
      </c>
      <c r="E5255">
        <v>635.96</v>
      </c>
    </row>
    <row r="5256" spans="2:5">
      <c r="B5256" s="17">
        <v>42512</v>
      </c>
      <c r="D5256" t="s">
        <v>390</v>
      </c>
      <c r="E5256">
        <v>118.99</v>
      </c>
    </row>
    <row r="5257" spans="2:5">
      <c r="B5257" s="17">
        <v>42512</v>
      </c>
      <c r="D5257" t="s">
        <v>390</v>
      </c>
      <c r="E5257">
        <v>863.12800000000004</v>
      </c>
    </row>
    <row r="5258" spans="2:5">
      <c r="B5258" s="17">
        <v>42512</v>
      </c>
      <c r="D5258" t="s">
        <v>390</v>
      </c>
      <c r="E5258">
        <v>9.2639999999999976</v>
      </c>
    </row>
    <row r="5259" spans="2:5">
      <c r="B5259" s="17">
        <v>42512</v>
      </c>
      <c r="D5259" t="s">
        <v>308</v>
      </c>
      <c r="E5259">
        <v>9.2480000000000011</v>
      </c>
    </row>
    <row r="5260" spans="2:5">
      <c r="B5260" s="17">
        <v>42512</v>
      </c>
      <c r="D5260" t="s">
        <v>308</v>
      </c>
      <c r="E5260">
        <v>1036.624</v>
      </c>
    </row>
    <row r="5261" spans="2:5">
      <c r="B5261" s="17">
        <v>42512</v>
      </c>
      <c r="D5261" t="s">
        <v>308</v>
      </c>
      <c r="E5261">
        <v>715.64</v>
      </c>
    </row>
    <row r="5262" spans="2:5">
      <c r="B5262" s="17">
        <v>42512</v>
      </c>
      <c r="D5262" t="s">
        <v>308</v>
      </c>
      <c r="E5262">
        <v>84.784000000000006</v>
      </c>
    </row>
    <row r="5263" spans="2:5">
      <c r="B5263" s="17">
        <v>42511</v>
      </c>
      <c r="D5263" t="s">
        <v>308</v>
      </c>
      <c r="E5263">
        <v>2.2140000000000004</v>
      </c>
    </row>
    <row r="5264" spans="2:5">
      <c r="B5264" s="17">
        <v>42511</v>
      </c>
      <c r="D5264" t="s">
        <v>308</v>
      </c>
      <c r="E5264">
        <v>704.76</v>
      </c>
    </row>
    <row r="5265" spans="2:5">
      <c r="B5265" s="17">
        <v>42511</v>
      </c>
      <c r="D5265" t="s">
        <v>308</v>
      </c>
      <c r="E5265">
        <v>27.396000000000004</v>
      </c>
    </row>
    <row r="5266" spans="2:5">
      <c r="B5266" s="17">
        <v>42511</v>
      </c>
      <c r="D5266" t="s">
        <v>308</v>
      </c>
      <c r="E5266">
        <v>20.439999999999998</v>
      </c>
    </row>
    <row r="5267" spans="2:5">
      <c r="B5267" s="17">
        <v>42511</v>
      </c>
      <c r="D5267" t="s">
        <v>308</v>
      </c>
      <c r="E5267">
        <v>109.92</v>
      </c>
    </row>
    <row r="5268" spans="2:5">
      <c r="B5268" s="17">
        <v>42511</v>
      </c>
      <c r="D5268" t="s">
        <v>1229</v>
      </c>
      <c r="E5268">
        <v>18.899999999999999</v>
      </c>
    </row>
    <row r="5269" spans="2:5">
      <c r="B5269" s="17">
        <v>42511</v>
      </c>
      <c r="D5269" t="s">
        <v>1229</v>
      </c>
      <c r="E5269">
        <v>177.45000000000002</v>
      </c>
    </row>
    <row r="5270" spans="2:5">
      <c r="B5270" s="17">
        <v>42510</v>
      </c>
      <c r="D5270" t="s">
        <v>1229</v>
      </c>
      <c r="E5270">
        <v>1369.7640000000001</v>
      </c>
    </row>
    <row r="5271" spans="2:5">
      <c r="B5271" s="17">
        <v>42510</v>
      </c>
      <c r="D5271" t="s">
        <v>1229</v>
      </c>
      <c r="E5271">
        <v>9.48</v>
      </c>
    </row>
    <row r="5272" spans="2:5">
      <c r="B5272" s="17">
        <v>42510</v>
      </c>
      <c r="D5272" t="s">
        <v>1229</v>
      </c>
      <c r="E5272">
        <v>24.700000000000003</v>
      </c>
    </row>
    <row r="5273" spans="2:5">
      <c r="B5273" s="17">
        <v>42510</v>
      </c>
      <c r="D5273" t="s">
        <v>1229</v>
      </c>
      <c r="E5273">
        <v>119.61600000000001</v>
      </c>
    </row>
    <row r="5274" spans="2:5">
      <c r="B5274" s="17">
        <v>42510</v>
      </c>
      <c r="D5274" t="s">
        <v>1597</v>
      </c>
      <c r="E5274">
        <v>69.3</v>
      </c>
    </row>
    <row r="5275" spans="2:5">
      <c r="B5275" s="17">
        <v>42509</v>
      </c>
      <c r="D5275" t="s">
        <v>1597</v>
      </c>
      <c r="E5275">
        <v>1439.9759999999999</v>
      </c>
    </row>
    <row r="5276" spans="2:5">
      <c r="B5276" s="17">
        <v>42509</v>
      </c>
      <c r="D5276" t="s">
        <v>340</v>
      </c>
      <c r="E5276">
        <v>21.48</v>
      </c>
    </row>
    <row r="5277" spans="2:5">
      <c r="B5277" s="17">
        <v>42509</v>
      </c>
      <c r="D5277" t="s">
        <v>340</v>
      </c>
      <c r="E5277">
        <v>15.712000000000002</v>
      </c>
    </row>
    <row r="5278" spans="2:5">
      <c r="B5278" s="17">
        <v>42509</v>
      </c>
      <c r="D5278" t="s">
        <v>340</v>
      </c>
      <c r="E5278">
        <v>7.89</v>
      </c>
    </row>
    <row r="5279" spans="2:5">
      <c r="B5279" s="17">
        <v>42509</v>
      </c>
      <c r="D5279" t="s">
        <v>340</v>
      </c>
      <c r="E5279">
        <v>65.5</v>
      </c>
    </row>
    <row r="5280" spans="2:5">
      <c r="B5280" s="17">
        <v>42509</v>
      </c>
      <c r="D5280" t="s">
        <v>340</v>
      </c>
      <c r="E5280">
        <v>2430.08</v>
      </c>
    </row>
    <row r="5281" spans="2:5">
      <c r="B5281" s="17">
        <v>42509</v>
      </c>
      <c r="D5281" t="s">
        <v>1786</v>
      </c>
      <c r="E5281">
        <v>10.44</v>
      </c>
    </row>
    <row r="5282" spans="2:5">
      <c r="B5282" s="17">
        <v>42509</v>
      </c>
      <c r="D5282" t="s">
        <v>1786</v>
      </c>
      <c r="E5282">
        <v>20.936000000000003</v>
      </c>
    </row>
    <row r="5283" spans="2:5">
      <c r="B5283" s="17">
        <v>42509</v>
      </c>
      <c r="D5283" t="s">
        <v>1786</v>
      </c>
      <c r="E5283">
        <v>37.17</v>
      </c>
    </row>
    <row r="5284" spans="2:5">
      <c r="B5284" s="17">
        <v>42508</v>
      </c>
      <c r="D5284" t="s">
        <v>1107</v>
      </c>
      <c r="E5284">
        <v>20.62</v>
      </c>
    </row>
    <row r="5285" spans="2:5">
      <c r="B5285" s="17">
        <v>42508</v>
      </c>
      <c r="D5285" t="s">
        <v>1107</v>
      </c>
      <c r="E5285">
        <v>124.25</v>
      </c>
    </row>
    <row r="5286" spans="2:5">
      <c r="B5286" s="17">
        <v>42507</v>
      </c>
      <c r="D5286" t="s">
        <v>226</v>
      </c>
      <c r="E5286">
        <v>403.56</v>
      </c>
    </row>
    <row r="5287" spans="2:5">
      <c r="B5287" s="17">
        <v>42507</v>
      </c>
      <c r="D5287" t="s">
        <v>226</v>
      </c>
      <c r="E5287">
        <v>95.199999999999989</v>
      </c>
    </row>
    <row r="5288" spans="2:5">
      <c r="B5288" s="17">
        <v>42507</v>
      </c>
      <c r="D5288" t="s">
        <v>205</v>
      </c>
      <c r="E5288">
        <v>73.2</v>
      </c>
    </row>
    <row r="5289" spans="2:5">
      <c r="B5289" s="17">
        <v>42507</v>
      </c>
      <c r="D5289" t="s">
        <v>205</v>
      </c>
      <c r="E5289">
        <v>35.216000000000001</v>
      </c>
    </row>
    <row r="5290" spans="2:5">
      <c r="B5290" s="17">
        <v>42507</v>
      </c>
      <c r="D5290" t="s">
        <v>1372</v>
      </c>
      <c r="E5290">
        <v>23.696000000000002</v>
      </c>
    </row>
    <row r="5291" spans="2:5">
      <c r="B5291" s="17">
        <v>42507</v>
      </c>
      <c r="D5291" t="s">
        <v>1372</v>
      </c>
      <c r="E5291">
        <v>11.415999999999997</v>
      </c>
    </row>
    <row r="5292" spans="2:5">
      <c r="B5292" s="17">
        <v>42507</v>
      </c>
      <c r="D5292" t="s">
        <v>1372</v>
      </c>
      <c r="E5292">
        <v>4.4479999999999995</v>
      </c>
    </row>
    <row r="5293" spans="2:5">
      <c r="B5293" s="17">
        <v>42507</v>
      </c>
      <c r="D5293" t="s">
        <v>1372</v>
      </c>
      <c r="E5293">
        <v>5.1840000000000011</v>
      </c>
    </row>
    <row r="5294" spans="2:5">
      <c r="B5294" s="17">
        <v>42507</v>
      </c>
      <c r="D5294" t="s">
        <v>1372</v>
      </c>
      <c r="E5294">
        <v>175.92</v>
      </c>
    </row>
    <row r="5295" spans="2:5">
      <c r="B5295" s="17">
        <v>42506</v>
      </c>
      <c r="D5295" t="s">
        <v>845</v>
      </c>
      <c r="E5295">
        <v>4.7519999999999989</v>
      </c>
    </row>
    <row r="5296" spans="2:5">
      <c r="B5296" s="17">
        <v>42506</v>
      </c>
      <c r="D5296" t="s">
        <v>845</v>
      </c>
      <c r="E5296">
        <v>13.344000000000001</v>
      </c>
    </row>
    <row r="5297" spans="2:5">
      <c r="B5297" s="17">
        <v>42506</v>
      </c>
      <c r="D5297" t="s">
        <v>845</v>
      </c>
      <c r="E5297">
        <v>115.136</v>
      </c>
    </row>
    <row r="5298" spans="2:5">
      <c r="B5298" s="17">
        <v>42506</v>
      </c>
      <c r="D5298" t="s">
        <v>845</v>
      </c>
      <c r="E5298">
        <v>6.3</v>
      </c>
    </row>
    <row r="5299" spans="2:5">
      <c r="B5299" s="17">
        <v>42505</v>
      </c>
      <c r="D5299" t="s">
        <v>1715</v>
      </c>
      <c r="E5299">
        <v>4.16</v>
      </c>
    </row>
    <row r="5300" spans="2:5">
      <c r="B5300" s="17">
        <v>42505</v>
      </c>
      <c r="D5300" t="s">
        <v>1715</v>
      </c>
      <c r="E5300">
        <v>11.648000000000001</v>
      </c>
    </row>
    <row r="5301" spans="2:5">
      <c r="B5301" s="17">
        <v>42505</v>
      </c>
      <c r="D5301" t="s">
        <v>1715</v>
      </c>
      <c r="E5301">
        <v>109.95</v>
      </c>
    </row>
    <row r="5302" spans="2:5">
      <c r="B5302" s="17">
        <v>42505</v>
      </c>
      <c r="D5302" t="s">
        <v>1715</v>
      </c>
      <c r="E5302">
        <v>965.84999999999991</v>
      </c>
    </row>
    <row r="5303" spans="2:5">
      <c r="B5303" s="17">
        <v>42505</v>
      </c>
      <c r="D5303" t="s">
        <v>1861</v>
      </c>
      <c r="E5303">
        <v>29.2</v>
      </c>
    </row>
    <row r="5304" spans="2:5">
      <c r="B5304" s="17">
        <v>42505</v>
      </c>
      <c r="D5304" t="s">
        <v>82</v>
      </c>
      <c r="E5304">
        <v>32.400000000000006</v>
      </c>
    </row>
    <row r="5305" spans="2:5">
      <c r="B5305" s="17">
        <v>42504</v>
      </c>
      <c r="D5305" t="s">
        <v>82</v>
      </c>
      <c r="E5305">
        <v>86.199999999999989</v>
      </c>
    </row>
    <row r="5306" spans="2:5">
      <c r="B5306" s="17">
        <v>42504</v>
      </c>
      <c r="D5306" t="s">
        <v>82</v>
      </c>
      <c r="E5306">
        <v>37.68</v>
      </c>
    </row>
    <row r="5307" spans="2:5">
      <c r="B5307" s="17">
        <v>42504</v>
      </c>
      <c r="D5307" t="s">
        <v>82</v>
      </c>
      <c r="E5307">
        <v>51.84</v>
      </c>
    </row>
    <row r="5308" spans="2:5">
      <c r="B5308" s="17">
        <v>42504</v>
      </c>
      <c r="D5308" t="s">
        <v>82</v>
      </c>
      <c r="E5308">
        <v>27.42</v>
      </c>
    </row>
    <row r="5309" spans="2:5">
      <c r="B5309" s="17">
        <v>42504</v>
      </c>
      <c r="D5309" t="s">
        <v>1591</v>
      </c>
      <c r="E5309">
        <v>5.4</v>
      </c>
    </row>
    <row r="5310" spans="2:5">
      <c r="B5310" s="17">
        <v>42504</v>
      </c>
      <c r="D5310" t="s">
        <v>1591</v>
      </c>
      <c r="E5310">
        <v>1.9410000000000003</v>
      </c>
    </row>
    <row r="5311" spans="2:5">
      <c r="B5311" s="17">
        <v>42504</v>
      </c>
      <c r="D5311" t="s">
        <v>1591</v>
      </c>
      <c r="E5311">
        <v>18.656000000000002</v>
      </c>
    </row>
    <row r="5312" spans="2:5">
      <c r="B5312" s="17">
        <v>42504</v>
      </c>
      <c r="D5312" t="s">
        <v>1591</v>
      </c>
      <c r="E5312">
        <v>11.088000000000003</v>
      </c>
    </row>
    <row r="5313" spans="2:5">
      <c r="B5313" s="17">
        <v>42504</v>
      </c>
      <c r="D5313" t="s">
        <v>1006</v>
      </c>
      <c r="E5313">
        <v>66.688000000000002</v>
      </c>
    </row>
    <row r="5314" spans="2:5">
      <c r="B5314" s="17">
        <v>42502</v>
      </c>
      <c r="D5314" t="s">
        <v>1006</v>
      </c>
      <c r="E5314">
        <v>99.488</v>
      </c>
    </row>
    <row r="5315" spans="2:5">
      <c r="B5315" s="17">
        <v>42502</v>
      </c>
      <c r="D5315" t="s">
        <v>1006</v>
      </c>
      <c r="E5315">
        <v>6.2640000000000002</v>
      </c>
    </row>
    <row r="5316" spans="2:5">
      <c r="B5316" s="17">
        <v>42502</v>
      </c>
      <c r="D5316" t="s">
        <v>1006</v>
      </c>
      <c r="E5316">
        <v>363.92</v>
      </c>
    </row>
    <row r="5317" spans="2:5">
      <c r="B5317" s="17">
        <v>42502</v>
      </c>
      <c r="D5317" t="s">
        <v>1006</v>
      </c>
      <c r="E5317">
        <v>419.90000000000003</v>
      </c>
    </row>
    <row r="5318" spans="2:5">
      <c r="B5318" s="17">
        <v>42502</v>
      </c>
      <c r="D5318" t="s">
        <v>1006</v>
      </c>
      <c r="E5318">
        <v>3.15</v>
      </c>
    </row>
    <row r="5319" spans="2:5">
      <c r="B5319" s="17">
        <v>42502</v>
      </c>
      <c r="D5319" t="s">
        <v>1006</v>
      </c>
      <c r="E5319">
        <v>89.949999999999989</v>
      </c>
    </row>
    <row r="5320" spans="2:5">
      <c r="B5320" s="17">
        <v>42502</v>
      </c>
      <c r="D5320" t="s">
        <v>1006</v>
      </c>
      <c r="E5320">
        <v>185.57999999999998</v>
      </c>
    </row>
    <row r="5321" spans="2:5">
      <c r="B5321" s="17">
        <v>42501</v>
      </c>
      <c r="D5321" t="s">
        <v>1006</v>
      </c>
      <c r="E5321">
        <v>77.56</v>
      </c>
    </row>
    <row r="5322" spans="2:5">
      <c r="B5322" s="17">
        <v>42500</v>
      </c>
      <c r="D5322" t="s">
        <v>1006</v>
      </c>
      <c r="E5322">
        <v>87.92</v>
      </c>
    </row>
    <row r="5323" spans="2:5">
      <c r="B5323" s="17">
        <v>42500</v>
      </c>
      <c r="D5323" t="s">
        <v>932</v>
      </c>
      <c r="E5323">
        <v>8.6</v>
      </c>
    </row>
    <row r="5324" spans="2:5">
      <c r="B5324" s="17">
        <v>42500</v>
      </c>
      <c r="D5324" t="s">
        <v>932</v>
      </c>
      <c r="E5324">
        <v>504.90000000000003</v>
      </c>
    </row>
    <row r="5325" spans="2:5">
      <c r="B5325" s="17">
        <v>42499</v>
      </c>
      <c r="D5325" t="s">
        <v>932</v>
      </c>
      <c r="E5325">
        <v>35.984000000000002</v>
      </c>
    </row>
    <row r="5326" spans="2:5">
      <c r="B5326" s="17">
        <v>42499</v>
      </c>
      <c r="D5326" t="s">
        <v>932</v>
      </c>
      <c r="E5326">
        <v>389.97</v>
      </c>
    </row>
    <row r="5327" spans="2:5">
      <c r="B5327" s="17">
        <v>42499</v>
      </c>
      <c r="D5327" t="s">
        <v>932</v>
      </c>
      <c r="E5327">
        <v>544.00800000000004</v>
      </c>
    </row>
    <row r="5328" spans="2:5">
      <c r="B5328" s="17">
        <v>42499</v>
      </c>
      <c r="D5328" t="s">
        <v>932</v>
      </c>
      <c r="E5328">
        <v>1.8720000000000003</v>
      </c>
    </row>
    <row r="5329" spans="2:5">
      <c r="B5329" s="17">
        <v>42499</v>
      </c>
      <c r="D5329" t="s">
        <v>1224</v>
      </c>
      <c r="E5329">
        <v>854.35200000000009</v>
      </c>
    </row>
    <row r="5330" spans="2:5">
      <c r="B5330" s="17">
        <v>42499</v>
      </c>
      <c r="D5330" t="s">
        <v>1224</v>
      </c>
      <c r="E5330">
        <v>593.5680000000001</v>
      </c>
    </row>
    <row r="5331" spans="2:5">
      <c r="B5331" s="17">
        <v>42499</v>
      </c>
      <c r="D5331" t="s">
        <v>1224</v>
      </c>
      <c r="E5331">
        <v>140.81</v>
      </c>
    </row>
    <row r="5332" spans="2:5">
      <c r="B5332" s="17">
        <v>42499</v>
      </c>
      <c r="D5332" t="s">
        <v>1224</v>
      </c>
      <c r="E5332">
        <v>33.799999999999997</v>
      </c>
    </row>
    <row r="5333" spans="2:5">
      <c r="B5333" s="17">
        <v>42499</v>
      </c>
      <c r="D5333" t="s">
        <v>1224</v>
      </c>
      <c r="E5333">
        <v>15.576000000000001</v>
      </c>
    </row>
    <row r="5334" spans="2:5">
      <c r="B5334" s="17">
        <v>42499</v>
      </c>
      <c r="D5334" t="s">
        <v>1224</v>
      </c>
      <c r="E5334">
        <v>55.991999999999997</v>
      </c>
    </row>
    <row r="5335" spans="2:5">
      <c r="B5335" s="17">
        <v>42499</v>
      </c>
      <c r="D5335" t="s">
        <v>1224</v>
      </c>
      <c r="E5335">
        <v>11.264000000000001</v>
      </c>
    </row>
    <row r="5336" spans="2:5">
      <c r="B5336" s="17">
        <v>42499</v>
      </c>
      <c r="D5336" t="s">
        <v>1224</v>
      </c>
      <c r="E5336">
        <v>18.496000000000002</v>
      </c>
    </row>
    <row r="5337" spans="2:5">
      <c r="B5337" s="17">
        <v>42498</v>
      </c>
      <c r="D5337" t="s">
        <v>142</v>
      </c>
      <c r="E5337">
        <v>77.88</v>
      </c>
    </row>
    <row r="5338" spans="2:5">
      <c r="B5338" s="17">
        <v>42498</v>
      </c>
      <c r="D5338" t="s">
        <v>1285</v>
      </c>
      <c r="E5338">
        <v>162.63999999999999</v>
      </c>
    </row>
    <row r="5339" spans="2:5">
      <c r="B5339" s="17">
        <v>42498</v>
      </c>
      <c r="D5339" t="s">
        <v>1285</v>
      </c>
      <c r="E5339">
        <v>597</v>
      </c>
    </row>
    <row r="5340" spans="2:5">
      <c r="B5340" s="17">
        <v>42498</v>
      </c>
      <c r="D5340" t="s">
        <v>1285</v>
      </c>
      <c r="E5340">
        <v>55.48</v>
      </c>
    </row>
    <row r="5341" spans="2:5">
      <c r="B5341" s="17">
        <v>42498</v>
      </c>
      <c r="D5341" t="s">
        <v>1285</v>
      </c>
      <c r="E5341">
        <v>21.93</v>
      </c>
    </row>
    <row r="5342" spans="2:5">
      <c r="B5342" s="17">
        <v>42498</v>
      </c>
      <c r="D5342" t="s">
        <v>640</v>
      </c>
      <c r="E5342">
        <v>7.64</v>
      </c>
    </row>
    <row r="5343" spans="2:5">
      <c r="B5343" s="17">
        <v>42498</v>
      </c>
      <c r="D5343" t="s">
        <v>640</v>
      </c>
      <c r="E5343">
        <v>51.84</v>
      </c>
    </row>
    <row r="5344" spans="2:5">
      <c r="B5344" s="17">
        <v>42497</v>
      </c>
      <c r="D5344" t="s">
        <v>640</v>
      </c>
      <c r="E5344">
        <v>12.419999999999998</v>
      </c>
    </row>
    <row r="5345" spans="2:5">
      <c r="B5345" s="17">
        <v>42497</v>
      </c>
      <c r="D5345" t="s">
        <v>640</v>
      </c>
      <c r="E5345">
        <v>428.40000000000003</v>
      </c>
    </row>
    <row r="5346" spans="2:5">
      <c r="B5346" s="17">
        <v>42497</v>
      </c>
      <c r="D5346" t="s">
        <v>640</v>
      </c>
      <c r="E5346">
        <v>24.75</v>
      </c>
    </row>
    <row r="5347" spans="2:5">
      <c r="B5347" s="17">
        <v>42497</v>
      </c>
      <c r="D5347" t="s">
        <v>640</v>
      </c>
      <c r="E5347">
        <v>87.71</v>
      </c>
    </row>
    <row r="5348" spans="2:5">
      <c r="B5348" s="17">
        <v>42497</v>
      </c>
      <c r="D5348" t="s">
        <v>159</v>
      </c>
      <c r="E5348">
        <v>69.52</v>
      </c>
    </row>
    <row r="5349" spans="2:5">
      <c r="B5349" s="17">
        <v>42497</v>
      </c>
      <c r="D5349" t="s">
        <v>159</v>
      </c>
      <c r="E5349">
        <v>20.784000000000002</v>
      </c>
    </row>
    <row r="5350" spans="2:5">
      <c r="B5350" s="17">
        <v>42496</v>
      </c>
      <c r="D5350" t="s">
        <v>159</v>
      </c>
      <c r="E5350">
        <v>12.816000000000001</v>
      </c>
    </row>
    <row r="5351" spans="2:5">
      <c r="B5351" s="17">
        <v>42496</v>
      </c>
      <c r="D5351" t="s">
        <v>159</v>
      </c>
      <c r="E5351">
        <v>45.96</v>
      </c>
    </row>
    <row r="5352" spans="2:5">
      <c r="B5352" s="17">
        <v>42496</v>
      </c>
      <c r="D5352" t="s">
        <v>159</v>
      </c>
      <c r="E5352">
        <v>37.224000000000004</v>
      </c>
    </row>
    <row r="5353" spans="2:5">
      <c r="B5353" s="17">
        <v>42496</v>
      </c>
      <c r="D5353" t="s">
        <v>159</v>
      </c>
      <c r="E5353">
        <v>20.016000000000002</v>
      </c>
    </row>
    <row r="5354" spans="2:5">
      <c r="B5354" s="17">
        <v>42496</v>
      </c>
      <c r="D5354" t="s">
        <v>159</v>
      </c>
      <c r="E5354">
        <v>143.98199999999997</v>
      </c>
    </row>
    <row r="5355" spans="2:5">
      <c r="B5355" s="17">
        <v>42496</v>
      </c>
      <c r="D5355" t="s">
        <v>159</v>
      </c>
      <c r="E5355">
        <v>494.37599999999998</v>
      </c>
    </row>
    <row r="5356" spans="2:5">
      <c r="B5356" s="17">
        <v>42496</v>
      </c>
      <c r="D5356" t="s">
        <v>1505</v>
      </c>
      <c r="E5356">
        <v>5.84</v>
      </c>
    </row>
    <row r="5357" spans="2:5">
      <c r="B5357" s="17">
        <v>42495</v>
      </c>
      <c r="D5357" t="s">
        <v>1505</v>
      </c>
      <c r="E5357">
        <v>9.5519999999999996</v>
      </c>
    </row>
    <row r="5358" spans="2:5">
      <c r="B5358" s="17">
        <v>42495</v>
      </c>
      <c r="D5358" t="s">
        <v>1505</v>
      </c>
      <c r="E5358">
        <v>10.199999999999999</v>
      </c>
    </row>
    <row r="5359" spans="2:5">
      <c r="B5359" s="17">
        <v>42495</v>
      </c>
      <c r="D5359" t="s">
        <v>76</v>
      </c>
      <c r="E5359">
        <v>22.32</v>
      </c>
    </row>
    <row r="5360" spans="2:5">
      <c r="B5360" s="17">
        <v>42495</v>
      </c>
      <c r="D5360" t="s">
        <v>76</v>
      </c>
      <c r="E5360">
        <v>24.1</v>
      </c>
    </row>
    <row r="5361" spans="2:5">
      <c r="B5361" s="17">
        <v>42495</v>
      </c>
      <c r="D5361" t="s">
        <v>76</v>
      </c>
      <c r="E5361">
        <v>75.98</v>
      </c>
    </row>
    <row r="5362" spans="2:5">
      <c r="B5362" s="17">
        <v>42495</v>
      </c>
      <c r="D5362" t="s">
        <v>76</v>
      </c>
      <c r="E5362">
        <v>6.46</v>
      </c>
    </row>
    <row r="5363" spans="2:5">
      <c r="B5363" s="17">
        <v>42495</v>
      </c>
      <c r="D5363" t="s">
        <v>76</v>
      </c>
      <c r="E5363">
        <v>60.12</v>
      </c>
    </row>
    <row r="5364" spans="2:5">
      <c r="B5364" s="17">
        <v>42495</v>
      </c>
      <c r="D5364" t="s">
        <v>76</v>
      </c>
      <c r="E5364">
        <v>44.400000000000006</v>
      </c>
    </row>
    <row r="5365" spans="2:5">
      <c r="B5365" s="17">
        <v>42495</v>
      </c>
      <c r="D5365" t="s">
        <v>76</v>
      </c>
      <c r="E5365">
        <v>105.52</v>
      </c>
    </row>
    <row r="5366" spans="2:5">
      <c r="B5366" s="17">
        <v>42495</v>
      </c>
      <c r="D5366" t="s">
        <v>76</v>
      </c>
      <c r="E5366">
        <v>380.86400000000003</v>
      </c>
    </row>
    <row r="5367" spans="2:5">
      <c r="B5367" s="17">
        <v>42495</v>
      </c>
      <c r="D5367" t="s">
        <v>76</v>
      </c>
      <c r="E5367">
        <v>11.632</v>
      </c>
    </row>
    <row r="5368" spans="2:5">
      <c r="B5368" s="17">
        <v>42495</v>
      </c>
      <c r="D5368" t="s">
        <v>76</v>
      </c>
      <c r="E5368">
        <v>11.21</v>
      </c>
    </row>
    <row r="5369" spans="2:5">
      <c r="B5369" s="17">
        <v>42493</v>
      </c>
      <c r="D5369" t="s">
        <v>987</v>
      </c>
      <c r="E5369">
        <v>9.1440000000000001</v>
      </c>
    </row>
    <row r="5370" spans="2:5">
      <c r="B5370" s="17">
        <v>42493</v>
      </c>
      <c r="D5370" t="s">
        <v>987</v>
      </c>
      <c r="E5370">
        <v>14.069999999999999</v>
      </c>
    </row>
    <row r="5371" spans="2:5">
      <c r="B5371" s="17">
        <v>42493</v>
      </c>
      <c r="D5371" t="s">
        <v>987</v>
      </c>
      <c r="E5371">
        <v>41.86</v>
      </c>
    </row>
    <row r="5372" spans="2:5">
      <c r="B5372" s="17">
        <v>42493</v>
      </c>
      <c r="D5372" t="s">
        <v>987</v>
      </c>
      <c r="E5372">
        <v>8.5440000000000005</v>
      </c>
    </row>
    <row r="5373" spans="2:5">
      <c r="B5373" s="17">
        <v>42493</v>
      </c>
      <c r="D5373" t="s">
        <v>987</v>
      </c>
      <c r="E5373">
        <v>579.13599999999997</v>
      </c>
    </row>
    <row r="5374" spans="2:5">
      <c r="B5374" s="17">
        <v>42493</v>
      </c>
      <c r="D5374" t="s">
        <v>987</v>
      </c>
      <c r="E5374">
        <v>419.94399999999996</v>
      </c>
    </row>
    <row r="5375" spans="2:5">
      <c r="B5375" s="17">
        <v>42493</v>
      </c>
      <c r="D5375" t="s">
        <v>987</v>
      </c>
      <c r="E5375">
        <v>14.16</v>
      </c>
    </row>
    <row r="5376" spans="2:5">
      <c r="B5376" s="17">
        <v>42493</v>
      </c>
      <c r="D5376" t="s">
        <v>987</v>
      </c>
      <c r="E5376">
        <v>29</v>
      </c>
    </row>
    <row r="5377" spans="2:5">
      <c r="B5377" s="17">
        <v>42493</v>
      </c>
      <c r="D5377" t="s">
        <v>1585</v>
      </c>
      <c r="E5377">
        <v>29.61</v>
      </c>
    </row>
    <row r="5378" spans="2:5">
      <c r="B5378" s="17">
        <v>42492</v>
      </c>
      <c r="D5378" t="s">
        <v>1585</v>
      </c>
      <c r="E5378">
        <v>36.4</v>
      </c>
    </row>
    <row r="5379" spans="2:5">
      <c r="B5379" s="17">
        <v>42492</v>
      </c>
      <c r="D5379" t="s">
        <v>1585</v>
      </c>
      <c r="E5379">
        <v>51.75</v>
      </c>
    </row>
    <row r="5380" spans="2:5">
      <c r="B5380" s="17">
        <v>42492</v>
      </c>
      <c r="D5380" t="s">
        <v>1585</v>
      </c>
      <c r="E5380">
        <v>110.376</v>
      </c>
    </row>
    <row r="5381" spans="2:5">
      <c r="B5381" s="17">
        <v>42492</v>
      </c>
      <c r="D5381" t="s">
        <v>1585</v>
      </c>
      <c r="E5381">
        <v>151.62</v>
      </c>
    </row>
    <row r="5382" spans="2:5">
      <c r="B5382" s="17">
        <v>42492</v>
      </c>
      <c r="D5382" t="s">
        <v>1585</v>
      </c>
      <c r="E5382">
        <v>30.8</v>
      </c>
    </row>
    <row r="5383" spans="2:5">
      <c r="B5383" s="17">
        <v>42492</v>
      </c>
      <c r="D5383" t="s">
        <v>1585</v>
      </c>
      <c r="E5383">
        <v>95.76</v>
      </c>
    </row>
    <row r="5384" spans="2:5">
      <c r="B5384" s="17">
        <v>42492</v>
      </c>
      <c r="D5384" t="s">
        <v>1067</v>
      </c>
      <c r="E5384">
        <v>16.768000000000001</v>
      </c>
    </row>
    <row r="5385" spans="2:5">
      <c r="B5385" s="17">
        <v>42492</v>
      </c>
      <c r="D5385" t="s">
        <v>1067</v>
      </c>
      <c r="E5385">
        <v>154.24</v>
      </c>
    </row>
    <row r="5386" spans="2:5">
      <c r="B5386" s="17">
        <v>42492</v>
      </c>
      <c r="D5386" t="s">
        <v>1067</v>
      </c>
      <c r="E5386">
        <v>44.856000000000009</v>
      </c>
    </row>
    <row r="5387" spans="2:5">
      <c r="B5387" s="17">
        <v>42492</v>
      </c>
      <c r="D5387" t="s">
        <v>1067</v>
      </c>
      <c r="E5387">
        <v>408.00599999999997</v>
      </c>
    </row>
    <row r="5388" spans="2:5">
      <c r="B5388" s="17">
        <v>42492</v>
      </c>
      <c r="D5388" t="s">
        <v>1067</v>
      </c>
      <c r="E5388">
        <v>165.28</v>
      </c>
    </row>
    <row r="5389" spans="2:5">
      <c r="B5389" s="17">
        <v>42492</v>
      </c>
      <c r="D5389" t="s">
        <v>1067</v>
      </c>
      <c r="E5389">
        <v>863.6400000000001</v>
      </c>
    </row>
    <row r="5390" spans="2:5">
      <c r="B5390" s="17">
        <v>42491</v>
      </c>
      <c r="D5390" t="s">
        <v>1067</v>
      </c>
      <c r="E5390">
        <v>47.616</v>
      </c>
    </row>
    <row r="5391" spans="2:5">
      <c r="B5391" s="17">
        <v>42491</v>
      </c>
      <c r="D5391" t="s">
        <v>831</v>
      </c>
      <c r="E5391">
        <v>19.968000000000004</v>
      </c>
    </row>
    <row r="5392" spans="2:5">
      <c r="B5392" s="17">
        <v>42491</v>
      </c>
      <c r="D5392" t="s">
        <v>831</v>
      </c>
      <c r="E5392">
        <v>33.488000000000007</v>
      </c>
    </row>
    <row r="5393" spans="2:5">
      <c r="B5393" s="17">
        <v>42491</v>
      </c>
      <c r="D5393" t="s">
        <v>831</v>
      </c>
      <c r="E5393">
        <v>8.7360000000000024</v>
      </c>
    </row>
    <row r="5394" spans="2:5">
      <c r="B5394" s="17">
        <v>42491</v>
      </c>
      <c r="D5394" t="s">
        <v>831</v>
      </c>
      <c r="E5394">
        <v>662.88</v>
      </c>
    </row>
    <row r="5395" spans="2:5">
      <c r="B5395" s="17">
        <v>42491</v>
      </c>
      <c r="D5395" t="s">
        <v>831</v>
      </c>
      <c r="E5395">
        <v>107.98399999999999</v>
      </c>
    </row>
    <row r="5396" spans="2:5">
      <c r="B5396" s="17">
        <v>42490</v>
      </c>
      <c r="D5396" t="s">
        <v>831</v>
      </c>
      <c r="E5396">
        <v>19.295999999999999</v>
      </c>
    </row>
    <row r="5397" spans="2:5">
      <c r="B5397" s="17">
        <v>42490</v>
      </c>
      <c r="D5397" t="s">
        <v>831</v>
      </c>
      <c r="E5397">
        <v>823.96000000000015</v>
      </c>
    </row>
    <row r="5398" spans="2:5">
      <c r="B5398" s="17">
        <v>42490</v>
      </c>
      <c r="D5398" t="s">
        <v>831</v>
      </c>
      <c r="E5398">
        <v>15.984000000000002</v>
      </c>
    </row>
    <row r="5399" spans="2:5">
      <c r="B5399" s="17">
        <v>42488</v>
      </c>
      <c r="D5399" t="s">
        <v>831</v>
      </c>
      <c r="E5399">
        <v>12.96</v>
      </c>
    </row>
    <row r="5400" spans="2:5">
      <c r="B5400" s="17">
        <v>42488</v>
      </c>
      <c r="D5400" t="s">
        <v>831</v>
      </c>
      <c r="E5400">
        <v>45.584000000000003</v>
      </c>
    </row>
    <row r="5401" spans="2:5">
      <c r="B5401" s="17">
        <v>42488</v>
      </c>
      <c r="D5401" t="s">
        <v>831</v>
      </c>
      <c r="E5401">
        <v>60.288000000000004</v>
      </c>
    </row>
    <row r="5402" spans="2:5">
      <c r="B5402" s="17">
        <v>42488</v>
      </c>
      <c r="D5402" t="s">
        <v>831</v>
      </c>
      <c r="E5402">
        <v>2.6320000000000001</v>
      </c>
    </row>
    <row r="5403" spans="2:5">
      <c r="B5403" s="17">
        <v>42488</v>
      </c>
      <c r="D5403" t="s">
        <v>92</v>
      </c>
      <c r="E5403">
        <v>23.688000000000002</v>
      </c>
    </row>
    <row r="5404" spans="2:5">
      <c r="B5404" s="17">
        <v>42486</v>
      </c>
      <c r="D5404" t="s">
        <v>92</v>
      </c>
      <c r="E5404">
        <v>2799.9600000000005</v>
      </c>
    </row>
    <row r="5405" spans="2:5">
      <c r="B5405" s="17">
        <v>42485</v>
      </c>
      <c r="D5405" t="s">
        <v>92</v>
      </c>
      <c r="E5405">
        <v>48.94</v>
      </c>
    </row>
    <row r="5406" spans="2:5">
      <c r="B5406" s="17">
        <v>42485</v>
      </c>
      <c r="D5406" t="s">
        <v>92</v>
      </c>
      <c r="E5406">
        <v>10.08</v>
      </c>
    </row>
    <row r="5407" spans="2:5">
      <c r="B5407" s="17">
        <v>42485</v>
      </c>
      <c r="D5407" t="s">
        <v>92</v>
      </c>
      <c r="E5407">
        <v>59.993999999999993</v>
      </c>
    </row>
    <row r="5408" spans="2:5">
      <c r="B5408" s="17">
        <v>42484</v>
      </c>
      <c r="D5408" t="s">
        <v>474</v>
      </c>
      <c r="E5408">
        <v>5.7150000000000016</v>
      </c>
    </row>
    <row r="5409" spans="2:5">
      <c r="B5409" s="17">
        <v>42484</v>
      </c>
      <c r="D5409" t="s">
        <v>474</v>
      </c>
      <c r="E5409">
        <v>9.4200000000000017</v>
      </c>
    </row>
    <row r="5410" spans="2:5">
      <c r="B5410" s="17">
        <v>42484</v>
      </c>
      <c r="D5410" t="s">
        <v>474</v>
      </c>
      <c r="E5410">
        <v>12.96</v>
      </c>
    </row>
    <row r="5411" spans="2:5">
      <c r="B5411" s="17">
        <v>42484</v>
      </c>
      <c r="D5411" t="s">
        <v>474</v>
      </c>
      <c r="E5411">
        <v>45.98</v>
      </c>
    </row>
    <row r="5412" spans="2:5">
      <c r="B5412" s="17">
        <v>42484</v>
      </c>
      <c r="D5412" t="s">
        <v>319</v>
      </c>
      <c r="E5412">
        <v>25.4</v>
      </c>
    </row>
    <row r="5413" spans="2:5">
      <c r="B5413" s="17">
        <v>42483</v>
      </c>
      <c r="D5413" t="s">
        <v>319</v>
      </c>
      <c r="E5413">
        <v>43.96</v>
      </c>
    </row>
    <row r="5414" spans="2:5">
      <c r="B5414" s="17">
        <v>42483</v>
      </c>
      <c r="D5414" t="s">
        <v>319</v>
      </c>
      <c r="E5414">
        <v>1279.165</v>
      </c>
    </row>
    <row r="5415" spans="2:5">
      <c r="B5415" s="17">
        <v>42483</v>
      </c>
      <c r="D5415" t="s">
        <v>319</v>
      </c>
      <c r="E5415">
        <v>27.92</v>
      </c>
    </row>
    <row r="5416" spans="2:5">
      <c r="B5416" s="17">
        <v>42483</v>
      </c>
      <c r="D5416" t="s">
        <v>879</v>
      </c>
      <c r="E5416">
        <v>25.4</v>
      </c>
    </row>
    <row r="5417" spans="2:5">
      <c r="B5417" s="17">
        <v>42483</v>
      </c>
      <c r="D5417" t="s">
        <v>879</v>
      </c>
      <c r="E5417">
        <v>177.48000000000002</v>
      </c>
    </row>
    <row r="5418" spans="2:5">
      <c r="B5418" s="17">
        <v>42483</v>
      </c>
      <c r="D5418" t="s">
        <v>879</v>
      </c>
      <c r="E5418">
        <v>71.975999999999999</v>
      </c>
    </row>
    <row r="5419" spans="2:5">
      <c r="B5419" s="17">
        <v>42483</v>
      </c>
      <c r="D5419" t="s">
        <v>879</v>
      </c>
      <c r="E5419">
        <v>12.96</v>
      </c>
    </row>
    <row r="5420" spans="2:5">
      <c r="B5420" s="17">
        <v>42483</v>
      </c>
      <c r="D5420" t="s">
        <v>879</v>
      </c>
      <c r="E5420">
        <v>3.96</v>
      </c>
    </row>
    <row r="5421" spans="2:5">
      <c r="B5421" s="17">
        <v>42482</v>
      </c>
      <c r="D5421" t="s">
        <v>879</v>
      </c>
      <c r="E5421">
        <v>706.86</v>
      </c>
    </row>
    <row r="5422" spans="2:5">
      <c r="B5422" s="17">
        <v>42482</v>
      </c>
      <c r="D5422" t="s">
        <v>879</v>
      </c>
      <c r="E5422">
        <v>123.92000000000002</v>
      </c>
    </row>
    <row r="5423" spans="2:5">
      <c r="B5423" s="17">
        <v>42482</v>
      </c>
      <c r="D5423" t="s">
        <v>879</v>
      </c>
      <c r="E5423">
        <v>195.184</v>
      </c>
    </row>
    <row r="5424" spans="2:5">
      <c r="B5424" s="17">
        <v>42482</v>
      </c>
      <c r="D5424" t="s">
        <v>879</v>
      </c>
      <c r="E5424">
        <v>7.7</v>
      </c>
    </row>
    <row r="5425" spans="2:5">
      <c r="B5425" s="17">
        <v>42482</v>
      </c>
      <c r="D5425" t="s">
        <v>879</v>
      </c>
      <c r="E5425">
        <v>528.42999999999995</v>
      </c>
    </row>
    <row r="5426" spans="2:5">
      <c r="B5426" s="17">
        <v>42482</v>
      </c>
      <c r="D5426" t="s">
        <v>1089</v>
      </c>
      <c r="E5426">
        <v>41.472000000000008</v>
      </c>
    </row>
    <row r="5427" spans="2:5">
      <c r="B5427" s="17">
        <v>42482</v>
      </c>
      <c r="D5427" t="s">
        <v>1089</v>
      </c>
      <c r="E5427">
        <v>14.2</v>
      </c>
    </row>
    <row r="5428" spans="2:5">
      <c r="B5428" s="17">
        <v>42482</v>
      </c>
      <c r="D5428" t="s">
        <v>1089</v>
      </c>
      <c r="E5428">
        <v>12.96</v>
      </c>
    </row>
    <row r="5429" spans="2:5">
      <c r="B5429" s="17">
        <v>42482</v>
      </c>
      <c r="D5429" t="s">
        <v>1089</v>
      </c>
      <c r="E5429">
        <v>58.34</v>
      </c>
    </row>
    <row r="5430" spans="2:5">
      <c r="B5430" s="17">
        <v>42482</v>
      </c>
      <c r="D5430" t="s">
        <v>1089</v>
      </c>
      <c r="E5430">
        <v>1499.95</v>
      </c>
    </row>
    <row r="5431" spans="2:5">
      <c r="B5431" s="17">
        <v>42481</v>
      </c>
      <c r="D5431" t="s">
        <v>1089</v>
      </c>
      <c r="E5431">
        <v>30.53</v>
      </c>
    </row>
    <row r="5432" spans="2:5">
      <c r="B5432" s="17">
        <v>42481</v>
      </c>
      <c r="D5432" t="s">
        <v>1458</v>
      </c>
      <c r="E5432">
        <v>30.839999999999996</v>
      </c>
    </row>
    <row r="5433" spans="2:5">
      <c r="B5433" s="17">
        <v>42481</v>
      </c>
      <c r="D5433" t="s">
        <v>1458</v>
      </c>
      <c r="E5433">
        <v>75.06</v>
      </c>
    </row>
    <row r="5434" spans="2:5">
      <c r="B5434" s="17">
        <v>42481</v>
      </c>
      <c r="D5434" t="s">
        <v>1458</v>
      </c>
      <c r="E5434">
        <v>2.4960000000000004</v>
      </c>
    </row>
    <row r="5435" spans="2:5">
      <c r="B5435" s="17">
        <v>42481</v>
      </c>
      <c r="D5435" t="s">
        <v>1458</v>
      </c>
      <c r="E5435">
        <v>35.97</v>
      </c>
    </row>
    <row r="5436" spans="2:5">
      <c r="B5436" s="17">
        <v>42481</v>
      </c>
      <c r="D5436" t="s">
        <v>1458</v>
      </c>
      <c r="E5436">
        <v>1266.8599999999999</v>
      </c>
    </row>
    <row r="5437" spans="2:5">
      <c r="B5437" s="17">
        <v>42479</v>
      </c>
      <c r="D5437" t="s">
        <v>1458</v>
      </c>
      <c r="E5437">
        <v>50.120000000000005</v>
      </c>
    </row>
    <row r="5438" spans="2:5">
      <c r="B5438" s="17">
        <v>42479</v>
      </c>
      <c r="D5438" t="s">
        <v>1458</v>
      </c>
      <c r="E5438">
        <v>191.88</v>
      </c>
    </row>
    <row r="5439" spans="2:5">
      <c r="B5439" s="17">
        <v>42479</v>
      </c>
      <c r="D5439" t="s">
        <v>1458</v>
      </c>
      <c r="E5439">
        <v>359.97600000000006</v>
      </c>
    </row>
    <row r="5440" spans="2:5">
      <c r="B5440" s="17">
        <v>42479</v>
      </c>
      <c r="D5440" t="s">
        <v>1544</v>
      </c>
      <c r="E5440">
        <v>7.7520000000000007</v>
      </c>
    </row>
    <row r="5441" spans="2:5">
      <c r="B5441" s="17">
        <v>42479</v>
      </c>
      <c r="D5441" t="s">
        <v>1544</v>
      </c>
      <c r="E5441">
        <v>33.568000000000005</v>
      </c>
    </row>
    <row r="5442" spans="2:5">
      <c r="B5442" s="17">
        <v>42479</v>
      </c>
      <c r="D5442" t="s">
        <v>1544</v>
      </c>
      <c r="E5442">
        <v>121.96</v>
      </c>
    </row>
    <row r="5443" spans="2:5">
      <c r="B5443" s="17">
        <v>42479</v>
      </c>
      <c r="D5443" t="s">
        <v>1544</v>
      </c>
      <c r="E5443">
        <v>8.74</v>
      </c>
    </row>
    <row r="5444" spans="2:5">
      <c r="B5444" s="17">
        <v>42479</v>
      </c>
      <c r="D5444" t="s">
        <v>1544</v>
      </c>
      <c r="E5444">
        <v>61.96</v>
      </c>
    </row>
    <row r="5445" spans="2:5">
      <c r="B5445" s="17">
        <v>42479</v>
      </c>
      <c r="D5445" t="s">
        <v>1544</v>
      </c>
      <c r="E5445">
        <v>7.96</v>
      </c>
    </row>
    <row r="5446" spans="2:5">
      <c r="B5446" s="17">
        <v>42479</v>
      </c>
      <c r="D5446" t="s">
        <v>832</v>
      </c>
      <c r="E5446">
        <v>37.463999999999999</v>
      </c>
    </row>
    <row r="5447" spans="2:5">
      <c r="B5447" s="17">
        <v>42479</v>
      </c>
      <c r="D5447" t="s">
        <v>832</v>
      </c>
      <c r="E5447">
        <v>539.65800000000002</v>
      </c>
    </row>
    <row r="5448" spans="2:5">
      <c r="B5448" s="17">
        <v>42479</v>
      </c>
      <c r="D5448" t="s">
        <v>832</v>
      </c>
      <c r="E5448">
        <v>14.7</v>
      </c>
    </row>
    <row r="5449" spans="2:5">
      <c r="B5449" s="17">
        <v>42479</v>
      </c>
      <c r="D5449" t="s">
        <v>832</v>
      </c>
      <c r="E5449">
        <v>704.25</v>
      </c>
    </row>
    <row r="5450" spans="2:5">
      <c r="B5450" s="17">
        <v>42479</v>
      </c>
      <c r="D5450" t="s">
        <v>832</v>
      </c>
      <c r="E5450">
        <v>14.9</v>
      </c>
    </row>
    <row r="5451" spans="2:5">
      <c r="B5451" s="17">
        <v>42479</v>
      </c>
      <c r="D5451" t="s">
        <v>1533</v>
      </c>
      <c r="E5451">
        <v>13.616</v>
      </c>
    </row>
    <row r="5452" spans="2:5">
      <c r="B5452" s="17">
        <v>42478</v>
      </c>
      <c r="D5452" t="s">
        <v>1533</v>
      </c>
      <c r="E5452">
        <v>22.14</v>
      </c>
    </row>
    <row r="5453" spans="2:5">
      <c r="B5453" s="17">
        <v>42478</v>
      </c>
      <c r="D5453" t="s">
        <v>1533</v>
      </c>
      <c r="E5453">
        <v>5.3040000000000003</v>
      </c>
    </row>
    <row r="5454" spans="2:5">
      <c r="B5454" s="17">
        <v>42478</v>
      </c>
      <c r="D5454" t="s">
        <v>1533</v>
      </c>
      <c r="E5454">
        <v>368.91</v>
      </c>
    </row>
    <row r="5455" spans="2:5">
      <c r="B5455" s="17">
        <v>42478</v>
      </c>
      <c r="D5455" t="s">
        <v>1533</v>
      </c>
      <c r="E5455">
        <v>8.02</v>
      </c>
    </row>
    <row r="5456" spans="2:5">
      <c r="B5456" s="17">
        <v>42478</v>
      </c>
      <c r="D5456" t="s">
        <v>1533</v>
      </c>
      <c r="E5456">
        <v>171.04</v>
      </c>
    </row>
    <row r="5457" spans="2:5">
      <c r="B5457" s="17">
        <v>42478</v>
      </c>
      <c r="D5457" t="s">
        <v>1533</v>
      </c>
      <c r="E5457">
        <v>17.899999999999999</v>
      </c>
    </row>
    <row r="5458" spans="2:5">
      <c r="B5458" s="17">
        <v>42478</v>
      </c>
      <c r="D5458" t="s">
        <v>91</v>
      </c>
      <c r="E5458">
        <v>12.48</v>
      </c>
    </row>
    <row r="5459" spans="2:5">
      <c r="B5459" s="17">
        <v>42478</v>
      </c>
      <c r="D5459" t="s">
        <v>91</v>
      </c>
      <c r="E5459">
        <v>20.97</v>
      </c>
    </row>
    <row r="5460" spans="2:5">
      <c r="B5460" s="17">
        <v>42478</v>
      </c>
      <c r="D5460" t="s">
        <v>91</v>
      </c>
      <c r="E5460">
        <v>139.96</v>
      </c>
    </row>
    <row r="5461" spans="2:5">
      <c r="B5461" s="17">
        <v>42477</v>
      </c>
      <c r="D5461" t="s">
        <v>91</v>
      </c>
      <c r="E5461">
        <v>37.74</v>
      </c>
    </row>
    <row r="5462" spans="2:5">
      <c r="B5462" s="17">
        <v>42477</v>
      </c>
      <c r="D5462" t="s">
        <v>91</v>
      </c>
      <c r="E5462">
        <v>135.94999999999999</v>
      </c>
    </row>
    <row r="5463" spans="2:5">
      <c r="B5463" s="17">
        <v>42477</v>
      </c>
      <c r="D5463" t="s">
        <v>1537</v>
      </c>
      <c r="E5463">
        <v>422.05799999999994</v>
      </c>
    </row>
    <row r="5464" spans="2:5">
      <c r="B5464" s="17">
        <v>42477</v>
      </c>
      <c r="D5464" t="s">
        <v>1537</v>
      </c>
      <c r="E5464">
        <v>38.088000000000001</v>
      </c>
    </row>
    <row r="5465" spans="2:5">
      <c r="B5465" s="17">
        <v>42477</v>
      </c>
      <c r="D5465" t="s">
        <v>1537</v>
      </c>
      <c r="E5465">
        <v>60.81</v>
      </c>
    </row>
    <row r="5466" spans="2:5">
      <c r="B5466" s="17">
        <v>42476</v>
      </c>
      <c r="D5466" t="s">
        <v>1537</v>
      </c>
      <c r="E5466">
        <v>85.245999999999995</v>
      </c>
    </row>
    <row r="5467" spans="2:5">
      <c r="B5467" s="17">
        <v>42476</v>
      </c>
      <c r="D5467" t="s">
        <v>304</v>
      </c>
      <c r="E5467">
        <v>32.712000000000003</v>
      </c>
    </row>
    <row r="5468" spans="2:5">
      <c r="B5468" s="17">
        <v>42476</v>
      </c>
      <c r="D5468" t="s">
        <v>304</v>
      </c>
      <c r="E5468">
        <v>38.24</v>
      </c>
    </row>
    <row r="5469" spans="2:5">
      <c r="B5469" s="17">
        <v>42476</v>
      </c>
      <c r="D5469" t="s">
        <v>304</v>
      </c>
      <c r="E5469">
        <v>440.91</v>
      </c>
    </row>
    <row r="5470" spans="2:5">
      <c r="B5470" s="17">
        <v>42476</v>
      </c>
      <c r="D5470" t="s">
        <v>1069</v>
      </c>
      <c r="E5470">
        <v>8.711999999999998</v>
      </c>
    </row>
    <row r="5471" spans="2:5">
      <c r="B5471" s="17">
        <v>42476</v>
      </c>
      <c r="D5471" t="s">
        <v>1069</v>
      </c>
      <c r="E5471">
        <v>4476.8</v>
      </c>
    </row>
    <row r="5472" spans="2:5">
      <c r="B5472" s="17">
        <v>42476</v>
      </c>
      <c r="D5472" t="s">
        <v>1069</v>
      </c>
      <c r="E5472">
        <v>104.85</v>
      </c>
    </row>
    <row r="5473" spans="2:5">
      <c r="B5473" s="17">
        <v>42475</v>
      </c>
      <c r="D5473" t="s">
        <v>818</v>
      </c>
      <c r="E5473">
        <v>122.12</v>
      </c>
    </row>
    <row r="5474" spans="2:5">
      <c r="B5474" s="17">
        <v>42475</v>
      </c>
      <c r="D5474" t="s">
        <v>818</v>
      </c>
      <c r="E5474">
        <v>18.45</v>
      </c>
    </row>
    <row r="5475" spans="2:5">
      <c r="B5475" s="17">
        <v>42475</v>
      </c>
      <c r="D5475" t="s">
        <v>818</v>
      </c>
      <c r="E5475">
        <v>146.72999999999999</v>
      </c>
    </row>
    <row r="5476" spans="2:5">
      <c r="B5476" s="17">
        <v>42475</v>
      </c>
      <c r="D5476" t="s">
        <v>818</v>
      </c>
      <c r="E5476">
        <v>3.96</v>
      </c>
    </row>
    <row r="5477" spans="2:5">
      <c r="B5477" s="17">
        <v>42475</v>
      </c>
      <c r="D5477" t="s">
        <v>818</v>
      </c>
      <c r="E5477">
        <v>835.17000000000007</v>
      </c>
    </row>
    <row r="5478" spans="2:5">
      <c r="B5478" s="17">
        <v>42475</v>
      </c>
      <c r="D5478" t="s">
        <v>818</v>
      </c>
      <c r="E5478">
        <v>93.68</v>
      </c>
    </row>
    <row r="5479" spans="2:5">
      <c r="B5479" s="17">
        <v>42475</v>
      </c>
      <c r="D5479" t="s">
        <v>818</v>
      </c>
      <c r="E5479">
        <v>21.93</v>
      </c>
    </row>
    <row r="5480" spans="2:5">
      <c r="B5480" s="17">
        <v>42475</v>
      </c>
      <c r="D5480" t="s">
        <v>818</v>
      </c>
      <c r="E5480">
        <v>862.34400000000005</v>
      </c>
    </row>
    <row r="5481" spans="2:5">
      <c r="B5481" s="17">
        <v>42474</v>
      </c>
      <c r="D5481" t="s">
        <v>1593</v>
      </c>
      <c r="E5481">
        <v>19.98</v>
      </c>
    </row>
    <row r="5482" spans="2:5">
      <c r="B5482" s="17">
        <v>42474</v>
      </c>
      <c r="D5482" t="s">
        <v>1593</v>
      </c>
      <c r="E5482">
        <v>25.83</v>
      </c>
    </row>
    <row r="5483" spans="2:5">
      <c r="B5483" s="17">
        <v>42474</v>
      </c>
      <c r="D5483" t="s">
        <v>1593</v>
      </c>
      <c r="E5483">
        <v>36.56</v>
      </c>
    </row>
    <row r="5484" spans="2:5">
      <c r="B5484" s="17">
        <v>42474</v>
      </c>
      <c r="D5484" t="s">
        <v>1593</v>
      </c>
      <c r="E5484">
        <v>186.14400000000001</v>
      </c>
    </row>
    <row r="5485" spans="2:5">
      <c r="B5485" s="17">
        <v>42474</v>
      </c>
      <c r="D5485" t="s">
        <v>1593</v>
      </c>
      <c r="E5485">
        <v>353.56799999999998</v>
      </c>
    </row>
    <row r="5486" spans="2:5">
      <c r="B5486" s="17">
        <v>42473</v>
      </c>
      <c r="D5486" t="s">
        <v>1583</v>
      </c>
      <c r="E5486">
        <v>0.83599999999999974</v>
      </c>
    </row>
    <row r="5487" spans="2:5">
      <c r="B5487" s="17">
        <v>42472</v>
      </c>
      <c r="D5487" t="s">
        <v>1583</v>
      </c>
      <c r="E5487">
        <v>45</v>
      </c>
    </row>
    <row r="5488" spans="2:5">
      <c r="B5488" s="17">
        <v>42472</v>
      </c>
      <c r="D5488" t="s">
        <v>1583</v>
      </c>
      <c r="E5488">
        <v>21.8</v>
      </c>
    </row>
    <row r="5489" spans="2:5">
      <c r="B5489" s="17">
        <v>42472</v>
      </c>
      <c r="D5489" t="s">
        <v>1583</v>
      </c>
      <c r="E5489">
        <v>5.16</v>
      </c>
    </row>
    <row r="5490" spans="2:5">
      <c r="B5490" s="17">
        <v>42472</v>
      </c>
      <c r="D5490" t="s">
        <v>1583</v>
      </c>
      <c r="E5490">
        <v>38.880000000000003</v>
      </c>
    </row>
    <row r="5491" spans="2:5">
      <c r="B5491" s="17">
        <v>42472</v>
      </c>
      <c r="D5491" t="s">
        <v>751</v>
      </c>
      <c r="E5491">
        <v>45.056000000000004</v>
      </c>
    </row>
    <row r="5492" spans="2:5">
      <c r="B5492" s="17">
        <v>42472</v>
      </c>
      <c r="D5492" t="s">
        <v>751</v>
      </c>
      <c r="E5492">
        <v>29.718000000000007</v>
      </c>
    </row>
    <row r="5493" spans="2:5">
      <c r="B5493" s="17">
        <v>42472</v>
      </c>
      <c r="D5493" t="s">
        <v>751</v>
      </c>
      <c r="E5493">
        <v>15.552000000000003</v>
      </c>
    </row>
    <row r="5494" spans="2:5">
      <c r="B5494" s="17">
        <v>42472</v>
      </c>
      <c r="D5494" t="s">
        <v>751</v>
      </c>
      <c r="E5494">
        <v>447.69600000000003</v>
      </c>
    </row>
    <row r="5495" spans="2:5">
      <c r="B5495" s="17">
        <v>42472</v>
      </c>
      <c r="D5495" t="s">
        <v>751</v>
      </c>
      <c r="E5495">
        <v>46.76</v>
      </c>
    </row>
    <row r="5496" spans="2:5">
      <c r="B5496" s="17">
        <v>42472</v>
      </c>
      <c r="D5496" t="s">
        <v>751</v>
      </c>
      <c r="E5496">
        <v>17.712</v>
      </c>
    </row>
    <row r="5497" spans="2:5">
      <c r="B5497" s="17">
        <v>42472</v>
      </c>
      <c r="D5497" t="s">
        <v>751</v>
      </c>
      <c r="E5497">
        <v>21.78</v>
      </c>
    </row>
    <row r="5498" spans="2:5">
      <c r="B5498" s="17">
        <v>42470</v>
      </c>
      <c r="D5498" t="s">
        <v>751</v>
      </c>
      <c r="E5498">
        <v>161.94</v>
      </c>
    </row>
    <row r="5499" spans="2:5">
      <c r="B5499" s="17">
        <v>42470</v>
      </c>
      <c r="D5499" t="s">
        <v>87</v>
      </c>
      <c r="E5499">
        <v>161.56800000000001</v>
      </c>
    </row>
    <row r="5500" spans="2:5">
      <c r="B5500" s="17">
        <v>42470</v>
      </c>
      <c r="D5500" t="s">
        <v>87</v>
      </c>
      <c r="E5500">
        <v>95.968000000000004</v>
      </c>
    </row>
    <row r="5501" spans="2:5">
      <c r="B5501" s="17">
        <v>42470</v>
      </c>
      <c r="D5501" t="s">
        <v>87</v>
      </c>
      <c r="E5501">
        <v>10.368000000000002</v>
      </c>
    </row>
    <row r="5502" spans="2:5">
      <c r="B5502" s="17">
        <v>42470</v>
      </c>
      <c r="D5502" t="s">
        <v>1169</v>
      </c>
      <c r="E5502">
        <v>6.9</v>
      </c>
    </row>
    <row r="5503" spans="2:5">
      <c r="B5503" s="17">
        <v>42470</v>
      </c>
      <c r="D5503" t="s">
        <v>1169</v>
      </c>
      <c r="E5503">
        <v>57.69</v>
      </c>
    </row>
    <row r="5504" spans="2:5">
      <c r="B5504" s="17">
        <v>42470</v>
      </c>
      <c r="D5504" t="s">
        <v>1169</v>
      </c>
      <c r="E5504">
        <v>17.12</v>
      </c>
    </row>
    <row r="5505" spans="2:5">
      <c r="B5505" s="17">
        <v>42470</v>
      </c>
      <c r="D5505" t="s">
        <v>1169</v>
      </c>
      <c r="E5505">
        <v>76.864000000000004</v>
      </c>
    </row>
    <row r="5506" spans="2:5">
      <c r="B5506" s="17">
        <v>42469</v>
      </c>
      <c r="D5506" t="s">
        <v>1169</v>
      </c>
      <c r="E5506">
        <v>6.8480000000000008</v>
      </c>
    </row>
    <row r="5507" spans="2:5">
      <c r="B5507" s="17">
        <v>42469</v>
      </c>
      <c r="D5507" t="s">
        <v>1169</v>
      </c>
      <c r="E5507">
        <v>4.6260000000000003</v>
      </c>
    </row>
    <row r="5508" spans="2:5">
      <c r="B5508" s="17">
        <v>42469</v>
      </c>
      <c r="D5508" t="s">
        <v>1169</v>
      </c>
      <c r="E5508">
        <v>453.6</v>
      </c>
    </row>
    <row r="5509" spans="2:5">
      <c r="B5509" s="17">
        <v>42469</v>
      </c>
      <c r="D5509" t="s">
        <v>405</v>
      </c>
      <c r="E5509">
        <v>32.400000000000006</v>
      </c>
    </row>
    <row r="5510" spans="2:5">
      <c r="B5510" s="17">
        <v>42468</v>
      </c>
      <c r="D5510" t="s">
        <v>405</v>
      </c>
      <c r="E5510">
        <v>14.56</v>
      </c>
    </row>
    <row r="5511" spans="2:5">
      <c r="B5511" s="17">
        <v>42468</v>
      </c>
      <c r="D5511" t="s">
        <v>405</v>
      </c>
      <c r="E5511">
        <v>30</v>
      </c>
    </row>
    <row r="5512" spans="2:5">
      <c r="B5512" s="17">
        <v>42468</v>
      </c>
      <c r="D5512" t="s">
        <v>405</v>
      </c>
      <c r="E5512">
        <v>48.480000000000004</v>
      </c>
    </row>
    <row r="5513" spans="2:5">
      <c r="B5513" s="17">
        <v>42468</v>
      </c>
      <c r="D5513" t="s">
        <v>643</v>
      </c>
      <c r="E5513">
        <v>1.68</v>
      </c>
    </row>
    <row r="5514" spans="2:5">
      <c r="B5514" s="17">
        <v>42468</v>
      </c>
      <c r="D5514" t="s">
        <v>643</v>
      </c>
      <c r="E5514">
        <v>111.96</v>
      </c>
    </row>
    <row r="5515" spans="2:5">
      <c r="B5515" s="17">
        <v>42468</v>
      </c>
      <c r="D5515" t="s">
        <v>643</v>
      </c>
      <c r="E5515">
        <v>40.74</v>
      </c>
    </row>
    <row r="5516" spans="2:5">
      <c r="B5516" s="17">
        <v>42468</v>
      </c>
      <c r="D5516" t="s">
        <v>643</v>
      </c>
      <c r="E5516">
        <v>22.5</v>
      </c>
    </row>
    <row r="5517" spans="2:5">
      <c r="B5517" s="17">
        <v>42468</v>
      </c>
      <c r="D5517" t="s">
        <v>1158</v>
      </c>
      <c r="E5517">
        <v>483.13599999999997</v>
      </c>
    </row>
    <row r="5518" spans="2:5">
      <c r="B5518" s="17">
        <v>42468</v>
      </c>
      <c r="D5518" t="s">
        <v>99</v>
      </c>
      <c r="E5518">
        <v>7.96</v>
      </c>
    </row>
    <row r="5519" spans="2:5">
      <c r="B5519" s="17">
        <v>42468</v>
      </c>
      <c r="D5519" t="s">
        <v>99</v>
      </c>
      <c r="E5519">
        <v>566.97</v>
      </c>
    </row>
    <row r="5520" spans="2:5">
      <c r="B5520" s="17">
        <v>42468</v>
      </c>
      <c r="D5520" t="s">
        <v>99</v>
      </c>
      <c r="E5520">
        <v>9.84</v>
      </c>
    </row>
    <row r="5521" spans="2:5">
      <c r="B5521" s="17">
        <v>42468</v>
      </c>
      <c r="D5521" t="s">
        <v>301</v>
      </c>
      <c r="E5521">
        <v>376.86599999999999</v>
      </c>
    </row>
    <row r="5522" spans="2:5">
      <c r="B5522" s="17">
        <v>42468</v>
      </c>
      <c r="D5522" t="s">
        <v>301</v>
      </c>
      <c r="E5522">
        <v>46.349999999999994</v>
      </c>
    </row>
    <row r="5523" spans="2:5">
      <c r="B5523" s="17">
        <v>42468</v>
      </c>
      <c r="D5523" t="s">
        <v>301</v>
      </c>
      <c r="E5523">
        <v>91.474999999999994</v>
      </c>
    </row>
    <row r="5524" spans="2:5">
      <c r="B5524" s="17">
        <v>42468</v>
      </c>
      <c r="D5524" t="s">
        <v>301</v>
      </c>
      <c r="E5524">
        <v>9.4499999999999993</v>
      </c>
    </row>
    <row r="5525" spans="2:5">
      <c r="B5525" s="17">
        <v>42468</v>
      </c>
      <c r="D5525" t="s">
        <v>1542</v>
      </c>
      <c r="E5525">
        <v>173.48800000000003</v>
      </c>
    </row>
    <row r="5526" spans="2:5">
      <c r="B5526" s="17">
        <v>42468</v>
      </c>
      <c r="D5526" t="s">
        <v>1542</v>
      </c>
      <c r="E5526">
        <v>7.04</v>
      </c>
    </row>
    <row r="5527" spans="2:5">
      <c r="B5527" s="17">
        <v>42468</v>
      </c>
      <c r="D5527" t="s">
        <v>1542</v>
      </c>
      <c r="E5527">
        <v>8.73</v>
      </c>
    </row>
    <row r="5528" spans="2:5">
      <c r="B5528" s="17">
        <v>42467</v>
      </c>
      <c r="D5528" t="s">
        <v>798</v>
      </c>
      <c r="E5528">
        <v>29.29</v>
      </c>
    </row>
    <row r="5529" spans="2:5">
      <c r="B5529" s="17">
        <v>42467</v>
      </c>
      <c r="D5529" t="s">
        <v>798</v>
      </c>
      <c r="E5529">
        <v>8.64</v>
      </c>
    </row>
    <row r="5530" spans="2:5">
      <c r="B5530" s="17">
        <v>42467</v>
      </c>
      <c r="D5530" t="s">
        <v>798</v>
      </c>
      <c r="E5530">
        <v>599.16499999999996</v>
      </c>
    </row>
    <row r="5531" spans="2:5">
      <c r="B5531" s="17">
        <v>42467</v>
      </c>
      <c r="D5531" t="s">
        <v>798</v>
      </c>
      <c r="E5531">
        <v>1293.4879999999998</v>
      </c>
    </row>
    <row r="5532" spans="2:5">
      <c r="B5532" s="17">
        <v>42467</v>
      </c>
      <c r="D5532" t="s">
        <v>798</v>
      </c>
      <c r="E5532">
        <v>39.936000000000007</v>
      </c>
    </row>
    <row r="5533" spans="2:5">
      <c r="B5533" s="17">
        <v>42467</v>
      </c>
      <c r="D5533" t="s">
        <v>801</v>
      </c>
      <c r="E5533">
        <v>18.463999999999999</v>
      </c>
    </row>
    <row r="5534" spans="2:5">
      <c r="B5534" s="17">
        <v>42466</v>
      </c>
      <c r="D5534" t="s">
        <v>801</v>
      </c>
      <c r="E5534">
        <v>1115.17</v>
      </c>
    </row>
    <row r="5535" spans="2:5">
      <c r="B5535" s="17">
        <v>42465</v>
      </c>
      <c r="D5535" t="s">
        <v>801</v>
      </c>
      <c r="E5535">
        <v>377.96999999999997</v>
      </c>
    </row>
    <row r="5536" spans="2:5">
      <c r="B5536" s="17">
        <v>42465</v>
      </c>
      <c r="D5536" t="s">
        <v>801</v>
      </c>
      <c r="E5536">
        <v>18.899999999999999</v>
      </c>
    </row>
    <row r="5537" spans="2:5">
      <c r="B5537" s="17">
        <v>42465</v>
      </c>
      <c r="D5537" t="s">
        <v>801</v>
      </c>
      <c r="E5537">
        <v>33.568000000000005</v>
      </c>
    </row>
    <row r="5538" spans="2:5">
      <c r="B5538" s="17">
        <v>42464</v>
      </c>
      <c r="D5538" t="s">
        <v>552</v>
      </c>
      <c r="E5538">
        <v>14.62</v>
      </c>
    </row>
    <row r="5539" spans="2:5">
      <c r="B5539" s="17">
        <v>42464</v>
      </c>
      <c r="D5539" t="s">
        <v>552</v>
      </c>
      <c r="E5539">
        <v>16.740000000000002</v>
      </c>
    </row>
    <row r="5540" spans="2:5">
      <c r="B5540" s="17">
        <v>42464</v>
      </c>
      <c r="D5540" t="s">
        <v>552</v>
      </c>
      <c r="E5540">
        <v>47.04</v>
      </c>
    </row>
    <row r="5541" spans="2:5">
      <c r="B5541" s="17">
        <v>42464</v>
      </c>
      <c r="D5541" t="s">
        <v>552</v>
      </c>
      <c r="E5541">
        <v>30.84</v>
      </c>
    </row>
    <row r="5542" spans="2:5">
      <c r="B5542" s="17">
        <v>42464</v>
      </c>
      <c r="D5542" t="s">
        <v>552</v>
      </c>
      <c r="E5542">
        <v>115.02</v>
      </c>
    </row>
    <row r="5543" spans="2:5">
      <c r="B5543" s="17">
        <v>42464</v>
      </c>
      <c r="D5543" t="s">
        <v>552</v>
      </c>
      <c r="E5543">
        <v>68.040000000000006</v>
      </c>
    </row>
    <row r="5544" spans="2:5">
      <c r="B5544" s="17">
        <v>42463</v>
      </c>
      <c r="D5544" t="s">
        <v>1704</v>
      </c>
      <c r="E5544">
        <v>1007.979</v>
      </c>
    </row>
    <row r="5545" spans="2:5">
      <c r="B5545" s="17">
        <v>42463</v>
      </c>
      <c r="D5545" t="s">
        <v>1704</v>
      </c>
      <c r="E5545">
        <v>23.120000000000005</v>
      </c>
    </row>
    <row r="5546" spans="2:5">
      <c r="B5546" s="17">
        <v>42463</v>
      </c>
      <c r="D5546" t="s">
        <v>276</v>
      </c>
      <c r="E5546">
        <v>92.94</v>
      </c>
    </row>
    <row r="5547" spans="2:5">
      <c r="B5547" s="17">
        <v>42463</v>
      </c>
      <c r="D5547" t="s">
        <v>276</v>
      </c>
      <c r="E5547">
        <v>52.56</v>
      </c>
    </row>
    <row r="5548" spans="2:5">
      <c r="B5548" s="17">
        <v>42462</v>
      </c>
      <c r="D5548" t="s">
        <v>276</v>
      </c>
      <c r="E5548">
        <v>185.88</v>
      </c>
    </row>
    <row r="5549" spans="2:5">
      <c r="B5549" s="17">
        <v>42461</v>
      </c>
      <c r="D5549" t="s">
        <v>276</v>
      </c>
      <c r="E5549">
        <v>12.96</v>
      </c>
    </row>
    <row r="5550" spans="2:5">
      <c r="B5550" s="17">
        <v>42461</v>
      </c>
      <c r="D5550" t="s">
        <v>276</v>
      </c>
      <c r="E5550">
        <v>64.383999999999986</v>
      </c>
    </row>
    <row r="5551" spans="2:5">
      <c r="B5551" s="17">
        <v>42461</v>
      </c>
      <c r="D5551" t="s">
        <v>276</v>
      </c>
      <c r="E5551">
        <v>6.9840000000000009</v>
      </c>
    </row>
    <row r="5552" spans="2:5">
      <c r="B5552" s="17">
        <v>42461</v>
      </c>
      <c r="D5552" t="s">
        <v>276</v>
      </c>
      <c r="E5552">
        <v>11.264000000000001</v>
      </c>
    </row>
    <row r="5553" spans="2:5">
      <c r="B5553" s="17">
        <v>42461</v>
      </c>
      <c r="D5553" t="s">
        <v>1426</v>
      </c>
      <c r="E5553">
        <v>15.552000000000003</v>
      </c>
    </row>
    <row r="5554" spans="2:5">
      <c r="B5554" s="17">
        <v>42461</v>
      </c>
      <c r="D5554" t="s">
        <v>1426</v>
      </c>
      <c r="E5554">
        <v>379.37200000000001</v>
      </c>
    </row>
    <row r="5555" spans="2:5">
      <c r="B5555" s="17">
        <v>42461</v>
      </c>
      <c r="D5555" t="s">
        <v>1426</v>
      </c>
      <c r="E5555">
        <v>67.536000000000016</v>
      </c>
    </row>
    <row r="5556" spans="2:5">
      <c r="B5556" s="17">
        <v>42461</v>
      </c>
      <c r="D5556" t="s">
        <v>1426</v>
      </c>
      <c r="E5556">
        <v>1.5239999999999996</v>
      </c>
    </row>
    <row r="5557" spans="2:5">
      <c r="B5557" s="17">
        <v>42461</v>
      </c>
      <c r="D5557" t="s">
        <v>1426</v>
      </c>
      <c r="E5557">
        <v>1.3439999999999996</v>
      </c>
    </row>
    <row r="5558" spans="2:5">
      <c r="B5558" s="17">
        <v>42461</v>
      </c>
      <c r="D5558" t="s">
        <v>1183</v>
      </c>
      <c r="E5558">
        <v>8.2719999999999985</v>
      </c>
    </row>
    <row r="5559" spans="2:5">
      <c r="B5559" s="17">
        <v>42461</v>
      </c>
      <c r="D5559" t="s">
        <v>1183</v>
      </c>
      <c r="E5559">
        <v>12.544000000000002</v>
      </c>
    </row>
    <row r="5560" spans="2:5">
      <c r="B5560" s="17">
        <v>42461</v>
      </c>
      <c r="D5560" t="s">
        <v>754</v>
      </c>
      <c r="E5560">
        <v>14.62</v>
      </c>
    </row>
    <row r="5561" spans="2:5">
      <c r="B5561" s="17">
        <v>42461</v>
      </c>
      <c r="D5561" t="s">
        <v>754</v>
      </c>
      <c r="E5561">
        <v>53.984000000000002</v>
      </c>
    </row>
    <row r="5562" spans="2:5">
      <c r="B5562" s="17">
        <v>42461</v>
      </c>
      <c r="D5562" t="s">
        <v>430</v>
      </c>
      <c r="E5562">
        <v>389.97</v>
      </c>
    </row>
    <row r="5563" spans="2:5">
      <c r="B5563" s="17">
        <v>42461</v>
      </c>
      <c r="D5563" t="s">
        <v>430</v>
      </c>
      <c r="E5563">
        <v>902.71199999999999</v>
      </c>
    </row>
    <row r="5564" spans="2:5">
      <c r="B5564" s="17">
        <v>42461</v>
      </c>
      <c r="D5564" t="s">
        <v>430</v>
      </c>
      <c r="E5564">
        <v>20.7</v>
      </c>
    </row>
    <row r="5565" spans="2:5">
      <c r="B5565" s="17">
        <v>42461</v>
      </c>
      <c r="D5565" t="s">
        <v>430</v>
      </c>
      <c r="E5565">
        <v>1335.68</v>
      </c>
    </row>
    <row r="5566" spans="2:5">
      <c r="B5566" s="17">
        <v>42460</v>
      </c>
      <c r="D5566" t="s">
        <v>430</v>
      </c>
      <c r="E5566">
        <v>32.400000000000006</v>
      </c>
    </row>
    <row r="5567" spans="2:5">
      <c r="B5567" s="17">
        <v>42460</v>
      </c>
      <c r="D5567" t="s">
        <v>430</v>
      </c>
      <c r="E5567">
        <v>23.616</v>
      </c>
    </row>
    <row r="5568" spans="2:5">
      <c r="B5568" s="17">
        <v>42460</v>
      </c>
      <c r="D5568" t="s">
        <v>290</v>
      </c>
      <c r="E5568">
        <v>177.48000000000002</v>
      </c>
    </row>
    <row r="5569" spans="2:5">
      <c r="B5569" s="17">
        <v>42459</v>
      </c>
      <c r="D5569" t="s">
        <v>290</v>
      </c>
      <c r="E5569">
        <v>695.7</v>
      </c>
    </row>
    <row r="5570" spans="2:5">
      <c r="B5570" s="17">
        <v>42458</v>
      </c>
      <c r="D5570" t="s">
        <v>290</v>
      </c>
      <c r="E5570">
        <v>122.352</v>
      </c>
    </row>
    <row r="5571" spans="2:5">
      <c r="B5571" s="17">
        <v>42458</v>
      </c>
      <c r="D5571" t="s">
        <v>290</v>
      </c>
      <c r="E5571">
        <v>692.93999999999994</v>
      </c>
    </row>
    <row r="5572" spans="2:5">
      <c r="B5572" s="17">
        <v>42458</v>
      </c>
      <c r="D5572" t="s">
        <v>290</v>
      </c>
      <c r="E5572">
        <v>32.400000000000006</v>
      </c>
    </row>
    <row r="5573" spans="2:5">
      <c r="B5573" s="17">
        <v>42458</v>
      </c>
      <c r="D5573" t="s">
        <v>290</v>
      </c>
      <c r="E5573">
        <v>4.7840000000000007</v>
      </c>
    </row>
    <row r="5574" spans="2:5">
      <c r="B5574" s="17">
        <v>42458</v>
      </c>
      <c r="D5574" t="s">
        <v>1475</v>
      </c>
      <c r="E5574">
        <v>4.7300000000000004</v>
      </c>
    </row>
    <row r="5575" spans="2:5">
      <c r="B5575" s="17">
        <v>42458</v>
      </c>
      <c r="D5575" t="s">
        <v>1475</v>
      </c>
      <c r="E5575">
        <v>9.6479999999999997</v>
      </c>
    </row>
    <row r="5576" spans="2:5">
      <c r="B5576" s="17">
        <v>42458</v>
      </c>
      <c r="D5576" t="s">
        <v>1475</v>
      </c>
      <c r="E5576">
        <v>714.30000000000007</v>
      </c>
    </row>
    <row r="5577" spans="2:5">
      <c r="B5577" s="17">
        <v>42458</v>
      </c>
      <c r="D5577" t="s">
        <v>1536</v>
      </c>
      <c r="E5577">
        <v>105.52</v>
      </c>
    </row>
    <row r="5578" spans="2:5">
      <c r="B5578" s="17">
        <v>42458</v>
      </c>
      <c r="D5578" t="s">
        <v>1536</v>
      </c>
      <c r="E5578">
        <v>179.94</v>
      </c>
    </row>
    <row r="5579" spans="2:5">
      <c r="B5579" s="17">
        <v>42457</v>
      </c>
      <c r="D5579" t="s">
        <v>1536</v>
      </c>
      <c r="E5579">
        <v>26.849999999999998</v>
      </c>
    </row>
    <row r="5580" spans="2:5">
      <c r="B5580" s="17">
        <v>42457</v>
      </c>
      <c r="D5580" t="s">
        <v>1536</v>
      </c>
      <c r="E5580">
        <v>59.94</v>
      </c>
    </row>
    <row r="5581" spans="2:5">
      <c r="B5581" s="17">
        <v>42457</v>
      </c>
      <c r="D5581" t="s">
        <v>1536</v>
      </c>
      <c r="E5581">
        <v>64.14</v>
      </c>
    </row>
    <row r="5582" spans="2:5">
      <c r="B5582" s="17">
        <v>42456</v>
      </c>
      <c r="D5582" t="s">
        <v>1536</v>
      </c>
      <c r="E5582">
        <v>11.67</v>
      </c>
    </row>
    <row r="5583" spans="2:5">
      <c r="B5583" s="17">
        <v>42456</v>
      </c>
      <c r="D5583" t="s">
        <v>1536</v>
      </c>
      <c r="E5583">
        <v>12.96</v>
      </c>
    </row>
    <row r="5584" spans="2:5">
      <c r="B5584" s="17">
        <v>42456</v>
      </c>
      <c r="D5584" t="s">
        <v>1536</v>
      </c>
      <c r="E5584">
        <v>22.05</v>
      </c>
    </row>
    <row r="5585" spans="2:5">
      <c r="B5585" s="17">
        <v>42455</v>
      </c>
      <c r="D5585" t="s">
        <v>1345</v>
      </c>
      <c r="E5585">
        <v>99.9</v>
      </c>
    </row>
    <row r="5586" spans="2:5">
      <c r="B5586" s="17">
        <v>42455</v>
      </c>
      <c r="D5586" t="s">
        <v>1345</v>
      </c>
      <c r="E5586">
        <v>3023.9280000000003</v>
      </c>
    </row>
    <row r="5587" spans="2:5">
      <c r="B5587" s="17">
        <v>42455</v>
      </c>
      <c r="D5587" t="s">
        <v>1345</v>
      </c>
      <c r="E5587">
        <v>26.96</v>
      </c>
    </row>
    <row r="5588" spans="2:5">
      <c r="B5588" s="17">
        <v>42455</v>
      </c>
      <c r="D5588" t="s">
        <v>727</v>
      </c>
      <c r="E5588">
        <v>477.6</v>
      </c>
    </row>
    <row r="5589" spans="2:5">
      <c r="B5589" s="17">
        <v>42455</v>
      </c>
      <c r="D5589" t="s">
        <v>727</v>
      </c>
      <c r="E5589">
        <v>466.32000000000005</v>
      </c>
    </row>
    <row r="5590" spans="2:5">
      <c r="B5590" s="17">
        <v>42454</v>
      </c>
      <c r="D5590" t="s">
        <v>727</v>
      </c>
      <c r="E5590">
        <v>82.64</v>
      </c>
    </row>
    <row r="5591" spans="2:5">
      <c r="B5591" s="17">
        <v>42454</v>
      </c>
      <c r="D5591" t="s">
        <v>727</v>
      </c>
      <c r="E5591">
        <v>124.608</v>
      </c>
    </row>
    <row r="5592" spans="2:5">
      <c r="B5592" s="17">
        <v>42453</v>
      </c>
      <c r="D5592" t="s">
        <v>727</v>
      </c>
      <c r="E5592">
        <v>7.5600000000000005</v>
      </c>
    </row>
    <row r="5593" spans="2:5">
      <c r="B5593" s="17">
        <v>42453</v>
      </c>
      <c r="D5593" t="s">
        <v>1351</v>
      </c>
      <c r="E5593">
        <v>360.38</v>
      </c>
    </row>
    <row r="5594" spans="2:5">
      <c r="B5594" s="17">
        <v>42453</v>
      </c>
      <c r="D5594" t="s">
        <v>1351</v>
      </c>
      <c r="E5594">
        <v>11.16</v>
      </c>
    </row>
    <row r="5595" spans="2:5">
      <c r="B5595" s="17">
        <v>42453</v>
      </c>
      <c r="D5595" t="s">
        <v>1351</v>
      </c>
      <c r="E5595">
        <v>14.940000000000001</v>
      </c>
    </row>
    <row r="5596" spans="2:5">
      <c r="B5596" s="17">
        <v>42451</v>
      </c>
      <c r="D5596" t="s">
        <v>1351</v>
      </c>
      <c r="E5596">
        <v>21.552000000000003</v>
      </c>
    </row>
    <row r="5597" spans="2:5">
      <c r="B5597" s="17">
        <v>42451</v>
      </c>
      <c r="D5597" t="s">
        <v>1755</v>
      </c>
      <c r="E5597">
        <v>58.24</v>
      </c>
    </row>
    <row r="5598" spans="2:5">
      <c r="B5598" s="17">
        <v>42450</v>
      </c>
      <c r="D5598" t="s">
        <v>1755</v>
      </c>
      <c r="E5598">
        <v>61.38</v>
      </c>
    </row>
    <row r="5599" spans="2:5">
      <c r="B5599" s="17">
        <v>42450</v>
      </c>
      <c r="D5599" t="s">
        <v>1755</v>
      </c>
      <c r="E5599">
        <v>75.88</v>
      </c>
    </row>
    <row r="5600" spans="2:5">
      <c r="B5600" s="17">
        <v>42450</v>
      </c>
      <c r="D5600" t="s">
        <v>252</v>
      </c>
      <c r="E5600">
        <v>25.920000000000005</v>
      </c>
    </row>
    <row r="5601" spans="2:5">
      <c r="B5601" s="17">
        <v>42450</v>
      </c>
      <c r="D5601" t="s">
        <v>252</v>
      </c>
      <c r="E5601">
        <v>419.68000000000006</v>
      </c>
    </row>
    <row r="5602" spans="2:5">
      <c r="B5602" s="17">
        <v>42450</v>
      </c>
      <c r="D5602" t="s">
        <v>252</v>
      </c>
      <c r="E5602">
        <v>11.688000000000001</v>
      </c>
    </row>
    <row r="5603" spans="2:5">
      <c r="B5603" s="17">
        <v>42449</v>
      </c>
      <c r="D5603" t="s">
        <v>252</v>
      </c>
      <c r="E5603">
        <v>31.983999999999998</v>
      </c>
    </row>
    <row r="5604" spans="2:5">
      <c r="B5604" s="17">
        <v>42449</v>
      </c>
      <c r="D5604" t="s">
        <v>252</v>
      </c>
      <c r="E5604">
        <v>177.22499999999999</v>
      </c>
    </row>
    <row r="5605" spans="2:5">
      <c r="B5605" s="17">
        <v>42449</v>
      </c>
      <c r="D5605" t="s">
        <v>169</v>
      </c>
      <c r="E5605">
        <v>4.0440000000000005</v>
      </c>
    </row>
    <row r="5606" spans="2:5">
      <c r="B5606" s="17">
        <v>42449</v>
      </c>
      <c r="D5606" t="s">
        <v>169</v>
      </c>
      <c r="E5606">
        <v>7.4080000000000004</v>
      </c>
    </row>
    <row r="5607" spans="2:5">
      <c r="B5607" s="17">
        <v>42449</v>
      </c>
      <c r="D5607" t="s">
        <v>169</v>
      </c>
      <c r="E5607">
        <v>14.940000000000001</v>
      </c>
    </row>
    <row r="5608" spans="2:5">
      <c r="B5608" s="17">
        <v>42449</v>
      </c>
      <c r="D5608" t="s">
        <v>169</v>
      </c>
      <c r="E5608">
        <v>1349.85</v>
      </c>
    </row>
    <row r="5609" spans="2:5">
      <c r="B5609" s="17">
        <v>42449</v>
      </c>
      <c r="D5609" t="s">
        <v>169</v>
      </c>
      <c r="E5609">
        <v>136.78399999999999</v>
      </c>
    </row>
    <row r="5610" spans="2:5">
      <c r="B5610" s="17">
        <v>42448</v>
      </c>
      <c r="D5610" t="s">
        <v>169</v>
      </c>
      <c r="E5610">
        <v>61.12</v>
      </c>
    </row>
    <row r="5611" spans="2:5">
      <c r="B5611" s="17">
        <v>42448</v>
      </c>
      <c r="D5611" t="s">
        <v>160</v>
      </c>
      <c r="E5611">
        <v>71.088000000000008</v>
      </c>
    </row>
    <row r="5612" spans="2:5">
      <c r="B5612" s="17">
        <v>42448</v>
      </c>
      <c r="D5612" t="s">
        <v>160</v>
      </c>
      <c r="E5612">
        <v>64.784000000000006</v>
      </c>
    </row>
    <row r="5613" spans="2:5">
      <c r="B5613" s="17">
        <v>42448</v>
      </c>
      <c r="D5613" t="s">
        <v>160</v>
      </c>
      <c r="E5613">
        <v>30.18</v>
      </c>
    </row>
    <row r="5614" spans="2:5">
      <c r="B5614" s="17">
        <v>42447</v>
      </c>
      <c r="D5614" t="s">
        <v>160</v>
      </c>
      <c r="E5614">
        <v>51.648000000000003</v>
      </c>
    </row>
    <row r="5615" spans="2:5">
      <c r="B5615" s="17">
        <v>42447</v>
      </c>
      <c r="D5615" t="s">
        <v>1228</v>
      </c>
      <c r="E5615">
        <v>11.231999999999999</v>
      </c>
    </row>
    <row r="5616" spans="2:5">
      <c r="B5616" s="17">
        <v>42446</v>
      </c>
      <c r="D5616" t="s">
        <v>1228</v>
      </c>
      <c r="E5616">
        <v>32.064</v>
      </c>
    </row>
    <row r="5617" spans="2:5">
      <c r="B5617" s="17">
        <v>42446</v>
      </c>
      <c r="D5617" t="s">
        <v>1228</v>
      </c>
      <c r="E5617">
        <v>18.496000000000002</v>
      </c>
    </row>
    <row r="5618" spans="2:5">
      <c r="B5618" s="17">
        <v>42446</v>
      </c>
      <c r="D5618" t="s">
        <v>1228</v>
      </c>
      <c r="E5618">
        <v>191.07899999999998</v>
      </c>
    </row>
    <row r="5619" spans="2:5">
      <c r="B5619" s="17">
        <v>42446</v>
      </c>
      <c r="D5619" t="s">
        <v>1886</v>
      </c>
      <c r="E5619">
        <v>10.368000000000002</v>
      </c>
    </row>
    <row r="5620" spans="2:5">
      <c r="B5620" s="17">
        <v>42446</v>
      </c>
      <c r="D5620" t="s">
        <v>1332</v>
      </c>
      <c r="E5620">
        <v>7.1519999999999992</v>
      </c>
    </row>
    <row r="5621" spans="2:5">
      <c r="B5621" s="17">
        <v>42446</v>
      </c>
      <c r="D5621" t="s">
        <v>1332</v>
      </c>
      <c r="E5621">
        <v>179.7</v>
      </c>
    </row>
    <row r="5622" spans="2:5">
      <c r="B5622" s="17">
        <v>42446</v>
      </c>
      <c r="D5622" t="s">
        <v>1332</v>
      </c>
      <c r="E5622">
        <v>22.620000000000005</v>
      </c>
    </row>
    <row r="5623" spans="2:5">
      <c r="B5623" s="17">
        <v>42444</v>
      </c>
      <c r="D5623" t="s">
        <v>1332</v>
      </c>
      <c r="E5623">
        <v>14.952000000000004</v>
      </c>
    </row>
    <row r="5624" spans="2:5">
      <c r="B5624" s="17">
        <v>42444</v>
      </c>
      <c r="D5624" t="s">
        <v>1332</v>
      </c>
      <c r="E5624">
        <v>801.5680000000001</v>
      </c>
    </row>
    <row r="5625" spans="2:5">
      <c r="B5625" s="17">
        <v>42444</v>
      </c>
      <c r="D5625" t="s">
        <v>1332</v>
      </c>
      <c r="E5625">
        <v>2.3760000000000003</v>
      </c>
    </row>
    <row r="5626" spans="2:5">
      <c r="B5626" s="17">
        <v>42444</v>
      </c>
      <c r="D5626" t="s">
        <v>1182</v>
      </c>
      <c r="E5626">
        <v>32.792000000000002</v>
      </c>
    </row>
    <row r="5627" spans="2:5">
      <c r="B5627" s="17">
        <v>42444</v>
      </c>
      <c r="D5627" t="s">
        <v>1182</v>
      </c>
      <c r="E5627">
        <v>3.2820000000000005</v>
      </c>
    </row>
    <row r="5628" spans="2:5">
      <c r="B5628" s="17">
        <v>42444</v>
      </c>
      <c r="D5628" t="s">
        <v>1182</v>
      </c>
      <c r="E5628">
        <v>839.98799999999994</v>
      </c>
    </row>
    <row r="5629" spans="2:5">
      <c r="B5629" s="17">
        <v>42444</v>
      </c>
      <c r="D5629" t="s">
        <v>1182</v>
      </c>
      <c r="E5629">
        <v>2275.5</v>
      </c>
    </row>
    <row r="5630" spans="2:5">
      <c r="B5630" s="17">
        <v>42443</v>
      </c>
      <c r="D5630" t="s">
        <v>1182</v>
      </c>
      <c r="E5630">
        <v>1979.6999999999998</v>
      </c>
    </row>
    <row r="5631" spans="2:5">
      <c r="B5631" s="17">
        <v>42443</v>
      </c>
      <c r="D5631" t="s">
        <v>1182</v>
      </c>
      <c r="E5631">
        <v>62.099999999999994</v>
      </c>
    </row>
    <row r="5632" spans="2:5">
      <c r="B5632" s="17">
        <v>42443</v>
      </c>
      <c r="D5632" t="s">
        <v>1182</v>
      </c>
      <c r="E5632">
        <v>123.92000000000002</v>
      </c>
    </row>
    <row r="5633" spans="2:5">
      <c r="B5633" s="17">
        <v>42443</v>
      </c>
      <c r="D5633" t="s">
        <v>283</v>
      </c>
      <c r="E5633">
        <v>38.880000000000003</v>
      </c>
    </row>
    <row r="5634" spans="2:5">
      <c r="B5634" s="17">
        <v>42443</v>
      </c>
      <c r="D5634" t="s">
        <v>283</v>
      </c>
      <c r="E5634">
        <v>364.74</v>
      </c>
    </row>
    <row r="5635" spans="2:5">
      <c r="B5635" s="17">
        <v>42443</v>
      </c>
      <c r="D5635" t="s">
        <v>283</v>
      </c>
      <c r="E5635">
        <v>47.400000000000006</v>
      </c>
    </row>
    <row r="5636" spans="2:5">
      <c r="B5636" s="17">
        <v>42443</v>
      </c>
      <c r="D5636" t="s">
        <v>283</v>
      </c>
      <c r="E5636">
        <v>49.76</v>
      </c>
    </row>
    <row r="5637" spans="2:5">
      <c r="B5637" s="17">
        <v>42442</v>
      </c>
      <c r="D5637" t="s">
        <v>283</v>
      </c>
      <c r="E5637">
        <v>5.56</v>
      </c>
    </row>
    <row r="5638" spans="2:5">
      <c r="B5638" s="17">
        <v>42442</v>
      </c>
      <c r="D5638" t="s">
        <v>283</v>
      </c>
      <c r="E5638">
        <v>629.09999999999991</v>
      </c>
    </row>
    <row r="5639" spans="2:5">
      <c r="B5639" s="17">
        <v>42442</v>
      </c>
      <c r="D5639" t="s">
        <v>1857</v>
      </c>
      <c r="E5639">
        <v>14.7</v>
      </c>
    </row>
    <row r="5640" spans="2:5">
      <c r="B5640" s="17">
        <v>42442</v>
      </c>
      <c r="D5640" t="s">
        <v>1857</v>
      </c>
      <c r="E5640">
        <v>45.36</v>
      </c>
    </row>
    <row r="5641" spans="2:5">
      <c r="B5641" s="17">
        <v>42442</v>
      </c>
      <c r="D5641" t="s">
        <v>1815</v>
      </c>
      <c r="E5641">
        <v>125.99</v>
      </c>
    </row>
    <row r="5642" spans="2:5">
      <c r="B5642" s="17">
        <v>42442</v>
      </c>
      <c r="D5642" t="s">
        <v>1815</v>
      </c>
      <c r="E5642">
        <v>167.84</v>
      </c>
    </row>
    <row r="5643" spans="2:5">
      <c r="B5643" s="17">
        <v>42442</v>
      </c>
      <c r="D5643" t="s">
        <v>318</v>
      </c>
      <c r="E5643">
        <v>26.55</v>
      </c>
    </row>
    <row r="5644" spans="2:5">
      <c r="B5644" s="17">
        <v>42442</v>
      </c>
      <c r="D5644" t="s">
        <v>318</v>
      </c>
      <c r="E5644">
        <v>111.98</v>
      </c>
    </row>
    <row r="5645" spans="2:5">
      <c r="B5645" s="17">
        <v>42442</v>
      </c>
      <c r="D5645" t="s">
        <v>318</v>
      </c>
      <c r="E5645">
        <v>79.959999999999994</v>
      </c>
    </row>
    <row r="5646" spans="2:5">
      <c r="B5646" s="17">
        <v>42442</v>
      </c>
      <c r="D5646" t="s">
        <v>318</v>
      </c>
      <c r="E5646">
        <v>979.95</v>
      </c>
    </row>
    <row r="5647" spans="2:5">
      <c r="B5647" s="17">
        <v>42442</v>
      </c>
      <c r="D5647" t="s">
        <v>259</v>
      </c>
      <c r="E5647">
        <v>22.75</v>
      </c>
    </row>
    <row r="5648" spans="2:5">
      <c r="B5648" s="17">
        <v>42442</v>
      </c>
      <c r="D5648" t="s">
        <v>259</v>
      </c>
      <c r="E5648">
        <v>11.277000000000001</v>
      </c>
    </row>
    <row r="5649" spans="2:5">
      <c r="B5649" s="17">
        <v>42442</v>
      </c>
      <c r="D5649" t="s">
        <v>259</v>
      </c>
      <c r="E5649">
        <v>4.4479999999999995</v>
      </c>
    </row>
    <row r="5650" spans="2:5">
      <c r="B5650" s="17">
        <v>42442</v>
      </c>
      <c r="D5650" t="s">
        <v>259</v>
      </c>
      <c r="E5650">
        <v>44.76</v>
      </c>
    </row>
    <row r="5651" spans="2:5">
      <c r="B5651" s="17">
        <v>42442</v>
      </c>
      <c r="D5651" t="s">
        <v>259</v>
      </c>
      <c r="E5651">
        <v>185.88</v>
      </c>
    </row>
    <row r="5652" spans="2:5">
      <c r="B5652" s="17">
        <v>42442</v>
      </c>
      <c r="D5652" t="s">
        <v>1468</v>
      </c>
      <c r="E5652">
        <v>390.27199999999999</v>
      </c>
    </row>
    <row r="5653" spans="2:5">
      <c r="B5653" s="17">
        <v>42442</v>
      </c>
      <c r="D5653" t="s">
        <v>1468</v>
      </c>
      <c r="E5653">
        <v>62.192000000000007</v>
      </c>
    </row>
    <row r="5654" spans="2:5">
      <c r="B5654" s="17">
        <v>42442</v>
      </c>
      <c r="D5654" t="s">
        <v>1468</v>
      </c>
      <c r="E5654">
        <v>182.72</v>
      </c>
    </row>
    <row r="5655" spans="2:5">
      <c r="B5655" s="17">
        <v>42442</v>
      </c>
      <c r="D5655" t="s">
        <v>1130</v>
      </c>
      <c r="E5655">
        <v>131.6</v>
      </c>
    </row>
    <row r="5656" spans="2:5">
      <c r="B5656" s="17">
        <v>42442</v>
      </c>
      <c r="D5656" t="s">
        <v>1130</v>
      </c>
      <c r="E5656">
        <v>22.72</v>
      </c>
    </row>
    <row r="5657" spans="2:5">
      <c r="B5657" s="17">
        <v>42441</v>
      </c>
      <c r="D5657" t="s">
        <v>1130</v>
      </c>
      <c r="E5657">
        <v>558.4</v>
      </c>
    </row>
    <row r="5658" spans="2:5">
      <c r="B5658" s="17">
        <v>42441</v>
      </c>
      <c r="D5658" t="s">
        <v>1130</v>
      </c>
      <c r="E5658">
        <v>54.900000000000006</v>
      </c>
    </row>
    <row r="5659" spans="2:5">
      <c r="B5659" s="17">
        <v>42441</v>
      </c>
      <c r="D5659" t="s">
        <v>1130</v>
      </c>
      <c r="E5659">
        <v>3504.9</v>
      </c>
    </row>
    <row r="5660" spans="2:5">
      <c r="B5660" s="17">
        <v>42441</v>
      </c>
      <c r="D5660" t="s">
        <v>64</v>
      </c>
      <c r="E5660">
        <v>144.12</v>
      </c>
    </row>
    <row r="5661" spans="2:5">
      <c r="B5661" s="17">
        <v>42441</v>
      </c>
      <c r="D5661" t="s">
        <v>64</v>
      </c>
      <c r="E5661">
        <v>25.176000000000002</v>
      </c>
    </row>
    <row r="5662" spans="2:5">
      <c r="B5662" s="17">
        <v>42441</v>
      </c>
      <c r="D5662" t="s">
        <v>64</v>
      </c>
      <c r="E5662">
        <v>5.5840000000000005</v>
      </c>
    </row>
    <row r="5663" spans="2:5">
      <c r="B5663" s="17">
        <v>42441</v>
      </c>
      <c r="D5663" t="s">
        <v>64</v>
      </c>
      <c r="E5663">
        <v>1297.3680000000002</v>
      </c>
    </row>
    <row r="5664" spans="2:5">
      <c r="B5664" s="17">
        <v>42440</v>
      </c>
      <c r="D5664" t="s">
        <v>64</v>
      </c>
      <c r="E5664">
        <v>13.38</v>
      </c>
    </row>
    <row r="5665" spans="2:5">
      <c r="B5665" s="17">
        <v>42440</v>
      </c>
      <c r="D5665" t="s">
        <v>649</v>
      </c>
      <c r="E5665">
        <v>10.368000000000002</v>
      </c>
    </row>
    <row r="5666" spans="2:5">
      <c r="B5666" s="17">
        <v>42440</v>
      </c>
      <c r="D5666" t="s">
        <v>649</v>
      </c>
      <c r="E5666">
        <v>388.42999999999995</v>
      </c>
    </row>
    <row r="5667" spans="2:5">
      <c r="B5667" s="17">
        <v>42440</v>
      </c>
      <c r="D5667" t="s">
        <v>649</v>
      </c>
      <c r="E5667">
        <v>14.352000000000002</v>
      </c>
    </row>
    <row r="5668" spans="2:5">
      <c r="B5668" s="17">
        <v>42440</v>
      </c>
      <c r="D5668" t="s">
        <v>649</v>
      </c>
      <c r="E5668">
        <v>63.991999999999997</v>
      </c>
    </row>
    <row r="5669" spans="2:5">
      <c r="B5669" s="17">
        <v>42440</v>
      </c>
      <c r="D5669" t="s">
        <v>649</v>
      </c>
      <c r="E5669">
        <v>19.440000000000001</v>
      </c>
    </row>
    <row r="5670" spans="2:5">
      <c r="B5670" s="17">
        <v>42439</v>
      </c>
      <c r="D5670" t="s">
        <v>455</v>
      </c>
      <c r="E5670">
        <v>9.64</v>
      </c>
    </row>
    <row r="5671" spans="2:5">
      <c r="B5671" s="17">
        <v>42439</v>
      </c>
      <c r="D5671" t="s">
        <v>455</v>
      </c>
      <c r="E5671">
        <v>12.7</v>
      </c>
    </row>
    <row r="5672" spans="2:5">
      <c r="B5672" s="17">
        <v>42439</v>
      </c>
      <c r="D5672" t="s">
        <v>455</v>
      </c>
      <c r="E5672">
        <v>41.37</v>
      </c>
    </row>
    <row r="5673" spans="2:5">
      <c r="B5673" s="17">
        <v>42439</v>
      </c>
      <c r="D5673" t="s">
        <v>455</v>
      </c>
      <c r="E5673">
        <v>1.504</v>
      </c>
    </row>
    <row r="5674" spans="2:5">
      <c r="B5674" s="17">
        <v>42439</v>
      </c>
      <c r="D5674" t="s">
        <v>1416</v>
      </c>
      <c r="E5674">
        <v>34.848000000000006</v>
      </c>
    </row>
    <row r="5675" spans="2:5">
      <c r="B5675" s="17">
        <v>42439</v>
      </c>
      <c r="D5675" t="s">
        <v>1416</v>
      </c>
      <c r="E5675">
        <v>5.9399999999999995</v>
      </c>
    </row>
    <row r="5676" spans="2:5">
      <c r="B5676" s="17">
        <v>42439</v>
      </c>
      <c r="D5676" t="s">
        <v>1212</v>
      </c>
      <c r="E5676">
        <v>45.36</v>
      </c>
    </row>
    <row r="5677" spans="2:5">
      <c r="B5677" s="17">
        <v>42438</v>
      </c>
      <c r="D5677" t="s">
        <v>1212</v>
      </c>
      <c r="E5677">
        <v>484.70400000000006</v>
      </c>
    </row>
    <row r="5678" spans="2:5">
      <c r="B5678" s="17">
        <v>42438</v>
      </c>
      <c r="D5678" t="s">
        <v>1212</v>
      </c>
      <c r="E5678">
        <v>371.97600000000006</v>
      </c>
    </row>
    <row r="5679" spans="2:5">
      <c r="B5679" s="17">
        <v>42438</v>
      </c>
      <c r="D5679" t="s">
        <v>1212</v>
      </c>
      <c r="E5679">
        <v>184.70400000000001</v>
      </c>
    </row>
    <row r="5680" spans="2:5">
      <c r="B5680" s="17">
        <v>42438</v>
      </c>
      <c r="D5680" t="s">
        <v>1212</v>
      </c>
      <c r="E5680">
        <v>47.92</v>
      </c>
    </row>
    <row r="5681" spans="2:5">
      <c r="B5681" s="17">
        <v>42438</v>
      </c>
      <c r="D5681" t="s">
        <v>1736</v>
      </c>
      <c r="E5681">
        <v>26.94</v>
      </c>
    </row>
    <row r="5682" spans="2:5">
      <c r="B5682" s="17">
        <v>42437</v>
      </c>
      <c r="D5682" t="s">
        <v>1736</v>
      </c>
      <c r="E5682">
        <v>24.96</v>
      </c>
    </row>
    <row r="5683" spans="2:5">
      <c r="B5683" s="17">
        <v>42437</v>
      </c>
      <c r="D5683" t="s">
        <v>1736</v>
      </c>
      <c r="E5683">
        <v>19.36</v>
      </c>
    </row>
    <row r="5684" spans="2:5">
      <c r="B5684" s="17">
        <v>42437</v>
      </c>
      <c r="D5684" t="s">
        <v>705</v>
      </c>
      <c r="E5684">
        <v>1267.6499999999999</v>
      </c>
    </row>
    <row r="5685" spans="2:5">
      <c r="B5685" s="17">
        <v>42437</v>
      </c>
      <c r="D5685" t="s">
        <v>705</v>
      </c>
      <c r="E5685">
        <v>69.5</v>
      </c>
    </row>
    <row r="5686" spans="2:5">
      <c r="B5686" s="17">
        <v>42437</v>
      </c>
      <c r="D5686" t="s">
        <v>705</v>
      </c>
      <c r="E5686">
        <v>191.6</v>
      </c>
    </row>
    <row r="5687" spans="2:5">
      <c r="B5687" s="17">
        <v>42437</v>
      </c>
      <c r="D5687" t="s">
        <v>272</v>
      </c>
      <c r="E5687">
        <v>37.049999999999997</v>
      </c>
    </row>
    <row r="5688" spans="2:5">
      <c r="B5688" s="17">
        <v>42437</v>
      </c>
      <c r="D5688" t="s">
        <v>272</v>
      </c>
      <c r="E5688">
        <v>1979.9280000000001</v>
      </c>
    </row>
    <row r="5689" spans="2:5">
      <c r="B5689" s="17">
        <v>42437</v>
      </c>
      <c r="D5689" t="s">
        <v>272</v>
      </c>
      <c r="E5689">
        <v>4.9800000000000004</v>
      </c>
    </row>
    <row r="5690" spans="2:5">
      <c r="B5690" s="17">
        <v>42437</v>
      </c>
      <c r="D5690" t="s">
        <v>272</v>
      </c>
      <c r="E5690">
        <v>8399.9759999999987</v>
      </c>
    </row>
    <row r="5691" spans="2:5">
      <c r="B5691" s="17">
        <v>42437</v>
      </c>
      <c r="D5691" t="s">
        <v>272</v>
      </c>
      <c r="E5691">
        <v>6.2940000000000014</v>
      </c>
    </row>
    <row r="5692" spans="2:5">
      <c r="B5692" s="17">
        <v>42437</v>
      </c>
      <c r="D5692" t="s">
        <v>272</v>
      </c>
      <c r="E5692">
        <v>10.368000000000002</v>
      </c>
    </row>
    <row r="5693" spans="2:5">
      <c r="B5693" s="17">
        <v>42437</v>
      </c>
      <c r="D5693" t="s">
        <v>272</v>
      </c>
      <c r="E5693">
        <v>122.38199999999999</v>
      </c>
    </row>
    <row r="5694" spans="2:5">
      <c r="B5694" s="17">
        <v>42437</v>
      </c>
      <c r="D5694" t="s">
        <v>272</v>
      </c>
      <c r="E5694">
        <v>345</v>
      </c>
    </row>
    <row r="5695" spans="2:5">
      <c r="B5695" s="17">
        <v>42436</v>
      </c>
      <c r="D5695" t="s">
        <v>272</v>
      </c>
      <c r="E5695">
        <v>174.28599999999997</v>
      </c>
    </row>
    <row r="5696" spans="2:5">
      <c r="B5696" s="17">
        <v>42435</v>
      </c>
      <c r="D5696" t="s">
        <v>272</v>
      </c>
      <c r="E5696">
        <v>662.84</v>
      </c>
    </row>
    <row r="5697" spans="2:5">
      <c r="B5697" s="17">
        <v>42435</v>
      </c>
      <c r="D5697" t="s">
        <v>272</v>
      </c>
      <c r="E5697">
        <v>95.1</v>
      </c>
    </row>
    <row r="5698" spans="2:5">
      <c r="B5698" s="17">
        <v>42435</v>
      </c>
      <c r="D5698" t="s">
        <v>272</v>
      </c>
      <c r="E5698">
        <v>26.880000000000003</v>
      </c>
    </row>
    <row r="5699" spans="2:5">
      <c r="B5699" s="17">
        <v>42435</v>
      </c>
      <c r="D5699" t="s">
        <v>272</v>
      </c>
      <c r="E5699">
        <v>14.73</v>
      </c>
    </row>
    <row r="5700" spans="2:5">
      <c r="B5700" s="17">
        <v>42435</v>
      </c>
      <c r="D5700" t="s">
        <v>272</v>
      </c>
      <c r="E5700">
        <v>55.176000000000002</v>
      </c>
    </row>
    <row r="5701" spans="2:5">
      <c r="B5701" s="17">
        <v>42435</v>
      </c>
      <c r="D5701" t="s">
        <v>272</v>
      </c>
      <c r="E5701">
        <v>66.260000000000005</v>
      </c>
    </row>
    <row r="5702" spans="2:5">
      <c r="B5702" s="17">
        <v>42435</v>
      </c>
      <c r="D5702" t="s">
        <v>272</v>
      </c>
      <c r="E5702">
        <v>2396.4</v>
      </c>
    </row>
    <row r="5703" spans="2:5">
      <c r="B5703" s="17">
        <v>42434</v>
      </c>
      <c r="D5703" t="s">
        <v>1115</v>
      </c>
      <c r="E5703">
        <v>111.96</v>
      </c>
    </row>
    <row r="5704" spans="2:5">
      <c r="B5704" s="17">
        <v>42434</v>
      </c>
      <c r="D5704" t="s">
        <v>1115</v>
      </c>
      <c r="E5704">
        <v>1.9639999999999995</v>
      </c>
    </row>
    <row r="5705" spans="2:5">
      <c r="B5705" s="17">
        <v>42433</v>
      </c>
      <c r="D5705" t="s">
        <v>1115</v>
      </c>
      <c r="E5705">
        <v>82.656000000000006</v>
      </c>
    </row>
    <row r="5706" spans="2:5">
      <c r="B5706" s="17">
        <v>42433</v>
      </c>
      <c r="D5706" t="s">
        <v>1115</v>
      </c>
      <c r="E5706">
        <v>3.7979999999999992</v>
      </c>
    </row>
    <row r="5707" spans="2:5">
      <c r="B5707" s="17">
        <v>42433</v>
      </c>
      <c r="D5707" t="s">
        <v>1115</v>
      </c>
      <c r="E5707">
        <v>1049.2</v>
      </c>
    </row>
    <row r="5708" spans="2:5">
      <c r="B5708" s="17">
        <v>42433</v>
      </c>
      <c r="D5708" t="s">
        <v>1115</v>
      </c>
      <c r="E5708">
        <v>15.424000000000001</v>
      </c>
    </row>
    <row r="5709" spans="2:5">
      <c r="B5709" s="17">
        <v>42432</v>
      </c>
      <c r="D5709" t="s">
        <v>1115</v>
      </c>
      <c r="E5709">
        <v>1363.96</v>
      </c>
    </row>
    <row r="5710" spans="2:5">
      <c r="B5710" s="17">
        <v>42432</v>
      </c>
      <c r="D5710" t="s">
        <v>1115</v>
      </c>
      <c r="E5710">
        <v>2.6940000000000004</v>
      </c>
    </row>
    <row r="5711" spans="2:5">
      <c r="B5711" s="17">
        <v>42432</v>
      </c>
      <c r="D5711" t="s">
        <v>380</v>
      </c>
      <c r="E5711">
        <v>40.635000000000012</v>
      </c>
    </row>
    <row r="5712" spans="2:5">
      <c r="B5712" s="17">
        <v>42432</v>
      </c>
      <c r="D5712" t="s">
        <v>380</v>
      </c>
      <c r="E5712">
        <v>641.96</v>
      </c>
    </row>
    <row r="5713" spans="2:5">
      <c r="B5713" s="17">
        <v>42432</v>
      </c>
      <c r="D5713" t="s">
        <v>380</v>
      </c>
      <c r="E5713">
        <v>454.90000000000003</v>
      </c>
    </row>
    <row r="5714" spans="2:5">
      <c r="B5714" s="17">
        <v>42432</v>
      </c>
      <c r="D5714" t="s">
        <v>380</v>
      </c>
      <c r="E5714">
        <v>35.92</v>
      </c>
    </row>
    <row r="5715" spans="2:5">
      <c r="B5715" s="17">
        <v>42432</v>
      </c>
      <c r="D5715" t="s">
        <v>380</v>
      </c>
      <c r="E5715">
        <v>39.76</v>
      </c>
    </row>
    <row r="5716" spans="2:5">
      <c r="B5716" s="17">
        <v>42432</v>
      </c>
      <c r="D5716" t="s">
        <v>380</v>
      </c>
      <c r="E5716">
        <v>47.744</v>
      </c>
    </row>
    <row r="5717" spans="2:5">
      <c r="B5717" s="17">
        <v>42432</v>
      </c>
      <c r="D5717" t="s">
        <v>380</v>
      </c>
      <c r="E5717">
        <v>9.5840000000000014</v>
      </c>
    </row>
    <row r="5718" spans="2:5">
      <c r="B5718" s="17">
        <v>42432</v>
      </c>
      <c r="D5718" t="s">
        <v>380</v>
      </c>
      <c r="E5718">
        <v>21.400000000000002</v>
      </c>
    </row>
    <row r="5719" spans="2:5">
      <c r="B5719" s="17">
        <v>42432</v>
      </c>
      <c r="D5719" t="s">
        <v>380</v>
      </c>
      <c r="E5719">
        <v>87.84</v>
      </c>
    </row>
    <row r="5720" spans="2:5">
      <c r="B5720" s="17">
        <v>42432</v>
      </c>
      <c r="D5720" t="s">
        <v>380</v>
      </c>
      <c r="E5720">
        <v>104.28</v>
      </c>
    </row>
    <row r="5721" spans="2:5">
      <c r="B5721" s="17">
        <v>42432</v>
      </c>
      <c r="D5721" t="s">
        <v>380</v>
      </c>
      <c r="E5721">
        <v>17.940000000000001</v>
      </c>
    </row>
    <row r="5722" spans="2:5">
      <c r="B5722" s="17">
        <v>42432</v>
      </c>
      <c r="D5722" t="s">
        <v>380</v>
      </c>
      <c r="E5722">
        <v>2.9520000000000004</v>
      </c>
    </row>
    <row r="5723" spans="2:5">
      <c r="B5723" s="17">
        <v>42432</v>
      </c>
      <c r="D5723" t="s">
        <v>528</v>
      </c>
      <c r="E5723">
        <v>27.018000000000008</v>
      </c>
    </row>
    <row r="5724" spans="2:5">
      <c r="B5724" s="17">
        <v>42430</v>
      </c>
      <c r="D5724" t="s">
        <v>528</v>
      </c>
      <c r="E5724">
        <v>65.17</v>
      </c>
    </row>
    <row r="5725" spans="2:5">
      <c r="B5725" s="17">
        <v>42430</v>
      </c>
      <c r="D5725" t="s">
        <v>528</v>
      </c>
      <c r="E5725">
        <v>14.62</v>
      </c>
    </row>
    <row r="5726" spans="2:5">
      <c r="B5726" s="17">
        <v>42430</v>
      </c>
      <c r="D5726" t="s">
        <v>528</v>
      </c>
      <c r="E5726">
        <v>173.24</v>
      </c>
    </row>
    <row r="5727" spans="2:5">
      <c r="B5727" s="17">
        <v>42430</v>
      </c>
      <c r="D5727" t="s">
        <v>528</v>
      </c>
      <c r="E5727">
        <v>2.8899999999999992</v>
      </c>
    </row>
    <row r="5728" spans="2:5">
      <c r="B5728" s="17">
        <v>42430</v>
      </c>
      <c r="D5728" t="s">
        <v>528</v>
      </c>
      <c r="E5728">
        <v>7.8960000000000008</v>
      </c>
    </row>
    <row r="5729" spans="2:5">
      <c r="B5729" s="17">
        <v>42429</v>
      </c>
      <c r="D5729" t="s">
        <v>528</v>
      </c>
      <c r="E5729">
        <v>22.608000000000001</v>
      </c>
    </row>
    <row r="5730" spans="2:5">
      <c r="B5730" s="17">
        <v>42428</v>
      </c>
      <c r="D5730" t="s">
        <v>862</v>
      </c>
      <c r="E5730">
        <v>30.527999999999999</v>
      </c>
    </row>
    <row r="5731" spans="2:5">
      <c r="B5731" s="17">
        <v>42427</v>
      </c>
      <c r="D5731" t="s">
        <v>862</v>
      </c>
      <c r="E5731">
        <v>552.55999999999995</v>
      </c>
    </row>
    <row r="5732" spans="2:5">
      <c r="B5732" s="17">
        <v>42427</v>
      </c>
      <c r="D5732" t="s">
        <v>1142</v>
      </c>
      <c r="E5732">
        <v>17.34</v>
      </c>
    </row>
    <row r="5733" spans="2:5">
      <c r="B5733" s="17">
        <v>42427</v>
      </c>
      <c r="D5733" t="s">
        <v>1142</v>
      </c>
      <c r="E5733">
        <v>27.72</v>
      </c>
    </row>
    <row r="5734" spans="2:5">
      <c r="B5734" s="17">
        <v>42425</v>
      </c>
      <c r="D5734" t="s">
        <v>247</v>
      </c>
      <c r="E5734">
        <v>511.84</v>
      </c>
    </row>
    <row r="5735" spans="2:5">
      <c r="B5735" s="17">
        <v>42423</v>
      </c>
      <c r="D5735" t="s">
        <v>247</v>
      </c>
      <c r="E5735">
        <v>91.96</v>
      </c>
    </row>
    <row r="5736" spans="2:5">
      <c r="B5736" s="17">
        <v>42422</v>
      </c>
      <c r="D5736" t="s">
        <v>247</v>
      </c>
      <c r="E5736">
        <v>8.34</v>
      </c>
    </row>
    <row r="5737" spans="2:5">
      <c r="B5737" s="17">
        <v>42422</v>
      </c>
      <c r="D5737" t="s">
        <v>616</v>
      </c>
      <c r="E5737">
        <v>13.776000000000002</v>
      </c>
    </row>
    <row r="5738" spans="2:5">
      <c r="B5738" s="17">
        <v>42422</v>
      </c>
      <c r="D5738" t="s">
        <v>616</v>
      </c>
      <c r="E5738">
        <v>7.7640000000000011</v>
      </c>
    </row>
    <row r="5739" spans="2:5">
      <c r="B5739" s="17">
        <v>42422</v>
      </c>
      <c r="D5739" t="s">
        <v>1155</v>
      </c>
      <c r="E5739">
        <v>15.231999999999999</v>
      </c>
    </row>
    <row r="5740" spans="2:5">
      <c r="B5740" s="17">
        <v>42421</v>
      </c>
      <c r="D5740" t="s">
        <v>1155</v>
      </c>
      <c r="E5740">
        <v>79.384000000000015</v>
      </c>
    </row>
    <row r="5741" spans="2:5">
      <c r="B5741" s="17">
        <v>42421</v>
      </c>
      <c r="D5741" t="s">
        <v>1155</v>
      </c>
      <c r="E5741">
        <v>57.582000000000008</v>
      </c>
    </row>
    <row r="5742" spans="2:5">
      <c r="B5742" s="17">
        <v>42421</v>
      </c>
      <c r="D5742" t="s">
        <v>1155</v>
      </c>
      <c r="E5742">
        <v>31.104000000000006</v>
      </c>
    </row>
    <row r="5743" spans="2:5">
      <c r="B5743" s="17">
        <v>42421</v>
      </c>
      <c r="D5743" t="s">
        <v>1619</v>
      </c>
      <c r="E5743">
        <v>30.192</v>
      </c>
    </row>
    <row r="5744" spans="2:5">
      <c r="B5744" s="17">
        <v>42421</v>
      </c>
      <c r="D5744" t="s">
        <v>1648</v>
      </c>
      <c r="E5744">
        <v>43.6</v>
      </c>
    </row>
    <row r="5745" spans="2:5">
      <c r="B5745" s="17">
        <v>42421</v>
      </c>
      <c r="D5745" t="s">
        <v>1648</v>
      </c>
      <c r="E5745">
        <v>4.7679999999999998</v>
      </c>
    </row>
    <row r="5746" spans="2:5">
      <c r="B5746" s="17">
        <v>42421</v>
      </c>
      <c r="D5746" t="s">
        <v>1648</v>
      </c>
      <c r="E5746">
        <v>10.380000000000003</v>
      </c>
    </row>
    <row r="5747" spans="2:5">
      <c r="B5747" s="17">
        <v>42421</v>
      </c>
      <c r="D5747" t="s">
        <v>1322</v>
      </c>
      <c r="E5747">
        <v>13.392000000000003</v>
      </c>
    </row>
    <row r="5748" spans="2:5">
      <c r="B5748" s="17">
        <v>42421</v>
      </c>
      <c r="D5748" t="s">
        <v>1322</v>
      </c>
      <c r="E5748">
        <v>185.52800000000002</v>
      </c>
    </row>
    <row r="5749" spans="2:5">
      <c r="B5749" s="17">
        <v>42421</v>
      </c>
      <c r="D5749" t="s">
        <v>1322</v>
      </c>
      <c r="E5749">
        <v>10.96</v>
      </c>
    </row>
    <row r="5750" spans="2:5">
      <c r="B5750" s="17">
        <v>42421</v>
      </c>
      <c r="D5750" t="s">
        <v>1322</v>
      </c>
      <c r="E5750">
        <v>82.367999999999995</v>
      </c>
    </row>
    <row r="5751" spans="2:5">
      <c r="B5751" s="17">
        <v>42420</v>
      </c>
      <c r="D5751" t="s">
        <v>1322</v>
      </c>
      <c r="E5751">
        <v>54.900000000000006</v>
      </c>
    </row>
    <row r="5752" spans="2:5">
      <c r="B5752" s="17">
        <v>42419</v>
      </c>
      <c r="D5752" t="s">
        <v>316</v>
      </c>
      <c r="E5752">
        <v>10.02</v>
      </c>
    </row>
    <row r="5753" spans="2:5">
      <c r="B5753" s="17">
        <v>42419</v>
      </c>
      <c r="D5753" t="s">
        <v>316</v>
      </c>
      <c r="E5753">
        <v>631.96</v>
      </c>
    </row>
    <row r="5754" spans="2:5">
      <c r="B5754" s="17">
        <v>42419</v>
      </c>
      <c r="D5754" t="s">
        <v>316</v>
      </c>
      <c r="E5754">
        <v>120</v>
      </c>
    </row>
    <row r="5755" spans="2:5">
      <c r="B5755" s="17">
        <v>42419</v>
      </c>
      <c r="D5755" t="s">
        <v>316</v>
      </c>
      <c r="E5755">
        <v>8.67</v>
      </c>
    </row>
    <row r="5756" spans="2:5">
      <c r="B5756" s="17">
        <v>42419</v>
      </c>
      <c r="D5756" t="s">
        <v>316</v>
      </c>
      <c r="E5756">
        <v>5.98</v>
      </c>
    </row>
    <row r="5757" spans="2:5">
      <c r="B5757" s="17">
        <v>42416</v>
      </c>
      <c r="D5757" t="s">
        <v>1201</v>
      </c>
      <c r="E5757">
        <v>11.96</v>
      </c>
    </row>
    <row r="5758" spans="2:5">
      <c r="B5758" s="17">
        <v>42416</v>
      </c>
      <c r="D5758" t="s">
        <v>1201</v>
      </c>
      <c r="E5758">
        <v>743.98799999999994</v>
      </c>
    </row>
    <row r="5759" spans="2:5">
      <c r="B5759" s="17">
        <v>42416</v>
      </c>
      <c r="D5759" t="s">
        <v>1201</v>
      </c>
      <c r="E5759">
        <v>7.0720000000000001</v>
      </c>
    </row>
    <row r="5760" spans="2:5">
      <c r="B5760" s="17">
        <v>42416</v>
      </c>
      <c r="D5760" t="s">
        <v>1201</v>
      </c>
      <c r="E5760">
        <v>93.98</v>
      </c>
    </row>
    <row r="5761" spans="2:5">
      <c r="B5761" s="17">
        <v>42416</v>
      </c>
      <c r="D5761" t="s">
        <v>1201</v>
      </c>
      <c r="E5761">
        <v>9.3439999999999994</v>
      </c>
    </row>
    <row r="5762" spans="2:5">
      <c r="B5762" s="17">
        <v>42416</v>
      </c>
      <c r="D5762" t="s">
        <v>1201</v>
      </c>
      <c r="E5762">
        <v>79.36</v>
      </c>
    </row>
    <row r="5763" spans="2:5">
      <c r="B5763" s="17">
        <v>42416</v>
      </c>
      <c r="D5763" t="s">
        <v>1269</v>
      </c>
      <c r="E5763">
        <v>8</v>
      </c>
    </row>
    <row r="5764" spans="2:5">
      <c r="B5764" s="17">
        <v>42416</v>
      </c>
      <c r="D5764" t="s">
        <v>1269</v>
      </c>
      <c r="E5764">
        <v>32.04</v>
      </c>
    </row>
    <row r="5765" spans="2:5">
      <c r="B5765" s="17">
        <v>42416</v>
      </c>
      <c r="D5765" t="s">
        <v>1269</v>
      </c>
      <c r="E5765">
        <v>19.136000000000003</v>
      </c>
    </row>
    <row r="5766" spans="2:5">
      <c r="B5766" s="17">
        <v>42415</v>
      </c>
      <c r="D5766" t="s">
        <v>1269</v>
      </c>
      <c r="E5766">
        <v>27.86</v>
      </c>
    </row>
    <row r="5767" spans="2:5">
      <c r="B5767" s="17">
        <v>42415</v>
      </c>
      <c r="D5767" t="s">
        <v>1269</v>
      </c>
      <c r="E5767">
        <v>856.65600000000006</v>
      </c>
    </row>
    <row r="5768" spans="2:5">
      <c r="B5768" s="17">
        <v>42414</v>
      </c>
      <c r="D5768" t="s">
        <v>1330</v>
      </c>
      <c r="E5768">
        <v>13.183999999999997</v>
      </c>
    </row>
    <row r="5769" spans="2:5">
      <c r="B5769" s="17">
        <v>42414</v>
      </c>
      <c r="D5769" t="s">
        <v>1330</v>
      </c>
      <c r="E5769">
        <v>48.783999999999985</v>
      </c>
    </row>
    <row r="5770" spans="2:5">
      <c r="B5770" s="17">
        <v>42414</v>
      </c>
      <c r="D5770" t="s">
        <v>1330</v>
      </c>
      <c r="E5770">
        <v>76.64</v>
      </c>
    </row>
    <row r="5771" spans="2:5">
      <c r="B5771" s="17">
        <v>42414</v>
      </c>
      <c r="D5771" t="s">
        <v>1330</v>
      </c>
      <c r="E5771">
        <v>18.527999999999995</v>
      </c>
    </row>
    <row r="5772" spans="2:5">
      <c r="B5772" s="17">
        <v>42414</v>
      </c>
      <c r="D5772" t="s">
        <v>1330</v>
      </c>
      <c r="E5772">
        <v>1006.056</v>
      </c>
    </row>
    <row r="5773" spans="2:5">
      <c r="B5773" s="17">
        <v>42413</v>
      </c>
      <c r="D5773" t="s">
        <v>1330</v>
      </c>
      <c r="E5773">
        <v>10.688000000000001</v>
      </c>
    </row>
    <row r="5774" spans="2:5">
      <c r="B5774" s="17">
        <v>42412</v>
      </c>
      <c r="D5774" t="s">
        <v>1330</v>
      </c>
      <c r="E5774">
        <v>10.368000000000002</v>
      </c>
    </row>
    <row r="5775" spans="2:5">
      <c r="B5775" s="17">
        <v>42412</v>
      </c>
      <c r="D5775" t="s">
        <v>112</v>
      </c>
      <c r="E5775">
        <v>25.12</v>
      </c>
    </row>
    <row r="5776" spans="2:5">
      <c r="B5776" s="17">
        <v>42411</v>
      </c>
      <c r="D5776" t="s">
        <v>112</v>
      </c>
      <c r="E5776">
        <v>58.112000000000002</v>
      </c>
    </row>
    <row r="5777" spans="2:5">
      <c r="B5777" s="17">
        <v>42409</v>
      </c>
      <c r="D5777" t="s">
        <v>112</v>
      </c>
      <c r="E5777">
        <v>17.940000000000001</v>
      </c>
    </row>
    <row r="5778" spans="2:5">
      <c r="B5778" s="17">
        <v>42409</v>
      </c>
      <c r="D5778" t="s">
        <v>112</v>
      </c>
      <c r="E5778">
        <v>85.232000000000014</v>
      </c>
    </row>
    <row r="5779" spans="2:5">
      <c r="B5779" s="17">
        <v>42408</v>
      </c>
      <c r="D5779" t="s">
        <v>112</v>
      </c>
      <c r="E5779">
        <v>44.400000000000006</v>
      </c>
    </row>
    <row r="5780" spans="2:5">
      <c r="B5780" s="17">
        <v>42408</v>
      </c>
      <c r="D5780" t="s">
        <v>112</v>
      </c>
      <c r="E5780">
        <v>442.76400000000001</v>
      </c>
    </row>
    <row r="5781" spans="2:5">
      <c r="B5781" s="17">
        <v>42407</v>
      </c>
      <c r="D5781" t="s">
        <v>112</v>
      </c>
      <c r="E5781">
        <v>3999.95</v>
      </c>
    </row>
    <row r="5782" spans="2:5">
      <c r="B5782" s="17">
        <v>42407</v>
      </c>
      <c r="D5782" t="s">
        <v>112</v>
      </c>
      <c r="E5782">
        <v>63.68</v>
      </c>
    </row>
    <row r="5783" spans="2:5">
      <c r="B5783" s="17">
        <v>42407</v>
      </c>
      <c r="D5783" t="s">
        <v>270</v>
      </c>
      <c r="E5783">
        <v>7.2160000000000002</v>
      </c>
    </row>
    <row r="5784" spans="2:5">
      <c r="B5784" s="17">
        <v>42407</v>
      </c>
      <c r="D5784" t="s">
        <v>270</v>
      </c>
      <c r="E5784">
        <v>49.568000000000005</v>
      </c>
    </row>
    <row r="5785" spans="2:5">
      <c r="B5785" s="17">
        <v>42406</v>
      </c>
      <c r="D5785" t="s">
        <v>270</v>
      </c>
      <c r="E5785">
        <v>54.711999999999996</v>
      </c>
    </row>
    <row r="5786" spans="2:5">
      <c r="B5786" s="17">
        <v>42405</v>
      </c>
      <c r="D5786" t="s">
        <v>270</v>
      </c>
      <c r="E5786">
        <v>3.2079999999999993</v>
      </c>
    </row>
    <row r="5787" spans="2:5">
      <c r="B5787" s="17">
        <v>42405</v>
      </c>
      <c r="D5787" t="s">
        <v>633</v>
      </c>
      <c r="E5787">
        <v>26.176000000000002</v>
      </c>
    </row>
    <row r="5788" spans="2:5">
      <c r="B5788" s="17">
        <v>42405</v>
      </c>
      <c r="D5788" t="s">
        <v>633</v>
      </c>
      <c r="E5788">
        <v>54.48</v>
      </c>
    </row>
    <row r="5789" spans="2:5">
      <c r="B5789" s="17">
        <v>42405</v>
      </c>
      <c r="D5789" t="s">
        <v>633</v>
      </c>
      <c r="E5789">
        <v>41.6</v>
      </c>
    </row>
    <row r="5790" spans="2:5">
      <c r="B5790" s="17">
        <v>42405</v>
      </c>
      <c r="D5790" t="s">
        <v>633</v>
      </c>
      <c r="E5790">
        <v>79.14</v>
      </c>
    </row>
    <row r="5791" spans="2:5">
      <c r="B5791" s="17">
        <v>42405</v>
      </c>
      <c r="D5791" t="s">
        <v>633</v>
      </c>
      <c r="E5791">
        <v>14.352000000000002</v>
      </c>
    </row>
    <row r="5792" spans="2:5">
      <c r="B5792" s="17">
        <v>42405</v>
      </c>
      <c r="D5792" t="s">
        <v>633</v>
      </c>
      <c r="E5792">
        <v>5.98</v>
      </c>
    </row>
    <row r="5793" spans="2:5">
      <c r="B5793" s="17">
        <v>42405</v>
      </c>
      <c r="D5793" t="s">
        <v>633</v>
      </c>
      <c r="E5793">
        <v>6.7200000000000006</v>
      </c>
    </row>
    <row r="5794" spans="2:5">
      <c r="B5794" s="17">
        <v>42405</v>
      </c>
      <c r="D5794" t="s">
        <v>991</v>
      </c>
      <c r="E5794">
        <v>16.72</v>
      </c>
    </row>
    <row r="5795" spans="2:5">
      <c r="B5795" s="17">
        <v>42405</v>
      </c>
      <c r="D5795" t="s">
        <v>1684</v>
      </c>
      <c r="E5795">
        <v>71.088000000000008</v>
      </c>
    </row>
    <row r="5796" spans="2:5">
      <c r="B5796" s="17">
        <v>42405</v>
      </c>
      <c r="D5796" t="s">
        <v>1684</v>
      </c>
      <c r="E5796">
        <v>1685.88</v>
      </c>
    </row>
    <row r="5797" spans="2:5">
      <c r="B5797" s="17">
        <v>42405</v>
      </c>
      <c r="D5797" t="s">
        <v>1033</v>
      </c>
      <c r="E5797">
        <v>5.7280000000000006</v>
      </c>
    </row>
    <row r="5798" spans="2:5">
      <c r="B5798" s="17">
        <v>42405</v>
      </c>
      <c r="D5798" t="s">
        <v>1033</v>
      </c>
      <c r="E5798">
        <v>93.248000000000005</v>
      </c>
    </row>
    <row r="5799" spans="2:5">
      <c r="B5799" s="17">
        <v>42405</v>
      </c>
      <c r="D5799" t="s">
        <v>1033</v>
      </c>
      <c r="E5799">
        <v>177.48000000000002</v>
      </c>
    </row>
    <row r="5800" spans="2:5">
      <c r="B5800" s="17">
        <v>42405</v>
      </c>
      <c r="D5800" t="s">
        <v>1033</v>
      </c>
      <c r="E5800">
        <v>2.1819999999999995</v>
      </c>
    </row>
    <row r="5801" spans="2:5">
      <c r="B5801" s="17">
        <v>42404</v>
      </c>
      <c r="D5801" t="s">
        <v>1219</v>
      </c>
      <c r="E5801">
        <v>27.384</v>
      </c>
    </row>
    <row r="5802" spans="2:5">
      <c r="B5802" s="17">
        <v>42404</v>
      </c>
      <c r="D5802" t="s">
        <v>1219</v>
      </c>
      <c r="E5802">
        <v>26.405999999999992</v>
      </c>
    </row>
    <row r="5803" spans="2:5">
      <c r="B5803" s="17">
        <v>42404</v>
      </c>
      <c r="D5803" t="s">
        <v>1191</v>
      </c>
      <c r="E5803">
        <v>132.52000000000004</v>
      </c>
    </row>
    <row r="5804" spans="2:5">
      <c r="B5804" s="17">
        <v>42403</v>
      </c>
      <c r="D5804" t="s">
        <v>1191</v>
      </c>
      <c r="E5804">
        <v>195.64</v>
      </c>
    </row>
    <row r="5805" spans="2:5">
      <c r="B5805" s="17">
        <v>42402</v>
      </c>
      <c r="D5805" t="s">
        <v>69</v>
      </c>
      <c r="E5805">
        <v>51.967999999999996</v>
      </c>
    </row>
    <row r="5806" spans="2:5">
      <c r="B5806" s="17">
        <v>42402</v>
      </c>
      <c r="D5806" t="s">
        <v>69</v>
      </c>
      <c r="E5806">
        <v>431.97600000000006</v>
      </c>
    </row>
    <row r="5807" spans="2:5">
      <c r="B5807" s="17">
        <v>42402</v>
      </c>
      <c r="D5807" t="s">
        <v>69</v>
      </c>
      <c r="E5807">
        <v>6</v>
      </c>
    </row>
    <row r="5808" spans="2:5">
      <c r="B5808" s="17">
        <v>42402</v>
      </c>
      <c r="D5808" t="s">
        <v>1826</v>
      </c>
      <c r="E5808">
        <v>86.352000000000004</v>
      </c>
    </row>
    <row r="5809" spans="2:5">
      <c r="B5809" s="17">
        <v>42402</v>
      </c>
      <c r="D5809" t="s">
        <v>1826</v>
      </c>
      <c r="E5809">
        <v>44.94</v>
      </c>
    </row>
    <row r="5810" spans="2:5">
      <c r="B5810" s="17">
        <v>42401</v>
      </c>
      <c r="D5810" t="s">
        <v>1690</v>
      </c>
      <c r="E5810">
        <v>45.576000000000001</v>
      </c>
    </row>
    <row r="5811" spans="2:5">
      <c r="B5811" s="17">
        <v>42401</v>
      </c>
      <c r="D5811" t="s">
        <v>1342</v>
      </c>
      <c r="E5811">
        <v>187.05600000000001</v>
      </c>
    </row>
    <row r="5812" spans="2:5">
      <c r="B5812" s="17">
        <v>42400</v>
      </c>
      <c r="D5812" t="s">
        <v>1342</v>
      </c>
      <c r="E5812">
        <v>18.936</v>
      </c>
    </row>
    <row r="5813" spans="2:5">
      <c r="B5813" s="17">
        <v>42400</v>
      </c>
      <c r="D5813" t="s">
        <v>1342</v>
      </c>
      <c r="E5813">
        <v>12.672000000000001</v>
      </c>
    </row>
    <row r="5814" spans="2:5">
      <c r="B5814" s="17">
        <v>42400</v>
      </c>
      <c r="D5814" t="s">
        <v>1342</v>
      </c>
      <c r="E5814">
        <v>5.04</v>
      </c>
    </row>
    <row r="5815" spans="2:5">
      <c r="B5815" s="17">
        <v>42400</v>
      </c>
      <c r="D5815" t="s">
        <v>1342</v>
      </c>
      <c r="E5815">
        <v>366.74399999999997</v>
      </c>
    </row>
    <row r="5816" spans="2:5">
      <c r="B5816" s="17">
        <v>42400</v>
      </c>
      <c r="D5816" t="s">
        <v>1342</v>
      </c>
      <c r="E5816">
        <v>12.56</v>
      </c>
    </row>
    <row r="5817" spans="2:5">
      <c r="B5817" s="17">
        <v>42400</v>
      </c>
      <c r="D5817" t="s">
        <v>1342</v>
      </c>
      <c r="E5817">
        <v>90.480000000000018</v>
      </c>
    </row>
    <row r="5818" spans="2:5">
      <c r="B5818" s="17">
        <v>42399</v>
      </c>
      <c r="D5818" t="s">
        <v>1342</v>
      </c>
      <c r="E5818">
        <v>13.08</v>
      </c>
    </row>
    <row r="5819" spans="2:5">
      <c r="B5819" s="17">
        <v>42399</v>
      </c>
      <c r="D5819" t="s">
        <v>495</v>
      </c>
      <c r="E5819">
        <v>3.9840000000000004</v>
      </c>
    </row>
    <row r="5820" spans="2:5">
      <c r="B5820" s="17">
        <v>42399</v>
      </c>
      <c r="D5820" t="s">
        <v>495</v>
      </c>
      <c r="E5820">
        <v>370.62</v>
      </c>
    </row>
    <row r="5821" spans="2:5">
      <c r="B5821" s="17">
        <v>42399</v>
      </c>
      <c r="D5821" t="s">
        <v>495</v>
      </c>
      <c r="E5821">
        <v>2.7420000000000004</v>
      </c>
    </row>
    <row r="5822" spans="2:5">
      <c r="B5822" s="17">
        <v>42399</v>
      </c>
      <c r="D5822" t="s">
        <v>246</v>
      </c>
      <c r="E5822">
        <v>109.92</v>
      </c>
    </row>
    <row r="5823" spans="2:5">
      <c r="B5823" s="17">
        <v>42399</v>
      </c>
      <c r="D5823" t="s">
        <v>246</v>
      </c>
      <c r="E5823">
        <v>19.440000000000001</v>
      </c>
    </row>
    <row r="5824" spans="2:5">
      <c r="B5824" s="17">
        <v>42399</v>
      </c>
      <c r="D5824" t="s">
        <v>246</v>
      </c>
      <c r="E5824">
        <v>11.16</v>
      </c>
    </row>
    <row r="5825" spans="2:5">
      <c r="B5825" s="17">
        <v>42399</v>
      </c>
      <c r="D5825" t="s">
        <v>1573</v>
      </c>
      <c r="E5825">
        <v>7.7120000000000006</v>
      </c>
    </row>
    <row r="5826" spans="2:5">
      <c r="B5826" s="17">
        <v>42399</v>
      </c>
      <c r="D5826" t="s">
        <v>776</v>
      </c>
      <c r="E5826">
        <v>22.608000000000001</v>
      </c>
    </row>
    <row r="5827" spans="2:5">
      <c r="B5827" s="17">
        <v>42399</v>
      </c>
      <c r="D5827" t="s">
        <v>776</v>
      </c>
      <c r="E5827">
        <v>111.88800000000001</v>
      </c>
    </row>
    <row r="5828" spans="2:5">
      <c r="B5828" s="17">
        <v>42397</v>
      </c>
      <c r="D5828" t="s">
        <v>776</v>
      </c>
      <c r="E5828">
        <v>369.57600000000002</v>
      </c>
    </row>
    <row r="5829" spans="2:5">
      <c r="B5829" s="17">
        <v>42394</v>
      </c>
      <c r="D5829" t="s">
        <v>776</v>
      </c>
      <c r="E5829">
        <v>15.712000000000002</v>
      </c>
    </row>
    <row r="5830" spans="2:5">
      <c r="B5830" s="17">
        <v>42394</v>
      </c>
      <c r="D5830" t="s">
        <v>435</v>
      </c>
      <c r="E5830">
        <v>29.472000000000001</v>
      </c>
    </row>
    <row r="5831" spans="2:5">
      <c r="B5831" s="17">
        <v>42394</v>
      </c>
      <c r="D5831" t="s">
        <v>435</v>
      </c>
      <c r="E5831">
        <v>41.568000000000005</v>
      </c>
    </row>
    <row r="5832" spans="2:5">
      <c r="B5832" s="17">
        <v>42394</v>
      </c>
      <c r="D5832" t="s">
        <v>435</v>
      </c>
      <c r="E5832">
        <v>30.344000000000001</v>
      </c>
    </row>
    <row r="5833" spans="2:5">
      <c r="B5833" s="17">
        <v>42394</v>
      </c>
      <c r="D5833" t="s">
        <v>435</v>
      </c>
      <c r="E5833">
        <v>434.64600000000002</v>
      </c>
    </row>
    <row r="5834" spans="2:5">
      <c r="B5834" s="17">
        <v>42394</v>
      </c>
      <c r="D5834" t="s">
        <v>435</v>
      </c>
      <c r="E5834">
        <v>82.8</v>
      </c>
    </row>
    <row r="5835" spans="2:5">
      <c r="B5835" s="17">
        <v>42393</v>
      </c>
      <c r="D5835" t="s">
        <v>435</v>
      </c>
      <c r="E5835">
        <v>20.724000000000004</v>
      </c>
    </row>
    <row r="5836" spans="2:5">
      <c r="B5836" s="17">
        <v>42392</v>
      </c>
      <c r="D5836" t="s">
        <v>435</v>
      </c>
      <c r="E5836">
        <v>4.8960000000000008</v>
      </c>
    </row>
    <row r="5837" spans="2:5">
      <c r="B5837" s="17">
        <v>42392</v>
      </c>
      <c r="D5837" t="s">
        <v>48</v>
      </c>
      <c r="E5837">
        <v>3.9840000000000004</v>
      </c>
    </row>
    <row r="5838" spans="2:5">
      <c r="B5838" s="17">
        <v>42392</v>
      </c>
      <c r="D5838" t="s">
        <v>48</v>
      </c>
      <c r="E5838">
        <v>15.552000000000003</v>
      </c>
    </row>
    <row r="5839" spans="2:5">
      <c r="B5839" s="17">
        <v>42392</v>
      </c>
      <c r="D5839" t="s">
        <v>48</v>
      </c>
      <c r="E5839">
        <v>1325.76</v>
      </c>
    </row>
    <row r="5840" spans="2:5">
      <c r="B5840" s="17">
        <v>42391</v>
      </c>
      <c r="D5840" t="s">
        <v>48</v>
      </c>
      <c r="E5840">
        <v>3.1080000000000001</v>
      </c>
    </row>
    <row r="5841" spans="2:5">
      <c r="B5841" s="17">
        <v>42391</v>
      </c>
      <c r="D5841" t="s">
        <v>1663</v>
      </c>
      <c r="E5841">
        <v>99.99</v>
      </c>
    </row>
    <row r="5842" spans="2:5">
      <c r="B5842" s="17">
        <v>42391</v>
      </c>
      <c r="D5842" t="s">
        <v>1287</v>
      </c>
      <c r="E5842">
        <v>36.240000000000009</v>
      </c>
    </row>
    <row r="5843" spans="2:5">
      <c r="B5843" s="17">
        <v>42391</v>
      </c>
      <c r="D5843" t="s">
        <v>1287</v>
      </c>
      <c r="E5843">
        <v>108.33600000000001</v>
      </c>
    </row>
    <row r="5844" spans="2:5">
      <c r="B5844" s="17">
        <v>42391</v>
      </c>
      <c r="D5844" t="s">
        <v>1287</v>
      </c>
      <c r="E5844">
        <v>55.92</v>
      </c>
    </row>
    <row r="5845" spans="2:5">
      <c r="B5845" s="17">
        <v>42391</v>
      </c>
      <c r="D5845" t="s">
        <v>1287</v>
      </c>
      <c r="E5845">
        <v>78.304000000000002</v>
      </c>
    </row>
    <row r="5846" spans="2:5">
      <c r="B5846" s="17">
        <v>42391</v>
      </c>
      <c r="D5846" t="s">
        <v>1287</v>
      </c>
      <c r="E5846">
        <v>18.088000000000001</v>
      </c>
    </row>
    <row r="5847" spans="2:5">
      <c r="B5847" s="17">
        <v>42391</v>
      </c>
      <c r="D5847" t="s">
        <v>1287</v>
      </c>
      <c r="E5847">
        <v>71.97</v>
      </c>
    </row>
    <row r="5848" spans="2:5">
      <c r="B5848" s="17">
        <v>42391</v>
      </c>
      <c r="D5848" t="s">
        <v>1287</v>
      </c>
      <c r="E5848">
        <v>23.56</v>
      </c>
    </row>
    <row r="5849" spans="2:5">
      <c r="B5849" s="17">
        <v>42391</v>
      </c>
      <c r="D5849" t="s">
        <v>108</v>
      </c>
      <c r="E5849">
        <v>1272.6299999999999</v>
      </c>
    </row>
    <row r="5850" spans="2:5">
      <c r="B5850" s="17">
        <v>42391</v>
      </c>
      <c r="D5850" t="s">
        <v>108</v>
      </c>
      <c r="E5850">
        <v>28.484999999999999</v>
      </c>
    </row>
    <row r="5851" spans="2:5">
      <c r="B5851" s="17">
        <v>42390</v>
      </c>
      <c r="D5851" t="s">
        <v>108</v>
      </c>
      <c r="E5851">
        <v>185.376</v>
      </c>
    </row>
    <row r="5852" spans="2:5">
      <c r="B5852" s="17">
        <v>42390</v>
      </c>
      <c r="D5852" t="s">
        <v>108</v>
      </c>
      <c r="E5852">
        <v>78.272000000000006</v>
      </c>
    </row>
    <row r="5853" spans="2:5">
      <c r="B5853" s="17">
        <v>42386</v>
      </c>
      <c r="D5853" t="s">
        <v>108</v>
      </c>
      <c r="E5853">
        <v>86.62</v>
      </c>
    </row>
    <row r="5854" spans="2:5">
      <c r="B5854" s="17">
        <v>42386</v>
      </c>
      <c r="D5854" t="s">
        <v>108</v>
      </c>
      <c r="E5854">
        <v>23.952000000000002</v>
      </c>
    </row>
    <row r="5855" spans="2:5">
      <c r="B5855" s="17">
        <v>42386</v>
      </c>
      <c r="D5855" t="s">
        <v>108</v>
      </c>
      <c r="E5855">
        <v>31.56</v>
      </c>
    </row>
    <row r="5856" spans="2:5">
      <c r="B5856" s="17">
        <v>42386</v>
      </c>
      <c r="D5856" t="s">
        <v>108</v>
      </c>
      <c r="E5856">
        <v>32.129999999999995</v>
      </c>
    </row>
    <row r="5857" spans="2:5">
      <c r="B5857" s="17">
        <v>42385</v>
      </c>
      <c r="D5857" t="s">
        <v>108</v>
      </c>
      <c r="E5857">
        <v>2.88</v>
      </c>
    </row>
    <row r="5858" spans="2:5">
      <c r="B5858" s="17">
        <v>42385</v>
      </c>
      <c r="D5858" t="s">
        <v>108</v>
      </c>
      <c r="E5858">
        <v>102.33600000000001</v>
      </c>
    </row>
    <row r="5859" spans="2:5">
      <c r="B5859" s="17">
        <v>42384</v>
      </c>
      <c r="D5859" t="s">
        <v>108</v>
      </c>
      <c r="E5859">
        <v>48.791999999999987</v>
      </c>
    </row>
    <row r="5860" spans="2:5">
      <c r="B5860" s="17">
        <v>42384</v>
      </c>
      <c r="D5860" t="s">
        <v>108</v>
      </c>
      <c r="E5860">
        <v>44.847999999999992</v>
      </c>
    </row>
    <row r="5861" spans="2:5">
      <c r="B5861" s="17">
        <v>42384</v>
      </c>
      <c r="D5861" t="s">
        <v>108</v>
      </c>
      <c r="E5861">
        <v>8.32</v>
      </c>
    </row>
    <row r="5862" spans="2:5">
      <c r="B5862" s="17">
        <v>42384</v>
      </c>
      <c r="D5862" t="s">
        <v>108</v>
      </c>
      <c r="E5862">
        <v>15.48</v>
      </c>
    </row>
    <row r="5863" spans="2:5">
      <c r="B5863" s="17">
        <v>42384</v>
      </c>
      <c r="D5863" t="s">
        <v>108</v>
      </c>
      <c r="E5863">
        <v>51.84</v>
      </c>
    </row>
    <row r="5864" spans="2:5">
      <c r="B5864" s="17">
        <v>42384</v>
      </c>
      <c r="D5864" t="s">
        <v>229</v>
      </c>
      <c r="E5864">
        <v>419.4</v>
      </c>
    </row>
    <row r="5865" spans="2:5">
      <c r="B5865" s="17">
        <v>42384</v>
      </c>
      <c r="D5865" t="s">
        <v>229</v>
      </c>
      <c r="E5865">
        <v>39.960000000000008</v>
      </c>
    </row>
    <row r="5866" spans="2:5">
      <c r="B5866" s="17">
        <v>42384</v>
      </c>
      <c r="D5866" t="s">
        <v>229</v>
      </c>
      <c r="E5866">
        <v>5.46</v>
      </c>
    </row>
    <row r="5867" spans="2:5">
      <c r="B5867" s="17">
        <v>42383</v>
      </c>
      <c r="D5867" t="s">
        <v>229</v>
      </c>
      <c r="E5867">
        <v>73.2</v>
      </c>
    </row>
    <row r="5868" spans="2:5">
      <c r="B5868" s="17">
        <v>42383</v>
      </c>
      <c r="D5868" t="s">
        <v>229</v>
      </c>
      <c r="E5868">
        <v>5.84</v>
      </c>
    </row>
    <row r="5869" spans="2:5">
      <c r="B5869" s="17">
        <v>42380</v>
      </c>
      <c r="D5869" t="s">
        <v>229</v>
      </c>
      <c r="E5869">
        <v>22.72</v>
      </c>
    </row>
    <row r="5870" spans="2:5">
      <c r="B5870" s="17">
        <v>42380</v>
      </c>
      <c r="D5870" t="s">
        <v>229</v>
      </c>
      <c r="E5870">
        <v>9.3360000000000003</v>
      </c>
    </row>
    <row r="5871" spans="2:5">
      <c r="B5871" s="17">
        <v>42380</v>
      </c>
      <c r="D5871" t="s">
        <v>229</v>
      </c>
      <c r="E5871">
        <v>25.98</v>
      </c>
    </row>
    <row r="5872" spans="2:5">
      <c r="B5872" s="17">
        <v>42380</v>
      </c>
      <c r="D5872" t="s">
        <v>229</v>
      </c>
      <c r="E5872">
        <v>3.28</v>
      </c>
    </row>
    <row r="5873" spans="2:5">
      <c r="B5873" s="17">
        <v>42379</v>
      </c>
      <c r="D5873" t="s">
        <v>1501</v>
      </c>
      <c r="E5873">
        <v>459.88</v>
      </c>
    </row>
    <row r="5874" spans="2:5">
      <c r="B5874" s="17">
        <v>42379</v>
      </c>
      <c r="D5874" t="s">
        <v>1501</v>
      </c>
      <c r="E5874">
        <v>7.76</v>
      </c>
    </row>
    <row r="5875" spans="2:5">
      <c r="B5875" s="17">
        <v>42379</v>
      </c>
      <c r="D5875" t="s">
        <v>1501</v>
      </c>
      <c r="E5875">
        <v>71.959999999999994</v>
      </c>
    </row>
    <row r="5876" spans="2:5">
      <c r="B5876" s="17">
        <v>42378</v>
      </c>
      <c r="D5876" t="s">
        <v>1501</v>
      </c>
      <c r="E5876">
        <v>54.900000000000006</v>
      </c>
    </row>
    <row r="5877" spans="2:5">
      <c r="B5877" s="17">
        <v>42378</v>
      </c>
      <c r="D5877" t="s">
        <v>1501</v>
      </c>
      <c r="E5877">
        <v>9.2799999999999994</v>
      </c>
    </row>
    <row r="5878" spans="2:5">
      <c r="B5878" s="17">
        <v>42378</v>
      </c>
      <c r="D5878" t="s">
        <v>328</v>
      </c>
      <c r="E5878">
        <v>9.6640000000000015</v>
      </c>
    </row>
    <row r="5879" spans="2:5">
      <c r="B5879" s="17">
        <v>42377</v>
      </c>
      <c r="D5879" t="s">
        <v>328</v>
      </c>
      <c r="E5879">
        <v>29.56</v>
      </c>
    </row>
    <row r="5880" spans="2:5">
      <c r="B5880" s="17">
        <v>42377</v>
      </c>
      <c r="D5880" t="s">
        <v>328</v>
      </c>
      <c r="E5880">
        <v>344.37199999999996</v>
      </c>
    </row>
    <row r="5881" spans="2:5">
      <c r="B5881" s="17">
        <v>42377</v>
      </c>
      <c r="D5881" t="s">
        <v>328</v>
      </c>
      <c r="E5881">
        <v>1554.9360000000001</v>
      </c>
    </row>
    <row r="5882" spans="2:5">
      <c r="B5882" s="17">
        <v>42377</v>
      </c>
      <c r="D5882" t="s">
        <v>328</v>
      </c>
      <c r="E5882">
        <v>127.88</v>
      </c>
    </row>
    <row r="5883" spans="2:5">
      <c r="B5883" s="17">
        <v>42377</v>
      </c>
      <c r="D5883" t="s">
        <v>328</v>
      </c>
      <c r="E5883">
        <v>6.99</v>
      </c>
    </row>
    <row r="5884" spans="2:5">
      <c r="B5884" s="17">
        <v>42376</v>
      </c>
      <c r="D5884" t="s">
        <v>328</v>
      </c>
      <c r="E5884">
        <v>6.84</v>
      </c>
    </row>
    <row r="5885" spans="2:5">
      <c r="B5885" s="17">
        <v>42376</v>
      </c>
      <c r="D5885" t="s">
        <v>328</v>
      </c>
      <c r="E5885">
        <v>36.792000000000002</v>
      </c>
    </row>
    <row r="5886" spans="2:5">
      <c r="B5886" s="17">
        <v>42376</v>
      </c>
      <c r="D5886" t="s">
        <v>328</v>
      </c>
      <c r="E5886">
        <v>18.624000000000002</v>
      </c>
    </row>
    <row r="5887" spans="2:5">
      <c r="B5887" s="17">
        <v>42374</v>
      </c>
      <c r="D5887" t="s">
        <v>328</v>
      </c>
      <c r="E5887">
        <v>29.049999999999997</v>
      </c>
    </row>
    <row r="5888" spans="2:5">
      <c r="B5888" s="17">
        <v>42374</v>
      </c>
      <c r="D5888" t="s">
        <v>1367</v>
      </c>
      <c r="E5888">
        <v>79.12</v>
      </c>
    </row>
    <row r="5889" spans="2:5">
      <c r="B5889" s="17">
        <v>42374</v>
      </c>
      <c r="D5889" t="s">
        <v>1367</v>
      </c>
      <c r="E5889">
        <v>12.84</v>
      </c>
    </row>
    <row r="5890" spans="2:5">
      <c r="B5890" s="17">
        <v>42373</v>
      </c>
      <c r="D5890" t="s">
        <v>1367</v>
      </c>
      <c r="E5890">
        <v>9099.93</v>
      </c>
    </row>
    <row r="5891" spans="2:5">
      <c r="B5891" s="17">
        <v>42373</v>
      </c>
      <c r="D5891" t="s">
        <v>1367</v>
      </c>
      <c r="E5891">
        <v>9.9600000000000009</v>
      </c>
    </row>
    <row r="5892" spans="2:5">
      <c r="B5892" s="17">
        <v>42373</v>
      </c>
      <c r="D5892" t="s">
        <v>1367</v>
      </c>
      <c r="E5892">
        <v>25.299999999999997</v>
      </c>
    </row>
    <row r="5893" spans="2:5">
      <c r="B5893" s="17">
        <v>42372</v>
      </c>
      <c r="D5893" t="s">
        <v>1168</v>
      </c>
      <c r="E5893">
        <v>28.799999999999997</v>
      </c>
    </row>
    <row r="5894" spans="2:5">
      <c r="B5894" s="17">
        <v>42372</v>
      </c>
      <c r="D5894" t="s">
        <v>1168</v>
      </c>
      <c r="E5894">
        <v>35.167999999999999</v>
      </c>
    </row>
    <row r="5895" spans="2:5">
      <c r="B5895" s="17">
        <v>42372</v>
      </c>
      <c r="D5895" t="s">
        <v>1168</v>
      </c>
      <c r="E5895">
        <v>123.08799999999999</v>
      </c>
    </row>
    <row r="5896" spans="2:5">
      <c r="B5896" s="17">
        <v>42372</v>
      </c>
      <c r="D5896" t="s">
        <v>1168</v>
      </c>
      <c r="E5896">
        <v>189.58800000000005</v>
      </c>
    </row>
    <row r="5897" spans="2:5">
      <c r="B5897" s="17">
        <v>42372</v>
      </c>
      <c r="D5897" t="s">
        <v>1168</v>
      </c>
      <c r="E5897">
        <v>408.74399999999997</v>
      </c>
    </row>
    <row r="5898" spans="2:5">
      <c r="B5898" s="17">
        <v>42372</v>
      </c>
      <c r="D5898" t="s">
        <v>170</v>
      </c>
      <c r="E5898">
        <v>4.7679999999999998</v>
      </c>
    </row>
    <row r="5899" spans="2:5">
      <c r="B5899" s="17">
        <v>42371</v>
      </c>
      <c r="D5899" t="s">
        <v>170</v>
      </c>
      <c r="E5899">
        <v>1121.568</v>
      </c>
    </row>
    <row r="5900" spans="2:5">
      <c r="B5900" s="17">
        <v>42371</v>
      </c>
      <c r="D5900" t="s">
        <v>170</v>
      </c>
      <c r="E5900">
        <v>33.488000000000007</v>
      </c>
    </row>
    <row r="5901" spans="2:5">
      <c r="B5901" s="17">
        <v>42369</v>
      </c>
      <c r="D5901" t="s">
        <v>140</v>
      </c>
      <c r="E5901">
        <v>8.0399999999999991</v>
      </c>
    </row>
    <row r="5902" spans="2:5">
      <c r="B5902" s="17">
        <v>42369</v>
      </c>
      <c r="D5902" t="s">
        <v>140</v>
      </c>
      <c r="E5902">
        <v>143.69999999999999</v>
      </c>
    </row>
    <row r="5903" spans="2:5">
      <c r="B5903" s="17">
        <v>42369</v>
      </c>
      <c r="D5903" t="s">
        <v>140</v>
      </c>
      <c r="E5903">
        <v>383.8</v>
      </c>
    </row>
    <row r="5904" spans="2:5">
      <c r="B5904" s="17">
        <v>42369</v>
      </c>
      <c r="D5904" t="s">
        <v>140</v>
      </c>
      <c r="E5904">
        <v>933.53600000000006</v>
      </c>
    </row>
    <row r="5905" spans="2:5">
      <c r="B5905" s="17">
        <v>42369</v>
      </c>
      <c r="D5905" t="s">
        <v>140</v>
      </c>
      <c r="E5905">
        <v>42.975999999999999</v>
      </c>
    </row>
    <row r="5906" spans="2:5">
      <c r="B5906" s="17">
        <v>42369</v>
      </c>
      <c r="D5906" t="s">
        <v>140</v>
      </c>
      <c r="E5906">
        <v>81.199999999999989</v>
      </c>
    </row>
    <row r="5907" spans="2:5">
      <c r="B5907" s="17">
        <v>42369</v>
      </c>
      <c r="D5907" t="s">
        <v>140</v>
      </c>
      <c r="E5907">
        <v>25.06</v>
      </c>
    </row>
    <row r="5908" spans="2:5">
      <c r="B5908" s="17">
        <v>42369</v>
      </c>
      <c r="D5908" t="s">
        <v>140</v>
      </c>
      <c r="E5908">
        <v>6.12</v>
      </c>
    </row>
    <row r="5909" spans="2:5">
      <c r="B5909" s="17">
        <v>42369</v>
      </c>
      <c r="D5909" t="s">
        <v>986</v>
      </c>
      <c r="E5909">
        <v>40.99</v>
      </c>
    </row>
    <row r="5910" spans="2:5">
      <c r="B5910" s="17">
        <v>42369</v>
      </c>
      <c r="D5910" t="s">
        <v>986</v>
      </c>
      <c r="E5910">
        <v>63.9</v>
      </c>
    </row>
    <row r="5911" spans="2:5">
      <c r="B5911" s="17">
        <v>42369</v>
      </c>
      <c r="D5911" t="s">
        <v>986</v>
      </c>
      <c r="E5911">
        <v>638.28800000000012</v>
      </c>
    </row>
    <row r="5912" spans="2:5">
      <c r="B5912" s="17">
        <v>42368</v>
      </c>
      <c r="D5912" t="s">
        <v>986</v>
      </c>
      <c r="E5912">
        <v>13.208000000000002</v>
      </c>
    </row>
    <row r="5913" spans="2:5">
      <c r="B5913" s="17">
        <v>42368</v>
      </c>
      <c r="D5913" t="s">
        <v>986</v>
      </c>
      <c r="E5913">
        <v>19.440000000000001</v>
      </c>
    </row>
    <row r="5914" spans="2:5">
      <c r="B5914" s="17">
        <v>42368</v>
      </c>
      <c r="D5914" t="s">
        <v>1301</v>
      </c>
      <c r="E5914">
        <v>194.35200000000003</v>
      </c>
    </row>
    <row r="5915" spans="2:5">
      <c r="B5915" s="17">
        <v>42368</v>
      </c>
      <c r="D5915" t="s">
        <v>1301</v>
      </c>
      <c r="E5915">
        <v>36.624000000000002</v>
      </c>
    </row>
    <row r="5916" spans="2:5">
      <c r="B5916" s="17">
        <v>42368</v>
      </c>
      <c r="D5916" t="s">
        <v>1301</v>
      </c>
      <c r="E5916">
        <v>129.55199999999999</v>
      </c>
    </row>
    <row r="5917" spans="2:5">
      <c r="B5917" s="17">
        <v>42367</v>
      </c>
      <c r="D5917" t="s">
        <v>1301</v>
      </c>
      <c r="E5917">
        <v>51.984000000000009</v>
      </c>
    </row>
    <row r="5918" spans="2:5">
      <c r="B5918" s="17">
        <v>42366</v>
      </c>
      <c r="D5918" t="s">
        <v>1623</v>
      </c>
      <c r="E5918">
        <v>10.272000000000002</v>
      </c>
    </row>
    <row r="5919" spans="2:5">
      <c r="B5919" s="17">
        <v>42366</v>
      </c>
      <c r="D5919" t="s">
        <v>1623</v>
      </c>
      <c r="E5919">
        <v>8.9040000000000017</v>
      </c>
    </row>
    <row r="5920" spans="2:5">
      <c r="B5920" s="17">
        <v>42365</v>
      </c>
      <c r="D5920" t="s">
        <v>1623</v>
      </c>
      <c r="E5920">
        <v>12.96</v>
      </c>
    </row>
    <row r="5921" spans="2:5">
      <c r="B5921" s="17">
        <v>42365</v>
      </c>
      <c r="D5921" t="s">
        <v>1623</v>
      </c>
      <c r="E5921">
        <v>23.2</v>
      </c>
    </row>
    <row r="5922" spans="2:5">
      <c r="B5922" s="17">
        <v>42365</v>
      </c>
      <c r="D5922" t="s">
        <v>654</v>
      </c>
      <c r="E5922">
        <v>113.76</v>
      </c>
    </row>
    <row r="5923" spans="2:5">
      <c r="B5923" s="17">
        <v>42365</v>
      </c>
      <c r="D5923" t="s">
        <v>654</v>
      </c>
      <c r="E5923">
        <v>579.51</v>
      </c>
    </row>
    <row r="5924" spans="2:5">
      <c r="B5924" s="17">
        <v>42365</v>
      </c>
      <c r="D5924" t="s">
        <v>654</v>
      </c>
      <c r="E5924">
        <v>150.66</v>
      </c>
    </row>
    <row r="5925" spans="2:5">
      <c r="B5925" s="17">
        <v>42365</v>
      </c>
      <c r="D5925" t="s">
        <v>654</v>
      </c>
      <c r="E5925">
        <v>48.032000000000004</v>
      </c>
    </row>
    <row r="5926" spans="2:5">
      <c r="B5926" s="17">
        <v>42365</v>
      </c>
      <c r="D5926" t="s">
        <v>654</v>
      </c>
      <c r="E5926">
        <v>13.568000000000001</v>
      </c>
    </row>
    <row r="5927" spans="2:5">
      <c r="B5927" s="17">
        <v>42365</v>
      </c>
      <c r="D5927" t="s">
        <v>654</v>
      </c>
      <c r="E5927">
        <v>35.352000000000004</v>
      </c>
    </row>
    <row r="5928" spans="2:5">
      <c r="B5928" s="17">
        <v>42365</v>
      </c>
      <c r="D5928" t="s">
        <v>654</v>
      </c>
      <c r="E5928">
        <v>517.9</v>
      </c>
    </row>
    <row r="5929" spans="2:5">
      <c r="B5929" s="17">
        <v>42365</v>
      </c>
      <c r="D5929" t="s">
        <v>654</v>
      </c>
      <c r="E5929">
        <v>5.28</v>
      </c>
    </row>
    <row r="5930" spans="2:5">
      <c r="B5930" s="17">
        <v>42365</v>
      </c>
      <c r="D5930" t="s">
        <v>1395</v>
      </c>
      <c r="E5930">
        <v>556.66499999999996</v>
      </c>
    </row>
    <row r="5931" spans="2:5">
      <c r="B5931" s="17">
        <v>42365</v>
      </c>
      <c r="D5931" t="s">
        <v>1395</v>
      </c>
      <c r="E5931">
        <v>388.70400000000006</v>
      </c>
    </row>
    <row r="5932" spans="2:5">
      <c r="B5932" s="17">
        <v>42365</v>
      </c>
      <c r="D5932" t="s">
        <v>1395</v>
      </c>
      <c r="E5932">
        <v>8.26</v>
      </c>
    </row>
    <row r="5933" spans="2:5">
      <c r="B5933" s="17">
        <v>42365</v>
      </c>
      <c r="D5933" t="s">
        <v>1395</v>
      </c>
      <c r="E5933">
        <v>17.04</v>
      </c>
    </row>
    <row r="5934" spans="2:5">
      <c r="B5934" s="17">
        <v>42365</v>
      </c>
      <c r="D5934" t="s">
        <v>1395</v>
      </c>
      <c r="E5934">
        <v>34.4</v>
      </c>
    </row>
    <row r="5935" spans="2:5">
      <c r="B5935" s="17">
        <v>42365</v>
      </c>
      <c r="D5935" t="s">
        <v>1395</v>
      </c>
      <c r="E5935">
        <v>20.04</v>
      </c>
    </row>
    <row r="5936" spans="2:5">
      <c r="B5936" s="17">
        <v>42365</v>
      </c>
      <c r="D5936" t="s">
        <v>1395</v>
      </c>
      <c r="E5936">
        <v>64.959999999999994</v>
      </c>
    </row>
    <row r="5937" spans="2:5">
      <c r="B5937" s="17">
        <v>42365</v>
      </c>
      <c r="D5937" t="s">
        <v>1395</v>
      </c>
      <c r="E5937">
        <v>12.96</v>
      </c>
    </row>
    <row r="5938" spans="2:5">
      <c r="B5938" s="17">
        <v>42365</v>
      </c>
      <c r="D5938" t="s">
        <v>1395</v>
      </c>
      <c r="E5938">
        <v>431.92800000000005</v>
      </c>
    </row>
    <row r="5939" spans="2:5">
      <c r="B5939" s="17">
        <v>42365</v>
      </c>
      <c r="D5939" t="s">
        <v>317</v>
      </c>
      <c r="E5939">
        <v>95.983999999999995</v>
      </c>
    </row>
    <row r="5940" spans="2:5">
      <c r="B5940" s="17">
        <v>42365</v>
      </c>
      <c r="D5940" t="s">
        <v>317</v>
      </c>
      <c r="E5940">
        <v>1088.7919999999997</v>
      </c>
    </row>
    <row r="5941" spans="2:5">
      <c r="B5941" s="17">
        <v>42365</v>
      </c>
      <c r="D5941" t="s">
        <v>317</v>
      </c>
      <c r="E5941">
        <v>8.8719999999999999</v>
      </c>
    </row>
    <row r="5942" spans="2:5">
      <c r="B5942" s="17">
        <v>42364</v>
      </c>
      <c r="D5942" t="s">
        <v>317</v>
      </c>
      <c r="E5942">
        <v>121.10400000000003</v>
      </c>
    </row>
    <row r="5943" spans="2:5">
      <c r="B5943" s="17">
        <v>42364</v>
      </c>
      <c r="D5943" t="s">
        <v>317</v>
      </c>
      <c r="E5943">
        <v>24.700000000000003</v>
      </c>
    </row>
    <row r="5944" spans="2:5">
      <c r="B5944" s="17">
        <v>42364</v>
      </c>
      <c r="D5944" t="s">
        <v>317</v>
      </c>
      <c r="E5944">
        <v>17.920000000000002</v>
      </c>
    </row>
    <row r="5945" spans="2:5">
      <c r="B5945" s="17">
        <v>42364</v>
      </c>
      <c r="D5945" t="s">
        <v>317</v>
      </c>
      <c r="E5945">
        <v>354.90000000000003</v>
      </c>
    </row>
    <row r="5946" spans="2:5">
      <c r="B5946" s="17">
        <v>42363</v>
      </c>
      <c r="D5946" t="s">
        <v>317</v>
      </c>
      <c r="E5946">
        <v>30</v>
      </c>
    </row>
    <row r="5947" spans="2:5">
      <c r="B5947" s="17">
        <v>42363</v>
      </c>
      <c r="D5947" t="s">
        <v>317</v>
      </c>
      <c r="E5947">
        <v>25.92</v>
      </c>
    </row>
    <row r="5948" spans="2:5">
      <c r="B5948" s="17">
        <v>42363</v>
      </c>
      <c r="D5948" t="s">
        <v>1889</v>
      </c>
      <c r="E5948">
        <v>159.91999999999999</v>
      </c>
    </row>
    <row r="5949" spans="2:5">
      <c r="B5949" s="17">
        <v>42363</v>
      </c>
      <c r="D5949" t="s">
        <v>398</v>
      </c>
      <c r="E5949">
        <v>1199.9760000000001</v>
      </c>
    </row>
    <row r="5950" spans="2:5">
      <c r="B5950" s="17">
        <v>42363</v>
      </c>
      <c r="D5950" t="s">
        <v>398</v>
      </c>
      <c r="E5950">
        <v>658.74599999999998</v>
      </c>
    </row>
    <row r="5951" spans="2:5">
      <c r="B5951" s="17">
        <v>42363</v>
      </c>
      <c r="D5951" t="s">
        <v>398</v>
      </c>
      <c r="E5951">
        <v>3.64</v>
      </c>
    </row>
    <row r="5952" spans="2:5">
      <c r="B5952" s="17">
        <v>42363</v>
      </c>
      <c r="D5952" t="s">
        <v>398</v>
      </c>
      <c r="E5952">
        <v>37.94</v>
      </c>
    </row>
    <row r="5953" spans="2:5">
      <c r="B5953" s="17">
        <v>42363</v>
      </c>
      <c r="D5953" t="s">
        <v>398</v>
      </c>
      <c r="E5953">
        <v>33.528000000000006</v>
      </c>
    </row>
    <row r="5954" spans="2:5">
      <c r="B5954" s="17">
        <v>42363</v>
      </c>
      <c r="D5954" t="s">
        <v>1800</v>
      </c>
      <c r="E5954">
        <v>36.744</v>
      </c>
    </row>
    <row r="5955" spans="2:5">
      <c r="B5955" s="17">
        <v>42363</v>
      </c>
      <c r="D5955" t="s">
        <v>1800</v>
      </c>
      <c r="E5955">
        <v>1294.75</v>
      </c>
    </row>
    <row r="5956" spans="2:5">
      <c r="B5956" s="17">
        <v>42363</v>
      </c>
      <c r="D5956" t="s">
        <v>1800</v>
      </c>
      <c r="E5956">
        <v>158.36800000000002</v>
      </c>
    </row>
    <row r="5957" spans="2:5">
      <c r="B5957" s="17">
        <v>42363</v>
      </c>
      <c r="D5957" t="s">
        <v>1244</v>
      </c>
      <c r="E5957">
        <v>118.78199999999998</v>
      </c>
    </row>
    <row r="5958" spans="2:5">
      <c r="B5958" s="17">
        <v>42363</v>
      </c>
      <c r="D5958" t="s">
        <v>1244</v>
      </c>
      <c r="E5958">
        <v>769.18400000000008</v>
      </c>
    </row>
    <row r="5959" spans="2:5">
      <c r="B5959" s="17">
        <v>42363</v>
      </c>
      <c r="D5959" t="s">
        <v>1244</v>
      </c>
      <c r="E5959">
        <v>149.97</v>
      </c>
    </row>
    <row r="5960" spans="2:5">
      <c r="B5960" s="17">
        <v>42363</v>
      </c>
      <c r="D5960" t="s">
        <v>1316</v>
      </c>
      <c r="E5960">
        <v>27.81</v>
      </c>
    </row>
    <row r="5961" spans="2:5">
      <c r="B5961" s="17">
        <v>42363</v>
      </c>
      <c r="D5961" t="s">
        <v>1316</v>
      </c>
      <c r="E5961">
        <v>588.78399999999999</v>
      </c>
    </row>
    <row r="5962" spans="2:5">
      <c r="B5962" s="17">
        <v>42362</v>
      </c>
      <c r="D5962" t="s">
        <v>1316</v>
      </c>
      <c r="E5962">
        <v>82.64</v>
      </c>
    </row>
    <row r="5963" spans="2:5">
      <c r="B5963" s="17">
        <v>42362</v>
      </c>
      <c r="D5963" t="s">
        <v>1316</v>
      </c>
      <c r="E5963">
        <v>31.02</v>
      </c>
    </row>
    <row r="5964" spans="2:5">
      <c r="B5964" s="17">
        <v>42362</v>
      </c>
      <c r="D5964" t="s">
        <v>264</v>
      </c>
      <c r="E5964">
        <v>89.97</v>
      </c>
    </row>
    <row r="5965" spans="2:5">
      <c r="B5965" s="17">
        <v>42362</v>
      </c>
      <c r="D5965" t="s">
        <v>264</v>
      </c>
      <c r="E5965">
        <v>99.846000000000004</v>
      </c>
    </row>
    <row r="5966" spans="2:5">
      <c r="B5966" s="17">
        <v>42362</v>
      </c>
      <c r="D5966" t="s">
        <v>264</v>
      </c>
      <c r="E5966">
        <v>71.12</v>
      </c>
    </row>
    <row r="5967" spans="2:5">
      <c r="B5967" s="17">
        <v>42362</v>
      </c>
      <c r="D5967" t="s">
        <v>264</v>
      </c>
      <c r="E5967">
        <v>10.272000000000002</v>
      </c>
    </row>
    <row r="5968" spans="2:5">
      <c r="B5968" s="17">
        <v>42362</v>
      </c>
      <c r="D5968" t="s">
        <v>1210</v>
      </c>
      <c r="E5968">
        <v>1454.9</v>
      </c>
    </row>
    <row r="5969" spans="2:5">
      <c r="B5969" s="17">
        <v>42362</v>
      </c>
      <c r="D5969" t="s">
        <v>1210</v>
      </c>
      <c r="E5969">
        <v>59.519999999999996</v>
      </c>
    </row>
    <row r="5970" spans="2:5">
      <c r="B5970" s="17">
        <v>42362</v>
      </c>
      <c r="D5970" t="s">
        <v>1210</v>
      </c>
      <c r="E5970">
        <v>161.94</v>
      </c>
    </row>
    <row r="5971" spans="2:5">
      <c r="B5971" s="17">
        <v>42362</v>
      </c>
      <c r="D5971" t="s">
        <v>1210</v>
      </c>
      <c r="E5971">
        <v>30.48</v>
      </c>
    </row>
    <row r="5972" spans="2:5">
      <c r="B5972" s="17">
        <v>42362</v>
      </c>
      <c r="D5972" t="s">
        <v>1210</v>
      </c>
      <c r="E5972">
        <v>9.84</v>
      </c>
    </row>
    <row r="5973" spans="2:5">
      <c r="B5973" s="17">
        <v>42362</v>
      </c>
      <c r="D5973" t="s">
        <v>1210</v>
      </c>
      <c r="E5973">
        <v>35.119999999999997</v>
      </c>
    </row>
    <row r="5974" spans="2:5">
      <c r="B5974" s="17">
        <v>42362</v>
      </c>
      <c r="D5974" t="s">
        <v>1210</v>
      </c>
      <c r="E5974">
        <v>31.560000000000002</v>
      </c>
    </row>
    <row r="5975" spans="2:5">
      <c r="B5975" s="17">
        <v>42362</v>
      </c>
      <c r="D5975" t="s">
        <v>1210</v>
      </c>
      <c r="E5975">
        <v>30.144000000000002</v>
      </c>
    </row>
    <row r="5976" spans="2:5">
      <c r="B5976" s="17">
        <v>42362</v>
      </c>
      <c r="D5976" t="s">
        <v>155</v>
      </c>
      <c r="E5976">
        <v>88.04</v>
      </c>
    </row>
    <row r="5977" spans="2:5">
      <c r="B5977" s="17">
        <v>42362</v>
      </c>
      <c r="D5977" t="s">
        <v>155</v>
      </c>
      <c r="E5977">
        <v>20.7</v>
      </c>
    </row>
    <row r="5978" spans="2:5">
      <c r="B5978" s="17">
        <v>42362</v>
      </c>
      <c r="D5978" t="s">
        <v>155</v>
      </c>
      <c r="E5978">
        <v>10.95</v>
      </c>
    </row>
    <row r="5979" spans="2:5">
      <c r="B5979" s="17">
        <v>42362</v>
      </c>
      <c r="D5979" t="s">
        <v>1194</v>
      </c>
      <c r="E5979">
        <v>14.352000000000002</v>
      </c>
    </row>
    <row r="5980" spans="2:5">
      <c r="B5980" s="17">
        <v>42362</v>
      </c>
      <c r="D5980" t="s">
        <v>1194</v>
      </c>
      <c r="E5980">
        <v>1317.492</v>
      </c>
    </row>
    <row r="5981" spans="2:5">
      <c r="B5981" s="17">
        <v>42361</v>
      </c>
      <c r="D5981" t="s">
        <v>1194</v>
      </c>
      <c r="E5981">
        <v>63.84</v>
      </c>
    </row>
    <row r="5982" spans="2:5">
      <c r="B5982" s="17">
        <v>42360</v>
      </c>
      <c r="D5982" t="s">
        <v>1194</v>
      </c>
      <c r="E5982">
        <v>3.5920000000000005</v>
      </c>
    </row>
    <row r="5983" spans="2:5">
      <c r="B5983" s="17">
        <v>42360</v>
      </c>
      <c r="D5983" t="s">
        <v>1194</v>
      </c>
      <c r="E5983">
        <v>7.04</v>
      </c>
    </row>
    <row r="5984" spans="2:5">
      <c r="B5984" s="17">
        <v>42360</v>
      </c>
      <c r="D5984" t="s">
        <v>1194</v>
      </c>
      <c r="E5984">
        <v>12.99</v>
      </c>
    </row>
    <row r="5985" spans="2:5">
      <c r="B5985" s="17">
        <v>42359</v>
      </c>
      <c r="D5985" t="s">
        <v>356</v>
      </c>
      <c r="E5985">
        <v>31.983999999999998</v>
      </c>
    </row>
    <row r="5986" spans="2:5">
      <c r="B5986" s="17">
        <v>42359</v>
      </c>
      <c r="D5986" t="s">
        <v>335</v>
      </c>
      <c r="E5986">
        <v>11.34</v>
      </c>
    </row>
    <row r="5987" spans="2:5">
      <c r="B5987" s="17">
        <v>42359</v>
      </c>
      <c r="D5987" t="s">
        <v>335</v>
      </c>
      <c r="E5987">
        <v>45.527999999999999</v>
      </c>
    </row>
    <row r="5988" spans="2:5">
      <c r="B5988" s="17">
        <v>42359</v>
      </c>
      <c r="D5988" t="s">
        <v>335</v>
      </c>
      <c r="E5988">
        <v>844.11599999999987</v>
      </c>
    </row>
    <row r="5989" spans="2:5">
      <c r="B5989" s="17">
        <v>42359</v>
      </c>
      <c r="D5989" t="s">
        <v>335</v>
      </c>
      <c r="E5989">
        <v>812.73599999999999</v>
      </c>
    </row>
    <row r="5990" spans="2:5">
      <c r="B5990" s="17">
        <v>42359</v>
      </c>
      <c r="D5990" t="s">
        <v>335</v>
      </c>
      <c r="E5990">
        <v>13.48</v>
      </c>
    </row>
    <row r="5991" spans="2:5">
      <c r="B5991" s="17">
        <v>42359</v>
      </c>
      <c r="D5991" t="s">
        <v>303</v>
      </c>
      <c r="E5991">
        <v>29.800000000000004</v>
      </c>
    </row>
    <row r="5992" spans="2:5">
      <c r="B5992" s="17">
        <v>42359</v>
      </c>
      <c r="D5992" t="s">
        <v>303</v>
      </c>
      <c r="E5992">
        <v>414</v>
      </c>
    </row>
    <row r="5993" spans="2:5">
      <c r="B5993" s="17">
        <v>42359</v>
      </c>
      <c r="D5993" t="s">
        <v>303</v>
      </c>
      <c r="E5993">
        <v>41.328000000000003</v>
      </c>
    </row>
    <row r="5994" spans="2:5">
      <c r="B5994" s="17">
        <v>42359</v>
      </c>
      <c r="D5994" t="s">
        <v>303</v>
      </c>
      <c r="E5994">
        <v>158.37599999999998</v>
      </c>
    </row>
    <row r="5995" spans="2:5">
      <c r="B5995" s="17">
        <v>42359</v>
      </c>
      <c r="D5995" t="s">
        <v>303</v>
      </c>
      <c r="E5995">
        <v>31.4</v>
      </c>
    </row>
    <row r="5996" spans="2:5">
      <c r="B5996" s="17">
        <v>42358</v>
      </c>
      <c r="D5996" t="s">
        <v>303</v>
      </c>
      <c r="E5996">
        <v>87.92</v>
      </c>
    </row>
    <row r="5997" spans="2:5">
      <c r="B5997" s="17">
        <v>42358</v>
      </c>
      <c r="D5997" t="s">
        <v>303</v>
      </c>
      <c r="E5997">
        <v>5.98</v>
      </c>
    </row>
    <row r="5998" spans="2:5">
      <c r="B5998" s="17">
        <v>42358</v>
      </c>
      <c r="D5998" t="s">
        <v>717</v>
      </c>
      <c r="E5998">
        <v>20.239999999999998</v>
      </c>
    </row>
    <row r="5999" spans="2:5">
      <c r="B5999" s="17">
        <v>42358</v>
      </c>
      <c r="D5999" t="s">
        <v>717</v>
      </c>
      <c r="E5999">
        <v>39.92</v>
      </c>
    </row>
    <row r="6000" spans="2:5">
      <c r="B6000" s="17">
        <v>42358</v>
      </c>
      <c r="D6000" t="s">
        <v>717</v>
      </c>
      <c r="E6000">
        <v>32.54</v>
      </c>
    </row>
    <row r="6001" spans="2:5">
      <c r="B6001" s="17">
        <v>42358</v>
      </c>
      <c r="D6001" t="s">
        <v>717</v>
      </c>
      <c r="E6001">
        <v>459.95</v>
      </c>
    </row>
    <row r="6002" spans="2:5">
      <c r="B6002" s="17">
        <v>42358</v>
      </c>
      <c r="D6002" t="s">
        <v>717</v>
      </c>
      <c r="E6002">
        <v>67.64</v>
      </c>
    </row>
    <row r="6003" spans="2:5">
      <c r="B6003" s="17">
        <v>42358</v>
      </c>
      <c r="D6003" t="s">
        <v>717</v>
      </c>
      <c r="E6003">
        <v>119.97600000000001</v>
      </c>
    </row>
    <row r="6004" spans="2:5">
      <c r="B6004" s="17">
        <v>42358</v>
      </c>
      <c r="D6004" t="s">
        <v>717</v>
      </c>
      <c r="E6004">
        <v>17.64</v>
      </c>
    </row>
    <row r="6005" spans="2:5">
      <c r="B6005" s="17">
        <v>42358</v>
      </c>
      <c r="D6005" t="s">
        <v>559</v>
      </c>
      <c r="E6005">
        <v>17.04</v>
      </c>
    </row>
    <row r="6006" spans="2:5">
      <c r="B6006" s="17">
        <v>42358</v>
      </c>
      <c r="D6006" t="s">
        <v>559</v>
      </c>
      <c r="E6006">
        <v>1287.45</v>
      </c>
    </row>
    <row r="6007" spans="2:5">
      <c r="B6007" s="17">
        <v>42357</v>
      </c>
      <c r="D6007" t="s">
        <v>559</v>
      </c>
      <c r="E6007">
        <v>59.519999999999996</v>
      </c>
    </row>
    <row r="6008" spans="2:5">
      <c r="B6008" s="17">
        <v>42357</v>
      </c>
      <c r="D6008" t="s">
        <v>764</v>
      </c>
      <c r="E6008">
        <v>403.16800000000001</v>
      </c>
    </row>
    <row r="6009" spans="2:5">
      <c r="B6009" s="17">
        <v>42357</v>
      </c>
      <c r="D6009" t="s">
        <v>764</v>
      </c>
      <c r="E6009">
        <v>22.48</v>
      </c>
    </row>
    <row r="6010" spans="2:5">
      <c r="B6010" s="17">
        <v>42357</v>
      </c>
      <c r="D6010" t="s">
        <v>764</v>
      </c>
      <c r="E6010">
        <v>18.656000000000002</v>
      </c>
    </row>
    <row r="6011" spans="2:5">
      <c r="B6011" s="17">
        <v>42357</v>
      </c>
      <c r="D6011" t="s">
        <v>764</v>
      </c>
      <c r="E6011">
        <v>58.58</v>
      </c>
    </row>
    <row r="6012" spans="2:5">
      <c r="B6012" s="17">
        <v>42357</v>
      </c>
      <c r="D6012" t="s">
        <v>764</v>
      </c>
      <c r="E6012">
        <v>167.88800000000001</v>
      </c>
    </row>
    <row r="6013" spans="2:5">
      <c r="B6013" s="17">
        <v>42357</v>
      </c>
      <c r="D6013" t="s">
        <v>764</v>
      </c>
      <c r="E6013">
        <v>3.1679999999999993</v>
      </c>
    </row>
    <row r="6014" spans="2:5">
      <c r="B6014" s="17">
        <v>42357</v>
      </c>
      <c r="D6014" t="s">
        <v>764</v>
      </c>
      <c r="E6014">
        <v>528.42999999999995</v>
      </c>
    </row>
    <row r="6015" spans="2:5">
      <c r="B6015" s="17">
        <v>42357</v>
      </c>
      <c r="D6015" t="s">
        <v>132</v>
      </c>
      <c r="E6015">
        <v>13.392000000000001</v>
      </c>
    </row>
    <row r="6016" spans="2:5">
      <c r="B6016" s="17">
        <v>42357</v>
      </c>
      <c r="D6016" t="s">
        <v>132</v>
      </c>
      <c r="E6016">
        <v>99.372</v>
      </c>
    </row>
    <row r="6017" spans="2:5">
      <c r="B6017" s="17">
        <v>42357</v>
      </c>
      <c r="D6017" t="s">
        <v>132</v>
      </c>
      <c r="E6017">
        <v>1.3440000000000001</v>
      </c>
    </row>
    <row r="6018" spans="2:5">
      <c r="B6018" s="17">
        <v>42357</v>
      </c>
      <c r="D6018" t="s">
        <v>132</v>
      </c>
      <c r="E6018">
        <v>84.784000000000006</v>
      </c>
    </row>
    <row r="6019" spans="2:5">
      <c r="B6019" s="17">
        <v>42357</v>
      </c>
      <c r="D6019" t="s">
        <v>132</v>
      </c>
      <c r="E6019">
        <v>20.736000000000004</v>
      </c>
    </row>
    <row r="6020" spans="2:5">
      <c r="B6020" s="17">
        <v>42357</v>
      </c>
      <c r="D6020" t="s">
        <v>132</v>
      </c>
      <c r="E6020">
        <v>16.821000000000005</v>
      </c>
    </row>
    <row r="6021" spans="2:5">
      <c r="B6021" s="17">
        <v>42356</v>
      </c>
      <c r="D6021" t="s">
        <v>576</v>
      </c>
      <c r="E6021">
        <v>10.368000000000002</v>
      </c>
    </row>
    <row r="6022" spans="2:5">
      <c r="B6022" s="17">
        <v>42356</v>
      </c>
      <c r="D6022" t="s">
        <v>576</v>
      </c>
      <c r="E6022">
        <v>11.992000000000001</v>
      </c>
    </row>
    <row r="6023" spans="2:5">
      <c r="B6023" s="17">
        <v>42356</v>
      </c>
      <c r="D6023" t="s">
        <v>576</v>
      </c>
      <c r="E6023">
        <v>697.16</v>
      </c>
    </row>
    <row r="6024" spans="2:5">
      <c r="B6024" s="17">
        <v>42356</v>
      </c>
      <c r="D6024" t="s">
        <v>576</v>
      </c>
      <c r="E6024">
        <v>86.45</v>
      </c>
    </row>
    <row r="6025" spans="2:5">
      <c r="B6025" s="17">
        <v>42356</v>
      </c>
      <c r="D6025" t="s">
        <v>576</v>
      </c>
      <c r="E6025">
        <v>72.294000000000011</v>
      </c>
    </row>
    <row r="6026" spans="2:5">
      <c r="B6026" s="17">
        <v>42356</v>
      </c>
      <c r="D6026" t="s">
        <v>576</v>
      </c>
      <c r="E6026">
        <v>14.98</v>
      </c>
    </row>
    <row r="6027" spans="2:5">
      <c r="B6027" s="17">
        <v>42356</v>
      </c>
      <c r="D6027" t="s">
        <v>520</v>
      </c>
      <c r="E6027">
        <v>20.32</v>
      </c>
    </row>
    <row r="6028" spans="2:5">
      <c r="B6028" s="17">
        <v>42355</v>
      </c>
      <c r="D6028" t="s">
        <v>520</v>
      </c>
      <c r="E6028">
        <v>31.086000000000006</v>
      </c>
    </row>
    <row r="6029" spans="2:5">
      <c r="B6029" s="17">
        <v>42355</v>
      </c>
      <c r="D6029" t="s">
        <v>520</v>
      </c>
      <c r="E6029">
        <v>189.88200000000001</v>
      </c>
    </row>
    <row r="6030" spans="2:5">
      <c r="B6030" s="17">
        <v>42355</v>
      </c>
      <c r="D6030" t="s">
        <v>520</v>
      </c>
      <c r="E6030">
        <v>871.80000000000007</v>
      </c>
    </row>
    <row r="6031" spans="2:5">
      <c r="B6031" s="17">
        <v>42355</v>
      </c>
      <c r="D6031" t="s">
        <v>520</v>
      </c>
      <c r="E6031">
        <v>39.68</v>
      </c>
    </row>
    <row r="6032" spans="2:5">
      <c r="B6032" s="17">
        <v>42355</v>
      </c>
      <c r="D6032" t="s">
        <v>520</v>
      </c>
      <c r="E6032">
        <v>129.97999999999999</v>
      </c>
    </row>
    <row r="6033" spans="2:5">
      <c r="B6033" s="17">
        <v>42355</v>
      </c>
      <c r="D6033" t="s">
        <v>520</v>
      </c>
      <c r="E6033">
        <v>32.54</v>
      </c>
    </row>
    <row r="6034" spans="2:5">
      <c r="B6034" s="17">
        <v>42355</v>
      </c>
      <c r="D6034" t="s">
        <v>499</v>
      </c>
      <c r="E6034">
        <v>901.94999999999993</v>
      </c>
    </row>
    <row r="6035" spans="2:5">
      <c r="B6035" s="17">
        <v>42355</v>
      </c>
      <c r="D6035" t="s">
        <v>499</v>
      </c>
      <c r="E6035">
        <v>971.5</v>
      </c>
    </row>
    <row r="6036" spans="2:5">
      <c r="B6036" s="17">
        <v>42355</v>
      </c>
      <c r="D6036" t="s">
        <v>499</v>
      </c>
      <c r="E6036">
        <v>84.784000000000006</v>
      </c>
    </row>
    <row r="6037" spans="2:5">
      <c r="B6037" s="17">
        <v>42355</v>
      </c>
      <c r="D6037" t="s">
        <v>499</v>
      </c>
      <c r="E6037">
        <v>83.976000000000013</v>
      </c>
    </row>
    <row r="6038" spans="2:5">
      <c r="B6038" s="17">
        <v>42355</v>
      </c>
      <c r="D6038" t="s">
        <v>499</v>
      </c>
      <c r="E6038">
        <v>4.5439999999999996</v>
      </c>
    </row>
    <row r="6039" spans="2:5">
      <c r="B6039" s="17">
        <v>42355</v>
      </c>
      <c r="D6039" t="s">
        <v>499</v>
      </c>
      <c r="E6039">
        <v>1352.0320000000002</v>
      </c>
    </row>
    <row r="6040" spans="2:5">
      <c r="B6040" s="17">
        <v>42354</v>
      </c>
      <c r="D6040" t="s">
        <v>499</v>
      </c>
      <c r="E6040">
        <v>45.68</v>
      </c>
    </row>
    <row r="6041" spans="2:5">
      <c r="B6041" s="17">
        <v>42353</v>
      </c>
      <c r="D6041" t="s">
        <v>1659</v>
      </c>
      <c r="E6041">
        <v>528.42999999999995</v>
      </c>
    </row>
    <row r="6042" spans="2:5">
      <c r="B6042" s="17">
        <v>42353</v>
      </c>
      <c r="D6042" t="s">
        <v>1659</v>
      </c>
      <c r="E6042">
        <v>22.385999999999996</v>
      </c>
    </row>
    <row r="6043" spans="2:5">
      <c r="B6043" s="17">
        <v>42353</v>
      </c>
      <c r="D6043" t="s">
        <v>1659</v>
      </c>
      <c r="E6043">
        <v>21.880000000000003</v>
      </c>
    </row>
    <row r="6044" spans="2:5">
      <c r="B6044" s="17">
        <v>42353</v>
      </c>
      <c r="D6044" t="s">
        <v>1659</v>
      </c>
      <c r="E6044">
        <v>5.1840000000000011</v>
      </c>
    </row>
    <row r="6045" spans="2:5">
      <c r="B6045" s="17">
        <v>42353</v>
      </c>
      <c r="D6045" t="s">
        <v>1238</v>
      </c>
      <c r="E6045">
        <v>145.54400000000001</v>
      </c>
    </row>
    <row r="6046" spans="2:5">
      <c r="B6046" s="17">
        <v>42353</v>
      </c>
      <c r="D6046" t="s">
        <v>1238</v>
      </c>
      <c r="E6046">
        <v>196.78399999999999</v>
      </c>
    </row>
    <row r="6047" spans="2:5">
      <c r="B6047" s="17">
        <v>42353</v>
      </c>
      <c r="D6047" t="s">
        <v>1010</v>
      </c>
      <c r="E6047">
        <v>41.904000000000003</v>
      </c>
    </row>
    <row r="6048" spans="2:5">
      <c r="B6048" s="17">
        <v>42353</v>
      </c>
      <c r="D6048" t="s">
        <v>1010</v>
      </c>
      <c r="E6048">
        <v>16.739999999999998</v>
      </c>
    </row>
    <row r="6049" spans="2:5">
      <c r="B6049" s="17">
        <v>42353</v>
      </c>
      <c r="D6049" t="s">
        <v>1010</v>
      </c>
      <c r="E6049">
        <v>157.91999999999999</v>
      </c>
    </row>
    <row r="6050" spans="2:5">
      <c r="B6050" s="17">
        <v>42352</v>
      </c>
      <c r="D6050" t="s">
        <v>1037</v>
      </c>
      <c r="E6050">
        <v>70.08</v>
      </c>
    </row>
    <row r="6051" spans="2:5">
      <c r="B6051" s="17">
        <v>42352</v>
      </c>
      <c r="D6051" t="s">
        <v>1037</v>
      </c>
      <c r="E6051">
        <v>1.2719999999999998</v>
      </c>
    </row>
    <row r="6052" spans="2:5">
      <c r="B6052" s="17">
        <v>42352</v>
      </c>
      <c r="D6052" t="s">
        <v>1037</v>
      </c>
      <c r="E6052">
        <v>557.58500000000004</v>
      </c>
    </row>
    <row r="6053" spans="2:5">
      <c r="B6053" s="17">
        <v>42352</v>
      </c>
      <c r="D6053" t="s">
        <v>1037</v>
      </c>
      <c r="E6053">
        <v>127.88</v>
      </c>
    </row>
    <row r="6054" spans="2:5">
      <c r="B6054" s="17">
        <v>42352</v>
      </c>
      <c r="D6054" t="s">
        <v>1037</v>
      </c>
      <c r="E6054">
        <v>160.32</v>
      </c>
    </row>
    <row r="6055" spans="2:5">
      <c r="B6055" s="17">
        <v>42352</v>
      </c>
      <c r="D6055" t="s">
        <v>1037</v>
      </c>
      <c r="E6055">
        <v>46</v>
      </c>
    </row>
    <row r="6056" spans="2:5">
      <c r="B6056" s="17">
        <v>42352</v>
      </c>
      <c r="D6056" t="s">
        <v>1037</v>
      </c>
      <c r="E6056">
        <v>28.28</v>
      </c>
    </row>
    <row r="6057" spans="2:5">
      <c r="B6057" s="17">
        <v>42352</v>
      </c>
      <c r="D6057" t="s">
        <v>1037</v>
      </c>
      <c r="E6057">
        <v>4912.59</v>
      </c>
    </row>
    <row r="6058" spans="2:5">
      <c r="B6058" s="17">
        <v>42352</v>
      </c>
      <c r="D6058" t="s">
        <v>1037</v>
      </c>
      <c r="E6058">
        <v>386.67999999999995</v>
      </c>
    </row>
    <row r="6059" spans="2:5">
      <c r="B6059" s="17">
        <v>42352</v>
      </c>
      <c r="D6059" t="s">
        <v>1037</v>
      </c>
      <c r="E6059">
        <v>379.96000000000004</v>
      </c>
    </row>
    <row r="6060" spans="2:5">
      <c r="B6060" s="17">
        <v>42352</v>
      </c>
      <c r="D6060" t="s">
        <v>1810</v>
      </c>
      <c r="E6060">
        <v>539.91</v>
      </c>
    </row>
    <row r="6061" spans="2:5">
      <c r="B6061" s="17">
        <v>42352</v>
      </c>
      <c r="D6061" t="s">
        <v>1810</v>
      </c>
      <c r="E6061">
        <v>41.240000000000009</v>
      </c>
    </row>
    <row r="6062" spans="2:5">
      <c r="B6062" s="17">
        <v>42351</v>
      </c>
      <c r="D6062" t="s">
        <v>383</v>
      </c>
      <c r="E6062">
        <v>51.897000000000013</v>
      </c>
    </row>
    <row r="6063" spans="2:5">
      <c r="B6063" s="17">
        <v>42351</v>
      </c>
      <c r="D6063" t="s">
        <v>383</v>
      </c>
      <c r="E6063">
        <v>552.55999999999995</v>
      </c>
    </row>
    <row r="6064" spans="2:5">
      <c r="B6064" s="17">
        <v>42351</v>
      </c>
      <c r="D6064" t="s">
        <v>383</v>
      </c>
      <c r="E6064">
        <v>23.160000000000004</v>
      </c>
    </row>
    <row r="6065" spans="2:5">
      <c r="B6065" s="17">
        <v>42351</v>
      </c>
      <c r="D6065" t="s">
        <v>383</v>
      </c>
      <c r="E6065">
        <v>126.08</v>
      </c>
    </row>
    <row r="6066" spans="2:5">
      <c r="B6066" s="17">
        <v>42351</v>
      </c>
      <c r="D6066" t="s">
        <v>383</v>
      </c>
      <c r="E6066">
        <v>449.1</v>
      </c>
    </row>
    <row r="6067" spans="2:5">
      <c r="B6067" s="17">
        <v>42351</v>
      </c>
      <c r="D6067" t="s">
        <v>383</v>
      </c>
      <c r="E6067">
        <v>51.184000000000012</v>
      </c>
    </row>
    <row r="6068" spans="2:5">
      <c r="B6068" s="17">
        <v>42351</v>
      </c>
      <c r="D6068" t="s">
        <v>1692</v>
      </c>
      <c r="E6068">
        <v>12.96</v>
      </c>
    </row>
    <row r="6069" spans="2:5">
      <c r="B6069" s="17">
        <v>42351</v>
      </c>
      <c r="D6069" t="s">
        <v>1692</v>
      </c>
      <c r="E6069">
        <v>29.339999999999996</v>
      </c>
    </row>
    <row r="6070" spans="2:5">
      <c r="B6070" s="17">
        <v>42351</v>
      </c>
      <c r="D6070" t="s">
        <v>1692</v>
      </c>
      <c r="E6070">
        <v>676.55</v>
      </c>
    </row>
    <row r="6071" spans="2:5">
      <c r="B6071" s="17">
        <v>42350</v>
      </c>
      <c r="D6071" t="s">
        <v>1569</v>
      </c>
      <c r="E6071">
        <v>154.9</v>
      </c>
    </row>
    <row r="6072" spans="2:5">
      <c r="B6072" s="17">
        <v>42350</v>
      </c>
      <c r="D6072" t="s">
        <v>1569</v>
      </c>
      <c r="E6072">
        <v>30.56</v>
      </c>
    </row>
    <row r="6073" spans="2:5">
      <c r="B6073" s="17">
        <v>42350</v>
      </c>
      <c r="D6073" t="s">
        <v>1569</v>
      </c>
      <c r="E6073">
        <v>770.35200000000009</v>
      </c>
    </row>
    <row r="6074" spans="2:5">
      <c r="B6074" s="17">
        <v>42350</v>
      </c>
      <c r="D6074" t="s">
        <v>1569</v>
      </c>
      <c r="E6074">
        <v>19.98</v>
      </c>
    </row>
    <row r="6075" spans="2:5">
      <c r="B6075" s="17">
        <v>42350</v>
      </c>
      <c r="D6075" t="s">
        <v>604</v>
      </c>
      <c r="E6075">
        <v>45.98</v>
      </c>
    </row>
    <row r="6076" spans="2:5">
      <c r="B6076" s="17">
        <v>42350</v>
      </c>
      <c r="D6076" t="s">
        <v>604</v>
      </c>
      <c r="E6076">
        <v>17.46</v>
      </c>
    </row>
    <row r="6077" spans="2:5">
      <c r="B6077" s="17">
        <v>42350</v>
      </c>
      <c r="D6077" t="s">
        <v>604</v>
      </c>
      <c r="E6077">
        <v>76.92</v>
      </c>
    </row>
    <row r="6078" spans="2:5">
      <c r="B6078" s="17">
        <v>42350</v>
      </c>
      <c r="D6078" t="s">
        <v>604</v>
      </c>
      <c r="E6078">
        <v>481.32</v>
      </c>
    </row>
    <row r="6079" spans="2:5">
      <c r="B6079" s="17">
        <v>42350</v>
      </c>
      <c r="D6079" t="s">
        <v>508</v>
      </c>
      <c r="E6079">
        <v>30.336000000000002</v>
      </c>
    </row>
    <row r="6080" spans="2:5">
      <c r="B6080" s="17">
        <v>42350</v>
      </c>
      <c r="D6080" t="s">
        <v>508</v>
      </c>
      <c r="E6080">
        <v>176.78399999999999</v>
      </c>
    </row>
    <row r="6081" spans="2:5">
      <c r="B6081" s="17">
        <v>42350</v>
      </c>
      <c r="D6081" t="s">
        <v>508</v>
      </c>
      <c r="E6081">
        <v>39.992000000000004</v>
      </c>
    </row>
    <row r="6082" spans="2:5">
      <c r="B6082" s="17">
        <v>42350</v>
      </c>
      <c r="D6082" t="s">
        <v>508</v>
      </c>
      <c r="E6082">
        <v>14.9</v>
      </c>
    </row>
    <row r="6083" spans="2:5">
      <c r="B6083" s="17">
        <v>42350</v>
      </c>
      <c r="D6083" t="s">
        <v>508</v>
      </c>
      <c r="E6083">
        <v>4158.9120000000003</v>
      </c>
    </row>
    <row r="6084" spans="2:5">
      <c r="B6084" s="17">
        <v>42350</v>
      </c>
      <c r="D6084" t="s">
        <v>1463</v>
      </c>
      <c r="E6084">
        <v>26.849999999999998</v>
      </c>
    </row>
    <row r="6085" spans="2:5">
      <c r="B6085" s="17">
        <v>42349</v>
      </c>
      <c r="D6085" t="s">
        <v>1463</v>
      </c>
      <c r="E6085">
        <v>3357.6000000000004</v>
      </c>
    </row>
    <row r="6086" spans="2:5">
      <c r="B6086" s="17">
        <v>42349</v>
      </c>
      <c r="D6086" t="s">
        <v>1463</v>
      </c>
      <c r="E6086">
        <v>104.69600000000001</v>
      </c>
    </row>
    <row r="6087" spans="2:5">
      <c r="B6087" s="17">
        <v>42349</v>
      </c>
      <c r="D6087" t="s">
        <v>1463</v>
      </c>
      <c r="E6087">
        <v>11.21</v>
      </c>
    </row>
    <row r="6088" spans="2:5">
      <c r="B6088" s="17">
        <v>42349</v>
      </c>
      <c r="D6088" t="s">
        <v>741</v>
      </c>
      <c r="E6088">
        <v>354.90000000000003</v>
      </c>
    </row>
    <row r="6089" spans="2:5">
      <c r="B6089" s="17">
        <v>42349</v>
      </c>
      <c r="D6089" t="s">
        <v>741</v>
      </c>
      <c r="E6089">
        <v>17.940000000000001</v>
      </c>
    </row>
    <row r="6090" spans="2:5">
      <c r="B6090" s="17">
        <v>42349</v>
      </c>
      <c r="D6090" t="s">
        <v>741</v>
      </c>
      <c r="E6090">
        <v>51.8</v>
      </c>
    </row>
    <row r="6091" spans="2:5">
      <c r="B6091" s="17">
        <v>42349</v>
      </c>
      <c r="D6091" t="s">
        <v>741</v>
      </c>
      <c r="E6091">
        <v>1363.96</v>
      </c>
    </row>
    <row r="6092" spans="2:5">
      <c r="B6092" s="17">
        <v>42349</v>
      </c>
      <c r="D6092" t="s">
        <v>1485</v>
      </c>
      <c r="E6092">
        <v>102.35999999999999</v>
      </c>
    </row>
    <row r="6093" spans="2:5">
      <c r="B6093" s="17">
        <v>42349</v>
      </c>
      <c r="D6093" t="s">
        <v>1485</v>
      </c>
      <c r="E6093">
        <v>9.7020000000000017</v>
      </c>
    </row>
    <row r="6094" spans="2:5">
      <c r="B6094" s="17">
        <v>42349</v>
      </c>
      <c r="D6094" t="s">
        <v>1485</v>
      </c>
      <c r="E6094">
        <v>108.57600000000001</v>
      </c>
    </row>
    <row r="6095" spans="2:5">
      <c r="B6095" s="17">
        <v>42349</v>
      </c>
      <c r="D6095" t="s">
        <v>1485</v>
      </c>
      <c r="E6095">
        <v>5.9840000000000009</v>
      </c>
    </row>
    <row r="6096" spans="2:5">
      <c r="B6096" s="17">
        <v>42349</v>
      </c>
      <c r="D6096" t="s">
        <v>1356</v>
      </c>
      <c r="E6096">
        <v>113.6</v>
      </c>
    </row>
    <row r="6097" spans="2:5">
      <c r="B6097" s="17">
        <v>42349</v>
      </c>
      <c r="D6097" t="s">
        <v>1356</v>
      </c>
      <c r="E6097">
        <v>12.96</v>
      </c>
    </row>
    <row r="6098" spans="2:5">
      <c r="B6098" s="17">
        <v>42349</v>
      </c>
      <c r="D6098" t="s">
        <v>1356</v>
      </c>
      <c r="E6098">
        <v>69.456000000000003</v>
      </c>
    </row>
    <row r="6099" spans="2:5">
      <c r="B6099" s="17">
        <v>42349</v>
      </c>
      <c r="D6099" t="s">
        <v>1356</v>
      </c>
      <c r="E6099">
        <v>8.8559999999999981</v>
      </c>
    </row>
    <row r="6100" spans="2:5">
      <c r="B6100" s="17">
        <v>42349</v>
      </c>
      <c r="D6100" t="s">
        <v>1356</v>
      </c>
      <c r="E6100">
        <v>27.96</v>
      </c>
    </row>
    <row r="6101" spans="2:5">
      <c r="B6101" s="17">
        <v>42349</v>
      </c>
      <c r="D6101" t="s">
        <v>1356</v>
      </c>
      <c r="E6101">
        <v>146.352</v>
      </c>
    </row>
    <row r="6102" spans="2:5">
      <c r="B6102" s="17">
        <v>42349</v>
      </c>
      <c r="D6102" t="s">
        <v>1292</v>
      </c>
      <c r="E6102">
        <v>13.899999999999999</v>
      </c>
    </row>
    <row r="6103" spans="2:5">
      <c r="B6103" s="17">
        <v>42348</v>
      </c>
      <c r="D6103" t="s">
        <v>1292</v>
      </c>
      <c r="E6103">
        <v>21.071999999999999</v>
      </c>
    </row>
    <row r="6104" spans="2:5">
      <c r="B6104" s="17">
        <v>42348</v>
      </c>
      <c r="D6104" t="s">
        <v>1292</v>
      </c>
      <c r="E6104">
        <v>431.94</v>
      </c>
    </row>
    <row r="6105" spans="2:5">
      <c r="B6105" s="17">
        <v>42348</v>
      </c>
      <c r="D6105" t="s">
        <v>1292</v>
      </c>
      <c r="E6105">
        <v>2.0430000000000001</v>
      </c>
    </row>
    <row r="6106" spans="2:5">
      <c r="B6106" s="17">
        <v>42348</v>
      </c>
      <c r="D6106" t="s">
        <v>67</v>
      </c>
      <c r="E6106">
        <v>68.238</v>
      </c>
    </row>
    <row r="6107" spans="2:5">
      <c r="B6107" s="17">
        <v>42348</v>
      </c>
      <c r="D6107" t="s">
        <v>67</v>
      </c>
      <c r="E6107">
        <v>2.3339999999999996</v>
      </c>
    </row>
    <row r="6108" spans="2:5">
      <c r="B6108" s="17">
        <v>42348</v>
      </c>
      <c r="D6108" t="s">
        <v>67</v>
      </c>
      <c r="E6108">
        <v>1.7279999999999998</v>
      </c>
    </row>
    <row r="6109" spans="2:5">
      <c r="B6109" s="17">
        <v>42348</v>
      </c>
      <c r="D6109" t="s">
        <v>67</v>
      </c>
      <c r="E6109">
        <v>159.04</v>
      </c>
    </row>
    <row r="6110" spans="2:5">
      <c r="B6110" s="17">
        <v>42348</v>
      </c>
      <c r="D6110" t="s">
        <v>67</v>
      </c>
      <c r="E6110">
        <v>145.97999999999999</v>
      </c>
    </row>
    <row r="6111" spans="2:5">
      <c r="B6111" s="17">
        <v>42348</v>
      </c>
      <c r="D6111" t="s">
        <v>67</v>
      </c>
      <c r="E6111">
        <v>149.352</v>
      </c>
    </row>
    <row r="6112" spans="2:5">
      <c r="B6112" s="17">
        <v>42348</v>
      </c>
      <c r="D6112" t="s">
        <v>67</v>
      </c>
      <c r="E6112">
        <v>12.991999999999999</v>
      </c>
    </row>
    <row r="6113" spans="2:5">
      <c r="B6113" s="17">
        <v>42348</v>
      </c>
      <c r="D6113" t="s">
        <v>788</v>
      </c>
      <c r="E6113">
        <v>16.989999999999998</v>
      </c>
    </row>
    <row r="6114" spans="2:5">
      <c r="B6114" s="17">
        <v>42348</v>
      </c>
      <c r="D6114" t="s">
        <v>788</v>
      </c>
      <c r="E6114">
        <v>10.08</v>
      </c>
    </row>
    <row r="6115" spans="2:5">
      <c r="B6115" s="17">
        <v>42348</v>
      </c>
      <c r="D6115" t="s">
        <v>788</v>
      </c>
      <c r="E6115">
        <v>128.39999999999998</v>
      </c>
    </row>
    <row r="6116" spans="2:5">
      <c r="B6116" s="17">
        <v>42348</v>
      </c>
      <c r="D6116" t="s">
        <v>788</v>
      </c>
      <c r="E6116">
        <v>159.97999999999999</v>
      </c>
    </row>
    <row r="6117" spans="2:5">
      <c r="B6117" s="17">
        <v>42348</v>
      </c>
      <c r="D6117" t="s">
        <v>83</v>
      </c>
      <c r="E6117">
        <v>447.85999999999996</v>
      </c>
    </row>
    <row r="6118" spans="2:5">
      <c r="B6118" s="17">
        <v>42348</v>
      </c>
      <c r="D6118" t="s">
        <v>83</v>
      </c>
      <c r="E6118">
        <v>479.95</v>
      </c>
    </row>
    <row r="6119" spans="2:5">
      <c r="B6119" s="17">
        <v>42348</v>
      </c>
      <c r="D6119" t="s">
        <v>83</v>
      </c>
      <c r="E6119">
        <v>166.44</v>
      </c>
    </row>
    <row r="6120" spans="2:5">
      <c r="B6120" s="17">
        <v>42348</v>
      </c>
      <c r="D6120" t="s">
        <v>83</v>
      </c>
      <c r="E6120">
        <v>42.783999999999999</v>
      </c>
    </row>
    <row r="6121" spans="2:5">
      <c r="B6121" s="17">
        <v>42348</v>
      </c>
      <c r="D6121" t="s">
        <v>83</v>
      </c>
      <c r="E6121">
        <v>563.42999999999984</v>
      </c>
    </row>
    <row r="6122" spans="2:5">
      <c r="B6122" s="17">
        <v>42348</v>
      </c>
      <c r="D6122" t="s">
        <v>83</v>
      </c>
      <c r="E6122">
        <v>134.85000000000002</v>
      </c>
    </row>
    <row r="6123" spans="2:5">
      <c r="B6123" s="17">
        <v>42347</v>
      </c>
      <c r="D6123" t="s">
        <v>689</v>
      </c>
      <c r="E6123">
        <v>637.89599999999996</v>
      </c>
    </row>
    <row r="6124" spans="2:5">
      <c r="B6124" s="17">
        <v>42346</v>
      </c>
      <c r="D6124" t="s">
        <v>689</v>
      </c>
      <c r="E6124">
        <v>36.6</v>
      </c>
    </row>
    <row r="6125" spans="2:5">
      <c r="B6125" s="17">
        <v>42346</v>
      </c>
      <c r="D6125" t="s">
        <v>689</v>
      </c>
      <c r="E6125">
        <v>25.349999999999998</v>
      </c>
    </row>
    <row r="6126" spans="2:5">
      <c r="B6126" s="17">
        <v>42346</v>
      </c>
      <c r="D6126" t="s">
        <v>689</v>
      </c>
      <c r="E6126">
        <v>35.28</v>
      </c>
    </row>
    <row r="6127" spans="2:5">
      <c r="B6127" s="17">
        <v>42346</v>
      </c>
      <c r="D6127" t="s">
        <v>689</v>
      </c>
      <c r="E6127">
        <v>3930.0720000000001</v>
      </c>
    </row>
    <row r="6128" spans="2:5">
      <c r="B6128" s="17">
        <v>42346</v>
      </c>
      <c r="D6128" t="s">
        <v>689</v>
      </c>
      <c r="E6128">
        <v>2.3039999999999998</v>
      </c>
    </row>
    <row r="6129" spans="2:5">
      <c r="B6129" s="17">
        <v>42346</v>
      </c>
      <c r="D6129" t="s">
        <v>224</v>
      </c>
      <c r="E6129">
        <v>431.97600000000006</v>
      </c>
    </row>
    <row r="6130" spans="2:5">
      <c r="B6130" s="17">
        <v>42345</v>
      </c>
      <c r="D6130" t="s">
        <v>224</v>
      </c>
      <c r="E6130">
        <v>41.720000000000006</v>
      </c>
    </row>
    <row r="6131" spans="2:5">
      <c r="B6131" s="17">
        <v>42345</v>
      </c>
      <c r="D6131" t="s">
        <v>224</v>
      </c>
      <c r="E6131">
        <v>836.59199999999998</v>
      </c>
    </row>
    <row r="6132" spans="2:5">
      <c r="B6132" s="17">
        <v>42345</v>
      </c>
      <c r="D6132" t="s">
        <v>224</v>
      </c>
      <c r="E6132">
        <v>26.38</v>
      </c>
    </row>
    <row r="6133" spans="2:5">
      <c r="B6133" s="17">
        <v>42345</v>
      </c>
      <c r="D6133" t="s">
        <v>224</v>
      </c>
      <c r="E6133">
        <v>362.92</v>
      </c>
    </row>
    <row r="6134" spans="2:5">
      <c r="B6134" s="17">
        <v>42345</v>
      </c>
      <c r="D6134" t="s">
        <v>224</v>
      </c>
      <c r="E6134">
        <v>4899.93</v>
      </c>
    </row>
    <row r="6135" spans="2:5">
      <c r="B6135" s="17">
        <v>42345</v>
      </c>
      <c r="D6135" t="s">
        <v>1196</v>
      </c>
      <c r="E6135">
        <v>159.98400000000001</v>
      </c>
    </row>
    <row r="6136" spans="2:5">
      <c r="B6136" s="17">
        <v>42345</v>
      </c>
      <c r="D6136" t="s">
        <v>1196</v>
      </c>
      <c r="E6136">
        <v>111.104</v>
      </c>
    </row>
    <row r="6137" spans="2:5">
      <c r="B6137" s="17">
        <v>42345</v>
      </c>
      <c r="D6137" t="s">
        <v>1196</v>
      </c>
      <c r="E6137">
        <v>36.480000000000004</v>
      </c>
    </row>
    <row r="6138" spans="2:5">
      <c r="B6138" s="17">
        <v>42345</v>
      </c>
      <c r="D6138" t="s">
        <v>1196</v>
      </c>
      <c r="E6138">
        <v>170.88</v>
      </c>
    </row>
    <row r="6139" spans="2:5">
      <c r="B6139" s="17">
        <v>42344</v>
      </c>
      <c r="D6139" t="s">
        <v>1196</v>
      </c>
      <c r="E6139">
        <v>56.820000000000007</v>
      </c>
    </row>
    <row r="6140" spans="2:5">
      <c r="B6140" s="17">
        <v>42344</v>
      </c>
      <c r="D6140" t="s">
        <v>1196</v>
      </c>
      <c r="E6140">
        <v>16.192</v>
      </c>
    </row>
    <row r="6141" spans="2:5">
      <c r="B6141" s="17">
        <v>42344</v>
      </c>
      <c r="D6141" t="s">
        <v>1196</v>
      </c>
      <c r="E6141">
        <v>46.72</v>
      </c>
    </row>
    <row r="6142" spans="2:5">
      <c r="B6142" s="17">
        <v>42344</v>
      </c>
      <c r="D6142" t="s">
        <v>1196</v>
      </c>
      <c r="E6142">
        <v>57.576000000000001</v>
      </c>
    </row>
    <row r="6143" spans="2:5">
      <c r="B6143" s="17">
        <v>42344</v>
      </c>
      <c r="D6143" t="s">
        <v>1196</v>
      </c>
      <c r="E6143">
        <v>490.32</v>
      </c>
    </row>
    <row r="6144" spans="2:5">
      <c r="B6144" s="17">
        <v>42344</v>
      </c>
      <c r="D6144" t="s">
        <v>1226</v>
      </c>
      <c r="E6144">
        <v>445.96000000000004</v>
      </c>
    </row>
    <row r="6145" spans="2:5">
      <c r="B6145" s="17">
        <v>42344</v>
      </c>
      <c r="D6145" t="s">
        <v>1226</v>
      </c>
      <c r="E6145">
        <v>36.24</v>
      </c>
    </row>
    <row r="6146" spans="2:5">
      <c r="B6146" s="17">
        <v>42344</v>
      </c>
      <c r="D6146" t="s">
        <v>1226</v>
      </c>
      <c r="E6146">
        <v>10.649999999999999</v>
      </c>
    </row>
    <row r="6147" spans="2:5">
      <c r="B6147" s="17">
        <v>42344</v>
      </c>
      <c r="D6147" t="s">
        <v>1226</v>
      </c>
      <c r="E6147">
        <v>12.99</v>
      </c>
    </row>
    <row r="6148" spans="2:5">
      <c r="B6148" s="17">
        <v>42344</v>
      </c>
      <c r="D6148" t="s">
        <v>1807</v>
      </c>
      <c r="E6148">
        <v>18.559999999999999</v>
      </c>
    </row>
    <row r="6149" spans="2:5">
      <c r="B6149" s="17">
        <v>42344</v>
      </c>
      <c r="D6149" t="s">
        <v>1807</v>
      </c>
      <c r="E6149">
        <v>449.15</v>
      </c>
    </row>
    <row r="6150" spans="2:5">
      <c r="B6150" s="17">
        <v>42344</v>
      </c>
      <c r="D6150" t="s">
        <v>1807</v>
      </c>
      <c r="E6150">
        <v>31.248000000000005</v>
      </c>
    </row>
    <row r="6151" spans="2:5">
      <c r="B6151" s="17">
        <v>42344</v>
      </c>
      <c r="D6151" t="s">
        <v>566</v>
      </c>
      <c r="E6151">
        <v>68.949999999999989</v>
      </c>
    </row>
    <row r="6152" spans="2:5">
      <c r="B6152" s="17">
        <v>42344</v>
      </c>
      <c r="D6152" t="s">
        <v>566</v>
      </c>
      <c r="E6152">
        <v>39.979999999999997</v>
      </c>
    </row>
    <row r="6153" spans="2:5">
      <c r="B6153" s="17">
        <v>42344</v>
      </c>
      <c r="D6153" t="s">
        <v>566</v>
      </c>
      <c r="E6153">
        <v>3.762</v>
      </c>
    </row>
    <row r="6154" spans="2:5">
      <c r="B6154" s="17">
        <v>42344</v>
      </c>
      <c r="D6154" t="s">
        <v>566</v>
      </c>
      <c r="E6154">
        <v>34.860000000000007</v>
      </c>
    </row>
    <row r="6155" spans="2:5">
      <c r="B6155" s="17">
        <v>42344</v>
      </c>
      <c r="D6155" t="s">
        <v>566</v>
      </c>
      <c r="E6155">
        <v>432.45600000000002</v>
      </c>
    </row>
    <row r="6156" spans="2:5">
      <c r="B6156" s="17">
        <v>42344</v>
      </c>
      <c r="D6156" t="s">
        <v>566</v>
      </c>
      <c r="E6156">
        <v>135.79999999999998</v>
      </c>
    </row>
    <row r="6157" spans="2:5">
      <c r="B6157" s="17">
        <v>42344</v>
      </c>
      <c r="D6157" t="s">
        <v>1522</v>
      </c>
      <c r="E6157">
        <v>44.46</v>
      </c>
    </row>
    <row r="6158" spans="2:5">
      <c r="B6158" s="17">
        <v>42344</v>
      </c>
      <c r="D6158" t="s">
        <v>1522</v>
      </c>
      <c r="E6158">
        <v>8.67</v>
      </c>
    </row>
    <row r="6159" spans="2:5">
      <c r="B6159" s="17">
        <v>42344</v>
      </c>
      <c r="D6159" t="s">
        <v>609</v>
      </c>
      <c r="E6159">
        <v>25.71</v>
      </c>
    </row>
    <row r="6160" spans="2:5">
      <c r="B6160" s="17">
        <v>42344</v>
      </c>
      <c r="D6160" t="s">
        <v>609</v>
      </c>
      <c r="E6160">
        <v>70.88</v>
      </c>
    </row>
    <row r="6161" spans="2:5">
      <c r="B6161" s="17">
        <v>42344</v>
      </c>
      <c r="D6161" t="s">
        <v>609</v>
      </c>
      <c r="E6161">
        <v>92.063999999999979</v>
      </c>
    </row>
    <row r="6162" spans="2:5">
      <c r="B6162" s="17">
        <v>42344</v>
      </c>
      <c r="D6162" t="s">
        <v>609</v>
      </c>
      <c r="E6162">
        <v>6.9760000000000009</v>
      </c>
    </row>
    <row r="6163" spans="2:5">
      <c r="B6163" s="17">
        <v>42343</v>
      </c>
      <c r="D6163" t="s">
        <v>609</v>
      </c>
      <c r="E6163">
        <v>62.957999999999998</v>
      </c>
    </row>
    <row r="6164" spans="2:5">
      <c r="B6164" s="17">
        <v>42343</v>
      </c>
      <c r="D6164" t="s">
        <v>1700</v>
      </c>
      <c r="E6164">
        <v>5.1840000000000011</v>
      </c>
    </row>
    <row r="6165" spans="2:5">
      <c r="B6165" s="17">
        <v>42343</v>
      </c>
      <c r="D6165" t="s">
        <v>1700</v>
      </c>
      <c r="E6165">
        <v>5.8</v>
      </c>
    </row>
    <row r="6166" spans="2:5">
      <c r="B6166" s="17">
        <v>42343</v>
      </c>
      <c r="D6166" t="s">
        <v>587</v>
      </c>
      <c r="E6166">
        <v>89.97</v>
      </c>
    </row>
    <row r="6167" spans="2:5">
      <c r="B6167" s="17">
        <v>42343</v>
      </c>
      <c r="D6167" t="s">
        <v>587</v>
      </c>
      <c r="E6167">
        <v>398.35199999999998</v>
      </c>
    </row>
    <row r="6168" spans="2:5">
      <c r="B6168" s="17">
        <v>42343</v>
      </c>
      <c r="D6168" t="s">
        <v>587</v>
      </c>
      <c r="E6168">
        <v>8.7200000000000006</v>
      </c>
    </row>
    <row r="6169" spans="2:5">
      <c r="B6169" s="17">
        <v>42343</v>
      </c>
      <c r="D6169" t="s">
        <v>587</v>
      </c>
      <c r="E6169">
        <v>4.7699999999999996</v>
      </c>
    </row>
    <row r="6170" spans="2:5">
      <c r="B6170" s="17">
        <v>42343</v>
      </c>
      <c r="D6170" t="s">
        <v>587</v>
      </c>
      <c r="E6170">
        <v>7.98</v>
      </c>
    </row>
    <row r="6171" spans="2:5">
      <c r="B6171" s="17">
        <v>42343</v>
      </c>
      <c r="D6171" t="s">
        <v>587</v>
      </c>
      <c r="E6171">
        <v>550.43100000000004</v>
      </c>
    </row>
    <row r="6172" spans="2:5">
      <c r="B6172" s="17">
        <v>42343</v>
      </c>
      <c r="D6172" t="s">
        <v>587</v>
      </c>
      <c r="E6172">
        <v>10.56</v>
      </c>
    </row>
    <row r="6173" spans="2:5">
      <c r="B6173" s="17">
        <v>42343</v>
      </c>
      <c r="D6173" t="s">
        <v>587</v>
      </c>
      <c r="E6173">
        <v>146.82</v>
      </c>
    </row>
    <row r="6174" spans="2:5">
      <c r="B6174" s="17">
        <v>42343</v>
      </c>
      <c r="D6174" t="s">
        <v>587</v>
      </c>
      <c r="E6174">
        <v>1350.1200000000001</v>
      </c>
    </row>
    <row r="6175" spans="2:5">
      <c r="B6175" s="17">
        <v>42342</v>
      </c>
      <c r="D6175" t="s">
        <v>1053</v>
      </c>
      <c r="E6175">
        <v>15.92</v>
      </c>
    </row>
    <row r="6176" spans="2:5">
      <c r="B6176" s="17">
        <v>42342</v>
      </c>
      <c r="D6176" t="s">
        <v>1053</v>
      </c>
      <c r="E6176">
        <v>69.930000000000007</v>
      </c>
    </row>
    <row r="6177" spans="2:5">
      <c r="B6177" s="17">
        <v>42342</v>
      </c>
      <c r="D6177" t="s">
        <v>1053</v>
      </c>
      <c r="E6177">
        <v>89.97</v>
      </c>
    </row>
    <row r="6178" spans="2:5">
      <c r="B6178" s="17">
        <v>42342</v>
      </c>
      <c r="D6178" t="s">
        <v>1053</v>
      </c>
      <c r="E6178">
        <v>31.86</v>
      </c>
    </row>
    <row r="6179" spans="2:5">
      <c r="B6179" s="17">
        <v>42342</v>
      </c>
      <c r="D6179" t="s">
        <v>1053</v>
      </c>
      <c r="E6179">
        <v>1127.9760000000001</v>
      </c>
    </row>
    <row r="6180" spans="2:5">
      <c r="B6180" s="17">
        <v>42342</v>
      </c>
      <c r="D6180" t="s">
        <v>1803</v>
      </c>
      <c r="E6180">
        <v>100</v>
      </c>
    </row>
    <row r="6181" spans="2:5">
      <c r="B6181" s="17">
        <v>42342</v>
      </c>
      <c r="D6181" t="s">
        <v>1803</v>
      </c>
      <c r="E6181">
        <v>7.83</v>
      </c>
    </row>
    <row r="6182" spans="2:5">
      <c r="B6182" s="17">
        <v>42342</v>
      </c>
      <c r="D6182" t="s">
        <v>1803</v>
      </c>
      <c r="E6182">
        <v>30.352</v>
      </c>
    </row>
    <row r="6183" spans="2:5">
      <c r="B6183" s="17">
        <v>42342</v>
      </c>
      <c r="D6183" t="s">
        <v>1870</v>
      </c>
      <c r="E6183">
        <v>623.96</v>
      </c>
    </row>
    <row r="6184" spans="2:5">
      <c r="B6184" s="17">
        <v>42342</v>
      </c>
      <c r="D6184" t="s">
        <v>1870</v>
      </c>
      <c r="E6184">
        <v>132.22400000000002</v>
      </c>
    </row>
    <row r="6185" spans="2:5">
      <c r="B6185" s="17">
        <v>42342</v>
      </c>
      <c r="D6185" t="s">
        <v>1870</v>
      </c>
      <c r="E6185">
        <v>80.98</v>
      </c>
    </row>
    <row r="6186" spans="2:5">
      <c r="B6186" s="17">
        <v>42342</v>
      </c>
      <c r="D6186" t="s">
        <v>1870</v>
      </c>
      <c r="E6186">
        <v>348.84</v>
      </c>
    </row>
    <row r="6187" spans="2:5">
      <c r="B6187" s="17">
        <v>42342</v>
      </c>
      <c r="D6187" t="s">
        <v>1870</v>
      </c>
      <c r="E6187">
        <v>9.4499999999999993</v>
      </c>
    </row>
    <row r="6188" spans="2:5">
      <c r="B6188" s="17">
        <v>42342</v>
      </c>
      <c r="D6188" t="s">
        <v>109</v>
      </c>
      <c r="E6188">
        <v>18.84</v>
      </c>
    </row>
    <row r="6189" spans="2:5">
      <c r="B6189" s="17">
        <v>42342</v>
      </c>
      <c r="D6189" t="s">
        <v>109</v>
      </c>
      <c r="E6189">
        <v>167.96</v>
      </c>
    </row>
    <row r="6190" spans="2:5">
      <c r="B6190" s="17">
        <v>42342</v>
      </c>
      <c r="D6190" t="s">
        <v>109</v>
      </c>
      <c r="E6190">
        <v>104.85000000000001</v>
      </c>
    </row>
    <row r="6191" spans="2:5">
      <c r="B6191" s="17">
        <v>42341</v>
      </c>
      <c r="D6191" t="s">
        <v>109</v>
      </c>
      <c r="E6191">
        <v>484.83000000000004</v>
      </c>
    </row>
    <row r="6192" spans="2:5">
      <c r="B6192" s="17">
        <v>42341</v>
      </c>
      <c r="D6192" t="s">
        <v>1393</v>
      </c>
      <c r="E6192">
        <v>122.97</v>
      </c>
    </row>
    <row r="6193" spans="2:5">
      <c r="B6193" s="17">
        <v>42341</v>
      </c>
      <c r="D6193" t="s">
        <v>1393</v>
      </c>
      <c r="E6193">
        <v>154.44</v>
      </c>
    </row>
    <row r="6194" spans="2:5">
      <c r="B6194" s="17">
        <v>42341</v>
      </c>
      <c r="D6194" t="s">
        <v>1828</v>
      </c>
      <c r="E6194">
        <v>14.73</v>
      </c>
    </row>
    <row r="6195" spans="2:5">
      <c r="B6195" s="17">
        <v>42341</v>
      </c>
      <c r="D6195" t="s">
        <v>1828</v>
      </c>
      <c r="E6195">
        <v>186.54</v>
      </c>
    </row>
    <row r="6196" spans="2:5">
      <c r="B6196" s="17">
        <v>42341</v>
      </c>
      <c r="D6196" t="s">
        <v>1828</v>
      </c>
      <c r="E6196">
        <v>557.72799999999995</v>
      </c>
    </row>
    <row r="6197" spans="2:5">
      <c r="B6197" s="17">
        <v>42341</v>
      </c>
      <c r="D6197" t="s">
        <v>678</v>
      </c>
      <c r="E6197">
        <v>159.96800000000002</v>
      </c>
    </row>
    <row r="6198" spans="2:5">
      <c r="B6198" s="17">
        <v>42341</v>
      </c>
      <c r="D6198" t="s">
        <v>678</v>
      </c>
      <c r="E6198">
        <v>14.368000000000002</v>
      </c>
    </row>
    <row r="6199" spans="2:5">
      <c r="B6199" s="17">
        <v>42341</v>
      </c>
      <c r="D6199" t="s">
        <v>678</v>
      </c>
      <c r="E6199">
        <v>90.48</v>
      </c>
    </row>
    <row r="6200" spans="2:5">
      <c r="B6200" s="17">
        <v>42341</v>
      </c>
      <c r="D6200" t="s">
        <v>678</v>
      </c>
      <c r="E6200">
        <v>93.02</v>
      </c>
    </row>
    <row r="6201" spans="2:5">
      <c r="B6201" s="17">
        <v>42341</v>
      </c>
      <c r="D6201" t="s">
        <v>1117</v>
      </c>
      <c r="E6201">
        <v>866.4</v>
      </c>
    </row>
    <row r="6202" spans="2:5">
      <c r="B6202" s="17">
        <v>42341</v>
      </c>
      <c r="D6202" t="s">
        <v>1117</v>
      </c>
      <c r="E6202">
        <v>117.96</v>
      </c>
    </row>
    <row r="6203" spans="2:5">
      <c r="B6203" s="17">
        <v>42339</v>
      </c>
      <c r="D6203" t="s">
        <v>344</v>
      </c>
      <c r="E6203">
        <v>8749.9500000000007</v>
      </c>
    </row>
    <row r="6204" spans="2:5">
      <c r="B6204" s="17">
        <v>42339</v>
      </c>
      <c r="D6204" t="s">
        <v>344</v>
      </c>
      <c r="E6204">
        <v>36.4</v>
      </c>
    </row>
    <row r="6205" spans="2:5">
      <c r="B6205" s="17">
        <v>42339</v>
      </c>
      <c r="D6205" t="s">
        <v>344</v>
      </c>
      <c r="E6205">
        <v>18.689999999999998</v>
      </c>
    </row>
    <row r="6206" spans="2:5">
      <c r="B6206" s="17">
        <v>42339</v>
      </c>
      <c r="D6206" t="s">
        <v>344</v>
      </c>
      <c r="E6206">
        <v>73.784000000000006</v>
      </c>
    </row>
    <row r="6207" spans="2:5">
      <c r="B6207" s="17">
        <v>42339</v>
      </c>
      <c r="D6207" t="s">
        <v>344</v>
      </c>
      <c r="E6207">
        <v>56.449999999999996</v>
      </c>
    </row>
    <row r="6208" spans="2:5">
      <c r="B6208" s="17">
        <v>42339</v>
      </c>
      <c r="D6208" t="s">
        <v>344</v>
      </c>
      <c r="E6208">
        <v>105.52</v>
      </c>
    </row>
    <row r="6209" spans="2:5">
      <c r="B6209" s="17">
        <v>42339</v>
      </c>
      <c r="D6209" t="s">
        <v>344</v>
      </c>
      <c r="E6209">
        <v>109.59200000000001</v>
      </c>
    </row>
    <row r="6210" spans="2:5">
      <c r="B6210" s="17">
        <v>42339</v>
      </c>
      <c r="D6210" t="s">
        <v>344</v>
      </c>
      <c r="E6210">
        <v>56.7</v>
      </c>
    </row>
    <row r="6211" spans="2:5">
      <c r="B6211" s="17">
        <v>42339</v>
      </c>
      <c r="D6211" t="s">
        <v>1042</v>
      </c>
      <c r="E6211">
        <v>15.552000000000003</v>
      </c>
    </row>
    <row r="6212" spans="2:5">
      <c r="B6212" s="17">
        <v>42339</v>
      </c>
      <c r="D6212" t="s">
        <v>1042</v>
      </c>
      <c r="E6212">
        <v>23.36</v>
      </c>
    </row>
    <row r="6213" spans="2:5">
      <c r="B6213" s="17">
        <v>42339</v>
      </c>
      <c r="D6213" t="s">
        <v>1042</v>
      </c>
      <c r="E6213">
        <v>1270.99</v>
      </c>
    </row>
    <row r="6214" spans="2:5">
      <c r="B6214" s="17">
        <v>42339</v>
      </c>
      <c r="D6214" t="s">
        <v>482</v>
      </c>
      <c r="E6214">
        <v>125.36</v>
      </c>
    </row>
    <row r="6215" spans="2:5">
      <c r="B6215" s="17">
        <v>42339</v>
      </c>
      <c r="D6215" t="s">
        <v>482</v>
      </c>
      <c r="E6215">
        <v>17.456</v>
      </c>
    </row>
    <row r="6216" spans="2:5">
      <c r="B6216" s="17">
        <v>42339</v>
      </c>
      <c r="D6216" t="s">
        <v>482</v>
      </c>
      <c r="E6216">
        <v>50.783999999999999</v>
      </c>
    </row>
    <row r="6217" spans="2:5">
      <c r="B6217" s="17">
        <v>42338</v>
      </c>
      <c r="D6217" t="s">
        <v>482</v>
      </c>
      <c r="E6217">
        <v>26.01</v>
      </c>
    </row>
    <row r="6218" spans="2:5">
      <c r="B6218" s="17">
        <v>42338</v>
      </c>
      <c r="D6218" t="s">
        <v>482</v>
      </c>
      <c r="E6218">
        <v>435.16800000000006</v>
      </c>
    </row>
    <row r="6219" spans="2:5">
      <c r="B6219" s="17">
        <v>42338</v>
      </c>
      <c r="D6219" t="s">
        <v>482</v>
      </c>
      <c r="E6219">
        <v>48.58</v>
      </c>
    </row>
    <row r="6220" spans="2:5">
      <c r="B6220" s="17">
        <v>42338</v>
      </c>
      <c r="D6220" t="s">
        <v>1771</v>
      </c>
      <c r="E6220">
        <v>156.512</v>
      </c>
    </row>
    <row r="6221" spans="2:5">
      <c r="B6221" s="17">
        <v>42338</v>
      </c>
      <c r="D6221" t="s">
        <v>1771</v>
      </c>
      <c r="E6221">
        <v>1439.9680000000001</v>
      </c>
    </row>
    <row r="6222" spans="2:5">
      <c r="B6222" s="17">
        <v>42338</v>
      </c>
      <c r="D6222" t="s">
        <v>1771</v>
      </c>
      <c r="E6222">
        <v>1.7279999999999995</v>
      </c>
    </row>
    <row r="6223" spans="2:5">
      <c r="B6223" s="17">
        <v>42338</v>
      </c>
      <c r="D6223" t="s">
        <v>871</v>
      </c>
      <c r="E6223">
        <v>626.09999999999991</v>
      </c>
    </row>
    <row r="6224" spans="2:5">
      <c r="B6224" s="17">
        <v>42338</v>
      </c>
      <c r="D6224" t="s">
        <v>871</v>
      </c>
      <c r="E6224">
        <v>39.68</v>
      </c>
    </row>
    <row r="6225" spans="2:5">
      <c r="B6225" s="17">
        <v>42338</v>
      </c>
      <c r="D6225" t="s">
        <v>871</v>
      </c>
      <c r="E6225">
        <v>9.2099999999999991</v>
      </c>
    </row>
    <row r="6226" spans="2:5">
      <c r="B6226" s="17">
        <v>42338</v>
      </c>
      <c r="D6226" t="s">
        <v>871</v>
      </c>
      <c r="E6226">
        <v>18</v>
      </c>
    </row>
    <row r="6227" spans="2:5">
      <c r="B6227" s="17">
        <v>42338</v>
      </c>
      <c r="D6227" t="s">
        <v>871</v>
      </c>
      <c r="E6227">
        <v>43.120000000000005</v>
      </c>
    </row>
    <row r="6228" spans="2:5">
      <c r="B6228" s="17">
        <v>42338</v>
      </c>
      <c r="D6228" t="s">
        <v>1002</v>
      </c>
      <c r="E6228">
        <v>45.98</v>
      </c>
    </row>
    <row r="6229" spans="2:5">
      <c r="B6229" s="17">
        <v>42338</v>
      </c>
      <c r="D6229" t="s">
        <v>1002</v>
      </c>
      <c r="E6229">
        <v>428.68</v>
      </c>
    </row>
    <row r="6230" spans="2:5">
      <c r="B6230" s="17">
        <v>42338</v>
      </c>
      <c r="D6230" t="s">
        <v>1002</v>
      </c>
      <c r="E6230">
        <v>31.36</v>
      </c>
    </row>
    <row r="6231" spans="2:5">
      <c r="B6231" s="17">
        <v>42338</v>
      </c>
      <c r="D6231" t="s">
        <v>1698</v>
      </c>
      <c r="E6231">
        <v>59.99</v>
      </c>
    </row>
    <row r="6232" spans="2:5">
      <c r="B6232" s="17">
        <v>42337</v>
      </c>
      <c r="D6232" t="s">
        <v>1698</v>
      </c>
      <c r="E6232">
        <v>99.98</v>
      </c>
    </row>
    <row r="6233" spans="2:5">
      <c r="B6233" s="17">
        <v>42337</v>
      </c>
      <c r="D6233" t="s">
        <v>1698</v>
      </c>
      <c r="E6233">
        <v>8.0400000000000009</v>
      </c>
    </row>
    <row r="6234" spans="2:5">
      <c r="B6234" s="17">
        <v>42337</v>
      </c>
      <c r="D6234" t="s">
        <v>1698</v>
      </c>
      <c r="E6234">
        <v>1564.29</v>
      </c>
    </row>
    <row r="6235" spans="2:5">
      <c r="B6235" s="17">
        <v>42337</v>
      </c>
      <c r="D6235" t="s">
        <v>1698</v>
      </c>
      <c r="E6235">
        <v>7.5600000000000005</v>
      </c>
    </row>
    <row r="6236" spans="2:5">
      <c r="B6236" s="17">
        <v>42337</v>
      </c>
      <c r="D6236" t="s">
        <v>441</v>
      </c>
      <c r="E6236">
        <v>14.272</v>
      </c>
    </row>
    <row r="6237" spans="2:5">
      <c r="B6237" s="17">
        <v>42337</v>
      </c>
      <c r="D6237" t="s">
        <v>441</v>
      </c>
      <c r="E6237">
        <v>451.13599999999997</v>
      </c>
    </row>
    <row r="6238" spans="2:5">
      <c r="B6238" s="17">
        <v>42337</v>
      </c>
      <c r="D6238" t="s">
        <v>441</v>
      </c>
      <c r="E6238">
        <v>64.864000000000004</v>
      </c>
    </row>
    <row r="6239" spans="2:5">
      <c r="B6239" s="17">
        <v>42337</v>
      </c>
      <c r="D6239" t="s">
        <v>441</v>
      </c>
      <c r="E6239">
        <v>109.9</v>
      </c>
    </row>
    <row r="6240" spans="2:5">
      <c r="B6240" s="17">
        <v>42337</v>
      </c>
      <c r="D6240" t="s">
        <v>441</v>
      </c>
      <c r="E6240">
        <v>12.96</v>
      </c>
    </row>
    <row r="6241" spans="2:5">
      <c r="B6241" s="17">
        <v>42337</v>
      </c>
      <c r="D6241" t="s">
        <v>441</v>
      </c>
      <c r="E6241">
        <v>44.400000000000006</v>
      </c>
    </row>
    <row r="6242" spans="2:5">
      <c r="B6242" s="17">
        <v>42336</v>
      </c>
      <c r="D6242" t="s">
        <v>441</v>
      </c>
      <c r="E6242">
        <v>20.65</v>
      </c>
    </row>
    <row r="6243" spans="2:5">
      <c r="B6243" s="17">
        <v>42336</v>
      </c>
      <c r="D6243" t="s">
        <v>441</v>
      </c>
      <c r="E6243">
        <v>110.376</v>
      </c>
    </row>
    <row r="6244" spans="2:5">
      <c r="B6244" s="17">
        <v>42336</v>
      </c>
      <c r="D6244" t="s">
        <v>811</v>
      </c>
      <c r="E6244">
        <v>55.176000000000002</v>
      </c>
    </row>
    <row r="6245" spans="2:5">
      <c r="B6245" s="17">
        <v>42336</v>
      </c>
      <c r="D6245" t="s">
        <v>811</v>
      </c>
      <c r="E6245">
        <v>26.336000000000002</v>
      </c>
    </row>
    <row r="6246" spans="2:5">
      <c r="B6246" s="17">
        <v>42336</v>
      </c>
      <c r="D6246" t="s">
        <v>811</v>
      </c>
      <c r="E6246">
        <v>153.56800000000001</v>
      </c>
    </row>
    <row r="6247" spans="2:5">
      <c r="B6247" s="17">
        <v>42336</v>
      </c>
      <c r="D6247" t="s">
        <v>811</v>
      </c>
      <c r="E6247">
        <v>1013.4879999999999</v>
      </c>
    </row>
    <row r="6248" spans="2:5">
      <c r="B6248" s="17">
        <v>42336</v>
      </c>
      <c r="D6248" t="s">
        <v>811</v>
      </c>
      <c r="E6248">
        <v>29.99</v>
      </c>
    </row>
    <row r="6249" spans="2:5">
      <c r="B6249" s="17">
        <v>42336</v>
      </c>
      <c r="D6249" t="s">
        <v>811</v>
      </c>
      <c r="E6249">
        <v>371.96999999999997</v>
      </c>
    </row>
    <row r="6250" spans="2:5">
      <c r="B6250" s="17">
        <v>42336</v>
      </c>
      <c r="D6250" t="s">
        <v>257</v>
      </c>
      <c r="E6250">
        <v>11.648000000000001</v>
      </c>
    </row>
    <row r="6251" spans="2:5">
      <c r="B6251" s="17">
        <v>42336</v>
      </c>
      <c r="D6251" t="s">
        <v>257</v>
      </c>
      <c r="E6251">
        <v>90.570000000000007</v>
      </c>
    </row>
    <row r="6252" spans="2:5">
      <c r="B6252" s="17">
        <v>42336</v>
      </c>
      <c r="D6252" t="s">
        <v>257</v>
      </c>
      <c r="E6252">
        <v>52.34</v>
      </c>
    </row>
    <row r="6253" spans="2:5">
      <c r="B6253" s="17">
        <v>42336</v>
      </c>
      <c r="D6253" t="s">
        <v>257</v>
      </c>
      <c r="E6253">
        <v>4.66</v>
      </c>
    </row>
    <row r="6254" spans="2:5">
      <c r="B6254" s="17">
        <v>42336</v>
      </c>
      <c r="D6254" t="s">
        <v>1549</v>
      </c>
      <c r="E6254">
        <v>181.79699999999997</v>
      </c>
    </row>
    <row r="6255" spans="2:5">
      <c r="B6255" s="17">
        <v>42335</v>
      </c>
      <c r="D6255" t="s">
        <v>1549</v>
      </c>
      <c r="E6255">
        <v>60.12</v>
      </c>
    </row>
    <row r="6256" spans="2:5">
      <c r="B6256" s="17">
        <v>42335</v>
      </c>
      <c r="D6256" t="s">
        <v>426</v>
      </c>
      <c r="E6256">
        <v>49.536000000000001</v>
      </c>
    </row>
    <row r="6257" spans="2:5">
      <c r="B6257" s="17">
        <v>42335</v>
      </c>
      <c r="D6257" t="s">
        <v>426</v>
      </c>
      <c r="E6257">
        <v>81.98</v>
      </c>
    </row>
    <row r="6258" spans="2:5">
      <c r="B6258" s="17">
        <v>42335</v>
      </c>
      <c r="D6258" t="s">
        <v>426</v>
      </c>
      <c r="E6258">
        <v>89.567999999999998</v>
      </c>
    </row>
    <row r="6259" spans="2:5">
      <c r="B6259" s="17">
        <v>42335</v>
      </c>
      <c r="D6259" t="s">
        <v>426</v>
      </c>
      <c r="E6259">
        <v>15.552000000000003</v>
      </c>
    </row>
    <row r="6260" spans="2:5">
      <c r="B6260" s="17">
        <v>42335</v>
      </c>
      <c r="D6260" t="s">
        <v>426</v>
      </c>
      <c r="E6260">
        <v>63.311999999999998</v>
      </c>
    </row>
    <row r="6261" spans="2:5">
      <c r="B6261" s="17">
        <v>42335</v>
      </c>
      <c r="D6261" t="s">
        <v>426</v>
      </c>
      <c r="E6261">
        <v>15.587999999999999</v>
      </c>
    </row>
    <row r="6262" spans="2:5">
      <c r="B6262" s="17">
        <v>42335</v>
      </c>
      <c r="D6262" t="s">
        <v>426</v>
      </c>
      <c r="E6262">
        <v>54.992000000000004</v>
      </c>
    </row>
    <row r="6263" spans="2:5">
      <c r="B6263" s="17">
        <v>42335</v>
      </c>
      <c r="D6263" t="s">
        <v>350</v>
      </c>
      <c r="E6263">
        <v>79.92</v>
      </c>
    </row>
    <row r="6264" spans="2:5">
      <c r="B6264" s="17">
        <v>42335</v>
      </c>
      <c r="D6264" t="s">
        <v>350</v>
      </c>
      <c r="E6264">
        <v>69.98</v>
      </c>
    </row>
    <row r="6265" spans="2:5">
      <c r="B6265" s="17">
        <v>42335</v>
      </c>
      <c r="D6265" t="s">
        <v>350</v>
      </c>
      <c r="E6265">
        <v>24.849999999999998</v>
      </c>
    </row>
    <row r="6266" spans="2:5">
      <c r="B6266" s="17">
        <v>42335</v>
      </c>
      <c r="D6266" t="s">
        <v>350</v>
      </c>
      <c r="E6266">
        <v>349.95</v>
      </c>
    </row>
    <row r="6267" spans="2:5">
      <c r="B6267" s="17">
        <v>42335</v>
      </c>
      <c r="D6267" t="s">
        <v>350</v>
      </c>
      <c r="E6267">
        <v>377.92800000000005</v>
      </c>
    </row>
    <row r="6268" spans="2:5">
      <c r="B6268" s="17">
        <v>42335</v>
      </c>
      <c r="D6268" t="s">
        <v>350</v>
      </c>
      <c r="E6268">
        <v>15.168000000000001</v>
      </c>
    </row>
    <row r="6269" spans="2:5">
      <c r="B6269" s="17">
        <v>42335</v>
      </c>
      <c r="D6269" t="s">
        <v>1620</v>
      </c>
      <c r="E6269">
        <v>1565.88</v>
      </c>
    </row>
    <row r="6270" spans="2:5">
      <c r="B6270" s="17">
        <v>42335</v>
      </c>
      <c r="D6270" t="s">
        <v>1620</v>
      </c>
      <c r="E6270">
        <v>106.05</v>
      </c>
    </row>
    <row r="6271" spans="2:5">
      <c r="B6271" s="17">
        <v>42335</v>
      </c>
      <c r="D6271" t="s">
        <v>1737</v>
      </c>
      <c r="E6271">
        <v>30.828000000000007</v>
      </c>
    </row>
    <row r="6272" spans="2:5">
      <c r="B6272" s="17">
        <v>42334</v>
      </c>
      <c r="D6272" t="s">
        <v>1675</v>
      </c>
      <c r="E6272">
        <v>47.616</v>
      </c>
    </row>
    <row r="6273" spans="2:5">
      <c r="B6273" s="17">
        <v>42334</v>
      </c>
      <c r="D6273" t="s">
        <v>1675</v>
      </c>
      <c r="E6273">
        <v>108.78399999999999</v>
      </c>
    </row>
    <row r="6274" spans="2:5">
      <c r="B6274" s="17">
        <v>42334</v>
      </c>
      <c r="D6274" t="s">
        <v>1675</v>
      </c>
      <c r="E6274">
        <v>34.58</v>
      </c>
    </row>
    <row r="6275" spans="2:5">
      <c r="B6275" s="17">
        <v>42334</v>
      </c>
      <c r="D6275" t="s">
        <v>1675</v>
      </c>
      <c r="E6275">
        <v>23.076000000000001</v>
      </c>
    </row>
    <row r="6276" spans="2:5">
      <c r="B6276" s="17">
        <v>42334</v>
      </c>
      <c r="D6276" t="s">
        <v>1675</v>
      </c>
      <c r="E6276">
        <v>25.920000000000005</v>
      </c>
    </row>
    <row r="6277" spans="2:5">
      <c r="B6277" s="17">
        <v>42334</v>
      </c>
      <c r="D6277" t="s">
        <v>1675</v>
      </c>
      <c r="E6277">
        <v>191.47200000000001</v>
      </c>
    </row>
    <row r="6278" spans="2:5">
      <c r="B6278" s="17">
        <v>42333</v>
      </c>
      <c r="D6278" t="s">
        <v>1175</v>
      </c>
      <c r="E6278">
        <v>5.2480000000000002</v>
      </c>
    </row>
    <row r="6279" spans="2:5">
      <c r="B6279" s="17">
        <v>42332</v>
      </c>
      <c r="D6279" t="s">
        <v>1175</v>
      </c>
      <c r="E6279">
        <v>59.184000000000005</v>
      </c>
    </row>
    <row r="6280" spans="2:5">
      <c r="B6280" s="17">
        <v>42332</v>
      </c>
      <c r="D6280" t="s">
        <v>1175</v>
      </c>
      <c r="E6280">
        <v>959.96800000000007</v>
      </c>
    </row>
    <row r="6281" spans="2:5">
      <c r="B6281" s="17">
        <v>42332</v>
      </c>
      <c r="D6281" t="s">
        <v>1175</v>
      </c>
      <c r="E6281">
        <v>4.6719999999999997</v>
      </c>
    </row>
    <row r="6282" spans="2:5">
      <c r="B6282" s="17">
        <v>42332</v>
      </c>
      <c r="D6282" t="s">
        <v>1175</v>
      </c>
      <c r="E6282">
        <v>104.58000000000001</v>
      </c>
    </row>
    <row r="6283" spans="2:5">
      <c r="B6283" s="17">
        <v>42332</v>
      </c>
      <c r="D6283" t="s">
        <v>1012</v>
      </c>
      <c r="E6283">
        <v>114.46</v>
      </c>
    </row>
    <row r="6284" spans="2:5">
      <c r="B6284" s="17">
        <v>42332</v>
      </c>
      <c r="D6284" t="s">
        <v>1012</v>
      </c>
      <c r="E6284">
        <v>30.080000000000002</v>
      </c>
    </row>
    <row r="6285" spans="2:5">
      <c r="B6285" s="17">
        <v>42332</v>
      </c>
      <c r="D6285" t="s">
        <v>1012</v>
      </c>
      <c r="E6285">
        <v>165.60000000000002</v>
      </c>
    </row>
    <row r="6286" spans="2:5">
      <c r="B6286" s="17">
        <v>42332</v>
      </c>
      <c r="D6286" t="s">
        <v>1012</v>
      </c>
      <c r="E6286">
        <v>180.96</v>
      </c>
    </row>
    <row r="6287" spans="2:5">
      <c r="B6287" s="17">
        <v>42332</v>
      </c>
      <c r="D6287" t="s">
        <v>1012</v>
      </c>
      <c r="E6287">
        <v>1592.8500000000001</v>
      </c>
    </row>
    <row r="6288" spans="2:5">
      <c r="B6288" s="17">
        <v>42332</v>
      </c>
      <c r="D6288" t="s">
        <v>1743</v>
      </c>
      <c r="E6288">
        <v>11.88</v>
      </c>
    </row>
    <row r="6289" spans="2:5">
      <c r="B6289" s="17">
        <v>42331</v>
      </c>
      <c r="D6289" t="s">
        <v>1743</v>
      </c>
      <c r="E6289">
        <v>173.94</v>
      </c>
    </row>
    <row r="6290" spans="2:5">
      <c r="B6290" s="17">
        <v>42331</v>
      </c>
      <c r="D6290" t="s">
        <v>922</v>
      </c>
      <c r="E6290">
        <v>487.98400000000004</v>
      </c>
    </row>
    <row r="6291" spans="2:5">
      <c r="B6291" s="17">
        <v>42331</v>
      </c>
      <c r="D6291" t="s">
        <v>922</v>
      </c>
      <c r="E6291">
        <v>14.76</v>
      </c>
    </row>
    <row r="6292" spans="2:5">
      <c r="B6292" s="17">
        <v>42331</v>
      </c>
      <c r="D6292" t="s">
        <v>922</v>
      </c>
      <c r="E6292">
        <v>3.6559999999999993</v>
      </c>
    </row>
    <row r="6293" spans="2:5">
      <c r="B6293" s="17">
        <v>42331</v>
      </c>
      <c r="D6293" t="s">
        <v>922</v>
      </c>
      <c r="E6293">
        <v>94.74</v>
      </c>
    </row>
    <row r="6294" spans="2:5">
      <c r="B6294" s="17">
        <v>42331</v>
      </c>
      <c r="D6294" t="s">
        <v>922</v>
      </c>
      <c r="E6294">
        <v>60.64</v>
      </c>
    </row>
    <row r="6295" spans="2:5">
      <c r="B6295" s="17">
        <v>42331</v>
      </c>
      <c r="D6295" t="s">
        <v>1282</v>
      </c>
      <c r="E6295">
        <v>76.3</v>
      </c>
    </row>
    <row r="6296" spans="2:5">
      <c r="B6296" s="17">
        <v>42331</v>
      </c>
      <c r="D6296" t="s">
        <v>1282</v>
      </c>
      <c r="E6296">
        <v>364.79999999999995</v>
      </c>
    </row>
    <row r="6297" spans="2:5">
      <c r="B6297" s="17">
        <v>42331</v>
      </c>
      <c r="D6297" t="s">
        <v>1282</v>
      </c>
      <c r="E6297">
        <v>152.68800000000002</v>
      </c>
    </row>
    <row r="6298" spans="2:5">
      <c r="B6298" s="17">
        <v>42331</v>
      </c>
      <c r="D6298" t="s">
        <v>1282</v>
      </c>
      <c r="E6298">
        <v>3.4880000000000004</v>
      </c>
    </row>
    <row r="6299" spans="2:5">
      <c r="B6299" s="17">
        <v>42330</v>
      </c>
      <c r="D6299" t="s">
        <v>1282</v>
      </c>
      <c r="E6299">
        <v>5.8880000000000008</v>
      </c>
    </row>
    <row r="6300" spans="2:5">
      <c r="B6300" s="17">
        <v>42330</v>
      </c>
      <c r="D6300" t="s">
        <v>941</v>
      </c>
      <c r="E6300">
        <v>116.4</v>
      </c>
    </row>
    <row r="6301" spans="2:5">
      <c r="B6301" s="17">
        <v>42330</v>
      </c>
      <c r="D6301" t="s">
        <v>941</v>
      </c>
      <c r="E6301">
        <v>68.52</v>
      </c>
    </row>
    <row r="6302" spans="2:5">
      <c r="B6302" s="17">
        <v>42330</v>
      </c>
      <c r="D6302" t="s">
        <v>941</v>
      </c>
      <c r="E6302">
        <v>74.94</v>
      </c>
    </row>
    <row r="6303" spans="2:5">
      <c r="B6303" s="17">
        <v>42330</v>
      </c>
      <c r="D6303" t="s">
        <v>941</v>
      </c>
      <c r="E6303">
        <v>2548.5600000000004</v>
      </c>
    </row>
    <row r="6304" spans="2:5">
      <c r="B6304" s="17">
        <v>42330</v>
      </c>
      <c r="D6304" t="s">
        <v>1207</v>
      </c>
      <c r="E6304">
        <v>6.36</v>
      </c>
    </row>
    <row r="6305" spans="2:5">
      <c r="B6305" s="17">
        <v>42330</v>
      </c>
      <c r="D6305" t="s">
        <v>1207</v>
      </c>
      <c r="E6305">
        <v>54.384000000000007</v>
      </c>
    </row>
    <row r="6306" spans="2:5">
      <c r="B6306" s="17">
        <v>42330</v>
      </c>
      <c r="D6306" t="s">
        <v>1617</v>
      </c>
      <c r="E6306">
        <v>24.816000000000003</v>
      </c>
    </row>
    <row r="6307" spans="2:5">
      <c r="B6307" s="17">
        <v>42330</v>
      </c>
      <c r="D6307" t="s">
        <v>1617</v>
      </c>
      <c r="E6307">
        <v>113.328</v>
      </c>
    </row>
    <row r="6308" spans="2:5">
      <c r="B6308" s="17">
        <v>42330</v>
      </c>
      <c r="D6308" t="s">
        <v>1617</v>
      </c>
      <c r="E6308">
        <v>532.39919999999995</v>
      </c>
    </row>
    <row r="6309" spans="2:5">
      <c r="B6309" s="17">
        <v>42330</v>
      </c>
      <c r="D6309" t="s">
        <v>1821</v>
      </c>
      <c r="E6309">
        <v>371.16800000000001</v>
      </c>
    </row>
    <row r="6310" spans="2:5">
      <c r="B6310" s="17">
        <v>42330</v>
      </c>
      <c r="D6310" t="s">
        <v>1821</v>
      </c>
      <c r="E6310">
        <v>105.42</v>
      </c>
    </row>
    <row r="6311" spans="2:5">
      <c r="B6311" s="17">
        <v>42330</v>
      </c>
      <c r="D6311" t="s">
        <v>1231</v>
      </c>
      <c r="E6311">
        <v>28.900000000000002</v>
      </c>
    </row>
    <row r="6312" spans="2:5">
      <c r="B6312" s="17">
        <v>42330</v>
      </c>
      <c r="D6312" t="s">
        <v>1231</v>
      </c>
      <c r="E6312">
        <v>355.96</v>
      </c>
    </row>
    <row r="6313" spans="2:5">
      <c r="B6313" s="17">
        <v>42329</v>
      </c>
      <c r="D6313" t="s">
        <v>1231</v>
      </c>
      <c r="E6313">
        <v>106.96</v>
      </c>
    </row>
    <row r="6314" spans="2:5">
      <c r="B6314" s="17">
        <v>42329</v>
      </c>
      <c r="D6314" t="s">
        <v>1231</v>
      </c>
      <c r="E6314">
        <v>21.560000000000002</v>
      </c>
    </row>
    <row r="6315" spans="2:5">
      <c r="B6315" s="17">
        <v>42329</v>
      </c>
      <c r="D6315" t="s">
        <v>1231</v>
      </c>
      <c r="E6315">
        <v>12.672000000000001</v>
      </c>
    </row>
    <row r="6316" spans="2:5">
      <c r="B6316" s="17">
        <v>42329</v>
      </c>
      <c r="D6316" t="s">
        <v>273</v>
      </c>
      <c r="E6316">
        <v>7.92</v>
      </c>
    </row>
    <row r="6317" spans="2:5">
      <c r="B6317" s="17">
        <v>42329</v>
      </c>
      <c r="D6317" t="s">
        <v>273</v>
      </c>
      <c r="E6317">
        <v>195.64</v>
      </c>
    </row>
    <row r="6318" spans="2:5">
      <c r="B6318" s="17">
        <v>42329</v>
      </c>
      <c r="D6318" t="s">
        <v>273</v>
      </c>
      <c r="E6318">
        <v>1548.9900000000002</v>
      </c>
    </row>
    <row r="6319" spans="2:5">
      <c r="B6319" s="17">
        <v>42329</v>
      </c>
      <c r="D6319" t="s">
        <v>101</v>
      </c>
      <c r="E6319">
        <v>19.872</v>
      </c>
    </row>
    <row r="6320" spans="2:5">
      <c r="B6320" s="17">
        <v>42329</v>
      </c>
      <c r="D6320" t="s">
        <v>101</v>
      </c>
      <c r="E6320">
        <v>4.7279999999999998</v>
      </c>
    </row>
    <row r="6321" spans="2:5">
      <c r="B6321" s="17">
        <v>42329</v>
      </c>
      <c r="D6321" t="s">
        <v>101</v>
      </c>
      <c r="E6321">
        <v>53.352000000000004</v>
      </c>
    </row>
    <row r="6322" spans="2:5">
      <c r="B6322" s="17">
        <v>42329</v>
      </c>
      <c r="D6322" t="s">
        <v>101</v>
      </c>
      <c r="E6322">
        <v>131.10400000000001</v>
      </c>
    </row>
    <row r="6323" spans="2:5">
      <c r="B6323" s="17">
        <v>42329</v>
      </c>
      <c r="D6323" t="s">
        <v>101</v>
      </c>
      <c r="E6323">
        <v>22.512000000000004</v>
      </c>
    </row>
    <row r="6324" spans="2:5">
      <c r="B6324" s="17">
        <v>42329</v>
      </c>
      <c r="D6324" t="s">
        <v>101</v>
      </c>
      <c r="E6324">
        <v>72.744000000000014</v>
      </c>
    </row>
    <row r="6325" spans="2:5">
      <c r="B6325" s="17">
        <v>42329</v>
      </c>
      <c r="D6325" t="s">
        <v>101</v>
      </c>
      <c r="E6325">
        <v>668.16</v>
      </c>
    </row>
    <row r="6326" spans="2:5">
      <c r="B6326" s="17">
        <v>42329</v>
      </c>
      <c r="D6326" t="s">
        <v>101</v>
      </c>
      <c r="E6326">
        <v>22.200000000000003</v>
      </c>
    </row>
    <row r="6327" spans="2:5">
      <c r="B6327" s="17">
        <v>42329</v>
      </c>
      <c r="D6327" t="s">
        <v>101</v>
      </c>
      <c r="E6327">
        <v>51.588000000000001</v>
      </c>
    </row>
    <row r="6328" spans="2:5">
      <c r="B6328" s="17">
        <v>42329</v>
      </c>
      <c r="D6328" t="s">
        <v>268</v>
      </c>
      <c r="E6328">
        <v>547.13599999999997</v>
      </c>
    </row>
    <row r="6329" spans="2:5">
      <c r="B6329" s="17">
        <v>42329</v>
      </c>
      <c r="D6329" t="s">
        <v>268</v>
      </c>
      <c r="E6329">
        <v>9.2159999999999993</v>
      </c>
    </row>
    <row r="6330" spans="2:5">
      <c r="B6330" s="17">
        <v>42329</v>
      </c>
      <c r="D6330" t="s">
        <v>1217</v>
      </c>
      <c r="E6330">
        <v>10.368000000000002</v>
      </c>
    </row>
    <row r="6331" spans="2:5">
      <c r="B6331" s="17">
        <v>42329</v>
      </c>
      <c r="D6331" t="s">
        <v>1217</v>
      </c>
      <c r="E6331">
        <v>73.98</v>
      </c>
    </row>
    <row r="6332" spans="2:5">
      <c r="B6332" s="17">
        <v>42329</v>
      </c>
      <c r="D6332" t="s">
        <v>1217</v>
      </c>
      <c r="E6332">
        <v>160.97999999999999</v>
      </c>
    </row>
    <row r="6333" spans="2:5">
      <c r="B6333" s="17">
        <v>42329</v>
      </c>
      <c r="D6333" t="s">
        <v>1217</v>
      </c>
      <c r="E6333">
        <v>17.34</v>
      </c>
    </row>
    <row r="6334" spans="2:5">
      <c r="B6334" s="17">
        <v>42328</v>
      </c>
      <c r="D6334" t="s">
        <v>1217</v>
      </c>
      <c r="E6334">
        <v>3.28</v>
      </c>
    </row>
    <row r="6335" spans="2:5">
      <c r="B6335" s="17">
        <v>42328</v>
      </c>
      <c r="D6335" t="s">
        <v>197</v>
      </c>
      <c r="E6335">
        <v>414.96</v>
      </c>
    </row>
    <row r="6336" spans="2:5">
      <c r="B6336" s="17">
        <v>42328</v>
      </c>
      <c r="D6336" t="s">
        <v>197</v>
      </c>
      <c r="E6336">
        <v>1199.96</v>
      </c>
    </row>
    <row r="6337" spans="2:5">
      <c r="B6337" s="17">
        <v>42328</v>
      </c>
      <c r="D6337" t="s">
        <v>197</v>
      </c>
      <c r="E6337">
        <v>12.600000000000001</v>
      </c>
    </row>
    <row r="6338" spans="2:5">
      <c r="B6338" s="17">
        <v>42328</v>
      </c>
      <c r="D6338" t="s">
        <v>197</v>
      </c>
      <c r="E6338">
        <v>17.940000000000001</v>
      </c>
    </row>
    <row r="6339" spans="2:5">
      <c r="B6339" s="17">
        <v>42328</v>
      </c>
      <c r="D6339" t="s">
        <v>371</v>
      </c>
      <c r="E6339">
        <v>157.89999999999998</v>
      </c>
    </row>
    <row r="6340" spans="2:5">
      <c r="B6340" s="17">
        <v>42328</v>
      </c>
      <c r="D6340" t="s">
        <v>371</v>
      </c>
      <c r="E6340">
        <v>843.9</v>
      </c>
    </row>
    <row r="6341" spans="2:5">
      <c r="B6341" s="17">
        <v>42328</v>
      </c>
      <c r="D6341" t="s">
        <v>371</v>
      </c>
      <c r="E6341">
        <v>449.56800000000004</v>
      </c>
    </row>
    <row r="6342" spans="2:5">
      <c r="B6342" s="17">
        <v>42328</v>
      </c>
      <c r="D6342" t="s">
        <v>371</v>
      </c>
      <c r="E6342">
        <v>9.9600000000000009</v>
      </c>
    </row>
    <row r="6343" spans="2:5">
      <c r="B6343" s="17">
        <v>42328</v>
      </c>
      <c r="D6343" t="s">
        <v>371</v>
      </c>
      <c r="E6343">
        <v>5.5840000000000005</v>
      </c>
    </row>
    <row r="6344" spans="2:5">
      <c r="B6344" s="17">
        <v>42328</v>
      </c>
      <c r="D6344" t="s">
        <v>371</v>
      </c>
      <c r="E6344">
        <v>22.704000000000004</v>
      </c>
    </row>
    <row r="6345" spans="2:5">
      <c r="B6345" s="17">
        <v>42328</v>
      </c>
      <c r="D6345" t="s">
        <v>371</v>
      </c>
      <c r="E6345">
        <v>19.776000000000003</v>
      </c>
    </row>
    <row r="6346" spans="2:5">
      <c r="B6346" s="17">
        <v>42328</v>
      </c>
      <c r="D6346" t="s">
        <v>371</v>
      </c>
      <c r="E6346">
        <v>72.703999999999994</v>
      </c>
    </row>
    <row r="6347" spans="2:5">
      <c r="B6347" s="17">
        <v>42328</v>
      </c>
      <c r="D6347" t="s">
        <v>88</v>
      </c>
      <c r="E6347">
        <v>479.98800000000006</v>
      </c>
    </row>
    <row r="6348" spans="2:5">
      <c r="B6348" s="17">
        <v>42328</v>
      </c>
      <c r="D6348" t="s">
        <v>88</v>
      </c>
      <c r="E6348">
        <v>27.168000000000003</v>
      </c>
    </row>
    <row r="6349" spans="2:5">
      <c r="B6349" s="17">
        <v>42328</v>
      </c>
      <c r="D6349" t="s">
        <v>88</v>
      </c>
      <c r="E6349">
        <v>132.79</v>
      </c>
    </row>
    <row r="6350" spans="2:5">
      <c r="B6350" s="17">
        <v>42328</v>
      </c>
      <c r="D6350" t="s">
        <v>88</v>
      </c>
      <c r="E6350">
        <v>12.96</v>
      </c>
    </row>
    <row r="6351" spans="2:5">
      <c r="B6351" s="17">
        <v>42328</v>
      </c>
      <c r="D6351" t="s">
        <v>88</v>
      </c>
      <c r="E6351">
        <v>21.560000000000002</v>
      </c>
    </row>
    <row r="6352" spans="2:5">
      <c r="B6352" s="17">
        <v>42328</v>
      </c>
      <c r="D6352" t="s">
        <v>1148</v>
      </c>
      <c r="E6352">
        <v>590.05800000000011</v>
      </c>
    </row>
    <row r="6353" spans="2:5">
      <c r="B6353" s="17">
        <v>42328</v>
      </c>
      <c r="D6353" t="s">
        <v>1148</v>
      </c>
      <c r="E6353">
        <v>14.04</v>
      </c>
    </row>
    <row r="6354" spans="2:5">
      <c r="B6354" s="17">
        <v>42328</v>
      </c>
      <c r="D6354" t="s">
        <v>1148</v>
      </c>
      <c r="E6354">
        <v>106.232</v>
      </c>
    </row>
    <row r="6355" spans="2:5">
      <c r="B6355" s="17">
        <v>42328</v>
      </c>
      <c r="D6355" t="s">
        <v>1148</v>
      </c>
      <c r="E6355">
        <v>111.98399999999999</v>
      </c>
    </row>
    <row r="6356" spans="2:5">
      <c r="B6356" s="17">
        <v>42328</v>
      </c>
      <c r="D6356" t="s">
        <v>1148</v>
      </c>
      <c r="E6356">
        <v>7.7120000000000006</v>
      </c>
    </row>
    <row r="6357" spans="2:5">
      <c r="B6357" s="17">
        <v>42328</v>
      </c>
      <c r="D6357" t="s">
        <v>893</v>
      </c>
      <c r="E6357">
        <v>883.84</v>
      </c>
    </row>
    <row r="6358" spans="2:5">
      <c r="B6358" s="17">
        <v>42328</v>
      </c>
      <c r="D6358" t="s">
        <v>893</v>
      </c>
      <c r="E6358">
        <v>19.936000000000003</v>
      </c>
    </row>
    <row r="6359" spans="2:5">
      <c r="B6359" s="17">
        <v>42327</v>
      </c>
      <c r="D6359" t="s">
        <v>893</v>
      </c>
      <c r="E6359">
        <v>45.92</v>
      </c>
    </row>
    <row r="6360" spans="2:5">
      <c r="B6360" s="17">
        <v>42327</v>
      </c>
      <c r="D6360" t="s">
        <v>893</v>
      </c>
      <c r="E6360">
        <v>9.68</v>
      </c>
    </row>
    <row r="6361" spans="2:5">
      <c r="B6361" s="17">
        <v>42327</v>
      </c>
      <c r="D6361" t="s">
        <v>893</v>
      </c>
      <c r="E6361">
        <v>4899.93</v>
      </c>
    </row>
    <row r="6362" spans="2:5">
      <c r="B6362" s="17">
        <v>42327</v>
      </c>
      <c r="D6362" t="s">
        <v>893</v>
      </c>
      <c r="E6362">
        <v>194.32</v>
      </c>
    </row>
    <row r="6363" spans="2:5">
      <c r="B6363" s="17">
        <v>42325</v>
      </c>
      <c r="D6363" t="s">
        <v>1152</v>
      </c>
      <c r="E6363">
        <v>17.12</v>
      </c>
    </row>
    <row r="6364" spans="2:5">
      <c r="B6364" s="17">
        <v>42325</v>
      </c>
      <c r="D6364" t="s">
        <v>1152</v>
      </c>
      <c r="E6364">
        <v>33.568000000000005</v>
      </c>
    </row>
    <row r="6365" spans="2:5">
      <c r="B6365" s="17">
        <v>42325</v>
      </c>
      <c r="D6365" t="s">
        <v>1152</v>
      </c>
      <c r="E6365">
        <v>422.62499999999994</v>
      </c>
    </row>
    <row r="6366" spans="2:5">
      <c r="B6366" s="17">
        <v>42325</v>
      </c>
      <c r="D6366" t="s">
        <v>1152</v>
      </c>
      <c r="E6366">
        <v>1618.37</v>
      </c>
    </row>
    <row r="6367" spans="2:5">
      <c r="B6367" s="17">
        <v>42325</v>
      </c>
      <c r="D6367" t="s">
        <v>1865</v>
      </c>
      <c r="E6367">
        <v>99.6</v>
      </c>
    </row>
    <row r="6368" spans="2:5">
      <c r="B6368" s="17">
        <v>42325</v>
      </c>
      <c r="D6368" t="s">
        <v>1865</v>
      </c>
      <c r="E6368">
        <v>60.984000000000009</v>
      </c>
    </row>
    <row r="6369" spans="2:5">
      <c r="B6369" s="17">
        <v>42325</v>
      </c>
      <c r="D6369" t="s">
        <v>1865</v>
      </c>
      <c r="E6369">
        <v>47.975999999999999</v>
      </c>
    </row>
    <row r="6370" spans="2:5">
      <c r="B6370" s="17">
        <v>42325</v>
      </c>
      <c r="D6370" t="s">
        <v>1865</v>
      </c>
      <c r="E6370">
        <v>50.88</v>
      </c>
    </row>
    <row r="6371" spans="2:5">
      <c r="B6371" s="17">
        <v>42325</v>
      </c>
      <c r="D6371" t="s">
        <v>713</v>
      </c>
      <c r="E6371">
        <v>27.312000000000001</v>
      </c>
    </row>
    <row r="6372" spans="2:5">
      <c r="B6372" s="17">
        <v>42325</v>
      </c>
      <c r="D6372" t="s">
        <v>713</v>
      </c>
      <c r="E6372">
        <v>3.008</v>
      </c>
    </row>
    <row r="6373" spans="2:5">
      <c r="B6373" s="17">
        <v>42325</v>
      </c>
      <c r="D6373" t="s">
        <v>713</v>
      </c>
      <c r="E6373">
        <v>600.53</v>
      </c>
    </row>
    <row r="6374" spans="2:5">
      <c r="B6374" s="17">
        <v>42324</v>
      </c>
      <c r="D6374" t="s">
        <v>713</v>
      </c>
      <c r="E6374">
        <v>59.903999999999996</v>
      </c>
    </row>
    <row r="6375" spans="2:5">
      <c r="B6375" s="17">
        <v>42324</v>
      </c>
      <c r="D6375" t="s">
        <v>713</v>
      </c>
      <c r="E6375">
        <v>637.44000000000005</v>
      </c>
    </row>
    <row r="6376" spans="2:5">
      <c r="B6376" s="17">
        <v>42324</v>
      </c>
      <c r="D6376" t="s">
        <v>713</v>
      </c>
      <c r="E6376">
        <v>51.756000000000007</v>
      </c>
    </row>
    <row r="6377" spans="2:5">
      <c r="B6377" s="17">
        <v>42324</v>
      </c>
      <c r="D6377" t="s">
        <v>713</v>
      </c>
      <c r="E6377">
        <v>88.800000000000011</v>
      </c>
    </row>
    <row r="6378" spans="2:5">
      <c r="B6378" s="17">
        <v>42324</v>
      </c>
      <c r="D6378" t="s">
        <v>713</v>
      </c>
      <c r="E6378">
        <v>55.48</v>
      </c>
    </row>
    <row r="6379" spans="2:5">
      <c r="B6379" s="17">
        <v>42324</v>
      </c>
      <c r="D6379" t="s">
        <v>713</v>
      </c>
      <c r="E6379">
        <v>159.98400000000001</v>
      </c>
    </row>
    <row r="6380" spans="2:5">
      <c r="B6380" s="17">
        <v>42324</v>
      </c>
      <c r="D6380" t="s">
        <v>740</v>
      </c>
      <c r="E6380">
        <v>359.05799999999994</v>
      </c>
    </row>
    <row r="6381" spans="2:5">
      <c r="B6381" s="17">
        <v>42324</v>
      </c>
      <c r="D6381" t="s">
        <v>740</v>
      </c>
      <c r="E6381">
        <v>7.9200000000000008</v>
      </c>
    </row>
    <row r="6382" spans="2:5">
      <c r="B6382" s="17">
        <v>42324</v>
      </c>
      <c r="D6382" t="s">
        <v>740</v>
      </c>
      <c r="E6382">
        <v>14.368000000000002</v>
      </c>
    </row>
    <row r="6383" spans="2:5">
      <c r="B6383" s="17">
        <v>42324</v>
      </c>
      <c r="D6383" t="s">
        <v>740</v>
      </c>
      <c r="E6383">
        <v>11.696</v>
      </c>
    </row>
    <row r="6384" spans="2:5">
      <c r="B6384" s="17">
        <v>42324</v>
      </c>
      <c r="D6384" t="s">
        <v>740</v>
      </c>
      <c r="E6384">
        <v>17.12</v>
      </c>
    </row>
    <row r="6385" spans="2:5">
      <c r="B6385" s="17">
        <v>42324</v>
      </c>
      <c r="D6385" t="s">
        <v>630</v>
      </c>
      <c r="E6385">
        <v>36.269999999999996</v>
      </c>
    </row>
    <row r="6386" spans="2:5">
      <c r="B6386" s="17">
        <v>42323</v>
      </c>
      <c r="D6386" t="s">
        <v>630</v>
      </c>
      <c r="E6386">
        <v>100.80000000000001</v>
      </c>
    </row>
    <row r="6387" spans="2:5">
      <c r="B6387" s="17">
        <v>42323</v>
      </c>
      <c r="D6387" t="s">
        <v>630</v>
      </c>
      <c r="E6387">
        <v>675.96</v>
      </c>
    </row>
    <row r="6388" spans="2:5">
      <c r="B6388" s="17">
        <v>42323</v>
      </c>
      <c r="D6388" t="s">
        <v>630</v>
      </c>
      <c r="E6388">
        <v>1265.8499999999999</v>
      </c>
    </row>
    <row r="6389" spans="2:5">
      <c r="B6389" s="17">
        <v>42323</v>
      </c>
      <c r="D6389" t="s">
        <v>630</v>
      </c>
      <c r="E6389">
        <v>434.35199999999998</v>
      </c>
    </row>
    <row r="6390" spans="2:5">
      <c r="B6390" s="17">
        <v>42323</v>
      </c>
      <c r="D6390" t="s">
        <v>630</v>
      </c>
      <c r="E6390">
        <v>3.5520000000000005</v>
      </c>
    </row>
    <row r="6391" spans="2:5">
      <c r="B6391" s="17">
        <v>42323</v>
      </c>
      <c r="D6391" t="s">
        <v>1378</v>
      </c>
      <c r="E6391">
        <v>88.832000000000008</v>
      </c>
    </row>
    <row r="6392" spans="2:5">
      <c r="B6392" s="17">
        <v>42323</v>
      </c>
      <c r="D6392" t="s">
        <v>1378</v>
      </c>
      <c r="E6392">
        <v>7.04</v>
      </c>
    </row>
    <row r="6393" spans="2:5">
      <c r="B6393" s="17">
        <v>42323</v>
      </c>
      <c r="D6393" t="s">
        <v>354</v>
      </c>
      <c r="E6393">
        <v>5.04</v>
      </c>
    </row>
    <row r="6394" spans="2:5">
      <c r="B6394" s="17">
        <v>42322</v>
      </c>
      <c r="D6394" t="s">
        <v>354</v>
      </c>
      <c r="E6394">
        <v>116.28</v>
      </c>
    </row>
    <row r="6395" spans="2:5">
      <c r="B6395" s="17">
        <v>42322</v>
      </c>
      <c r="D6395" t="s">
        <v>354</v>
      </c>
      <c r="E6395">
        <v>158.376</v>
      </c>
    </row>
    <row r="6396" spans="2:5">
      <c r="B6396" s="17">
        <v>42322</v>
      </c>
      <c r="D6396" t="s">
        <v>354</v>
      </c>
      <c r="E6396">
        <v>29.900000000000002</v>
      </c>
    </row>
    <row r="6397" spans="2:5">
      <c r="B6397" s="17">
        <v>42322</v>
      </c>
      <c r="D6397" t="s">
        <v>354</v>
      </c>
      <c r="E6397">
        <v>2249.91</v>
      </c>
    </row>
    <row r="6398" spans="2:5">
      <c r="B6398" s="17">
        <v>42322</v>
      </c>
      <c r="D6398" t="s">
        <v>465</v>
      </c>
      <c r="E6398">
        <v>1053.164</v>
      </c>
    </row>
    <row r="6399" spans="2:5">
      <c r="B6399" s="17">
        <v>42322</v>
      </c>
      <c r="D6399" t="s">
        <v>201</v>
      </c>
      <c r="E6399">
        <v>25.488</v>
      </c>
    </row>
    <row r="6400" spans="2:5">
      <c r="B6400" s="17">
        <v>42322</v>
      </c>
      <c r="D6400" t="s">
        <v>201</v>
      </c>
      <c r="E6400">
        <v>6.911999999999999</v>
      </c>
    </row>
    <row r="6401" spans="2:5">
      <c r="B6401" s="17">
        <v>42322</v>
      </c>
      <c r="D6401" t="s">
        <v>201</v>
      </c>
      <c r="E6401">
        <v>646.77600000000007</v>
      </c>
    </row>
    <row r="6402" spans="2:5">
      <c r="B6402" s="17">
        <v>42322</v>
      </c>
      <c r="D6402" t="s">
        <v>201</v>
      </c>
      <c r="E6402">
        <v>166.24</v>
      </c>
    </row>
    <row r="6403" spans="2:5">
      <c r="B6403" s="17">
        <v>42322</v>
      </c>
      <c r="D6403" t="s">
        <v>201</v>
      </c>
      <c r="E6403">
        <v>6.8480000000000008</v>
      </c>
    </row>
    <row r="6404" spans="2:5">
      <c r="B6404" s="17">
        <v>42322</v>
      </c>
      <c r="D6404" t="s">
        <v>381</v>
      </c>
      <c r="E6404">
        <v>55.936000000000007</v>
      </c>
    </row>
    <row r="6405" spans="2:5">
      <c r="B6405" s="17">
        <v>42322</v>
      </c>
      <c r="D6405" t="s">
        <v>381</v>
      </c>
      <c r="E6405">
        <v>18.431999999999999</v>
      </c>
    </row>
    <row r="6406" spans="2:5">
      <c r="B6406" s="17">
        <v>42322</v>
      </c>
      <c r="D6406" t="s">
        <v>381</v>
      </c>
      <c r="E6406">
        <v>20.32</v>
      </c>
    </row>
    <row r="6407" spans="2:5">
      <c r="B6407" s="17">
        <v>42321</v>
      </c>
      <c r="D6407" t="s">
        <v>381</v>
      </c>
      <c r="E6407">
        <v>20.736000000000004</v>
      </c>
    </row>
    <row r="6408" spans="2:5">
      <c r="B6408" s="17">
        <v>42321</v>
      </c>
      <c r="D6408" t="s">
        <v>381</v>
      </c>
      <c r="E6408">
        <v>29.52</v>
      </c>
    </row>
    <row r="6409" spans="2:5">
      <c r="B6409" s="17">
        <v>42321</v>
      </c>
      <c r="D6409" t="s">
        <v>381</v>
      </c>
      <c r="E6409">
        <v>142.36000000000001</v>
      </c>
    </row>
    <row r="6410" spans="2:5">
      <c r="B6410" s="17">
        <v>42321</v>
      </c>
      <c r="D6410" t="s">
        <v>1817</v>
      </c>
      <c r="E6410">
        <v>546.66</v>
      </c>
    </row>
    <row r="6411" spans="2:5">
      <c r="B6411" s="17">
        <v>42321</v>
      </c>
      <c r="D6411" t="s">
        <v>1380</v>
      </c>
      <c r="E6411">
        <v>180.01600000000002</v>
      </c>
    </row>
    <row r="6412" spans="2:5">
      <c r="B6412" s="17">
        <v>42321</v>
      </c>
      <c r="D6412" t="s">
        <v>1380</v>
      </c>
      <c r="E6412">
        <v>41.552</v>
      </c>
    </row>
    <row r="6413" spans="2:5">
      <c r="B6413" s="17">
        <v>42321</v>
      </c>
      <c r="D6413" t="s">
        <v>1380</v>
      </c>
      <c r="E6413">
        <v>13.120000000000001</v>
      </c>
    </row>
    <row r="6414" spans="2:5">
      <c r="B6414" s="17">
        <v>42321</v>
      </c>
      <c r="D6414" t="s">
        <v>488</v>
      </c>
      <c r="E6414">
        <v>135.98400000000001</v>
      </c>
    </row>
    <row r="6415" spans="2:5">
      <c r="B6415" s="17">
        <v>42321</v>
      </c>
      <c r="D6415" t="s">
        <v>488</v>
      </c>
      <c r="E6415">
        <v>92.960000000000008</v>
      </c>
    </row>
    <row r="6416" spans="2:5">
      <c r="B6416" s="17">
        <v>42321</v>
      </c>
      <c r="D6416" t="s">
        <v>488</v>
      </c>
      <c r="E6416">
        <v>4.9800000000000004</v>
      </c>
    </row>
    <row r="6417" spans="2:5">
      <c r="B6417" s="17">
        <v>42321</v>
      </c>
      <c r="D6417" t="s">
        <v>488</v>
      </c>
      <c r="E6417">
        <v>3.28</v>
      </c>
    </row>
    <row r="6418" spans="2:5">
      <c r="B6418" s="17">
        <v>42321</v>
      </c>
      <c r="D6418" t="s">
        <v>488</v>
      </c>
      <c r="E6418">
        <v>103.92</v>
      </c>
    </row>
    <row r="6419" spans="2:5">
      <c r="B6419" s="17">
        <v>42321</v>
      </c>
      <c r="D6419" t="s">
        <v>488</v>
      </c>
      <c r="E6419">
        <v>899.91</v>
      </c>
    </row>
    <row r="6420" spans="2:5">
      <c r="B6420" s="17">
        <v>42321</v>
      </c>
      <c r="D6420" t="s">
        <v>488</v>
      </c>
      <c r="E6420">
        <v>51.311999999999998</v>
      </c>
    </row>
    <row r="6421" spans="2:5">
      <c r="B6421" s="17">
        <v>42321</v>
      </c>
      <c r="D6421" t="s">
        <v>1621</v>
      </c>
      <c r="E6421">
        <v>2025.3600000000001</v>
      </c>
    </row>
    <row r="6422" spans="2:5">
      <c r="B6422" s="17">
        <v>42321</v>
      </c>
      <c r="D6422" t="s">
        <v>919</v>
      </c>
      <c r="E6422">
        <v>1799.9940000000001</v>
      </c>
    </row>
    <row r="6423" spans="2:5">
      <c r="B6423" s="17">
        <v>42321</v>
      </c>
      <c r="D6423" t="s">
        <v>919</v>
      </c>
      <c r="E6423">
        <v>101.98799999999999</v>
      </c>
    </row>
    <row r="6424" spans="2:5">
      <c r="B6424" s="17">
        <v>42321</v>
      </c>
      <c r="D6424" t="s">
        <v>919</v>
      </c>
      <c r="E6424">
        <v>3.76</v>
      </c>
    </row>
    <row r="6425" spans="2:5">
      <c r="B6425" s="17">
        <v>42321</v>
      </c>
      <c r="D6425" t="s">
        <v>919</v>
      </c>
      <c r="E6425">
        <v>8.0960000000000001</v>
      </c>
    </row>
    <row r="6426" spans="2:5">
      <c r="B6426" s="17">
        <v>42321</v>
      </c>
      <c r="D6426" t="s">
        <v>1523</v>
      </c>
      <c r="E6426">
        <v>6.16</v>
      </c>
    </row>
    <row r="6427" spans="2:5">
      <c r="B6427" s="17">
        <v>42321</v>
      </c>
      <c r="D6427" t="s">
        <v>1523</v>
      </c>
      <c r="E6427">
        <v>56.3</v>
      </c>
    </row>
    <row r="6428" spans="2:5">
      <c r="B6428" s="17">
        <v>42320</v>
      </c>
      <c r="D6428" t="s">
        <v>1523</v>
      </c>
      <c r="E6428">
        <v>15.24</v>
      </c>
    </row>
    <row r="6429" spans="2:5">
      <c r="B6429" s="17">
        <v>42320</v>
      </c>
      <c r="D6429" t="s">
        <v>1825</v>
      </c>
      <c r="E6429">
        <v>29.22</v>
      </c>
    </row>
    <row r="6430" spans="2:5">
      <c r="B6430" s="17">
        <v>42320</v>
      </c>
      <c r="D6430" t="s">
        <v>1825</v>
      </c>
      <c r="E6430">
        <v>50</v>
      </c>
    </row>
    <row r="6431" spans="2:5">
      <c r="B6431" s="17">
        <v>42320</v>
      </c>
      <c r="D6431" t="s">
        <v>437</v>
      </c>
      <c r="E6431">
        <v>55.264000000000003</v>
      </c>
    </row>
    <row r="6432" spans="2:5">
      <c r="B6432" s="17">
        <v>42320</v>
      </c>
      <c r="D6432" t="s">
        <v>437</v>
      </c>
      <c r="E6432">
        <v>6.48</v>
      </c>
    </row>
    <row r="6433" spans="2:5">
      <c r="B6433" s="17">
        <v>42320</v>
      </c>
      <c r="D6433" t="s">
        <v>437</v>
      </c>
      <c r="E6433">
        <v>34.248000000000005</v>
      </c>
    </row>
    <row r="6434" spans="2:5">
      <c r="B6434" s="17">
        <v>42320</v>
      </c>
      <c r="D6434" t="s">
        <v>437</v>
      </c>
      <c r="E6434">
        <v>12.96</v>
      </c>
    </row>
    <row r="6435" spans="2:5">
      <c r="B6435" s="17">
        <v>42320</v>
      </c>
      <c r="D6435" t="s">
        <v>1559</v>
      </c>
      <c r="E6435">
        <v>134.47999999999999</v>
      </c>
    </row>
    <row r="6436" spans="2:5">
      <c r="B6436" s="17">
        <v>42320</v>
      </c>
      <c r="D6436" t="s">
        <v>1559</v>
      </c>
      <c r="E6436">
        <v>9.9600000000000009</v>
      </c>
    </row>
    <row r="6437" spans="2:5">
      <c r="B6437" s="17">
        <v>42320</v>
      </c>
      <c r="D6437" t="s">
        <v>1559</v>
      </c>
      <c r="E6437">
        <v>494.37600000000009</v>
      </c>
    </row>
    <row r="6438" spans="2:5">
      <c r="B6438" s="17">
        <v>42320</v>
      </c>
      <c r="D6438" t="s">
        <v>1559</v>
      </c>
      <c r="E6438">
        <v>29.2</v>
      </c>
    </row>
    <row r="6439" spans="2:5">
      <c r="B6439" s="17">
        <v>42319</v>
      </c>
      <c r="D6439" t="s">
        <v>722</v>
      </c>
      <c r="E6439">
        <v>36.24</v>
      </c>
    </row>
    <row r="6440" spans="2:5">
      <c r="B6440" s="17">
        <v>42319</v>
      </c>
      <c r="D6440" t="s">
        <v>722</v>
      </c>
      <c r="E6440">
        <v>19.440000000000001</v>
      </c>
    </row>
    <row r="6441" spans="2:5">
      <c r="B6441" s="17">
        <v>42318</v>
      </c>
      <c r="D6441" t="s">
        <v>722</v>
      </c>
      <c r="E6441">
        <v>37.880000000000003</v>
      </c>
    </row>
    <row r="6442" spans="2:5">
      <c r="B6442" s="17">
        <v>42318</v>
      </c>
      <c r="D6442" t="s">
        <v>722</v>
      </c>
      <c r="E6442">
        <v>348.92800000000005</v>
      </c>
    </row>
    <row r="6443" spans="2:5">
      <c r="B6443" s="17">
        <v>42318</v>
      </c>
      <c r="D6443" t="s">
        <v>722</v>
      </c>
      <c r="E6443">
        <v>7.86</v>
      </c>
    </row>
    <row r="6444" spans="2:5">
      <c r="B6444" s="17">
        <v>42318</v>
      </c>
      <c r="D6444" t="s">
        <v>722</v>
      </c>
      <c r="E6444">
        <v>24.448</v>
      </c>
    </row>
    <row r="6445" spans="2:5">
      <c r="B6445" s="17">
        <v>42318</v>
      </c>
      <c r="D6445" t="s">
        <v>722</v>
      </c>
      <c r="E6445">
        <v>8.2200000000000006</v>
      </c>
    </row>
    <row r="6446" spans="2:5">
      <c r="B6446" s="17">
        <v>42318</v>
      </c>
      <c r="D6446" t="s">
        <v>161</v>
      </c>
      <c r="E6446">
        <v>22.368000000000002</v>
      </c>
    </row>
    <row r="6447" spans="2:5">
      <c r="B6447" s="17">
        <v>42318</v>
      </c>
      <c r="D6447" t="s">
        <v>161</v>
      </c>
      <c r="E6447">
        <v>2.21</v>
      </c>
    </row>
    <row r="6448" spans="2:5">
      <c r="B6448" s="17">
        <v>42318</v>
      </c>
      <c r="D6448" t="s">
        <v>161</v>
      </c>
      <c r="E6448">
        <v>15.52</v>
      </c>
    </row>
    <row r="6449" spans="2:5">
      <c r="B6449" s="17">
        <v>42317</v>
      </c>
      <c r="D6449" t="s">
        <v>161</v>
      </c>
      <c r="E6449">
        <v>36.44</v>
      </c>
    </row>
    <row r="6450" spans="2:5">
      <c r="B6450" s="17">
        <v>42317</v>
      </c>
      <c r="D6450" t="s">
        <v>161</v>
      </c>
      <c r="E6450">
        <v>166.5</v>
      </c>
    </row>
    <row r="6451" spans="2:5">
      <c r="B6451" s="17">
        <v>42317</v>
      </c>
      <c r="D6451" t="s">
        <v>161</v>
      </c>
      <c r="E6451">
        <v>360.38</v>
      </c>
    </row>
    <row r="6452" spans="2:5">
      <c r="B6452" s="17">
        <v>42317</v>
      </c>
      <c r="D6452" t="s">
        <v>161</v>
      </c>
      <c r="E6452">
        <v>32.400000000000006</v>
      </c>
    </row>
    <row r="6453" spans="2:5">
      <c r="B6453" s="17">
        <v>42317</v>
      </c>
      <c r="D6453" t="s">
        <v>161</v>
      </c>
      <c r="E6453">
        <v>97.88</v>
      </c>
    </row>
    <row r="6454" spans="2:5">
      <c r="B6454" s="17">
        <v>42317</v>
      </c>
      <c r="D6454" t="s">
        <v>167</v>
      </c>
      <c r="E6454">
        <v>25.76</v>
      </c>
    </row>
    <row r="6455" spans="2:5">
      <c r="B6455" s="17">
        <v>42317</v>
      </c>
      <c r="D6455" t="s">
        <v>167</v>
      </c>
      <c r="E6455">
        <v>196.62</v>
      </c>
    </row>
    <row r="6456" spans="2:5">
      <c r="B6456" s="17">
        <v>42317</v>
      </c>
      <c r="D6456" t="s">
        <v>167</v>
      </c>
      <c r="E6456">
        <v>159.98400000000001</v>
      </c>
    </row>
    <row r="6457" spans="2:5">
      <c r="B6457" s="17">
        <v>42317</v>
      </c>
      <c r="D6457" t="s">
        <v>167</v>
      </c>
      <c r="E6457">
        <v>46.344000000000001</v>
      </c>
    </row>
    <row r="6458" spans="2:5">
      <c r="B6458" s="17">
        <v>42317</v>
      </c>
      <c r="D6458" t="s">
        <v>167</v>
      </c>
      <c r="E6458">
        <v>12.828000000000001</v>
      </c>
    </row>
    <row r="6459" spans="2:5">
      <c r="B6459" s="17">
        <v>42317</v>
      </c>
      <c r="D6459" t="s">
        <v>167</v>
      </c>
      <c r="E6459">
        <v>13.120000000000001</v>
      </c>
    </row>
    <row r="6460" spans="2:5">
      <c r="B6460" s="17">
        <v>42317</v>
      </c>
      <c r="D6460" t="s">
        <v>167</v>
      </c>
      <c r="E6460">
        <v>69.576000000000008</v>
      </c>
    </row>
    <row r="6461" spans="2:5">
      <c r="B6461" s="17">
        <v>42317</v>
      </c>
      <c r="D6461" t="s">
        <v>167</v>
      </c>
      <c r="E6461">
        <v>4.2240000000000002</v>
      </c>
    </row>
    <row r="6462" spans="2:5">
      <c r="B6462" s="17">
        <v>42316</v>
      </c>
      <c r="D6462" t="s">
        <v>167</v>
      </c>
      <c r="E6462">
        <v>58.08</v>
      </c>
    </row>
    <row r="6463" spans="2:5">
      <c r="B6463" s="17">
        <v>42316</v>
      </c>
      <c r="D6463" t="s">
        <v>167</v>
      </c>
      <c r="E6463">
        <v>52.416000000000004</v>
      </c>
    </row>
    <row r="6464" spans="2:5">
      <c r="B6464" s="17">
        <v>42316</v>
      </c>
      <c r="D6464" t="s">
        <v>1799</v>
      </c>
      <c r="E6464">
        <v>54.920000000000009</v>
      </c>
    </row>
    <row r="6465" spans="2:5">
      <c r="B6465" s="17">
        <v>42316</v>
      </c>
      <c r="D6465" t="s">
        <v>1799</v>
      </c>
      <c r="E6465">
        <v>364.95</v>
      </c>
    </row>
    <row r="6466" spans="2:5">
      <c r="B6466" s="17">
        <v>42316</v>
      </c>
      <c r="D6466" t="s">
        <v>1799</v>
      </c>
      <c r="E6466">
        <v>85.055999999999997</v>
      </c>
    </row>
    <row r="6467" spans="2:5">
      <c r="B6467" s="17">
        <v>42316</v>
      </c>
      <c r="D6467" t="s">
        <v>723</v>
      </c>
      <c r="E6467">
        <v>27.695999999999998</v>
      </c>
    </row>
    <row r="6468" spans="2:5">
      <c r="B6468" s="17">
        <v>42316</v>
      </c>
      <c r="D6468" t="s">
        <v>723</v>
      </c>
      <c r="E6468">
        <v>10.332000000000003</v>
      </c>
    </row>
    <row r="6469" spans="2:5">
      <c r="B6469" s="17">
        <v>42316</v>
      </c>
      <c r="D6469" t="s">
        <v>723</v>
      </c>
      <c r="E6469">
        <v>110.52800000000001</v>
      </c>
    </row>
    <row r="6470" spans="2:5">
      <c r="B6470" s="17">
        <v>42316</v>
      </c>
      <c r="D6470" t="s">
        <v>723</v>
      </c>
      <c r="E6470">
        <v>175.23</v>
      </c>
    </row>
    <row r="6471" spans="2:5">
      <c r="B6471" s="17">
        <v>42316</v>
      </c>
      <c r="D6471" t="s">
        <v>723</v>
      </c>
      <c r="E6471">
        <v>125.99</v>
      </c>
    </row>
    <row r="6472" spans="2:5">
      <c r="B6472" s="17">
        <v>42316</v>
      </c>
      <c r="D6472" t="s">
        <v>723</v>
      </c>
      <c r="E6472">
        <v>23</v>
      </c>
    </row>
    <row r="6473" spans="2:5">
      <c r="B6473" s="17">
        <v>42316</v>
      </c>
      <c r="D6473" t="s">
        <v>723</v>
      </c>
      <c r="E6473">
        <v>3.9</v>
      </c>
    </row>
    <row r="6474" spans="2:5">
      <c r="B6474" s="17">
        <v>42316</v>
      </c>
      <c r="D6474" t="s">
        <v>1642</v>
      </c>
      <c r="E6474">
        <v>801.96</v>
      </c>
    </row>
    <row r="6475" spans="2:5">
      <c r="B6475" s="17">
        <v>42316</v>
      </c>
      <c r="D6475" t="s">
        <v>1642</v>
      </c>
      <c r="E6475">
        <v>191.96</v>
      </c>
    </row>
    <row r="6476" spans="2:5">
      <c r="B6476" s="17">
        <v>42316</v>
      </c>
      <c r="D6476" t="s">
        <v>1642</v>
      </c>
      <c r="E6476">
        <v>2.61</v>
      </c>
    </row>
    <row r="6477" spans="2:5">
      <c r="B6477" s="17">
        <v>42316</v>
      </c>
      <c r="D6477" t="s">
        <v>1642</v>
      </c>
      <c r="E6477">
        <v>1.78</v>
      </c>
    </row>
    <row r="6478" spans="2:5">
      <c r="B6478" s="17">
        <v>42316</v>
      </c>
      <c r="D6478" t="s">
        <v>1642</v>
      </c>
      <c r="E6478">
        <v>25.92</v>
      </c>
    </row>
    <row r="6479" spans="2:5">
      <c r="B6479" s="17">
        <v>42316</v>
      </c>
      <c r="D6479" t="s">
        <v>1642</v>
      </c>
      <c r="E6479">
        <v>101.94</v>
      </c>
    </row>
    <row r="6480" spans="2:5">
      <c r="B6480" s="17">
        <v>42316</v>
      </c>
      <c r="D6480" t="s">
        <v>1760</v>
      </c>
      <c r="E6480">
        <v>7.31</v>
      </c>
    </row>
    <row r="6481" spans="2:5">
      <c r="B6481" s="17">
        <v>42316</v>
      </c>
      <c r="D6481" t="s">
        <v>1760</v>
      </c>
      <c r="E6481">
        <v>799.98400000000004</v>
      </c>
    </row>
    <row r="6482" spans="2:5">
      <c r="B6482" s="17">
        <v>42316</v>
      </c>
      <c r="D6482" t="s">
        <v>1535</v>
      </c>
      <c r="E6482">
        <v>41.28</v>
      </c>
    </row>
    <row r="6483" spans="2:5">
      <c r="B6483" s="17">
        <v>42316</v>
      </c>
      <c r="D6483" t="s">
        <v>1535</v>
      </c>
      <c r="E6483">
        <v>184.66</v>
      </c>
    </row>
    <row r="6484" spans="2:5">
      <c r="B6484" s="17">
        <v>42316</v>
      </c>
      <c r="D6484" t="s">
        <v>1535</v>
      </c>
      <c r="E6484">
        <v>27.36</v>
      </c>
    </row>
    <row r="6485" spans="2:5">
      <c r="B6485" s="17">
        <v>42316</v>
      </c>
      <c r="D6485" t="s">
        <v>1535</v>
      </c>
      <c r="E6485">
        <v>44.75</v>
      </c>
    </row>
    <row r="6486" spans="2:5">
      <c r="B6486" s="17">
        <v>42316</v>
      </c>
      <c r="D6486" t="s">
        <v>1535</v>
      </c>
      <c r="E6486">
        <v>134.99</v>
      </c>
    </row>
    <row r="6487" spans="2:5">
      <c r="B6487" s="17">
        <v>42316</v>
      </c>
      <c r="D6487" t="s">
        <v>1535</v>
      </c>
      <c r="E6487">
        <v>26.400000000000002</v>
      </c>
    </row>
    <row r="6488" spans="2:5">
      <c r="B6488" s="17">
        <v>42316</v>
      </c>
      <c r="D6488" t="s">
        <v>1535</v>
      </c>
      <c r="E6488">
        <v>542.93999999999994</v>
      </c>
    </row>
    <row r="6489" spans="2:5">
      <c r="B6489" s="17">
        <v>42315</v>
      </c>
      <c r="D6489" t="s">
        <v>489</v>
      </c>
      <c r="E6489">
        <v>56.3</v>
      </c>
    </row>
    <row r="6490" spans="2:5">
      <c r="B6490" s="17">
        <v>42315</v>
      </c>
      <c r="D6490" t="s">
        <v>489</v>
      </c>
      <c r="E6490">
        <v>53.087999999999994</v>
      </c>
    </row>
    <row r="6491" spans="2:5">
      <c r="B6491" s="17">
        <v>42315</v>
      </c>
      <c r="D6491" t="s">
        <v>489</v>
      </c>
      <c r="E6491">
        <v>5.76</v>
      </c>
    </row>
    <row r="6492" spans="2:5">
      <c r="B6492" s="17">
        <v>42315</v>
      </c>
      <c r="D6492" t="s">
        <v>489</v>
      </c>
      <c r="E6492">
        <v>25.488</v>
      </c>
    </row>
    <row r="6493" spans="2:5">
      <c r="B6493" s="17">
        <v>42315</v>
      </c>
      <c r="D6493" t="s">
        <v>489</v>
      </c>
      <c r="E6493">
        <v>34.019999999999996</v>
      </c>
    </row>
    <row r="6494" spans="2:5">
      <c r="B6494" s="17">
        <v>42315</v>
      </c>
      <c r="D6494" t="s">
        <v>60</v>
      </c>
      <c r="E6494">
        <v>360.71199999999999</v>
      </c>
    </row>
    <row r="6495" spans="2:5">
      <c r="B6495" s="17">
        <v>42315</v>
      </c>
      <c r="D6495" t="s">
        <v>60</v>
      </c>
      <c r="E6495">
        <v>1718.4</v>
      </c>
    </row>
    <row r="6496" spans="2:5">
      <c r="B6496" s="17">
        <v>42315</v>
      </c>
      <c r="D6496" t="s">
        <v>60</v>
      </c>
      <c r="E6496">
        <v>119.96000000000001</v>
      </c>
    </row>
    <row r="6497" spans="2:5">
      <c r="B6497" s="17">
        <v>42315</v>
      </c>
      <c r="D6497" t="s">
        <v>60</v>
      </c>
      <c r="E6497">
        <v>15.696000000000002</v>
      </c>
    </row>
    <row r="6498" spans="2:5">
      <c r="B6498" s="17">
        <v>42315</v>
      </c>
      <c r="D6498" t="s">
        <v>60</v>
      </c>
      <c r="E6498">
        <v>152.94</v>
      </c>
    </row>
    <row r="6499" spans="2:5">
      <c r="B6499" s="17">
        <v>42315</v>
      </c>
      <c r="D6499" t="s">
        <v>1764</v>
      </c>
      <c r="E6499">
        <v>3.96</v>
      </c>
    </row>
    <row r="6500" spans="2:5">
      <c r="B6500" s="17">
        <v>42315</v>
      </c>
      <c r="D6500" t="s">
        <v>1764</v>
      </c>
      <c r="E6500">
        <v>2.61</v>
      </c>
    </row>
    <row r="6501" spans="2:5">
      <c r="B6501" s="17">
        <v>42315</v>
      </c>
      <c r="D6501" t="s">
        <v>1764</v>
      </c>
      <c r="E6501">
        <v>79.92</v>
      </c>
    </row>
    <row r="6502" spans="2:5">
      <c r="B6502" s="17">
        <v>42315</v>
      </c>
      <c r="D6502" t="s">
        <v>1764</v>
      </c>
      <c r="E6502">
        <v>21.36</v>
      </c>
    </row>
    <row r="6503" spans="2:5">
      <c r="B6503" s="17">
        <v>42314</v>
      </c>
      <c r="D6503" t="s">
        <v>1764</v>
      </c>
      <c r="E6503">
        <v>6.6879999999999997</v>
      </c>
    </row>
    <row r="6504" spans="2:5">
      <c r="B6504" s="17">
        <v>42314</v>
      </c>
      <c r="D6504" t="s">
        <v>1764</v>
      </c>
      <c r="E6504">
        <v>773.94</v>
      </c>
    </row>
    <row r="6505" spans="2:5">
      <c r="B6505" s="17">
        <v>42313</v>
      </c>
      <c r="D6505" t="s">
        <v>261</v>
      </c>
      <c r="E6505">
        <v>12.96</v>
      </c>
    </row>
    <row r="6506" spans="2:5">
      <c r="B6506" s="17">
        <v>42313</v>
      </c>
      <c r="D6506" t="s">
        <v>261</v>
      </c>
      <c r="E6506">
        <v>120.14999999999999</v>
      </c>
    </row>
    <row r="6507" spans="2:5">
      <c r="B6507" s="17">
        <v>42313</v>
      </c>
      <c r="D6507" t="s">
        <v>261</v>
      </c>
      <c r="E6507">
        <v>2.7719999999999994</v>
      </c>
    </row>
    <row r="6508" spans="2:5">
      <c r="B6508" s="17">
        <v>42313</v>
      </c>
      <c r="D6508" t="s">
        <v>261</v>
      </c>
      <c r="E6508">
        <v>19.920000000000002</v>
      </c>
    </row>
    <row r="6509" spans="2:5">
      <c r="B6509" s="17">
        <v>42313</v>
      </c>
      <c r="D6509" t="s">
        <v>261</v>
      </c>
      <c r="E6509">
        <v>198.27200000000002</v>
      </c>
    </row>
    <row r="6510" spans="2:5">
      <c r="B6510" s="17">
        <v>42313</v>
      </c>
      <c r="D6510" t="s">
        <v>530</v>
      </c>
      <c r="E6510">
        <v>86.304000000000002</v>
      </c>
    </row>
    <row r="6511" spans="2:5">
      <c r="B6511" s="17">
        <v>42313</v>
      </c>
      <c r="D6511" t="s">
        <v>530</v>
      </c>
      <c r="E6511">
        <v>485.93999999999994</v>
      </c>
    </row>
    <row r="6512" spans="2:5">
      <c r="B6512" s="17">
        <v>42313</v>
      </c>
      <c r="D6512" t="s">
        <v>530</v>
      </c>
      <c r="E6512">
        <v>37.375999999999998</v>
      </c>
    </row>
    <row r="6513" spans="2:5">
      <c r="B6513" s="17">
        <v>42311</v>
      </c>
      <c r="D6513" t="s">
        <v>1017</v>
      </c>
      <c r="E6513">
        <v>70.685999999999993</v>
      </c>
    </row>
    <row r="6514" spans="2:5">
      <c r="B6514" s="17">
        <v>42311</v>
      </c>
      <c r="D6514" t="s">
        <v>1017</v>
      </c>
      <c r="E6514">
        <v>32.75</v>
      </c>
    </row>
    <row r="6515" spans="2:5">
      <c r="B6515" s="17">
        <v>42311</v>
      </c>
      <c r="D6515" t="s">
        <v>1017</v>
      </c>
      <c r="E6515">
        <v>6.48</v>
      </c>
    </row>
    <row r="6516" spans="2:5">
      <c r="B6516" s="17">
        <v>42311</v>
      </c>
      <c r="D6516" t="s">
        <v>1017</v>
      </c>
      <c r="E6516">
        <v>41.86</v>
      </c>
    </row>
    <row r="6517" spans="2:5">
      <c r="B6517" s="17">
        <v>42311</v>
      </c>
      <c r="D6517" t="s">
        <v>1017</v>
      </c>
      <c r="E6517">
        <v>1619.91</v>
      </c>
    </row>
    <row r="6518" spans="2:5">
      <c r="B6518" s="17">
        <v>42310</v>
      </c>
      <c r="D6518" t="s">
        <v>1017</v>
      </c>
      <c r="E6518">
        <v>113.92</v>
      </c>
    </row>
    <row r="6519" spans="2:5">
      <c r="B6519" s="17">
        <v>42310</v>
      </c>
      <c r="D6519" t="s">
        <v>334</v>
      </c>
      <c r="E6519">
        <v>999.98</v>
      </c>
    </row>
    <row r="6520" spans="2:5">
      <c r="B6520" s="17">
        <v>42310</v>
      </c>
      <c r="D6520" t="s">
        <v>334</v>
      </c>
      <c r="E6520">
        <v>6.48</v>
      </c>
    </row>
    <row r="6521" spans="2:5">
      <c r="B6521" s="17">
        <v>42310</v>
      </c>
      <c r="D6521" t="s">
        <v>334</v>
      </c>
      <c r="E6521">
        <v>1325.8500000000001</v>
      </c>
    </row>
    <row r="6522" spans="2:5">
      <c r="B6522" s="17">
        <v>42310</v>
      </c>
      <c r="D6522" t="s">
        <v>1119</v>
      </c>
      <c r="E6522">
        <v>14.940000000000001</v>
      </c>
    </row>
    <row r="6523" spans="2:5">
      <c r="B6523" s="17">
        <v>42310</v>
      </c>
      <c r="D6523" t="s">
        <v>1119</v>
      </c>
      <c r="E6523">
        <v>7.78</v>
      </c>
    </row>
    <row r="6524" spans="2:5">
      <c r="B6524" s="17">
        <v>42310</v>
      </c>
      <c r="D6524" t="s">
        <v>1119</v>
      </c>
      <c r="E6524">
        <v>173.94</v>
      </c>
    </row>
    <row r="6525" spans="2:5">
      <c r="B6525" s="17">
        <v>42310</v>
      </c>
      <c r="D6525" t="s">
        <v>1119</v>
      </c>
      <c r="E6525">
        <v>14.832000000000003</v>
      </c>
    </row>
    <row r="6526" spans="2:5">
      <c r="B6526" s="17">
        <v>42310</v>
      </c>
      <c r="D6526" t="s">
        <v>1119</v>
      </c>
      <c r="E6526">
        <v>8.9600000000000009</v>
      </c>
    </row>
    <row r="6527" spans="2:5">
      <c r="B6527" s="17">
        <v>42310</v>
      </c>
      <c r="D6527" t="s">
        <v>1119</v>
      </c>
      <c r="E6527">
        <v>44.46</v>
      </c>
    </row>
    <row r="6528" spans="2:5">
      <c r="B6528" s="17">
        <v>42310</v>
      </c>
      <c r="D6528" t="s">
        <v>1119</v>
      </c>
      <c r="E6528">
        <v>47.984000000000002</v>
      </c>
    </row>
    <row r="6529" spans="2:5">
      <c r="B6529" s="17">
        <v>42309</v>
      </c>
      <c r="D6529" t="s">
        <v>545</v>
      </c>
      <c r="E6529">
        <v>26.064000000000007</v>
      </c>
    </row>
    <row r="6530" spans="2:5">
      <c r="B6530" s="17">
        <v>42309</v>
      </c>
      <c r="D6530" t="s">
        <v>545</v>
      </c>
      <c r="E6530">
        <v>152.79999999999998</v>
      </c>
    </row>
    <row r="6531" spans="2:5">
      <c r="B6531" s="17">
        <v>42309</v>
      </c>
      <c r="D6531" t="s">
        <v>545</v>
      </c>
      <c r="E6531">
        <v>45.04</v>
      </c>
    </row>
    <row r="6532" spans="2:5">
      <c r="B6532" s="17">
        <v>42309</v>
      </c>
      <c r="D6532" t="s">
        <v>545</v>
      </c>
      <c r="E6532">
        <v>164.64599999999999</v>
      </c>
    </row>
    <row r="6533" spans="2:5">
      <c r="B6533" s="17">
        <v>42309</v>
      </c>
      <c r="D6533" t="s">
        <v>545</v>
      </c>
      <c r="E6533">
        <v>22.68</v>
      </c>
    </row>
    <row r="6534" spans="2:5">
      <c r="B6534" s="17">
        <v>42309</v>
      </c>
      <c r="D6534" t="s">
        <v>129</v>
      </c>
      <c r="E6534">
        <v>39</v>
      </c>
    </row>
    <row r="6535" spans="2:5">
      <c r="B6535" s="17">
        <v>42309</v>
      </c>
      <c r="D6535" t="s">
        <v>129</v>
      </c>
      <c r="E6535">
        <v>12.6</v>
      </c>
    </row>
    <row r="6536" spans="2:5">
      <c r="B6536" s="17">
        <v>42309</v>
      </c>
      <c r="D6536" t="s">
        <v>129</v>
      </c>
      <c r="E6536">
        <v>97.424000000000007</v>
      </c>
    </row>
    <row r="6537" spans="2:5">
      <c r="B6537" s="17">
        <v>42309</v>
      </c>
      <c r="D6537" t="s">
        <v>129</v>
      </c>
      <c r="E6537">
        <v>12.224</v>
      </c>
    </row>
    <row r="6538" spans="2:5">
      <c r="B6538" s="17">
        <v>42309</v>
      </c>
      <c r="D6538" t="s">
        <v>129</v>
      </c>
      <c r="E6538">
        <v>8.2260000000000009</v>
      </c>
    </row>
    <row r="6539" spans="2:5">
      <c r="B6539" s="17">
        <v>42309</v>
      </c>
      <c r="D6539" t="s">
        <v>129</v>
      </c>
      <c r="E6539">
        <v>28.44</v>
      </c>
    </row>
    <row r="6540" spans="2:5">
      <c r="B6540" s="17">
        <v>42309</v>
      </c>
      <c r="D6540" t="s">
        <v>1531</v>
      </c>
      <c r="E6540">
        <v>364.41</v>
      </c>
    </row>
    <row r="6541" spans="2:5">
      <c r="B6541" s="17">
        <v>42308</v>
      </c>
      <c r="D6541" t="s">
        <v>1531</v>
      </c>
      <c r="E6541">
        <v>39.96</v>
      </c>
    </row>
    <row r="6542" spans="2:5">
      <c r="B6542" s="17">
        <v>42308</v>
      </c>
      <c r="D6542" t="s">
        <v>1531</v>
      </c>
      <c r="E6542">
        <v>361.76400000000001</v>
      </c>
    </row>
    <row r="6543" spans="2:5">
      <c r="B6543" s="17">
        <v>42308</v>
      </c>
      <c r="D6543" t="s">
        <v>1531</v>
      </c>
      <c r="E6543">
        <v>17.940000000000001</v>
      </c>
    </row>
    <row r="6544" spans="2:5">
      <c r="B6544" s="17">
        <v>42308</v>
      </c>
      <c r="D6544" t="s">
        <v>904</v>
      </c>
      <c r="E6544">
        <v>384.17399999999998</v>
      </c>
    </row>
    <row r="6545" spans="2:5">
      <c r="B6545" s="17">
        <v>42308</v>
      </c>
      <c r="D6545" t="s">
        <v>904</v>
      </c>
      <c r="E6545">
        <v>1799.75</v>
      </c>
    </row>
    <row r="6546" spans="2:5">
      <c r="B6546" s="17">
        <v>42308</v>
      </c>
      <c r="D6546" t="s">
        <v>904</v>
      </c>
      <c r="E6546">
        <v>85.96</v>
      </c>
    </row>
    <row r="6547" spans="2:5">
      <c r="B6547" s="17">
        <v>42308</v>
      </c>
      <c r="D6547" t="s">
        <v>1702</v>
      </c>
      <c r="E6547">
        <v>1598.0580000000002</v>
      </c>
    </row>
    <row r="6548" spans="2:5">
      <c r="B6548" s="17">
        <v>42308</v>
      </c>
      <c r="D6548" t="s">
        <v>1702</v>
      </c>
      <c r="E6548">
        <v>36.96</v>
      </c>
    </row>
    <row r="6549" spans="2:5">
      <c r="B6549" s="17">
        <v>42308</v>
      </c>
      <c r="D6549" t="s">
        <v>1233</v>
      </c>
      <c r="E6549">
        <v>110.352</v>
      </c>
    </row>
    <row r="6550" spans="2:5">
      <c r="B6550" s="17">
        <v>42308</v>
      </c>
      <c r="D6550" t="s">
        <v>1233</v>
      </c>
      <c r="E6550">
        <v>36.4</v>
      </c>
    </row>
    <row r="6551" spans="2:5">
      <c r="B6551" s="17">
        <v>42308</v>
      </c>
      <c r="D6551" t="s">
        <v>857</v>
      </c>
      <c r="E6551">
        <v>16.899999999999999</v>
      </c>
    </row>
    <row r="6552" spans="2:5">
      <c r="B6552" s="17">
        <v>42308</v>
      </c>
      <c r="D6552" t="s">
        <v>857</v>
      </c>
      <c r="E6552">
        <v>25.08</v>
      </c>
    </row>
    <row r="6553" spans="2:5">
      <c r="B6553" s="17">
        <v>42308</v>
      </c>
      <c r="D6553" t="s">
        <v>857</v>
      </c>
      <c r="E6553">
        <v>482.34000000000003</v>
      </c>
    </row>
    <row r="6554" spans="2:5">
      <c r="B6554" s="17">
        <v>42308</v>
      </c>
      <c r="D6554" t="s">
        <v>857</v>
      </c>
      <c r="E6554">
        <v>2.9600000000000004</v>
      </c>
    </row>
    <row r="6555" spans="2:5">
      <c r="B6555" s="17">
        <v>42308</v>
      </c>
      <c r="D6555" t="s">
        <v>841</v>
      </c>
      <c r="E6555">
        <v>10.752000000000001</v>
      </c>
    </row>
    <row r="6556" spans="2:5">
      <c r="B6556" s="17">
        <v>42308</v>
      </c>
      <c r="D6556" t="s">
        <v>841</v>
      </c>
      <c r="E6556">
        <v>36.783999999999999</v>
      </c>
    </row>
    <row r="6557" spans="2:5">
      <c r="B6557" s="17">
        <v>42308</v>
      </c>
      <c r="D6557" t="s">
        <v>841</v>
      </c>
      <c r="E6557">
        <v>590.35199999999998</v>
      </c>
    </row>
    <row r="6558" spans="2:5">
      <c r="B6558" s="17">
        <v>42307</v>
      </c>
      <c r="D6558" t="s">
        <v>841</v>
      </c>
      <c r="E6558">
        <v>359.49899999999997</v>
      </c>
    </row>
    <row r="6559" spans="2:5">
      <c r="B6559" s="17">
        <v>42307</v>
      </c>
      <c r="D6559" t="s">
        <v>1452</v>
      </c>
      <c r="E6559">
        <v>77.951999999999998</v>
      </c>
    </row>
    <row r="6560" spans="2:5">
      <c r="B6560" s="17">
        <v>42307</v>
      </c>
      <c r="D6560" t="s">
        <v>1452</v>
      </c>
      <c r="E6560">
        <v>95.970000000000013</v>
      </c>
    </row>
    <row r="6561" spans="2:5">
      <c r="B6561" s="17">
        <v>42307</v>
      </c>
      <c r="D6561" t="s">
        <v>1452</v>
      </c>
      <c r="E6561">
        <v>105.584</v>
      </c>
    </row>
    <row r="6562" spans="2:5">
      <c r="B6562" s="17">
        <v>42307</v>
      </c>
      <c r="D6562" t="s">
        <v>1452</v>
      </c>
      <c r="E6562">
        <v>9.3439999999999994</v>
      </c>
    </row>
    <row r="6563" spans="2:5">
      <c r="B6563" s="17">
        <v>42307</v>
      </c>
      <c r="D6563" t="s">
        <v>1452</v>
      </c>
      <c r="E6563">
        <v>184.66</v>
      </c>
    </row>
    <row r="6564" spans="2:5">
      <c r="B6564" s="17">
        <v>42307</v>
      </c>
      <c r="D6564" t="s">
        <v>746</v>
      </c>
      <c r="E6564">
        <v>55.424000000000007</v>
      </c>
    </row>
    <row r="6565" spans="2:5">
      <c r="B6565" s="17">
        <v>42306</v>
      </c>
      <c r="D6565" t="s">
        <v>746</v>
      </c>
      <c r="E6565">
        <v>6.6879999999999997</v>
      </c>
    </row>
    <row r="6566" spans="2:5">
      <c r="B6566" s="17">
        <v>42306</v>
      </c>
      <c r="D6566" t="s">
        <v>746</v>
      </c>
      <c r="E6566">
        <v>13.899999999999999</v>
      </c>
    </row>
    <row r="6567" spans="2:5">
      <c r="B6567" s="17">
        <v>42305</v>
      </c>
      <c r="D6567" t="s">
        <v>746</v>
      </c>
      <c r="E6567">
        <v>61.68</v>
      </c>
    </row>
    <row r="6568" spans="2:5">
      <c r="B6568" s="17">
        <v>42305</v>
      </c>
      <c r="D6568" t="s">
        <v>746</v>
      </c>
      <c r="E6568">
        <v>63.96</v>
      </c>
    </row>
    <row r="6569" spans="2:5">
      <c r="B6569" s="17">
        <v>42305</v>
      </c>
      <c r="D6569" t="s">
        <v>746</v>
      </c>
      <c r="E6569">
        <v>2003.9200000000003</v>
      </c>
    </row>
    <row r="6570" spans="2:5">
      <c r="B6570" s="17">
        <v>42305</v>
      </c>
      <c r="D6570" t="s">
        <v>746</v>
      </c>
      <c r="E6570">
        <v>32.400000000000006</v>
      </c>
    </row>
    <row r="6571" spans="2:5">
      <c r="B6571" s="17">
        <v>42303</v>
      </c>
      <c r="D6571" t="s">
        <v>746</v>
      </c>
      <c r="E6571">
        <v>1913.3999999999999</v>
      </c>
    </row>
    <row r="6572" spans="2:5">
      <c r="B6572" s="17">
        <v>42303</v>
      </c>
      <c r="D6572" t="s">
        <v>746</v>
      </c>
      <c r="E6572">
        <v>146.72999999999999</v>
      </c>
    </row>
    <row r="6573" spans="2:5">
      <c r="B6573" s="17">
        <v>42303</v>
      </c>
      <c r="D6573" t="s">
        <v>746</v>
      </c>
      <c r="E6573">
        <v>114.2</v>
      </c>
    </row>
    <row r="6574" spans="2:5">
      <c r="B6574" s="17">
        <v>42303</v>
      </c>
      <c r="D6574" t="s">
        <v>746</v>
      </c>
      <c r="E6574">
        <v>2676.672</v>
      </c>
    </row>
    <row r="6575" spans="2:5">
      <c r="B6575" s="17">
        <v>42303</v>
      </c>
      <c r="D6575" t="s">
        <v>1276</v>
      </c>
      <c r="E6575">
        <v>19.440000000000001</v>
      </c>
    </row>
    <row r="6576" spans="2:5">
      <c r="B6576" s="17">
        <v>42303</v>
      </c>
      <c r="D6576" t="s">
        <v>1276</v>
      </c>
      <c r="E6576">
        <v>3.64</v>
      </c>
    </row>
    <row r="6577" spans="2:5">
      <c r="B6577" s="17">
        <v>42303</v>
      </c>
      <c r="D6577" t="s">
        <v>1276</v>
      </c>
      <c r="E6577">
        <v>18.54</v>
      </c>
    </row>
    <row r="6578" spans="2:5">
      <c r="B6578" s="17">
        <v>42303</v>
      </c>
      <c r="D6578" t="s">
        <v>1276</v>
      </c>
      <c r="E6578">
        <v>152.99100000000001</v>
      </c>
    </row>
    <row r="6579" spans="2:5">
      <c r="B6579" s="17">
        <v>42302</v>
      </c>
      <c r="D6579" t="s">
        <v>1276</v>
      </c>
      <c r="E6579">
        <v>10.584</v>
      </c>
    </row>
    <row r="6580" spans="2:5">
      <c r="B6580" s="17">
        <v>42302</v>
      </c>
      <c r="D6580" t="s">
        <v>1276</v>
      </c>
      <c r="E6580">
        <v>94.919999999999987</v>
      </c>
    </row>
    <row r="6581" spans="2:5">
      <c r="B6581" s="17">
        <v>42302</v>
      </c>
      <c r="D6581" t="s">
        <v>1532</v>
      </c>
      <c r="E6581">
        <v>3.8819999999999988</v>
      </c>
    </row>
    <row r="6582" spans="2:5">
      <c r="B6582" s="17">
        <v>42302</v>
      </c>
      <c r="D6582" t="s">
        <v>1532</v>
      </c>
      <c r="E6582">
        <v>17.48</v>
      </c>
    </row>
    <row r="6583" spans="2:5">
      <c r="B6583" s="17">
        <v>42302</v>
      </c>
      <c r="D6583" t="s">
        <v>1532</v>
      </c>
      <c r="E6583">
        <v>71.88</v>
      </c>
    </row>
    <row r="6584" spans="2:5">
      <c r="B6584" s="17">
        <v>42302</v>
      </c>
      <c r="D6584" t="s">
        <v>1532</v>
      </c>
      <c r="E6584">
        <v>177.48000000000002</v>
      </c>
    </row>
    <row r="6585" spans="2:5">
      <c r="B6585" s="17">
        <v>42301</v>
      </c>
      <c r="D6585" t="s">
        <v>1077</v>
      </c>
      <c r="E6585">
        <v>23.66</v>
      </c>
    </row>
    <row r="6586" spans="2:5">
      <c r="B6586" s="17">
        <v>42301</v>
      </c>
      <c r="D6586" t="s">
        <v>1077</v>
      </c>
      <c r="E6586">
        <v>681.40800000000013</v>
      </c>
    </row>
    <row r="6587" spans="2:5">
      <c r="B6587" s="17">
        <v>42301</v>
      </c>
      <c r="D6587" t="s">
        <v>1077</v>
      </c>
      <c r="E6587">
        <v>80.959999999999994</v>
      </c>
    </row>
    <row r="6588" spans="2:5">
      <c r="B6588" s="17">
        <v>42301</v>
      </c>
      <c r="D6588" t="s">
        <v>1077</v>
      </c>
      <c r="E6588">
        <v>25.92</v>
      </c>
    </row>
    <row r="6589" spans="2:5">
      <c r="B6589" s="17">
        <v>42301</v>
      </c>
      <c r="D6589" t="s">
        <v>337</v>
      </c>
      <c r="E6589">
        <v>17.088000000000001</v>
      </c>
    </row>
    <row r="6590" spans="2:5">
      <c r="B6590" s="17">
        <v>42300</v>
      </c>
      <c r="D6590" t="s">
        <v>337</v>
      </c>
      <c r="E6590">
        <v>6.0480000000000009</v>
      </c>
    </row>
    <row r="6591" spans="2:5">
      <c r="B6591" s="17">
        <v>42300</v>
      </c>
      <c r="D6591" t="s">
        <v>190</v>
      </c>
      <c r="E6591">
        <v>98.352000000000004</v>
      </c>
    </row>
    <row r="6592" spans="2:5">
      <c r="B6592" s="17">
        <v>42300</v>
      </c>
      <c r="D6592" t="s">
        <v>175</v>
      </c>
      <c r="E6592">
        <v>555.21</v>
      </c>
    </row>
    <row r="6593" spans="2:5">
      <c r="B6593" s="17">
        <v>42300</v>
      </c>
      <c r="D6593" t="s">
        <v>175</v>
      </c>
      <c r="E6593">
        <v>523.48</v>
      </c>
    </row>
    <row r="6594" spans="2:5">
      <c r="B6594" s="17">
        <v>42300</v>
      </c>
      <c r="D6594" t="s">
        <v>294</v>
      </c>
      <c r="E6594">
        <v>161.82</v>
      </c>
    </row>
    <row r="6595" spans="2:5">
      <c r="B6595" s="17">
        <v>42300</v>
      </c>
      <c r="D6595" t="s">
        <v>294</v>
      </c>
      <c r="E6595">
        <v>19.920000000000002</v>
      </c>
    </row>
    <row r="6596" spans="2:5">
      <c r="B6596" s="17">
        <v>42300</v>
      </c>
      <c r="D6596" t="s">
        <v>294</v>
      </c>
      <c r="E6596">
        <v>1106.9099999999999</v>
      </c>
    </row>
    <row r="6597" spans="2:5">
      <c r="B6597" s="17">
        <v>42300</v>
      </c>
      <c r="D6597" t="s">
        <v>294</v>
      </c>
      <c r="E6597">
        <v>21.48</v>
      </c>
    </row>
    <row r="6598" spans="2:5">
      <c r="B6598" s="17">
        <v>42300</v>
      </c>
      <c r="D6598" t="s">
        <v>294</v>
      </c>
      <c r="E6598">
        <v>8.7839999999999989</v>
      </c>
    </row>
    <row r="6599" spans="2:5">
      <c r="B6599" s="17">
        <v>42300</v>
      </c>
      <c r="D6599" t="s">
        <v>294</v>
      </c>
      <c r="E6599">
        <v>4.3040000000000003</v>
      </c>
    </row>
    <row r="6600" spans="2:5">
      <c r="B6600" s="17">
        <v>42300</v>
      </c>
      <c r="D6600" t="s">
        <v>294</v>
      </c>
      <c r="E6600">
        <v>56.3</v>
      </c>
    </row>
    <row r="6601" spans="2:5">
      <c r="B6601" s="17">
        <v>42300</v>
      </c>
      <c r="D6601" t="s">
        <v>1632</v>
      </c>
      <c r="E6601">
        <v>12.132000000000001</v>
      </c>
    </row>
    <row r="6602" spans="2:5">
      <c r="B6602" s="17">
        <v>42300</v>
      </c>
      <c r="D6602" t="s">
        <v>1632</v>
      </c>
      <c r="E6602">
        <v>82.367999999999995</v>
      </c>
    </row>
    <row r="6603" spans="2:5">
      <c r="B6603" s="17">
        <v>42300</v>
      </c>
      <c r="D6603" t="s">
        <v>605</v>
      </c>
      <c r="E6603">
        <v>53.92</v>
      </c>
    </row>
    <row r="6604" spans="2:5">
      <c r="B6604" s="17">
        <v>42300</v>
      </c>
      <c r="D6604" t="s">
        <v>605</v>
      </c>
      <c r="E6604">
        <v>647.904</v>
      </c>
    </row>
    <row r="6605" spans="2:5">
      <c r="B6605" s="17">
        <v>42299</v>
      </c>
      <c r="D6605" t="s">
        <v>605</v>
      </c>
      <c r="E6605">
        <v>151.96</v>
      </c>
    </row>
    <row r="6606" spans="2:5">
      <c r="B6606" s="17">
        <v>42299</v>
      </c>
      <c r="D6606" t="s">
        <v>605</v>
      </c>
      <c r="E6606">
        <v>68.16</v>
      </c>
    </row>
    <row r="6607" spans="2:5">
      <c r="B6607" s="17">
        <v>42297</v>
      </c>
      <c r="D6607" t="s">
        <v>605</v>
      </c>
      <c r="E6607">
        <v>62.24</v>
      </c>
    </row>
    <row r="6608" spans="2:5">
      <c r="B6608" s="17">
        <v>42297</v>
      </c>
      <c r="D6608" t="s">
        <v>1770</v>
      </c>
      <c r="E6608">
        <v>8.2799999999999994</v>
      </c>
    </row>
    <row r="6609" spans="2:5">
      <c r="B6609" s="17">
        <v>42297</v>
      </c>
      <c r="D6609" t="s">
        <v>1220</v>
      </c>
      <c r="E6609">
        <v>45.28</v>
      </c>
    </row>
    <row r="6610" spans="2:5">
      <c r="B6610" s="17">
        <v>42297</v>
      </c>
      <c r="D6610" t="s">
        <v>1220</v>
      </c>
      <c r="E6610">
        <v>71.12</v>
      </c>
    </row>
    <row r="6611" spans="2:5">
      <c r="B6611" s="17">
        <v>42297</v>
      </c>
      <c r="D6611" t="s">
        <v>1220</v>
      </c>
      <c r="E6611">
        <v>3.008</v>
      </c>
    </row>
    <row r="6612" spans="2:5">
      <c r="B6612" s="17">
        <v>42296</v>
      </c>
      <c r="D6612" t="s">
        <v>1220</v>
      </c>
      <c r="E6612">
        <v>375.45750000000004</v>
      </c>
    </row>
    <row r="6613" spans="2:5">
      <c r="B6613" s="17">
        <v>42296</v>
      </c>
      <c r="D6613" t="s">
        <v>1220</v>
      </c>
      <c r="E6613">
        <v>83.976000000000013</v>
      </c>
    </row>
    <row r="6614" spans="2:5">
      <c r="B6614" s="17">
        <v>42296</v>
      </c>
      <c r="D6614" t="s">
        <v>1220</v>
      </c>
      <c r="E6614">
        <v>6.24</v>
      </c>
    </row>
    <row r="6615" spans="2:5">
      <c r="B6615" s="17">
        <v>42296</v>
      </c>
      <c r="D6615" t="s">
        <v>1106</v>
      </c>
      <c r="E6615">
        <v>83.97</v>
      </c>
    </row>
    <row r="6616" spans="2:5">
      <c r="B6616" s="17">
        <v>42296</v>
      </c>
      <c r="D6616" t="s">
        <v>1106</v>
      </c>
      <c r="E6616">
        <v>104.97</v>
      </c>
    </row>
    <row r="6617" spans="2:5">
      <c r="B6617" s="17">
        <v>42296</v>
      </c>
      <c r="D6617" t="s">
        <v>1106</v>
      </c>
      <c r="E6617">
        <v>29.79</v>
      </c>
    </row>
    <row r="6618" spans="2:5">
      <c r="B6618" s="17">
        <v>42295</v>
      </c>
      <c r="D6618" t="s">
        <v>1106</v>
      </c>
      <c r="E6618">
        <v>107.97</v>
      </c>
    </row>
    <row r="6619" spans="2:5">
      <c r="B6619" s="17">
        <v>42295</v>
      </c>
      <c r="D6619" t="s">
        <v>1106</v>
      </c>
      <c r="E6619">
        <v>113.82</v>
      </c>
    </row>
    <row r="6620" spans="2:5">
      <c r="B6620" s="17">
        <v>42295</v>
      </c>
      <c r="D6620" t="s">
        <v>1106</v>
      </c>
      <c r="E6620">
        <v>748.75200000000007</v>
      </c>
    </row>
    <row r="6621" spans="2:5">
      <c r="B6621" s="17">
        <v>42295</v>
      </c>
      <c r="D6621" t="s">
        <v>327</v>
      </c>
      <c r="E6621">
        <v>40.08</v>
      </c>
    </row>
    <row r="6622" spans="2:5">
      <c r="B6622" s="17">
        <v>42295</v>
      </c>
      <c r="D6622" t="s">
        <v>327</v>
      </c>
      <c r="E6622">
        <v>59.94</v>
      </c>
    </row>
    <row r="6623" spans="2:5">
      <c r="B6623" s="17">
        <v>42294</v>
      </c>
      <c r="D6623" t="s">
        <v>327</v>
      </c>
      <c r="E6623">
        <v>170.98</v>
      </c>
    </row>
    <row r="6624" spans="2:5">
      <c r="B6624" s="17">
        <v>42293</v>
      </c>
      <c r="D6624" t="s">
        <v>327</v>
      </c>
      <c r="E6624">
        <v>38.97</v>
      </c>
    </row>
    <row r="6625" spans="2:5">
      <c r="B6625" s="17">
        <v>42292</v>
      </c>
      <c r="D6625" t="s">
        <v>327</v>
      </c>
      <c r="E6625">
        <v>154.9</v>
      </c>
    </row>
    <row r="6626" spans="2:5">
      <c r="B6626" s="17">
        <v>42292</v>
      </c>
      <c r="D6626" t="s">
        <v>327</v>
      </c>
      <c r="E6626">
        <v>446.06799999999998</v>
      </c>
    </row>
    <row r="6627" spans="2:5">
      <c r="B6627" s="17">
        <v>42292</v>
      </c>
      <c r="D6627" t="s">
        <v>327</v>
      </c>
      <c r="E6627">
        <v>14.73</v>
      </c>
    </row>
    <row r="6628" spans="2:5">
      <c r="B6628" s="17">
        <v>42292</v>
      </c>
      <c r="D6628" t="s">
        <v>327</v>
      </c>
      <c r="E6628">
        <v>104.9</v>
      </c>
    </row>
    <row r="6629" spans="2:5">
      <c r="B6629" s="17">
        <v>42292</v>
      </c>
      <c r="D6629" t="s">
        <v>799</v>
      </c>
      <c r="E6629">
        <v>61.04</v>
      </c>
    </row>
    <row r="6630" spans="2:5">
      <c r="B6630" s="17">
        <v>42292</v>
      </c>
      <c r="D6630" t="s">
        <v>799</v>
      </c>
      <c r="E6630">
        <v>10.95</v>
      </c>
    </row>
    <row r="6631" spans="2:5">
      <c r="B6631" s="17">
        <v>42292</v>
      </c>
      <c r="D6631" t="s">
        <v>799</v>
      </c>
      <c r="E6631">
        <v>692.47199999999998</v>
      </c>
    </row>
    <row r="6632" spans="2:5">
      <c r="B6632" s="17">
        <v>42292</v>
      </c>
      <c r="D6632" t="s">
        <v>799</v>
      </c>
      <c r="E6632">
        <v>599.99</v>
      </c>
    </row>
    <row r="6633" spans="2:5">
      <c r="B6633" s="17">
        <v>42290</v>
      </c>
      <c r="D6633" t="s">
        <v>799</v>
      </c>
      <c r="E6633">
        <v>13.120000000000001</v>
      </c>
    </row>
    <row r="6634" spans="2:5">
      <c r="B6634" s="17">
        <v>42290</v>
      </c>
      <c r="D6634" t="s">
        <v>106</v>
      </c>
      <c r="E6634">
        <v>13.98</v>
      </c>
    </row>
    <row r="6635" spans="2:5">
      <c r="B6635" s="17">
        <v>42289</v>
      </c>
      <c r="D6635" t="s">
        <v>106</v>
      </c>
      <c r="E6635">
        <v>25.824000000000002</v>
      </c>
    </row>
    <row r="6636" spans="2:5">
      <c r="B6636" s="17">
        <v>42289</v>
      </c>
      <c r="D6636" t="s">
        <v>106</v>
      </c>
      <c r="E6636">
        <v>146.72999999999999</v>
      </c>
    </row>
    <row r="6637" spans="2:5">
      <c r="B6637" s="17">
        <v>42289</v>
      </c>
      <c r="D6637" t="s">
        <v>106</v>
      </c>
      <c r="E6637">
        <v>79.760000000000005</v>
      </c>
    </row>
    <row r="6638" spans="2:5">
      <c r="B6638" s="17">
        <v>42289</v>
      </c>
      <c r="D6638" t="s">
        <v>106</v>
      </c>
      <c r="E6638">
        <v>368.91</v>
      </c>
    </row>
    <row r="6639" spans="2:5">
      <c r="B6639" s="17">
        <v>42289</v>
      </c>
      <c r="D6639" t="s">
        <v>106</v>
      </c>
      <c r="E6639">
        <v>14.7</v>
      </c>
    </row>
    <row r="6640" spans="2:5">
      <c r="B6640" s="17">
        <v>42289</v>
      </c>
      <c r="D6640" t="s">
        <v>106</v>
      </c>
      <c r="E6640">
        <v>3.1680000000000001</v>
      </c>
    </row>
    <row r="6641" spans="2:5">
      <c r="B6641" s="17">
        <v>42289</v>
      </c>
      <c r="D6641" t="s">
        <v>149</v>
      </c>
      <c r="E6641">
        <v>19.440000000000001</v>
      </c>
    </row>
    <row r="6642" spans="2:5">
      <c r="B6642" s="17">
        <v>42289</v>
      </c>
      <c r="D6642" t="s">
        <v>149</v>
      </c>
      <c r="E6642">
        <v>454.86</v>
      </c>
    </row>
    <row r="6643" spans="2:5">
      <c r="B6643" s="17">
        <v>42289</v>
      </c>
      <c r="D6643" t="s">
        <v>149</v>
      </c>
      <c r="E6643">
        <v>91.391999999999996</v>
      </c>
    </row>
    <row r="6644" spans="2:5">
      <c r="B6644" s="17">
        <v>42289</v>
      </c>
      <c r="D6644" t="s">
        <v>149</v>
      </c>
      <c r="E6644">
        <v>23.911999999999995</v>
      </c>
    </row>
    <row r="6645" spans="2:5">
      <c r="B6645" s="17">
        <v>42289</v>
      </c>
      <c r="D6645" t="s">
        <v>149</v>
      </c>
      <c r="E6645">
        <v>27.056000000000001</v>
      </c>
    </row>
    <row r="6646" spans="2:5">
      <c r="B6646" s="17">
        <v>42288</v>
      </c>
      <c r="D6646" t="s">
        <v>963</v>
      </c>
      <c r="E6646">
        <v>2625.12</v>
      </c>
    </row>
    <row r="6647" spans="2:5">
      <c r="B6647" s="17">
        <v>42288</v>
      </c>
      <c r="D6647" t="s">
        <v>963</v>
      </c>
      <c r="E6647">
        <v>17.940000000000001</v>
      </c>
    </row>
    <row r="6648" spans="2:5">
      <c r="B6648" s="17">
        <v>42288</v>
      </c>
      <c r="D6648" t="s">
        <v>875</v>
      </c>
      <c r="E6648">
        <v>44.099999999999994</v>
      </c>
    </row>
    <row r="6649" spans="2:5">
      <c r="B6649" s="17">
        <v>42287</v>
      </c>
      <c r="D6649" t="s">
        <v>875</v>
      </c>
      <c r="E6649">
        <v>13.12</v>
      </c>
    </row>
    <row r="6650" spans="2:5">
      <c r="B6650" s="17">
        <v>42287</v>
      </c>
      <c r="D6650" t="s">
        <v>875</v>
      </c>
      <c r="E6650">
        <v>38.880000000000003</v>
      </c>
    </row>
    <row r="6651" spans="2:5">
      <c r="B6651" s="17">
        <v>42287</v>
      </c>
      <c r="D6651" t="s">
        <v>875</v>
      </c>
      <c r="E6651">
        <v>68.809999999999988</v>
      </c>
    </row>
    <row r="6652" spans="2:5">
      <c r="B6652" s="17">
        <v>42287</v>
      </c>
      <c r="D6652" t="s">
        <v>875</v>
      </c>
      <c r="E6652">
        <v>2.5439999999999996</v>
      </c>
    </row>
    <row r="6653" spans="2:5">
      <c r="B6653" s="17">
        <v>42287</v>
      </c>
      <c r="D6653" t="s">
        <v>875</v>
      </c>
      <c r="E6653">
        <v>11.610000000000003</v>
      </c>
    </row>
    <row r="6654" spans="2:5">
      <c r="B6654" s="17">
        <v>42286</v>
      </c>
      <c r="D6654" t="s">
        <v>875</v>
      </c>
      <c r="E6654">
        <v>14.940000000000001</v>
      </c>
    </row>
    <row r="6655" spans="2:5">
      <c r="B6655" s="17">
        <v>42286</v>
      </c>
      <c r="D6655" t="s">
        <v>875</v>
      </c>
      <c r="E6655">
        <v>27.168000000000003</v>
      </c>
    </row>
    <row r="6656" spans="2:5">
      <c r="B6656" s="17">
        <v>42286</v>
      </c>
      <c r="D6656" t="s">
        <v>625</v>
      </c>
      <c r="E6656">
        <v>2.9460000000000006</v>
      </c>
    </row>
    <row r="6657" spans="2:5">
      <c r="B6657" s="17">
        <v>42286</v>
      </c>
      <c r="D6657" t="s">
        <v>625</v>
      </c>
      <c r="E6657">
        <v>55.104000000000006</v>
      </c>
    </row>
    <row r="6658" spans="2:5">
      <c r="B6658" s="17">
        <v>42286</v>
      </c>
      <c r="D6658" t="s">
        <v>625</v>
      </c>
      <c r="E6658">
        <v>37.94</v>
      </c>
    </row>
    <row r="6659" spans="2:5">
      <c r="B6659" s="17">
        <v>42286</v>
      </c>
      <c r="D6659" t="s">
        <v>625</v>
      </c>
      <c r="E6659">
        <v>42.800000000000004</v>
      </c>
    </row>
    <row r="6660" spans="2:5">
      <c r="B6660" s="17">
        <v>42286</v>
      </c>
      <c r="D6660" t="s">
        <v>625</v>
      </c>
      <c r="E6660">
        <v>33.630000000000003</v>
      </c>
    </row>
    <row r="6661" spans="2:5">
      <c r="B6661" s="17">
        <v>42286</v>
      </c>
      <c r="D6661" t="s">
        <v>625</v>
      </c>
      <c r="E6661">
        <v>32.984999999999999</v>
      </c>
    </row>
    <row r="6662" spans="2:5">
      <c r="B6662" s="17">
        <v>42286</v>
      </c>
      <c r="D6662" t="s">
        <v>265</v>
      </c>
      <c r="E6662">
        <v>17.12</v>
      </c>
    </row>
    <row r="6663" spans="2:5">
      <c r="B6663" s="17">
        <v>42286</v>
      </c>
      <c r="D6663" t="s">
        <v>265</v>
      </c>
      <c r="E6663">
        <v>59.94</v>
      </c>
    </row>
    <row r="6664" spans="2:5">
      <c r="B6664" s="17">
        <v>42286</v>
      </c>
      <c r="D6664" t="s">
        <v>265</v>
      </c>
      <c r="E6664">
        <v>396.80200000000002</v>
      </c>
    </row>
    <row r="6665" spans="2:5">
      <c r="B6665" s="17">
        <v>42286</v>
      </c>
      <c r="D6665" t="s">
        <v>265</v>
      </c>
      <c r="E6665">
        <v>15.88</v>
      </c>
    </row>
    <row r="6666" spans="2:5">
      <c r="B6666" s="17">
        <v>42285</v>
      </c>
      <c r="D6666" t="s">
        <v>265</v>
      </c>
      <c r="E6666">
        <v>141.96</v>
      </c>
    </row>
    <row r="6667" spans="2:5">
      <c r="B6667" s="17">
        <v>42285</v>
      </c>
      <c r="D6667" t="s">
        <v>265</v>
      </c>
      <c r="E6667">
        <v>66.048000000000002</v>
      </c>
    </row>
    <row r="6668" spans="2:5">
      <c r="B6668" s="17">
        <v>42285</v>
      </c>
      <c r="D6668" t="s">
        <v>1170</v>
      </c>
      <c r="E6668">
        <v>11.696</v>
      </c>
    </row>
    <row r="6669" spans="2:5">
      <c r="B6669" s="17">
        <v>42282</v>
      </c>
      <c r="D6669" t="s">
        <v>1170</v>
      </c>
      <c r="E6669">
        <v>439.99200000000002</v>
      </c>
    </row>
    <row r="6670" spans="2:5">
      <c r="B6670" s="17">
        <v>42282</v>
      </c>
      <c r="D6670" t="s">
        <v>1170</v>
      </c>
      <c r="E6670">
        <v>10.92</v>
      </c>
    </row>
    <row r="6671" spans="2:5">
      <c r="B6671" s="17">
        <v>42282</v>
      </c>
      <c r="D6671" t="s">
        <v>1170</v>
      </c>
      <c r="E6671">
        <v>83.9</v>
      </c>
    </row>
    <row r="6672" spans="2:5">
      <c r="B6672" s="17">
        <v>42282</v>
      </c>
      <c r="D6672" t="s">
        <v>1170</v>
      </c>
      <c r="E6672">
        <v>19.75</v>
      </c>
    </row>
    <row r="6673" spans="2:5">
      <c r="B6673" s="17">
        <v>42282</v>
      </c>
      <c r="D6673" t="s">
        <v>1170</v>
      </c>
      <c r="E6673">
        <v>393.54</v>
      </c>
    </row>
    <row r="6674" spans="2:5">
      <c r="B6674" s="17">
        <v>42282</v>
      </c>
      <c r="D6674" t="s">
        <v>602</v>
      </c>
      <c r="E6674">
        <v>23.344000000000001</v>
      </c>
    </row>
    <row r="6675" spans="2:5">
      <c r="B6675" s="17">
        <v>42282</v>
      </c>
      <c r="D6675" t="s">
        <v>602</v>
      </c>
      <c r="E6675">
        <v>1252.704</v>
      </c>
    </row>
    <row r="6676" spans="2:5">
      <c r="B6676" s="17">
        <v>42281</v>
      </c>
      <c r="D6676" t="s">
        <v>602</v>
      </c>
      <c r="E6676">
        <v>110.97</v>
      </c>
    </row>
    <row r="6677" spans="2:5">
      <c r="B6677" s="17">
        <v>42281</v>
      </c>
      <c r="D6677" t="s">
        <v>602</v>
      </c>
      <c r="E6677">
        <v>5.3440000000000003</v>
      </c>
    </row>
    <row r="6678" spans="2:5">
      <c r="B6678" s="17">
        <v>42281</v>
      </c>
      <c r="D6678" t="s">
        <v>602</v>
      </c>
      <c r="E6678">
        <v>1.6959999999999997</v>
      </c>
    </row>
    <row r="6679" spans="2:5">
      <c r="B6679" s="17">
        <v>42281</v>
      </c>
      <c r="D6679" t="s">
        <v>602</v>
      </c>
      <c r="E6679">
        <v>24.587999999999994</v>
      </c>
    </row>
    <row r="6680" spans="2:5">
      <c r="B6680" s="17">
        <v>42280</v>
      </c>
      <c r="D6680" t="s">
        <v>1787</v>
      </c>
      <c r="E6680">
        <v>7.9799999999999986</v>
      </c>
    </row>
    <row r="6681" spans="2:5">
      <c r="B6681" s="17">
        <v>42280</v>
      </c>
      <c r="D6681" t="s">
        <v>341</v>
      </c>
      <c r="E6681">
        <v>18.175999999999998</v>
      </c>
    </row>
    <row r="6682" spans="2:5">
      <c r="B6682" s="17">
        <v>42280</v>
      </c>
      <c r="D6682" t="s">
        <v>341</v>
      </c>
      <c r="E6682">
        <v>60.449999999999996</v>
      </c>
    </row>
    <row r="6683" spans="2:5">
      <c r="B6683" s="17">
        <v>42280</v>
      </c>
      <c r="D6683" t="s">
        <v>341</v>
      </c>
      <c r="E6683">
        <v>11.52</v>
      </c>
    </row>
    <row r="6684" spans="2:5">
      <c r="B6684" s="17">
        <v>42280</v>
      </c>
      <c r="D6684" t="s">
        <v>341</v>
      </c>
      <c r="E6684">
        <v>186.048</v>
      </c>
    </row>
    <row r="6685" spans="2:5">
      <c r="B6685" s="17">
        <v>42280</v>
      </c>
      <c r="D6685" t="s">
        <v>341</v>
      </c>
      <c r="E6685">
        <v>19.459999999999997</v>
      </c>
    </row>
    <row r="6686" spans="2:5">
      <c r="B6686" s="17">
        <v>42279</v>
      </c>
      <c r="D6686" t="s">
        <v>718</v>
      </c>
      <c r="E6686">
        <v>19.649999999999999</v>
      </c>
    </row>
    <row r="6687" spans="2:5">
      <c r="B6687" s="17">
        <v>42279</v>
      </c>
      <c r="D6687" t="s">
        <v>718</v>
      </c>
      <c r="E6687">
        <v>72.744000000000014</v>
      </c>
    </row>
    <row r="6688" spans="2:5">
      <c r="B6688" s="17">
        <v>42279</v>
      </c>
      <c r="D6688" t="s">
        <v>718</v>
      </c>
      <c r="E6688">
        <v>572.16000000000008</v>
      </c>
    </row>
    <row r="6689" spans="2:5">
      <c r="B6689" s="17">
        <v>42279</v>
      </c>
      <c r="D6689" t="s">
        <v>998</v>
      </c>
      <c r="E6689">
        <v>24.192</v>
      </c>
    </row>
    <row r="6690" spans="2:5">
      <c r="B6690" s="17">
        <v>42279</v>
      </c>
      <c r="D6690" t="s">
        <v>998</v>
      </c>
      <c r="E6690">
        <v>119.03999999999999</v>
      </c>
    </row>
    <row r="6691" spans="2:5">
      <c r="B6691" s="17">
        <v>42279</v>
      </c>
      <c r="D6691" t="s">
        <v>998</v>
      </c>
      <c r="E6691">
        <v>22.14</v>
      </c>
    </row>
    <row r="6692" spans="2:5">
      <c r="B6692" s="17">
        <v>42279</v>
      </c>
      <c r="D6692" t="s">
        <v>998</v>
      </c>
      <c r="E6692">
        <v>13.98</v>
      </c>
    </row>
    <row r="6693" spans="2:5">
      <c r="B6693" s="17">
        <v>42279</v>
      </c>
      <c r="D6693" t="s">
        <v>998</v>
      </c>
      <c r="E6693">
        <v>63.824000000000005</v>
      </c>
    </row>
    <row r="6694" spans="2:5">
      <c r="B6694" s="17">
        <v>42279</v>
      </c>
      <c r="D6694" t="s">
        <v>998</v>
      </c>
      <c r="E6694">
        <v>141.55199999999999</v>
      </c>
    </row>
    <row r="6695" spans="2:5">
      <c r="B6695" s="17">
        <v>42279</v>
      </c>
      <c r="D6695" t="s">
        <v>998</v>
      </c>
      <c r="E6695">
        <v>479.988</v>
      </c>
    </row>
    <row r="6696" spans="2:5">
      <c r="B6696" s="17">
        <v>42279</v>
      </c>
      <c r="D6696" t="s">
        <v>998</v>
      </c>
      <c r="E6696">
        <v>7.2300000000000022</v>
      </c>
    </row>
    <row r="6697" spans="2:5">
      <c r="B6697" s="17">
        <v>42279</v>
      </c>
      <c r="D6697" t="s">
        <v>1513</v>
      </c>
      <c r="E6697">
        <v>17.440000000000001</v>
      </c>
    </row>
    <row r="6698" spans="2:5">
      <c r="B6698" s="17">
        <v>42279</v>
      </c>
      <c r="D6698" t="s">
        <v>1513</v>
      </c>
      <c r="E6698">
        <v>62.88000000000001</v>
      </c>
    </row>
    <row r="6699" spans="2:5">
      <c r="B6699" s="17">
        <v>42279</v>
      </c>
      <c r="D6699" t="s">
        <v>716</v>
      </c>
      <c r="E6699">
        <v>344.37199999999996</v>
      </c>
    </row>
    <row r="6700" spans="2:5">
      <c r="B6700" s="17">
        <v>42279</v>
      </c>
      <c r="D6700" t="s">
        <v>716</v>
      </c>
      <c r="E6700">
        <v>4.8960000000000008</v>
      </c>
    </row>
    <row r="6701" spans="2:5">
      <c r="B6701" s="17">
        <v>42278</v>
      </c>
      <c r="D6701" t="s">
        <v>716</v>
      </c>
      <c r="E6701">
        <v>145.76400000000001</v>
      </c>
    </row>
    <row r="6702" spans="2:5">
      <c r="B6702" s="17">
        <v>42278</v>
      </c>
      <c r="D6702" t="s">
        <v>716</v>
      </c>
      <c r="E6702">
        <v>9.6120000000000001</v>
      </c>
    </row>
    <row r="6703" spans="2:5">
      <c r="B6703" s="17">
        <v>42278</v>
      </c>
      <c r="D6703" t="s">
        <v>716</v>
      </c>
      <c r="E6703">
        <v>89.696000000000012</v>
      </c>
    </row>
    <row r="6704" spans="2:5">
      <c r="B6704" s="17">
        <v>42278</v>
      </c>
      <c r="D6704" t="s">
        <v>716</v>
      </c>
      <c r="E6704">
        <v>50.12</v>
      </c>
    </row>
    <row r="6705" spans="2:5">
      <c r="B6705" s="17">
        <v>42278</v>
      </c>
      <c r="D6705" t="s">
        <v>716</v>
      </c>
      <c r="E6705">
        <v>32.04</v>
      </c>
    </row>
    <row r="6706" spans="2:5">
      <c r="B6706" s="17">
        <v>42278</v>
      </c>
      <c r="D6706" t="s">
        <v>716</v>
      </c>
      <c r="E6706">
        <v>141.96</v>
      </c>
    </row>
    <row r="6707" spans="2:5">
      <c r="B6707" s="17">
        <v>42275</v>
      </c>
      <c r="D6707" t="s">
        <v>716</v>
      </c>
      <c r="E6707">
        <v>31.08</v>
      </c>
    </row>
    <row r="6708" spans="2:5">
      <c r="B6708" s="17">
        <v>42275</v>
      </c>
      <c r="D6708" t="s">
        <v>716</v>
      </c>
      <c r="E6708">
        <v>5.9840000000000009</v>
      </c>
    </row>
    <row r="6709" spans="2:5">
      <c r="B6709" s="17">
        <v>42275</v>
      </c>
      <c r="D6709" t="s">
        <v>347</v>
      </c>
      <c r="E6709">
        <v>861.76</v>
      </c>
    </row>
    <row r="6710" spans="2:5">
      <c r="B6710" s="17">
        <v>42275</v>
      </c>
      <c r="D6710" t="s">
        <v>347</v>
      </c>
      <c r="E6710">
        <v>40.92</v>
      </c>
    </row>
    <row r="6711" spans="2:5">
      <c r="B6711" s="17">
        <v>42275</v>
      </c>
      <c r="D6711" t="s">
        <v>347</v>
      </c>
      <c r="E6711">
        <v>415.96800000000007</v>
      </c>
    </row>
    <row r="6712" spans="2:5">
      <c r="B6712" s="17">
        <v>42275</v>
      </c>
      <c r="D6712" t="s">
        <v>892</v>
      </c>
      <c r="E6712">
        <v>80.959999999999994</v>
      </c>
    </row>
    <row r="6713" spans="2:5">
      <c r="B6713" s="17">
        <v>42275</v>
      </c>
      <c r="D6713" t="s">
        <v>892</v>
      </c>
      <c r="E6713">
        <v>777.21</v>
      </c>
    </row>
    <row r="6714" spans="2:5">
      <c r="B6714" s="17">
        <v>42275</v>
      </c>
      <c r="D6714" t="s">
        <v>892</v>
      </c>
      <c r="E6714">
        <v>32.400000000000006</v>
      </c>
    </row>
    <row r="6715" spans="2:5">
      <c r="B6715" s="17">
        <v>42275</v>
      </c>
      <c r="D6715" t="s">
        <v>892</v>
      </c>
      <c r="E6715">
        <v>36.599999999999994</v>
      </c>
    </row>
    <row r="6716" spans="2:5">
      <c r="B6716" s="17">
        <v>42275</v>
      </c>
      <c r="D6716" t="s">
        <v>892</v>
      </c>
      <c r="E6716">
        <v>541.24</v>
      </c>
    </row>
    <row r="6717" spans="2:5">
      <c r="B6717" s="17">
        <v>42275</v>
      </c>
      <c r="D6717" t="s">
        <v>985</v>
      </c>
      <c r="E6717">
        <v>106.32</v>
      </c>
    </row>
    <row r="6718" spans="2:5">
      <c r="B6718" s="17">
        <v>42274</v>
      </c>
      <c r="D6718" t="s">
        <v>985</v>
      </c>
      <c r="E6718">
        <v>1323.8999999999999</v>
      </c>
    </row>
    <row r="6719" spans="2:5">
      <c r="B6719" s="17">
        <v>42274</v>
      </c>
      <c r="D6719" t="s">
        <v>985</v>
      </c>
      <c r="E6719">
        <v>523.25</v>
      </c>
    </row>
    <row r="6720" spans="2:5">
      <c r="B6720" s="17">
        <v>42274</v>
      </c>
      <c r="D6720" t="s">
        <v>985</v>
      </c>
      <c r="E6720">
        <v>179.82</v>
      </c>
    </row>
    <row r="6721" spans="2:5">
      <c r="B6721" s="17">
        <v>42274</v>
      </c>
      <c r="D6721" t="s">
        <v>985</v>
      </c>
      <c r="E6721">
        <v>185.57999999999998</v>
      </c>
    </row>
    <row r="6722" spans="2:5">
      <c r="B6722" s="17">
        <v>42274</v>
      </c>
      <c r="D6722" t="s">
        <v>985</v>
      </c>
      <c r="E6722">
        <v>999.96</v>
      </c>
    </row>
    <row r="6723" spans="2:5">
      <c r="B6723" s="17">
        <v>42274</v>
      </c>
      <c r="D6723" t="s">
        <v>985</v>
      </c>
      <c r="E6723">
        <v>653.54999999999995</v>
      </c>
    </row>
    <row r="6724" spans="2:5">
      <c r="B6724" s="17">
        <v>42274</v>
      </c>
      <c r="D6724" t="s">
        <v>985</v>
      </c>
      <c r="E6724">
        <v>696.42</v>
      </c>
    </row>
    <row r="6725" spans="2:5">
      <c r="B6725" s="17">
        <v>42274</v>
      </c>
      <c r="D6725" t="s">
        <v>1446</v>
      </c>
      <c r="E6725">
        <v>21.488</v>
      </c>
    </row>
    <row r="6726" spans="2:5">
      <c r="B6726" s="17">
        <v>42274</v>
      </c>
      <c r="D6726" t="s">
        <v>1446</v>
      </c>
      <c r="E6726">
        <v>34.504000000000005</v>
      </c>
    </row>
    <row r="6727" spans="2:5">
      <c r="B6727" s="17">
        <v>42274</v>
      </c>
      <c r="D6727" t="s">
        <v>191</v>
      </c>
      <c r="E6727">
        <v>18.899999999999999</v>
      </c>
    </row>
    <row r="6728" spans="2:5">
      <c r="B6728" s="17">
        <v>42273</v>
      </c>
      <c r="D6728" t="s">
        <v>191</v>
      </c>
      <c r="E6728">
        <v>11.363999999999997</v>
      </c>
    </row>
    <row r="6729" spans="2:5">
      <c r="B6729" s="17">
        <v>42273</v>
      </c>
      <c r="D6729" t="s">
        <v>191</v>
      </c>
      <c r="E6729">
        <v>8.7200000000000006</v>
      </c>
    </row>
    <row r="6730" spans="2:5">
      <c r="B6730" s="17">
        <v>42273</v>
      </c>
      <c r="D6730" t="s">
        <v>191</v>
      </c>
      <c r="E6730">
        <v>70.949999999999989</v>
      </c>
    </row>
    <row r="6731" spans="2:5">
      <c r="B6731" s="17">
        <v>42273</v>
      </c>
      <c r="D6731" t="s">
        <v>191</v>
      </c>
      <c r="E6731">
        <v>34.944000000000003</v>
      </c>
    </row>
    <row r="6732" spans="2:5">
      <c r="B6732" s="17">
        <v>42273</v>
      </c>
      <c r="D6732" t="s">
        <v>191</v>
      </c>
      <c r="E6732">
        <v>119.03999999999999</v>
      </c>
    </row>
    <row r="6733" spans="2:5">
      <c r="B6733" s="17">
        <v>42273</v>
      </c>
      <c r="D6733" t="s">
        <v>191</v>
      </c>
      <c r="E6733">
        <v>39.96</v>
      </c>
    </row>
    <row r="6734" spans="2:5">
      <c r="B6734" s="17">
        <v>42273</v>
      </c>
      <c r="D6734" t="s">
        <v>305</v>
      </c>
      <c r="E6734">
        <v>166.92000000000002</v>
      </c>
    </row>
    <row r="6735" spans="2:5">
      <c r="B6735" s="17">
        <v>42273</v>
      </c>
      <c r="D6735" t="s">
        <v>305</v>
      </c>
      <c r="E6735">
        <v>37.6</v>
      </c>
    </row>
    <row r="6736" spans="2:5">
      <c r="B6736" s="17">
        <v>42273</v>
      </c>
      <c r="D6736" t="s">
        <v>305</v>
      </c>
      <c r="E6736">
        <v>59.9</v>
      </c>
    </row>
    <row r="6737" spans="2:5">
      <c r="B6737" s="17">
        <v>42273</v>
      </c>
      <c r="D6737" t="s">
        <v>305</v>
      </c>
      <c r="E6737">
        <v>37</v>
      </c>
    </row>
    <row r="6738" spans="2:5">
      <c r="B6738" s="17">
        <v>42273</v>
      </c>
      <c r="D6738" t="s">
        <v>305</v>
      </c>
      <c r="E6738">
        <v>33.96</v>
      </c>
    </row>
    <row r="6739" spans="2:5">
      <c r="B6739" s="17">
        <v>42273</v>
      </c>
      <c r="D6739" t="s">
        <v>305</v>
      </c>
      <c r="E6739">
        <v>826.11</v>
      </c>
    </row>
    <row r="6740" spans="2:5">
      <c r="B6740" s="17">
        <v>42273</v>
      </c>
      <c r="D6740" t="s">
        <v>802</v>
      </c>
      <c r="E6740">
        <v>76.14</v>
      </c>
    </row>
    <row r="6741" spans="2:5">
      <c r="B6741" s="17">
        <v>42273</v>
      </c>
      <c r="D6741" t="s">
        <v>802</v>
      </c>
      <c r="E6741">
        <v>19.96</v>
      </c>
    </row>
    <row r="6742" spans="2:5">
      <c r="B6742" s="17">
        <v>42273</v>
      </c>
      <c r="D6742" t="s">
        <v>802</v>
      </c>
      <c r="E6742">
        <v>47.984000000000002</v>
      </c>
    </row>
    <row r="6743" spans="2:5">
      <c r="B6743" s="17">
        <v>42273</v>
      </c>
      <c r="D6743" t="s">
        <v>802</v>
      </c>
      <c r="E6743">
        <v>8.7200000000000006</v>
      </c>
    </row>
    <row r="6744" spans="2:5">
      <c r="B6744" s="17">
        <v>42273</v>
      </c>
      <c r="D6744" t="s">
        <v>802</v>
      </c>
      <c r="E6744">
        <v>91.176000000000016</v>
      </c>
    </row>
    <row r="6745" spans="2:5">
      <c r="B6745" s="17">
        <v>42273</v>
      </c>
      <c r="D6745" t="s">
        <v>802</v>
      </c>
      <c r="E6745">
        <v>159.96800000000002</v>
      </c>
    </row>
    <row r="6746" spans="2:5">
      <c r="B6746" s="17">
        <v>42273</v>
      </c>
      <c r="D6746" t="s">
        <v>1822</v>
      </c>
      <c r="E6746">
        <v>883.84</v>
      </c>
    </row>
    <row r="6747" spans="2:5">
      <c r="B6747" s="17">
        <v>42273</v>
      </c>
      <c r="D6747" t="s">
        <v>1626</v>
      </c>
      <c r="E6747">
        <v>102.35999999999999</v>
      </c>
    </row>
    <row r="6748" spans="2:5">
      <c r="B6748" s="17">
        <v>42272</v>
      </c>
      <c r="D6748" t="s">
        <v>1626</v>
      </c>
      <c r="E6748">
        <v>36.882000000000005</v>
      </c>
    </row>
    <row r="6749" spans="2:5">
      <c r="B6749" s="17">
        <v>42272</v>
      </c>
      <c r="D6749" t="s">
        <v>1626</v>
      </c>
      <c r="E6749">
        <v>115.29600000000001</v>
      </c>
    </row>
    <row r="6750" spans="2:5">
      <c r="B6750" s="17">
        <v>42272</v>
      </c>
      <c r="D6750" t="s">
        <v>1626</v>
      </c>
      <c r="E6750">
        <v>377.96999999999997</v>
      </c>
    </row>
    <row r="6751" spans="2:5">
      <c r="B6751" s="17">
        <v>42272</v>
      </c>
      <c r="D6751" t="s">
        <v>1626</v>
      </c>
      <c r="E6751">
        <v>42.28</v>
      </c>
    </row>
    <row r="6752" spans="2:5">
      <c r="B6752" s="17">
        <v>42272</v>
      </c>
      <c r="D6752" t="s">
        <v>1284</v>
      </c>
      <c r="E6752">
        <v>89.98</v>
      </c>
    </row>
    <row r="6753" spans="2:5">
      <c r="B6753" s="17">
        <v>42272</v>
      </c>
      <c r="D6753" t="s">
        <v>1284</v>
      </c>
      <c r="E6753">
        <v>17.496000000000002</v>
      </c>
    </row>
    <row r="6754" spans="2:5">
      <c r="B6754" s="17">
        <v>42272</v>
      </c>
      <c r="D6754" t="s">
        <v>1284</v>
      </c>
      <c r="E6754">
        <v>63.769999999999996</v>
      </c>
    </row>
    <row r="6755" spans="2:5">
      <c r="B6755" s="17">
        <v>42272</v>
      </c>
      <c r="D6755" t="s">
        <v>373</v>
      </c>
      <c r="E6755">
        <v>50.97</v>
      </c>
    </row>
    <row r="6756" spans="2:5">
      <c r="B6756" s="17">
        <v>42272</v>
      </c>
      <c r="D6756" t="s">
        <v>373</v>
      </c>
      <c r="E6756">
        <v>96.08</v>
      </c>
    </row>
    <row r="6757" spans="2:5">
      <c r="B6757" s="17">
        <v>42272</v>
      </c>
      <c r="D6757" t="s">
        <v>373</v>
      </c>
      <c r="E6757">
        <v>84.960000000000008</v>
      </c>
    </row>
    <row r="6758" spans="2:5">
      <c r="B6758" s="17">
        <v>42272</v>
      </c>
      <c r="D6758" t="s">
        <v>1094</v>
      </c>
      <c r="E6758">
        <v>63.980000000000004</v>
      </c>
    </row>
    <row r="6759" spans="2:5">
      <c r="B6759" s="17">
        <v>42272</v>
      </c>
      <c r="D6759" t="s">
        <v>1094</v>
      </c>
      <c r="E6759">
        <v>121.10400000000003</v>
      </c>
    </row>
    <row r="6760" spans="2:5">
      <c r="B6760" s="17">
        <v>42272</v>
      </c>
      <c r="D6760" t="s">
        <v>1094</v>
      </c>
      <c r="E6760">
        <v>111.96</v>
      </c>
    </row>
    <row r="6761" spans="2:5">
      <c r="B6761" s="17">
        <v>42272</v>
      </c>
      <c r="D6761" t="s">
        <v>1094</v>
      </c>
      <c r="E6761">
        <v>613.99919999999997</v>
      </c>
    </row>
    <row r="6762" spans="2:5">
      <c r="B6762" s="17">
        <v>42272</v>
      </c>
      <c r="D6762" t="s">
        <v>512</v>
      </c>
      <c r="E6762">
        <v>9.8719999999999999</v>
      </c>
    </row>
    <row r="6763" spans="2:5">
      <c r="B6763" s="17">
        <v>42272</v>
      </c>
      <c r="D6763" t="s">
        <v>512</v>
      </c>
      <c r="E6763">
        <v>683.33199999999999</v>
      </c>
    </row>
    <row r="6764" spans="2:5">
      <c r="B6764" s="17">
        <v>42272</v>
      </c>
      <c r="D6764" t="s">
        <v>512</v>
      </c>
      <c r="E6764">
        <v>29.96</v>
      </c>
    </row>
    <row r="6765" spans="2:5">
      <c r="B6765" s="17">
        <v>42272</v>
      </c>
      <c r="D6765" t="s">
        <v>512</v>
      </c>
      <c r="E6765">
        <v>15.700000000000001</v>
      </c>
    </row>
    <row r="6766" spans="2:5">
      <c r="B6766" s="17">
        <v>42272</v>
      </c>
      <c r="D6766" t="s">
        <v>512</v>
      </c>
      <c r="E6766">
        <v>11.76</v>
      </c>
    </row>
    <row r="6767" spans="2:5">
      <c r="B6767" s="17">
        <v>42272</v>
      </c>
      <c r="D6767" t="s">
        <v>1529</v>
      </c>
      <c r="E6767">
        <v>5.2380000000000013</v>
      </c>
    </row>
    <row r="6768" spans="2:5">
      <c r="B6768" s="17">
        <v>42272</v>
      </c>
      <c r="D6768" t="s">
        <v>1529</v>
      </c>
      <c r="E6768">
        <v>4.6619999999999999</v>
      </c>
    </row>
    <row r="6769" spans="2:5">
      <c r="B6769" s="17">
        <v>42271</v>
      </c>
      <c r="D6769" t="s">
        <v>1529</v>
      </c>
      <c r="E6769">
        <v>523.91999999999996</v>
      </c>
    </row>
    <row r="6770" spans="2:5">
      <c r="B6770" s="17">
        <v>42271</v>
      </c>
      <c r="D6770" t="s">
        <v>1529</v>
      </c>
      <c r="E6770">
        <v>100.792</v>
      </c>
    </row>
    <row r="6771" spans="2:5">
      <c r="B6771" s="17">
        <v>42271</v>
      </c>
      <c r="D6771" t="s">
        <v>1529</v>
      </c>
      <c r="E6771">
        <v>146.13600000000002</v>
      </c>
    </row>
    <row r="6772" spans="2:5">
      <c r="B6772" s="17">
        <v>42271</v>
      </c>
      <c r="D6772" t="s">
        <v>1529</v>
      </c>
      <c r="E6772">
        <v>64.784000000000006</v>
      </c>
    </row>
    <row r="6773" spans="2:5">
      <c r="B6773" s="17">
        <v>42271</v>
      </c>
      <c r="D6773" t="s">
        <v>1529</v>
      </c>
      <c r="E6773">
        <v>15.552000000000003</v>
      </c>
    </row>
    <row r="6774" spans="2:5">
      <c r="B6774" s="17">
        <v>42271</v>
      </c>
      <c r="D6774" t="s">
        <v>52</v>
      </c>
      <c r="E6774">
        <v>15.56</v>
      </c>
    </row>
    <row r="6775" spans="2:5">
      <c r="B6775" s="17">
        <v>42271</v>
      </c>
      <c r="D6775" t="s">
        <v>52</v>
      </c>
      <c r="E6775">
        <v>418.32</v>
      </c>
    </row>
    <row r="6776" spans="2:5">
      <c r="B6776" s="17">
        <v>42271</v>
      </c>
      <c r="D6776" t="s">
        <v>52</v>
      </c>
      <c r="E6776">
        <v>123.858</v>
      </c>
    </row>
    <row r="6777" spans="2:5">
      <c r="B6777" s="17">
        <v>42271</v>
      </c>
      <c r="D6777" t="s">
        <v>52</v>
      </c>
      <c r="E6777">
        <v>79.900000000000006</v>
      </c>
    </row>
    <row r="6778" spans="2:5">
      <c r="B6778" s="17">
        <v>42271</v>
      </c>
      <c r="D6778" t="s">
        <v>52</v>
      </c>
      <c r="E6778">
        <v>714.30000000000007</v>
      </c>
    </row>
    <row r="6779" spans="2:5">
      <c r="B6779" s="17">
        <v>42271</v>
      </c>
      <c r="D6779" t="s">
        <v>192</v>
      </c>
      <c r="E6779">
        <v>715.64</v>
      </c>
    </row>
    <row r="6780" spans="2:5">
      <c r="B6780" s="17">
        <v>42271</v>
      </c>
      <c r="D6780" t="s">
        <v>192</v>
      </c>
      <c r="E6780">
        <v>795.51</v>
      </c>
    </row>
    <row r="6781" spans="2:5">
      <c r="B6781" s="17">
        <v>42271</v>
      </c>
      <c r="D6781" t="s">
        <v>695</v>
      </c>
      <c r="E6781">
        <v>549.99</v>
      </c>
    </row>
    <row r="6782" spans="2:5">
      <c r="B6782" s="17">
        <v>42271</v>
      </c>
      <c r="D6782" t="s">
        <v>695</v>
      </c>
      <c r="E6782">
        <v>74.760000000000005</v>
      </c>
    </row>
    <row r="6783" spans="2:5">
      <c r="B6783" s="17">
        <v>42271</v>
      </c>
      <c r="D6783" t="s">
        <v>695</v>
      </c>
      <c r="E6783">
        <v>29.22</v>
      </c>
    </row>
    <row r="6784" spans="2:5">
      <c r="B6784" s="17">
        <v>42271</v>
      </c>
      <c r="D6784" t="s">
        <v>695</v>
      </c>
      <c r="E6784">
        <v>577.58400000000006</v>
      </c>
    </row>
    <row r="6785" spans="2:5">
      <c r="B6785" s="17">
        <v>42271</v>
      </c>
      <c r="D6785" t="s">
        <v>695</v>
      </c>
      <c r="E6785">
        <v>11.352000000000002</v>
      </c>
    </row>
    <row r="6786" spans="2:5">
      <c r="B6786" s="17">
        <v>42271</v>
      </c>
      <c r="D6786" t="s">
        <v>695</v>
      </c>
      <c r="E6786">
        <v>17.22</v>
      </c>
    </row>
    <row r="6787" spans="2:5">
      <c r="B6787" s="17">
        <v>42271</v>
      </c>
      <c r="D6787" t="s">
        <v>695</v>
      </c>
      <c r="E6787">
        <v>1024.3800000000001</v>
      </c>
    </row>
    <row r="6788" spans="2:5">
      <c r="B6788" s="17">
        <v>42269</v>
      </c>
      <c r="D6788" t="s">
        <v>695</v>
      </c>
      <c r="E6788">
        <v>26.22</v>
      </c>
    </row>
    <row r="6789" spans="2:5">
      <c r="B6789" s="17">
        <v>42269</v>
      </c>
      <c r="D6789" t="s">
        <v>695</v>
      </c>
      <c r="E6789">
        <v>17.34</v>
      </c>
    </row>
    <row r="6790" spans="2:5">
      <c r="B6790" s="17">
        <v>42269</v>
      </c>
      <c r="D6790" t="s">
        <v>1341</v>
      </c>
      <c r="E6790">
        <v>2321.9</v>
      </c>
    </row>
    <row r="6791" spans="2:5">
      <c r="B6791" s="17">
        <v>42269</v>
      </c>
      <c r="D6791" t="s">
        <v>1341</v>
      </c>
      <c r="E6791">
        <v>17.940000000000001</v>
      </c>
    </row>
    <row r="6792" spans="2:5">
      <c r="B6792" s="17">
        <v>42269</v>
      </c>
      <c r="D6792" t="s">
        <v>1190</v>
      </c>
      <c r="E6792">
        <v>12.24</v>
      </c>
    </row>
    <row r="6793" spans="2:5">
      <c r="B6793" s="17">
        <v>42269</v>
      </c>
      <c r="D6793" t="s">
        <v>1190</v>
      </c>
      <c r="E6793">
        <v>13.98</v>
      </c>
    </row>
    <row r="6794" spans="2:5">
      <c r="B6794" s="17">
        <v>42269</v>
      </c>
      <c r="D6794" t="s">
        <v>1190</v>
      </c>
      <c r="E6794">
        <v>899.95</v>
      </c>
    </row>
    <row r="6795" spans="2:5">
      <c r="B6795" s="17">
        <v>42269</v>
      </c>
      <c r="D6795" t="s">
        <v>1190</v>
      </c>
      <c r="E6795">
        <v>2.48</v>
      </c>
    </row>
    <row r="6796" spans="2:5">
      <c r="B6796" s="17">
        <v>42269</v>
      </c>
      <c r="D6796" t="s">
        <v>1190</v>
      </c>
      <c r="E6796">
        <v>10.74</v>
      </c>
    </row>
    <row r="6797" spans="2:5">
      <c r="B6797" s="17">
        <v>42269</v>
      </c>
      <c r="D6797" t="s">
        <v>1190</v>
      </c>
      <c r="E6797">
        <v>11.65</v>
      </c>
    </row>
    <row r="6798" spans="2:5">
      <c r="B6798" s="17">
        <v>42269</v>
      </c>
      <c r="D6798" t="s">
        <v>684</v>
      </c>
      <c r="E6798">
        <v>5</v>
      </c>
    </row>
    <row r="6799" spans="2:5">
      <c r="B6799" s="17">
        <v>42268</v>
      </c>
      <c r="D6799" t="s">
        <v>684</v>
      </c>
      <c r="E6799">
        <v>371.96999999999997</v>
      </c>
    </row>
    <row r="6800" spans="2:5">
      <c r="B6800" s="17">
        <v>42268</v>
      </c>
      <c r="D6800" t="s">
        <v>684</v>
      </c>
      <c r="E6800">
        <v>5.04</v>
      </c>
    </row>
    <row r="6801" spans="2:5">
      <c r="B6801" s="17">
        <v>42268</v>
      </c>
      <c r="D6801" t="s">
        <v>684</v>
      </c>
      <c r="E6801">
        <v>92.94</v>
      </c>
    </row>
    <row r="6802" spans="2:5">
      <c r="B6802" s="17">
        <v>42268</v>
      </c>
      <c r="D6802" t="s">
        <v>684</v>
      </c>
      <c r="E6802">
        <v>66.69</v>
      </c>
    </row>
    <row r="6803" spans="2:5">
      <c r="B6803" s="17">
        <v>42268</v>
      </c>
      <c r="D6803" t="s">
        <v>684</v>
      </c>
      <c r="E6803">
        <v>91.68</v>
      </c>
    </row>
    <row r="6804" spans="2:5">
      <c r="B6804" s="17">
        <v>42268</v>
      </c>
      <c r="D6804" t="s">
        <v>684</v>
      </c>
      <c r="E6804">
        <v>52.272000000000006</v>
      </c>
    </row>
    <row r="6805" spans="2:5">
      <c r="B6805" s="17">
        <v>42268</v>
      </c>
      <c r="D6805" t="s">
        <v>1483</v>
      </c>
      <c r="E6805">
        <v>17.940000000000001</v>
      </c>
    </row>
    <row r="6806" spans="2:5">
      <c r="B6806" s="17">
        <v>42268</v>
      </c>
      <c r="D6806" t="s">
        <v>1483</v>
      </c>
      <c r="E6806">
        <v>10.475999999999999</v>
      </c>
    </row>
    <row r="6807" spans="2:5">
      <c r="B6807" s="17">
        <v>42268</v>
      </c>
      <c r="D6807" t="s">
        <v>1483</v>
      </c>
      <c r="E6807">
        <v>119.9</v>
      </c>
    </row>
    <row r="6808" spans="2:5">
      <c r="B6808" s="17">
        <v>42268</v>
      </c>
      <c r="D6808" t="s">
        <v>1483</v>
      </c>
      <c r="E6808">
        <v>44.43</v>
      </c>
    </row>
    <row r="6809" spans="2:5">
      <c r="B6809" s="17">
        <v>42268</v>
      </c>
      <c r="D6809" t="s">
        <v>1462</v>
      </c>
      <c r="E6809">
        <v>186.54</v>
      </c>
    </row>
    <row r="6810" spans="2:5">
      <c r="B6810" s="17">
        <v>42268</v>
      </c>
      <c r="D6810" t="s">
        <v>1462</v>
      </c>
      <c r="E6810">
        <v>27.9</v>
      </c>
    </row>
    <row r="6811" spans="2:5">
      <c r="B6811" s="17">
        <v>42268</v>
      </c>
      <c r="D6811" t="s">
        <v>1462</v>
      </c>
      <c r="E6811">
        <v>67.150000000000006</v>
      </c>
    </row>
    <row r="6812" spans="2:5">
      <c r="B6812" s="17">
        <v>42268</v>
      </c>
      <c r="D6812" t="s">
        <v>1462</v>
      </c>
      <c r="E6812">
        <v>549.98</v>
      </c>
    </row>
    <row r="6813" spans="2:5">
      <c r="B6813" s="17">
        <v>42268</v>
      </c>
      <c r="D6813" t="s">
        <v>1462</v>
      </c>
      <c r="E6813">
        <v>11.82</v>
      </c>
    </row>
    <row r="6814" spans="2:5">
      <c r="B6814" s="17">
        <v>42268</v>
      </c>
      <c r="D6814" t="s">
        <v>1462</v>
      </c>
      <c r="E6814">
        <v>4643.8</v>
      </c>
    </row>
    <row r="6815" spans="2:5">
      <c r="B6815" s="17">
        <v>42268</v>
      </c>
      <c r="D6815" t="s">
        <v>988</v>
      </c>
      <c r="E6815">
        <v>577.76400000000001</v>
      </c>
    </row>
    <row r="6816" spans="2:5">
      <c r="B6816" s="17">
        <v>42268</v>
      </c>
      <c r="D6816" t="s">
        <v>988</v>
      </c>
      <c r="E6816">
        <v>31.504000000000005</v>
      </c>
    </row>
    <row r="6817" spans="2:5">
      <c r="B6817" s="17">
        <v>42268</v>
      </c>
      <c r="D6817" t="s">
        <v>114</v>
      </c>
      <c r="E6817">
        <v>5.04</v>
      </c>
    </row>
    <row r="6818" spans="2:5">
      <c r="B6818" s="17">
        <v>42268</v>
      </c>
      <c r="D6818" t="s">
        <v>114</v>
      </c>
      <c r="E6818">
        <v>39.878999999999998</v>
      </c>
    </row>
    <row r="6819" spans="2:5">
      <c r="B6819" s="17">
        <v>42267</v>
      </c>
      <c r="D6819" t="s">
        <v>114</v>
      </c>
      <c r="E6819">
        <v>4.7119999999999997</v>
      </c>
    </row>
    <row r="6820" spans="2:5">
      <c r="B6820" s="17">
        <v>42267</v>
      </c>
      <c r="D6820" t="s">
        <v>114</v>
      </c>
      <c r="E6820">
        <v>4404.8999999999996</v>
      </c>
    </row>
    <row r="6821" spans="2:5">
      <c r="B6821" s="17">
        <v>42267</v>
      </c>
      <c r="D6821" t="s">
        <v>114</v>
      </c>
      <c r="E6821">
        <v>190.72000000000003</v>
      </c>
    </row>
    <row r="6822" spans="2:5">
      <c r="B6822" s="17">
        <v>42267</v>
      </c>
      <c r="D6822" t="s">
        <v>114</v>
      </c>
      <c r="E6822">
        <v>26.18</v>
      </c>
    </row>
    <row r="6823" spans="2:5">
      <c r="B6823" s="17">
        <v>42267</v>
      </c>
      <c r="D6823" t="s">
        <v>1369</v>
      </c>
      <c r="E6823">
        <v>7.3</v>
      </c>
    </row>
    <row r="6824" spans="2:5">
      <c r="B6824" s="17">
        <v>42267</v>
      </c>
      <c r="D6824" t="s">
        <v>1369</v>
      </c>
      <c r="E6824">
        <v>24.400000000000002</v>
      </c>
    </row>
    <row r="6825" spans="2:5">
      <c r="B6825" s="17">
        <v>42267</v>
      </c>
      <c r="D6825" t="s">
        <v>1369</v>
      </c>
      <c r="E6825">
        <v>715.2</v>
      </c>
    </row>
    <row r="6826" spans="2:5">
      <c r="B6826" s="17">
        <v>42266</v>
      </c>
      <c r="D6826" t="s">
        <v>1369</v>
      </c>
      <c r="E6826">
        <v>16.146000000000004</v>
      </c>
    </row>
    <row r="6827" spans="2:5">
      <c r="B6827" s="17">
        <v>42266</v>
      </c>
      <c r="D6827" t="s">
        <v>1369</v>
      </c>
      <c r="E6827">
        <v>1345.4850000000001</v>
      </c>
    </row>
    <row r="6828" spans="2:5">
      <c r="B6828" s="17">
        <v>42266</v>
      </c>
      <c r="D6828" t="s">
        <v>1369</v>
      </c>
      <c r="E6828">
        <v>76.64</v>
      </c>
    </row>
    <row r="6829" spans="2:5">
      <c r="B6829" s="17">
        <v>42266</v>
      </c>
      <c r="D6829" t="s">
        <v>1369</v>
      </c>
      <c r="E6829">
        <v>23.64</v>
      </c>
    </row>
    <row r="6830" spans="2:5">
      <c r="B6830" s="17">
        <v>42266</v>
      </c>
      <c r="D6830" t="s">
        <v>693</v>
      </c>
      <c r="E6830">
        <v>84.784000000000006</v>
      </c>
    </row>
    <row r="6831" spans="2:5">
      <c r="B6831" s="17">
        <v>42266</v>
      </c>
      <c r="D6831" t="s">
        <v>693</v>
      </c>
      <c r="E6831">
        <v>64.959999999999994</v>
      </c>
    </row>
    <row r="6832" spans="2:5">
      <c r="B6832" s="17">
        <v>42265</v>
      </c>
      <c r="D6832" t="s">
        <v>693</v>
      </c>
      <c r="E6832">
        <v>32.059999999999995</v>
      </c>
    </row>
    <row r="6833" spans="2:5">
      <c r="B6833" s="17">
        <v>42265</v>
      </c>
      <c r="D6833" t="s">
        <v>693</v>
      </c>
      <c r="E6833">
        <v>177.64800000000002</v>
      </c>
    </row>
    <row r="6834" spans="2:5">
      <c r="B6834" s="17">
        <v>42265</v>
      </c>
      <c r="D6834" t="s">
        <v>693</v>
      </c>
      <c r="E6834">
        <v>7.080000000000001</v>
      </c>
    </row>
    <row r="6835" spans="2:5">
      <c r="B6835" s="17">
        <v>42265</v>
      </c>
      <c r="D6835" t="s">
        <v>693</v>
      </c>
      <c r="E6835">
        <v>4.4009999999999998</v>
      </c>
    </row>
    <row r="6836" spans="2:5">
      <c r="B6836" s="17">
        <v>42265</v>
      </c>
      <c r="D6836" t="s">
        <v>518</v>
      </c>
      <c r="E6836">
        <v>387.13600000000002</v>
      </c>
    </row>
    <row r="6837" spans="2:5">
      <c r="B6837" s="17">
        <v>42265</v>
      </c>
      <c r="D6837" t="s">
        <v>518</v>
      </c>
      <c r="E6837">
        <v>25.344000000000001</v>
      </c>
    </row>
    <row r="6838" spans="2:5">
      <c r="B6838" s="17">
        <v>42265</v>
      </c>
      <c r="D6838" t="s">
        <v>518</v>
      </c>
      <c r="E6838">
        <v>19.824000000000002</v>
      </c>
    </row>
    <row r="6839" spans="2:5">
      <c r="B6839" s="17">
        <v>42265</v>
      </c>
      <c r="D6839" t="s">
        <v>518</v>
      </c>
      <c r="E6839">
        <v>62.8</v>
      </c>
    </row>
    <row r="6840" spans="2:5">
      <c r="B6840" s="17">
        <v>42265</v>
      </c>
      <c r="D6840" t="s">
        <v>518</v>
      </c>
      <c r="E6840">
        <v>98.352000000000004</v>
      </c>
    </row>
    <row r="6841" spans="2:5">
      <c r="B6841" s="17">
        <v>42265</v>
      </c>
      <c r="D6841" t="s">
        <v>518</v>
      </c>
      <c r="E6841">
        <v>7.218</v>
      </c>
    </row>
    <row r="6842" spans="2:5">
      <c r="B6842" s="17">
        <v>42265</v>
      </c>
      <c r="D6842" t="s">
        <v>956</v>
      </c>
      <c r="E6842">
        <v>27.200000000000003</v>
      </c>
    </row>
    <row r="6843" spans="2:5">
      <c r="B6843" s="17">
        <v>42265</v>
      </c>
      <c r="D6843" t="s">
        <v>956</v>
      </c>
      <c r="E6843">
        <v>1212.848</v>
      </c>
    </row>
    <row r="6844" spans="2:5">
      <c r="B6844" s="17">
        <v>42265</v>
      </c>
      <c r="D6844" t="s">
        <v>956</v>
      </c>
      <c r="E6844">
        <v>89.97</v>
      </c>
    </row>
    <row r="6845" spans="2:5">
      <c r="B6845" s="17">
        <v>42265</v>
      </c>
      <c r="D6845" t="s">
        <v>956</v>
      </c>
      <c r="E6845">
        <v>42.599999999999994</v>
      </c>
    </row>
    <row r="6846" spans="2:5">
      <c r="B6846" s="17">
        <v>42264</v>
      </c>
      <c r="D6846" t="s">
        <v>956</v>
      </c>
      <c r="E6846">
        <v>6.6080000000000005</v>
      </c>
    </row>
    <row r="6847" spans="2:5">
      <c r="B6847" s="17">
        <v>42264</v>
      </c>
      <c r="D6847" t="s">
        <v>1110</v>
      </c>
      <c r="E6847">
        <v>1448.8200000000002</v>
      </c>
    </row>
    <row r="6848" spans="2:5">
      <c r="B6848" s="17">
        <v>42264</v>
      </c>
      <c r="D6848" t="s">
        <v>1110</v>
      </c>
      <c r="E6848">
        <v>1038.8399999999999</v>
      </c>
    </row>
    <row r="6849" spans="2:5">
      <c r="B6849" s="17">
        <v>42264</v>
      </c>
      <c r="D6849" t="s">
        <v>1110</v>
      </c>
      <c r="E6849">
        <v>447.93</v>
      </c>
    </row>
    <row r="6850" spans="2:5">
      <c r="B6850" s="17">
        <v>42264</v>
      </c>
      <c r="D6850" t="s">
        <v>1110</v>
      </c>
      <c r="E6850">
        <v>109.764</v>
      </c>
    </row>
    <row r="6851" spans="2:5">
      <c r="B6851" s="17">
        <v>42264</v>
      </c>
      <c r="D6851" t="s">
        <v>1110</v>
      </c>
      <c r="E6851">
        <v>96.960000000000008</v>
      </c>
    </row>
    <row r="6852" spans="2:5">
      <c r="B6852" s="17">
        <v>42264</v>
      </c>
      <c r="D6852" t="s">
        <v>1110</v>
      </c>
      <c r="E6852">
        <v>117.48800000000001</v>
      </c>
    </row>
    <row r="6853" spans="2:5">
      <c r="B6853" s="17">
        <v>42264</v>
      </c>
      <c r="D6853" t="s">
        <v>1110</v>
      </c>
      <c r="E6853">
        <v>11.952000000000002</v>
      </c>
    </row>
    <row r="6854" spans="2:5">
      <c r="B6854" s="17">
        <v>42264</v>
      </c>
      <c r="D6854" t="s">
        <v>1110</v>
      </c>
      <c r="E6854">
        <v>512.49900000000002</v>
      </c>
    </row>
    <row r="6855" spans="2:5">
      <c r="B6855" s="17">
        <v>42264</v>
      </c>
      <c r="D6855" t="s">
        <v>1211</v>
      </c>
      <c r="E6855">
        <v>2621.3220000000001</v>
      </c>
    </row>
    <row r="6856" spans="2:5">
      <c r="B6856" s="17">
        <v>42264</v>
      </c>
      <c r="D6856" t="s">
        <v>1211</v>
      </c>
      <c r="E6856">
        <v>29.371999999999993</v>
      </c>
    </row>
    <row r="6857" spans="2:5">
      <c r="B6857" s="17">
        <v>42264</v>
      </c>
      <c r="D6857" t="s">
        <v>1211</v>
      </c>
      <c r="E6857">
        <v>344.70400000000001</v>
      </c>
    </row>
    <row r="6858" spans="2:5">
      <c r="B6858" s="17">
        <v>42264</v>
      </c>
      <c r="D6858" t="s">
        <v>1211</v>
      </c>
      <c r="E6858">
        <v>197.72</v>
      </c>
    </row>
    <row r="6859" spans="2:5">
      <c r="B6859" s="17">
        <v>42264</v>
      </c>
      <c r="D6859" t="s">
        <v>1211</v>
      </c>
      <c r="E6859">
        <v>35.360000000000007</v>
      </c>
    </row>
    <row r="6860" spans="2:5">
      <c r="B6860" s="17">
        <v>42264</v>
      </c>
      <c r="D6860" t="s">
        <v>1211</v>
      </c>
      <c r="E6860">
        <v>3.1680000000000001</v>
      </c>
    </row>
    <row r="6861" spans="2:5">
      <c r="B6861" s="17">
        <v>42264</v>
      </c>
      <c r="D6861" t="s">
        <v>1211</v>
      </c>
      <c r="E6861">
        <v>4.95</v>
      </c>
    </row>
    <row r="6862" spans="2:5">
      <c r="B6862" s="17">
        <v>42264</v>
      </c>
      <c r="D6862" t="s">
        <v>1455</v>
      </c>
      <c r="E6862">
        <v>13.52</v>
      </c>
    </row>
    <row r="6863" spans="2:5">
      <c r="B6863" s="17">
        <v>42264</v>
      </c>
      <c r="D6863" t="s">
        <v>1455</v>
      </c>
      <c r="E6863">
        <v>42.95</v>
      </c>
    </row>
    <row r="6864" spans="2:5">
      <c r="B6864" s="17">
        <v>42264</v>
      </c>
      <c r="D6864" t="s">
        <v>1455</v>
      </c>
      <c r="E6864">
        <v>1399.93</v>
      </c>
    </row>
    <row r="6865" spans="2:5">
      <c r="B6865" s="17">
        <v>42264</v>
      </c>
      <c r="D6865" t="s">
        <v>1455</v>
      </c>
      <c r="E6865">
        <v>503.96</v>
      </c>
    </row>
    <row r="6866" spans="2:5">
      <c r="B6866" s="17">
        <v>42264</v>
      </c>
      <c r="D6866" t="s">
        <v>1455</v>
      </c>
      <c r="E6866">
        <v>7.88</v>
      </c>
    </row>
    <row r="6867" spans="2:5">
      <c r="B6867" s="17">
        <v>42264</v>
      </c>
      <c r="D6867" t="s">
        <v>737</v>
      </c>
      <c r="E6867">
        <v>14.280000000000001</v>
      </c>
    </row>
    <row r="6868" spans="2:5">
      <c r="B6868" s="17">
        <v>42264</v>
      </c>
      <c r="D6868" t="s">
        <v>737</v>
      </c>
      <c r="E6868">
        <v>70.12</v>
      </c>
    </row>
    <row r="6869" spans="2:5">
      <c r="B6869" s="17">
        <v>42263</v>
      </c>
      <c r="D6869" t="s">
        <v>1656</v>
      </c>
      <c r="E6869">
        <v>2.78</v>
      </c>
    </row>
    <row r="6870" spans="2:5">
      <c r="B6870" s="17">
        <v>42262</v>
      </c>
      <c r="D6870" t="s">
        <v>1672</v>
      </c>
      <c r="E6870">
        <v>79.959999999999994</v>
      </c>
    </row>
    <row r="6871" spans="2:5">
      <c r="B6871" s="17">
        <v>42262</v>
      </c>
      <c r="D6871" t="s">
        <v>1672</v>
      </c>
      <c r="E6871">
        <v>9.7280000000000015</v>
      </c>
    </row>
    <row r="6872" spans="2:5">
      <c r="B6872" s="17">
        <v>42262</v>
      </c>
      <c r="D6872" t="s">
        <v>1672</v>
      </c>
      <c r="E6872">
        <v>14.75</v>
      </c>
    </row>
    <row r="6873" spans="2:5">
      <c r="B6873" s="17">
        <v>42262</v>
      </c>
      <c r="D6873" t="s">
        <v>1672</v>
      </c>
      <c r="E6873">
        <v>29.800000000000004</v>
      </c>
    </row>
    <row r="6874" spans="2:5">
      <c r="B6874" s="17">
        <v>42262</v>
      </c>
      <c r="D6874" t="s">
        <v>1672</v>
      </c>
      <c r="E6874">
        <v>427.42</v>
      </c>
    </row>
    <row r="6875" spans="2:5">
      <c r="B6875" s="17">
        <v>42262</v>
      </c>
      <c r="D6875" t="s">
        <v>1498</v>
      </c>
      <c r="E6875">
        <v>19.98</v>
      </c>
    </row>
    <row r="6876" spans="2:5">
      <c r="B6876" s="17">
        <v>42262</v>
      </c>
      <c r="D6876" t="s">
        <v>1498</v>
      </c>
      <c r="E6876">
        <v>398.35199999999998</v>
      </c>
    </row>
    <row r="6877" spans="2:5">
      <c r="B6877" s="17">
        <v>42262</v>
      </c>
      <c r="D6877" t="s">
        <v>925</v>
      </c>
      <c r="E6877">
        <v>5.04</v>
      </c>
    </row>
    <row r="6878" spans="2:5">
      <c r="B6878" s="17">
        <v>42262</v>
      </c>
      <c r="D6878" t="s">
        <v>925</v>
      </c>
      <c r="E6878">
        <v>17.450000000000003</v>
      </c>
    </row>
    <row r="6879" spans="2:5">
      <c r="B6879" s="17">
        <v>42262</v>
      </c>
      <c r="D6879" t="s">
        <v>1739</v>
      </c>
      <c r="E6879">
        <v>29.700000000000003</v>
      </c>
    </row>
    <row r="6880" spans="2:5">
      <c r="B6880" s="17">
        <v>42262</v>
      </c>
      <c r="D6880" t="s">
        <v>1124</v>
      </c>
      <c r="E6880">
        <v>1295.8400000000001</v>
      </c>
    </row>
    <row r="6881" spans="2:5">
      <c r="B6881" s="17">
        <v>42262</v>
      </c>
      <c r="D6881" t="s">
        <v>1124</v>
      </c>
      <c r="E6881">
        <v>46.84</v>
      </c>
    </row>
    <row r="6882" spans="2:5">
      <c r="B6882" s="17">
        <v>42262</v>
      </c>
      <c r="D6882" t="s">
        <v>1124</v>
      </c>
      <c r="E6882">
        <v>425.83300000000003</v>
      </c>
    </row>
    <row r="6883" spans="2:5">
      <c r="B6883" s="17">
        <v>42262</v>
      </c>
      <c r="D6883" t="s">
        <v>1124</v>
      </c>
      <c r="E6883">
        <v>59.994000000000007</v>
      </c>
    </row>
    <row r="6884" spans="2:5">
      <c r="B6884" s="17">
        <v>42261</v>
      </c>
      <c r="D6884" t="s">
        <v>719</v>
      </c>
      <c r="E6884">
        <v>439.99200000000002</v>
      </c>
    </row>
    <row r="6885" spans="2:5">
      <c r="B6885" s="17">
        <v>42261</v>
      </c>
      <c r="D6885" t="s">
        <v>719</v>
      </c>
      <c r="E6885">
        <v>87.96</v>
      </c>
    </row>
    <row r="6886" spans="2:5">
      <c r="B6886" s="17">
        <v>42261</v>
      </c>
      <c r="D6886" t="s">
        <v>719</v>
      </c>
      <c r="E6886">
        <v>15.488</v>
      </c>
    </row>
    <row r="6887" spans="2:5">
      <c r="B6887" s="17">
        <v>42261</v>
      </c>
      <c r="D6887" t="s">
        <v>719</v>
      </c>
      <c r="E6887">
        <v>182.91</v>
      </c>
    </row>
    <row r="6888" spans="2:5">
      <c r="B6888" s="17">
        <v>42261</v>
      </c>
      <c r="D6888" t="s">
        <v>719</v>
      </c>
      <c r="E6888">
        <v>1035.8</v>
      </c>
    </row>
    <row r="6889" spans="2:5">
      <c r="B6889" s="17">
        <v>42261</v>
      </c>
      <c r="D6889" t="s">
        <v>719</v>
      </c>
      <c r="E6889">
        <v>33.4</v>
      </c>
    </row>
    <row r="6890" spans="2:5">
      <c r="B6890" s="17">
        <v>42261</v>
      </c>
      <c r="D6890" t="s">
        <v>850</v>
      </c>
      <c r="E6890">
        <v>10.67</v>
      </c>
    </row>
    <row r="6891" spans="2:5">
      <c r="B6891" s="17">
        <v>42260</v>
      </c>
      <c r="D6891" t="s">
        <v>850</v>
      </c>
      <c r="E6891">
        <v>36.630000000000003</v>
      </c>
    </row>
    <row r="6892" spans="2:5">
      <c r="B6892" s="17">
        <v>42260</v>
      </c>
      <c r="D6892" t="s">
        <v>850</v>
      </c>
      <c r="E6892">
        <v>24.1</v>
      </c>
    </row>
    <row r="6893" spans="2:5">
      <c r="B6893" s="17">
        <v>42260</v>
      </c>
      <c r="D6893" t="s">
        <v>850</v>
      </c>
      <c r="E6893">
        <v>33.11</v>
      </c>
    </row>
    <row r="6894" spans="2:5">
      <c r="B6894" s="17">
        <v>42260</v>
      </c>
      <c r="D6894" t="s">
        <v>850</v>
      </c>
      <c r="E6894">
        <v>5.76</v>
      </c>
    </row>
    <row r="6895" spans="2:5">
      <c r="B6895" s="17">
        <v>42260</v>
      </c>
      <c r="D6895" t="s">
        <v>850</v>
      </c>
      <c r="E6895">
        <v>105.584</v>
      </c>
    </row>
    <row r="6896" spans="2:5">
      <c r="B6896" s="17">
        <v>42260</v>
      </c>
      <c r="D6896" t="s">
        <v>830</v>
      </c>
      <c r="E6896">
        <v>68.720000000000013</v>
      </c>
    </row>
    <row r="6897" spans="2:5">
      <c r="B6897" s="17">
        <v>42260</v>
      </c>
      <c r="D6897" t="s">
        <v>830</v>
      </c>
      <c r="E6897">
        <v>146.54400000000001</v>
      </c>
    </row>
    <row r="6898" spans="2:5">
      <c r="B6898" s="17">
        <v>42260</v>
      </c>
      <c r="D6898" t="s">
        <v>830</v>
      </c>
      <c r="E6898">
        <v>131.904</v>
      </c>
    </row>
    <row r="6899" spans="2:5">
      <c r="B6899" s="17">
        <v>42260</v>
      </c>
      <c r="D6899" t="s">
        <v>830</v>
      </c>
      <c r="E6899">
        <v>14.301000000000002</v>
      </c>
    </row>
    <row r="6900" spans="2:5">
      <c r="B6900" s="17">
        <v>42260</v>
      </c>
      <c r="D6900" t="s">
        <v>586</v>
      </c>
      <c r="E6900">
        <v>718.6400000000001</v>
      </c>
    </row>
    <row r="6901" spans="2:5">
      <c r="B6901" s="17">
        <v>42260</v>
      </c>
      <c r="D6901" t="s">
        <v>586</v>
      </c>
      <c r="E6901">
        <v>60.449999999999996</v>
      </c>
    </row>
    <row r="6902" spans="2:5">
      <c r="B6902" s="17">
        <v>42260</v>
      </c>
      <c r="D6902" t="s">
        <v>586</v>
      </c>
      <c r="E6902">
        <v>158.99</v>
      </c>
    </row>
    <row r="6903" spans="2:5">
      <c r="B6903" s="17">
        <v>42260</v>
      </c>
      <c r="D6903" t="s">
        <v>586</v>
      </c>
      <c r="E6903">
        <v>79.36</v>
      </c>
    </row>
    <row r="6904" spans="2:5">
      <c r="B6904" s="17">
        <v>42260</v>
      </c>
      <c r="D6904" t="s">
        <v>586</v>
      </c>
      <c r="E6904">
        <v>582.33600000000001</v>
      </c>
    </row>
    <row r="6905" spans="2:5">
      <c r="B6905" s="17">
        <v>42259</v>
      </c>
      <c r="D6905" t="s">
        <v>1598</v>
      </c>
      <c r="E6905">
        <v>15.552000000000003</v>
      </c>
    </row>
    <row r="6906" spans="2:5">
      <c r="B6906" s="17">
        <v>42259</v>
      </c>
      <c r="D6906" t="s">
        <v>1598</v>
      </c>
      <c r="E6906">
        <v>347.36099999999999</v>
      </c>
    </row>
    <row r="6907" spans="2:5">
      <c r="B6907" s="17">
        <v>42259</v>
      </c>
      <c r="D6907" t="s">
        <v>1598</v>
      </c>
      <c r="E6907">
        <v>10.368000000000002</v>
      </c>
    </row>
    <row r="6908" spans="2:5">
      <c r="B6908" s="17">
        <v>42259</v>
      </c>
      <c r="D6908" t="s">
        <v>1598</v>
      </c>
      <c r="E6908">
        <v>3.5919999999999992</v>
      </c>
    </row>
    <row r="6909" spans="2:5">
      <c r="B6909" s="17">
        <v>42259</v>
      </c>
      <c r="D6909" t="s">
        <v>1841</v>
      </c>
      <c r="E6909">
        <v>454.27200000000005</v>
      </c>
    </row>
    <row r="6910" spans="2:5">
      <c r="B6910" s="17">
        <v>42259</v>
      </c>
      <c r="D6910" t="s">
        <v>1841</v>
      </c>
      <c r="E6910">
        <v>148.32</v>
      </c>
    </row>
    <row r="6911" spans="2:5">
      <c r="B6911" s="17">
        <v>42259</v>
      </c>
      <c r="D6911" t="s">
        <v>135</v>
      </c>
      <c r="E6911">
        <v>191.96800000000002</v>
      </c>
    </row>
    <row r="6912" spans="2:5">
      <c r="B6912" s="17">
        <v>42259</v>
      </c>
      <c r="D6912" t="s">
        <v>1031</v>
      </c>
      <c r="E6912">
        <v>11.56</v>
      </c>
    </row>
    <row r="6913" spans="2:5">
      <c r="B6913" s="17">
        <v>42259</v>
      </c>
      <c r="D6913" t="s">
        <v>1031</v>
      </c>
      <c r="E6913">
        <v>11.8</v>
      </c>
    </row>
    <row r="6914" spans="2:5">
      <c r="B6914" s="17">
        <v>42258</v>
      </c>
      <c r="D6914" t="s">
        <v>1031</v>
      </c>
      <c r="E6914">
        <v>842.35200000000009</v>
      </c>
    </row>
    <row r="6915" spans="2:5">
      <c r="B6915" s="17">
        <v>42258</v>
      </c>
      <c r="D6915" t="s">
        <v>1031</v>
      </c>
      <c r="E6915">
        <v>55.944000000000003</v>
      </c>
    </row>
    <row r="6916" spans="2:5">
      <c r="B6916" s="17">
        <v>42258</v>
      </c>
      <c r="D6916" t="s">
        <v>1031</v>
      </c>
      <c r="E6916">
        <v>10.688000000000001</v>
      </c>
    </row>
    <row r="6917" spans="2:5">
      <c r="B6917" s="17">
        <v>42258</v>
      </c>
      <c r="D6917" t="s">
        <v>547</v>
      </c>
      <c r="E6917">
        <v>11.824</v>
      </c>
    </row>
    <row r="6918" spans="2:5">
      <c r="B6918" s="17">
        <v>42258</v>
      </c>
      <c r="D6918" t="s">
        <v>547</v>
      </c>
      <c r="E6918">
        <v>3.5920000000000005</v>
      </c>
    </row>
    <row r="6919" spans="2:5">
      <c r="B6919" s="17">
        <v>42258</v>
      </c>
      <c r="D6919" t="s">
        <v>547</v>
      </c>
      <c r="E6919">
        <v>36.288000000000011</v>
      </c>
    </row>
    <row r="6920" spans="2:5">
      <c r="B6920" s="17">
        <v>42258</v>
      </c>
      <c r="D6920" t="s">
        <v>547</v>
      </c>
      <c r="E6920">
        <v>150.38399999999999</v>
      </c>
    </row>
    <row r="6921" spans="2:5">
      <c r="B6921" s="17">
        <v>42258</v>
      </c>
      <c r="D6921" t="s">
        <v>547</v>
      </c>
      <c r="E6921">
        <v>60.736000000000004</v>
      </c>
    </row>
    <row r="6922" spans="2:5">
      <c r="B6922" s="17">
        <v>42258</v>
      </c>
      <c r="D6922" t="s">
        <v>547</v>
      </c>
      <c r="E6922">
        <v>479.97600000000006</v>
      </c>
    </row>
    <row r="6923" spans="2:5">
      <c r="B6923" s="17">
        <v>42258</v>
      </c>
      <c r="D6923" t="s">
        <v>547</v>
      </c>
      <c r="E6923">
        <v>6.0799999999999983</v>
      </c>
    </row>
    <row r="6924" spans="2:5">
      <c r="B6924" s="17">
        <v>42258</v>
      </c>
      <c r="D6924" t="s">
        <v>547</v>
      </c>
      <c r="E6924">
        <v>5.1759999999999984</v>
      </c>
    </row>
    <row r="6925" spans="2:5">
      <c r="B6925" s="17">
        <v>42258</v>
      </c>
      <c r="D6925" t="s">
        <v>547</v>
      </c>
      <c r="E6925">
        <v>9.952</v>
      </c>
    </row>
    <row r="6926" spans="2:5">
      <c r="B6926" s="17">
        <v>42258</v>
      </c>
      <c r="D6926" t="s">
        <v>1773</v>
      </c>
      <c r="E6926">
        <v>16.02</v>
      </c>
    </row>
    <row r="6927" spans="2:5">
      <c r="B6927" s="17">
        <v>42257</v>
      </c>
      <c r="D6927" t="s">
        <v>1773</v>
      </c>
      <c r="E6927">
        <v>24.56</v>
      </c>
    </row>
    <row r="6928" spans="2:5">
      <c r="B6928" s="17">
        <v>42257</v>
      </c>
      <c r="D6928" t="s">
        <v>1773</v>
      </c>
      <c r="E6928">
        <v>74.759999999999991</v>
      </c>
    </row>
    <row r="6929" spans="2:5">
      <c r="B6929" s="17">
        <v>42257</v>
      </c>
      <c r="D6929" t="s">
        <v>1773</v>
      </c>
      <c r="E6929">
        <v>364.77600000000007</v>
      </c>
    </row>
    <row r="6930" spans="2:5">
      <c r="B6930" s="17">
        <v>42257</v>
      </c>
      <c r="D6930" t="s">
        <v>1741</v>
      </c>
      <c r="E6930">
        <v>34.44</v>
      </c>
    </row>
    <row r="6931" spans="2:5">
      <c r="B6931" s="17">
        <v>42257</v>
      </c>
      <c r="D6931" t="s">
        <v>1741</v>
      </c>
      <c r="E6931">
        <v>38.28</v>
      </c>
    </row>
    <row r="6932" spans="2:5">
      <c r="B6932" s="17">
        <v>42257</v>
      </c>
      <c r="D6932" t="s">
        <v>1741</v>
      </c>
      <c r="E6932">
        <v>149.94999999999999</v>
      </c>
    </row>
    <row r="6933" spans="2:5">
      <c r="B6933" s="17">
        <v>42257</v>
      </c>
      <c r="D6933" t="s">
        <v>1741</v>
      </c>
      <c r="E6933">
        <v>1640.6999999999998</v>
      </c>
    </row>
    <row r="6934" spans="2:5">
      <c r="B6934" s="17">
        <v>42257</v>
      </c>
      <c r="D6934" t="s">
        <v>1741</v>
      </c>
      <c r="E6934">
        <v>1.7199999999999995</v>
      </c>
    </row>
    <row r="6935" spans="2:5">
      <c r="B6935" s="17">
        <v>42257</v>
      </c>
      <c r="D6935" t="s">
        <v>1305</v>
      </c>
      <c r="E6935">
        <v>27.695999999999998</v>
      </c>
    </row>
    <row r="6936" spans="2:5">
      <c r="B6936" s="17">
        <v>42255</v>
      </c>
      <c r="D6936" t="s">
        <v>1305</v>
      </c>
      <c r="E6936">
        <v>73.163999999999987</v>
      </c>
    </row>
    <row r="6937" spans="2:5">
      <c r="B6937" s="17">
        <v>42255</v>
      </c>
      <c r="D6937" t="s">
        <v>1305</v>
      </c>
      <c r="E6937">
        <v>17.940000000000001</v>
      </c>
    </row>
    <row r="6938" spans="2:5">
      <c r="B6938" s="17">
        <v>42255</v>
      </c>
      <c r="D6938" t="s">
        <v>910</v>
      </c>
      <c r="E6938">
        <v>10.11</v>
      </c>
    </row>
    <row r="6939" spans="2:5">
      <c r="B6939" s="17">
        <v>42254</v>
      </c>
      <c r="D6939" t="s">
        <v>910</v>
      </c>
      <c r="E6939">
        <v>77.88</v>
      </c>
    </row>
    <row r="6940" spans="2:5">
      <c r="B6940" s="17">
        <v>42254</v>
      </c>
      <c r="D6940" t="s">
        <v>910</v>
      </c>
      <c r="E6940">
        <v>824.97</v>
      </c>
    </row>
    <row r="6941" spans="2:5">
      <c r="B6941" s="17">
        <v>42254</v>
      </c>
      <c r="D6941" t="s">
        <v>355</v>
      </c>
      <c r="E6941">
        <v>2453.4299999999998</v>
      </c>
    </row>
    <row r="6942" spans="2:5">
      <c r="B6942" s="17">
        <v>42254</v>
      </c>
      <c r="D6942" t="s">
        <v>355</v>
      </c>
      <c r="E6942">
        <v>17.14</v>
      </c>
    </row>
    <row r="6943" spans="2:5">
      <c r="B6943" s="17">
        <v>42254</v>
      </c>
      <c r="D6943" t="s">
        <v>355</v>
      </c>
      <c r="E6943">
        <v>131.376</v>
      </c>
    </row>
    <row r="6944" spans="2:5">
      <c r="B6944" s="17">
        <v>42254</v>
      </c>
      <c r="D6944" t="s">
        <v>355</v>
      </c>
      <c r="E6944">
        <v>5.3440000000000003</v>
      </c>
    </row>
    <row r="6945" spans="2:5">
      <c r="B6945" s="17">
        <v>42254</v>
      </c>
      <c r="D6945" t="s">
        <v>1254</v>
      </c>
      <c r="E6945">
        <v>4.4640000000000004</v>
      </c>
    </row>
    <row r="6946" spans="2:5">
      <c r="B6946" s="17">
        <v>42254</v>
      </c>
      <c r="D6946" t="s">
        <v>1254</v>
      </c>
      <c r="E6946">
        <v>3.9599999999999991</v>
      </c>
    </row>
    <row r="6947" spans="2:5">
      <c r="B6947" s="17">
        <v>42254</v>
      </c>
      <c r="D6947" t="s">
        <v>1254</v>
      </c>
      <c r="E6947">
        <v>83.72</v>
      </c>
    </row>
    <row r="6948" spans="2:5">
      <c r="B6948" s="17">
        <v>42254</v>
      </c>
      <c r="D6948" t="s">
        <v>372</v>
      </c>
      <c r="E6948">
        <v>899.13600000000008</v>
      </c>
    </row>
    <row r="6949" spans="2:5">
      <c r="B6949" s="17">
        <v>42254</v>
      </c>
      <c r="D6949" t="s">
        <v>372</v>
      </c>
      <c r="E6949">
        <v>71.760000000000005</v>
      </c>
    </row>
    <row r="6950" spans="2:5">
      <c r="B6950" s="17">
        <v>42254</v>
      </c>
      <c r="D6950" t="s">
        <v>837</v>
      </c>
      <c r="E6950">
        <v>51.84</v>
      </c>
    </row>
    <row r="6951" spans="2:5">
      <c r="B6951" s="17">
        <v>42254</v>
      </c>
      <c r="D6951" t="s">
        <v>837</v>
      </c>
      <c r="E6951">
        <v>626.35200000000009</v>
      </c>
    </row>
    <row r="6952" spans="2:5">
      <c r="B6952" s="17">
        <v>42254</v>
      </c>
      <c r="D6952" t="s">
        <v>837</v>
      </c>
      <c r="E6952">
        <v>19.899999999999999</v>
      </c>
    </row>
    <row r="6953" spans="2:5">
      <c r="B6953" s="17">
        <v>42253</v>
      </c>
      <c r="D6953" t="s">
        <v>837</v>
      </c>
      <c r="E6953">
        <v>135.72</v>
      </c>
    </row>
    <row r="6954" spans="2:5">
      <c r="B6954" s="17">
        <v>42253</v>
      </c>
      <c r="D6954" t="s">
        <v>837</v>
      </c>
      <c r="E6954">
        <v>12.56</v>
      </c>
    </row>
    <row r="6955" spans="2:5">
      <c r="B6955" s="17">
        <v>42253</v>
      </c>
      <c r="D6955" t="s">
        <v>837</v>
      </c>
      <c r="E6955">
        <v>17.899999999999999</v>
      </c>
    </row>
    <row r="6956" spans="2:5">
      <c r="B6956" s="17">
        <v>42253</v>
      </c>
      <c r="D6956" t="s">
        <v>1083</v>
      </c>
      <c r="E6956">
        <v>81.96</v>
      </c>
    </row>
    <row r="6957" spans="2:5">
      <c r="B6957" s="17">
        <v>42253</v>
      </c>
      <c r="D6957" t="s">
        <v>1083</v>
      </c>
      <c r="E6957">
        <v>957.57749999999999</v>
      </c>
    </row>
    <row r="6958" spans="2:5">
      <c r="B6958" s="17">
        <v>42253</v>
      </c>
      <c r="D6958" t="s">
        <v>1083</v>
      </c>
      <c r="E6958">
        <v>22.368000000000002</v>
      </c>
    </row>
    <row r="6959" spans="2:5">
      <c r="B6959" s="17">
        <v>42253</v>
      </c>
      <c r="D6959" t="s">
        <v>1083</v>
      </c>
      <c r="E6959">
        <v>31.95</v>
      </c>
    </row>
    <row r="6960" spans="2:5">
      <c r="B6960" s="17">
        <v>42253</v>
      </c>
      <c r="D6960" t="s">
        <v>1083</v>
      </c>
      <c r="E6960">
        <v>45.36</v>
      </c>
    </row>
    <row r="6961" spans="2:5">
      <c r="B6961" s="17">
        <v>42253</v>
      </c>
      <c r="D6961" t="s">
        <v>1083</v>
      </c>
      <c r="E6961">
        <v>1801.6320000000001</v>
      </c>
    </row>
    <row r="6962" spans="2:5">
      <c r="B6962" s="17">
        <v>42253</v>
      </c>
      <c r="D6962" t="s">
        <v>1083</v>
      </c>
      <c r="E6962">
        <v>8.016</v>
      </c>
    </row>
    <row r="6963" spans="2:5">
      <c r="B6963" s="17">
        <v>42252</v>
      </c>
      <c r="D6963" t="s">
        <v>1083</v>
      </c>
      <c r="E6963">
        <v>362.13599999999997</v>
      </c>
    </row>
    <row r="6964" spans="2:5">
      <c r="B6964" s="17">
        <v>42252</v>
      </c>
      <c r="D6964" t="s">
        <v>1469</v>
      </c>
      <c r="E6964">
        <v>31.049999999999997</v>
      </c>
    </row>
    <row r="6965" spans="2:5">
      <c r="B6965" s="17">
        <v>42252</v>
      </c>
      <c r="D6965" t="s">
        <v>1666</v>
      </c>
      <c r="E6965">
        <v>30.84</v>
      </c>
    </row>
    <row r="6966" spans="2:5">
      <c r="B6966" s="17">
        <v>42252</v>
      </c>
      <c r="D6966" t="s">
        <v>1666</v>
      </c>
      <c r="E6966">
        <v>631.96</v>
      </c>
    </row>
    <row r="6967" spans="2:5">
      <c r="B6967" s="17">
        <v>42252</v>
      </c>
      <c r="D6967" t="s">
        <v>1666</v>
      </c>
      <c r="E6967">
        <v>23.92</v>
      </c>
    </row>
    <row r="6968" spans="2:5">
      <c r="B6968" s="17">
        <v>42252</v>
      </c>
      <c r="D6968" t="s">
        <v>1666</v>
      </c>
      <c r="E6968">
        <v>619.94999999999993</v>
      </c>
    </row>
    <row r="6969" spans="2:5">
      <c r="B6969" s="17">
        <v>42252</v>
      </c>
      <c r="D6969" t="s">
        <v>1320</v>
      </c>
      <c r="E6969">
        <v>29.160000000000004</v>
      </c>
    </row>
    <row r="6970" spans="2:5">
      <c r="B6970" s="17">
        <v>42252</v>
      </c>
      <c r="D6970" t="s">
        <v>1320</v>
      </c>
      <c r="E6970">
        <v>57.959999999999994</v>
      </c>
    </row>
    <row r="6971" spans="2:5">
      <c r="B6971" s="17">
        <v>42252</v>
      </c>
      <c r="D6971" t="s">
        <v>1555</v>
      </c>
      <c r="E6971">
        <v>29.402999999999999</v>
      </c>
    </row>
    <row r="6972" spans="2:5">
      <c r="B6972" s="17">
        <v>42251</v>
      </c>
      <c r="D6972" t="s">
        <v>1555</v>
      </c>
      <c r="E6972">
        <v>1.8720000000000003</v>
      </c>
    </row>
    <row r="6973" spans="2:5">
      <c r="B6973" s="17">
        <v>42251</v>
      </c>
      <c r="D6973" t="s">
        <v>1555</v>
      </c>
      <c r="E6973">
        <v>11.214000000000002</v>
      </c>
    </row>
    <row r="6974" spans="2:5">
      <c r="B6974" s="17">
        <v>42251</v>
      </c>
      <c r="D6974" t="s">
        <v>1428</v>
      </c>
      <c r="E6974">
        <v>37.375999999999998</v>
      </c>
    </row>
    <row r="6975" spans="2:5">
      <c r="B6975" s="17">
        <v>42251</v>
      </c>
      <c r="D6975" t="s">
        <v>1428</v>
      </c>
      <c r="E6975">
        <v>389.97</v>
      </c>
    </row>
    <row r="6976" spans="2:5">
      <c r="B6976" s="17">
        <v>42251</v>
      </c>
      <c r="D6976" t="s">
        <v>1428</v>
      </c>
      <c r="E6976">
        <v>145.9</v>
      </c>
    </row>
    <row r="6977" spans="2:5">
      <c r="B6977" s="17">
        <v>42251</v>
      </c>
      <c r="D6977" t="s">
        <v>1428</v>
      </c>
      <c r="E6977">
        <v>3.44</v>
      </c>
    </row>
    <row r="6978" spans="2:5">
      <c r="B6978" s="17">
        <v>42251</v>
      </c>
      <c r="D6978" t="s">
        <v>1428</v>
      </c>
      <c r="E6978">
        <v>72.78</v>
      </c>
    </row>
    <row r="6979" spans="2:5">
      <c r="B6979" s="17">
        <v>42250</v>
      </c>
      <c r="D6979" t="s">
        <v>670</v>
      </c>
      <c r="E6979">
        <v>46.2</v>
      </c>
    </row>
    <row r="6980" spans="2:5">
      <c r="B6980" s="17">
        <v>42250</v>
      </c>
      <c r="D6980" t="s">
        <v>670</v>
      </c>
      <c r="E6980">
        <v>28.84</v>
      </c>
    </row>
    <row r="6981" spans="2:5">
      <c r="B6981" s="17">
        <v>42250</v>
      </c>
      <c r="D6981" t="s">
        <v>670</v>
      </c>
      <c r="E6981">
        <v>77.55</v>
      </c>
    </row>
    <row r="6982" spans="2:5">
      <c r="B6982" s="17">
        <v>42250</v>
      </c>
      <c r="D6982" t="s">
        <v>670</v>
      </c>
      <c r="E6982">
        <v>53.040000000000006</v>
      </c>
    </row>
    <row r="6983" spans="2:5">
      <c r="B6983" s="17">
        <v>42250</v>
      </c>
      <c r="D6983" t="s">
        <v>453</v>
      </c>
      <c r="E6983">
        <v>66.294000000000011</v>
      </c>
    </row>
    <row r="6984" spans="2:5">
      <c r="B6984" s="17">
        <v>42250</v>
      </c>
      <c r="D6984" t="s">
        <v>1753</v>
      </c>
      <c r="E6984">
        <v>392.93999999999994</v>
      </c>
    </row>
    <row r="6985" spans="2:5">
      <c r="B6985" s="17">
        <v>42250</v>
      </c>
      <c r="D6985" t="s">
        <v>1567</v>
      </c>
      <c r="E6985">
        <v>26.96</v>
      </c>
    </row>
    <row r="6986" spans="2:5">
      <c r="B6986" s="17">
        <v>42250</v>
      </c>
      <c r="D6986" t="s">
        <v>1567</v>
      </c>
      <c r="E6986">
        <v>64.944000000000003</v>
      </c>
    </row>
    <row r="6987" spans="2:5">
      <c r="B6987" s="17">
        <v>42250</v>
      </c>
      <c r="D6987" t="s">
        <v>1733</v>
      </c>
      <c r="E6987">
        <v>20.736000000000004</v>
      </c>
    </row>
    <row r="6988" spans="2:5">
      <c r="B6988" s="17">
        <v>42250</v>
      </c>
      <c r="D6988" t="s">
        <v>1733</v>
      </c>
      <c r="E6988">
        <v>32.07</v>
      </c>
    </row>
    <row r="6989" spans="2:5">
      <c r="B6989" s="17">
        <v>42250</v>
      </c>
      <c r="D6989" t="s">
        <v>1733</v>
      </c>
      <c r="E6989">
        <v>24</v>
      </c>
    </row>
    <row r="6990" spans="2:5">
      <c r="B6990" s="17">
        <v>42250</v>
      </c>
      <c r="D6990" t="s">
        <v>367</v>
      </c>
      <c r="E6990">
        <v>35.49</v>
      </c>
    </row>
    <row r="6991" spans="2:5">
      <c r="B6991" s="17">
        <v>42250</v>
      </c>
      <c r="D6991" t="s">
        <v>367</v>
      </c>
      <c r="E6991">
        <v>47.984000000000002</v>
      </c>
    </row>
    <row r="6992" spans="2:5">
      <c r="B6992" s="17">
        <v>42250</v>
      </c>
      <c r="D6992" t="s">
        <v>367</v>
      </c>
      <c r="E6992">
        <v>15.008000000000003</v>
      </c>
    </row>
    <row r="6993" spans="2:5">
      <c r="B6993" s="17">
        <v>42248</v>
      </c>
      <c r="D6993" t="s">
        <v>367</v>
      </c>
      <c r="E6993">
        <v>120.666</v>
      </c>
    </row>
    <row r="6994" spans="2:5">
      <c r="B6994" s="17">
        <v>42248</v>
      </c>
      <c r="D6994" t="s">
        <v>367</v>
      </c>
      <c r="E6994">
        <v>57.504000000000005</v>
      </c>
    </row>
    <row r="6995" spans="2:5">
      <c r="B6995" s="17">
        <v>42248</v>
      </c>
      <c r="D6995" t="s">
        <v>763</v>
      </c>
      <c r="E6995">
        <v>94.85</v>
      </c>
    </row>
    <row r="6996" spans="2:5">
      <c r="B6996" s="17">
        <v>42248</v>
      </c>
      <c r="D6996" t="s">
        <v>763</v>
      </c>
      <c r="E6996">
        <v>51.12</v>
      </c>
    </row>
    <row r="6997" spans="2:5">
      <c r="B6997" s="17">
        <v>42248</v>
      </c>
      <c r="D6997" t="s">
        <v>763</v>
      </c>
      <c r="E6997">
        <v>90</v>
      </c>
    </row>
    <row r="6998" spans="2:5">
      <c r="B6998" s="17">
        <v>42248</v>
      </c>
      <c r="D6998" t="s">
        <v>763</v>
      </c>
      <c r="E6998">
        <v>7.3800000000000008</v>
      </c>
    </row>
    <row r="6999" spans="2:5">
      <c r="B6999" s="17">
        <v>42248</v>
      </c>
      <c r="D6999" t="s">
        <v>763</v>
      </c>
      <c r="E6999">
        <v>11.808</v>
      </c>
    </row>
    <row r="7000" spans="2:5">
      <c r="B7000" s="17">
        <v>42247</v>
      </c>
      <c r="D7000" t="s">
        <v>293</v>
      </c>
      <c r="E7000">
        <v>53.567999999999998</v>
      </c>
    </row>
    <row r="7001" spans="2:5">
      <c r="B7001" s="17">
        <v>42247</v>
      </c>
      <c r="D7001" t="s">
        <v>293</v>
      </c>
      <c r="E7001">
        <v>503.96000000000004</v>
      </c>
    </row>
    <row r="7002" spans="2:5">
      <c r="B7002" s="17">
        <v>42247</v>
      </c>
      <c r="D7002" t="s">
        <v>293</v>
      </c>
      <c r="E7002">
        <v>26.9</v>
      </c>
    </row>
    <row r="7003" spans="2:5">
      <c r="B7003" s="17">
        <v>42247</v>
      </c>
      <c r="D7003" t="s">
        <v>1411</v>
      </c>
      <c r="E7003">
        <v>19.440000000000001</v>
      </c>
    </row>
    <row r="7004" spans="2:5">
      <c r="B7004" s="17">
        <v>42247</v>
      </c>
      <c r="D7004" t="s">
        <v>1411</v>
      </c>
      <c r="E7004">
        <v>7.38</v>
      </c>
    </row>
    <row r="7005" spans="2:5">
      <c r="B7005" s="17">
        <v>42247</v>
      </c>
      <c r="D7005" t="s">
        <v>1411</v>
      </c>
      <c r="E7005">
        <v>10.944000000000001</v>
      </c>
    </row>
    <row r="7006" spans="2:5">
      <c r="B7006" s="17">
        <v>42247</v>
      </c>
      <c r="D7006" t="s">
        <v>1411</v>
      </c>
      <c r="E7006">
        <v>11.032</v>
      </c>
    </row>
    <row r="7007" spans="2:5">
      <c r="B7007" s="17">
        <v>42245</v>
      </c>
      <c r="D7007" t="s">
        <v>1411</v>
      </c>
      <c r="E7007">
        <v>53.040000000000006</v>
      </c>
    </row>
    <row r="7008" spans="2:5">
      <c r="B7008" s="17">
        <v>42245</v>
      </c>
      <c r="D7008" t="s">
        <v>1411</v>
      </c>
      <c r="E7008">
        <v>139.42400000000001</v>
      </c>
    </row>
    <row r="7009" spans="2:5">
      <c r="B7009" s="17">
        <v>42244</v>
      </c>
      <c r="D7009" t="s">
        <v>782</v>
      </c>
      <c r="E7009">
        <v>22.450000000000003</v>
      </c>
    </row>
    <row r="7010" spans="2:5">
      <c r="B7010" s="17">
        <v>42244</v>
      </c>
      <c r="D7010" t="s">
        <v>782</v>
      </c>
      <c r="E7010">
        <v>2.9919999999999995</v>
      </c>
    </row>
    <row r="7011" spans="2:5">
      <c r="B7011" s="17">
        <v>42244</v>
      </c>
      <c r="D7011" t="s">
        <v>782</v>
      </c>
      <c r="E7011">
        <v>108.76800000000001</v>
      </c>
    </row>
    <row r="7012" spans="2:5">
      <c r="B7012" s="17">
        <v>42244</v>
      </c>
      <c r="D7012" t="s">
        <v>782</v>
      </c>
      <c r="E7012">
        <v>572.80000000000007</v>
      </c>
    </row>
    <row r="7013" spans="2:5">
      <c r="B7013" s="17">
        <v>42244</v>
      </c>
      <c r="D7013" t="s">
        <v>782</v>
      </c>
      <c r="E7013">
        <v>43.26</v>
      </c>
    </row>
    <row r="7014" spans="2:5">
      <c r="B7014" s="17">
        <v>42244</v>
      </c>
      <c r="D7014" t="s">
        <v>782</v>
      </c>
      <c r="E7014">
        <v>43.56</v>
      </c>
    </row>
    <row r="7015" spans="2:5">
      <c r="B7015" s="17">
        <v>42244</v>
      </c>
      <c r="D7015" t="s">
        <v>782</v>
      </c>
      <c r="E7015">
        <v>12.536000000000001</v>
      </c>
    </row>
    <row r="7016" spans="2:5">
      <c r="B7016" s="17">
        <v>42244</v>
      </c>
      <c r="D7016" t="s">
        <v>431</v>
      </c>
      <c r="E7016">
        <v>1.0800000000000003</v>
      </c>
    </row>
    <row r="7017" spans="2:5">
      <c r="B7017" s="17">
        <v>42244</v>
      </c>
      <c r="D7017" t="s">
        <v>431</v>
      </c>
      <c r="E7017">
        <v>4.5120000000000005</v>
      </c>
    </row>
    <row r="7018" spans="2:5">
      <c r="B7018" s="17">
        <v>42244</v>
      </c>
      <c r="D7018" t="s">
        <v>431</v>
      </c>
      <c r="E7018">
        <v>186.14999999999998</v>
      </c>
    </row>
    <row r="7019" spans="2:5">
      <c r="B7019" s="17">
        <v>42243</v>
      </c>
      <c r="D7019" t="s">
        <v>431</v>
      </c>
      <c r="E7019">
        <v>81.792000000000002</v>
      </c>
    </row>
    <row r="7020" spans="2:5">
      <c r="B7020" s="17">
        <v>42243</v>
      </c>
      <c r="D7020" t="s">
        <v>431</v>
      </c>
      <c r="E7020">
        <v>47.19</v>
      </c>
    </row>
    <row r="7021" spans="2:5">
      <c r="B7021" s="17">
        <v>42243</v>
      </c>
      <c r="D7021" t="s">
        <v>128</v>
      </c>
      <c r="E7021">
        <v>36.783999999999999</v>
      </c>
    </row>
    <row r="7022" spans="2:5">
      <c r="B7022" s="17">
        <v>42243</v>
      </c>
      <c r="D7022" t="s">
        <v>128</v>
      </c>
      <c r="E7022">
        <v>15.079999999999998</v>
      </c>
    </row>
    <row r="7023" spans="2:5">
      <c r="B7023" s="17">
        <v>42243</v>
      </c>
      <c r="D7023" t="s">
        <v>128</v>
      </c>
      <c r="E7023">
        <v>24.288</v>
      </c>
    </row>
    <row r="7024" spans="2:5">
      <c r="B7024" s="17">
        <v>42241</v>
      </c>
      <c r="D7024" t="s">
        <v>128</v>
      </c>
      <c r="E7024">
        <v>15.51</v>
      </c>
    </row>
    <row r="7025" spans="2:5">
      <c r="B7025" s="17">
        <v>42241</v>
      </c>
      <c r="D7025" t="s">
        <v>128</v>
      </c>
      <c r="E7025">
        <v>146.82</v>
      </c>
    </row>
    <row r="7026" spans="2:5">
      <c r="B7026" s="17">
        <v>42241</v>
      </c>
      <c r="D7026" t="s">
        <v>1167</v>
      </c>
      <c r="E7026">
        <v>12.96</v>
      </c>
    </row>
    <row r="7027" spans="2:5">
      <c r="B7027" s="17">
        <v>42241</v>
      </c>
      <c r="D7027" t="s">
        <v>1167</v>
      </c>
      <c r="E7027">
        <v>25.92</v>
      </c>
    </row>
    <row r="7028" spans="2:5">
      <c r="B7028" s="17">
        <v>42241</v>
      </c>
      <c r="D7028" t="s">
        <v>1167</v>
      </c>
      <c r="E7028">
        <v>154.9</v>
      </c>
    </row>
    <row r="7029" spans="2:5">
      <c r="B7029" s="17">
        <v>42240</v>
      </c>
      <c r="D7029" t="s">
        <v>1167</v>
      </c>
      <c r="E7029">
        <v>1871.88</v>
      </c>
    </row>
    <row r="7030" spans="2:5">
      <c r="B7030" s="17">
        <v>42240</v>
      </c>
      <c r="D7030" t="s">
        <v>1167</v>
      </c>
      <c r="E7030">
        <v>99.2</v>
      </c>
    </row>
    <row r="7031" spans="2:5">
      <c r="B7031" s="17">
        <v>42240</v>
      </c>
      <c r="D7031" t="s">
        <v>1167</v>
      </c>
      <c r="E7031">
        <v>2.0799999999999996</v>
      </c>
    </row>
    <row r="7032" spans="2:5">
      <c r="B7032" s="17">
        <v>42240</v>
      </c>
      <c r="D7032" t="s">
        <v>1167</v>
      </c>
      <c r="E7032">
        <v>1114.4000000000001</v>
      </c>
    </row>
    <row r="7033" spans="2:5">
      <c r="B7033" s="17">
        <v>42240</v>
      </c>
      <c r="D7033" t="s">
        <v>1862</v>
      </c>
      <c r="E7033">
        <v>141.76</v>
      </c>
    </row>
    <row r="7034" spans="2:5">
      <c r="B7034" s="17">
        <v>42240</v>
      </c>
      <c r="D7034" t="s">
        <v>1520</v>
      </c>
      <c r="E7034">
        <v>31.104000000000006</v>
      </c>
    </row>
    <row r="7035" spans="2:5">
      <c r="B7035" s="17">
        <v>42240</v>
      </c>
      <c r="D7035" t="s">
        <v>1520</v>
      </c>
      <c r="E7035">
        <v>86.272000000000006</v>
      </c>
    </row>
    <row r="7036" spans="2:5">
      <c r="B7036" s="17">
        <v>42240</v>
      </c>
      <c r="D7036" t="s">
        <v>691</v>
      </c>
      <c r="E7036">
        <v>72.588000000000008</v>
      </c>
    </row>
    <row r="7037" spans="2:5">
      <c r="B7037" s="17">
        <v>42240</v>
      </c>
      <c r="D7037" t="s">
        <v>691</v>
      </c>
      <c r="E7037">
        <v>60.672000000000004</v>
      </c>
    </row>
    <row r="7038" spans="2:5">
      <c r="B7038" s="17">
        <v>42240</v>
      </c>
      <c r="D7038" t="s">
        <v>691</v>
      </c>
      <c r="E7038">
        <v>77.031000000000006</v>
      </c>
    </row>
    <row r="7039" spans="2:5">
      <c r="B7039" s="17">
        <v>42240</v>
      </c>
      <c r="D7039" t="s">
        <v>691</v>
      </c>
      <c r="E7039">
        <v>119.90400000000001</v>
      </c>
    </row>
    <row r="7040" spans="2:5">
      <c r="B7040" s="17">
        <v>42240</v>
      </c>
      <c r="D7040" t="s">
        <v>395</v>
      </c>
      <c r="E7040">
        <v>363.64800000000002</v>
      </c>
    </row>
    <row r="7041" spans="2:5">
      <c r="B7041" s="17">
        <v>42240</v>
      </c>
      <c r="D7041" t="s">
        <v>395</v>
      </c>
      <c r="E7041">
        <v>121.10400000000003</v>
      </c>
    </row>
    <row r="7042" spans="2:5">
      <c r="B7042" s="17">
        <v>42240</v>
      </c>
      <c r="D7042" t="s">
        <v>395</v>
      </c>
      <c r="E7042">
        <v>45.893999999999998</v>
      </c>
    </row>
    <row r="7043" spans="2:5">
      <c r="B7043" s="17">
        <v>42239</v>
      </c>
      <c r="D7043" t="s">
        <v>395</v>
      </c>
      <c r="E7043">
        <v>64.17</v>
      </c>
    </row>
    <row r="7044" spans="2:5">
      <c r="B7044" s="17">
        <v>42239</v>
      </c>
      <c r="D7044" t="s">
        <v>636</v>
      </c>
      <c r="E7044">
        <v>124.46</v>
      </c>
    </row>
    <row r="7045" spans="2:5">
      <c r="B7045" s="17">
        <v>42239</v>
      </c>
      <c r="D7045" t="s">
        <v>636</v>
      </c>
      <c r="E7045">
        <v>50</v>
      </c>
    </row>
    <row r="7046" spans="2:5">
      <c r="B7046" s="17">
        <v>42239</v>
      </c>
      <c r="D7046" t="s">
        <v>636</v>
      </c>
      <c r="E7046">
        <v>34.44</v>
      </c>
    </row>
    <row r="7047" spans="2:5">
      <c r="B7047" s="17">
        <v>42239</v>
      </c>
      <c r="D7047" t="s">
        <v>636</v>
      </c>
      <c r="E7047">
        <v>629.92999999999995</v>
      </c>
    </row>
    <row r="7048" spans="2:5">
      <c r="B7048" s="17">
        <v>42239</v>
      </c>
      <c r="D7048" t="s">
        <v>636</v>
      </c>
      <c r="E7048">
        <v>79.056000000000012</v>
      </c>
    </row>
    <row r="7049" spans="2:5">
      <c r="B7049" s="17">
        <v>42239</v>
      </c>
      <c r="D7049" t="s">
        <v>636</v>
      </c>
      <c r="E7049">
        <v>1044.6299999999999</v>
      </c>
    </row>
    <row r="7050" spans="2:5">
      <c r="B7050" s="17">
        <v>42239</v>
      </c>
      <c r="D7050" t="s">
        <v>1524</v>
      </c>
      <c r="E7050">
        <v>63.96</v>
      </c>
    </row>
    <row r="7051" spans="2:5">
      <c r="B7051" s="17">
        <v>42239</v>
      </c>
      <c r="D7051" t="s">
        <v>1524</v>
      </c>
      <c r="E7051">
        <v>14.46</v>
      </c>
    </row>
    <row r="7052" spans="2:5">
      <c r="B7052" s="17">
        <v>42239</v>
      </c>
      <c r="D7052" t="s">
        <v>1524</v>
      </c>
      <c r="E7052">
        <v>104.98</v>
      </c>
    </row>
    <row r="7053" spans="2:5">
      <c r="B7053" s="17">
        <v>42239</v>
      </c>
      <c r="D7053" t="s">
        <v>1524</v>
      </c>
      <c r="E7053">
        <v>17.48</v>
      </c>
    </row>
    <row r="7054" spans="2:5">
      <c r="B7054" s="17">
        <v>42238</v>
      </c>
      <c r="D7054" t="s">
        <v>1524</v>
      </c>
      <c r="E7054">
        <v>68.62</v>
      </c>
    </row>
    <row r="7055" spans="2:5">
      <c r="B7055" s="17">
        <v>42238</v>
      </c>
      <c r="D7055" t="s">
        <v>1524</v>
      </c>
      <c r="E7055">
        <v>899.91</v>
      </c>
    </row>
    <row r="7056" spans="2:5">
      <c r="B7056" s="17">
        <v>42237</v>
      </c>
      <c r="D7056" t="s">
        <v>1524</v>
      </c>
      <c r="E7056">
        <v>10.76</v>
      </c>
    </row>
    <row r="7057" spans="2:5">
      <c r="B7057" s="17">
        <v>42237</v>
      </c>
      <c r="D7057" t="s">
        <v>391</v>
      </c>
      <c r="E7057">
        <v>45.68</v>
      </c>
    </row>
    <row r="7058" spans="2:5">
      <c r="B7058" s="17">
        <v>42237</v>
      </c>
      <c r="D7058" t="s">
        <v>391</v>
      </c>
      <c r="E7058">
        <v>6.7</v>
      </c>
    </row>
    <row r="7059" spans="2:5">
      <c r="B7059" s="17">
        <v>42237</v>
      </c>
      <c r="D7059" t="s">
        <v>391</v>
      </c>
      <c r="E7059">
        <v>128.744</v>
      </c>
    </row>
    <row r="7060" spans="2:5">
      <c r="B7060" s="17">
        <v>42237</v>
      </c>
      <c r="D7060" t="s">
        <v>391</v>
      </c>
      <c r="E7060">
        <v>12.6</v>
      </c>
    </row>
    <row r="7061" spans="2:5">
      <c r="B7061" s="17">
        <v>42237</v>
      </c>
      <c r="D7061" t="s">
        <v>391</v>
      </c>
      <c r="E7061">
        <v>159.97999999999999</v>
      </c>
    </row>
    <row r="7062" spans="2:5">
      <c r="B7062" s="17">
        <v>42237</v>
      </c>
      <c r="D7062" t="s">
        <v>391</v>
      </c>
      <c r="E7062">
        <v>6.3360000000000012</v>
      </c>
    </row>
    <row r="7063" spans="2:5">
      <c r="B7063" s="17">
        <v>42237</v>
      </c>
      <c r="D7063" t="s">
        <v>529</v>
      </c>
      <c r="E7063">
        <v>10.48</v>
      </c>
    </row>
    <row r="7064" spans="2:5">
      <c r="B7064" s="17">
        <v>42237</v>
      </c>
      <c r="D7064" t="s">
        <v>529</v>
      </c>
      <c r="E7064">
        <v>2.4690000000000003</v>
      </c>
    </row>
    <row r="7065" spans="2:5">
      <c r="B7065" s="17">
        <v>42237</v>
      </c>
      <c r="D7065" t="s">
        <v>529</v>
      </c>
      <c r="E7065">
        <v>3.2640000000000007</v>
      </c>
    </row>
    <row r="7066" spans="2:5">
      <c r="B7066" s="17">
        <v>42237</v>
      </c>
      <c r="D7066" t="s">
        <v>529</v>
      </c>
      <c r="E7066">
        <v>102.58200000000001</v>
      </c>
    </row>
    <row r="7067" spans="2:5">
      <c r="B7067" s="17">
        <v>42237</v>
      </c>
      <c r="D7067" t="s">
        <v>1746</v>
      </c>
      <c r="E7067">
        <v>20.04</v>
      </c>
    </row>
    <row r="7068" spans="2:5">
      <c r="B7068" s="17">
        <v>42237</v>
      </c>
      <c r="D7068" t="s">
        <v>1286</v>
      </c>
      <c r="E7068">
        <v>2.9460000000000006</v>
      </c>
    </row>
    <row r="7069" spans="2:5">
      <c r="B7069" s="17">
        <v>42237</v>
      </c>
      <c r="D7069" t="s">
        <v>1286</v>
      </c>
      <c r="E7069">
        <v>6.8480000000000008</v>
      </c>
    </row>
    <row r="7070" spans="2:5">
      <c r="B7070" s="17">
        <v>42237</v>
      </c>
      <c r="D7070" t="s">
        <v>1286</v>
      </c>
      <c r="E7070">
        <v>517.5</v>
      </c>
    </row>
    <row r="7071" spans="2:5">
      <c r="B7071" s="17">
        <v>42237</v>
      </c>
      <c r="D7071" t="s">
        <v>1286</v>
      </c>
      <c r="E7071">
        <v>15.24</v>
      </c>
    </row>
    <row r="7072" spans="2:5">
      <c r="B7072" s="17">
        <v>42233</v>
      </c>
      <c r="D7072" t="s">
        <v>1286</v>
      </c>
      <c r="E7072">
        <v>1408.1</v>
      </c>
    </row>
    <row r="7073" spans="2:5">
      <c r="B7073" s="17">
        <v>42233</v>
      </c>
      <c r="D7073" t="s">
        <v>1286</v>
      </c>
      <c r="E7073">
        <v>821.94</v>
      </c>
    </row>
    <row r="7074" spans="2:5">
      <c r="B7074" s="17">
        <v>42233</v>
      </c>
      <c r="D7074" t="s">
        <v>1286</v>
      </c>
      <c r="E7074">
        <v>35.96</v>
      </c>
    </row>
    <row r="7075" spans="2:5">
      <c r="B7075" s="17">
        <v>42233</v>
      </c>
      <c r="D7075" t="s">
        <v>1286</v>
      </c>
      <c r="E7075">
        <v>14.952000000000002</v>
      </c>
    </row>
    <row r="7076" spans="2:5">
      <c r="B7076" s="17">
        <v>42233</v>
      </c>
      <c r="D7076" t="s">
        <v>1050</v>
      </c>
      <c r="E7076">
        <v>14.91</v>
      </c>
    </row>
    <row r="7077" spans="2:5">
      <c r="B7077" s="17">
        <v>42232</v>
      </c>
      <c r="D7077" t="s">
        <v>1050</v>
      </c>
      <c r="E7077">
        <v>1158.1199999999999</v>
      </c>
    </row>
    <row r="7078" spans="2:5">
      <c r="B7078" s="17">
        <v>42232</v>
      </c>
      <c r="D7078" t="s">
        <v>1050</v>
      </c>
      <c r="E7078">
        <v>35.119999999999997</v>
      </c>
    </row>
    <row r="7079" spans="2:5">
      <c r="B7079" s="17">
        <v>42232</v>
      </c>
      <c r="D7079" t="s">
        <v>1716</v>
      </c>
      <c r="E7079">
        <v>14.576000000000001</v>
      </c>
    </row>
    <row r="7080" spans="2:5">
      <c r="B7080" s="17">
        <v>42232</v>
      </c>
      <c r="D7080" t="s">
        <v>1716</v>
      </c>
      <c r="E7080">
        <v>23.200000000000003</v>
      </c>
    </row>
    <row r="7081" spans="2:5">
      <c r="B7081" s="17">
        <v>42232</v>
      </c>
      <c r="D7081" t="s">
        <v>1716</v>
      </c>
      <c r="E7081">
        <v>6.732000000000002</v>
      </c>
    </row>
    <row r="7082" spans="2:5">
      <c r="B7082" s="17">
        <v>42232</v>
      </c>
      <c r="D7082" t="s">
        <v>1716</v>
      </c>
      <c r="E7082">
        <v>33.568000000000005</v>
      </c>
    </row>
    <row r="7083" spans="2:5">
      <c r="B7083" s="17">
        <v>42232</v>
      </c>
      <c r="D7083" t="s">
        <v>1716</v>
      </c>
      <c r="E7083">
        <v>15.840000000000002</v>
      </c>
    </row>
    <row r="7084" spans="2:5">
      <c r="B7084" s="17">
        <v>42232</v>
      </c>
      <c r="D7084" t="s">
        <v>1716</v>
      </c>
      <c r="E7084">
        <v>24.424000000000003</v>
      </c>
    </row>
    <row r="7085" spans="2:5">
      <c r="B7085" s="17">
        <v>42232</v>
      </c>
      <c r="D7085" t="s">
        <v>1716</v>
      </c>
      <c r="E7085">
        <v>17.12</v>
      </c>
    </row>
    <row r="7086" spans="2:5">
      <c r="B7086" s="17">
        <v>42232</v>
      </c>
      <c r="D7086" t="s">
        <v>1716</v>
      </c>
      <c r="E7086">
        <v>39.979999999999997</v>
      </c>
    </row>
    <row r="7087" spans="2:5">
      <c r="B7087" s="17">
        <v>42232</v>
      </c>
      <c r="D7087" t="s">
        <v>178</v>
      </c>
      <c r="E7087">
        <v>32.400000000000006</v>
      </c>
    </row>
    <row r="7088" spans="2:5">
      <c r="B7088" s="17">
        <v>42232</v>
      </c>
      <c r="D7088" t="s">
        <v>178</v>
      </c>
      <c r="E7088">
        <v>47.98</v>
      </c>
    </row>
    <row r="7089" spans="2:5">
      <c r="B7089" s="17">
        <v>42232</v>
      </c>
      <c r="D7089" t="s">
        <v>178</v>
      </c>
      <c r="E7089">
        <v>12</v>
      </c>
    </row>
    <row r="7090" spans="2:5">
      <c r="B7090" s="17">
        <v>42231</v>
      </c>
      <c r="D7090" t="s">
        <v>178</v>
      </c>
      <c r="E7090">
        <v>720.06400000000008</v>
      </c>
    </row>
    <row r="7091" spans="2:5">
      <c r="B7091" s="17">
        <v>42231</v>
      </c>
      <c r="D7091" t="s">
        <v>178</v>
      </c>
      <c r="E7091">
        <v>25.424000000000003</v>
      </c>
    </row>
    <row r="7092" spans="2:5">
      <c r="B7092" s="17">
        <v>42231</v>
      </c>
      <c r="D7092" t="s">
        <v>1572</v>
      </c>
      <c r="E7092">
        <v>2.8160000000000003</v>
      </c>
    </row>
    <row r="7093" spans="2:5">
      <c r="B7093" s="17">
        <v>42229</v>
      </c>
      <c r="D7093" t="s">
        <v>1572</v>
      </c>
      <c r="E7093">
        <v>3.2040000000000002</v>
      </c>
    </row>
    <row r="7094" spans="2:5">
      <c r="B7094" s="17">
        <v>42229</v>
      </c>
      <c r="D7094" t="s">
        <v>1572</v>
      </c>
      <c r="E7094">
        <v>55.600000000000009</v>
      </c>
    </row>
    <row r="7095" spans="2:5">
      <c r="B7095" s="17">
        <v>42229</v>
      </c>
      <c r="D7095" t="s">
        <v>1572</v>
      </c>
      <c r="E7095">
        <v>617.97600000000011</v>
      </c>
    </row>
    <row r="7096" spans="2:5">
      <c r="B7096" s="17">
        <v>42229</v>
      </c>
      <c r="D7096" t="s">
        <v>1572</v>
      </c>
      <c r="E7096">
        <v>61.44</v>
      </c>
    </row>
    <row r="7097" spans="2:5">
      <c r="B7097" s="17">
        <v>42229</v>
      </c>
      <c r="D7097" t="s">
        <v>1572</v>
      </c>
      <c r="E7097">
        <v>946.34400000000005</v>
      </c>
    </row>
    <row r="7098" spans="2:5">
      <c r="B7098" s="17">
        <v>42229</v>
      </c>
      <c r="D7098" t="s">
        <v>1281</v>
      </c>
      <c r="E7098">
        <v>151.20000000000002</v>
      </c>
    </row>
    <row r="7099" spans="2:5">
      <c r="B7099" s="17">
        <v>42227</v>
      </c>
      <c r="D7099" t="s">
        <v>1281</v>
      </c>
      <c r="E7099">
        <v>4.9280000000000008</v>
      </c>
    </row>
    <row r="7100" spans="2:5">
      <c r="B7100" s="17">
        <v>42227</v>
      </c>
      <c r="D7100" t="s">
        <v>1281</v>
      </c>
      <c r="E7100">
        <v>601.53599999999994</v>
      </c>
    </row>
    <row r="7101" spans="2:5">
      <c r="B7101" s="17">
        <v>42227</v>
      </c>
      <c r="D7101" t="s">
        <v>823</v>
      </c>
      <c r="E7101">
        <v>7.9</v>
      </c>
    </row>
    <row r="7102" spans="2:5">
      <c r="B7102" s="17">
        <v>42226</v>
      </c>
      <c r="D7102" t="s">
        <v>823</v>
      </c>
      <c r="E7102">
        <v>194.32</v>
      </c>
    </row>
    <row r="7103" spans="2:5">
      <c r="B7103" s="17">
        <v>42226</v>
      </c>
      <c r="D7103" t="s">
        <v>823</v>
      </c>
      <c r="E7103">
        <v>25.99</v>
      </c>
    </row>
    <row r="7104" spans="2:5">
      <c r="B7104" s="17">
        <v>42226</v>
      </c>
      <c r="D7104" t="s">
        <v>823</v>
      </c>
      <c r="E7104">
        <v>85.3</v>
      </c>
    </row>
    <row r="7105" spans="2:5">
      <c r="B7105" s="17">
        <v>42226</v>
      </c>
      <c r="D7105" t="s">
        <v>823</v>
      </c>
      <c r="E7105">
        <v>589.9</v>
      </c>
    </row>
    <row r="7106" spans="2:5">
      <c r="B7106" s="17">
        <v>42226</v>
      </c>
      <c r="D7106" t="s">
        <v>1541</v>
      </c>
      <c r="E7106">
        <v>542.93999999999994</v>
      </c>
    </row>
    <row r="7107" spans="2:5">
      <c r="B7107" s="17">
        <v>42226</v>
      </c>
      <c r="D7107" t="s">
        <v>1541</v>
      </c>
      <c r="E7107">
        <v>1690.04</v>
      </c>
    </row>
    <row r="7108" spans="2:5">
      <c r="B7108" s="17">
        <v>42226</v>
      </c>
      <c r="D7108" t="s">
        <v>1541</v>
      </c>
      <c r="E7108">
        <v>85.96</v>
      </c>
    </row>
    <row r="7109" spans="2:5">
      <c r="B7109" s="17">
        <v>42225</v>
      </c>
      <c r="D7109" t="s">
        <v>1541</v>
      </c>
      <c r="E7109">
        <v>121.96</v>
      </c>
    </row>
    <row r="7110" spans="2:5">
      <c r="B7110" s="17">
        <v>42225</v>
      </c>
      <c r="D7110" t="s">
        <v>1541</v>
      </c>
      <c r="E7110">
        <v>23.92</v>
      </c>
    </row>
    <row r="7111" spans="2:5">
      <c r="B7111" s="17">
        <v>42225</v>
      </c>
      <c r="D7111" t="s">
        <v>1541</v>
      </c>
      <c r="E7111">
        <v>63.96</v>
      </c>
    </row>
    <row r="7112" spans="2:5">
      <c r="B7112" s="17">
        <v>42225</v>
      </c>
      <c r="D7112" t="s">
        <v>1541</v>
      </c>
      <c r="E7112">
        <v>629.94999999999993</v>
      </c>
    </row>
    <row r="7113" spans="2:5">
      <c r="B7113" s="17">
        <v>42225</v>
      </c>
      <c r="D7113" t="s">
        <v>1541</v>
      </c>
      <c r="E7113">
        <v>113.72999999999999</v>
      </c>
    </row>
    <row r="7114" spans="2:5">
      <c r="B7114" s="17">
        <v>42225</v>
      </c>
      <c r="D7114" t="s">
        <v>1418</v>
      </c>
      <c r="E7114">
        <v>14.6</v>
      </c>
    </row>
    <row r="7115" spans="2:5">
      <c r="B7115" s="17">
        <v>42225</v>
      </c>
      <c r="D7115" t="s">
        <v>1418</v>
      </c>
      <c r="E7115">
        <v>887.84</v>
      </c>
    </row>
    <row r="7116" spans="2:5">
      <c r="B7116" s="17">
        <v>42225</v>
      </c>
      <c r="D7116" t="s">
        <v>1418</v>
      </c>
      <c r="E7116">
        <v>37.68</v>
      </c>
    </row>
    <row r="7117" spans="2:5">
      <c r="B7117" s="17">
        <v>42225</v>
      </c>
      <c r="D7117" t="s">
        <v>1418</v>
      </c>
      <c r="E7117">
        <v>61.4</v>
      </c>
    </row>
    <row r="7118" spans="2:5">
      <c r="B7118" s="17">
        <v>42225</v>
      </c>
      <c r="D7118" t="s">
        <v>1418</v>
      </c>
      <c r="E7118">
        <v>24.448</v>
      </c>
    </row>
    <row r="7119" spans="2:5">
      <c r="B7119" s="17">
        <v>42225</v>
      </c>
      <c r="D7119" t="s">
        <v>1418</v>
      </c>
      <c r="E7119">
        <v>1369.7640000000001</v>
      </c>
    </row>
    <row r="7120" spans="2:5">
      <c r="B7120" s="17">
        <v>42225</v>
      </c>
      <c r="D7120" t="s">
        <v>1699</v>
      </c>
      <c r="E7120">
        <v>45.584000000000003</v>
      </c>
    </row>
    <row r="7121" spans="2:5">
      <c r="B7121" s="17">
        <v>42225</v>
      </c>
      <c r="D7121" t="s">
        <v>1699</v>
      </c>
      <c r="E7121">
        <v>2.8079999999999989</v>
      </c>
    </row>
    <row r="7122" spans="2:5">
      <c r="B7122" s="17">
        <v>42225</v>
      </c>
      <c r="D7122" t="s">
        <v>1664</v>
      </c>
      <c r="E7122">
        <v>61.96</v>
      </c>
    </row>
    <row r="7123" spans="2:5">
      <c r="B7123" s="17">
        <v>42225</v>
      </c>
      <c r="D7123" t="s">
        <v>1664</v>
      </c>
      <c r="E7123">
        <v>66.36</v>
      </c>
    </row>
    <row r="7124" spans="2:5">
      <c r="B7124" s="17">
        <v>42225</v>
      </c>
      <c r="D7124" t="s">
        <v>1664</v>
      </c>
      <c r="E7124">
        <v>22.96</v>
      </c>
    </row>
    <row r="7125" spans="2:5">
      <c r="B7125" s="17">
        <v>42225</v>
      </c>
      <c r="D7125" t="s">
        <v>1664</v>
      </c>
      <c r="E7125">
        <v>8.4</v>
      </c>
    </row>
    <row r="7126" spans="2:5">
      <c r="B7126" s="17">
        <v>42224</v>
      </c>
      <c r="D7126" t="s">
        <v>1664</v>
      </c>
      <c r="E7126">
        <v>60.84</v>
      </c>
    </row>
    <row r="7127" spans="2:5">
      <c r="B7127" s="17">
        <v>42224</v>
      </c>
      <c r="D7127" t="s">
        <v>1203</v>
      </c>
      <c r="E7127">
        <v>160.72</v>
      </c>
    </row>
    <row r="7128" spans="2:5">
      <c r="B7128" s="17">
        <v>42224</v>
      </c>
      <c r="D7128" t="s">
        <v>1203</v>
      </c>
      <c r="E7128">
        <v>19.920000000000002</v>
      </c>
    </row>
    <row r="7129" spans="2:5">
      <c r="B7129" s="17">
        <v>42224</v>
      </c>
      <c r="D7129" t="s">
        <v>1203</v>
      </c>
      <c r="E7129">
        <v>7.3</v>
      </c>
    </row>
    <row r="7130" spans="2:5">
      <c r="B7130" s="17">
        <v>42224</v>
      </c>
      <c r="D7130" t="s">
        <v>1203</v>
      </c>
      <c r="E7130">
        <v>41.96</v>
      </c>
    </row>
    <row r="7131" spans="2:5">
      <c r="B7131" s="17">
        <v>42224</v>
      </c>
      <c r="D7131" t="s">
        <v>173</v>
      </c>
      <c r="E7131">
        <v>636.86</v>
      </c>
    </row>
    <row r="7132" spans="2:5">
      <c r="B7132" s="17">
        <v>42224</v>
      </c>
      <c r="D7132" t="s">
        <v>173</v>
      </c>
      <c r="E7132">
        <v>499.99</v>
      </c>
    </row>
    <row r="7133" spans="2:5">
      <c r="B7133" s="17">
        <v>42223</v>
      </c>
      <c r="D7133" t="s">
        <v>173</v>
      </c>
      <c r="E7133">
        <v>1259.93</v>
      </c>
    </row>
    <row r="7134" spans="2:5">
      <c r="B7134" s="17">
        <v>42223</v>
      </c>
      <c r="D7134" t="s">
        <v>173</v>
      </c>
      <c r="E7134">
        <v>65.08</v>
      </c>
    </row>
    <row r="7135" spans="2:5">
      <c r="B7135" s="17">
        <v>42223</v>
      </c>
      <c r="D7135" t="s">
        <v>173</v>
      </c>
      <c r="E7135">
        <v>11.68</v>
      </c>
    </row>
    <row r="7136" spans="2:5">
      <c r="B7136" s="17">
        <v>42223</v>
      </c>
      <c r="D7136" t="s">
        <v>173</v>
      </c>
      <c r="E7136">
        <v>16.899999999999999</v>
      </c>
    </row>
    <row r="7137" spans="2:5">
      <c r="B7137" s="17">
        <v>42223</v>
      </c>
      <c r="D7137" t="s">
        <v>173</v>
      </c>
      <c r="E7137">
        <v>24.4</v>
      </c>
    </row>
    <row r="7138" spans="2:5">
      <c r="B7138" s="17">
        <v>42223</v>
      </c>
      <c r="D7138" t="s">
        <v>173</v>
      </c>
      <c r="E7138">
        <v>717.12000000000012</v>
      </c>
    </row>
    <row r="7139" spans="2:5">
      <c r="B7139" s="17">
        <v>42223</v>
      </c>
      <c r="D7139" t="s">
        <v>173</v>
      </c>
      <c r="E7139">
        <v>18.54</v>
      </c>
    </row>
    <row r="7140" spans="2:5">
      <c r="B7140" s="17">
        <v>42223</v>
      </c>
      <c r="D7140" t="s">
        <v>790</v>
      </c>
      <c r="E7140">
        <v>443.92</v>
      </c>
    </row>
    <row r="7141" spans="2:5">
      <c r="B7141" s="17">
        <v>42222</v>
      </c>
      <c r="D7141" t="s">
        <v>790</v>
      </c>
      <c r="E7141">
        <v>3083.4300000000003</v>
      </c>
    </row>
    <row r="7142" spans="2:5">
      <c r="B7142" s="17">
        <v>42222</v>
      </c>
      <c r="D7142" t="s">
        <v>790</v>
      </c>
      <c r="E7142">
        <v>9.6180000000000021</v>
      </c>
    </row>
    <row r="7143" spans="2:5">
      <c r="B7143" s="17">
        <v>42222</v>
      </c>
      <c r="D7143" t="s">
        <v>790</v>
      </c>
      <c r="E7143">
        <v>124.20000000000002</v>
      </c>
    </row>
    <row r="7144" spans="2:5">
      <c r="B7144" s="17">
        <v>42222</v>
      </c>
      <c r="D7144" t="s">
        <v>681</v>
      </c>
      <c r="E7144">
        <v>3.2640000000000002</v>
      </c>
    </row>
    <row r="7145" spans="2:5">
      <c r="B7145" s="17">
        <v>42222</v>
      </c>
      <c r="D7145" t="s">
        <v>681</v>
      </c>
      <c r="E7145">
        <v>86.304000000000002</v>
      </c>
    </row>
    <row r="7146" spans="2:5">
      <c r="B7146" s="17">
        <v>42221</v>
      </c>
      <c r="D7146" t="s">
        <v>681</v>
      </c>
      <c r="E7146">
        <v>6.8580000000000014</v>
      </c>
    </row>
    <row r="7147" spans="2:5">
      <c r="B7147" s="17">
        <v>42221</v>
      </c>
      <c r="D7147" t="s">
        <v>681</v>
      </c>
      <c r="E7147">
        <v>15.76</v>
      </c>
    </row>
    <row r="7148" spans="2:5">
      <c r="B7148" s="17">
        <v>42221</v>
      </c>
      <c r="D7148" t="s">
        <v>1243</v>
      </c>
      <c r="E7148">
        <v>32.400000000000006</v>
      </c>
    </row>
    <row r="7149" spans="2:5">
      <c r="B7149" s="17">
        <v>42221</v>
      </c>
      <c r="D7149" t="s">
        <v>1243</v>
      </c>
      <c r="E7149">
        <v>21.936000000000003</v>
      </c>
    </row>
    <row r="7150" spans="2:5">
      <c r="B7150" s="17">
        <v>42218</v>
      </c>
      <c r="D7150" t="s">
        <v>1243</v>
      </c>
      <c r="E7150">
        <v>6.5879999999999992</v>
      </c>
    </row>
    <row r="7151" spans="2:5">
      <c r="B7151" s="17">
        <v>42218</v>
      </c>
      <c r="D7151" t="s">
        <v>1243</v>
      </c>
      <c r="E7151">
        <v>344.22</v>
      </c>
    </row>
    <row r="7152" spans="2:5">
      <c r="B7152" s="17">
        <v>42218</v>
      </c>
      <c r="D7152" t="s">
        <v>1243</v>
      </c>
      <c r="E7152">
        <v>87.168000000000006</v>
      </c>
    </row>
    <row r="7153" spans="2:5">
      <c r="B7153" s="17">
        <v>42218</v>
      </c>
      <c r="D7153" t="s">
        <v>1243</v>
      </c>
      <c r="E7153">
        <v>25.031999999999996</v>
      </c>
    </row>
    <row r="7154" spans="2:5">
      <c r="B7154" s="17">
        <v>42218</v>
      </c>
      <c r="D7154" t="s">
        <v>1390</v>
      </c>
      <c r="E7154">
        <v>14.9</v>
      </c>
    </row>
    <row r="7155" spans="2:5">
      <c r="B7155" s="17">
        <v>42218</v>
      </c>
      <c r="D7155" t="s">
        <v>1390</v>
      </c>
      <c r="E7155">
        <v>87.71</v>
      </c>
    </row>
    <row r="7156" spans="2:5">
      <c r="B7156" s="17">
        <v>42218</v>
      </c>
      <c r="D7156" t="s">
        <v>1390</v>
      </c>
      <c r="E7156">
        <v>94.6</v>
      </c>
    </row>
    <row r="7157" spans="2:5">
      <c r="B7157" s="17">
        <v>42217</v>
      </c>
      <c r="D7157" t="s">
        <v>1390</v>
      </c>
      <c r="E7157">
        <v>4228.7040000000006</v>
      </c>
    </row>
    <row r="7158" spans="2:5">
      <c r="B7158" s="17">
        <v>42217</v>
      </c>
      <c r="D7158" t="s">
        <v>279</v>
      </c>
      <c r="E7158">
        <v>2003.9200000000003</v>
      </c>
    </row>
    <row r="7159" spans="2:5">
      <c r="B7159" s="17">
        <v>42216</v>
      </c>
      <c r="D7159" t="s">
        <v>279</v>
      </c>
      <c r="E7159">
        <v>659.9</v>
      </c>
    </row>
    <row r="7160" spans="2:5">
      <c r="B7160" s="17">
        <v>42216</v>
      </c>
      <c r="D7160" t="s">
        <v>279</v>
      </c>
      <c r="E7160">
        <v>110.96</v>
      </c>
    </row>
    <row r="7161" spans="2:5">
      <c r="B7161" s="17">
        <v>42216</v>
      </c>
      <c r="D7161" t="s">
        <v>279</v>
      </c>
      <c r="E7161">
        <v>67.8</v>
      </c>
    </row>
    <row r="7162" spans="2:5">
      <c r="B7162" s="17">
        <v>42216</v>
      </c>
      <c r="D7162" t="s">
        <v>279</v>
      </c>
      <c r="E7162">
        <v>31.12</v>
      </c>
    </row>
    <row r="7163" spans="2:5">
      <c r="B7163" s="17">
        <v>42216</v>
      </c>
      <c r="D7163" t="s">
        <v>279</v>
      </c>
      <c r="E7163">
        <v>15.552000000000003</v>
      </c>
    </row>
    <row r="7164" spans="2:5">
      <c r="B7164" s="17">
        <v>42215</v>
      </c>
      <c r="D7164" t="s">
        <v>279</v>
      </c>
      <c r="E7164">
        <v>15.712000000000002</v>
      </c>
    </row>
    <row r="7165" spans="2:5">
      <c r="B7165" s="17">
        <v>42215</v>
      </c>
      <c r="D7165" t="s">
        <v>279</v>
      </c>
      <c r="E7165">
        <v>24.672000000000001</v>
      </c>
    </row>
    <row r="7166" spans="2:5">
      <c r="B7166" s="17">
        <v>42215</v>
      </c>
      <c r="D7166" t="s">
        <v>279</v>
      </c>
      <c r="E7166">
        <v>55.967999999999996</v>
      </c>
    </row>
    <row r="7167" spans="2:5">
      <c r="B7167" s="17">
        <v>42215</v>
      </c>
      <c r="D7167" t="s">
        <v>1075</v>
      </c>
      <c r="E7167">
        <v>190.86</v>
      </c>
    </row>
    <row r="7168" spans="2:5">
      <c r="B7168" s="17">
        <v>42215</v>
      </c>
      <c r="D7168" t="s">
        <v>1075</v>
      </c>
      <c r="E7168">
        <v>24.32</v>
      </c>
    </row>
    <row r="7169" spans="2:5">
      <c r="B7169" s="17">
        <v>42212</v>
      </c>
      <c r="D7169" t="s">
        <v>1075</v>
      </c>
      <c r="E7169">
        <v>79.872000000000014</v>
      </c>
    </row>
    <row r="7170" spans="2:5">
      <c r="B7170" s="17">
        <v>42211</v>
      </c>
      <c r="D7170" t="s">
        <v>1075</v>
      </c>
      <c r="E7170">
        <v>46.384</v>
      </c>
    </row>
    <row r="7171" spans="2:5">
      <c r="B7171" s="17">
        <v>42211</v>
      </c>
      <c r="D7171" t="s">
        <v>1075</v>
      </c>
      <c r="E7171">
        <v>12.96</v>
      </c>
    </row>
    <row r="7172" spans="2:5">
      <c r="B7172" s="17">
        <v>42211</v>
      </c>
      <c r="D7172" t="s">
        <v>1075</v>
      </c>
      <c r="E7172">
        <v>801.96</v>
      </c>
    </row>
    <row r="7173" spans="2:5">
      <c r="B7173" s="17">
        <v>42211</v>
      </c>
      <c r="D7173" t="s">
        <v>1075</v>
      </c>
      <c r="E7173">
        <v>59.97</v>
      </c>
    </row>
    <row r="7174" spans="2:5">
      <c r="B7174" s="17">
        <v>42211</v>
      </c>
      <c r="D7174" t="s">
        <v>1791</v>
      </c>
      <c r="E7174">
        <v>1056.8599999999999</v>
      </c>
    </row>
    <row r="7175" spans="2:5">
      <c r="B7175" s="17">
        <v>42211</v>
      </c>
      <c r="D7175" t="s">
        <v>1791</v>
      </c>
      <c r="E7175">
        <v>3.5760000000000005</v>
      </c>
    </row>
    <row r="7176" spans="2:5">
      <c r="B7176" s="17">
        <v>42211</v>
      </c>
      <c r="D7176" t="s">
        <v>1791</v>
      </c>
      <c r="E7176">
        <v>147.184</v>
      </c>
    </row>
    <row r="7177" spans="2:5">
      <c r="B7177" s="17">
        <v>42210</v>
      </c>
      <c r="D7177" t="s">
        <v>364</v>
      </c>
      <c r="E7177">
        <v>912.75</v>
      </c>
    </row>
    <row r="7178" spans="2:5">
      <c r="B7178" s="17">
        <v>42210</v>
      </c>
      <c r="D7178" t="s">
        <v>364</v>
      </c>
      <c r="E7178">
        <v>170.13600000000002</v>
      </c>
    </row>
    <row r="7179" spans="2:5">
      <c r="B7179" s="17">
        <v>42210</v>
      </c>
      <c r="D7179" t="s">
        <v>364</v>
      </c>
      <c r="E7179">
        <v>991.19999999999993</v>
      </c>
    </row>
    <row r="7180" spans="2:5">
      <c r="B7180" s="17">
        <v>42210</v>
      </c>
      <c r="D7180" t="s">
        <v>364</v>
      </c>
      <c r="E7180">
        <v>879.98400000000004</v>
      </c>
    </row>
    <row r="7181" spans="2:5">
      <c r="B7181" s="17">
        <v>42210</v>
      </c>
      <c r="D7181" t="s">
        <v>364</v>
      </c>
      <c r="E7181">
        <v>12.96</v>
      </c>
    </row>
    <row r="7182" spans="2:5">
      <c r="B7182" s="17">
        <v>42210</v>
      </c>
      <c r="D7182" t="s">
        <v>364</v>
      </c>
      <c r="E7182">
        <v>25.9</v>
      </c>
    </row>
    <row r="7183" spans="2:5">
      <c r="B7183" s="17">
        <v>42210</v>
      </c>
      <c r="D7183" t="s">
        <v>1163</v>
      </c>
      <c r="E7183">
        <v>1516.2</v>
      </c>
    </row>
    <row r="7184" spans="2:5">
      <c r="B7184" s="17">
        <v>42210</v>
      </c>
      <c r="D7184" t="s">
        <v>1163</v>
      </c>
      <c r="E7184">
        <v>2.4119999999999999</v>
      </c>
    </row>
    <row r="7185" spans="2:5">
      <c r="B7185" s="17">
        <v>42209</v>
      </c>
      <c r="D7185" t="s">
        <v>1163</v>
      </c>
      <c r="E7185">
        <v>129.93</v>
      </c>
    </row>
    <row r="7186" spans="2:5">
      <c r="B7186" s="17">
        <v>42209</v>
      </c>
      <c r="D7186" t="s">
        <v>1163</v>
      </c>
      <c r="E7186">
        <v>69.930000000000007</v>
      </c>
    </row>
    <row r="7187" spans="2:5">
      <c r="B7187" s="17">
        <v>42209</v>
      </c>
      <c r="D7187" t="s">
        <v>1163</v>
      </c>
      <c r="E7187">
        <v>7.8239999999999998</v>
      </c>
    </row>
    <row r="7188" spans="2:5">
      <c r="B7188" s="17">
        <v>42209</v>
      </c>
      <c r="D7188" t="s">
        <v>926</v>
      </c>
      <c r="E7188">
        <v>170.072</v>
      </c>
    </row>
    <row r="7189" spans="2:5">
      <c r="B7189" s="17">
        <v>42208</v>
      </c>
      <c r="D7189" t="s">
        <v>926</v>
      </c>
      <c r="E7189">
        <v>13.092000000000002</v>
      </c>
    </row>
    <row r="7190" spans="2:5">
      <c r="B7190" s="17">
        <v>42208</v>
      </c>
      <c r="D7190" t="s">
        <v>926</v>
      </c>
      <c r="E7190">
        <v>131.88</v>
      </c>
    </row>
    <row r="7191" spans="2:5">
      <c r="B7191" s="17">
        <v>42208</v>
      </c>
      <c r="D7191" t="s">
        <v>926</v>
      </c>
      <c r="E7191">
        <v>25.031999999999996</v>
      </c>
    </row>
    <row r="7192" spans="2:5">
      <c r="B7192" s="17">
        <v>42205</v>
      </c>
      <c r="D7192" t="s">
        <v>926</v>
      </c>
      <c r="E7192">
        <v>717.72</v>
      </c>
    </row>
    <row r="7193" spans="2:5">
      <c r="B7193" s="17">
        <v>42205</v>
      </c>
      <c r="D7193" t="s">
        <v>926</v>
      </c>
      <c r="E7193">
        <v>44.67</v>
      </c>
    </row>
    <row r="7194" spans="2:5">
      <c r="B7194" s="17">
        <v>42205</v>
      </c>
      <c r="D7194" t="s">
        <v>895</v>
      </c>
      <c r="E7194">
        <v>479.98400000000004</v>
      </c>
    </row>
    <row r="7195" spans="2:5">
      <c r="B7195" s="17">
        <v>42205</v>
      </c>
      <c r="D7195" t="s">
        <v>895</v>
      </c>
      <c r="E7195">
        <v>12.6</v>
      </c>
    </row>
    <row r="7196" spans="2:5">
      <c r="B7196" s="17">
        <v>42205</v>
      </c>
      <c r="D7196" t="s">
        <v>895</v>
      </c>
      <c r="E7196">
        <v>9.26</v>
      </c>
    </row>
    <row r="7197" spans="2:5">
      <c r="B7197" s="17">
        <v>42205</v>
      </c>
      <c r="D7197" t="s">
        <v>895</v>
      </c>
      <c r="E7197">
        <v>105.98</v>
      </c>
    </row>
    <row r="7198" spans="2:5">
      <c r="B7198" s="17">
        <v>42205</v>
      </c>
      <c r="D7198" t="s">
        <v>895</v>
      </c>
      <c r="E7198">
        <v>1.24</v>
      </c>
    </row>
    <row r="7199" spans="2:5">
      <c r="B7199" s="17">
        <v>42205</v>
      </c>
      <c r="D7199" t="s">
        <v>1718</v>
      </c>
      <c r="E7199">
        <v>20.7</v>
      </c>
    </row>
    <row r="7200" spans="2:5">
      <c r="B7200" s="17">
        <v>42205</v>
      </c>
      <c r="D7200" t="s">
        <v>1718</v>
      </c>
      <c r="E7200">
        <v>28.900000000000002</v>
      </c>
    </row>
    <row r="7201" spans="2:5">
      <c r="B7201" s="17">
        <v>42205</v>
      </c>
      <c r="D7201" t="s">
        <v>1718</v>
      </c>
      <c r="E7201">
        <v>27.18</v>
      </c>
    </row>
    <row r="7202" spans="2:5">
      <c r="B7202" s="17">
        <v>42204</v>
      </c>
      <c r="D7202" t="s">
        <v>1235</v>
      </c>
      <c r="E7202">
        <v>21.98</v>
      </c>
    </row>
    <row r="7203" spans="2:5">
      <c r="B7203" s="17">
        <v>42203</v>
      </c>
      <c r="D7203" t="s">
        <v>1235</v>
      </c>
      <c r="E7203">
        <v>181.35</v>
      </c>
    </row>
    <row r="7204" spans="2:5">
      <c r="B7204" s="17">
        <v>42203</v>
      </c>
      <c r="D7204" t="s">
        <v>1235</v>
      </c>
      <c r="E7204">
        <v>8.64</v>
      </c>
    </row>
    <row r="7205" spans="2:5">
      <c r="B7205" s="17">
        <v>42203</v>
      </c>
      <c r="D7205" t="s">
        <v>707</v>
      </c>
      <c r="E7205">
        <v>78.8</v>
      </c>
    </row>
    <row r="7206" spans="2:5">
      <c r="B7206" s="17">
        <v>42203</v>
      </c>
      <c r="D7206" t="s">
        <v>707</v>
      </c>
      <c r="E7206">
        <v>19.989999999999998</v>
      </c>
    </row>
    <row r="7207" spans="2:5">
      <c r="B7207" s="17">
        <v>42203</v>
      </c>
      <c r="D7207" t="s">
        <v>707</v>
      </c>
      <c r="E7207">
        <v>772.68</v>
      </c>
    </row>
    <row r="7208" spans="2:5">
      <c r="B7208" s="17">
        <v>42202</v>
      </c>
      <c r="D7208" t="s">
        <v>707</v>
      </c>
      <c r="E7208">
        <v>24.64</v>
      </c>
    </row>
    <row r="7209" spans="2:5">
      <c r="B7209" s="17">
        <v>42202</v>
      </c>
      <c r="D7209" t="s">
        <v>770</v>
      </c>
      <c r="E7209">
        <v>31.049999999999997</v>
      </c>
    </row>
    <row r="7210" spans="2:5">
      <c r="B7210" s="17">
        <v>42202</v>
      </c>
      <c r="D7210" t="s">
        <v>770</v>
      </c>
      <c r="E7210">
        <v>8.92</v>
      </c>
    </row>
    <row r="7211" spans="2:5">
      <c r="B7211" s="17">
        <v>42202</v>
      </c>
      <c r="D7211" t="s">
        <v>770</v>
      </c>
      <c r="E7211">
        <v>111.04</v>
      </c>
    </row>
    <row r="7212" spans="2:5">
      <c r="B7212" s="17">
        <v>42201</v>
      </c>
      <c r="D7212" t="s">
        <v>770</v>
      </c>
      <c r="E7212">
        <v>38.880000000000003</v>
      </c>
    </row>
    <row r="7213" spans="2:5">
      <c r="B7213" s="17">
        <v>42201</v>
      </c>
      <c r="D7213" t="s">
        <v>1866</v>
      </c>
      <c r="E7213">
        <v>51.52</v>
      </c>
    </row>
    <row r="7214" spans="2:5">
      <c r="B7214" s="17">
        <v>42201</v>
      </c>
      <c r="D7214" t="s">
        <v>709</v>
      </c>
      <c r="E7214">
        <v>14.940000000000001</v>
      </c>
    </row>
    <row r="7215" spans="2:5">
      <c r="B7215" s="17">
        <v>42201</v>
      </c>
      <c r="D7215" t="s">
        <v>709</v>
      </c>
      <c r="E7215">
        <v>61.96</v>
      </c>
    </row>
    <row r="7216" spans="2:5">
      <c r="B7216" s="17">
        <v>42201</v>
      </c>
      <c r="D7216" t="s">
        <v>709</v>
      </c>
      <c r="E7216">
        <v>361.96</v>
      </c>
    </row>
    <row r="7217" spans="2:5">
      <c r="B7217" s="17">
        <v>42201</v>
      </c>
      <c r="D7217" t="s">
        <v>709</v>
      </c>
      <c r="E7217">
        <v>353.88</v>
      </c>
    </row>
    <row r="7218" spans="2:5">
      <c r="B7218" s="17">
        <v>42201</v>
      </c>
      <c r="D7218" t="s">
        <v>709</v>
      </c>
      <c r="E7218">
        <v>6.08</v>
      </c>
    </row>
    <row r="7219" spans="2:5">
      <c r="B7219" s="17">
        <v>42199</v>
      </c>
      <c r="D7219" t="s">
        <v>709</v>
      </c>
      <c r="E7219">
        <v>106.68</v>
      </c>
    </row>
    <row r="7220" spans="2:5">
      <c r="B7220" s="17">
        <v>42199</v>
      </c>
      <c r="D7220" t="s">
        <v>124</v>
      </c>
      <c r="E7220">
        <v>179.886</v>
      </c>
    </row>
    <row r="7221" spans="2:5">
      <c r="B7221" s="17">
        <v>42199</v>
      </c>
      <c r="D7221" t="s">
        <v>124</v>
      </c>
      <c r="E7221">
        <v>26.400000000000002</v>
      </c>
    </row>
    <row r="7222" spans="2:5">
      <c r="B7222" s="17">
        <v>42199</v>
      </c>
      <c r="D7222" t="s">
        <v>124</v>
      </c>
      <c r="E7222">
        <v>41.88</v>
      </c>
    </row>
    <row r="7223" spans="2:5">
      <c r="B7223" s="17">
        <v>42198</v>
      </c>
      <c r="D7223" t="s">
        <v>124</v>
      </c>
      <c r="E7223">
        <v>21.36</v>
      </c>
    </row>
    <row r="7224" spans="2:5">
      <c r="B7224" s="17">
        <v>42198</v>
      </c>
      <c r="D7224" t="s">
        <v>124</v>
      </c>
      <c r="E7224">
        <v>671.93</v>
      </c>
    </row>
    <row r="7225" spans="2:5">
      <c r="B7225" s="17">
        <v>42198</v>
      </c>
      <c r="D7225" t="s">
        <v>124</v>
      </c>
      <c r="E7225">
        <v>47.515999999999991</v>
      </c>
    </row>
    <row r="7226" spans="2:5">
      <c r="B7226" s="17">
        <v>42198</v>
      </c>
      <c r="D7226" t="s">
        <v>124</v>
      </c>
      <c r="E7226">
        <v>13.96</v>
      </c>
    </row>
    <row r="7227" spans="2:5">
      <c r="B7227" s="17">
        <v>42198</v>
      </c>
      <c r="D7227" t="s">
        <v>124</v>
      </c>
      <c r="E7227">
        <v>27.414000000000001</v>
      </c>
    </row>
    <row r="7228" spans="2:5">
      <c r="B7228" s="17">
        <v>42197</v>
      </c>
      <c r="D7228" t="s">
        <v>124</v>
      </c>
      <c r="E7228">
        <v>9.5220000000000002</v>
      </c>
    </row>
    <row r="7229" spans="2:5">
      <c r="B7229" s="17">
        <v>42197</v>
      </c>
      <c r="D7229" t="s">
        <v>124</v>
      </c>
      <c r="E7229">
        <v>791.96399999999994</v>
      </c>
    </row>
    <row r="7230" spans="2:5">
      <c r="B7230" s="17">
        <v>42197</v>
      </c>
      <c r="D7230" t="s">
        <v>124</v>
      </c>
      <c r="E7230">
        <v>4.9230000000000009</v>
      </c>
    </row>
    <row r="7231" spans="2:5">
      <c r="B7231" s="17">
        <v>42197</v>
      </c>
      <c r="D7231" t="s">
        <v>1688</v>
      </c>
      <c r="E7231">
        <v>140.73599999999999</v>
      </c>
    </row>
    <row r="7232" spans="2:5">
      <c r="B7232" s="17">
        <v>42197</v>
      </c>
      <c r="D7232" t="s">
        <v>1688</v>
      </c>
      <c r="E7232">
        <v>559.92999999999995</v>
      </c>
    </row>
    <row r="7233" spans="2:5">
      <c r="B7233" s="17">
        <v>42197</v>
      </c>
      <c r="D7233" t="s">
        <v>1688</v>
      </c>
      <c r="E7233">
        <v>70.260000000000005</v>
      </c>
    </row>
    <row r="7234" spans="2:5">
      <c r="B7234" s="17">
        <v>42197</v>
      </c>
      <c r="D7234" t="s">
        <v>1688</v>
      </c>
      <c r="E7234">
        <v>90</v>
      </c>
    </row>
    <row r="7235" spans="2:5">
      <c r="B7235" s="17">
        <v>42197</v>
      </c>
      <c r="D7235" t="s">
        <v>1688</v>
      </c>
      <c r="E7235">
        <v>6.0960000000000001</v>
      </c>
    </row>
    <row r="7236" spans="2:5">
      <c r="B7236" s="17">
        <v>42196</v>
      </c>
      <c r="D7236" t="s">
        <v>1116</v>
      </c>
      <c r="E7236">
        <v>481.17599999999999</v>
      </c>
    </row>
    <row r="7237" spans="2:5">
      <c r="B7237" s="17">
        <v>42196</v>
      </c>
      <c r="D7237" t="s">
        <v>1116</v>
      </c>
      <c r="E7237">
        <v>7.24</v>
      </c>
    </row>
    <row r="7238" spans="2:5">
      <c r="B7238" s="17">
        <v>42196</v>
      </c>
      <c r="D7238" t="s">
        <v>1116</v>
      </c>
      <c r="E7238">
        <v>6.0960000000000001</v>
      </c>
    </row>
    <row r="7239" spans="2:5">
      <c r="B7239" s="17">
        <v>42196</v>
      </c>
      <c r="D7239" t="s">
        <v>1116</v>
      </c>
      <c r="E7239">
        <v>191.82</v>
      </c>
    </row>
    <row r="7240" spans="2:5">
      <c r="B7240" s="17">
        <v>42196</v>
      </c>
      <c r="D7240" t="s">
        <v>469</v>
      </c>
      <c r="E7240">
        <v>46.32</v>
      </c>
    </row>
    <row r="7241" spans="2:5">
      <c r="B7241" s="17">
        <v>42196</v>
      </c>
      <c r="D7241" t="s">
        <v>469</v>
      </c>
      <c r="E7241">
        <v>7.2400000000000011</v>
      </c>
    </row>
    <row r="7242" spans="2:5">
      <c r="B7242" s="17">
        <v>42196</v>
      </c>
      <c r="D7242" t="s">
        <v>469</v>
      </c>
      <c r="E7242">
        <v>3.4440000000000008</v>
      </c>
    </row>
    <row r="7243" spans="2:5">
      <c r="B7243" s="17">
        <v>42196</v>
      </c>
      <c r="D7243" t="s">
        <v>469</v>
      </c>
      <c r="E7243">
        <v>8.39</v>
      </c>
    </row>
    <row r="7244" spans="2:5">
      <c r="B7244" s="17">
        <v>42196</v>
      </c>
      <c r="D7244" t="s">
        <v>1027</v>
      </c>
      <c r="E7244">
        <v>46.62</v>
      </c>
    </row>
    <row r="7245" spans="2:5">
      <c r="B7245" s="17">
        <v>42196</v>
      </c>
      <c r="D7245" t="s">
        <v>1027</v>
      </c>
      <c r="E7245">
        <v>85.98</v>
      </c>
    </row>
    <row r="7246" spans="2:5">
      <c r="B7246" s="17">
        <v>42196</v>
      </c>
      <c r="D7246" t="s">
        <v>1027</v>
      </c>
      <c r="E7246">
        <v>411.33199999999999</v>
      </c>
    </row>
    <row r="7247" spans="2:5">
      <c r="B7247" s="17">
        <v>42195</v>
      </c>
      <c r="D7247" t="s">
        <v>1027</v>
      </c>
      <c r="E7247">
        <v>28.752000000000002</v>
      </c>
    </row>
    <row r="7248" spans="2:5">
      <c r="B7248" s="17">
        <v>42195</v>
      </c>
      <c r="D7248" t="s">
        <v>1805</v>
      </c>
      <c r="E7248">
        <v>69.12</v>
      </c>
    </row>
    <row r="7249" spans="2:5">
      <c r="B7249" s="17">
        <v>42194</v>
      </c>
      <c r="D7249" t="s">
        <v>1805</v>
      </c>
      <c r="E7249">
        <v>4.4699999999999989</v>
      </c>
    </row>
    <row r="7250" spans="2:5">
      <c r="B7250" s="17">
        <v>42194</v>
      </c>
      <c r="D7250" t="s">
        <v>1805</v>
      </c>
      <c r="E7250">
        <v>6.16</v>
      </c>
    </row>
    <row r="7251" spans="2:5">
      <c r="B7251" s="17">
        <v>42194</v>
      </c>
      <c r="D7251" t="s">
        <v>1041</v>
      </c>
      <c r="E7251">
        <v>36.839999999999996</v>
      </c>
    </row>
    <row r="7252" spans="2:5">
      <c r="B7252" s="17">
        <v>42194</v>
      </c>
      <c r="D7252" t="s">
        <v>1041</v>
      </c>
      <c r="E7252">
        <v>67.959999999999994</v>
      </c>
    </row>
    <row r="7253" spans="2:5">
      <c r="B7253" s="17">
        <v>42194</v>
      </c>
      <c r="D7253" t="s">
        <v>1041</v>
      </c>
      <c r="E7253">
        <v>619.94999999999993</v>
      </c>
    </row>
    <row r="7254" spans="2:5">
      <c r="B7254" s="17">
        <v>42194</v>
      </c>
      <c r="D7254" t="s">
        <v>1041</v>
      </c>
      <c r="E7254">
        <v>4.3600000000000003</v>
      </c>
    </row>
    <row r="7255" spans="2:5">
      <c r="B7255" s="17">
        <v>42194</v>
      </c>
      <c r="D7255" t="s">
        <v>1337</v>
      </c>
      <c r="E7255">
        <v>15.28</v>
      </c>
    </row>
    <row r="7256" spans="2:5">
      <c r="B7256" s="17">
        <v>42194</v>
      </c>
      <c r="D7256" t="s">
        <v>1337</v>
      </c>
      <c r="E7256">
        <v>9.7620000000000005</v>
      </c>
    </row>
    <row r="7257" spans="2:5">
      <c r="B7257" s="17">
        <v>42194</v>
      </c>
      <c r="D7257" t="s">
        <v>1337</v>
      </c>
      <c r="E7257">
        <v>134.376</v>
      </c>
    </row>
    <row r="7258" spans="2:5">
      <c r="B7258" s="17">
        <v>42194</v>
      </c>
      <c r="D7258" t="s">
        <v>1337</v>
      </c>
      <c r="E7258">
        <v>7.6560000000000006</v>
      </c>
    </row>
    <row r="7259" spans="2:5">
      <c r="B7259" s="17">
        <v>42194</v>
      </c>
      <c r="D7259" t="s">
        <v>1337</v>
      </c>
      <c r="E7259">
        <v>36.336000000000006</v>
      </c>
    </row>
    <row r="7260" spans="2:5">
      <c r="B7260" s="17">
        <v>42194</v>
      </c>
      <c r="D7260" t="s">
        <v>1337</v>
      </c>
      <c r="E7260">
        <v>666.24800000000005</v>
      </c>
    </row>
    <row r="7261" spans="2:5">
      <c r="B7261" s="17">
        <v>42194</v>
      </c>
      <c r="D7261" t="s">
        <v>1337</v>
      </c>
      <c r="E7261">
        <v>52.512</v>
      </c>
    </row>
    <row r="7262" spans="2:5">
      <c r="B7262" s="17">
        <v>42194</v>
      </c>
      <c r="D7262" t="s">
        <v>1638</v>
      </c>
      <c r="E7262">
        <v>31.44</v>
      </c>
    </row>
    <row r="7263" spans="2:5">
      <c r="B7263" s="17">
        <v>42193</v>
      </c>
      <c r="D7263" t="s">
        <v>1638</v>
      </c>
      <c r="E7263">
        <v>17.899999999999999</v>
      </c>
    </row>
    <row r="7264" spans="2:5">
      <c r="B7264" s="17">
        <v>42191</v>
      </c>
      <c r="D7264" t="s">
        <v>1638</v>
      </c>
      <c r="E7264">
        <v>129.44999999999999</v>
      </c>
    </row>
    <row r="7265" spans="2:5">
      <c r="B7265" s="17">
        <v>42191</v>
      </c>
      <c r="D7265" t="s">
        <v>1638</v>
      </c>
      <c r="E7265">
        <v>137.62</v>
      </c>
    </row>
    <row r="7266" spans="2:5">
      <c r="B7266" s="17">
        <v>42191</v>
      </c>
      <c r="D7266" t="s">
        <v>1638</v>
      </c>
      <c r="E7266">
        <v>100.49</v>
      </c>
    </row>
    <row r="7267" spans="2:5">
      <c r="B7267" s="17">
        <v>42191</v>
      </c>
      <c r="D7267" t="s">
        <v>1638</v>
      </c>
      <c r="E7267">
        <v>120.33</v>
      </c>
    </row>
    <row r="7268" spans="2:5">
      <c r="B7268" s="17">
        <v>42191</v>
      </c>
      <c r="D7268" t="s">
        <v>1708</v>
      </c>
      <c r="E7268">
        <v>129.56800000000001</v>
      </c>
    </row>
    <row r="7269" spans="2:5">
      <c r="B7269" s="17">
        <v>42191</v>
      </c>
      <c r="D7269" t="s">
        <v>1708</v>
      </c>
      <c r="E7269">
        <v>6.3680000000000003</v>
      </c>
    </row>
    <row r="7270" spans="2:5">
      <c r="B7270" s="17">
        <v>42191</v>
      </c>
      <c r="D7270" t="s">
        <v>1225</v>
      </c>
      <c r="E7270">
        <v>7.5</v>
      </c>
    </row>
    <row r="7271" spans="2:5">
      <c r="B7271" s="17">
        <v>42190</v>
      </c>
      <c r="D7271" t="s">
        <v>352</v>
      </c>
      <c r="E7271">
        <v>4.7520000000000007</v>
      </c>
    </row>
    <row r="7272" spans="2:5">
      <c r="B7272" s="17">
        <v>42190</v>
      </c>
      <c r="D7272" t="s">
        <v>352</v>
      </c>
      <c r="E7272">
        <v>959.98400000000004</v>
      </c>
    </row>
    <row r="7273" spans="2:5">
      <c r="B7273" s="17">
        <v>42190</v>
      </c>
      <c r="D7273" t="s">
        <v>352</v>
      </c>
      <c r="E7273">
        <v>14.368000000000002</v>
      </c>
    </row>
    <row r="7274" spans="2:5">
      <c r="B7274" s="17">
        <v>42190</v>
      </c>
      <c r="D7274" t="s">
        <v>352</v>
      </c>
      <c r="E7274">
        <v>114.60000000000001</v>
      </c>
    </row>
    <row r="7275" spans="2:5">
      <c r="B7275" s="17">
        <v>42190</v>
      </c>
      <c r="D7275" t="s">
        <v>492</v>
      </c>
      <c r="E7275">
        <v>60.74</v>
      </c>
    </row>
    <row r="7276" spans="2:5">
      <c r="B7276" s="17">
        <v>42190</v>
      </c>
      <c r="D7276" t="s">
        <v>492</v>
      </c>
      <c r="E7276">
        <v>124.36</v>
      </c>
    </row>
    <row r="7277" spans="2:5">
      <c r="B7277" s="17">
        <v>42190</v>
      </c>
      <c r="D7277" t="s">
        <v>492</v>
      </c>
      <c r="E7277">
        <v>1088.76</v>
      </c>
    </row>
    <row r="7278" spans="2:5">
      <c r="B7278" s="17">
        <v>42189</v>
      </c>
      <c r="D7278" t="s">
        <v>492</v>
      </c>
      <c r="E7278">
        <v>58.320000000000007</v>
      </c>
    </row>
    <row r="7279" spans="2:5">
      <c r="B7279" s="17">
        <v>42189</v>
      </c>
      <c r="D7279" t="s">
        <v>492</v>
      </c>
      <c r="E7279">
        <v>1552.8309999999999</v>
      </c>
    </row>
    <row r="7280" spans="2:5">
      <c r="B7280" s="17">
        <v>42189</v>
      </c>
      <c r="D7280" t="s">
        <v>492</v>
      </c>
      <c r="E7280">
        <v>137.24</v>
      </c>
    </row>
    <row r="7281" spans="2:5">
      <c r="B7281" s="17">
        <v>42188</v>
      </c>
      <c r="D7281" t="s">
        <v>492</v>
      </c>
      <c r="E7281">
        <v>36.51</v>
      </c>
    </row>
    <row r="7282" spans="2:5">
      <c r="B7282" s="17">
        <v>42188</v>
      </c>
      <c r="D7282" t="s">
        <v>394</v>
      </c>
      <c r="E7282">
        <v>20.96</v>
      </c>
    </row>
    <row r="7283" spans="2:5">
      <c r="B7283" s="17">
        <v>42188</v>
      </c>
      <c r="D7283" t="s">
        <v>394</v>
      </c>
      <c r="E7283">
        <v>555.96</v>
      </c>
    </row>
    <row r="7284" spans="2:5">
      <c r="B7284" s="17">
        <v>42188</v>
      </c>
      <c r="D7284" t="s">
        <v>394</v>
      </c>
      <c r="E7284">
        <v>131.97999999999999</v>
      </c>
    </row>
    <row r="7285" spans="2:5">
      <c r="B7285" s="17">
        <v>42188</v>
      </c>
      <c r="D7285" t="s">
        <v>394</v>
      </c>
      <c r="E7285">
        <v>114.52</v>
      </c>
    </row>
    <row r="7286" spans="2:5">
      <c r="B7286" s="17">
        <v>42187</v>
      </c>
      <c r="D7286" t="s">
        <v>394</v>
      </c>
      <c r="E7286">
        <v>2799.9600000000005</v>
      </c>
    </row>
    <row r="7287" spans="2:5">
      <c r="B7287" s="17">
        <v>42187</v>
      </c>
      <c r="D7287" t="s">
        <v>394</v>
      </c>
      <c r="E7287">
        <v>892.35</v>
      </c>
    </row>
    <row r="7288" spans="2:5">
      <c r="B7288" s="17">
        <v>42187</v>
      </c>
      <c r="D7288" t="s">
        <v>394</v>
      </c>
      <c r="E7288">
        <v>728.82</v>
      </c>
    </row>
    <row r="7289" spans="2:5">
      <c r="B7289" s="17">
        <v>42187</v>
      </c>
      <c r="D7289" t="s">
        <v>394</v>
      </c>
      <c r="E7289">
        <v>41.36</v>
      </c>
    </row>
    <row r="7290" spans="2:5">
      <c r="B7290" s="17">
        <v>42187</v>
      </c>
      <c r="D7290" t="s">
        <v>394</v>
      </c>
      <c r="E7290">
        <v>43.176000000000002</v>
      </c>
    </row>
    <row r="7291" spans="2:5">
      <c r="B7291" s="17">
        <v>42187</v>
      </c>
      <c r="D7291" t="s">
        <v>821</v>
      </c>
      <c r="E7291">
        <v>4.16</v>
      </c>
    </row>
    <row r="7292" spans="2:5">
      <c r="B7292" s="17">
        <v>42187</v>
      </c>
      <c r="D7292" t="s">
        <v>821</v>
      </c>
      <c r="E7292">
        <v>1099.96</v>
      </c>
    </row>
    <row r="7293" spans="2:5">
      <c r="B7293" s="17">
        <v>42187</v>
      </c>
      <c r="D7293" t="s">
        <v>821</v>
      </c>
      <c r="E7293">
        <v>103.48100000000001</v>
      </c>
    </row>
    <row r="7294" spans="2:5">
      <c r="B7294" s="17">
        <v>42187</v>
      </c>
      <c r="D7294" t="s">
        <v>821</v>
      </c>
      <c r="E7294">
        <v>470.35999999999996</v>
      </c>
    </row>
    <row r="7295" spans="2:5">
      <c r="B7295" s="17">
        <v>42187</v>
      </c>
      <c r="D7295" t="s">
        <v>821</v>
      </c>
      <c r="E7295">
        <v>484.65000000000003</v>
      </c>
    </row>
    <row r="7296" spans="2:5">
      <c r="B7296" s="17">
        <v>42187</v>
      </c>
      <c r="D7296" t="s">
        <v>821</v>
      </c>
      <c r="E7296">
        <v>32.94</v>
      </c>
    </row>
    <row r="7297" spans="2:5">
      <c r="B7297" s="17">
        <v>42187</v>
      </c>
      <c r="D7297" t="s">
        <v>821</v>
      </c>
      <c r="E7297">
        <v>114.2</v>
      </c>
    </row>
    <row r="7298" spans="2:5">
      <c r="B7298" s="17">
        <v>42187</v>
      </c>
      <c r="D7298" t="s">
        <v>821</v>
      </c>
      <c r="E7298">
        <v>3.08</v>
      </c>
    </row>
    <row r="7299" spans="2:5">
      <c r="B7299" s="17">
        <v>42184</v>
      </c>
      <c r="D7299" t="s">
        <v>494</v>
      </c>
      <c r="E7299">
        <v>5.1040000000000001</v>
      </c>
    </row>
    <row r="7300" spans="2:5">
      <c r="B7300" s="17">
        <v>42184</v>
      </c>
      <c r="D7300" t="s">
        <v>494</v>
      </c>
      <c r="E7300">
        <v>40.783999999999999</v>
      </c>
    </row>
    <row r="7301" spans="2:5">
      <c r="B7301" s="17">
        <v>42184</v>
      </c>
      <c r="D7301" t="s">
        <v>494</v>
      </c>
      <c r="E7301">
        <v>105.96</v>
      </c>
    </row>
    <row r="7302" spans="2:5">
      <c r="B7302" s="17">
        <v>42184</v>
      </c>
      <c r="D7302" t="s">
        <v>494</v>
      </c>
      <c r="E7302">
        <v>20.103999999999999</v>
      </c>
    </row>
    <row r="7303" spans="2:5">
      <c r="B7303" s="17">
        <v>42183</v>
      </c>
      <c r="D7303" t="s">
        <v>494</v>
      </c>
      <c r="E7303">
        <v>3.7979999999999987</v>
      </c>
    </row>
    <row r="7304" spans="2:5">
      <c r="B7304" s="17">
        <v>42183</v>
      </c>
      <c r="D7304" t="s">
        <v>420</v>
      </c>
      <c r="E7304">
        <v>7.8800000000000008</v>
      </c>
    </row>
    <row r="7305" spans="2:5">
      <c r="B7305" s="17">
        <v>42183</v>
      </c>
      <c r="D7305" t="s">
        <v>420</v>
      </c>
      <c r="E7305">
        <v>999.43200000000002</v>
      </c>
    </row>
    <row r="7306" spans="2:5">
      <c r="B7306" s="17">
        <v>42183</v>
      </c>
      <c r="D7306" t="s">
        <v>420</v>
      </c>
      <c r="E7306">
        <v>724.08</v>
      </c>
    </row>
    <row r="7307" spans="2:5">
      <c r="B7307" s="17">
        <v>42183</v>
      </c>
      <c r="D7307" t="s">
        <v>420</v>
      </c>
      <c r="E7307">
        <v>918.78499999999985</v>
      </c>
    </row>
    <row r="7308" spans="2:5">
      <c r="B7308" s="17">
        <v>42183</v>
      </c>
      <c r="D7308" t="s">
        <v>420</v>
      </c>
      <c r="E7308">
        <v>2.7239999999999993</v>
      </c>
    </row>
    <row r="7309" spans="2:5">
      <c r="B7309" s="17">
        <v>42181</v>
      </c>
      <c r="D7309" t="s">
        <v>420</v>
      </c>
      <c r="E7309">
        <v>26</v>
      </c>
    </row>
    <row r="7310" spans="2:5">
      <c r="B7310" s="17">
        <v>42181</v>
      </c>
      <c r="D7310" t="s">
        <v>420</v>
      </c>
      <c r="E7310">
        <v>3080</v>
      </c>
    </row>
    <row r="7311" spans="2:5">
      <c r="B7311" s="17">
        <v>42181</v>
      </c>
      <c r="D7311" t="s">
        <v>1129</v>
      </c>
      <c r="E7311">
        <v>79.959999999999994</v>
      </c>
    </row>
    <row r="7312" spans="2:5">
      <c r="B7312" s="17">
        <v>42181</v>
      </c>
      <c r="D7312" t="s">
        <v>1129</v>
      </c>
      <c r="E7312">
        <v>587.97</v>
      </c>
    </row>
    <row r="7313" spans="2:5">
      <c r="B7313" s="17">
        <v>42181</v>
      </c>
      <c r="D7313" t="s">
        <v>1129</v>
      </c>
      <c r="E7313">
        <v>14.91</v>
      </c>
    </row>
    <row r="7314" spans="2:5">
      <c r="B7314" s="17">
        <v>42181</v>
      </c>
      <c r="D7314" t="s">
        <v>1129</v>
      </c>
      <c r="E7314">
        <v>7.1519999999999992</v>
      </c>
    </row>
    <row r="7315" spans="2:5">
      <c r="B7315" s="17">
        <v>42181</v>
      </c>
      <c r="D7315" t="s">
        <v>1129</v>
      </c>
      <c r="E7315">
        <v>26.981999999999999</v>
      </c>
    </row>
    <row r="7316" spans="2:5">
      <c r="B7316" s="17">
        <v>42180</v>
      </c>
      <c r="D7316" t="s">
        <v>1129</v>
      </c>
      <c r="E7316">
        <v>6.911999999999999</v>
      </c>
    </row>
    <row r="7317" spans="2:5">
      <c r="B7317" s="17">
        <v>42180</v>
      </c>
      <c r="D7317" t="s">
        <v>1129</v>
      </c>
      <c r="E7317">
        <v>435.50400000000002</v>
      </c>
    </row>
    <row r="7318" spans="2:5">
      <c r="B7318" s="17">
        <v>42180</v>
      </c>
      <c r="D7318" t="s">
        <v>1129</v>
      </c>
      <c r="E7318">
        <v>31.680000000000003</v>
      </c>
    </row>
    <row r="7319" spans="2:5">
      <c r="B7319" s="17">
        <v>42180</v>
      </c>
      <c r="D7319" t="s">
        <v>1129</v>
      </c>
      <c r="E7319">
        <v>10.368000000000002</v>
      </c>
    </row>
    <row r="7320" spans="2:5">
      <c r="B7320" s="17">
        <v>42180</v>
      </c>
      <c r="D7320" t="s">
        <v>567</v>
      </c>
      <c r="E7320">
        <v>12.032</v>
      </c>
    </row>
    <row r="7321" spans="2:5">
      <c r="B7321" s="17">
        <v>42180</v>
      </c>
      <c r="D7321" t="s">
        <v>567</v>
      </c>
      <c r="E7321">
        <v>5.7679999999999989</v>
      </c>
    </row>
    <row r="7322" spans="2:5">
      <c r="B7322" s="17">
        <v>42180</v>
      </c>
      <c r="D7322" t="s">
        <v>567</v>
      </c>
      <c r="E7322">
        <v>542.93999999999994</v>
      </c>
    </row>
    <row r="7323" spans="2:5">
      <c r="B7323" s="17">
        <v>42180</v>
      </c>
      <c r="D7323" t="s">
        <v>567</v>
      </c>
      <c r="E7323">
        <v>8.64</v>
      </c>
    </row>
    <row r="7324" spans="2:5">
      <c r="B7324" s="17">
        <v>42180</v>
      </c>
      <c r="D7324" t="s">
        <v>567</v>
      </c>
      <c r="E7324">
        <v>193.79999999999998</v>
      </c>
    </row>
    <row r="7325" spans="2:5">
      <c r="B7325" s="17">
        <v>42180</v>
      </c>
      <c r="D7325" t="s">
        <v>567</v>
      </c>
      <c r="E7325">
        <v>21.400000000000002</v>
      </c>
    </row>
    <row r="7326" spans="2:5">
      <c r="B7326" s="17">
        <v>42178</v>
      </c>
      <c r="D7326" t="s">
        <v>567</v>
      </c>
      <c r="E7326">
        <v>97.88</v>
      </c>
    </row>
    <row r="7327" spans="2:5">
      <c r="B7327" s="17">
        <v>42178</v>
      </c>
      <c r="D7327" t="s">
        <v>567</v>
      </c>
      <c r="E7327">
        <v>25.86</v>
      </c>
    </row>
    <row r="7328" spans="2:5">
      <c r="B7328" s="17">
        <v>42178</v>
      </c>
      <c r="D7328" t="s">
        <v>567</v>
      </c>
      <c r="E7328">
        <v>50.112000000000002</v>
      </c>
    </row>
    <row r="7329" spans="2:5">
      <c r="B7329" s="17">
        <v>42178</v>
      </c>
      <c r="D7329" t="s">
        <v>696</v>
      </c>
      <c r="E7329">
        <v>544.00800000000004</v>
      </c>
    </row>
    <row r="7330" spans="2:5">
      <c r="B7330" s="17">
        <v>42178</v>
      </c>
      <c r="D7330" t="s">
        <v>696</v>
      </c>
      <c r="E7330">
        <v>59.94</v>
      </c>
    </row>
    <row r="7331" spans="2:5">
      <c r="B7331" s="17">
        <v>42178</v>
      </c>
      <c r="D7331" t="s">
        <v>696</v>
      </c>
      <c r="E7331">
        <v>23.92</v>
      </c>
    </row>
    <row r="7332" spans="2:5">
      <c r="B7332" s="17">
        <v>42178</v>
      </c>
      <c r="D7332" t="s">
        <v>696</v>
      </c>
      <c r="E7332">
        <v>4.28</v>
      </c>
    </row>
    <row r="7333" spans="2:5">
      <c r="B7333" s="17">
        <v>42177</v>
      </c>
      <c r="D7333" t="s">
        <v>696</v>
      </c>
      <c r="E7333">
        <v>586.39800000000002</v>
      </c>
    </row>
    <row r="7334" spans="2:5">
      <c r="B7334" s="17">
        <v>42177</v>
      </c>
      <c r="D7334" t="s">
        <v>696</v>
      </c>
      <c r="E7334">
        <v>80.98</v>
      </c>
    </row>
    <row r="7335" spans="2:5">
      <c r="B7335" s="17">
        <v>42177</v>
      </c>
      <c r="D7335" t="s">
        <v>696</v>
      </c>
      <c r="E7335">
        <v>12.828000000000001</v>
      </c>
    </row>
    <row r="7336" spans="2:5">
      <c r="B7336" s="17">
        <v>42176</v>
      </c>
      <c r="D7336" t="s">
        <v>179</v>
      </c>
      <c r="E7336">
        <v>598.45799999999997</v>
      </c>
    </row>
    <row r="7337" spans="2:5">
      <c r="B7337" s="17">
        <v>42175</v>
      </c>
      <c r="D7337" t="s">
        <v>179</v>
      </c>
      <c r="E7337">
        <v>25.983999999999998</v>
      </c>
    </row>
    <row r="7338" spans="2:5">
      <c r="B7338" s="17">
        <v>42175</v>
      </c>
      <c r="D7338" t="s">
        <v>179</v>
      </c>
      <c r="E7338">
        <v>17.52</v>
      </c>
    </row>
    <row r="7339" spans="2:5">
      <c r="B7339" s="17">
        <v>42175</v>
      </c>
      <c r="D7339" t="s">
        <v>179</v>
      </c>
      <c r="E7339">
        <v>35.76</v>
      </c>
    </row>
    <row r="7340" spans="2:5">
      <c r="B7340" s="17">
        <v>42175</v>
      </c>
      <c r="D7340" t="s">
        <v>179</v>
      </c>
      <c r="E7340">
        <v>3.4880000000000004</v>
      </c>
    </row>
    <row r="7341" spans="2:5">
      <c r="B7341" s="17">
        <v>42174</v>
      </c>
      <c r="D7341" t="s">
        <v>179</v>
      </c>
      <c r="E7341">
        <v>21.728000000000002</v>
      </c>
    </row>
    <row r="7342" spans="2:5">
      <c r="B7342" s="17">
        <v>42174</v>
      </c>
      <c r="D7342" t="s">
        <v>179</v>
      </c>
      <c r="E7342">
        <v>663.072</v>
      </c>
    </row>
    <row r="7343" spans="2:5">
      <c r="B7343" s="17">
        <v>42174</v>
      </c>
      <c r="D7343" t="s">
        <v>55</v>
      </c>
      <c r="E7343">
        <v>99.588000000000008</v>
      </c>
    </row>
    <row r="7344" spans="2:5">
      <c r="B7344" s="17">
        <v>42174</v>
      </c>
      <c r="D7344" t="s">
        <v>55</v>
      </c>
      <c r="E7344">
        <v>49.568000000000005</v>
      </c>
    </row>
    <row r="7345" spans="2:5">
      <c r="B7345" s="17">
        <v>42174</v>
      </c>
      <c r="D7345" t="s">
        <v>55</v>
      </c>
      <c r="E7345">
        <v>52.199999999999996</v>
      </c>
    </row>
    <row r="7346" spans="2:5">
      <c r="B7346" s="17">
        <v>42174</v>
      </c>
      <c r="D7346" t="s">
        <v>55</v>
      </c>
      <c r="E7346">
        <v>30.080000000000002</v>
      </c>
    </row>
    <row r="7347" spans="2:5">
      <c r="B7347" s="17">
        <v>42173</v>
      </c>
      <c r="D7347" t="s">
        <v>55</v>
      </c>
      <c r="E7347">
        <v>36.288000000000011</v>
      </c>
    </row>
    <row r="7348" spans="2:5">
      <c r="B7348" s="17">
        <v>42173</v>
      </c>
      <c r="D7348" t="s">
        <v>55</v>
      </c>
      <c r="E7348">
        <v>10.272000000000002</v>
      </c>
    </row>
    <row r="7349" spans="2:5">
      <c r="B7349" s="17">
        <v>42173</v>
      </c>
      <c r="D7349" t="s">
        <v>55</v>
      </c>
      <c r="E7349">
        <v>2.3039999999999998</v>
      </c>
    </row>
    <row r="7350" spans="2:5">
      <c r="B7350" s="17">
        <v>42173</v>
      </c>
      <c r="D7350" t="s">
        <v>55</v>
      </c>
      <c r="E7350">
        <v>1879.96</v>
      </c>
    </row>
    <row r="7351" spans="2:5">
      <c r="B7351" s="17">
        <v>42173</v>
      </c>
      <c r="D7351" t="s">
        <v>55</v>
      </c>
      <c r="E7351">
        <v>5.04</v>
      </c>
    </row>
    <row r="7352" spans="2:5">
      <c r="B7352" s="17">
        <v>42173</v>
      </c>
      <c r="D7352" t="s">
        <v>55</v>
      </c>
      <c r="E7352">
        <v>519.79200000000003</v>
      </c>
    </row>
    <row r="7353" spans="2:5">
      <c r="B7353" s="17">
        <v>42173</v>
      </c>
      <c r="D7353" t="s">
        <v>1730</v>
      </c>
      <c r="E7353">
        <v>31.176000000000002</v>
      </c>
    </row>
    <row r="7354" spans="2:5">
      <c r="B7354" s="17">
        <v>42173</v>
      </c>
      <c r="D7354" t="s">
        <v>1730</v>
      </c>
      <c r="E7354">
        <v>10.368000000000002</v>
      </c>
    </row>
    <row r="7355" spans="2:5">
      <c r="B7355" s="17">
        <v>42173</v>
      </c>
      <c r="D7355" t="s">
        <v>1730</v>
      </c>
      <c r="E7355">
        <v>2.7240000000000006</v>
      </c>
    </row>
    <row r="7356" spans="2:5">
      <c r="B7356" s="17">
        <v>42173</v>
      </c>
      <c r="D7356" t="s">
        <v>411</v>
      </c>
      <c r="E7356">
        <v>3.762</v>
      </c>
    </row>
    <row r="7357" spans="2:5">
      <c r="B7357" s="17">
        <v>42173</v>
      </c>
      <c r="D7357" t="s">
        <v>411</v>
      </c>
      <c r="E7357">
        <v>10.272000000000002</v>
      </c>
    </row>
    <row r="7358" spans="2:5">
      <c r="B7358" s="17">
        <v>42173</v>
      </c>
      <c r="D7358" t="s">
        <v>411</v>
      </c>
      <c r="E7358">
        <v>44.688000000000002</v>
      </c>
    </row>
    <row r="7359" spans="2:5">
      <c r="B7359" s="17">
        <v>42173</v>
      </c>
      <c r="D7359" t="s">
        <v>411</v>
      </c>
      <c r="E7359">
        <v>104.23</v>
      </c>
    </row>
    <row r="7360" spans="2:5">
      <c r="B7360" s="17">
        <v>42173</v>
      </c>
      <c r="D7360" t="s">
        <v>411</v>
      </c>
      <c r="E7360">
        <v>70.260000000000005</v>
      </c>
    </row>
    <row r="7361" spans="2:5">
      <c r="B7361" s="17">
        <v>42171</v>
      </c>
      <c r="D7361" t="s">
        <v>151</v>
      </c>
      <c r="E7361">
        <v>50.8</v>
      </c>
    </row>
    <row r="7362" spans="2:5">
      <c r="B7362" s="17">
        <v>42171</v>
      </c>
      <c r="D7362" t="s">
        <v>151</v>
      </c>
      <c r="E7362">
        <v>5.64</v>
      </c>
    </row>
    <row r="7363" spans="2:5">
      <c r="B7363" s="17">
        <v>42171</v>
      </c>
      <c r="D7363" t="s">
        <v>151</v>
      </c>
      <c r="E7363">
        <v>11.36</v>
      </c>
    </row>
    <row r="7364" spans="2:5">
      <c r="B7364" s="17">
        <v>42171</v>
      </c>
      <c r="D7364" t="s">
        <v>151</v>
      </c>
      <c r="E7364">
        <v>422.85599999999999</v>
      </c>
    </row>
    <row r="7365" spans="2:5">
      <c r="B7365" s="17">
        <v>42171</v>
      </c>
      <c r="D7365" t="s">
        <v>151</v>
      </c>
      <c r="E7365">
        <v>31.56</v>
      </c>
    </row>
    <row r="7366" spans="2:5">
      <c r="B7366" s="17">
        <v>42171</v>
      </c>
      <c r="D7366" t="s">
        <v>151</v>
      </c>
      <c r="E7366">
        <v>64.680000000000007</v>
      </c>
    </row>
    <row r="7367" spans="2:5">
      <c r="B7367" s="17">
        <v>42170</v>
      </c>
      <c r="D7367" t="s">
        <v>151</v>
      </c>
      <c r="E7367">
        <v>46.152000000000001</v>
      </c>
    </row>
    <row r="7368" spans="2:5">
      <c r="B7368" s="17">
        <v>42170</v>
      </c>
      <c r="D7368" t="s">
        <v>151</v>
      </c>
      <c r="E7368">
        <v>11.96</v>
      </c>
    </row>
    <row r="7369" spans="2:5">
      <c r="B7369" s="17">
        <v>42170</v>
      </c>
      <c r="D7369" t="s">
        <v>151</v>
      </c>
      <c r="E7369">
        <v>138</v>
      </c>
    </row>
    <row r="7370" spans="2:5">
      <c r="B7370" s="17">
        <v>42170</v>
      </c>
      <c r="D7370" t="s">
        <v>151</v>
      </c>
      <c r="E7370">
        <v>3.75</v>
      </c>
    </row>
    <row r="7371" spans="2:5">
      <c r="B7371" s="17">
        <v>42170</v>
      </c>
      <c r="D7371" t="s">
        <v>800</v>
      </c>
      <c r="E7371">
        <v>41.4</v>
      </c>
    </row>
    <row r="7372" spans="2:5">
      <c r="B7372" s="17">
        <v>42170</v>
      </c>
      <c r="D7372" t="s">
        <v>800</v>
      </c>
      <c r="E7372">
        <v>29.79</v>
      </c>
    </row>
    <row r="7373" spans="2:5">
      <c r="B7373" s="17">
        <v>42169</v>
      </c>
      <c r="D7373" t="s">
        <v>800</v>
      </c>
      <c r="E7373">
        <v>438.36800000000005</v>
      </c>
    </row>
    <row r="7374" spans="2:5">
      <c r="B7374" s="17">
        <v>42168</v>
      </c>
      <c r="D7374" t="s">
        <v>800</v>
      </c>
      <c r="E7374">
        <v>139.94400000000002</v>
      </c>
    </row>
    <row r="7375" spans="2:5">
      <c r="B7375" s="17">
        <v>42168</v>
      </c>
      <c r="D7375" t="s">
        <v>800</v>
      </c>
      <c r="E7375">
        <v>133.47200000000001</v>
      </c>
    </row>
    <row r="7376" spans="2:5">
      <c r="B7376" s="17">
        <v>42168</v>
      </c>
      <c r="D7376" t="s">
        <v>800</v>
      </c>
      <c r="E7376">
        <v>64.75</v>
      </c>
    </row>
    <row r="7377" spans="2:5">
      <c r="B7377" s="17">
        <v>42168</v>
      </c>
      <c r="D7377" t="s">
        <v>800</v>
      </c>
      <c r="E7377">
        <v>2.2000000000000002</v>
      </c>
    </row>
    <row r="7378" spans="2:5">
      <c r="B7378" s="17">
        <v>42168</v>
      </c>
      <c r="D7378" t="s">
        <v>800</v>
      </c>
      <c r="E7378">
        <v>622.44999999999993</v>
      </c>
    </row>
    <row r="7379" spans="2:5">
      <c r="B7379" s="17">
        <v>42168</v>
      </c>
      <c r="D7379" t="s">
        <v>1404</v>
      </c>
      <c r="E7379">
        <v>21.98</v>
      </c>
    </row>
    <row r="7380" spans="2:5">
      <c r="B7380" s="17">
        <v>42168</v>
      </c>
      <c r="D7380" t="s">
        <v>1404</v>
      </c>
      <c r="E7380">
        <v>382.80599999999998</v>
      </c>
    </row>
    <row r="7381" spans="2:5">
      <c r="B7381" s="17">
        <v>42168</v>
      </c>
      <c r="D7381" t="s">
        <v>1404</v>
      </c>
      <c r="E7381">
        <v>41.96</v>
      </c>
    </row>
    <row r="7382" spans="2:5">
      <c r="B7382" s="17">
        <v>42168</v>
      </c>
      <c r="D7382" t="s">
        <v>1404</v>
      </c>
      <c r="E7382">
        <v>1217.568</v>
      </c>
    </row>
    <row r="7383" spans="2:5">
      <c r="B7383" s="17">
        <v>42168</v>
      </c>
      <c r="D7383" t="s">
        <v>1404</v>
      </c>
      <c r="E7383">
        <v>47.04</v>
      </c>
    </row>
    <row r="7384" spans="2:5">
      <c r="B7384" s="17">
        <v>42167</v>
      </c>
      <c r="D7384" t="s">
        <v>1404</v>
      </c>
      <c r="E7384">
        <v>6.16</v>
      </c>
    </row>
    <row r="7385" spans="2:5">
      <c r="B7385" s="17">
        <v>42167</v>
      </c>
      <c r="D7385" t="s">
        <v>1404</v>
      </c>
      <c r="E7385">
        <v>979.95</v>
      </c>
    </row>
    <row r="7386" spans="2:5">
      <c r="B7386" s="17">
        <v>42167</v>
      </c>
      <c r="D7386" t="s">
        <v>949</v>
      </c>
      <c r="E7386">
        <v>143.69999999999999</v>
      </c>
    </row>
    <row r="7387" spans="2:5">
      <c r="B7387" s="17">
        <v>42167</v>
      </c>
      <c r="D7387" t="s">
        <v>949</v>
      </c>
      <c r="E7387">
        <v>10.649999999999999</v>
      </c>
    </row>
    <row r="7388" spans="2:5">
      <c r="B7388" s="17">
        <v>42167</v>
      </c>
      <c r="D7388" t="s">
        <v>949</v>
      </c>
      <c r="E7388">
        <v>4.6079999999999997</v>
      </c>
    </row>
    <row r="7389" spans="2:5">
      <c r="B7389" s="17">
        <v>42166</v>
      </c>
      <c r="D7389" t="s">
        <v>949</v>
      </c>
      <c r="E7389">
        <v>687.4</v>
      </c>
    </row>
    <row r="7390" spans="2:5">
      <c r="B7390" s="17">
        <v>42166</v>
      </c>
      <c r="D7390" t="s">
        <v>949</v>
      </c>
      <c r="E7390">
        <v>10.02</v>
      </c>
    </row>
    <row r="7391" spans="2:5">
      <c r="B7391" s="17">
        <v>42166</v>
      </c>
      <c r="D7391" t="s">
        <v>949</v>
      </c>
      <c r="E7391">
        <v>144.12</v>
      </c>
    </row>
    <row r="7392" spans="2:5">
      <c r="B7392" s="17">
        <v>42166</v>
      </c>
      <c r="D7392" t="s">
        <v>859</v>
      </c>
      <c r="E7392">
        <v>6.6080000000000005</v>
      </c>
    </row>
    <row r="7393" spans="2:5">
      <c r="B7393" s="17">
        <v>42166</v>
      </c>
      <c r="D7393" t="s">
        <v>859</v>
      </c>
      <c r="E7393">
        <v>7.28</v>
      </c>
    </row>
    <row r="7394" spans="2:5">
      <c r="B7394" s="17">
        <v>42166</v>
      </c>
      <c r="D7394" t="s">
        <v>859</v>
      </c>
      <c r="E7394">
        <v>144.78399999999999</v>
      </c>
    </row>
    <row r="7395" spans="2:5">
      <c r="B7395" s="17">
        <v>42166</v>
      </c>
      <c r="D7395" t="s">
        <v>859</v>
      </c>
      <c r="E7395">
        <v>39.659999999999997</v>
      </c>
    </row>
    <row r="7396" spans="2:5">
      <c r="B7396" s="17">
        <v>42166</v>
      </c>
      <c r="D7396" t="s">
        <v>1419</v>
      </c>
      <c r="E7396">
        <v>113.92</v>
      </c>
    </row>
    <row r="7397" spans="2:5">
      <c r="B7397" s="17">
        <v>42166</v>
      </c>
      <c r="D7397" t="s">
        <v>1419</v>
      </c>
      <c r="E7397">
        <v>447.85999999999996</v>
      </c>
    </row>
    <row r="7398" spans="2:5">
      <c r="B7398" s="17">
        <v>42166</v>
      </c>
      <c r="D7398" t="s">
        <v>1419</v>
      </c>
      <c r="E7398">
        <v>79.989999999999995</v>
      </c>
    </row>
    <row r="7399" spans="2:5">
      <c r="B7399" s="17">
        <v>42166</v>
      </c>
      <c r="D7399" t="s">
        <v>1419</v>
      </c>
      <c r="E7399">
        <v>3.3040000000000003</v>
      </c>
    </row>
    <row r="7400" spans="2:5">
      <c r="B7400" s="17">
        <v>42166</v>
      </c>
      <c r="D7400" t="s">
        <v>1419</v>
      </c>
      <c r="E7400">
        <v>19.152000000000001</v>
      </c>
    </row>
    <row r="7401" spans="2:5">
      <c r="B7401" s="17">
        <v>42166</v>
      </c>
      <c r="D7401" t="s">
        <v>393</v>
      </c>
      <c r="E7401">
        <v>28.4</v>
      </c>
    </row>
    <row r="7402" spans="2:5">
      <c r="B7402" s="17">
        <v>42164</v>
      </c>
      <c r="D7402" t="s">
        <v>393</v>
      </c>
      <c r="E7402">
        <v>106.8</v>
      </c>
    </row>
    <row r="7403" spans="2:5">
      <c r="B7403" s="17">
        <v>42164</v>
      </c>
      <c r="D7403" t="s">
        <v>393</v>
      </c>
      <c r="E7403">
        <v>77.58</v>
      </c>
    </row>
    <row r="7404" spans="2:5">
      <c r="B7404" s="17">
        <v>42164</v>
      </c>
      <c r="D7404" t="s">
        <v>393</v>
      </c>
      <c r="E7404">
        <v>494.97</v>
      </c>
    </row>
    <row r="7405" spans="2:5">
      <c r="B7405" s="17">
        <v>42164</v>
      </c>
      <c r="D7405" t="s">
        <v>393</v>
      </c>
      <c r="E7405">
        <v>25.06</v>
      </c>
    </row>
    <row r="7406" spans="2:5">
      <c r="B7406" s="17">
        <v>42164</v>
      </c>
      <c r="D7406" t="s">
        <v>393</v>
      </c>
      <c r="E7406">
        <v>27.216000000000001</v>
      </c>
    </row>
    <row r="7407" spans="2:5">
      <c r="B7407" s="17">
        <v>42164</v>
      </c>
      <c r="D7407" t="s">
        <v>393</v>
      </c>
      <c r="E7407">
        <v>35.520000000000003</v>
      </c>
    </row>
    <row r="7408" spans="2:5">
      <c r="B7408" s="17">
        <v>42164</v>
      </c>
      <c r="D7408" t="s">
        <v>393</v>
      </c>
      <c r="E7408">
        <v>6.2299999999999986</v>
      </c>
    </row>
    <row r="7409" spans="2:5">
      <c r="B7409" s="17">
        <v>42163</v>
      </c>
      <c r="D7409" t="s">
        <v>393</v>
      </c>
      <c r="E7409">
        <v>56.704000000000001</v>
      </c>
    </row>
    <row r="7410" spans="2:5">
      <c r="B7410" s="17">
        <v>42163</v>
      </c>
      <c r="D7410" t="s">
        <v>1844</v>
      </c>
      <c r="E7410">
        <v>369.19919999999996</v>
      </c>
    </row>
    <row r="7411" spans="2:5">
      <c r="B7411" s="17">
        <v>42163</v>
      </c>
      <c r="D7411" t="s">
        <v>1476</v>
      </c>
      <c r="E7411">
        <v>33.488000000000007</v>
      </c>
    </row>
    <row r="7412" spans="2:5">
      <c r="B7412" s="17">
        <v>42163</v>
      </c>
      <c r="D7412" t="s">
        <v>1476</v>
      </c>
      <c r="E7412">
        <v>23.04</v>
      </c>
    </row>
    <row r="7413" spans="2:5">
      <c r="B7413" s="17">
        <v>42163</v>
      </c>
      <c r="D7413" t="s">
        <v>1476</v>
      </c>
      <c r="E7413">
        <v>1.3619999999999997</v>
      </c>
    </row>
    <row r="7414" spans="2:5">
      <c r="B7414" s="17">
        <v>42163</v>
      </c>
      <c r="D7414" t="s">
        <v>1476</v>
      </c>
      <c r="E7414">
        <v>14.76</v>
      </c>
    </row>
    <row r="7415" spans="2:5">
      <c r="B7415" s="17">
        <v>42163</v>
      </c>
      <c r="D7415" t="s">
        <v>946</v>
      </c>
      <c r="E7415">
        <v>6.3680000000000003</v>
      </c>
    </row>
    <row r="7416" spans="2:5">
      <c r="B7416" s="17">
        <v>42163</v>
      </c>
      <c r="D7416" t="s">
        <v>946</v>
      </c>
      <c r="E7416">
        <v>558.4</v>
      </c>
    </row>
    <row r="7417" spans="2:5">
      <c r="B7417" s="17">
        <v>42163</v>
      </c>
      <c r="D7417" t="s">
        <v>196</v>
      </c>
      <c r="E7417">
        <v>128.85000000000002</v>
      </c>
    </row>
    <row r="7418" spans="2:5">
      <c r="B7418" s="17">
        <v>42162</v>
      </c>
      <c r="D7418" t="s">
        <v>196</v>
      </c>
      <c r="E7418">
        <v>8.4</v>
      </c>
    </row>
    <row r="7419" spans="2:5">
      <c r="B7419" s="17">
        <v>42162</v>
      </c>
      <c r="D7419" t="s">
        <v>196</v>
      </c>
      <c r="E7419">
        <v>110.98</v>
      </c>
    </row>
    <row r="7420" spans="2:5">
      <c r="B7420" s="17">
        <v>42162</v>
      </c>
      <c r="D7420" t="s">
        <v>196</v>
      </c>
      <c r="E7420">
        <v>6.72</v>
      </c>
    </row>
    <row r="7421" spans="2:5">
      <c r="B7421" s="17">
        <v>42162</v>
      </c>
      <c r="D7421" t="s">
        <v>196</v>
      </c>
      <c r="E7421">
        <v>1004.9760000000001</v>
      </c>
    </row>
    <row r="7422" spans="2:5">
      <c r="B7422" s="17">
        <v>42160</v>
      </c>
      <c r="D7422" t="s">
        <v>703</v>
      </c>
      <c r="E7422">
        <v>2309.65</v>
      </c>
    </row>
    <row r="7423" spans="2:5">
      <c r="B7423" s="17">
        <v>42160</v>
      </c>
      <c r="D7423" t="s">
        <v>703</v>
      </c>
      <c r="E7423">
        <v>1090.7819999999999</v>
      </c>
    </row>
    <row r="7424" spans="2:5">
      <c r="B7424" s="17">
        <v>42159</v>
      </c>
      <c r="D7424" t="s">
        <v>703</v>
      </c>
      <c r="E7424">
        <v>19.440000000000001</v>
      </c>
    </row>
    <row r="7425" spans="2:5">
      <c r="B7425" s="17">
        <v>42159</v>
      </c>
      <c r="D7425" t="s">
        <v>703</v>
      </c>
      <c r="E7425">
        <v>52.59</v>
      </c>
    </row>
    <row r="7426" spans="2:5">
      <c r="B7426" s="17">
        <v>42159</v>
      </c>
      <c r="D7426" t="s">
        <v>665</v>
      </c>
      <c r="E7426">
        <v>5.28</v>
      </c>
    </row>
    <row r="7427" spans="2:5">
      <c r="B7427" s="17">
        <v>42159</v>
      </c>
      <c r="D7427" t="s">
        <v>665</v>
      </c>
      <c r="E7427">
        <v>10.92</v>
      </c>
    </row>
    <row r="7428" spans="2:5">
      <c r="B7428" s="17">
        <v>42159</v>
      </c>
      <c r="D7428" t="s">
        <v>665</v>
      </c>
      <c r="E7428">
        <v>61.792000000000002</v>
      </c>
    </row>
    <row r="7429" spans="2:5">
      <c r="B7429" s="17">
        <v>42159</v>
      </c>
      <c r="D7429" t="s">
        <v>665</v>
      </c>
      <c r="E7429">
        <v>155.88</v>
      </c>
    </row>
    <row r="7430" spans="2:5">
      <c r="B7430" s="17">
        <v>42156</v>
      </c>
      <c r="D7430" t="s">
        <v>665</v>
      </c>
      <c r="E7430">
        <v>29.97</v>
      </c>
    </row>
    <row r="7431" spans="2:5">
      <c r="B7431" s="17">
        <v>42156</v>
      </c>
      <c r="D7431" t="s">
        <v>221</v>
      </c>
      <c r="E7431">
        <v>393.16500000000002</v>
      </c>
    </row>
    <row r="7432" spans="2:5">
      <c r="B7432" s="17">
        <v>42156</v>
      </c>
      <c r="D7432" t="s">
        <v>221</v>
      </c>
      <c r="E7432">
        <v>167.86</v>
      </c>
    </row>
    <row r="7433" spans="2:5">
      <c r="B7433" s="17">
        <v>42156</v>
      </c>
      <c r="D7433" t="s">
        <v>221</v>
      </c>
      <c r="E7433">
        <v>9.1440000000000001</v>
      </c>
    </row>
    <row r="7434" spans="2:5">
      <c r="B7434" s="17">
        <v>42156</v>
      </c>
      <c r="D7434" t="s">
        <v>221</v>
      </c>
      <c r="E7434">
        <v>23.136000000000003</v>
      </c>
    </row>
    <row r="7435" spans="2:5">
      <c r="B7435" s="17">
        <v>42156</v>
      </c>
      <c r="D7435" t="s">
        <v>221</v>
      </c>
      <c r="E7435">
        <v>99.2</v>
      </c>
    </row>
    <row r="7436" spans="2:5">
      <c r="B7436" s="17">
        <v>42156</v>
      </c>
      <c r="D7436" t="s">
        <v>221</v>
      </c>
      <c r="E7436">
        <v>10.368000000000002</v>
      </c>
    </row>
    <row r="7437" spans="2:5">
      <c r="B7437" s="17">
        <v>42155</v>
      </c>
      <c r="D7437" t="s">
        <v>221</v>
      </c>
      <c r="E7437">
        <v>25.176000000000005</v>
      </c>
    </row>
    <row r="7438" spans="2:5">
      <c r="B7438" s="17">
        <v>42155</v>
      </c>
      <c r="D7438" t="s">
        <v>232</v>
      </c>
      <c r="E7438">
        <v>9.42</v>
      </c>
    </row>
    <row r="7439" spans="2:5">
      <c r="B7439" s="17">
        <v>42155</v>
      </c>
      <c r="D7439" t="s">
        <v>232</v>
      </c>
      <c r="E7439">
        <v>12.96</v>
      </c>
    </row>
    <row r="7440" spans="2:5">
      <c r="B7440" s="17">
        <v>42155</v>
      </c>
      <c r="D7440" t="s">
        <v>232</v>
      </c>
      <c r="E7440">
        <v>704.9</v>
      </c>
    </row>
    <row r="7441" spans="2:5">
      <c r="B7441" s="17">
        <v>42155</v>
      </c>
      <c r="D7441" t="s">
        <v>232</v>
      </c>
      <c r="E7441">
        <v>561.5680000000001</v>
      </c>
    </row>
    <row r="7442" spans="2:5">
      <c r="B7442" s="17">
        <v>42155</v>
      </c>
      <c r="D7442" t="s">
        <v>232</v>
      </c>
      <c r="E7442">
        <v>98.46</v>
      </c>
    </row>
    <row r="7443" spans="2:5">
      <c r="B7443" s="17">
        <v>42155</v>
      </c>
      <c r="D7443" t="s">
        <v>232</v>
      </c>
      <c r="E7443">
        <v>358.58</v>
      </c>
    </row>
    <row r="7444" spans="2:5">
      <c r="B7444" s="17">
        <v>42155</v>
      </c>
      <c r="D7444" t="s">
        <v>232</v>
      </c>
      <c r="E7444">
        <v>623.96</v>
      </c>
    </row>
    <row r="7445" spans="2:5">
      <c r="B7445" s="17">
        <v>42155</v>
      </c>
      <c r="D7445" t="s">
        <v>1846</v>
      </c>
      <c r="E7445">
        <v>20.94</v>
      </c>
    </row>
    <row r="7446" spans="2:5">
      <c r="B7446" s="17">
        <v>42155</v>
      </c>
      <c r="D7446" t="s">
        <v>1782</v>
      </c>
      <c r="E7446">
        <v>135.09</v>
      </c>
    </row>
    <row r="7447" spans="2:5">
      <c r="B7447" s="17">
        <v>42155</v>
      </c>
      <c r="D7447" t="s">
        <v>1819</v>
      </c>
      <c r="E7447">
        <v>90.06</v>
      </c>
    </row>
    <row r="7448" spans="2:5">
      <c r="B7448" s="17">
        <v>42155</v>
      </c>
      <c r="D7448" t="s">
        <v>1819</v>
      </c>
      <c r="E7448">
        <v>68.94</v>
      </c>
    </row>
    <row r="7449" spans="2:5">
      <c r="B7449" s="17">
        <v>42155</v>
      </c>
      <c r="D7449" t="s">
        <v>126</v>
      </c>
      <c r="E7449">
        <v>128.82</v>
      </c>
    </row>
    <row r="7450" spans="2:5">
      <c r="B7450" s="17">
        <v>42155</v>
      </c>
      <c r="D7450" t="s">
        <v>126</v>
      </c>
      <c r="E7450">
        <v>10.512</v>
      </c>
    </row>
    <row r="7451" spans="2:5">
      <c r="B7451" s="17">
        <v>42155</v>
      </c>
      <c r="D7451" t="s">
        <v>126</v>
      </c>
      <c r="E7451">
        <v>34.76</v>
      </c>
    </row>
    <row r="7452" spans="2:5">
      <c r="B7452" s="17">
        <v>42155</v>
      </c>
      <c r="D7452" t="s">
        <v>126</v>
      </c>
      <c r="E7452">
        <v>831.2</v>
      </c>
    </row>
    <row r="7453" spans="2:5">
      <c r="B7453" s="17">
        <v>42155</v>
      </c>
      <c r="D7453" t="s">
        <v>126</v>
      </c>
      <c r="E7453">
        <v>26.400000000000002</v>
      </c>
    </row>
    <row r="7454" spans="2:5">
      <c r="B7454" s="17">
        <v>42154</v>
      </c>
      <c r="D7454" t="s">
        <v>1085</v>
      </c>
      <c r="E7454">
        <v>106.75</v>
      </c>
    </row>
    <row r="7455" spans="2:5">
      <c r="B7455" s="17">
        <v>42154</v>
      </c>
      <c r="D7455" t="s">
        <v>1085</v>
      </c>
      <c r="E7455">
        <v>97.82</v>
      </c>
    </row>
    <row r="7456" spans="2:5">
      <c r="B7456" s="17">
        <v>42154</v>
      </c>
      <c r="D7456" t="s">
        <v>1085</v>
      </c>
      <c r="E7456">
        <v>141.4</v>
      </c>
    </row>
    <row r="7457" spans="2:5">
      <c r="B7457" s="17">
        <v>42154</v>
      </c>
      <c r="D7457" t="s">
        <v>1085</v>
      </c>
      <c r="E7457">
        <v>2.879999999999999</v>
      </c>
    </row>
    <row r="7458" spans="2:5">
      <c r="B7458" s="17">
        <v>42153</v>
      </c>
      <c r="D7458" t="s">
        <v>1085</v>
      </c>
      <c r="E7458">
        <v>384.94399999999996</v>
      </c>
    </row>
    <row r="7459" spans="2:5">
      <c r="B7459" s="17">
        <v>42153</v>
      </c>
      <c r="D7459" t="s">
        <v>1085</v>
      </c>
      <c r="E7459">
        <v>153.584</v>
      </c>
    </row>
    <row r="7460" spans="2:5">
      <c r="B7460" s="17">
        <v>42153</v>
      </c>
      <c r="D7460" t="s">
        <v>1550</v>
      </c>
      <c r="E7460">
        <v>913.43000000000006</v>
      </c>
    </row>
    <row r="7461" spans="2:5">
      <c r="B7461" s="17">
        <v>42153</v>
      </c>
      <c r="D7461" t="s">
        <v>1550</v>
      </c>
      <c r="E7461">
        <v>2.0250000000000004</v>
      </c>
    </row>
    <row r="7462" spans="2:5">
      <c r="B7462" s="17">
        <v>42153</v>
      </c>
      <c r="D7462" t="s">
        <v>1550</v>
      </c>
      <c r="E7462">
        <v>519.96</v>
      </c>
    </row>
    <row r="7463" spans="2:5">
      <c r="B7463" s="17">
        <v>42153</v>
      </c>
      <c r="D7463" t="s">
        <v>1550</v>
      </c>
      <c r="E7463">
        <v>5.76</v>
      </c>
    </row>
    <row r="7464" spans="2:5">
      <c r="B7464" s="17">
        <v>42153</v>
      </c>
      <c r="D7464" t="s">
        <v>1550</v>
      </c>
      <c r="E7464">
        <v>3.3280000000000003</v>
      </c>
    </row>
    <row r="7465" spans="2:5">
      <c r="B7465" s="17">
        <v>42153</v>
      </c>
      <c r="D7465" t="s">
        <v>749</v>
      </c>
      <c r="E7465">
        <v>135.99</v>
      </c>
    </row>
    <row r="7466" spans="2:5">
      <c r="B7466" s="17">
        <v>42152</v>
      </c>
      <c r="D7466" t="s">
        <v>749</v>
      </c>
      <c r="E7466">
        <v>7.38</v>
      </c>
    </row>
    <row r="7467" spans="2:5">
      <c r="B7467" s="17">
        <v>42152</v>
      </c>
      <c r="D7467" t="s">
        <v>749</v>
      </c>
      <c r="E7467">
        <v>195.46600000000001</v>
      </c>
    </row>
    <row r="7468" spans="2:5">
      <c r="B7468" s="17">
        <v>42152</v>
      </c>
      <c r="D7468" t="s">
        <v>749</v>
      </c>
      <c r="E7468">
        <v>6.2640000000000002</v>
      </c>
    </row>
    <row r="7469" spans="2:5">
      <c r="B7469" s="17">
        <v>42152</v>
      </c>
      <c r="D7469" t="s">
        <v>749</v>
      </c>
      <c r="E7469">
        <v>14.432</v>
      </c>
    </row>
    <row r="7470" spans="2:5">
      <c r="B7470" s="17">
        <v>42152</v>
      </c>
      <c r="D7470" t="s">
        <v>749</v>
      </c>
      <c r="E7470">
        <v>1348.7040000000002</v>
      </c>
    </row>
    <row r="7471" spans="2:5">
      <c r="B7471" s="17">
        <v>42152</v>
      </c>
      <c r="D7471" t="s">
        <v>749</v>
      </c>
      <c r="E7471">
        <v>700.15200000000004</v>
      </c>
    </row>
    <row r="7472" spans="2:5">
      <c r="B7472" s="17">
        <v>42152</v>
      </c>
      <c r="D7472" t="s">
        <v>749</v>
      </c>
      <c r="E7472">
        <v>80.88</v>
      </c>
    </row>
    <row r="7473" spans="2:5">
      <c r="B7473" s="17">
        <v>42152</v>
      </c>
      <c r="D7473" t="s">
        <v>1451</v>
      </c>
      <c r="E7473">
        <v>599.9</v>
      </c>
    </row>
    <row r="7474" spans="2:5">
      <c r="B7474" s="17">
        <v>42152</v>
      </c>
      <c r="D7474" t="s">
        <v>1451</v>
      </c>
      <c r="E7474">
        <v>150.97999999999999</v>
      </c>
    </row>
    <row r="7475" spans="2:5">
      <c r="B7475" s="17">
        <v>42150</v>
      </c>
      <c r="D7475" t="s">
        <v>1451</v>
      </c>
      <c r="E7475">
        <v>137.25</v>
      </c>
    </row>
    <row r="7476" spans="2:5">
      <c r="B7476" s="17">
        <v>42150</v>
      </c>
      <c r="D7476" t="s">
        <v>1451</v>
      </c>
      <c r="E7476">
        <v>11.52</v>
      </c>
    </row>
    <row r="7477" spans="2:5">
      <c r="B7477" s="17">
        <v>42150</v>
      </c>
      <c r="D7477" t="s">
        <v>1451</v>
      </c>
      <c r="E7477">
        <v>18.496000000000002</v>
      </c>
    </row>
    <row r="7478" spans="2:5">
      <c r="B7478" s="17">
        <v>42150</v>
      </c>
      <c r="D7478" t="s">
        <v>1631</v>
      </c>
      <c r="E7478">
        <v>441.92</v>
      </c>
    </row>
    <row r="7479" spans="2:5">
      <c r="B7479" s="17">
        <v>42150</v>
      </c>
      <c r="D7479" t="s">
        <v>1631</v>
      </c>
      <c r="E7479">
        <v>127.76400000000002</v>
      </c>
    </row>
    <row r="7480" spans="2:5">
      <c r="B7480" s="17">
        <v>42150</v>
      </c>
      <c r="D7480" t="s">
        <v>1354</v>
      </c>
      <c r="E7480">
        <v>11.808</v>
      </c>
    </row>
    <row r="7481" spans="2:5">
      <c r="B7481" s="17">
        <v>42150</v>
      </c>
      <c r="D7481" t="s">
        <v>1354</v>
      </c>
      <c r="E7481">
        <v>1931.04</v>
      </c>
    </row>
    <row r="7482" spans="2:5">
      <c r="B7482" s="17">
        <v>42150</v>
      </c>
      <c r="D7482" t="s">
        <v>1354</v>
      </c>
      <c r="E7482">
        <v>9.9600000000000009</v>
      </c>
    </row>
    <row r="7483" spans="2:5">
      <c r="B7483" s="17">
        <v>42149</v>
      </c>
      <c r="D7483" t="s">
        <v>1354</v>
      </c>
      <c r="E7483">
        <v>41.567999999999991</v>
      </c>
    </row>
    <row r="7484" spans="2:5">
      <c r="B7484" s="17">
        <v>42149</v>
      </c>
      <c r="D7484" t="s">
        <v>1354</v>
      </c>
      <c r="E7484">
        <v>38.880000000000003</v>
      </c>
    </row>
    <row r="7485" spans="2:5">
      <c r="B7485" s="17">
        <v>42149</v>
      </c>
      <c r="D7485" t="s">
        <v>1634</v>
      </c>
      <c r="E7485">
        <v>383.60699999999997</v>
      </c>
    </row>
    <row r="7486" spans="2:5">
      <c r="B7486" s="17">
        <v>42149</v>
      </c>
      <c r="D7486" t="s">
        <v>1634</v>
      </c>
      <c r="E7486">
        <v>148.47999999999999</v>
      </c>
    </row>
    <row r="7487" spans="2:5">
      <c r="B7487" s="17">
        <v>42149</v>
      </c>
      <c r="D7487" t="s">
        <v>1634</v>
      </c>
      <c r="E7487">
        <v>537.54399999999998</v>
      </c>
    </row>
    <row r="7488" spans="2:5">
      <c r="B7488" s="17">
        <v>42149</v>
      </c>
      <c r="D7488" t="s">
        <v>1474</v>
      </c>
      <c r="E7488">
        <v>1.9279999999999997</v>
      </c>
    </row>
    <row r="7489" spans="2:5">
      <c r="B7489" s="17">
        <v>42149</v>
      </c>
      <c r="D7489" t="s">
        <v>1474</v>
      </c>
      <c r="E7489">
        <v>6.911999999999999</v>
      </c>
    </row>
    <row r="7490" spans="2:5">
      <c r="B7490" s="17">
        <v>42149</v>
      </c>
      <c r="D7490" t="s">
        <v>1474</v>
      </c>
      <c r="E7490">
        <v>7.76</v>
      </c>
    </row>
    <row r="7491" spans="2:5">
      <c r="B7491" s="17">
        <v>42148</v>
      </c>
      <c r="D7491" t="s">
        <v>1474</v>
      </c>
      <c r="E7491">
        <v>659.16800000000012</v>
      </c>
    </row>
    <row r="7492" spans="2:5">
      <c r="B7492" s="17">
        <v>42148</v>
      </c>
      <c r="D7492" t="s">
        <v>1474</v>
      </c>
      <c r="E7492">
        <v>2.5020000000000002</v>
      </c>
    </row>
    <row r="7493" spans="2:5">
      <c r="B7493" s="17">
        <v>42147</v>
      </c>
      <c r="D7493" t="s">
        <v>1474</v>
      </c>
      <c r="E7493">
        <v>6.4800000000000013</v>
      </c>
    </row>
    <row r="7494" spans="2:5">
      <c r="B7494" s="17">
        <v>42147</v>
      </c>
      <c r="D7494" t="s">
        <v>522</v>
      </c>
      <c r="E7494">
        <v>11.12</v>
      </c>
    </row>
    <row r="7495" spans="2:5">
      <c r="B7495" s="17">
        <v>42147</v>
      </c>
      <c r="D7495" t="s">
        <v>522</v>
      </c>
      <c r="E7495">
        <v>25.344000000000001</v>
      </c>
    </row>
    <row r="7496" spans="2:5">
      <c r="B7496" s="17">
        <v>42147</v>
      </c>
      <c r="D7496" t="s">
        <v>522</v>
      </c>
      <c r="E7496">
        <v>29.97</v>
      </c>
    </row>
    <row r="7497" spans="2:5">
      <c r="B7497" s="17">
        <v>42147</v>
      </c>
      <c r="D7497" t="s">
        <v>522</v>
      </c>
      <c r="E7497">
        <v>98.352000000000004</v>
      </c>
    </row>
    <row r="7498" spans="2:5">
      <c r="B7498" s="17">
        <v>42147</v>
      </c>
      <c r="D7498" t="s">
        <v>313</v>
      </c>
      <c r="E7498">
        <v>716</v>
      </c>
    </row>
    <row r="7499" spans="2:5">
      <c r="B7499" s="17">
        <v>42146</v>
      </c>
      <c r="D7499" t="s">
        <v>313</v>
      </c>
      <c r="E7499">
        <v>3.366000000000001</v>
      </c>
    </row>
    <row r="7500" spans="2:5">
      <c r="B7500" s="17">
        <v>42146</v>
      </c>
      <c r="D7500" t="s">
        <v>313</v>
      </c>
      <c r="E7500">
        <v>39.92</v>
      </c>
    </row>
    <row r="7501" spans="2:5">
      <c r="B7501" s="17">
        <v>42146</v>
      </c>
      <c r="D7501" t="s">
        <v>819</v>
      </c>
      <c r="E7501">
        <v>6.58</v>
      </c>
    </row>
    <row r="7502" spans="2:5">
      <c r="B7502" s="17">
        <v>42146</v>
      </c>
      <c r="D7502" t="s">
        <v>819</v>
      </c>
      <c r="E7502">
        <v>122.94</v>
      </c>
    </row>
    <row r="7503" spans="2:5">
      <c r="B7503" s="17">
        <v>42145</v>
      </c>
      <c r="D7503" t="s">
        <v>819</v>
      </c>
      <c r="E7503">
        <v>5.16</v>
      </c>
    </row>
    <row r="7504" spans="2:5">
      <c r="B7504" s="17">
        <v>42145</v>
      </c>
      <c r="D7504" t="s">
        <v>819</v>
      </c>
      <c r="E7504">
        <v>15.8</v>
      </c>
    </row>
    <row r="7505" spans="2:5">
      <c r="B7505" s="17">
        <v>42145</v>
      </c>
      <c r="D7505" t="s">
        <v>819</v>
      </c>
      <c r="E7505">
        <v>464.97</v>
      </c>
    </row>
    <row r="7506" spans="2:5">
      <c r="B7506" s="17">
        <v>42144</v>
      </c>
      <c r="D7506" t="s">
        <v>819</v>
      </c>
      <c r="E7506">
        <v>181.96</v>
      </c>
    </row>
    <row r="7507" spans="2:5">
      <c r="B7507" s="17">
        <v>42144</v>
      </c>
      <c r="D7507" t="s">
        <v>819</v>
      </c>
      <c r="E7507">
        <v>12.39</v>
      </c>
    </row>
    <row r="7508" spans="2:5">
      <c r="B7508" s="17">
        <v>42142</v>
      </c>
      <c r="D7508" t="s">
        <v>819</v>
      </c>
      <c r="E7508">
        <v>84.09</v>
      </c>
    </row>
    <row r="7509" spans="2:5">
      <c r="B7509" s="17">
        <v>42141</v>
      </c>
      <c r="D7509" t="s">
        <v>470</v>
      </c>
      <c r="E7509">
        <v>79.36</v>
      </c>
    </row>
    <row r="7510" spans="2:5">
      <c r="B7510" s="17">
        <v>42141</v>
      </c>
      <c r="D7510" t="s">
        <v>470</v>
      </c>
      <c r="E7510">
        <v>153.35999999999999</v>
      </c>
    </row>
    <row r="7511" spans="2:5">
      <c r="B7511" s="17">
        <v>42141</v>
      </c>
      <c r="D7511" t="s">
        <v>470</v>
      </c>
      <c r="E7511">
        <v>43.68</v>
      </c>
    </row>
    <row r="7512" spans="2:5">
      <c r="B7512" s="17">
        <v>42141</v>
      </c>
      <c r="D7512" t="s">
        <v>470</v>
      </c>
      <c r="E7512">
        <v>98.21</v>
      </c>
    </row>
    <row r="7513" spans="2:5">
      <c r="B7513" s="17">
        <v>42140</v>
      </c>
      <c r="D7513" t="s">
        <v>1832</v>
      </c>
      <c r="E7513">
        <v>48.631999999999991</v>
      </c>
    </row>
    <row r="7514" spans="2:5">
      <c r="B7514" s="17">
        <v>42139</v>
      </c>
      <c r="D7514" t="s">
        <v>1778</v>
      </c>
      <c r="E7514">
        <v>21.12</v>
      </c>
    </row>
    <row r="7515" spans="2:5">
      <c r="B7515" s="17">
        <v>42139</v>
      </c>
      <c r="D7515" t="s">
        <v>1778</v>
      </c>
      <c r="E7515">
        <v>13.96</v>
      </c>
    </row>
    <row r="7516" spans="2:5">
      <c r="B7516" s="17">
        <v>42138</v>
      </c>
      <c r="D7516" t="s">
        <v>860</v>
      </c>
      <c r="E7516">
        <v>155.82</v>
      </c>
    </row>
    <row r="7517" spans="2:5">
      <c r="B7517" s="17">
        <v>42138</v>
      </c>
      <c r="D7517" t="s">
        <v>860</v>
      </c>
      <c r="E7517">
        <v>124.94999999999999</v>
      </c>
    </row>
    <row r="7518" spans="2:5">
      <c r="B7518" s="17">
        <v>42138</v>
      </c>
      <c r="D7518" t="s">
        <v>860</v>
      </c>
      <c r="E7518">
        <v>601.65</v>
      </c>
    </row>
    <row r="7519" spans="2:5">
      <c r="B7519" s="17">
        <v>42138</v>
      </c>
      <c r="D7519" t="s">
        <v>860</v>
      </c>
      <c r="E7519">
        <v>170.35200000000003</v>
      </c>
    </row>
    <row r="7520" spans="2:5">
      <c r="B7520" s="17">
        <v>42138</v>
      </c>
      <c r="D7520" t="s">
        <v>637</v>
      </c>
      <c r="E7520">
        <v>11.12</v>
      </c>
    </row>
    <row r="7521" spans="2:5">
      <c r="B7521" s="17">
        <v>42138</v>
      </c>
      <c r="D7521" t="s">
        <v>637</v>
      </c>
      <c r="E7521">
        <v>4.9280000000000008</v>
      </c>
    </row>
    <row r="7522" spans="2:5">
      <c r="B7522" s="17">
        <v>42138</v>
      </c>
      <c r="D7522" t="s">
        <v>637</v>
      </c>
      <c r="E7522">
        <v>7.2300000000000022</v>
      </c>
    </row>
    <row r="7523" spans="2:5">
      <c r="B7523" s="17">
        <v>42138</v>
      </c>
      <c r="D7523" t="s">
        <v>637</v>
      </c>
      <c r="E7523">
        <v>19</v>
      </c>
    </row>
    <row r="7524" spans="2:5">
      <c r="B7524" s="17">
        <v>42138</v>
      </c>
      <c r="D7524" t="s">
        <v>637</v>
      </c>
      <c r="E7524">
        <v>34.800000000000004</v>
      </c>
    </row>
    <row r="7525" spans="2:5">
      <c r="B7525" s="17">
        <v>42138</v>
      </c>
      <c r="D7525" t="s">
        <v>637</v>
      </c>
      <c r="E7525">
        <v>38.975999999999999</v>
      </c>
    </row>
    <row r="7526" spans="2:5">
      <c r="B7526" s="17">
        <v>42138</v>
      </c>
      <c r="D7526" t="s">
        <v>637</v>
      </c>
      <c r="E7526">
        <v>4.9280000000000008</v>
      </c>
    </row>
    <row r="7527" spans="2:5">
      <c r="B7527" s="17">
        <v>42138</v>
      </c>
      <c r="D7527" t="s">
        <v>994</v>
      </c>
      <c r="E7527">
        <v>11.784000000000001</v>
      </c>
    </row>
    <row r="7528" spans="2:5">
      <c r="B7528" s="17">
        <v>42137</v>
      </c>
      <c r="D7528" t="s">
        <v>994</v>
      </c>
      <c r="E7528">
        <v>1099.96</v>
      </c>
    </row>
    <row r="7529" spans="2:5">
      <c r="B7529" s="17">
        <v>42137</v>
      </c>
      <c r="D7529" t="s">
        <v>994</v>
      </c>
      <c r="E7529">
        <v>15.48</v>
      </c>
    </row>
    <row r="7530" spans="2:5">
      <c r="B7530" s="17">
        <v>42136</v>
      </c>
      <c r="D7530" t="s">
        <v>994</v>
      </c>
      <c r="E7530">
        <v>22.847999999999999</v>
      </c>
    </row>
    <row r="7531" spans="2:5">
      <c r="B7531" s="17">
        <v>42136</v>
      </c>
      <c r="D7531" t="s">
        <v>994</v>
      </c>
      <c r="E7531">
        <v>70.98</v>
      </c>
    </row>
    <row r="7532" spans="2:5">
      <c r="B7532" s="17">
        <v>42136</v>
      </c>
      <c r="D7532" t="s">
        <v>157</v>
      </c>
      <c r="E7532">
        <v>168.46400000000003</v>
      </c>
    </row>
    <row r="7533" spans="2:5">
      <c r="B7533" s="17">
        <v>42136</v>
      </c>
      <c r="D7533" t="s">
        <v>157</v>
      </c>
      <c r="E7533">
        <v>6.7200000000000006</v>
      </c>
    </row>
    <row r="7534" spans="2:5">
      <c r="B7534" s="17">
        <v>42136</v>
      </c>
      <c r="D7534" t="s">
        <v>157</v>
      </c>
      <c r="E7534">
        <v>32.783999999999992</v>
      </c>
    </row>
    <row r="7535" spans="2:5">
      <c r="B7535" s="17">
        <v>42136</v>
      </c>
      <c r="D7535" t="s">
        <v>157</v>
      </c>
      <c r="E7535">
        <v>408.42200000000003</v>
      </c>
    </row>
    <row r="7536" spans="2:5">
      <c r="B7536" s="17">
        <v>42136</v>
      </c>
      <c r="D7536" t="s">
        <v>1189</v>
      </c>
      <c r="E7536">
        <v>382.11599999999999</v>
      </c>
    </row>
    <row r="7537" spans="2:5">
      <c r="B7537" s="17">
        <v>42136</v>
      </c>
      <c r="D7537" t="s">
        <v>1189</v>
      </c>
      <c r="E7537">
        <v>68.599999999999994</v>
      </c>
    </row>
    <row r="7538" spans="2:5">
      <c r="B7538" s="17">
        <v>42135</v>
      </c>
      <c r="D7538" t="s">
        <v>1189</v>
      </c>
      <c r="E7538">
        <v>435.50400000000002</v>
      </c>
    </row>
    <row r="7539" spans="2:5">
      <c r="B7539" s="17">
        <v>42134</v>
      </c>
      <c r="D7539" t="s">
        <v>978</v>
      </c>
      <c r="E7539">
        <v>11.168000000000001</v>
      </c>
    </row>
    <row r="7540" spans="2:5">
      <c r="B7540" s="17">
        <v>42134</v>
      </c>
      <c r="D7540" t="s">
        <v>978</v>
      </c>
      <c r="E7540">
        <v>11.952000000000002</v>
      </c>
    </row>
    <row r="7541" spans="2:5">
      <c r="B7541" s="17">
        <v>42134</v>
      </c>
      <c r="D7541" t="s">
        <v>978</v>
      </c>
      <c r="E7541">
        <v>15.552000000000003</v>
      </c>
    </row>
    <row r="7542" spans="2:5">
      <c r="B7542" s="17">
        <v>42133</v>
      </c>
      <c r="D7542" t="s">
        <v>978</v>
      </c>
      <c r="E7542">
        <v>19.440000000000001</v>
      </c>
    </row>
    <row r="7543" spans="2:5">
      <c r="B7543" s="17">
        <v>42132</v>
      </c>
      <c r="D7543" t="s">
        <v>978</v>
      </c>
      <c r="E7543">
        <v>74.239999999999995</v>
      </c>
    </row>
    <row r="7544" spans="2:5">
      <c r="B7544" s="17">
        <v>42132</v>
      </c>
      <c r="D7544" t="s">
        <v>663</v>
      </c>
      <c r="E7544">
        <v>159.84000000000003</v>
      </c>
    </row>
    <row r="7545" spans="2:5">
      <c r="B7545" s="17">
        <v>42132</v>
      </c>
      <c r="D7545" t="s">
        <v>663</v>
      </c>
      <c r="E7545">
        <v>2.8920000000000008</v>
      </c>
    </row>
    <row r="7546" spans="2:5">
      <c r="B7546" s="17">
        <v>42132</v>
      </c>
      <c r="D7546" t="s">
        <v>663</v>
      </c>
      <c r="E7546">
        <v>9.3920000000000012</v>
      </c>
    </row>
    <row r="7547" spans="2:5">
      <c r="B7547" s="17">
        <v>42132</v>
      </c>
      <c r="D7547" t="s">
        <v>663</v>
      </c>
      <c r="E7547">
        <v>20.103999999999999</v>
      </c>
    </row>
    <row r="7548" spans="2:5">
      <c r="B7548" s="17">
        <v>42132</v>
      </c>
      <c r="D7548" t="s">
        <v>663</v>
      </c>
      <c r="E7548">
        <v>24.96</v>
      </c>
    </row>
    <row r="7549" spans="2:5">
      <c r="B7549" s="17">
        <v>42132</v>
      </c>
      <c r="D7549" t="s">
        <v>1272</v>
      </c>
      <c r="E7549">
        <v>117.88199999999999</v>
      </c>
    </row>
    <row r="7550" spans="2:5">
      <c r="B7550" s="17">
        <v>42132</v>
      </c>
      <c r="D7550" t="s">
        <v>1272</v>
      </c>
      <c r="E7550">
        <v>5.9039999999999999</v>
      </c>
    </row>
    <row r="7551" spans="2:5">
      <c r="B7551" s="17">
        <v>42132</v>
      </c>
      <c r="D7551" t="s">
        <v>809</v>
      </c>
      <c r="E7551">
        <v>621.7600000000001</v>
      </c>
    </row>
    <row r="7552" spans="2:5">
      <c r="B7552" s="17">
        <v>42132</v>
      </c>
      <c r="D7552" t="s">
        <v>809</v>
      </c>
      <c r="E7552">
        <v>15.552000000000003</v>
      </c>
    </row>
    <row r="7553" spans="2:5">
      <c r="B7553" s="17">
        <v>42132</v>
      </c>
      <c r="D7553" t="s">
        <v>809</v>
      </c>
      <c r="E7553">
        <v>482.93999999999994</v>
      </c>
    </row>
    <row r="7554" spans="2:5">
      <c r="B7554" s="17">
        <v>42131</v>
      </c>
      <c r="D7554" t="s">
        <v>809</v>
      </c>
      <c r="E7554">
        <v>119.56</v>
      </c>
    </row>
    <row r="7555" spans="2:5">
      <c r="B7555" s="17">
        <v>42131</v>
      </c>
      <c r="D7555" t="s">
        <v>809</v>
      </c>
      <c r="E7555">
        <v>140.75</v>
      </c>
    </row>
    <row r="7556" spans="2:5">
      <c r="B7556" s="17">
        <v>42131</v>
      </c>
      <c r="D7556" t="s">
        <v>812</v>
      </c>
      <c r="E7556">
        <v>41.9</v>
      </c>
    </row>
    <row r="7557" spans="2:5">
      <c r="B7557" s="17">
        <v>42128</v>
      </c>
      <c r="D7557" t="s">
        <v>812</v>
      </c>
      <c r="E7557">
        <v>143.96</v>
      </c>
    </row>
    <row r="7558" spans="2:5">
      <c r="B7558" s="17">
        <v>42128</v>
      </c>
      <c r="D7558" t="s">
        <v>812</v>
      </c>
      <c r="E7558">
        <v>15.42</v>
      </c>
    </row>
    <row r="7559" spans="2:5">
      <c r="B7559" s="17">
        <v>42128</v>
      </c>
      <c r="D7559" t="s">
        <v>812</v>
      </c>
      <c r="E7559">
        <v>43.04</v>
      </c>
    </row>
    <row r="7560" spans="2:5">
      <c r="B7560" s="17">
        <v>42128</v>
      </c>
      <c r="D7560" t="s">
        <v>812</v>
      </c>
      <c r="E7560">
        <v>971.88000000000011</v>
      </c>
    </row>
    <row r="7561" spans="2:5">
      <c r="B7561" s="17">
        <v>42127</v>
      </c>
      <c r="D7561" t="s">
        <v>812</v>
      </c>
      <c r="E7561">
        <v>43.056000000000004</v>
      </c>
    </row>
    <row r="7562" spans="2:5">
      <c r="B7562" s="17">
        <v>42127</v>
      </c>
      <c r="D7562" t="s">
        <v>812</v>
      </c>
      <c r="E7562">
        <v>31.104000000000006</v>
      </c>
    </row>
    <row r="7563" spans="2:5">
      <c r="B7563" s="17">
        <v>42127</v>
      </c>
      <c r="D7563" t="s">
        <v>1353</v>
      </c>
      <c r="E7563">
        <v>78.256</v>
      </c>
    </row>
    <row r="7564" spans="2:5">
      <c r="B7564" s="17">
        <v>42127</v>
      </c>
      <c r="D7564" t="s">
        <v>1353</v>
      </c>
      <c r="E7564">
        <v>20.96</v>
      </c>
    </row>
    <row r="7565" spans="2:5">
      <c r="B7565" s="17">
        <v>42127</v>
      </c>
      <c r="D7565" t="s">
        <v>1353</v>
      </c>
      <c r="E7565">
        <v>88.751999999999995</v>
      </c>
    </row>
    <row r="7566" spans="2:5">
      <c r="B7566" s="17">
        <v>42127</v>
      </c>
      <c r="D7566" t="s">
        <v>1353</v>
      </c>
      <c r="E7566">
        <v>47.952000000000005</v>
      </c>
    </row>
    <row r="7567" spans="2:5">
      <c r="B7567" s="17">
        <v>42127</v>
      </c>
      <c r="D7567" t="s">
        <v>1353</v>
      </c>
      <c r="E7567">
        <v>0.98399999999999976</v>
      </c>
    </row>
    <row r="7568" spans="2:5">
      <c r="B7568" s="17">
        <v>42127</v>
      </c>
      <c r="D7568" t="s">
        <v>1143</v>
      </c>
      <c r="E7568">
        <v>75.384000000000015</v>
      </c>
    </row>
    <row r="7569" spans="2:5">
      <c r="B7569" s="17">
        <v>42127</v>
      </c>
      <c r="D7569" t="s">
        <v>1143</v>
      </c>
      <c r="E7569">
        <v>4.6079999999999997</v>
      </c>
    </row>
    <row r="7570" spans="2:5">
      <c r="B7570" s="17">
        <v>42127</v>
      </c>
      <c r="D7570" t="s">
        <v>1143</v>
      </c>
      <c r="E7570">
        <v>5.43</v>
      </c>
    </row>
    <row r="7571" spans="2:5">
      <c r="B7571" s="17">
        <v>42127</v>
      </c>
      <c r="D7571" t="s">
        <v>1143</v>
      </c>
      <c r="E7571">
        <v>143.976</v>
      </c>
    </row>
    <row r="7572" spans="2:5">
      <c r="B7572" s="17">
        <v>42127</v>
      </c>
      <c r="D7572" t="s">
        <v>1143</v>
      </c>
      <c r="E7572">
        <v>27.42</v>
      </c>
    </row>
    <row r="7573" spans="2:5">
      <c r="B7573" s="17">
        <v>42127</v>
      </c>
      <c r="D7573" t="s">
        <v>664</v>
      </c>
      <c r="E7573">
        <v>165.98</v>
      </c>
    </row>
    <row r="7574" spans="2:5">
      <c r="B7574" s="17">
        <v>42126</v>
      </c>
      <c r="D7574" t="s">
        <v>664</v>
      </c>
      <c r="E7574">
        <v>75</v>
      </c>
    </row>
    <row r="7575" spans="2:5">
      <c r="B7575" s="17">
        <v>42126</v>
      </c>
      <c r="D7575" t="s">
        <v>664</v>
      </c>
      <c r="E7575">
        <v>4.96</v>
      </c>
    </row>
    <row r="7576" spans="2:5">
      <c r="B7576" s="17">
        <v>42125</v>
      </c>
      <c r="D7576" t="s">
        <v>664</v>
      </c>
      <c r="E7576">
        <v>796.42500000000007</v>
      </c>
    </row>
    <row r="7577" spans="2:5">
      <c r="B7577" s="17">
        <v>42125</v>
      </c>
      <c r="D7577" t="s">
        <v>664</v>
      </c>
      <c r="E7577">
        <v>1217.568</v>
      </c>
    </row>
    <row r="7578" spans="2:5">
      <c r="B7578" s="17">
        <v>42125</v>
      </c>
      <c r="D7578" t="s">
        <v>664</v>
      </c>
      <c r="E7578">
        <v>107.97600000000001</v>
      </c>
    </row>
    <row r="7579" spans="2:5">
      <c r="B7579" s="17">
        <v>42125</v>
      </c>
      <c r="D7579" t="s">
        <v>1151</v>
      </c>
      <c r="E7579">
        <v>125.97600000000001</v>
      </c>
    </row>
    <row r="7580" spans="2:5">
      <c r="B7580" s="17">
        <v>42125</v>
      </c>
      <c r="D7580" t="s">
        <v>1151</v>
      </c>
      <c r="E7580">
        <v>125.944</v>
      </c>
    </row>
    <row r="7581" spans="2:5">
      <c r="B7581" s="17">
        <v>42125</v>
      </c>
      <c r="D7581" t="s">
        <v>1566</v>
      </c>
      <c r="E7581">
        <v>12.56</v>
      </c>
    </row>
    <row r="7582" spans="2:5">
      <c r="B7582" s="17">
        <v>42125</v>
      </c>
      <c r="D7582" t="s">
        <v>1566</v>
      </c>
      <c r="E7582">
        <v>6.48</v>
      </c>
    </row>
    <row r="7583" spans="2:5">
      <c r="B7583" s="17">
        <v>42124</v>
      </c>
      <c r="D7583" t="s">
        <v>1566</v>
      </c>
      <c r="E7583">
        <v>186.69</v>
      </c>
    </row>
    <row r="7584" spans="2:5">
      <c r="B7584" s="17">
        <v>42124</v>
      </c>
      <c r="D7584" t="s">
        <v>1566</v>
      </c>
      <c r="E7584">
        <v>5.7919999999999989</v>
      </c>
    </row>
    <row r="7585" spans="2:5">
      <c r="B7585" s="17">
        <v>42124</v>
      </c>
      <c r="D7585" t="s">
        <v>1566</v>
      </c>
      <c r="E7585">
        <v>5.9039999999999999</v>
      </c>
    </row>
    <row r="7586" spans="2:5">
      <c r="B7586" s="17">
        <v>42124</v>
      </c>
      <c r="D7586" t="s">
        <v>1466</v>
      </c>
      <c r="E7586">
        <v>11.952000000000002</v>
      </c>
    </row>
    <row r="7587" spans="2:5">
      <c r="B7587" s="17">
        <v>42124</v>
      </c>
      <c r="D7587" t="s">
        <v>1466</v>
      </c>
      <c r="E7587">
        <v>4.5360000000000014</v>
      </c>
    </row>
    <row r="7588" spans="2:5">
      <c r="B7588" s="17">
        <v>42124</v>
      </c>
      <c r="D7588" t="s">
        <v>1466</v>
      </c>
      <c r="E7588">
        <v>9.1560000000000006</v>
      </c>
    </row>
    <row r="7589" spans="2:5">
      <c r="B7589" s="17">
        <v>42124</v>
      </c>
      <c r="D7589" t="s">
        <v>1466</v>
      </c>
      <c r="E7589">
        <v>75.36</v>
      </c>
    </row>
    <row r="7590" spans="2:5">
      <c r="B7590" s="17">
        <v>42124</v>
      </c>
      <c r="D7590" t="s">
        <v>1466</v>
      </c>
      <c r="E7590">
        <v>51.98</v>
      </c>
    </row>
    <row r="7591" spans="2:5">
      <c r="B7591" s="17">
        <v>42124</v>
      </c>
      <c r="D7591" t="s">
        <v>1466</v>
      </c>
      <c r="E7591">
        <v>13.632</v>
      </c>
    </row>
    <row r="7592" spans="2:5">
      <c r="B7592" s="17">
        <v>42123</v>
      </c>
      <c r="D7592" t="s">
        <v>1118</v>
      </c>
      <c r="E7592">
        <v>6.1290000000000004</v>
      </c>
    </row>
    <row r="7593" spans="2:5">
      <c r="B7593" s="17">
        <v>42122</v>
      </c>
      <c r="D7593" t="s">
        <v>1118</v>
      </c>
      <c r="E7593">
        <v>643.13599999999997</v>
      </c>
    </row>
    <row r="7594" spans="2:5">
      <c r="B7594" s="17">
        <v>42122</v>
      </c>
      <c r="D7594" t="s">
        <v>1118</v>
      </c>
      <c r="E7594">
        <v>20.736000000000004</v>
      </c>
    </row>
    <row r="7595" spans="2:5">
      <c r="B7595" s="17">
        <v>42122</v>
      </c>
      <c r="D7595" t="s">
        <v>1118</v>
      </c>
      <c r="E7595">
        <v>60.84</v>
      </c>
    </row>
    <row r="7596" spans="2:5">
      <c r="B7596" s="17">
        <v>42122</v>
      </c>
      <c r="D7596" t="s">
        <v>1118</v>
      </c>
      <c r="E7596">
        <v>450.04</v>
      </c>
    </row>
    <row r="7597" spans="2:5">
      <c r="B7597" s="17">
        <v>42122</v>
      </c>
      <c r="D7597" t="s">
        <v>1118</v>
      </c>
      <c r="E7597">
        <v>34.6</v>
      </c>
    </row>
    <row r="7598" spans="2:5">
      <c r="B7598" s="17">
        <v>42121</v>
      </c>
      <c r="D7598" t="s">
        <v>260</v>
      </c>
      <c r="E7598">
        <v>467.97</v>
      </c>
    </row>
    <row r="7599" spans="2:5">
      <c r="B7599" s="17">
        <v>42121</v>
      </c>
      <c r="D7599" t="s">
        <v>260</v>
      </c>
      <c r="E7599">
        <v>33.020000000000003</v>
      </c>
    </row>
    <row r="7600" spans="2:5">
      <c r="B7600" s="17">
        <v>42121</v>
      </c>
      <c r="D7600" t="s">
        <v>260</v>
      </c>
      <c r="E7600">
        <v>6.2080000000000002</v>
      </c>
    </row>
    <row r="7601" spans="2:5">
      <c r="B7601" s="17">
        <v>42121</v>
      </c>
      <c r="D7601" t="s">
        <v>260</v>
      </c>
      <c r="E7601">
        <v>28.752000000000002</v>
      </c>
    </row>
    <row r="7602" spans="2:5">
      <c r="B7602" s="17">
        <v>42121</v>
      </c>
      <c r="D7602" t="s">
        <v>1521</v>
      </c>
      <c r="E7602">
        <v>27.216000000000001</v>
      </c>
    </row>
    <row r="7603" spans="2:5">
      <c r="B7603" s="17">
        <v>42120</v>
      </c>
      <c r="D7603" t="s">
        <v>1521</v>
      </c>
      <c r="E7603">
        <v>197.37199999999999</v>
      </c>
    </row>
    <row r="7604" spans="2:5">
      <c r="B7604" s="17">
        <v>42120</v>
      </c>
      <c r="D7604" t="s">
        <v>1521</v>
      </c>
      <c r="E7604">
        <v>3050.3760000000002</v>
      </c>
    </row>
    <row r="7605" spans="2:5">
      <c r="B7605" s="17">
        <v>42120</v>
      </c>
      <c r="D7605" t="s">
        <v>1521</v>
      </c>
      <c r="E7605">
        <v>133.97999999999999</v>
      </c>
    </row>
    <row r="7606" spans="2:5">
      <c r="B7606" s="17">
        <v>42120</v>
      </c>
      <c r="D7606" t="s">
        <v>1521</v>
      </c>
      <c r="E7606">
        <v>9.5680000000000014</v>
      </c>
    </row>
    <row r="7607" spans="2:5">
      <c r="B7607" s="17">
        <v>42120</v>
      </c>
      <c r="D7607" t="s">
        <v>1809</v>
      </c>
      <c r="E7607">
        <v>82.367999999999995</v>
      </c>
    </row>
    <row r="7608" spans="2:5">
      <c r="B7608" s="17">
        <v>42120</v>
      </c>
      <c r="D7608" t="s">
        <v>1809</v>
      </c>
      <c r="E7608">
        <v>364.70400000000006</v>
      </c>
    </row>
    <row r="7609" spans="2:5">
      <c r="B7609" s="17">
        <v>42120</v>
      </c>
      <c r="D7609" t="s">
        <v>1809</v>
      </c>
      <c r="E7609">
        <v>40.256</v>
      </c>
    </row>
    <row r="7610" spans="2:5">
      <c r="B7610" s="17">
        <v>42120</v>
      </c>
      <c r="D7610" t="s">
        <v>1809</v>
      </c>
      <c r="E7610">
        <v>11.672000000000001</v>
      </c>
    </row>
    <row r="7611" spans="2:5">
      <c r="B7611" s="17">
        <v>42120</v>
      </c>
      <c r="D7611" t="s">
        <v>1331</v>
      </c>
      <c r="E7611">
        <v>51.072000000000003</v>
      </c>
    </row>
    <row r="7612" spans="2:5">
      <c r="B7612" s="17">
        <v>42120</v>
      </c>
      <c r="D7612" t="s">
        <v>1472</v>
      </c>
      <c r="E7612">
        <v>36.624000000000002</v>
      </c>
    </row>
    <row r="7613" spans="2:5">
      <c r="B7613" s="17">
        <v>42119</v>
      </c>
      <c r="D7613" t="s">
        <v>1472</v>
      </c>
      <c r="E7613">
        <v>24.78</v>
      </c>
    </row>
    <row r="7614" spans="2:5">
      <c r="B7614" s="17">
        <v>42119</v>
      </c>
      <c r="D7614" t="s">
        <v>1472</v>
      </c>
      <c r="E7614">
        <v>19.14</v>
      </c>
    </row>
    <row r="7615" spans="2:5">
      <c r="B7615" s="17">
        <v>42119</v>
      </c>
      <c r="D7615" t="s">
        <v>1472</v>
      </c>
      <c r="E7615">
        <v>899.97</v>
      </c>
    </row>
    <row r="7616" spans="2:5">
      <c r="B7616" s="17">
        <v>42119</v>
      </c>
      <c r="D7616" t="s">
        <v>701</v>
      </c>
      <c r="E7616">
        <v>32.400000000000006</v>
      </c>
    </row>
    <row r="7617" spans="2:5">
      <c r="B7617" s="17">
        <v>42119</v>
      </c>
      <c r="D7617" t="s">
        <v>701</v>
      </c>
      <c r="E7617">
        <v>8.26</v>
      </c>
    </row>
    <row r="7618" spans="2:5">
      <c r="B7618" s="17">
        <v>42119</v>
      </c>
      <c r="D7618" t="s">
        <v>701</v>
      </c>
      <c r="E7618">
        <v>29.84</v>
      </c>
    </row>
    <row r="7619" spans="2:5">
      <c r="B7619" s="17">
        <v>42119</v>
      </c>
      <c r="D7619" t="s">
        <v>701</v>
      </c>
      <c r="E7619">
        <v>67.98</v>
      </c>
    </row>
    <row r="7620" spans="2:5">
      <c r="B7620" s="17">
        <v>42118</v>
      </c>
      <c r="D7620" t="s">
        <v>701</v>
      </c>
      <c r="E7620">
        <v>6.48</v>
      </c>
    </row>
    <row r="7621" spans="2:5">
      <c r="B7621" s="17">
        <v>42116</v>
      </c>
      <c r="D7621" t="s">
        <v>701</v>
      </c>
      <c r="E7621">
        <v>3.4240000000000004</v>
      </c>
    </row>
    <row r="7622" spans="2:5">
      <c r="B7622" s="17">
        <v>42116</v>
      </c>
      <c r="D7622" t="s">
        <v>701</v>
      </c>
      <c r="E7622">
        <v>20.736000000000004</v>
      </c>
    </row>
    <row r="7623" spans="2:5">
      <c r="B7623" s="17">
        <v>42115</v>
      </c>
      <c r="D7623" t="s">
        <v>701</v>
      </c>
      <c r="E7623">
        <v>43.295999999999999</v>
      </c>
    </row>
    <row r="7624" spans="2:5">
      <c r="B7624" s="17">
        <v>42115</v>
      </c>
      <c r="D7624" t="s">
        <v>701</v>
      </c>
      <c r="E7624">
        <v>29.900000000000002</v>
      </c>
    </row>
    <row r="7625" spans="2:5">
      <c r="B7625" s="17">
        <v>42115</v>
      </c>
      <c r="D7625" t="s">
        <v>701</v>
      </c>
      <c r="E7625">
        <v>55.984000000000009</v>
      </c>
    </row>
    <row r="7626" spans="2:5">
      <c r="B7626" s="17">
        <v>42115</v>
      </c>
      <c r="D7626" t="s">
        <v>701</v>
      </c>
      <c r="E7626">
        <v>24.56</v>
      </c>
    </row>
    <row r="7627" spans="2:5">
      <c r="B7627" s="17">
        <v>42114</v>
      </c>
      <c r="D7627" t="s">
        <v>701</v>
      </c>
      <c r="E7627">
        <v>53.699999999999996</v>
      </c>
    </row>
    <row r="7628" spans="2:5">
      <c r="B7628" s="17">
        <v>42114</v>
      </c>
      <c r="D7628" t="s">
        <v>701</v>
      </c>
      <c r="E7628">
        <v>36.26</v>
      </c>
    </row>
    <row r="7629" spans="2:5">
      <c r="B7629" s="17">
        <v>42114</v>
      </c>
      <c r="D7629" t="s">
        <v>50</v>
      </c>
      <c r="E7629">
        <v>56.3</v>
      </c>
    </row>
    <row r="7630" spans="2:5">
      <c r="B7630" s="17">
        <v>42114</v>
      </c>
      <c r="D7630" t="s">
        <v>50</v>
      </c>
      <c r="E7630">
        <v>32.400000000000006</v>
      </c>
    </row>
    <row r="7631" spans="2:5">
      <c r="B7631" s="17">
        <v>42114</v>
      </c>
      <c r="D7631" t="s">
        <v>50</v>
      </c>
      <c r="E7631">
        <v>29.16</v>
      </c>
    </row>
    <row r="7632" spans="2:5">
      <c r="B7632" s="17">
        <v>42113</v>
      </c>
      <c r="D7632" t="s">
        <v>50</v>
      </c>
      <c r="E7632">
        <v>1123.92</v>
      </c>
    </row>
    <row r="7633" spans="2:5">
      <c r="B7633" s="17">
        <v>42113</v>
      </c>
      <c r="D7633" t="s">
        <v>50</v>
      </c>
      <c r="E7633">
        <v>48.671999999999997</v>
      </c>
    </row>
    <row r="7634" spans="2:5">
      <c r="B7634" s="17">
        <v>42112</v>
      </c>
      <c r="D7634" t="s">
        <v>50</v>
      </c>
      <c r="E7634">
        <v>60.768000000000001</v>
      </c>
    </row>
    <row r="7635" spans="2:5">
      <c r="B7635" s="17">
        <v>42112</v>
      </c>
      <c r="D7635" t="s">
        <v>50</v>
      </c>
      <c r="E7635">
        <v>78.600000000000009</v>
      </c>
    </row>
    <row r="7636" spans="2:5">
      <c r="B7636" s="17">
        <v>42112</v>
      </c>
      <c r="D7636" t="s">
        <v>50</v>
      </c>
      <c r="E7636">
        <v>3.7680000000000007</v>
      </c>
    </row>
    <row r="7637" spans="2:5">
      <c r="B7637" s="17">
        <v>42112</v>
      </c>
      <c r="D7637" t="s">
        <v>50</v>
      </c>
      <c r="E7637">
        <v>1036.624</v>
      </c>
    </row>
    <row r="7638" spans="2:5">
      <c r="B7638" s="17">
        <v>42112</v>
      </c>
      <c r="D7638" t="s">
        <v>1492</v>
      </c>
      <c r="E7638">
        <v>563.80799999999999</v>
      </c>
    </row>
    <row r="7639" spans="2:5">
      <c r="B7639" s="17">
        <v>42112</v>
      </c>
      <c r="D7639" t="s">
        <v>1492</v>
      </c>
      <c r="E7639">
        <v>113.10000000000001</v>
      </c>
    </row>
    <row r="7640" spans="2:5">
      <c r="B7640" s="17">
        <v>42112</v>
      </c>
      <c r="D7640" t="s">
        <v>1492</v>
      </c>
      <c r="E7640">
        <v>12.96</v>
      </c>
    </row>
    <row r="7641" spans="2:5">
      <c r="B7641" s="17">
        <v>42112</v>
      </c>
      <c r="D7641" t="s">
        <v>1492</v>
      </c>
      <c r="E7641">
        <v>355.36</v>
      </c>
    </row>
    <row r="7642" spans="2:5">
      <c r="B7642" s="17">
        <v>42112</v>
      </c>
      <c r="D7642" t="s">
        <v>370</v>
      </c>
      <c r="E7642">
        <v>140.376</v>
      </c>
    </row>
    <row r="7643" spans="2:5">
      <c r="B7643" s="17">
        <v>42112</v>
      </c>
      <c r="D7643" t="s">
        <v>370</v>
      </c>
      <c r="E7643">
        <v>64.2</v>
      </c>
    </row>
    <row r="7644" spans="2:5">
      <c r="B7644" s="17">
        <v>42112</v>
      </c>
      <c r="D7644" t="s">
        <v>370</v>
      </c>
      <c r="E7644">
        <v>38.520000000000003</v>
      </c>
    </row>
    <row r="7645" spans="2:5">
      <c r="B7645" s="17">
        <v>42112</v>
      </c>
      <c r="D7645" t="s">
        <v>370</v>
      </c>
      <c r="E7645">
        <v>72.599999999999994</v>
      </c>
    </row>
    <row r="7646" spans="2:5">
      <c r="B7646" s="17">
        <v>42112</v>
      </c>
      <c r="D7646" t="s">
        <v>370</v>
      </c>
      <c r="E7646">
        <v>2.3760000000000003</v>
      </c>
    </row>
    <row r="7647" spans="2:5">
      <c r="B7647" s="17">
        <v>42112</v>
      </c>
      <c r="D7647" t="s">
        <v>1612</v>
      </c>
      <c r="E7647">
        <v>143.12799999999996</v>
      </c>
    </row>
    <row r="7648" spans="2:5">
      <c r="B7648" s="17">
        <v>42112</v>
      </c>
      <c r="D7648" t="s">
        <v>1612</v>
      </c>
      <c r="E7648">
        <v>173.48800000000003</v>
      </c>
    </row>
    <row r="7649" spans="2:5">
      <c r="B7649" s="17">
        <v>42112</v>
      </c>
      <c r="D7649" t="s">
        <v>1612</v>
      </c>
      <c r="E7649">
        <v>516.96</v>
      </c>
    </row>
    <row r="7650" spans="2:5">
      <c r="B7650" s="17">
        <v>42112</v>
      </c>
      <c r="D7650" t="s">
        <v>1612</v>
      </c>
      <c r="E7650">
        <v>173.208</v>
      </c>
    </row>
    <row r="7651" spans="2:5">
      <c r="B7651" s="17">
        <v>42112</v>
      </c>
      <c r="D7651" t="s">
        <v>1612</v>
      </c>
      <c r="E7651">
        <v>4.4479999999999995</v>
      </c>
    </row>
    <row r="7652" spans="2:5">
      <c r="B7652" s="17">
        <v>42111</v>
      </c>
      <c r="D7652" t="s">
        <v>704</v>
      </c>
      <c r="E7652">
        <v>9</v>
      </c>
    </row>
    <row r="7653" spans="2:5">
      <c r="B7653" s="17">
        <v>42111</v>
      </c>
      <c r="D7653" t="s">
        <v>704</v>
      </c>
      <c r="E7653">
        <v>42.24</v>
      </c>
    </row>
    <row r="7654" spans="2:5">
      <c r="B7654" s="17">
        <v>42111</v>
      </c>
      <c r="D7654" t="s">
        <v>704</v>
      </c>
      <c r="E7654">
        <v>18.264000000000003</v>
      </c>
    </row>
    <row r="7655" spans="2:5">
      <c r="B7655" s="17">
        <v>42111</v>
      </c>
      <c r="D7655" t="s">
        <v>704</v>
      </c>
      <c r="E7655">
        <v>7.52</v>
      </c>
    </row>
    <row r="7656" spans="2:5">
      <c r="B7656" s="17">
        <v>42111</v>
      </c>
      <c r="D7656" t="s">
        <v>704</v>
      </c>
      <c r="E7656">
        <v>18.312000000000001</v>
      </c>
    </row>
    <row r="7657" spans="2:5">
      <c r="B7657" s="17">
        <v>42111</v>
      </c>
      <c r="D7657" t="s">
        <v>704</v>
      </c>
      <c r="E7657">
        <v>25.920000000000005</v>
      </c>
    </row>
    <row r="7658" spans="2:5">
      <c r="B7658" s="17">
        <v>42111</v>
      </c>
      <c r="D7658" t="s">
        <v>704</v>
      </c>
      <c r="E7658">
        <v>8.016</v>
      </c>
    </row>
    <row r="7659" spans="2:5">
      <c r="B7659" s="17">
        <v>42111</v>
      </c>
      <c r="D7659" t="s">
        <v>704</v>
      </c>
      <c r="E7659">
        <v>1522.6379999999999</v>
      </c>
    </row>
    <row r="7660" spans="2:5">
      <c r="B7660" s="17">
        <v>42110</v>
      </c>
      <c r="D7660" t="s">
        <v>704</v>
      </c>
      <c r="E7660">
        <v>10.56</v>
      </c>
    </row>
    <row r="7661" spans="2:5">
      <c r="B7661" s="17">
        <v>42110</v>
      </c>
      <c r="D7661" t="s">
        <v>704</v>
      </c>
      <c r="E7661">
        <v>7.38</v>
      </c>
    </row>
    <row r="7662" spans="2:5">
      <c r="B7662" s="17">
        <v>42110</v>
      </c>
      <c r="D7662" t="s">
        <v>652</v>
      </c>
      <c r="E7662">
        <v>9.26</v>
      </c>
    </row>
    <row r="7663" spans="2:5">
      <c r="B7663" s="17">
        <v>42110</v>
      </c>
      <c r="D7663" t="s">
        <v>652</v>
      </c>
      <c r="E7663">
        <v>30.44</v>
      </c>
    </row>
    <row r="7664" spans="2:5">
      <c r="B7664" s="17">
        <v>42110</v>
      </c>
      <c r="D7664" t="s">
        <v>652</v>
      </c>
      <c r="E7664">
        <v>35.28</v>
      </c>
    </row>
    <row r="7665" spans="2:5">
      <c r="B7665" s="17">
        <v>42110</v>
      </c>
      <c r="D7665" t="s">
        <v>652</v>
      </c>
      <c r="E7665">
        <v>119.98</v>
      </c>
    </row>
    <row r="7666" spans="2:5">
      <c r="B7666" s="17">
        <v>42110</v>
      </c>
      <c r="D7666" t="s">
        <v>652</v>
      </c>
      <c r="E7666">
        <v>989.97</v>
      </c>
    </row>
    <row r="7667" spans="2:5">
      <c r="B7667" s="17">
        <v>42110</v>
      </c>
      <c r="D7667" t="s">
        <v>652</v>
      </c>
      <c r="E7667">
        <v>5.7279999999999989</v>
      </c>
    </row>
    <row r="7668" spans="2:5">
      <c r="B7668" s="17">
        <v>42110</v>
      </c>
      <c r="D7668" t="s">
        <v>652</v>
      </c>
      <c r="E7668">
        <v>42.24</v>
      </c>
    </row>
    <row r="7669" spans="2:5">
      <c r="B7669" s="17">
        <v>42110</v>
      </c>
      <c r="D7669" t="s">
        <v>1009</v>
      </c>
      <c r="E7669">
        <v>403.68</v>
      </c>
    </row>
    <row r="7670" spans="2:5">
      <c r="B7670" s="17">
        <v>42110</v>
      </c>
      <c r="D7670" t="s">
        <v>1009</v>
      </c>
      <c r="E7670">
        <v>41.9</v>
      </c>
    </row>
    <row r="7671" spans="2:5">
      <c r="B7671" s="17">
        <v>42110</v>
      </c>
      <c r="D7671" t="s">
        <v>1009</v>
      </c>
      <c r="E7671">
        <v>28.91</v>
      </c>
    </row>
    <row r="7672" spans="2:5">
      <c r="B7672" s="17">
        <v>42110</v>
      </c>
      <c r="D7672" t="s">
        <v>1009</v>
      </c>
      <c r="E7672">
        <v>11.76</v>
      </c>
    </row>
    <row r="7673" spans="2:5">
      <c r="B7673" s="17">
        <v>42110</v>
      </c>
      <c r="D7673" t="s">
        <v>361</v>
      </c>
      <c r="E7673">
        <v>58.379999999999995</v>
      </c>
    </row>
    <row r="7674" spans="2:5">
      <c r="B7674" s="17">
        <v>42108</v>
      </c>
      <c r="D7674" t="s">
        <v>361</v>
      </c>
      <c r="E7674">
        <v>105.52</v>
      </c>
    </row>
    <row r="7675" spans="2:5">
      <c r="B7675" s="17">
        <v>42107</v>
      </c>
      <c r="D7675" t="s">
        <v>361</v>
      </c>
      <c r="E7675">
        <v>80.88</v>
      </c>
    </row>
    <row r="7676" spans="2:5">
      <c r="B7676" s="17">
        <v>42107</v>
      </c>
      <c r="D7676" t="s">
        <v>1040</v>
      </c>
      <c r="E7676">
        <v>22.200000000000003</v>
      </c>
    </row>
    <row r="7677" spans="2:5">
      <c r="B7677" s="17">
        <v>42107</v>
      </c>
      <c r="D7677" t="s">
        <v>1040</v>
      </c>
      <c r="E7677">
        <v>1406.86</v>
      </c>
    </row>
    <row r="7678" spans="2:5">
      <c r="B7678" s="17">
        <v>42107</v>
      </c>
      <c r="D7678" t="s">
        <v>1040</v>
      </c>
      <c r="E7678">
        <v>15.75</v>
      </c>
    </row>
    <row r="7679" spans="2:5">
      <c r="B7679" s="17">
        <v>42107</v>
      </c>
      <c r="D7679" t="s">
        <v>1040</v>
      </c>
      <c r="E7679">
        <v>2567.84</v>
      </c>
    </row>
    <row r="7680" spans="2:5">
      <c r="B7680" s="17">
        <v>42107</v>
      </c>
      <c r="D7680" t="s">
        <v>867</v>
      </c>
      <c r="E7680">
        <v>10.272000000000002</v>
      </c>
    </row>
    <row r="7681" spans="2:5">
      <c r="B7681" s="17">
        <v>42107</v>
      </c>
      <c r="D7681" t="s">
        <v>867</v>
      </c>
      <c r="E7681">
        <v>7.5600000000000005</v>
      </c>
    </row>
    <row r="7682" spans="2:5">
      <c r="B7682" s="17">
        <v>42107</v>
      </c>
      <c r="D7682" t="s">
        <v>867</v>
      </c>
      <c r="E7682">
        <v>5.9039999999999999</v>
      </c>
    </row>
    <row r="7683" spans="2:5">
      <c r="B7683" s="17">
        <v>42107</v>
      </c>
      <c r="D7683" t="s">
        <v>867</v>
      </c>
      <c r="E7683">
        <v>173.48800000000003</v>
      </c>
    </row>
    <row r="7684" spans="2:5">
      <c r="B7684" s="17">
        <v>42107</v>
      </c>
      <c r="D7684" t="s">
        <v>867</v>
      </c>
      <c r="E7684">
        <v>51.56</v>
      </c>
    </row>
    <row r="7685" spans="2:5">
      <c r="B7685" s="17">
        <v>42107</v>
      </c>
      <c r="D7685" t="s">
        <v>596</v>
      </c>
      <c r="E7685">
        <v>3.5639999999999992</v>
      </c>
    </row>
    <row r="7686" spans="2:5">
      <c r="B7686" s="17">
        <v>42107</v>
      </c>
      <c r="D7686" t="s">
        <v>596</v>
      </c>
      <c r="E7686">
        <v>62.18</v>
      </c>
    </row>
    <row r="7687" spans="2:5">
      <c r="B7687" s="17">
        <v>42107</v>
      </c>
      <c r="D7687" t="s">
        <v>596</v>
      </c>
      <c r="E7687">
        <v>8.2799999999999994</v>
      </c>
    </row>
    <row r="7688" spans="2:5">
      <c r="B7688" s="17">
        <v>42107</v>
      </c>
      <c r="D7688" t="s">
        <v>596</v>
      </c>
      <c r="E7688">
        <v>160.32</v>
      </c>
    </row>
    <row r="7689" spans="2:5">
      <c r="B7689" s="17">
        <v>42107</v>
      </c>
      <c r="D7689" t="s">
        <v>596</v>
      </c>
      <c r="E7689">
        <v>128.85000000000002</v>
      </c>
    </row>
    <row r="7690" spans="2:5">
      <c r="B7690" s="17">
        <v>42106</v>
      </c>
      <c r="D7690" t="s">
        <v>596</v>
      </c>
      <c r="E7690">
        <v>151.96</v>
      </c>
    </row>
    <row r="7691" spans="2:5">
      <c r="B7691" s="17">
        <v>42105</v>
      </c>
      <c r="D7691" t="s">
        <v>960</v>
      </c>
      <c r="E7691">
        <v>32.400000000000006</v>
      </c>
    </row>
    <row r="7692" spans="2:5">
      <c r="B7692" s="17">
        <v>42105</v>
      </c>
      <c r="D7692" t="s">
        <v>960</v>
      </c>
      <c r="E7692">
        <v>540.56999999999994</v>
      </c>
    </row>
    <row r="7693" spans="2:5">
      <c r="B7693" s="17">
        <v>42105</v>
      </c>
      <c r="D7693" t="s">
        <v>960</v>
      </c>
      <c r="E7693">
        <v>167.76</v>
      </c>
    </row>
    <row r="7694" spans="2:5">
      <c r="B7694" s="17">
        <v>42105</v>
      </c>
      <c r="D7694" t="s">
        <v>960</v>
      </c>
      <c r="E7694">
        <v>41.568000000000005</v>
      </c>
    </row>
    <row r="7695" spans="2:5">
      <c r="B7695" s="17">
        <v>42105</v>
      </c>
      <c r="D7695" t="s">
        <v>960</v>
      </c>
      <c r="E7695">
        <v>8.0399999999999991</v>
      </c>
    </row>
    <row r="7696" spans="2:5">
      <c r="B7696" s="17">
        <v>42105</v>
      </c>
      <c r="D7696" t="s">
        <v>960</v>
      </c>
      <c r="E7696">
        <v>12.39</v>
      </c>
    </row>
    <row r="7697" spans="2:5">
      <c r="B7697" s="17">
        <v>42105</v>
      </c>
      <c r="D7697" t="s">
        <v>960</v>
      </c>
      <c r="E7697">
        <v>85.055999999999997</v>
      </c>
    </row>
    <row r="7698" spans="2:5">
      <c r="B7698" s="17">
        <v>42104</v>
      </c>
      <c r="D7698" t="s">
        <v>651</v>
      </c>
      <c r="E7698">
        <v>6.63</v>
      </c>
    </row>
    <row r="7699" spans="2:5">
      <c r="B7699" s="17">
        <v>42104</v>
      </c>
      <c r="D7699" t="s">
        <v>651</v>
      </c>
      <c r="E7699">
        <v>47.82</v>
      </c>
    </row>
    <row r="7700" spans="2:5">
      <c r="B7700" s="17">
        <v>42104</v>
      </c>
      <c r="D7700" t="s">
        <v>651</v>
      </c>
      <c r="E7700">
        <v>13.049999999999999</v>
      </c>
    </row>
    <row r="7701" spans="2:5">
      <c r="B7701" s="17">
        <v>42103</v>
      </c>
      <c r="D7701" t="s">
        <v>651</v>
      </c>
      <c r="E7701">
        <v>45.99</v>
      </c>
    </row>
    <row r="7702" spans="2:5">
      <c r="B7702" s="17">
        <v>42103</v>
      </c>
      <c r="D7702" t="s">
        <v>651</v>
      </c>
      <c r="E7702">
        <v>535.41</v>
      </c>
    </row>
    <row r="7703" spans="2:5">
      <c r="B7703" s="17">
        <v>42103</v>
      </c>
      <c r="D7703" t="s">
        <v>253</v>
      </c>
      <c r="E7703">
        <v>6.0960000000000001</v>
      </c>
    </row>
    <row r="7704" spans="2:5">
      <c r="B7704" s="17">
        <v>42101</v>
      </c>
      <c r="D7704" t="s">
        <v>253</v>
      </c>
      <c r="E7704">
        <v>45.36</v>
      </c>
    </row>
    <row r="7705" spans="2:5">
      <c r="B7705" s="17">
        <v>42101</v>
      </c>
      <c r="D7705" t="s">
        <v>253</v>
      </c>
      <c r="E7705">
        <v>16.239999999999998</v>
      </c>
    </row>
    <row r="7706" spans="2:5">
      <c r="B7706" s="17">
        <v>42101</v>
      </c>
      <c r="D7706" t="s">
        <v>253</v>
      </c>
      <c r="E7706">
        <v>77.55</v>
      </c>
    </row>
    <row r="7707" spans="2:5">
      <c r="B7707" s="17">
        <v>42101</v>
      </c>
      <c r="D7707" t="s">
        <v>253</v>
      </c>
      <c r="E7707">
        <v>18.272000000000002</v>
      </c>
    </row>
    <row r="7708" spans="2:5">
      <c r="B7708" s="17">
        <v>42101</v>
      </c>
      <c r="D7708" t="s">
        <v>606</v>
      </c>
      <c r="E7708">
        <v>153.72800000000001</v>
      </c>
    </row>
    <row r="7709" spans="2:5">
      <c r="B7709" s="17">
        <v>42100</v>
      </c>
      <c r="D7709" t="s">
        <v>606</v>
      </c>
      <c r="E7709">
        <v>12.224</v>
      </c>
    </row>
    <row r="7710" spans="2:5">
      <c r="B7710" s="17">
        <v>42100</v>
      </c>
      <c r="D7710" t="s">
        <v>606</v>
      </c>
      <c r="E7710">
        <v>167.94400000000002</v>
      </c>
    </row>
    <row r="7711" spans="2:5">
      <c r="B7711" s="17">
        <v>42100</v>
      </c>
      <c r="D7711" t="s">
        <v>606</v>
      </c>
      <c r="E7711">
        <v>20.239999999999998</v>
      </c>
    </row>
    <row r="7712" spans="2:5">
      <c r="B7712" s="17">
        <v>42100</v>
      </c>
      <c r="D7712" t="s">
        <v>606</v>
      </c>
      <c r="E7712">
        <v>105.68599999999999</v>
      </c>
    </row>
    <row r="7713" spans="2:5">
      <c r="B7713" s="17">
        <v>42100</v>
      </c>
      <c r="D7713" t="s">
        <v>1066</v>
      </c>
      <c r="E7713">
        <v>399.53999999999996</v>
      </c>
    </row>
    <row r="7714" spans="2:5">
      <c r="B7714" s="17">
        <v>42100</v>
      </c>
      <c r="D7714" t="s">
        <v>1066</v>
      </c>
      <c r="E7714">
        <v>104.93</v>
      </c>
    </row>
    <row r="7715" spans="2:5">
      <c r="B7715" s="17">
        <v>42099</v>
      </c>
      <c r="D7715" t="s">
        <v>1066</v>
      </c>
      <c r="E7715">
        <v>845.72799999999995</v>
      </c>
    </row>
    <row r="7716" spans="2:5">
      <c r="B7716" s="17">
        <v>42099</v>
      </c>
      <c r="D7716" t="s">
        <v>1066</v>
      </c>
      <c r="E7716">
        <v>14.73</v>
      </c>
    </row>
    <row r="7717" spans="2:5">
      <c r="B7717" s="17">
        <v>42099</v>
      </c>
      <c r="D7717" t="s">
        <v>1066</v>
      </c>
      <c r="E7717">
        <v>21.240000000000002</v>
      </c>
    </row>
    <row r="7718" spans="2:5">
      <c r="B7718" s="17">
        <v>42099</v>
      </c>
      <c r="D7718" t="s">
        <v>1725</v>
      </c>
      <c r="E7718">
        <v>127.96</v>
      </c>
    </row>
    <row r="7719" spans="2:5">
      <c r="B7719" s="17">
        <v>42099</v>
      </c>
      <c r="D7719" t="s">
        <v>1725</v>
      </c>
      <c r="E7719">
        <v>467.03999999999996</v>
      </c>
    </row>
    <row r="7720" spans="2:5">
      <c r="B7720" s="17">
        <v>42099</v>
      </c>
      <c r="D7720" t="s">
        <v>1725</v>
      </c>
      <c r="E7720">
        <v>22.368000000000002</v>
      </c>
    </row>
    <row r="7721" spans="2:5">
      <c r="B7721" s="17">
        <v>42099</v>
      </c>
      <c r="D7721" t="s">
        <v>1725</v>
      </c>
      <c r="E7721">
        <v>32.368000000000002</v>
      </c>
    </row>
    <row r="7722" spans="2:5">
      <c r="B7722" s="17">
        <v>42099</v>
      </c>
      <c r="D7722" t="s">
        <v>1725</v>
      </c>
      <c r="E7722">
        <v>602.65099999999995</v>
      </c>
    </row>
    <row r="7723" spans="2:5">
      <c r="B7723" s="17">
        <v>42099</v>
      </c>
      <c r="D7723" t="s">
        <v>479</v>
      </c>
      <c r="E7723">
        <v>7.6559999999999988</v>
      </c>
    </row>
    <row r="7724" spans="2:5">
      <c r="B7724" s="17">
        <v>42099</v>
      </c>
      <c r="D7724" t="s">
        <v>479</v>
      </c>
      <c r="E7724">
        <v>186.69</v>
      </c>
    </row>
    <row r="7725" spans="2:5">
      <c r="B7725" s="17">
        <v>42099</v>
      </c>
      <c r="D7725" t="s">
        <v>479</v>
      </c>
      <c r="E7725">
        <v>19.194000000000003</v>
      </c>
    </row>
    <row r="7726" spans="2:5">
      <c r="B7726" s="17">
        <v>42099</v>
      </c>
      <c r="D7726" t="s">
        <v>1394</v>
      </c>
      <c r="E7726">
        <v>121.79200000000002</v>
      </c>
    </row>
    <row r="7727" spans="2:5">
      <c r="B7727" s="17">
        <v>42099</v>
      </c>
      <c r="D7727" t="s">
        <v>1394</v>
      </c>
      <c r="E7727">
        <v>51.449999999999996</v>
      </c>
    </row>
    <row r="7728" spans="2:5">
      <c r="B7728" s="17">
        <v>42098</v>
      </c>
      <c r="D7728" t="s">
        <v>1394</v>
      </c>
      <c r="E7728">
        <v>850.5</v>
      </c>
    </row>
    <row r="7729" spans="2:5">
      <c r="B7729" s="17">
        <v>42098</v>
      </c>
      <c r="D7729" t="s">
        <v>1394</v>
      </c>
      <c r="E7729">
        <v>75.33</v>
      </c>
    </row>
    <row r="7730" spans="2:5">
      <c r="B7730" s="17">
        <v>42098</v>
      </c>
      <c r="D7730" t="s">
        <v>1643</v>
      </c>
      <c r="E7730">
        <v>8.26</v>
      </c>
    </row>
    <row r="7731" spans="2:5">
      <c r="B7731" s="17">
        <v>42098</v>
      </c>
      <c r="D7731" t="s">
        <v>1643</v>
      </c>
      <c r="E7731">
        <v>2973.32</v>
      </c>
    </row>
    <row r="7732" spans="2:5">
      <c r="B7732" s="17">
        <v>42098</v>
      </c>
      <c r="D7732" t="s">
        <v>166</v>
      </c>
      <c r="E7732">
        <v>104.79</v>
      </c>
    </row>
    <row r="7733" spans="2:5">
      <c r="B7733" s="17">
        <v>42098</v>
      </c>
      <c r="D7733" t="s">
        <v>166</v>
      </c>
      <c r="E7733">
        <v>775.72800000000007</v>
      </c>
    </row>
    <row r="7734" spans="2:5">
      <c r="B7734" s="17">
        <v>42098</v>
      </c>
      <c r="D7734" t="s">
        <v>166</v>
      </c>
      <c r="E7734">
        <v>20.767999999999997</v>
      </c>
    </row>
    <row r="7735" spans="2:5">
      <c r="B7735" s="17">
        <v>42098</v>
      </c>
      <c r="D7735" t="s">
        <v>166</v>
      </c>
      <c r="E7735">
        <v>26.975999999999999</v>
      </c>
    </row>
    <row r="7736" spans="2:5">
      <c r="B7736" s="17">
        <v>42098</v>
      </c>
      <c r="D7736" t="s">
        <v>166</v>
      </c>
      <c r="E7736">
        <v>24.588000000000001</v>
      </c>
    </row>
    <row r="7737" spans="2:5">
      <c r="B7737" s="17">
        <v>42096</v>
      </c>
      <c r="D7737" t="s">
        <v>166</v>
      </c>
      <c r="E7737">
        <v>163.136</v>
      </c>
    </row>
    <row r="7738" spans="2:5">
      <c r="B7738" s="17">
        <v>42096</v>
      </c>
      <c r="D7738" t="s">
        <v>1164</v>
      </c>
      <c r="E7738">
        <v>6.4080000000000004</v>
      </c>
    </row>
    <row r="7739" spans="2:5">
      <c r="B7739" s="17">
        <v>42096</v>
      </c>
      <c r="D7739" t="s">
        <v>1164</v>
      </c>
      <c r="E7739">
        <v>10.86</v>
      </c>
    </row>
    <row r="7740" spans="2:5">
      <c r="B7740" s="17">
        <v>42096</v>
      </c>
      <c r="D7740" t="s">
        <v>1835</v>
      </c>
      <c r="E7740">
        <v>33.279999999999994</v>
      </c>
    </row>
    <row r="7741" spans="2:5">
      <c r="B7741" s="17">
        <v>42096</v>
      </c>
      <c r="D7741" t="s">
        <v>1835</v>
      </c>
      <c r="E7741">
        <v>14.088000000000001</v>
      </c>
    </row>
    <row r="7742" spans="2:5">
      <c r="B7742" s="17">
        <v>42096</v>
      </c>
      <c r="D7742" t="s">
        <v>1835</v>
      </c>
      <c r="E7742">
        <v>31.5</v>
      </c>
    </row>
    <row r="7743" spans="2:5">
      <c r="B7743" s="17">
        <v>42094</v>
      </c>
      <c r="D7743" t="s">
        <v>847</v>
      </c>
      <c r="E7743">
        <v>55.6</v>
      </c>
    </row>
    <row r="7744" spans="2:5">
      <c r="B7744" s="17">
        <v>42094</v>
      </c>
      <c r="D7744" t="s">
        <v>847</v>
      </c>
      <c r="E7744">
        <v>17.940000000000001</v>
      </c>
    </row>
    <row r="7745" spans="2:5">
      <c r="B7745" s="17">
        <v>42094</v>
      </c>
      <c r="D7745" t="s">
        <v>847</v>
      </c>
      <c r="E7745">
        <v>51.967999999999996</v>
      </c>
    </row>
    <row r="7746" spans="2:5">
      <c r="B7746" s="17">
        <v>42093</v>
      </c>
      <c r="D7746" t="s">
        <v>847</v>
      </c>
      <c r="E7746">
        <v>198.27200000000002</v>
      </c>
    </row>
    <row r="7747" spans="2:5">
      <c r="B7747" s="17">
        <v>42093</v>
      </c>
      <c r="D7747" t="s">
        <v>847</v>
      </c>
      <c r="E7747">
        <v>47.360000000000007</v>
      </c>
    </row>
    <row r="7748" spans="2:5">
      <c r="B7748" s="17">
        <v>42093</v>
      </c>
      <c r="D7748" t="s">
        <v>195</v>
      </c>
      <c r="E7748">
        <v>97.696000000000012</v>
      </c>
    </row>
    <row r="7749" spans="2:5">
      <c r="B7749" s="17">
        <v>42092</v>
      </c>
      <c r="D7749" t="s">
        <v>195</v>
      </c>
      <c r="E7749">
        <v>2.6960000000000002</v>
      </c>
    </row>
    <row r="7750" spans="2:5">
      <c r="B7750" s="17">
        <v>42092</v>
      </c>
      <c r="D7750" t="s">
        <v>195</v>
      </c>
      <c r="E7750">
        <v>18.588000000000005</v>
      </c>
    </row>
    <row r="7751" spans="2:5">
      <c r="B7751" s="17">
        <v>42092</v>
      </c>
      <c r="D7751" t="s">
        <v>195</v>
      </c>
      <c r="E7751">
        <v>4.8960000000000008</v>
      </c>
    </row>
    <row r="7752" spans="2:5">
      <c r="B7752" s="17">
        <v>42092</v>
      </c>
      <c r="D7752" t="s">
        <v>1833</v>
      </c>
      <c r="E7752">
        <v>1117.92</v>
      </c>
    </row>
    <row r="7753" spans="2:5">
      <c r="B7753" s="17">
        <v>42092</v>
      </c>
      <c r="D7753" t="s">
        <v>1833</v>
      </c>
      <c r="E7753">
        <v>509.95749999999992</v>
      </c>
    </row>
    <row r="7754" spans="2:5">
      <c r="B7754" s="17">
        <v>42092</v>
      </c>
      <c r="D7754" t="s">
        <v>428</v>
      </c>
      <c r="E7754">
        <v>122.91</v>
      </c>
    </row>
    <row r="7755" spans="2:5">
      <c r="B7755" s="17">
        <v>42092</v>
      </c>
      <c r="D7755" t="s">
        <v>428</v>
      </c>
      <c r="E7755">
        <v>97.567999999999998</v>
      </c>
    </row>
    <row r="7756" spans="2:5">
      <c r="B7756" s="17">
        <v>42092</v>
      </c>
      <c r="D7756" t="s">
        <v>428</v>
      </c>
      <c r="E7756">
        <v>722.35200000000009</v>
      </c>
    </row>
    <row r="7757" spans="2:5">
      <c r="B7757" s="17">
        <v>42091</v>
      </c>
      <c r="D7757" t="s">
        <v>428</v>
      </c>
      <c r="E7757">
        <v>16</v>
      </c>
    </row>
    <row r="7758" spans="2:5">
      <c r="B7758" s="17">
        <v>42091</v>
      </c>
      <c r="D7758" t="s">
        <v>1294</v>
      </c>
      <c r="E7758">
        <v>12.84</v>
      </c>
    </row>
    <row r="7759" spans="2:5">
      <c r="B7759" s="17">
        <v>42091</v>
      </c>
      <c r="D7759" t="s">
        <v>1294</v>
      </c>
      <c r="E7759">
        <v>25.68</v>
      </c>
    </row>
    <row r="7760" spans="2:5">
      <c r="B7760" s="17">
        <v>42091</v>
      </c>
      <c r="D7760" t="s">
        <v>1294</v>
      </c>
      <c r="E7760">
        <v>36.630000000000003</v>
      </c>
    </row>
    <row r="7761" spans="2:5">
      <c r="B7761" s="17">
        <v>42091</v>
      </c>
      <c r="D7761" t="s">
        <v>1294</v>
      </c>
      <c r="E7761">
        <v>14.592000000000002</v>
      </c>
    </row>
    <row r="7762" spans="2:5">
      <c r="B7762" s="17">
        <v>42090</v>
      </c>
      <c r="D7762" t="s">
        <v>1294</v>
      </c>
      <c r="E7762">
        <v>21.968000000000004</v>
      </c>
    </row>
    <row r="7763" spans="2:5">
      <c r="B7763" s="17">
        <v>42089</v>
      </c>
      <c r="D7763" t="s">
        <v>1294</v>
      </c>
      <c r="E7763">
        <v>619.15200000000004</v>
      </c>
    </row>
    <row r="7764" spans="2:5">
      <c r="B7764" s="17">
        <v>42089</v>
      </c>
      <c r="D7764" t="s">
        <v>1016</v>
      </c>
      <c r="E7764">
        <v>127.90400000000001</v>
      </c>
    </row>
    <row r="7765" spans="2:5">
      <c r="B7765" s="17">
        <v>42089</v>
      </c>
      <c r="D7765" t="s">
        <v>1016</v>
      </c>
      <c r="E7765">
        <v>191.96800000000002</v>
      </c>
    </row>
    <row r="7766" spans="2:5">
      <c r="B7766" s="17">
        <v>42089</v>
      </c>
      <c r="D7766" t="s">
        <v>1016</v>
      </c>
      <c r="E7766">
        <v>70.969999999999985</v>
      </c>
    </row>
    <row r="7767" spans="2:5">
      <c r="B7767" s="17">
        <v>42089</v>
      </c>
      <c r="D7767" t="s">
        <v>1016</v>
      </c>
      <c r="E7767">
        <v>36.783999999999999</v>
      </c>
    </row>
    <row r="7768" spans="2:5">
      <c r="B7768" s="17">
        <v>42089</v>
      </c>
      <c r="D7768" t="s">
        <v>1016</v>
      </c>
      <c r="E7768">
        <v>46.688000000000002</v>
      </c>
    </row>
    <row r="7769" spans="2:5">
      <c r="B7769" s="17">
        <v>42087</v>
      </c>
      <c r="D7769" t="s">
        <v>1161</v>
      </c>
      <c r="E7769">
        <v>48.81</v>
      </c>
    </row>
    <row r="7770" spans="2:5">
      <c r="B7770" s="17">
        <v>42087</v>
      </c>
      <c r="D7770" t="s">
        <v>1161</v>
      </c>
      <c r="E7770">
        <v>8.3520000000000003</v>
      </c>
    </row>
    <row r="7771" spans="2:5">
      <c r="B7771" s="17">
        <v>42087</v>
      </c>
      <c r="D7771" t="s">
        <v>1161</v>
      </c>
      <c r="E7771">
        <v>5.2480000000000002</v>
      </c>
    </row>
    <row r="7772" spans="2:5">
      <c r="B7772" s="17">
        <v>42086</v>
      </c>
      <c r="D7772" t="s">
        <v>1161</v>
      </c>
      <c r="E7772">
        <v>43.98</v>
      </c>
    </row>
    <row r="7773" spans="2:5">
      <c r="B7773" s="17">
        <v>42086</v>
      </c>
      <c r="D7773" t="s">
        <v>1161</v>
      </c>
      <c r="E7773">
        <v>377.96999999999997</v>
      </c>
    </row>
    <row r="7774" spans="2:5">
      <c r="B7774" s="17">
        <v>42086</v>
      </c>
      <c r="D7774" t="s">
        <v>1161</v>
      </c>
      <c r="E7774">
        <v>123.96000000000001</v>
      </c>
    </row>
    <row r="7775" spans="2:5">
      <c r="B7775" s="17">
        <v>42086</v>
      </c>
      <c r="D7775" t="s">
        <v>1161</v>
      </c>
      <c r="E7775">
        <v>37.94</v>
      </c>
    </row>
    <row r="7776" spans="2:5">
      <c r="B7776" s="17">
        <v>42086</v>
      </c>
      <c r="D7776" t="s">
        <v>1161</v>
      </c>
      <c r="E7776">
        <v>79.44</v>
      </c>
    </row>
    <row r="7777" spans="2:5">
      <c r="B7777" s="17">
        <v>42086</v>
      </c>
      <c r="D7777" t="s">
        <v>1851</v>
      </c>
      <c r="E7777">
        <v>357.93</v>
      </c>
    </row>
    <row r="7778" spans="2:5">
      <c r="B7778" s="17">
        <v>42085</v>
      </c>
      <c r="D7778" t="s">
        <v>1851</v>
      </c>
      <c r="E7778">
        <v>127.76400000000001</v>
      </c>
    </row>
    <row r="7779" spans="2:5">
      <c r="B7779" s="17">
        <v>42085</v>
      </c>
      <c r="D7779" t="s">
        <v>1851</v>
      </c>
      <c r="E7779">
        <v>2799.944</v>
      </c>
    </row>
    <row r="7780" spans="2:5">
      <c r="B7780" s="17">
        <v>42085</v>
      </c>
      <c r="D7780" t="s">
        <v>379</v>
      </c>
      <c r="E7780">
        <v>19.440000000000001</v>
      </c>
    </row>
    <row r="7781" spans="2:5">
      <c r="B7781" s="17">
        <v>42085</v>
      </c>
      <c r="D7781" t="s">
        <v>379</v>
      </c>
      <c r="E7781">
        <v>15.936000000000002</v>
      </c>
    </row>
    <row r="7782" spans="2:5">
      <c r="B7782" s="17">
        <v>42085</v>
      </c>
      <c r="D7782" t="s">
        <v>379</v>
      </c>
      <c r="E7782">
        <v>45.68</v>
      </c>
    </row>
    <row r="7783" spans="2:5">
      <c r="B7783" s="17">
        <v>42085</v>
      </c>
      <c r="D7783" t="s">
        <v>379</v>
      </c>
      <c r="E7783">
        <v>26.8</v>
      </c>
    </row>
    <row r="7784" spans="2:5">
      <c r="B7784" s="17">
        <v>42085</v>
      </c>
      <c r="D7784" t="s">
        <v>379</v>
      </c>
      <c r="E7784">
        <v>22.288</v>
      </c>
    </row>
    <row r="7785" spans="2:5">
      <c r="B7785" s="17">
        <v>42085</v>
      </c>
      <c r="D7785" t="s">
        <v>1729</v>
      </c>
      <c r="E7785">
        <v>946.34400000000005</v>
      </c>
    </row>
    <row r="7786" spans="2:5">
      <c r="B7786" s="17">
        <v>42085</v>
      </c>
      <c r="D7786" t="s">
        <v>1729</v>
      </c>
      <c r="E7786">
        <v>125.92999999999999</v>
      </c>
    </row>
    <row r="7787" spans="2:5">
      <c r="B7787" s="17">
        <v>42085</v>
      </c>
      <c r="D7787" t="s">
        <v>724</v>
      </c>
      <c r="E7787">
        <v>665.88</v>
      </c>
    </row>
    <row r="7788" spans="2:5">
      <c r="B7788" s="17">
        <v>42084</v>
      </c>
      <c r="D7788" t="s">
        <v>724</v>
      </c>
      <c r="E7788">
        <v>59.903999999999996</v>
      </c>
    </row>
    <row r="7789" spans="2:5">
      <c r="B7789" s="17">
        <v>42084</v>
      </c>
      <c r="D7789" t="s">
        <v>724</v>
      </c>
      <c r="E7789">
        <v>23.696000000000002</v>
      </c>
    </row>
    <row r="7790" spans="2:5">
      <c r="B7790" s="17">
        <v>42084</v>
      </c>
      <c r="D7790" t="s">
        <v>724</v>
      </c>
      <c r="E7790">
        <v>7.9680000000000009</v>
      </c>
    </row>
    <row r="7791" spans="2:5">
      <c r="B7791" s="17">
        <v>42083</v>
      </c>
      <c r="D7791" t="s">
        <v>724</v>
      </c>
      <c r="E7791">
        <v>18.2</v>
      </c>
    </row>
    <row r="7792" spans="2:5">
      <c r="B7792" s="17">
        <v>42083</v>
      </c>
      <c r="D7792" t="s">
        <v>724</v>
      </c>
      <c r="E7792">
        <v>27.552000000000003</v>
      </c>
    </row>
    <row r="7793" spans="2:5">
      <c r="B7793" s="17">
        <v>42083</v>
      </c>
      <c r="D7793" t="s">
        <v>724</v>
      </c>
      <c r="E7793">
        <v>844.11599999999987</v>
      </c>
    </row>
    <row r="7794" spans="2:5">
      <c r="B7794" s="17">
        <v>42083</v>
      </c>
      <c r="D7794" t="s">
        <v>724</v>
      </c>
      <c r="E7794">
        <v>76.75200000000001</v>
      </c>
    </row>
    <row r="7795" spans="2:5">
      <c r="B7795" s="17">
        <v>42083</v>
      </c>
      <c r="D7795" t="s">
        <v>724</v>
      </c>
      <c r="E7795">
        <v>8.82</v>
      </c>
    </row>
    <row r="7796" spans="2:5">
      <c r="B7796" s="17">
        <v>42083</v>
      </c>
      <c r="D7796" t="s">
        <v>1813</v>
      </c>
      <c r="E7796">
        <v>62.496000000000009</v>
      </c>
    </row>
    <row r="7797" spans="2:5">
      <c r="B7797" s="17">
        <v>42083</v>
      </c>
      <c r="D7797" t="s">
        <v>549</v>
      </c>
      <c r="E7797">
        <v>49.568000000000005</v>
      </c>
    </row>
    <row r="7798" spans="2:5">
      <c r="B7798" s="17">
        <v>42083</v>
      </c>
      <c r="D7798" t="s">
        <v>549</v>
      </c>
      <c r="E7798">
        <v>13.847999999999999</v>
      </c>
    </row>
    <row r="7799" spans="2:5">
      <c r="B7799" s="17">
        <v>42083</v>
      </c>
      <c r="D7799" t="s">
        <v>549</v>
      </c>
      <c r="E7799">
        <v>8.8559999999999999</v>
      </c>
    </row>
    <row r="7800" spans="2:5">
      <c r="B7800" s="17">
        <v>42082</v>
      </c>
      <c r="D7800" t="s">
        <v>549</v>
      </c>
      <c r="E7800">
        <v>158.376</v>
      </c>
    </row>
    <row r="7801" spans="2:5">
      <c r="B7801" s="17">
        <v>42082</v>
      </c>
      <c r="D7801" t="s">
        <v>549</v>
      </c>
      <c r="E7801">
        <v>88.751999999999995</v>
      </c>
    </row>
    <row r="7802" spans="2:5">
      <c r="B7802" s="17">
        <v>42082</v>
      </c>
      <c r="D7802" t="s">
        <v>549</v>
      </c>
      <c r="E7802">
        <v>63.552000000000007</v>
      </c>
    </row>
    <row r="7803" spans="2:5">
      <c r="B7803" s="17">
        <v>42082</v>
      </c>
      <c r="D7803" t="s">
        <v>777</v>
      </c>
      <c r="E7803">
        <v>41.375999999999998</v>
      </c>
    </row>
    <row r="7804" spans="2:5">
      <c r="B7804" s="17">
        <v>42082</v>
      </c>
      <c r="D7804" t="s">
        <v>777</v>
      </c>
      <c r="E7804">
        <v>172.70400000000001</v>
      </c>
    </row>
    <row r="7805" spans="2:5">
      <c r="B7805" s="17">
        <v>42082</v>
      </c>
      <c r="D7805" t="s">
        <v>777</v>
      </c>
      <c r="E7805">
        <v>12.176000000000002</v>
      </c>
    </row>
    <row r="7806" spans="2:5">
      <c r="B7806" s="17">
        <v>42082</v>
      </c>
      <c r="D7806" t="s">
        <v>777</v>
      </c>
      <c r="E7806">
        <v>37.32</v>
      </c>
    </row>
    <row r="7807" spans="2:5">
      <c r="B7807" s="17">
        <v>42082</v>
      </c>
      <c r="D7807" t="s">
        <v>777</v>
      </c>
      <c r="E7807">
        <v>35.06</v>
      </c>
    </row>
    <row r="7808" spans="2:5">
      <c r="B7808" s="17">
        <v>42082</v>
      </c>
      <c r="D7808" t="s">
        <v>777</v>
      </c>
      <c r="E7808">
        <v>1022.97</v>
      </c>
    </row>
    <row r="7809" spans="2:5">
      <c r="B7809" s="17">
        <v>42082</v>
      </c>
      <c r="D7809" t="s">
        <v>777</v>
      </c>
      <c r="E7809">
        <v>34.650000000000006</v>
      </c>
    </row>
    <row r="7810" spans="2:5">
      <c r="B7810" s="17">
        <v>42082</v>
      </c>
      <c r="D7810" t="s">
        <v>777</v>
      </c>
      <c r="E7810">
        <v>19.8</v>
      </c>
    </row>
    <row r="7811" spans="2:5">
      <c r="B7811" s="17">
        <v>42082</v>
      </c>
      <c r="D7811" t="s">
        <v>777</v>
      </c>
      <c r="E7811">
        <v>31.400000000000002</v>
      </c>
    </row>
    <row r="7812" spans="2:5">
      <c r="B7812" s="17">
        <v>42082</v>
      </c>
      <c r="D7812" t="s">
        <v>777</v>
      </c>
      <c r="E7812">
        <v>9.48</v>
      </c>
    </row>
    <row r="7813" spans="2:5">
      <c r="B7813" s="17">
        <v>42080</v>
      </c>
      <c r="D7813" t="s">
        <v>524</v>
      </c>
      <c r="E7813">
        <v>24.3</v>
      </c>
    </row>
    <row r="7814" spans="2:5">
      <c r="B7814" s="17">
        <v>42080</v>
      </c>
      <c r="D7814" t="s">
        <v>524</v>
      </c>
      <c r="E7814">
        <v>6.48</v>
      </c>
    </row>
    <row r="7815" spans="2:5">
      <c r="B7815" s="17">
        <v>42079</v>
      </c>
      <c r="D7815" t="s">
        <v>524</v>
      </c>
      <c r="E7815">
        <v>7.9680000000000009</v>
      </c>
    </row>
    <row r="7816" spans="2:5">
      <c r="B7816" s="17">
        <v>42079</v>
      </c>
      <c r="D7816" t="s">
        <v>524</v>
      </c>
      <c r="E7816">
        <v>8.6519999999999975</v>
      </c>
    </row>
    <row r="7817" spans="2:5">
      <c r="B7817" s="17">
        <v>42079</v>
      </c>
      <c r="D7817" t="s">
        <v>524</v>
      </c>
      <c r="E7817">
        <v>23.832000000000001</v>
      </c>
    </row>
    <row r="7818" spans="2:5">
      <c r="B7818" s="17">
        <v>42079</v>
      </c>
      <c r="D7818" t="s">
        <v>1484</v>
      </c>
      <c r="E7818">
        <v>12.175999999999998</v>
      </c>
    </row>
    <row r="7819" spans="2:5">
      <c r="B7819" s="17">
        <v>42079</v>
      </c>
      <c r="D7819" t="s">
        <v>1484</v>
      </c>
      <c r="E7819">
        <v>186.732</v>
      </c>
    </row>
    <row r="7820" spans="2:5">
      <c r="B7820" s="17">
        <v>42079</v>
      </c>
      <c r="D7820" t="s">
        <v>1484</v>
      </c>
      <c r="E7820">
        <v>3812.9700000000003</v>
      </c>
    </row>
    <row r="7821" spans="2:5">
      <c r="B7821" s="17">
        <v>42079</v>
      </c>
      <c r="D7821" t="s">
        <v>1484</v>
      </c>
      <c r="E7821">
        <v>22.740000000000002</v>
      </c>
    </row>
    <row r="7822" spans="2:5">
      <c r="B7822" s="17">
        <v>42079</v>
      </c>
      <c r="D7822" t="s">
        <v>1139</v>
      </c>
      <c r="E7822">
        <v>1267.53</v>
      </c>
    </row>
    <row r="7823" spans="2:5">
      <c r="B7823" s="17">
        <v>42079</v>
      </c>
      <c r="D7823" t="s">
        <v>1139</v>
      </c>
      <c r="E7823">
        <v>1379.92</v>
      </c>
    </row>
    <row r="7824" spans="2:5">
      <c r="B7824" s="17">
        <v>42079</v>
      </c>
      <c r="D7824" t="s">
        <v>1139</v>
      </c>
      <c r="E7824">
        <v>43.560000000000009</v>
      </c>
    </row>
    <row r="7825" spans="2:5">
      <c r="B7825" s="17">
        <v>42078</v>
      </c>
      <c r="D7825" t="s">
        <v>1139</v>
      </c>
      <c r="E7825">
        <v>5.84</v>
      </c>
    </row>
    <row r="7826" spans="2:5">
      <c r="B7826" s="17">
        <v>42077</v>
      </c>
      <c r="D7826" t="s">
        <v>1139</v>
      </c>
      <c r="E7826">
        <v>831.93600000000015</v>
      </c>
    </row>
    <row r="7827" spans="2:5">
      <c r="B7827" s="17">
        <v>42077</v>
      </c>
      <c r="D7827" t="s">
        <v>1134</v>
      </c>
      <c r="E7827">
        <v>97.04</v>
      </c>
    </row>
    <row r="7828" spans="2:5">
      <c r="B7828" s="17">
        <v>42077</v>
      </c>
      <c r="D7828" t="s">
        <v>1134</v>
      </c>
      <c r="E7828">
        <v>72.784000000000006</v>
      </c>
    </row>
    <row r="7829" spans="2:5">
      <c r="B7829" s="17">
        <v>42076</v>
      </c>
      <c r="D7829" t="s">
        <v>1134</v>
      </c>
      <c r="E7829">
        <v>408.42200000000003</v>
      </c>
    </row>
    <row r="7830" spans="2:5">
      <c r="B7830" s="17">
        <v>42076</v>
      </c>
      <c r="D7830" t="s">
        <v>1134</v>
      </c>
      <c r="E7830">
        <v>63.936000000000007</v>
      </c>
    </row>
    <row r="7831" spans="2:5">
      <c r="B7831" s="17">
        <v>42076</v>
      </c>
      <c r="D7831" t="s">
        <v>1892</v>
      </c>
      <c r="E7831">
        <v>59.519999999999996</v>
      </c>
    </row>
    <row r="7832" spans="2:5">
      <c r="B7832" s="17">
        <v>42075</v>
      </c>
      <c r="D7832" t="s">
        <v>824</v>
      </c>
      <c r="E7832">
        <v>50.352000000000004</v>
      </c>
    </row>
    <row r="7833" spans="2:5">
      <c r="B7833" s="17">
        <v>42075</v>
      </c>
      <c r="D7833" t="s">
        <v>824</v>
      </c>
      <c r="E7833">
        <v>191.5155</v>
      </c>
    </row>
    <row r="7834" spans="2:5">
      <c r="B7834" s="17">
        <v>42075</v>
      </c>
      <c r="D7834" t="s">
        <v>824</v>
      </c>
      <c r="E7834">
        <v>2.6240000000000001</v>
      </c>
    </row>
    <row r="7835" spans="2:5">
      <c r="B7835" s="17">
        <v>42075</v>
      </c>
      <c r="D7835" t="s">
        <v>1020</v>
      </c>
      <c r="E7835">
        <v>13.943999999999999</v>
      </c>
    </row>
    <row r="7836" spans="2:5">
      <c r="B7836" s="17">
        <v>42073</v>
      </c>
      <c r="D7836" t="s">
        <v>1020</v>
      </c>
      <c r="E7836">
        <v>57.75</v>
      </c>
    </row>
    <row r="7837" spans="2:5">
      <c r="B7837" s="17">
        <v>42073</v>
      </c>
      <c r="D7837" t="s">
        <v>1386</v>
      </c>
      <c r="E7837">
        <v>128.05799999999999</v>
      </c>
    </row>
    <row r="7838" spans="2:5">
      <c r="B7838" s="17">
        <v>42072</v>
      </c>
      <c r="D7838" t="s">
        <v>1386</v>
      </c>
      <c r="E7838">
        <v>21.34</v>
      </c>
    </row>
    <row r="7839" spans="2:5">
      <c r="B7839" s="17">
        <v>42072</v>
      </c>
      <c r="D7839" t="s">
        <v>1386</v>
      </c>
      <c r="E7839">
        <v>25.99</v>
      </c>
    </row>
    <row r="7840" spans="2:5">
      <c r="B7840" s="17">
        <v>42072</v>
      </c>
      <c r="D7840" t="s">
        <v>745</v>
      </c>
      <c r="E7840">
        <v>88.77600000000001</v>
      </c>
    </row>
    <row r="7841" spans="2:5">
      <c r="B7841" s="17">
        <v>42071</v>
      </c>
      <c r="D7841" t="s">
        <v>745</v>
      </c>
      <c r="E7841">
        <v>64.14</v>
      </c>
    </row>
    <row r="7842" spans="2:5">
      <c r="B7842" s="17">
        <v>42071</v>
      </c>
      <c r="D7842" t="s">
        <v>745</v>
      </c>
      <c r="E7842">
        <v>191.96</v>
      </c>
    </row>
    <row r="7843" spans="2:5">
      <c r="B7843" s="17">
        <v>42071</v>
      </c>
      <c r="D7843" t="s">
        <v>745</v>
      </c>
      <c r="E7843">
        <v>21.299999999999997</v>
      </c>
    </row>
    <row r="7844" spans="2:5">
      <c r="B7844" s="17">
        <v>42071</v>
      </c>
      <c r="D7844" t="s">
        <v>745</v>
      </c>
      <c r="E7844">
        <v>469.95</v>
      </c>
    </row>
    <row r="7845" spans="2:5">
      <c r="B7845" s="17">
        <v>42071</v>
      </c>
      <c r="D7845" t="s">
        <v>1530</v>
      </c>
      <c r="E7845">
        <v>595.38</v>
      </c>
    </row>
    <row r="7846" spans="2:5">
      <c r="B7846" s="17">
        <v>42071</v>
      </c>
      <c r="D7846" t="s">
        <v>1530</v>
      </c>
      <c r="E7846">
        <v>12.96</v>
      </c>
    </row>
    <row r="7847" spans="2:5">
      <c r="B7847" s="17">
        <v>42071</v>
      </c>
      <c r="D7847" t="s">
        <v>1530</v>
      </c>
      <c r="E7847">
        <v>117.456</v>
      </c>
    </row>
    <row r="7848" spans="2:5">
      <c r="B7848" s="17">
        <v>42071</v>
      </c>
      <c r="D7848" t="s">
        <v>536</v>
      </c>
      <c r="E7848">
        <v>180.96</v>
      </c>
    </row>
    <row r="7849" spans="2:5">
      <c r="B7849" s="17">
        <v>42070</v>
      </c>
      <c r="D7849" t="s">
        <v>536</v>
      </c>
      <c r="E7849">
        <v>19.567999999999998</v>
      </c>
    </row>
    <row r="7850" spans="2:5">
      <c r="B7850" s="17">
        <v>42070</v>
      </c>
      <c r="D7850" t="s">
        <v>1447</v>
      </c>
      <c r="E7850">
        <v>38.22</v>
      </c>
    </row>
    <row r="7851" spans="2:5">
      <c r="B7851" s="17">
        <v>42070</v>
      </c>
      <c r="D7851" t="s">
        <v>1447</v>
      </c>
      <c r="E7851">
        <v>75.179999999999993</v>
      </c>
    </row>
    <row r="7852" spans="2:5">
      <c r="B7852" s="17">
        <v>42070</v>
      </c>
      <c r="D7852" t="s">
        <v>1447</v>
      </c>
      <c r="E7852">
        <v>6.16</v>
      </c>
    </row>
    <row r="7853" spans="2:5">
      <c r="B7853" s="17">
        <v>42069</v>
      </c>
      <c r="D7853" t="s">
        <v>1881</v>
      </c>
      <c r="E7853">
        <v>89.99</v>
      </c>
    </row>
    <row r="7854" spans="2:5">
      <c r="B7854" s="17">
        <v>42069</v>
      </c>
      <c r="D7854" t="s">
        <v>86</v>
      </c>
      <c r="E7854">
        <v>106.5</v>
      </c>
    </row>
    <row r="7855" spans="2:5">
      <c r="B7855" s="17">
        <v>42068</v>
      </c>
      <c r="D7855" t="s">
        <v>86</v>
      </c>
      <c r="E7855">
        <v>21.93</v>
      </c>
    </row>
    <row r="7856" spans="2:5">
      <c r="B7856" s="17">
        <v>42068</v>
      </c>
      <c r="D7856" t="s">
        <v>1062</v>
      </c>
      <c r="E7856">
        <v>947.17000000000007</v>
      </c>
    </row>
    <row r="7857" spans="2:5">
      <c r="B7857" s="17">
        <v>42068</v>
      </c>
      <c r="D7857" t="s">
        <v>1062</v>
      </c>
      <c r="E7857">
        <v>61.96</v>
      </c>
    </row>
    <row r="7858" spans="2:5">
      <c r="B7858" s="17">
        <v>42068</v>
      </c>
      <c r="D7858" t="s">
        <v>1062</v>
      </c>
      <c r="E7858">
        <v>115.44</v>
      </c>
    </row>
    <row r="7859" spans="2:5">
      <c r="B7859" s="17">
        <v>42068</v>
      </c>
      <c r="D7859" t="s">
        <v>1062</v>
      </c>
      <c r="E7859">
        <v>41.424000000000007</v>
      </c>
    </row>
    <row r="7860" spans="2:5">
      <c r="B7860" s="17">
        <v>42068</v>
      </c>
      <c r="D7860" t="s">
        <v>214</v>
      </c>
      <c r="E7860">
        <v>74.352000000000004</v>
      </c>
    </row>
    <row r="7861" spans="2:5">
      <c r="B7861" s="17">
        <v>42068</v>
      </c>
      <c r="D7861" t="s">
        <v>214</v>
      </c>
      <c r="E7861">
        <v>4.3119999999999985</v>
      </c>
    </row>
    <row r="7862" spans="2:5">
      <c r="B7862" s="17">
        <v>42068</v>
      </c>
      <c r="D7862" t="s">
        <v>550</v>
      </c>
      <c r="E7862">
        <v>56.686</v>
      </c>
    </row>
    <row r="7863" spans="2:5">
      <c r="B7863" s="17">
        <v>42068</v>
      </c>
      <c r="D7863" t="s">
        <v>550</v>
      </c>
      <c r="E7863">
        <v>97.968000000000004</v>
      </c>
    </row>
    <row r="7864" spans="2:5">
      <c r="B7864" s="17">
        <v>42068</v>
      </c>
      <c r="D7864" t="s">
        <v>550</v>
      </c>
      <c r="E7864">
        <v>7.8719999999999999</v>
      </c>
    </row>
    <row r="7865" spans="2:5">
      <c r="B7865" s="17">
        <v>42068</v>
      </c>
      <c r="D7865" t="s">
        <v>550</v>
      </c>
      <c r="E7865">
        <v>15.552000000000003</v>
      </c>
    </row>
    <row r="7866" spans="2:5">
      <c r="B7866" s="17">
        <v>42068</v>
      </c>
      <c r="D7866" t="s">
        <v>550</v>
      </c>
      <c r="E7866">
        <v>1.4759999999999998</v>
      </c>
    </row>
    <row r="7867" spans="2:5">
      <c r="B7867" s="17">
        <v>42068</v>
      </c>
      <c r="D7867" t="s">
        <v>550</v>
      </c>
      <c r="E7867">
        <v>5.56</v>
      </c>
    </row>
    <row r="7868" spans="2:5">
      <c r="B7868" s="17">
        <v>42068</v>
      </c>
      <c r="D7868" t="s">
        <v>550</v>
      </c>
      <c r="E7868">
        <v>783.96000000000015</v>
      </c>
    </row>
    <row r="7869" spans="2:5">
      <c r="B7869" s="17">
        <v>42068</v>
      </c>
      <c r="D7869" t="s">
        <v>550</v>
      </c>
      <c r="E7869">
        <v>1447.6499999999999</v>
      </c>
    </row>
    <row r="7870" spans="2:5">
      <c r="B7870" s="17">
        <v>42068</v>
      </c>
      <c r="D7870" t="s">
        <v>550</v>
      </c>
      <c r="E7870">
        <v>11.96</v>
      </c>
    </row>
    <row r="7871" spans="2:5">
      <c r="B7871" s="17">
        <v>42065</v>
      </c>
      <c r="D7871" t="s">
        <v>550</v>
      </c>
      <c r="E7871">
        <v>99.6</v>
      </c>
    </row>
    <row r="7872" spans="2:5">
      <c r="B7872" s="17">
        <v>42065</v>
      </c>
      <c r="D7872" t="s">
        <v>600</v>
      </c>
      <c r="E7872">
        <v>62.296000000000006</v>
      </c>
    </row>
    <row r="7873" spans="2:5">
      <c r="B7873" s="17">
        <v>42065</v>
      </c>
      <c r="D7873" t="s">
        <v>600</v>
      </c>
      <c r="E7873">
        <v>10.709999999999999</v>
      </c>
    </row>
    <row r="7874" spans="2:5">
      <c r="B7874" s="17">
        <v>42064</v>
      </c>
      <c r="D7874" t="s">
        <v>600</v>
      </c>
      <c r="E7874">
        <v>45.216000000000001</v>
      </c>
    </row>
    <row r="7875" spans="2:5">
      <c r="B7875" s="17">
        <v>42064</v>
      </c>
      <c r="D7875" t="s">
        <v>773</v>
      </c>
      <c r="E7875">
        <v>10.416000000000002</v>
      </c>
    </row>
    <row r="7876" spans="2:5">
      <c r="B7876" s="17">
        <v>42064</v>
      </c>
      <c r="D7876" t="s">
        <v>773</v>
      </c>
      <c r="E7876">
        <v>7.8719999999999999</v>
      </c>
    </row>
    <row r="7877" spans="2:5">
      <c r="B7877" s="17">
        <v>42064</v>
      </c>
      <c r="D7877" t="s">
        <v>773</v>
      </c>
      <c r="E7877">
        <v>118.78199999999998</v>
      </c>
    </row>
    <row r="7878" spans="2:5">
      <c r="B7878" s="17">
        <v>42064</v>
      </c>
      <c r="D7878" t="s">
        <v>1448</v>
      </c>
      <c r="E7878">
        <v>1.4480000000000002</v>
      </c>
    </row>
    <row r="7879" spans="2:5">
      <c r="B7879" s="17">
        <v>42064</v>
      </c>
      <c r="D7879" t="s">
        <v>1448</v>
      </c>
      <c r="E7879">
        <v>55.470000000000006</v>
      </c>
    </row>
    <row r="7880" spans="2:5">
      <c r="B7880" s="17">
        <v>42064</v>
      </c>
      <c r="D7880" t="s">
        <v>1448</v>
      </c>
      <c r="E7880">
        <v>12.576000000000001</v>
      </c>
    </row>
    <row r="7881" spans="2:5">
      <c r="B7881" s="17">
        <v>42063</v>
      </c>
      <c r="D7881" t="s">
        <v>1448</v>
      </c>
      <c r="E7881">
        <v>1439.9680000000001</v>
      </c>
    </row>
    <row r="7882" spans="2:5">
      <c r="B7882" s="17">
        <v>42063</v>
      </c>
      <c r="D7882" t="s">
        <v>1448</v>
      </c>
      <c r="E7882">
        <v>43.56</v>
      </c>
    </row>
    <row r="7883" spans="2:5">
      <c r="B7883" s="17">
        <v>42062</v>
      </c>
      <c r="D7883" t="s">
        <v>1448</v>
      </c>
      <c r="E7883">
        <v>569.64</v>
      </c>
    </row>
    <row r="7884" spans="2:5">
      <c r="B7884" s="17">
        <v>42062</v>
      </c>
      <c r="D7884" t="s">
        <v>1448</v>
      </c>
      <c r="E7884">
        <v>9.14</v>
      </c>
    </row>
    <row r="7885" spans="2:5">
      <c r="B7885" s="17">
        <v>42062</v>
      </c>
      <c r="D7885" t="s">
        <v>1607</v>
      </c>
      <c r="E7885">
        <v>1196.8599999999999</v>
      </c>
    </row>
    <row r="7886" spans="2:5">
      <c r="B7886" s="17">
        <v>42062</v>
      </c>
      <c r="D7886" t="s">
        <v>1607</v>
      </c>
      <c r="E7886">
        <v>523.26</v>
      </c>
    </row>
    <row r="7887" spans="2:5">
      <c r="B7887" s="17">
        <v>42062</v>
      </c>
      <c r="D7887" t="s">
        <v>539</v>
      </c>
      <c r="E7887">
        <v>127.76400000000001</v>
      </c>
    </row>
    <row r="7888" spans="2:5">
      <c r="B7888" s="17">
        <v>42060</v>
      </c>
      <c r="D7888" t="s">
        <v>539</v>
      </c>
      <c r="E7888">
        <v>35.207999999999998</v>
      </c>
    </row>
    <row r="7889" spans="2:5">
      <c r="B7889" s="17">
        <v>42060</v>
      </c>
      <c r="D7889" t="s">
        <v>916</v>
      </c>
      <c r="E7889">
        <v>710.83200000000011</v>
      </c>
    </row>
    <row r="7890" spans="2:5">
      <c r="B7890" s="17">
        <v>42058</v>
      </c>
      <c r="D7890" t="s">
        <v>916</v>
      </c>
      <c r="E7890">
        <v>12.88</v>
      </c>
    </row>
    <row r="7891" spans="2:5">
      <c r="B7891" s="17">
        <v>42058</v>
      </c>
      <c r="D7891" t="s">
        <v>916</v>
      </c>
      <c r="E7891">
        <v>31.104000000000006</v>
      </c>
    </row>
    <row r="7892" spans="2:5">
      <c r="B7892" s="17">
        <v>42057</v>
      </c>
      <c r="D7892" t="s">
        <v>916</v>
      </c>
      <c r="E7892">
        <v>54.816000000000003</v>
      </c>
    </row>
    <row r="7893" spans="2:5">
      <c r="B7893" s="17">
        <v>42056</v>
      </c>
      <c r="D7893" t="s">
        <v>1610</v>
      </c>
      <c r="E7893">
        <v>37.68</v>
      </c>
    </row>
    <row r="7894" spans="2:5">
      <c r="B7894" s="17">
        <v>42056</v>
      </c>
      <c r="D7894" t="s">
        <v>438</v>
      </c>
      <c r="E7894">
        <v>75.84</v>
      </c>
    </row>
    <row r="7895" spans="2:5">
      <c r="B7895" s="17">
        <v>42055</v>
      </c>
      <c r="D7895" t="s">
        <v>438</v>
      </c>
      <c r="E7895">
        <v>17.43</v>
      </c>
    </row>
    <row r="7896" spans="2:5">
      <c r="B7896" s="17">
        <v>42055</v>
      </c>
      <c r="D7896" t="s">
        <v>1460</v>
      </c>
      <c r="E7896">
        <v>479.92</v>
      </c>
    </row>
    <row r="7897" spans="2:5">
      <c r="B7897" s="17">
        <v>42053</v>
      </c>
      <c r="D7897" t="s">
        <v>1460</v>
      </c>
      <c r="E7897">
        <v>10.744</v>
      </c>
    </row>
    <row r="7898" spans="2:5">
      <c r="B7898" s="17">
        <v>42053</v>
      </c>
      <c r="D7898" t="s">
        <v>1460</v>
      </c>
      <c r="E7898">
        <v>609.9799999999999</v>
      </c>
    </row>
    <row r="7899" spans="2:5">
      <c r="B7899" s="17">
        <v>42053</v>
      </c>
      <c r="D7899" t="s">
        <v>1752</v>
      </c>
      <c r="E7899">
        <v>40.74</v>
      </c>
    </row>
    <row r="7900" spans="2:5">
      <c r="B7900" s="17">
        <v>42051</v>
      </c>
      <c r="D7900" t="s">
        <v>1752</v>
      </c>
      <c r="E7900">
        <v>85.14</v>
      </c>
    </row>
    <row r="7901" spans="2:5">
      <c r="B7901" s="17">
        <v>42051</v>
      </c>
      <c r="D7901" t="s">
        <v>1752</v>
      </c>
      <c r="E7901">
        <v>21.99</v>
      </c>
    </row>
    <row r="7902" spans="2:5">
      <c r="B7902" s="17">
        <v>42051</v>
      </c>
      <c r="D7902" t="s">
        <v>1752</v>
      </c>
      <c r="E7902">
        <v>406.59999999999997</v>
      </c>
    </row>
    <row r="7903" spans="2:5">
      <c r="B7903" s="17">
        <v>42050</v>
      </c>
      <c r="D7903" t="s">
        <v>250</v>
      </c>
      <c r="E7903">
        <v>67.36</v>
      </c>
    </row>
    <row r="7904" spans="2:5">
      <c r="B7904" s="17">
        <v>42050</v>
      </c>
      <c r="D7904" t="s">
        <v>250</v>
      </c>
      <c r="E7904">
        <v>54.527999999999992</v>
      </c>
    </row>
    <row r="7905" spans="2:5">
      <c r="B7905" s="17">
        <v>42050</v>
      </c>
      <c r="D7905" t="s">
        <v>250</v>
      </c>
      <c r="E7905">
        <v>639.96800000000007</v>
      </c>
    </row>
    <row r="7906" spans="2:5">
      <c r="B7906" s="17">
        <v>42050</v>
      </c>
      <c r="D7906" t="s">
        <v>1076</v>
      </c>
      <c r="E7906">
        <v>52.76</v>
      </c>
    </row>
    <row r="7907" spans="2:5">
      <c r="B7907" s="17">
        <v>42050</v>
      </c>
      <c r="D7907" t="s">
        <v>1076</v>
      </c>
      <c r="E7907">
        <v>12.832000000000001</v>
      </c>
    </row>
    <row r="7908" spans="2:5">
      <c r="B7908" s="17">
        <v>42050</v>
      </c>
      <c r="D7908" t="s">
        <v>1076</v>
      </c>
      <c r="E7908">
        <v>142.04</v>
      </c>
    </row>
    <row r="7909" spans="2:5">
      <c r="B7909" s="17">
        <v>42050</v>
      </c>
      <c r="D7909" t="s">
        <v>1076</v>
      </c>
      <c r="E7909">
        <v>14.669999999999998</v>
      </c>
    </row>
    <row r="7910" spans="2:5">
      <c r="B7910" s="17">
        <v>42050</v>
      </c>
      <c r="D7910" t="s">
        <v>1076</v>
      </c>
      <c r="E7910">
        <v>369.91200000000003</v>
      </c>
    </row>
    <row r="7911" spans="2:5">
      <c r="B7911" s="17">
        <v>42049</v>
      </c>
      <c r="D7911" t="s">
        <v>1076</v>
      </c>
      <c r="E7911">
        <v>17.940000000000001</v>
      </c>
    </row>
    <row r="7912" spans="2:5">
      <c r="B7912" s="17">
        <v>42049</v>
      </c>
      <c r="D7912" t="s">
        <v>1076</v>
      </c>
      <c r="E7912">
        <v>370.14</v>
      </c>
    </row>
    <row r="7913" spans="2:5">
      <c r="B7913" s="17">
        <v>42049</v>
      </c>
      <c r="D7913" t="s">
        <v>1076</v>
      </c>
      <c r="E7913">
        <v>463.24799999999988</v>
      </c>
    </row>
    <row r="7914" spans="2:5">
      <c r="B7914" s="17">
        <v>42049</v>
      </c>
      <c r="D7914" t="s">
        <v>1076</v>
      </c>
      <c r="E7914">
        <v>383.952</v>
      </c>
    </row>
    <row r="7915" spans="2:5">
      <c r="B7915" s="17">
        <v>42049</v>
      </c>
      <c r="D7915" t="s">
        <v>368</v>
      </c>
      <c r="E7915">
        <v>11.736000000000001</v>
      </c>
    </row>
    <row r="7916" spans="2:5">
      <c r="B7916" s="17">
        <v>42049</v>
      </c>
      <c r="D7916" t="s">
        <v>368</v>
      </c>
      <c r="E7916">
        <v>25.92</v>
      </c>
    </row>
    <row r="7917" spans="2:5">
      <c r="B7917" s="17">
        <v>42049</v>
      </c>
      <c r="D7917" t="s">
        <v>368</v>
      </c>
      <c r="E7917">
        <v>22.58</v>
      </c>
    </row>
    <row r="7918" spans="2:5">
      <c r="B7918" s="17">
        <v>42045</v>
      </c>
      <c r="D7918" t="s">
        <v>679</v>
      </c>
      <c r="E7918">
        <v>42.047999999999995</v>
      </c>
    </row>
    <row r="7919" spans="2:5">
      <c r="B7919" s="17">
        <v>42044</v>
      </c>
      <c r="D7919" t="s">
        <v>679</v>
      </c>
      <c r="E7919">
        <v>25.488</v>
      </c>
    </row>
    <row r="7920" spans="2:5">
      <c r="B7920" s="17">
        <v>42044</v>
      </c>
      <c r="D7920" t="s">
        <v>679</v>
      </c>
      <c r="E7920">
        <v>6.8999999999999986</v>
      </c>
    </row>
    <row r="7921" spans="2:5">
      <c r="B7921" s="17">
        <v>42044</v>
      </c>
      <c r="D7921" t="s">
        <v>679</v>
      </c>
      <c r="E7921">
        <v>9.6479999999999961</v>
      </c>
    </row>
    <row r="7922" spans="2:5">
      <c r="B7922" s="17">
        <v>42044</v>
      </c>
      <c r="D7922" t="s">
        <v>679</v>
      </c>
      <c r="E7922">
        <v>7.9680000000000009</v>
      </c>
    </row>
    <row r="7923" spans="2:5">
      <c r="B7923" s="17">
        <v>42044</v>
      </c>
      <c r="D7923" t="s">
        <v>679</v>
      </c>
      <c r="E7923">
        <v>47.952000000000005</v>
      </c>
    </row>
    <row r="7924" spans="2:5">
      <c r="B7924" s="17">
        <v>42043</v>
      </c>
      <c r="D7924" t="s">
        <v>679</v>
      </c>
      <c r="E7924">
        <v>157.79400000000004</v>
      </c>
    </row>
    <row r="7925" spans="2:5">
      <c r="B7925" s="17">
        <v>42043</v>
      </c>
      <c r="D7925" t="s">
        <v>1279</v>
      </c>
      <c r="E7925">
        <v>98.111999999999995</v>
      </c>
    </row>
    <row r="7926" spans="2:5">
      <c r="B7926" s="17">
        <v>42043</v>
      </c>
      <c r="D7926" t="s">
        <v>1279</v>
      </c>
      <c r="E7926">
        <v>563.80799999999999</v>
      </c>
    </row>
    <row r="7927" spans="2:5">
      <c r="B7927" s="17">
        <v>42043</v>
      </c>
      <c r="D7927" t="s">
        <v>1262</v>
      </c>
      <c r="E7927">
        <v>10.428000000000001</v>
      </c>
    </row>
    <row r="7928" spans="2:5">
      <c r="B7928" s="17">
        <v>42042</v>
      </c>
      <c r="D7928" t="s">
        <v>1262</v>
      </c>
      <c r="E7928">
        <v>547.13599999999997</v>
      </c>
    </row>
    <row r="7929" spans="2:5">
      <c r="B7929" s="17">
        <v>42042</v>
      </c>
      <c r="D7929" t="s">
        <v>1262</v>
      </c>
      <c r="E7929">
        <v>14.850000000000001</v>
      </c>
    </row>
    <row r="7930" spans="2:5">
      <c r="B7930" s="17">
        <v>42041</v>
      </c>
      <c r="D7930" t="s">
        <v>1262</v>
      </c>
      <c r="E7930">
        <v>41.988</v>
      </c>
    </row>
    <row r="7931" spans="2:5">
      <c r="B7931" s="17">
        <v>42041</v>
      </c>
      <c r="D7931" t="s">
        <v>1262</v>
      </c>
      <c r="E7931">
        <v>7.5840000000000005</v>
      </c>
    </row>
    <row r="7932" spans="2:5">
      <c r="B7932" s="17">
        <v>42041</v>
      </c>
      <c r="D7932" t="s">
        <v>1262</v>
      </c>
      <c r="E7932">
        <v>352.45</v>
      </c>
    </row>
    <row r="7933" spans="2:5">
      <c r="B7933" s="17">
        <v>42041</v>
      </c>
      <c r="D7933" t="s">
        <v>1262</v>
      </c>
      <c r="E7933">
        <v>23.904000000000003</v>
      </c>
    </row>
    <row r="7934" spans="2:5">
      <c r="B7934" s="17">
        <v>42041</v>
      </c>
      <c r="D7934" t="s">
        <v>1379</v>
      </c>
      <c r="E7934">
        <v>892.22400000000005</v>
      </c>
    </row>
    <row r="7935" spans="2:5">
      <c r="B7935" s="17">
        <v>42041</v>
      </c>
      <c r="D7935" t="s">
        <v>1379</v>
      </c>
      <c r="E7935">
        <v>23.84</v>
      </c>
    </row>
    <row r="7936" spans="2:5">
      <c r="B7936" s="17">
        <v>42041</v>
      </c>
      <c r="D7936" t="s">
        <v>1379</v>
      </c>
      <c r="E7936">
        <v>11.16</v>
      </c>
    </row>
    <row r="7937" spans="2:5">
      <c r="B7937" s="17">
        <v>42041</v>
      </c>
      <c r="D7937" t="s">
        <v>225</v>
      </c>
      <c r="E7937">
        <v>108.4</v>
      </c>
    </row>
    <row r="7938" spans="2:5">
      <c r="B7938" s="17">
        <v>42041</v>
      </c>
      <c r="D7938" t="s">
        <v>225</v>
      </c>
      <c r="E7938">
        <v>82.344000000000008</v>
      </c>
    </row>
    <row r="7939" spans="2:5">
      <c r="B7939" s="17">
        <v>42038</v>
      </c>
      <c r="D7939" t="s">
        <v>225</v>
      </c>
      <c r="E7939">
        <v>9.0879999999999992</v>
      </c>
    </row>
    <row r="7940" spans="2:5">
      <c r="B7940" s="17">
        <v>42038</v>
      </c>
      <c r="D7940" t="s">
        <v>225</v>
      </c>
      <c r="E7940">
        <v>644.07600000000002</v>
      </c>
    </row>
    <row r="7941" spans="2:5">
      <c r="B7941" s="17">
        <v>42038</v>
      </c>
      <c r="D7941" t="s">
        <v>225</v>
      </c>
      <c r="E7941">
        <v>5.84</v>
      </c>
    </row>
    <row r="7942" spans="2:5">
      <c r="B7942" s="17">
        <v>42038</v>
      </c>
      <c r="D7942" t="s">
        <v>225</v>
      </c>
      <c r="E7942">
        <v>12.76</v>
      </c>
    </row>
    <row r="7943" spans="2:5">
      <c r="B7943" s="17">
        <v>42038</v>
      </c>
      <c r="D7943" t="s">
        <v>225</v>
      </c>
      <c r="E7943">
        <v>10.95</v>
      </c>
    </row>
    <row r="7944" spans="2:5">
      <c r="B7944" s="17">
        <v>42038</v>
      </c>
      <c r="D7944" t="s">
        <v>225</v>
      </c>
      <c r="E7944">
        <v>599.98</v>
      </c>
    </row>
    <row r="7945" spans="2:5">
      <c r="B7945" s="17">
        <v>42035</v>
      </c>
      <c r="D7945" t="s">
        <v>1651</v>
      </c>
      <c r="E7945">
        <v>32.191999999999993</v>
      </c>
    </row>
    <row r="7946" spans="2:5">
      <c r="B7946" s="17">
        <v>42035</v>
      </c>
      <c r="D7946" t="s">
        <v>1651</v>
      </c>
      <c r="E7946">
        <v>50.120000000000005</v>
      </c>
    </row>
    <row r="7947" spans="2:5">
      <c r="B7947" s="17">
        <v>42035</v>
      </c>
      <c r="D7947" t="s">
        <v>1081</v>
      </c>
      <c r="E7947">
        <v>47.975999999999999</v>
      </c>
    </row>
    <row r="7948" spans="2:5">
      <c r="B7948" s="17">
        <v>42034</v>
      </c>
      <c r="D7948" t="s">
        <v>1081</v>
      </c>
      <c r="E7948">
        <v>9.155999999999997</v>
      </c>
    </row>
    <row r="7949" spans="2:5">
      <c r="B7949" s="17">
        <v>42034</v>
      </c>
      <c r="D7949" t="s">
        <v>1081</v>
      </c>
      <c r="E7949">
        <v>71.975999999999999</v>
      </c>
    </row>
    <row r="7950" spans="2:5">
      <c r="B7950" s="17">
        <v>42034</v>
      </c>
      <c r="D7950" t="s">
        <v>915</v>
      </c>
      <c r="E7950">
        <v>87.8</v>
      </c>
    </row>
    <row r="7951" spans="2:5">
      <c r="B7951" s="17">
        <v>42032</v>
      </c>
      <c r="D7951" t="s">
        <v>915</v>
      </c>
      <c r="E7951">
        <v>79.959999999999994</v>
      </c>
    </row>
    <row r="7952" spans="2:5">
      <c r="B7952" s="17">
        <v>42031</v>
      </c>
      <c r="D7952" t="s">
        <v>915</v>
      </c>
      <c r="E7952">
        <v>98.376000000000005</v>
      </c>
    </row>
    <row r="7953" spans="2:5">
      <c r="B7953" s="17">
        <v>42031</v>
      </c>
      <c r="D7953" t="s">
        <v>915</v>
      </c>
      <c r="E7953">
        <v>22.38</v>
      </c>
    </row>
    <row r="7954" spans="2:5">
      <c r="B7954" s="17">
        <v>42031</v>
      </c>
      <c r="D7954" t="s">
        <v>915</v>
      </c>
      <c r="E7954">
        <v>23.52</v>
      </c>
    </row>
    <row r="7955" spans="2:5">
      <c r="B7955" s="17">
        <v>42031</v>
      </c>
      <c r="D7955" t="s">
        <v>1574</v>
      </c>
      <c r="E7955">
        <v>180.96</v>
      </c>
    </row>
    <row r="7956" spans="2:5">
      <c r="B7956" s="17">
        <v>42030</v>
      </c>
      <c r="D7956" t="s">
        <v>1574</v>
      </c>
      <c r="E7956">
        <v>366.74399999999997</v>
      </c>
    </row>
    <row r="7957" spans="2:5">
      <c r="B7957" s="17">
        <v>42028</v>
      </c>
      <c r="D7957" t="s">
        <v>1574</v>
      </c>
      <c r="E7957">
        <v>1166.92</v>
      </c>
    </row>
    <row r="7958" spans="2:5">
      <c r="B7958" s="17">
        <v>42027</v>
      </c>
      <c r="D7958" t="s">
        <v>1574</v>
      </c>
      <c r="E7958">
        <v>73.28</v>
      </c>
    </row>
    <row r="7959" spans="2:5">
      <c r="B7959" s="17">
        <v>42027</v>
      </c>
      <c r="D7959" t="s">
        <v>1574</v>
      </c>
      <c r="E7959">
        <v>9.870000000000001</v>
      </c>
    </row>
    <row r="7960" spans="2:5">
      <c r="B7960" s="17">
        <v>42023</v>
      </c>
      <c r="D7960" t="s">
        <v>1065</v>
      </c>
      <c r="E7960">
        <v>53.25</v>
      </c>
    </row>
    <row r="7961" spans="2:5">
      <c r="B7961" s="17">
        <v>42023</v>
      </c>
      <c r="D7961" t="s">
        <v>1065</v>
      </c>
      <c r="E7961">
        <v>19.919999999999998</v>
      </c>
    </row>
    <row r="7962" spans="2:5">
      <c r="B7962" s="17">
        <v>42021</v>
      </c>
      <c r="D7962" t="s">
        <v>1065</v>
      </c>
      <c r="E7962">
        <v>5.56</v>
      </c>
    </row>
    <row r="7963" spans="2:5">
      <c r="B7963" s="17">
        <v>42021</v>
      </c>
      <c r="D7963" t="s">
        <v>1065</v>
      </c>
      <c r="E7963">
        <v>17.64</v>
      </c>
    </row>
    <row r="7964" spans="2:5">
      <c r="B7964" s="17">
        <v>42021</v>
      </c>
      <c r="D7964" t="s">
        <v>614</v>
      </c>
      <c r="E7964">
        <v>166.24</v>
      </c>
    </row>
    <row r="7965" spans="2:5">
      <c r="B7965" s="17">
        <v>42017</v>
      </c>
      <c r="D7965" t="s">
        <v>614</v>
      </c>
      <c r="E7965">
        <v>33.4</v>
      </c>
    </row>
    <row r="7966" spans="2:5">
      <c r="B7966" s="17">
        <v>42017</v>
      </c>
      <c r="D7966" t="s">
        <v>614</v>
      </c>
      <c r="E7966">
        <v>15.552000000000003</v>
      </c>
    </row>
    <row r="7967" spans="2:5">
      <c r="B7967" s="17">
        <v>42017</v>
      </c>
      <c r="D7967" t="s">
        <v>614</v>
      </c>
      <c r="E7967">
        <v>5.2320000000000002</v>
      </c>
    </row>
    <row r="7968" spans="2:5">
      <c r="B7968" s="17">
        <v>42017</v>
      </c>
      <c r="D7968" t="s">
        <v>614</v>
      </c>
      <c r="E7968">
        <v>22.919999999999998</v>
      </c>
    </row>
    <row r="7969" spans="2:5">
      <c r="B7969" s="17">
        <v>42016</v>
      </c>
      <c r="D7969" t="s">
        <v>1831</v>
      </c>
      <c r="E7969">
        <v>83.699999999999989</v>
      </c>
    </row>
    <row r="7970" spans="2:5">
      <c r="B7970" s="17">
        <v>42016</v>
      </c>
      <c r="D7970" t="s">
        <v>1831</v>
      </c>
      <c r="E7970">
        <v>74.352000000000004</v>
      </c>
    </row>
    <row r="7971" spans="2:5">
      <c r="B7971" s="17">
        <v>42016</v>
      </c>
      <c r="D7971" t="s">
        <v>1831</v>
      </c>
      <c r="E7971">
        <v>40.032000000000004</v>
      </c>
    </row>
    <row r="7972" spans="2:5">
      <c r="B7972" s="17">
        <v>42016</v>
      </c>
      <c r="D7972" t="s">
        <v>1831</v>
      </c>
      <c r="E7972">
        <v>16.776000000000003</v>
      </c>
    </row>
    <row r="7973" spans="2:5">
      <c r="B7973" s="17">
        <v>42016</v>
      </c>
      <c r="D7973" t="s">
        <v>1097</v>
      </c>
      <c r="E7973">
        <v>3393.68</v>
      </c>
    </row>
    <row r="7974" spans="2:5">
      <c r="B7974" s="17">
        <v>42016</v>
      </c>
      <c r="D7974" t="s">
        <v>1097</v>
      </c>
      <c r="E7974">
        <v>1085.42</v>
      </c>
    </row>
    <row r="7975" spans="2:5">
      <c r="B7975" s="17">
        <v>42014</v>
      </c>
      <c r="D7975" t="s">
        <v>1097</v>
      </c>
      <c r="E7975">
        <v>13.11</v>
      </c>
    </row>
    <row r="7976" spans="2:5">
      <c r="B7976" s="17">
        <v>42013</v>
      </c>
      <c r="D7976" t="s">
        <v>1097</v>
      </c>
      <c r="E7976">
        <v>359.05799999999994</v>
      </c>
    </row>
    <row r="7977" spans="2:5">
      <c r="B7977" s="17">
        <v>42013</v>
      </c>
      <c r="D7977" t="s">
        <v>1097</v>
      </c>
      <c r="E7977">
        <v>6.9920000000000009</v>
      </c>
    </row>
    <row r="7978" spans="2:5">
      <c r="B7978" s="17">
        <v>42013</v>
      </c>
      <c r="D7978" t="s">
        <v>1097</v>
      </c>
      <c r="E7978">
        <v>46.900000000000006</v>
      </c>
    </row>
    <row r="7979" spans="2:5">
      <c r="B7979" s="17">
        <v>42013</v>
      </c>
      <c r="D7979" t="s">
        <v>1097</v>
      </c>
      <c r="E7979">
        <v>107.77200000000001</v>
      </c>
    </row>
    <row r="7980" spans="2:5">
      <c r="B7980" s="17">
        <v>42010</v>
      </c>
      <c r="D7980" t="s">
        <v>1506</v>
      </c>
      <c r="E7980">
        <v>31.56</v>
      </c>
    </row>
    <row r="7981" spans="2:5">
      <c r="B7981" s="17">
        <v>42010</v>
      </c>
      <c r="D7981" t="s">
        <v>1506</v>
      </c>
      <c r="E7981">
        <v>27.92</v>
      </c>
    </row>
    <row r="7982" spans="2:5">
      <c r="B7982" s="17">
        <v>42009</v>
      </c>
      <c r="D7982" t="s">
        <v>1506</v>
      </c>
      <c r="E7982">
        <v>33.36</v>
      </c>
    </row>
    <row r="7983" spans="2:5">
      <c r="B7983" s="17">
        <v>42009</v>
      </c>
      <c r="D7983" t="s">
        <v>1506</v>
      </c>
      <c r="E7983">
        <v>192.72</v>
      </c>
    </row>
    <row r="7984" spans="2:5">
      <c r="B7984" s="17">
        <v>42009</v>
      </c>
      <c r="D7984" t="s">
        <v>810</v>
      </c>
      <c r="E7984">
        <v>18.391999999999999</v>
      </c>
    </row>
    <row r="7985" spans="2:5">
      <c r="B7985" s="17">
        <v>42009</v>
      </c>
      <c r="D7985" t="s">
        <v>810</v>
      </c>
      <c r="E7985">
        <v>129.56800000000001</v>
      </c>
    </row>
    <row r="7986" spans="2:5">
      <c r="B7986" s="17">
        <v>42009</v>
      </c>
      <c r="D7986" t="s">
        <v>1795</v>
      </c>
      <c r="E7986">
        <v>14.111999999999997</v>
      </c>
    </row>
    <row r="7987" spans="2:5">
      <c r="B7987" s="17">
        <v>42009</v>
      </c>
      <c r="D7987" t="s">
        <v>1795</v>
      </c>
      <c r="E7987">
        <v>15.984000000000002</v>
      </c>
    </row>
    <row r="7988" spans="2:5">
      <c r="B7988" s="17">
        <v>42008</v>
      </c>
      <c r="D7988" t="s">
        <v>1795</v>
      </c>
      <c r="E7988">
        <v>105.52</v>
      </c>
    </row>
    <row r="7989" spans="2:5">
      <c r="B7989" s="17">
        <v>42008</v>
      </c>
      <c r="D7989" t="s">
        <v>1795</v>
      </c>
      <c r="E7989">
        <v>91.96</v>
      </c>
    </row>
    <row r="7990" spans="2:5">
      <c r="B7990" s="17">
        <v>42008</v>
      </c>
      <c r="D7990" t="s">
        <v>163</v>
      </c>
      <c r="E7990">
        <v>1487.9760000000001</v>
      </c>
    </row>
    <row r="7991" spans="2:5">
      <c r="B7991" s="17">
        <v>42007</v>
      </c>
      <c r="D7991" t="s">
        <v>163</v>
      </c>
      <c r="E7991">
        <v>19.559999999999999</v>
      </c>
    </row>
    <row r="7992" spans="2:5">
      <c r="B7992" s="17">
        <v>42007</v>
      </c>
      <c r="D7992" t="s">
        <v>163</v>
      </c>
      <c r="E7992">
        <v>447.94399999999996</v>
      </c>
    </row>
    <row r="7993" spans="2:5">
      <c r="B7993" s="17">
        <v>42007</v>
      </c>
      <c r="D7993" t="s">
        <v>163</v>
      </c>
      <c r="E7993">
        <v>150.40799999999999</v>
      </c>
    </row>
    <row r="7994" spans="2:5">
      <c r="B7994" s="17">
        <v>42007</v>
      </c>
      <c r="D7994" t="s">
        <v>163</v>
      </c>
      <c r="E7994">
        <v>962.07999999999993</v>
      </c>
    </row>
    <row r="7995" spans="2:5">
      <c r="B7995" s="17">
        <v>42006</v>
      </c>
      <c r="D7995" t="s">
        <v>163</v>
      </c>
      <c r="E7995">
        <v>12.843000000000002</v>
      </c>
    </row>
    <row r="7996" spans="2:5">
      <c r="B7996" s="17">
        <v>42006</v>
      </c>
      <c r="D7996" t="s">
        <v>163</v>
      </c>
      <c r="E7996">
        <v>51.84</v>
      </c>
    </row>
    <row r="7997" spans="2:5">
      <c r="B7997" s="17">
        <v>42006</v>
      </c>
      <c r="D7997" t="s">
        <v>721</v>
      </c>
      <c r="E7997">
        <v>2.5119999999999996</v>
      </c>
    </row>
    <row r="7998" spans="2:5">
      <c r="B7998" s="17">
        <v>42006</v>
      </c>
      <c r="D7998" t="s">
        <v>721</v>
      </c>
      <c r="E7998">
        <v>18.864000000000001</v>
      </c>
    </row>
    <row r="7999" spans="2:5">
      <c r="B7999" s="17">
        <v>42006</v>
      </c>
      <c r="D7999" t="s">
        <v>721</v>
      </c>
      <c r="E7999">
        <v>29.304000000000002</v>
      </c>
    </row>
    <row r="8000" spans="2:5">
      <c r="B8000" s="17">
        <v>42006</v>
      </c>
      <c r="D8000" t="s">
        <v>721</v>
      </c>
      <c r="E8000">
        <v>49.847999999999999</v>
      </c>
    </row>
    <row r="8001" spans="2:5">
      <c r="B8001" s="17">
        <v>42006</v>
      </c>
      <c r="D8001" t="s">
        <v>721</v>
      </c>
      <c r="E8001">
        <v>23.99</v>
      </c>
    </row>
    <row r="8002" spans="2:5">
      <c r="B8002" s="17">
        <v>42006</v>
      </c>
      <c r="D8002" t="s">
        <v>721</v>
      </c>
      <c r="E8002">
        <v>1087.9360000000001</v>
      </c>
    </row>
    <row r="8003" spans="2:5">
      <c r="B8003" s="17">
        <v>42004</v>
      </c>
      <c r="D8003" t="s">
        <v>721</v>
      </c>
      <c r="E8003">
        <v>83.92</v>
      </c>
    </row>
    <row r="8004" spans="2:5">
      <c r="B8004" s="17">
        <v>42004</v>
      </c>
      <c r="D8004" t="s">
        <v>721</v>
      </c>
      <c r="E8004">
        <v>453.57600000000002</v>
      </c>
    </row>
    <row r="8005" spans="2:5">
      <c r="B8005" s="17">
        <v>42004</v>
      </c>
      <c r="D8005" t="s">
        <v>721</v>
      </c>
      <c r="E8005">
        <v>1247.6399999999999</v>
      </c>
    </row>
    <row r="8006" spans="2:5">
      <c r="B8006" s="17">
        <v>42004</v>
      </c>
      <c r="D8006" t="s">
        <v>721</v>
      </c>
      <c r="E8006">
        <v>3149.9300000000003</v>
      </c>
    </row>
    <row r="8007" spans="2:5">
      <c r="B8007" s="17">
        <v>42004</v>
      </c>
      <c r="D8007" t="s">
        <v>721</v>
      </c>
      <c r="E8007">
        <v>17.568000000000001</v>
      </c>
    </row>
    <row r="8008" spans="2:5">
      <c r="B8008" s="17">
        <v>42004</v>
      </c>
      <c r="D8008" t="s">
        <v>721</v>
      </c>
      <c r="E8008">
        <v>14.62</v>
      </c>
    </row>
    <row r="8009" spans="2:5">
      <c r="B8009" s="17">
        <v>42004</v>
      </c>
      <c r="D8009" t="s">
        <v>721</v>
      </c>
      <c r="E8009">
        <v>33.36</v>
      </c>
    </row>
    <row r="8010" spans="2:5">
      <c r="B8010" s="17">
        <v>42004</v>
      </c>
      <c r="D8010" t="s">
        <v>1713</v>
      </c>
      <c r="E8010">
        <v>40.14</v>
      </c>
    </row>
    <row r="8011" spans="2:5">
      <c r="B8011" s="17">
        <v>42004</v>
      </c>
      <c r="D8011" t="s">
        <v>1713</v>
      </c>
      <c r="E8011">
        <v>14.496000000000002</v>
      </c>
    </row>
    <row r="8012" spans="2:5">
      <c r="B8012" s="17">
        <v>42004</v>
      </c>
      <c r="D8012" t="s">
        <v>1713</v>
      </c>
      <c r="E8012">
        <v>11.96</v>
      </c>
    </row>
    <row r="8013" spans="2:5">
      <c r="B8013" s="17">
        <v>42004</v>
      </c>
      <c r="D8013" t="s">
        <v>473</v>
      </c>
      <c r="E8013">
        <v>10.9</v>
      </c>
    </row>
    <row r="8014" spans="2:5">
      <c r="B8014" s="17">
        <v>42004</v>
      </c>
      <c r="D8014" t="s">
        <v>473</v>
      </c>
      <c r="E8014">
        <v>65.584000000000003</v>
      </c>
    </row>
    <row r="8015" spans="2:5">
      <c r="B8015" s="17">
        <v>42004</v>
      </c>
      <c r="D8015" t="s">
        <v>473</v>
      </c>
      <c r="E8015">
        <v>383.46559999999994</v>
      </c>
    </row>
    <row r="8016" spans="2:5">
      <c r="B8016" s="17">
        <v>42004</v>
      </c>
      <c r="D8016" t="s">
        <v>473</v>
      </c>
      <c r="E8016">
        <v>15.02</v>
      </c>
    </row>
    <row r="8017" spans="2:5">
      <c r="B8017" s="17">
        <v>42003</v>
      </c>
      <c r="D8017" t="s">
        <v>473</v>
      </c>
      <c r="E8017">
        <v>33.82</v>
      </c>
    </row>
    <row r="8018" spans="2:5">
      <c r="B8018" s="17">
        <v>42003</v>
      </c>
      <c r="D8018" t="s">
        <v>473</v>
      </c>
      <c r="E8018">
        <v>2.74</v>
      </c>
    </row>
    <row r="8019" spans="2:5">
      <c r="B8019" s="17">
        <v>42003</v>
      </c>
      <c r="D8019" t="s">
        <v>473</v>
      </c>
      <c r="E8019">
        <v>8.34</v>
      </c>
    </row>
    <row r="8020" spans="2:5">
      <c r="B8020" s="17">
        <v>42003</v>
      </c>
      <c r="D8020" t="s">
        <v>1637</v>
      </c>
      <c r="E8020">
        <v>46.74</v>
      </c>
    </row>
    <row r="8021" spans="2:5">
      <c r="B8021" s="17">
        <v>42003</v>
      </c>
      <c r="D8021" t="s">
        <v>1637</v>
      </c>
      <c r="E8021">
        <v>6354.95</v>
      </c>
    </row>
    <row r="8022" spans="2:5">
      <c r="B8022" s="17">
        <v>42003</v>
      </c>
      <c r="D8022" t="s">
        <v>1637</v>
      </c>
      <c r="E8022">
        <v>171.96</v>
      </c>
    </row>
    <row r="8023" spans="2:5">
      <c r="B8023" s="17">
        <v>42003</v>
      </c>
      <c r="D8023" t="s">
        <v>1758</v>
      </c>
      <c r="E8023">
        <v>43.13</v>
      </c>
    </row>
    <row r="8024" spans="2:5">
      <c r="B8024" s="17">
        <v>42003</v>
      </c>
      <c r="D8024" t="s">
        <v>1758</v>
      </c>
      <c r="E8024">
        <v>85.9</v>
      </c>
    </row>
    <row r="8025" spans="2:5">
      <c r="B8025" s="17">
        <v>42003</v>
      </c>
      <c r="D8025" t="s">
        <v>1758</v>
      </c>
      <c r="E8025">
        <v>491.55</v>
      </c>
    </row>
    <row r="8026" spans="2:5">
      <c r="B8026" s="17">
        <v>42003</v>
      </c>
      <c r="D8026" t="s">
        <v>1359</v>
      </c>
      <c r="E8026">
        <v>7.38</v>
      </c>
    </row>
    <row r="8027" spans="2:5">
      <c r="B8027" s="17">
        <v>42003</v>
      </c>
      <c r="D8027" t="s">
        <v>1359</v>
      </c>
      <c r="E8027">
        <v>17.52</v>
      </c>
    </row>
    <row r="8028" spans="2:5">
      <c r="B8028" s="17">
        <v>42003</v>
      </c>
      <c r="D8028" t="s">
        <v>1359</v>
      </c>
      <c r="E8028">
        <v>16.776000000000003</v>
      </c>
    </row>
    <row r="8029" spans="2:5">
      <c r="B8029" s="17">
        <v>42003</v>
      </c>
      <c r="D8029" t="s">
        <v>1359</v>
      </c>
      <c r="E8029">
        <v>671.93999999999994</v>
      </c>
    </row>
    <row r="8030" spans="2:5">
      <c r="B8030" s="17">
        <v>42002</v>
      </c>
      <c r="D8030" t="s">
        <v>1359</v>
      </c>
      <c r="E8030">
        <v>19.440000000000001</v>
      </c>
    </row>
    <row r="8031" spans="2:5">
      <c r="B8031" s="17">
        <v>42002</v>
      </c>
      <c r="D8031" t="s">
        <v>676</v>
      </c>
      <c r="E8031">
        <v>141.96</v>
      </c>
    </row>
    <row r="8032" spans="2:5">
      <c r="B8032" s="17">
        <v>42002</v>
      </c>
      <c r="D8032" t="s">
        <v>676</v>
      </c>
      <c r="E8032">
        <v>915.13600000000008</v>
      </c>
    </row>
    <row r="8033" spans="2:5">
      <c r="B8033" s="17">
        <v>42002</v>
      </c>
      <c r="D8033" t="s">
        <v>676</v>
      </c>
      <c r="E8033">
        <v>8.6880000000000006</v>
      </c>
    </row>
    <row r="8034" spans="2:5">
      <c r="B8034" s="17">
        <v>42002</v>
      </c>
      <c r="D8034" t="s">
        <v>676</v>
      </c>
      <c r="E8034">
        <v>30.880000000000003</v>
      </c>
    </row>
    <row r="8035" spans="2:5">
      <c r="B8035" s="17">
        <v>42002</v>
      </c>
      <c r="D8035" t="s">
        <v>1595</v>
      </c>
      <c r="E8035">
        <v>6.4080000000000004</v>
      </c>
    </row>
    <row r="8036" spans="2:5">
      <c r="B8036" s="17">
        <v>42002</v>
      </c>
      <c r="D8036" t="s">
        <v>1595</v>
      </c>
      <c r="E8036">
        <v>5.04</v>
      </c>
    </row>
    <row r="8037" spans="2:5">
      <c r="B8037" s="17">
        <v>42002</v>
      </c>
      <c r="D8037" t="s">
        <v>1595</v>
      </c>
      <c r="E8037">
        <v>1.1119999999999997</v>
      </c>
    </row>
    <row r="8038" spans="2:5">
      <c r="B8038" s="17">
        <v>42002</v>
      </c>
      <c r="D8038" t="s">
        <v>1595</v>
      </c>
      <c r="E8038">
        <v>89.820000000000007</v>
      </c>
    </row>
    <row r="8039" spans="2:5">
      <c r="B8039" s="17">
        <v>42002</v>
      </c>
      <c r="D8039" t="s">
        <v>1595</v>
      </c>
      <c r="E8039">
        <v>113.52000000000001</v>
      </c>
    </row>
    <row r="8040" spans="2:5">
      <c r="B8040" s="17">
        <v>42002</v>
      </c>
      <c r="D8040" t="s">
        <v>1595</v>
      </c>
      <c r="E8040">
        <v>359.88</v>
      </c>
    </row>
    <row r="8041" spans="2:5">
      <c r="B8041" s="17">
        <v>42002</v>
      </c>
      <c r="D8041" t="s">
        <v>1759</v>
      </c>
      <c r="E8041">
        <v>4.6079999999999997</v>
      </c>
    </row>
    <row r="8042" spans="2:5">
      <c r="B8042" s="17">
        <v>42002</v>
      </c>
      <c r="D8042" t="s">
        <v>1259</v>
      </c>
      <c r="E8042">
        <v>512.93999999999994</v>
      </c>
    </row>
    <row r="8043" spans="2:5">
      <c r="B8043" s="17">
        <v>42002</v>
      </c>
      <c r="D8043" t="s">
        <v>865</v>
      </c>
      <c r="E8043">
        <v>860.93</v>
      </c>
    </row>
    <row r="8044" spans="2:5">
      <c r="B8044" s="17">
        <v>42002</v>
      </c>
      <c r="D8044" t="s">
        <v>865</v>
      </c>
      <c r="E8044">
        <v>769.95</v>
      </c>
    </row>
    <row r="8045" spans="2:5">
      <c r="B8045" s="17">
        <v>42002</v>
      </c>
      <c r="D8045" t="s">
        <v>865</v>
      </c>
      <c r="E8045">
        <v>14.98</v>
      </c>
    </row>
    <row r="8046" spans="2:5">
      <c r="B8046" s="17">
        <v>42001</v>
      </c>
      <c r="D8046" t="s">
        <v>865</v>
      </c>
      <c r="E8046">
        <v>373.08</v>
      </c>
    </row>
    <row r="8047" spans="2:5">
      <c r="B8047" s="17">
        <v>42001</v>
      </c>
      <c r="D8047" t="s">
        <v>965</v>
      </c>
      <c r="E8047">
        <v>19.440000000000001</v>
      </c>
    </row>
    <row r="8048" spans="2:5">
      <c r="B8048" s="17">
        <v>42001</v>
      </c>
      <c r="D8048" t="s">
        <v>965</v>
      </c>
      <c r="E8048">
        <v>3.4079999999999999</v>
      </c>
    </row>
    <row r="8049" spans="2:5">
      <c r="B8049" s="17">
        <v>42001</v>
      </c>
      <c r="D8049" t="s">
        <v>965</v>
      </c>
      <c r="E8049">
        <v>8.5679999999999978</v>
      </c>
    </row>
    <row r="8050" spans="2:5">
      <c r="B8050" s="17">
        <v>42001</v>
      </c>
      <c r="D8050" t="s">
        <v>965</v>
      </c>
      <c r="E8050">
        <v>119.85000000000001</v>
      </c>
    </row>
    <row r="8051" spans="2:5">
      <c r="B8051" s="17">
        <v>42001</v>
      </c>
      <c r="D8051" t="s">
        <v>442</v>
      </c>
      <c r="E8051">
        <v>30.44</v>
      </c>
    </row>
    <row r="8052" spans="2:5">
      <c r="B8052" s="17">
        <v>42000</v>
      </c>
      <c r="D8052" t="s">
        <v>442</v>
      </c>
      <c r="E8052">
        <v>69.28</v>
      </c>
    </row>
    <row r="8053" spans="2:5">
      <c r="B8053" s="17">
        <v>42000</v>
      </c>
      <c r="D8053" t="s">
        <v>442</v>
      </c>
      <c r="E8053">
        <v>587.97</v>
      </c>
    </row>
    <row r="8054" spans="2:5">
      <c r="B8054" s="17">
        <v>42000</v>
      </c>
      <c r="D8054" t="s">
        <v>442</v>
      </c>
      <c r="E8054">
        <v>435.26</v>
      </c>
    </row>
    <row r="8055" spans="2:5">
      <c r="B8055" s="17">
        <v>42000</v>
      </c>
      <c r="D8055" t="s">
        <v>442</v>
      </c>
      <c r="E8055">
        <v>1119.9840000000002</v>
      </c>
    </row>
    <row r="8056" spans="2:5">
      <c r="B8056" s="17">
        <v>42000</v>
      </c>
      <c r="D8056" t="s">
        <v>442</v>
      </c>
      <c r="E8056">
        <v>29.339999999999996</v>
      </c>
    </row>
    <row r="8057" spans="2:5">
      <c r="B8057" s="17">
        <v>42000</v>
      </c>
      <c r="D8057" t="s">
        <v>442</v>
      </c>
      <c r="E8057">
        <v>383.60700000000003</v>
      </c>
    </row>
    <row r="8058" spans="2:5">
      <c r="B8058" s="17">
        <v>42000</v>
      </c>
      <c r="D8058" t="s">
        <v>442</v>
      </c>
      <c r="E8058">
        <v>563.4</v>
      </c>
    </row>
    <row r="8059" spans="2:5">
      <c r="B8059" s="17">
        <v>42000</v>
      </c>
      <c r="D8059" t="s">
        <v>442</v>
      </c>
      <c r="E8059">
        <v>23.92</v>
      </c>
    </row>
    <row r="8060" spans="2:5">
      <c r="B8060" s="17">
        <v>42000</v>
      </c>
      <c r="D8060" t="s">
        <v>760</v>
      </c>
      <c r="E8060">
        <v>60.69</v>
      </c>
    </row>
    <row r="8061" spans="2:5">
      <c r="B8061" s="17">
        <v>42000</v>
      </c>
      <c r="D8061" t="s">
        <v>1123</v>
      </c>
      <c r="E8061">
        <v>466.15799999999996</v>
      </c>
    </row>
    <row r="8062" spans="2:5">
      <c r="B8062" s="17">
        <v>42000</v>
      </c>
      <c r="D8062" t="s">
        <v>1123</v>
      </c>
      <c r="E8062">
        <v>10.312000000000001</v>
      </c>
    </row>
    <row r="8063" spans="2:5">
      <c r="B8063" s="17">
        <v>42000</v>
      </c>
      <c r="D8063" t="s">
        <v>1123</v>
      </c>
      <c r="E8063">
        <v>2.556</v>
      </c>
    </row>
    <row r="8064" spans="2:5">
      <c r="B8064" s="17">
        <v>42000</v>
      </c>
      <c r="D8064" t="s">
        <v>1123</v>
      </c>
      <c r="E8064">
        <v>99.372</v>
      </c>
    </row>
    <row r="8065" spans="2:5">
      <c r="B8065" s="17">
        <v>42000</v>
      </c>
      <c r="D8065" t="s">
        <v>1123</v>
      </c>
      <c r="E8065">
        <v>33.568000000000005</v>
      </c>
    </row>
    <row r="8066" spans="2:5">
      <c r="B8066" s="17">
        <v>42000</v>
      </c>
      <c r="D8066" t="s">
        <v>1123</v>
      </c>
      <c r="E8066">
        <v>31.92</v>
      </c>
    </row>
    <row r="8067" spans="2:5">
      <c r="B8067" s="17">
        <v>42000</v>
      </c>
      <c r="D8067" t="s">
        <v>1123</v>
      </c>
      <c r="E8067">
        <v>7.1039999999999992</v>
      </c>
    </row>
    <row r="8068" spans="2:5">
      <c r="B8068" s="17">
        <v>41999</v>
      </c>
      <c r="D8068" t="s">
        <v>1123</v>
      </c>
      <c r="E8068">
        <v>11.211999999999998</v>
      </c>
    </row>
    <row r="8069" spans="2:5">
      <c r="B8069" s="17">
        <v>41999</v>
      </c>
      <c r="D8069" t="s">
        <v>1123</v>
      </c>
      <c r="E8069">
        <v>4.7119999999999997</v>
      </c>
    </row>
    <row r="8070" spans="2:5">
      <c r="B8070" s="17">
        <v>41999</v>
      </c>
      <c r="D8070" t="s">
        <v>1043</v>
      </c>
      <c r="E8070">
        <v>180.97999999999996</v>
      </c>
    </row>
    <row r="8071" spans="2:5">
      <c r="B8071" s="17">
        <v>41999</v>
      </c>
      <c r="D8071" t="s">
        <v>1043</v>
      </c>
      <c r="E8071">
        <v>60.415999999999997</v>
      </c>
    </row>
    <row r="8072" spans="2:5">
      <c r="B8072" s="17">
        <v>41999</v>
      </c>
      <c r="D8072" t="s">
        <v>1043</v>
      </c>
      <c r="E8072">
        <v>787.53</v>
      </c>
    </row>
    <row r="8073" spans="2:5">
      <c r="B8073" s="17">
        <v>41999</v>
      </c>
      <c r="D8073" t="s">
        <v>958</v>
      </c>
      <c r="E8073">
        <v>10.16</v>
      </c>
    </row>
    <row r="8074" spans="2:5">
      <c r="B8074" s="17">
        <v>41999</v>
      </c>
      <c r="D8074" t="s">
        <v>958</v>
      </c>
      <c r="E8074">
        <v>101.88</v>
      </c>
    </row>
    <row r="8075" spans="2:5">
      <c r="B8075" s="17">
        <v>41999</v>
      </c>
      <c r="D8075" t="s">
        <v>958</v>
      </c>
      <c r="E8075">
        <v>58.72</v>
      </c>
    </row>
    <row r="8076" spans="2:5">
      <c r="B8076" s="17">
        <v>41999</v>
      </c>
      <c r="D8076" t="s">
        <v>958</v>
      </c>
      <c r="E8076">
        <v>15.984000000000002</v>
      </c>
    </row>
    <row r="8077" spans="2:5">
      <c r="B8077" s="17">
        <v>41999</v>
      </c>
      <c r="D8077" t="s">
        <v>562</v>
      </c>
      <c r="E8077">
        <v>184.75200000000001</v>
      </c>
    </row>
    <row r="8078" spans="2:5">
      <c r="B8078" s="17">
        <v>41999</v>
      </c>
      <c r="D8078" t="s">
        <v>562</v>
      </c>
      <c r="E8078">
        <v>3.5520000000000005</v>
      </c>
    </row>
    <row r="8079" spans="2:5">
      <c r="B8079" s="17">
        <v>41999</v>
      </c>
      <c r="D8079" t="s">
        <v>562</v>
      </c>
      <c r="E8079">
        <v>55.328000000000003</v>
      </c>
    </row>
    <row r="8080" spans="2:5">
      <c r="B8080" s="17">
        <v>41999</v>
      </c>
      <c r="D8080" t="s">
        <v>562</v>
      </c>
      <c r="E8080">
        <v>1227.9983999999999</v>
      </c>
    </row>
    <row r="8081" spans="2:5">
      <c r="B8081" s="17">
        <v>41999</v>
      </c>
      <c r="D8081" t="s">
        <v>562</v>
      </c>
      <c r="E8081">
        <v>95.84</v>
      </c>
    </row>
    <row r="8082" spans="2:5">
      <c r="B8082" s="17">
        <v>41999</v>
      </c>
      <c r="D8082" t="s">
        <v>562</v>
      </c>
      <c r="E8082">
        <v>161.56800000000001</v>
      </c>
    </row>
    <row r="8083" spans="2:5">
      <c r="B8083" s="17">
        <v>41997</v>
      </c>
      <c r="D8083" t="s">
        <v>1754</v>
      </c>
      <c r="E8083">
        <v>389.69600000000003</v>
      </c>
    </row>
    <row r="8084" spans="2:5">
      <c r="B8084" s="17">
        <v>41997</v>
      </c>
      <c r="D8084" t="s">
        <v>1754</v>
      </c>
      <c r="E8084">
        <v>4.4190000000000005</v>
      </c>
    </row>
    <row r="8085" spans="2:5">
      <c r="B8085" s="17">
        <v>41997</v>
      </c>
      <c r="D8085" t="s">
        <v>1754</v>
      </c>
      <c r="E8085">
        <v>16.032</v>
      </c>
    </row>
    <row r="8086" spans="2:5">
      <c r="B8086" s="17">
        <v>41997</v>
      </c>
      <c r="D8086" t="s">
        <v>291</v>
      </c>
      <c r="E8086">
        <v>105.98</v>
      </c>
    </row>
    <row r="8087" spans="2:5">
      <c r="B8087" s="17">
        <v>41997</v>
      </c>
      <c r="D8087" t="s">
        <v>291</v>
      </c>
      <c r="E8087">
        <v>493.9199999999999</v>
      </c>
    </row>
    <row r="8088" spans="2:5">
      <c r="B8088" s="17">
        <v>41997</v>
      </c>
      <c r="D8088" t="s">
        <v>291</v>
      </c>
      <c r="E8088">
        <v>538.92000000000007</v>
      </c>
    </row>
    <row r="8089" spans="2:5">
      <c r="B8089" s="17">
        <v>41997</v>
      </c>
      <c r="D8089" t="s">
        <v>291</v>
      </c>
      <c r="E8089">
        <v>3.15</v>
      </c>
    </row>
    <row r="8090" spans="2:5">
      <c r="B8090" s="17">
        <v>41997</v>
      </c>
      <c r="D8090" t="s">
        <v>291</v>
      </c>
      <c r="E8090">
        <v>22.72</v>
      </c>
    </row>
    <row r="8091" spans="2:5">
      <c r="B8091" s="17">
        <v>41997</v>
      </c>
      <c r="D8091" t="s">
        <v>291</v>
      </c>
      <c r="E8091">
        <v>26.880000000000003</v>
      </c>
    </row>
    <row r="8092" spans="2:5">
      <c r="B8092" s="17">
        <v>41997</v>
      </c>
      <c r="D8092" t="s">
        <v>291</v>
      </c>
      <c r="E8092">
        <v>10.896000000000001</v>
      </c>
    </row>
    <row r="8093" spans="2:5">
      <c r="B8093" s="17">
        <v>41997</v>
      </c>
      <c r="D8093" t="s">
        <v>1086</v>
      </c>
      <c r="E8093">
        <v>79.36</v>
      </c>
    </row>
    <row r="8094" spans="2:5">
      <c r="B8094" s="17">
        <v>41996</v>
      </c>
      <c r="D8094" t="s">
        <v>1086</v>
      </c>
      <c r="E8094">
        <v>49.12</v>
      </c>
    </row>
    <row r="8095" spans="2:5">
      <c r="B8095" s="17">
        <v>41996</v>
      </c>
      <c r="D8095" t="s">
        <v>1086</v>
      </c>
      <c r="E8095">
        <v>2541.98</v>
      </c>
    </row>
    <row r="8096" spans="2:5">
      <c r="B8096" s="17">
        <v>41996</v>
      </c>
      <c r="D8096" t="s">
        <v>1086</v>
      </c>
      <c r="E8096">
        <v>29.99</v>
      </c>
    </row>
    <row r="8097" spans="2:5">
      <c r="B8097" s="17">
        <v>41996</v>
      </c>
      <c r="D8097" t="s">
        <v>1628</v>
      </c>
      <c r="E8097">
        <v>9.24</v>
      </c>
    </row>
    <row r="8098" spans="2:5">
      <c r="B8098" s="17">
        <v>41996</v>
      </c>
      <c r="D8098" t="s">
        <v>1628</v>
      </c>
      <c r="E8098">
        <v>61.06</v>
      </c>
    </row>
    <row r="8099" spans="2:5">
      <c r="B8099" s="17">
        <v>41996</v>
      </c>
      <c r="D8099" t="s">
        <v>1628</v>
      </c>
      <c r="E8099">
        <v>35.544000000000004</v>
      </c>
    </row>
    <row r="8100" spans="2:5">
      <c r="B8100" s="17">
        <v>41996</v>
      </c>
      <c r="D8100" t="s">
        <v>881</v>
      </c>
      <c r="E8100">
        <v>35.880000000000003</v>
      </c>
    </row>
    <row r="8101" spans="2:5">
      <c r="B8101" s="17">
        <v>41996</v>
      </c>
      <c r="D8101" t="s">
        <v>881</v>
      </c>
      <c r="E8101">
        <v>36.839999999999996</v>
      </c>
    </row>
    <row r="8102" spans="2:5">
      <c r="B8102" s="17">
        <v>41996</v>
      </c>
      <c r="D8102" t="s">
        <v>881</v>
      </c>
      <c r="E8102">
        <v>87.71</v>
      </c>
    </row>
    <row r="8103" spans="2:5">
      <c r="B8103" s="17">
        <v>41995</v>
      </c>
      <c r="D8103" t="s">
        <v>881</v>
      </c>
      <c r="E8103">
        <v>134.97</v>
      </c>
    </row>
    <row r="8104" spans="2:5">
      <c r="B8104" s="17">
        <v>41995</v>
      </c>
      <c r="D8104" t="s">
        <v>973</v>
      </c>
      <c r="E8104">
        <v>699.98</v>
      </c>
    </row>
    <row r="8105" spans="2:5">
      <c r="B8105" s="17">
        <v>41995</v>
      </c>
      <c r="D8105" t="s">
        <v>973</v>
      </c>
      <c r="E8105">
        <v>139.94999999999999</v>
      </c>
    </row>
    <row r="8106" spans="2:5">
      <c r="B8106" s="17">
        <v>41995</v>
      </c>
      <c r="D8106" t="s">
        <v>973</v>
      </c>
      <c r="E8106">
        <v>13.36</v>
      </c>
    </row>
    <row r="8107" spans="2:5">
      <c r="B8107" s="17">
        <v>41995</v>
      </c>
      <c r="D8107" t="s">
        <v>973</v>
      </c>
      <c r="E8107">
        <v>41.72</v>
      </c>
    </row>
    <row r="8108" spans="2:5">
      <c r="B8108" s="17">
        <v>41995</v>
      </c>
      <c r="D8108" t="s">
        <v>973</v>
      </c>
      <c r="E8108">
        <v>11.52</v>
      </c>
    </row>
    <row r="8109" spans="2:5">
      <c r="B8109" s="17">
        <v>41994</v>
      </c>
      <c r="D8109" t="s">
        <v>1686</v>
      </c>
      <c r="E8109">
        <v>541.43999999999994</v>
      </c>
    </row>
    <row r="8110" spans="2:5">
      <c r="B8110" s="17">
        <v>41994</v>
      </c>
      <c r="D8110" t="s">
        <v>1686</v>
      </c>
      <c r="E8110">
        <v>19.440000000000001</v>
      </c>
    </row>
    <row r="8111" spans="2:5">
      <c r="B8111" s="17">
        <v>41994</v>
      </c>
      <c r="D8111" t="s">
        <v>1686</v>
      </c>
      <c r="E8111">
        <v>14.952000000000004</v>
      </c>
    </row>
    <row r="8112" spans="2:5">
      <c r="B8112" s="17">
        <v>41994</v>
      </c>
      <c r="D8112" t="s">
        <v>1686</v>
      </c>
      <c r="E8112">
        <v>2.2860000000000005</v>
      </c>
    </row>
    <row r="8113" spans="2:5">
      <c r="B8113" s="17">
        <v>41993</v>
      </c>
      <c r="D8113" t="s">
        <v>1686</v>
      </c>
      <c r="E8113">
        <v>14.352000000000002</v>
      </c>
    </row>
    <row r="8114" spans="2:5">
      <c r="B8114" s="17">
        <v>41993</v>
      </c>
      <c r="D8114" t="s">
        <v>1658</v>
      </c>
      <c r="E8114">
        <v>71.975999999999999</v>
      </c>
    </row>
    <row r="8115" spans="2:5">
      <c r="B8115" s="17">
        <v>41993</v>
      </c>
      <c r="D8115" t="s">
        <v>1658</v>
      </c>
      <c r="E8115">
        <v>26.423999999999999</v>
      </c>
    </row>
    <row r="8116" spans="2:5">
      <c r="B8116" s="17">
        <v>41993</v>
      </c>
      <c r="D8116" t="s">
        <v>188</v>
      </c>
      <c r="E8116">
        <v>625.99</v>
      </c>
    </row>
    <row r="8117" spans="2:5">
      <c r="B8117" s="17">
        <v>41993</v>
      </c>
      <c r="D8117" t="s">
        <v>188</v>
      </c>
      <c r="E8117">
        <v>77.240000000000009</v>
      </c>
    </row>
    <row r="8118" spans="2:5">
      <c r="B8118" s="17">
        <v>41993</v>
      </c>
      <c r="D8118" t="s">
        <v>188</v>
      </c>
      <c r="E8118">
        <v>20.8</v>
      </c>
    </row>
    <row r="8119" spans="2:5">
      <c r="B8119" s="17">
        <v>41993</v>
      </c>
      <c r="D8119" t="s">
        <v>188</v>
      </c>
      <c r="E8119">
        <v>40.096000000000004</v>
      </c>
    </row>
    <row r="8120" spans="2:5">
      <c r="B8120" s="17">
        <v>41993</v>
      </c>
      <c r="D8120" t="s">
        <v>188</v>
      </c>
      <c r="E8120">
        <v>40.783999999999999</v>
      </c>
    </row>
    <row r="8121" spans="2:5">
      <c r="B8121" s="17">
        <v>41993</v>
      </c>
      <c r="D8121" t="s">
        <v>188</v>
      </c>
      <c r="E8121">
        <v>479.952</v>
      </c>
    </row>
    <row r="8122" spans="2:5">
      <c r="B8122" s="17">
        <v>41993</v>
      </c>
      <c r="D8122" t="s">
        <v>1302</v>
      </c>
      <c r="E8122">
        <v>107.982</v>
      </c>
    </row>
    <row r="8123" spans="2:5">
      <c r="B8123" s="17">
        <v>41993</v>
      </c>
      <c r="D8123" t="s">
        <v>1302</v>
      </c>
      <c r="E8123">
        <v>9.5399999999999991</v>
      </c>
    </row>
    <row r="8124" spans="2:5">
      <c r="B8124" s="17">
        <v>41993</v>
      </c>
      <c r="D8124" t="s">
        <v>1302</v>
      </c>
      <c r="E8124">
        <v>5.81</v>
      </c>
    </row>
    <row r="8125" spans="2:5">
      <c r="B8125" s="17">
        <v>41993</v>
      </c>
      <c r="D8125" t="s">
        <v>1302</v>
      </c>
      <c r="E8125">
        <v>5.76</v>
      </c>
    </row>
    <row r="8126" spans="2:5">
      <c r="B8126" s="17">
        <v>41993</v>
      </c>
      <c r="D8126" t="s">
        <v>1302</v>
      </c>
      <c r="E8126">
        <v>12.96</v>
      </c>
    </row>
    <row r="8127" spans="2:5">
      <c r="B8127" s="17">
        <v>41993</v>
      </c>
      <c r="D8127" t="s">
        <v>1302</v>
      </c>
      <c r="E8127">
        <v>5.28</v>
      </c>
    </row>
    <row r="8128" spans="2:5">
      <c r="B8128" s="17">
        <v>41993</v>
      </c>
      <c r="D8128" t="s">
        <v>1302</v>
      </c>
      <c r="E8128">
        <v>1268.82</v>
      </c>
    </row>
    <row r="8129" spans="2:5">
      <c r="B8129" s="17">
        <v>41993</v>
      </c>
      <c r="D8129" t="s">
        <v>1777</v>
      </c>
      <c r="E8129">
        <v>5.68</v>
      </c>
    </row>
    <row r="8130" spans="2:5">
      <c r="B8130" s="17">
        <v>41993</v>
      </c>
      <c r="D8130" t="s">
        <v>1777</v>
      </c>
      <c r="E8130">
        <v>2.9339999999999993</v>
      </c>
    </row>
    <row r="8131" spans="2:5">
      <c r="B8131" s="17">
        <v>41993</v>
      </c>
      <c r="D8131" t="s">
        <v>1454</v>
      </c>
      <c r="E8131">
        <v>18.528000000000002</v>
      </c>
    </row>
    <row r="8132" spans="2:5">
      <c r="B8132" s="17">
        <v>41993</v>
      </c>
      <c r="D8132" t="s">
        <v>1454</v>
      </c>
      <c r="E8132">
        <v>670.75200000000007</v>
      </c>
    </row>
    <row r="8133" spans="2:5">
      <c r="B8133" s="17">
        <v>41993</v>
      </c>
      <c r="D8133" t="s">
        <v>1454</v>
      </c>
      <c r="E8133">
        <v>146.72999999999999</v>
      </c>
    </row>
    <row r="8134" spans="2:5">
      <c r="B8134" s="17">
        <v>41993</v>
      </c>
      <c r="D8134" t="s">
        <v>1454</v>
      </c>
      <c r="E8134">
        <v>29.900000000000002</v>
      </c>
    </row>
    <row r="8135" spans="2:5">
      <c r="B8135" s="17">
        <v>41993</v>
      </c>
      <c r="D8135" t="s">
        <v>1275</v>
      </c>
      <c r="E8135">
        <v>28.4</v>
      </c>
    </row>
    <row r="8136" spans="2:5">
      <c r="B8136" s="17">
        <v>41993</v>
      </c>
      <c r="D8136" t="s">
        <v>1275</v>
      </c>
      <c r="E8136">
        <v>149.97</v>
      </c>
    </row>
    <row r="8137" spans="2:5">
      <c r="B8137" s="17">
        <v>41992</v>
      </c>
      <c r="D8137" t="s">
        <v>1275</v>
      </c>
      <c r="E8137">
        <v>136.91999999999999</v>
      </c>
    </row>
    <row r="8138" spans="2:5">
      <c r="B8138" s="17">
        <v>41992</v>
      </c>
      <c r="D8138" t="s">
        <v>1275</v>
      </c>
      <c r="E8138">
        <v>12.144</v>
      </c>
    </row>
    <row r="8139" spans="2:5">
      <c r="B8139" s="17">
        <v>41992</v>
      </c>
      <c r="D8139" t="s">
        <v>1275</v>
      </c>
      <c r="E8139">
        <v>74.52</v>
      </c>
    </row>
    <row r="8140" spans="2:5">
      <c r="B8140" s="17">
        <v>41992</v>
      </c>
      <c r="D8140" t="s">
        <v>471</v>
      </c>
      <c r="E8140">
        <v>90.882000000000005</v>
      </c>
    </row>
    <row r="8141" spans="2:5">
      <c r="B8141" s="17">
        <v>41992</v>
      </c>
      <c r="D8141" t="s">
        <v>471</v>
      </c>
      <c r="E8141">
        <v>12.96</v>
      </c>
    </row>
    <row r="8142" spans="2:5">
      <c r="B8142" s="17">
        <v>41992</v>
      </c>
      <c r="D8142" t="s">
        <v>471</v>
      </c>
      <c r="E8142">
        <v>53.34</v>
      </c>
    </row>
    <row r="8143" spans="2:5">
      <c r="B8143" s="17">
        <v>41992</v>
      </c>
      <c r="D8143" t="s">
        <v>471</v>
      </c>
      <c r="E8143">
        <v>32.96</v>
      </c>
    </row>
    <row r="8144" spans="2:5">
      <c r="B8144" s="17">
        <v>41992</v>
      </c>
      <c r="D8144" t="s">
        <v>471</v>
      </c>
      <c r="E8144">
        <v>14.303999999999998</v>
      </c>
    </row>
    <row r="8145" spans="2:5">
      <c r="B8145" s="17">
        <v>41992</v>
      </c>
      <c r="D8145" t="s">
        <v>399</v>
      </c>
      <c r="E8145">
        <v>1919.9760000000001</v>
      </c>
    </row>
    <row r="8146" spans="2:5">
      <c r="B8146" s="17">
        <v>41992</v>
      </c>
      <c r="D8146" t="s">
        <v>399</v>
      </c>
      <c r="E8146">
        <v>4297.6440000000002</v>
      </c>
    </row>
    <row r="8147" spans="2:5">
      <c r="B8147" s="17">
        <v>41992</v>
      </c>
      <c r="D8147" t="s">
        <v>399</v>
      </c>
      <c r="E8147">
        <v>181.98599999999999</v>
      </c>
    </row>
    <row r="8148" spans="2:5">
      <c r="B8148" s="17">
        <v>41992</v>
      </c>
      <c r="D8148" t="s">
        <v>399</v>
      </c>
      <c r="E8148">
        <v>431.976</v>
      </c>
    </row>
    <row r="8149" spans="2:5">
      <c r="B8149" s="17">
        <v>41990</v>
      </c>
      <c r="D8149" t="s">
        <v>399</v>
      </c>
      <c r="E8149">
        <v>155.36999999999998</v>
      </c>
    </row>
    <row r="8150" spans="2:5">
      <c r="B8150" s="17">
        <v>41990</v>
      </c>
      <c r="D8150" t="s">
        <v>399</v>
      </c>
      <c r="E8150">
        <v>2803.92</v>
      </c>
    </row>
    <row r="8151" spans="2:5">
      <c r="B8151" s="17">
        <v>41989</v>
      </c>
      <c r="D8151" t="s">
        <v>399</v>
      </c>
      <c r="E8151">
        <v>182.72</v>
      </c>
    </row>
    <row r="8152" spans="2:5">
      <c r="B8152" s="17">
        <v>41989</v>
      </c>
      <c r="D8152" t="s">
        <v>967</v>
      </c>
      <c r="E8152">
        <v>13.120000000000001</v>
      </c>
    </row>
    <row r="8153" spans="2:5">
      <c r="B8153" s="17">
        <v>41989</v>
      </c>
      <c r="D8153" t="s">
        <v>967</v>
      </c>
      <c r="E8153">
        <v>29.04</v>
      </c>
    </row>
    <row r="8154" spans="2:5">
      <c r="B8154" s="17">
        <v>41989</v>
      </c>
      <c r="D8154" t="s">
        <v>967</v>
      </c>
      <c r="E8154">
        <v>14.62</v>
      </c>
    </row>
    <row r="8155" spans="2:5">
      <c r="B8155" s="17">
        <v>41989</v>
      </c>
      <c r="D8155" t="s">
        <v>967</v>
      </c>
      <c r="E8155">
        <v>102.438</v>
      </c>
    </row>
    <row r="8156" spans="2:5">
      <c r="B8156" s="17">
        <v>41989</v>
      </c>
      <c r="D8156" t="s">
        <v>1438</v>
      </c>
      <c r="E8156">
        <v>6.68</v>
      </c>
    </row>
    <row r="8157" spans="2:5">
      <c r="B8157" s="17">
        <v>41989</v>
      </c>
      <c r="D8157" t="s">
        <v>1438</v>
      </c>
      <c r="E8157">
        <v>88.960000000000008</v>
      </c>
    </row>
    <row r="8158" spans="2:5">
      <c r="B8158" s="17">
        <v>41989</v>
      </c>
      <c r="D8158" t="s">
        <v>1438</v>
      </c>
      <c r="E8158">
        <v>70.00800000000001</v>
      </c>
    </row>
    <row r="8159" spans="2:5">
      <c r="B8159" s="17">
        <v>41989</v>
      </c>
      <c r="D8159" t="s">
        <v>1438</v>
      </c>
      <c r="E8159">
        <v>77.599999999999994</v>
      </c>
    </row>
    <row r="8160" spans="2:5">
      <c r="B8160" s="17">
        <v>41989</v>
      </c>
      <c r="D8160" t="s">
        <v>1438</v>
      </c>
      <c r="E8160">
        <v>464.84999999999997</v>
      </c>
    </row>
    <row r="8161" spans="2:5">
      <c r="B8161" s="17">
        <v>41989</v>
      </c>
      <c r="D8161" t="s">
        <v>927</v>
      </c>
      <c r="E8161">
        <v>9.82</v>
      </c>
    </row>
    <row r="8162" spans="2:5">
      <c r="B8162" s="17">
        <v>41989</v>
      </c>
      <c r="D8162" t="s">
        <v>927</v>
      </c>
      <c r="E8162">
        <v>465.18</v>
      </c>
    </row>
    <row r="8163" spans="2:5">
      <c r="B8163" s="17">
        <v>41989</v>
      </c>
      <c r="D8163" t="s">
        <v>927</v>
      </c>
      <c r="E8163">
        <v>10.368000000000002</v>
      </c>
    </row>
    <row r="8164" spans="2:5">
      <c r="B8164" s="17">
        <v>41989</v>
      </c>
      <c r="D8164" t="s">
        <v>927</v>
      </c>
      <c r="E8164">
        <v>26.376000000000001</v>
      </c>
    </row>
    <row r="8165" spans="2:5">
      <c r="B8165" s="17">
        <v>41989</v>
      </c>
      <c r="D8165" t="s">
        <v>738</v>
      </c>
      <c r="E8165">
        <v>10.384</v>
      </c>
    </row>
    <row r="8166" spans="2:5">
      <c r="B8166" s="17">
        <v>41988</v>
      </c>
      <c r="D8166" t="s">
        <v>738</v>
      </c>
      <c r="E8166">
        <v>107.11799999999999</v>
      </c>
    </row>
    <row r="8167" spans="2:5">
      <c r="B8167" s="17">
        <v>41988</v>
      </c>
      <c r="D8167" t="s">
        <v>738</v>
      </c>
      <c r="E8167">
        <v>1018.1039999999999</v>
      </c>
    </row>
    <row r="8168" spans="2:5">
      <c r="B8168" s="17">
        <v>41988</v>
      </c>
      <c r="D8168" t="s">
        <v>738</v>
      </c>
      <c r="E8168">
        <v>106.32</v>
      </c>
    </row>
    <row r="8169" spans="2:5">
      <c r="B8169" s="17">
        <v>41988</v>
      </c>
      <c r="D8169" t="s">
        <v>738</v>
      </c>
      <c r="E8169">
        <v>163.44</v>
      </c>
    </row>
    <row r="8170" spans="2:5">
      <c r="B8170" s="17">
        <v>41988</v>
      </c>
      <c r="D8170" t="s">
        <v>738</v>
      </c>
      <c r="E8170">
        <v>42.76</v>
      </c>
    </row>
    <row r="8171" spans="2:5">
      <c r="B8171" s="17">
        <v>41987</v>
      </c>
      <c r="D8171" t="s">
        <v>738</v>
      </c>
      <c r="E8171">
        <v>51.550000000000004</v>
      </c>
    </row>
    <row r="8172" spans="2:5">
      <c r="B8172" s="17">
        <v>41987</v>
      </c>
      <c r="D8172" t="s">
        <v>463</v>
      </c>
      <c r="E8172">
        <v>29.600000000000005</v>
      </c>
    </row>
    <row r="8173" spans="2:5">
      <c r="B8173" s="17">
        <v>41987</v>
      </c>
      <c r="D8173" t="s">
        <v>463</v>
      </c>
      <c r="E8173">
        <v>1.9380000000000002</v>
      </c>
    </row>
    <row r="8174" spans="2:5">
      <c r="B8174" s="17">
        <v>41987</v>
      </c>
      <c r="D8174" t="s">
        <v>463</v>
      </c>
      <c r="E8174">
        <v>61.584000000000003</v>
      </c>
    </row>
    <row r="8175" spans="2:5">
      <c r="B8175" s="17">
        <v>41987</v>
      </c>
      <c r="D8175" t="s">
        <v>463</v>
      </c>
      <c r="E8175">
        <v>59.519999999999996</v>
      </c>
    </row>
    <row r="8176" spans="2:5">
      <c r="B8176" s="17">
        <v>41987</v>
      </c>
      <c r="D8176" t="s">
        <v>463</v>
      </c>
      <c r="E8176">
        <v>17.48</v>
      </c>
    </row>
    <row r="8177" spans="2:5">
      <c r="B8177" s="17">
        <v>41987</v>
      </c>
      <c r="D8177" t="s">
        <v>463</v>
      </c>
      <c r="E8177">
        <v>13.168000000000001</v>
      </c>
    </row>
    <row r="8178" spans="2:5">
      <c r="B8178" s="17">
        <v>41987</v>
      </c>
      <c r="D8178" t="s">
        <v>463</v>
      </c>
      <c r="E8178">
        <v>87.36</v>
      </c>
    </row>
    <row r="8179" spans="2:5">
      <c r="B8179" s="17">
        <v>41987</v>
      </c>
      <c r="D8179" t="s">
        <v>877</v>
      </c>
      <c r="E8179">
        <v>56.16</v>
      </c>
    </row>
    <row r="8180" spans="2:5">
      <c r="B8180" s="17">
        <v>41986</v>
      </c>
      <c r="D8180" t="s">
        <v>877</v>
      </c>
      <c r="E8180">
        <v>32.339999999999996</v>
      </c>
    </row>
    <row r="8181" spans="2:5">
      <c r="B8181" s="17">
        <v>41986</v>
      </c>
      <c r="D8181" t="s">
        <v>877</v>
      </c>
      <c r="E8181">
        <v>39.900000000000006</v>
      </c>
    </row>
    <row r="8182" spans="2:5">
      <c r="B8182" s="17">
        <v>41986</v>
      </c>
      <c r="D8182" t="s">
        <v>877</v>
      </c>
      <c r="E8182">
        <v>192.22</v>
      </c>
    </row>
    <row r="8183" spans="2:5">
      <c r="B8183" s="17">
        <v>41986</v>
      </c>
      <c r="D8183" t="s">
        <v>222</v>
      </c>
      <c r="E8183">
        <v>10.368000000000002</v>
      </c>
    </row>
    <row r="8184" spans="2:5">
      <c r="B8184" s="17">
        <v>41986</v>
      </c>
      <c r="D8184" t="s">
        <v>222</v>
      </c>
      <c r="E8184">
        <v>398.40000000000003</v>
      </c>
    </row>
    <row r="8185" spans="2:5">
      <c r="B8185" s="17">
        <v>41986</v>
      </c>
      <c r="D8185" t="s">
        <v>222</v>
      </c>
      <c r="E8185">
        <v>7.0559999999999992</v>
      </c>
    </row>
    <row r="8186" spans="2:5">
      <c r="B8186" s="17">
        <v>41985</v>
      </c>
      <c r="D8186" t="s">
        <v>222</v>
      </c>
      <c r="E8186">
        <v>1352.3975999999998</v>
      </c>
    </row>
    <row r="8187" spans="2:5">
      <c r="B8187" s="17">
        <v>41985</v>
      </c>
      <c r="D8187" t="s">
        <v>222</v>
      </c>
      <c r="E8187">
        <v>23.680000000000003</v>
      </c>
    </row>
    <row r="8188" spans="2:5">
      <c r="B8188" s="17">
        <v>41985</v>
      </c>
      <c r="D8188" t="s">
        <v>222</v>
      </c>
      <c r="E8188">
        <v>452.45</v>
      </c>
    </row>
    <row r="8189" spans="2:5">
      <c r="B8189" s="17">
        <v>41985</v>
      </c>
      <c r="D8189" t="s">
        <v>1511</v>
      </c>
      <c r="E8189">
        <v>62.981999999999999</v>
      </c>
    </row>
    <row r="8190" spans="2:5">
      <c r="B8190" s="17">
        <v>41985</v>
      </c>
      <c r="D8190" t="s">
        <v>1511</v>
      </c>
      <c r="E8190">
        <v>1188.0000000000002</v>
      </c>
    </row>
    <row r="8191" spans="2:5">
      <c r="B8191" s="17">
        <v>41985</v>
      </c>
      <c r="D8191" t="s">
        <v>816</v>
      </c>
      <c r="E8191">
        <v>89.584000000000003</v>
      </c>
    </row>
    <row r="8192" spans="2:5">
      <c r="B8192" s="17">
        <v>41985</v>
      </c>
      <c r="D8192" t="s">
        <v>816</v>
      </c>
      <c r="E8192">
        <v>85.52</v>
      </c>
    </row>
    <row r="8193" spans="2:5">
      <c r="B8193" s="17">
        <v>41985</v>
      </c>
      <c r="D8193" t="s">
        <v>816</v>
      </c>
      <c r="E8193">
        <v>9.84</v>
      </c>
    </row>
    <row r="8194" spans="2:5">
      <c r="B8194" s="17">
        <v>41985</v>
      </c>
      <c r="D8194" t="s">
        <v>816</v>
      </c>
      <c r="E8194">
        <v>20.04</v>
      </c>
    </row>
    <row r="8195" spans="2:5">
      <c r="B8195" s="17">
        <v>41983</v>
      </c>
      <c r="D8195" t="s">
        <v>816</v>
      </c>
      <c r="E8195">
        <v>1573.4880000000001</v>
      </c>
    </row>
    <row r="8196" spans="2:5">
      <c r="B8196" s="17">
        <v>41983</v>
      </c>
      <c r="D8196" t="s">
        <v>816</v>
      </c>
      <c r="E8196">
        <v>29.68</v>
      </c>
    </row>
    <row r="8197" spans="2:5">
      <c r="B8197" s="17">
        <v>41983</v>
      </c>
      <c r="D8197" t="s">
        <v>816</v>
      </c>
      <c r="E8197">
        <v>47.53</v>
      </c>
    </row>
    <row r="8198" spans="2:5">
      <c r="B8198" s="17">
        <v>41983</v>
      </c>
      <c r="D8198" t="s">
        <v>816</v>
      </c>
      <c r="E8198">
        <v>63.2</v>
      </c>
    </row>
    <row r="8199" spans="2:5">
      <c r="B8199" s="17">
        <v>41983</v>
      </c>
      <c r="D8199" t="s">
        <v>816</v>
      </c>
      <c r="E8199">
        <v>113.97</v>
      </c>
    </row>
    <row r="8200" spans="2:5">
      <c r="B8200" s="17">
        <v>41982</v>
      </c>
      <c r="D8200" t="s">
        <v>816</v>
      </c>
      <c r="E8200">
        <v>49.568000000000005</v>
      </c>
    </row>
    <row r="8201" spans="2:5">
      <c r="B8201" s="17">
        <v>41982</v>
      </c>
      <c r="D8201" t="s">
        <v>597</v>
      </c>
      <c r="E8201">
        <v>195.64</v>
      </c>
    </row>
    <row r="8202" spans="2:5">
      <c r="B8202" s="17">
        <v>41982</v>
      </c>
      <c r="D8202" t="s">
        <v>597</v>
      </c>
      <c r="E8202">
        <v>14.940000000000001</v>
      </c>
    </row>
    <row r="8203" spans="2:5">
      <c r="B8203" s="17">
        <v>41982</v>
      </c>
      <c r="D8203" t="s">
        <v>597</v>
      </c>
      <c r="E8203">
        <v>1687.8</v>
      </c>
    </row>
    <row r="8204" spans="2:5">
      <c r="B8204" s="17">
        <v>41982</v>
      </c>
      <c r="D8204" t="s">
        <v>597</v>
      </c>
      <c r="E8204">
        <v>605.88</v>
      </c>
    </row>
    <row r="8205" spans="2:5">
      <c r="B8205" s="17">
        <v>41982</v>
      </c>
      <c r="D8205" t="s">
        <v>597</v>
      </c>
      <c r="E8205">
        <v>475.94400000000002</v>
      </c>
    </row>
    <row r="8206" spans="2:5">
      <c r="B8206" s="17">
        <v>41982</v>
      </c>
      <c r="D8206" t="s">
        <v>597</v>
      </c>
      <c r="E8206">
        <v>34.769999999999996</v>
      </c>
    </row>
    <row r="8207" spans="2:5">
      <c r="B8207" s="17">
        <v>41982</v>
      </c>
      <c r="D8207" t="s">
        <v>1804</v>
      </c>
      <c r="E8207">
        <v>18.899999999999999</v>
      </c>
    </row>
    <row r="8208" spans="2:5">
      <c r="B8208" s="17">
        <v>41981</v>
      </c>
      <c r="D8208" t="s">
        <v>1804</v>
      </c>
      <c r="E8208">
        <v>9.84</v>
      </c>
    </row>
    <row r="8209" spans="2:5">
      <c r="B8209" s="17">
        <v>41981</v>
      </c>
      <c r="D8209" t="s">
        <v>1804</v>
      </c>
      <c r="E8209">
        <v>12.984000000000002</v>
      </c>
    </row>
    <row r="8210" spans="2:5">
      <c r="B8210" s="17">
        <v>41981</v>
      </c>
      <c r="D8210" t="s">
        <v>79</v>
      </c>
      <c r="E8210">
        <v>2.2859999999999996</v>
      </c>
    </row>
    <row r="8211" spans="2:5">
      <c r="B8211" s="17">
        <v>41981</v>
      </c>
      <c r="D8211" t="s">
        <v>79</v>
      </c>
      <c r="E8211">
        <v>47.984000000000002</v>
      </c>
    </row>
    <row r="8212" spans="2:5">
      <c r="B8212" s="17">
        <v>41981</v>
      </c>
      <c r="D8212" t="s">
        <v>79</v>
      </c>
      <c r="E8212">
        <v>551.98500000000013</v>
      </c>
    </row>
    <row r="8213" spans="2:5">
      <c r="B8213" s="17">
        <v>41981</v>
      </c>
      <c r="D8213" t="s">
        <v>79</v>
      </c>
      <c r="E8213">
        <v>27.968000000000004</v>
      </c>
    </row>
    <row r="8214" spans="2:5">
      <c r="B8214" s="17">
        <v>41981</v>
      </c>
      <c r="D8214" t="s">
        <v>79</v>
      </c>
      <c r="E8214">
        <v>523.76400000000001</v>
      </c>
    </row>
    <row r="8215" spans="2:5">
      <c r="B8215" s="17">
        <v>41981</v>
      </c>
      <c r="D8215" t="s">
        <v>79</v>
      </c>
      <c r="E8215">
        <v>122.94</v>
      </c>
    </row>
    <row r="8216" spans="2:5">
      <c r="B8216" s="17">
        <v>41981</v>
      </c>
      <c r="D8216" t="s">
        <v>79</v>
      </c>
      <c r="E8216">
        <v>35.448</v>
      </c>
    </row>
    <row r="8217" spans="2:5">
      <c r="B8217" s="17">
        <v>41981</v>
      </c>
      <c r="D8217" t="s">
        <v>79</v>
      </c>
      <c r="E8217">
        <v>39.128</v>
      </c>
    </row>
    <row r="8218" spans="2:5">
      <c r="B8218" s="17">
        <v>41981</v>
      </c>
      <c r="D8218" t="s">
        <v>79</v>
      </c>
      <c r="E8218">
        <v>24.56</v>
      </c>
    </row>
    <row r="8219" spans="2:5">
      <c r="B8219" s="17">
        <v>41981</v>
      </c>
      <c r="D8219" t="s">
        <v>79</v>
      </c>
      <c r="E8219">
        <v>119.8</v>
      </c>
    </row>
    <row r="8220" spans="2:5">
      <c r="B8220" s="17">
        <v>41981</v>
      </c>
      <c r="D8220" t="s">
        <v>79</v>
      </c>
      <c r="E8220">
        <v>24.900000000000002</v>
      </c>
    </row>
    <row r="8221" spans="2:5">
      <c r="B8221" s="17">
        <v>41980</v>
      </c>
      <c r="D8221" t="s">
        <v>79</v>
      </c>
      <c r="E8221">
        <v>21.12</v>
      </c>
    </row>
    <row r="8222" spans="2:5">
      <c r="B8222" s="17">
        <v>41980</v>
      </c>
      <c r="D8222" t="s">
        <v>79</v>
      </c>
      <c r="E8222">
        <v>767.95200000000011</v>
      </c>
    </row>
    <row r="8223" spans="2:5">
      <c r="B8223" s="17">
        <v>41980</v>
      </c>
      <c r="D8223" t="s">
        <v>79</v>
      </c>
      <c r="E8223">
        <v>14.352000000000002</v>
      </c>
    </row>
    <row r="8224" spans="2:5">
      <c r="B8224" s="17">
        <v>41980</v>
      </c>
      <c r="D8224" t="s">
        <v>79</v>
      </c>
      <c r="E8224">
        <v>191.976</v>
      </c>
    </row>
    <row r="8225" spans="2:5">
      <c r="B8225" s="17">
        <v>41979</v>
      </c>
      <c r="D8225" t="s">
        <v>79</v>
      </c>
      <c r="E8225">
        <v>70.56</v>
      </c>
    </row>
    <row r="8226" spans="2:5">
      <c r="B8226" s="17">
        <v>41979</v>
      </c>
      <c r="D8226" t="s">
        <v>79</v>
      </c>
      <c r="E8226">
        <v>23.976000000000003</v>
      </c>
    </row>
    <row r="8227" spans="2:5">
      <c r="B8227" s="17">
        <v>41979</v>
      </c>
      <c r="D8227" t="s">
        <v>79</v>
      </c>
      <c r="E8227">
        <v>33.29</v>
      </c>
    </row>
    <row r="8228" spans="2:5">
      <c r="B8228" s="17">
        <v>41979</v>
      </c>
      <c r="D8228" t="s">
        <v>79</v>
      </c>
      <c r="E8228">
        <v>38.975999999999999</v>
      </c>
    </row>
    <row r="8229" spans="2:5">
      <c r="B8229" s="17">
        <v>41979</v>
      </c>
      <c r="D8229" t="s">
        <v>79</v>
      </c>
      <c r="E8229">
        <v>8.7360000000000007</v>
      </c>
    </row>
    <row r="8230" spans="2:5">
      <c r="B8230" s="17">
        <v>41979</v>
      </c>
      <c r="D8230" t="s">
        <v>79</v>
      </c>
      <c r="E8230">
        <v>88.800000000000011</v>
      </c>
    </row>
    <row r="8231" spans="2:5">
      <c r="B8231" s="17">
        <v>41979</v>
      </c>
      <c r="D8231" t="s">
        <v>79</v>
      </c>
      <c r="E8231">
        <v>48.36</v>
      </c>
    </row>
    <row r="8232" spans="2:5">
      <c r="B8232" s="17">
        <v>41979</v>
      </c>
      <c r="D8232" t="s">
        <v>79</v>
      </c>
      <c r="E8232">
        <v>99.13600000000001</v>
      </c>
    </row>
    <row r="8233" spans="2:5">
      <c r="B8233" s="17">
        <v>41979</v>
      </c>
      <c r="D8233" t="s">
        <v>79</v>
      </c>
      <c r="E8233">
        <v>1737.1799999999998</v>
      </c>
    </row>
    <row r="8234" spans="2:5">
      <c r="B8234" s="17">
        <v>41979</v>
      </c>
      <c r="D8234" t="s">
        <v>79</v>
      </c>
      <c r="E8234">
        <v>704.25</v>
      </c>
    </row>
    <row r="8235" spans="2:5">
      <c r="B8235" s="17">
        <v>41979</v>
      </c>
      <c r="D8235" t="s">
        <v>79</v>
      </c>
      <c r="E8235">
        <v>141.76</v>
      </c>
    </row>
    <row r="8236" spans="2:5">
      <c r="B8236" s="17">
        <v>41978</v>
      </c>
      <c r="D8236" t="s">
        <v>79</v>
      </c>
      <c r="E8236">
        <v>998.82</v>
      </c>
    </row>
    <row r="8237" spans="2:5">
      <c r="B8237" s="17">
        <v>41978</v>
      </c>
      <c r="D8237" t="s">
        <v>79</v>
      </c>
      <c r="E8237">
        <v>51.150000000000006</v>
      </c>
    </row>
    <row r="8238" spans="2:5">
      <c r="B8238" s="17">
        <v>41978</v>
      </c>
      <c r="D8238" t="s">
        <v>79</v>
      </c>
      <c r="E8238">
        <v>11.56</v>
      </c>
    </row>
    <row r="8239" spans="2:5">
      <c r="B8239" s="17">
        <v>41978</v>
      </c>
      <c r="D8239" t="s">
        <v>79</v>
      </c>
      <c r="E8239">
        <v>32.952000000000005</v>
      </c>
    </row>
    <row r="8240" spans="2:5">
      <c r="B8240" s="17">
        <v>41978</v>
      </c>
      <c r="D8240" t="s">
        <v>79</v>
      </c>
      <c r="E8240">
        <v>30.016000000000005</v>
      </c>
    </row>
    <row r="8241" spans="2:5">
      <c r="B8241" s="17">
        <v>41978</v>
      </c>
      <c r="D8241" t="s">
        <v>79</v>
      </c>
      <c r="E8241">
        <v>12.84</v>
      </c>
    </row>
    <row r="8242" spans="2:5">
      <c r="B8242" s="17">
        <v>41978</v>
      </c>
      <c r="D8242" t="s">
        <v>79</v>
      </c>
      <c r="E8242">
        <v>767.21400000000006</v>
      </c>
    </row>
    <row r="8243" spans="2:5">
      <c r="B8243" s="17">
        <v>41978</v>
      </c>
      <c r="D8243" t="s">
        <v>79</v>
      </c>
      <c r="E8243">
        <v>10.98</v>
      </c>
    </row>
    <row r="8244" spans="2:5">
      <c r="B8244" s="17">
        <v>41978</v>
      </c>
      <c r="D8244" t="s">
        <v>79</v>
      </c>
      <c r="E8244">
        <v>7.86</v>
      </c>
    </row>
    <row r="8245" spans="2:5">
      <c r="B8245" s="17">
        <v>41978</v>
      </c>
      <c r="D8245" t="s">
        <v>79</v>
      </c>
      <c r="E8245">
        <v>51.449999999999996</v>
      </c>
    </row>
    <row r="8246" spans="2:5">
      <c r="B8246" s="17">
        <v>41978</v>
      </c>
      <c r="D8246" t="s">
        <v>79</v>
      </c>
      <c r="E8246">
        <v>37.055999999999997</v>
      </c>
    </row>
    <row r="8247" spans="2:5">
      <c r="B8247" s="17">
        <v>41978</v>
      </c>
      <c r="D8247" t="s">
        <v>79</v>
      </c>
      <c r="E8247">
        <v>23.92</v>
      </c>
    </row>
    <row r="8248" spans="2:5">
      <c r="B8248" s="17">
        <v>41978</v>
      </c>
      <c r="D8248" t="s">
        <v>79</v>
      </c>
      <c r="E8248">
        <v>498</v>
      </c>
    </row>
    <row r="8249" spans="2:5">
      <c r="B8249" s="17">
        <v>41978</v>
      </c>
      <c r="D8249" t="s">
        <v>79</v>
      </c>
      <c r="E8249">
        <v>4.9839999999999991</v>
      </c>
    </row>
    <row r="8250" spans="2:5">
      <c r="B8250" s="17">
        <v>41978</v>
      </c>
      <c r="D8250" t="s">
        <v>79</v>
      </c>
      <c r="E8250">
        <v>182.35200000000003</v>
      </c>
    </row>
    <row r="8251" spans="2:5">
      <c r="B8251" s="17">
        <v>41978</v>
      </c>
      <c r="D8251" t="s">
        <v>79</v>
      </c>
      <c r="E8251">
        <v>118.16</v>
      </c>
    </row>
    <row r="8252" spans="2:5">
      <c r="B8252" s="17">
        <v>41977</v>
      </c>
      <c r="D8252" t="s">
        <v>79</v>
      </c>
      <c r="E8252">
        <v>946.76400000000024</v>
      </c>
    </row>
    <row r="8253" spans="2:5">
      <c r="B8253" s="17">
        <v>41976</v>
      </c>
      <c r="D8253" t="s">
        <v>484</v>
      </c>
      <c r="E8253">
        <v>600.55799999999999</v>
      </c>
    </row>
    <row r="8254" spans="2:5">
      <c r="B8254" s="17">
        <v>41976</v>
      </c>
      <c r="D8254" t="s">
        <v>484</v>
      </c>
      <c r="E8254">
        <v>78.600000000000009</v>
      </c>
    </row>
    <row r="8255" spans="2:5">
      <c r="B8255" s="17">
        <v>41975</v>
      </c>
      <c r="D8255" t="s">
        <v>484</v>
      </c>
      <c r="E8255">
        <v>27.552000000000003</v>
      </c>
    </row>
    <row r="8256" spans="2:5">
      <c r="B8256" s="17">
        <v>41975</v>
      </c>
      <c r="D8256" t="s">
        <v>484</v>
      </c>
      <c r="E8256">
        <v>8.6899999999999977</v>
      </c>
    </row>
    <row r="8257" spans="2:5">
      <c r="B8257" s="17">
        <v>41975</v>
      </c>
      <c r="D8257" t="s">
        <v>484</v>
      </c>
      <c r="E8257">
        <v>11.91</v>
      </c>
    </row>
    <row r="8258" spans="2:5">
      <c r="B8258" s="17">
        <v>41975</v>
      </c>
      <c r="D8258" t="s">
        <v>484</v>
      </c>
      <c r="E8258">
        <v>3.48</v>
      </c>
    </row>
    <row r="8259" spans="2:5">
      <c r="B8259" s="17">
        <v>41975</v>
      </c>
      <c r="D8259" t="s">
        <v>484</v>
      </c>
      <c r="E8259">
        <v>18.264000000000003</v>
      </c>
    </row>
    <row r="8260" spans="2:5">
      <c r="B8260" s="17">
        <v>41975</v>
      </c>
      <c r="D8260" t="s">
        <v>484</v>
      </c>
      <c r="E8260">
        <v>34.655999999999999</v>
      </c>
    </row>
    <row r="8261" spans="2:5">
      <c r="B8261" s="17">
        <v>41975</v>
      </c>
      <c r="D8261" t="s">
        <v>484</v>
      </c>
      <c r="E8261">
        <v>81.552000000000007</v>
      </c>
    </row>
    <row r="8262" spans="2:5">
      <c r="B8262" s="17">
        <v>41975</v>
      </c>
      <c r="D8262" t="s">
        <v>98</v>
      </c>
      <c r="E8262">
        <v>191.88</v>
      </c>
    </row>
    <row r="8263" spans="2:5">
      <c r="B8263" s="17">
        <v>41975</v>
      </c>
      <c r="D8263" t="s">
        <v>98</v>
      </c>
      <c r="E8263">
        <v>8.016</v>
      </c>
    </row>
    <row r="8264" spans="2:5">
      <c r="B8264" s="17">
        <v>41975</v>
      </c>
      <c r="D8264" t="s">
        <v>98</v>
      </c>
      <c r="E8264">
        <v>9.5680000000000014</v>
      </c>
    </row>
    <row r="8265" spans="2:5">
      <c r="B8265" s="17">
        <v>41975</v>
      </c>
      <c r="D8265" t="s">
        <v>98</v>
      </c>
      <c r="E8265">
        <v>30.36</v>
      </c>
    </row>
    <row r="8266" spans="2:5">
      <c r="B8266" s="17">
        <v>41975</v>
      </c>
      <c r="D8266" t="s">
        <v>98</v>
      </c>
      <c r="E8266">
        <v>142.86000000000001</v>
      </c>
    </row>
    <row r="8267" spans="2:5">
      <c r="B8267" s="17">
        <v>41975</v>
      </c>
      <c r="D8267" t="s">
        <v>98</v>
      </c>
      <c r="E8267">
        <v>173.65600000000003</v>
      </c>
    </row>
    <row r="8268" spans="2:5">
      <c r="B8268" s="17">
        <v>41975</v>
      </c>
      <c r="D8268" t="s">
        <v>98</v>
      </c>
      <c r="E8268">
        <v>361.96</v>
      </c>
    </row>
    <row r="8269" spans="2:5">
      <c r="B8269" s="17">
        <v>41974</v>
      </c>
      <c r="D8269" t="s">
        <v>98</v>
      </c>
      <c r="E8269">
        <v>62.849999999999994</v>
      </c>
    </row>
    <row r="8270" spans="2:5">
      <c r="B8270" s="17">
        <v>41974</v>
      </c>
      <c r="D8270" t="s">
        <v>98</v>
      </c>
      <c r="E8270">
        <v>818.37600000000009</v>
      </c>
    </row>
    <row r="8271" spans="2:5">
      <c r="B8271" s="17">
        <v>41974</v>
      </c>
      <c r="D8271" t="s">
        <v>292</v>
      </c>
      <c r="E8271">
        <v>20.34</v>
      </c>
    </row>
    <row r="8272" spans="2:5">
      <c r="B8272" s="17">
        <v>41974</v>
      </c>
      <c r="D8272" t="s">
        <v>292</v>
      </c>
      <c r="E8272">
        <v>23.99</v>
      </c>
    </row>
    <row r="8273" spans="2:5">
      <c r="B8273" s="17">
        <v>41974</v>
      </c>
      <c r="D8273" t="s">
        <v>292</v>
      </c>
      <c r="E8273">
        <v>13.97</v>
      </c>
    </row>
    <row r="8274" spans="2:5">
      <c r="B8274" s="17">
        <v>41974</v>
      </c>
      <c r="D8274" t="s">
        <v>292</v>
      </c>
      <c r="E8274">
        <v>53.315999999999995</v>
      </c>
    </row>
    <row r="8275" spans="2:5">
      <c r="B8275" s="17">
        <v>41974</v>
      </c>
      <c r="D8275" t="s">
        <v>292</v>
      </c>
      <c r="E8275">
        <v>56.519999999999996</v>
      </c>
    </row>
    <row r="8276" spans="2:5">
      <c r="B8276" s="17">
        <v>41974</v>
      </c>
      <c r="D8276" t="s">
        <v>292</v>
      </c>
      <c r="E8276">
        <v>5.1840000000000011</v>
      </c>
    </row>
    <row r="8277" spans="2:5">
      <c r="B8277" s="17">
        <v>41974</v>
      </c>
      <c r="D8277" t="s">
        <v>292</v>
      </c>
      <c r="E8277">
        <v>45.527999999999999</v>
      </c>
    </row>
    <row r="8278" spans="2:5">
      <c r="B8278" s="17">
        <v>41974</v>
      </c>
      <c r="D8278" t="s">
        <v>292</v>
      </c>
      <c r="E8278">
        <v>64.784000000000006</v>
      </c>
    </row>
    <row r="8279" spans="2:5">
      <c r="B8279" s="17">
        <v>41974</v>
      </c>
      <c r="D8279" t="s">
        <v>292</v>
      </c>
      <c r="E8279">
        <v>424.27200000000005</v>
      </c>
    </row>
    <row r="8280" spans="2:5">
      <c r="B8280" s="17">
        <v>41974</v>
      </c>
      <c r="D8280" t="s">
        <v>292</v>
      </c>
      <c r="E8280">
        <v>1.3440000000000001</v>
      </c>
    </row>
    <row r="8281" spans="2:5">
      <c r="B8281" s="17">
        <v>41973</v>
      </c>
      <c r="D8281" t="s">
        <v>292</v>
      </c>
      <c r="E8281">
        <v>83.920000000000016</v>
      </c>
    </row>
    <row r="8282" spans="2:5">
      <c r="B8282" s="17">
        <v>41973</v>
      </c>
      <c r="D8282" t="s">
        <v>292</v>
      </c>
      <c r="E8282">
        <v>11.76</v>
      </c>
    </row>
    <row r="8283" spans="2:5">
      <c r="B8283" s="17">
        <v>41973</v>
      </c>
      <c r="D8283" t="s">
        <v>292</v>
      </c>
      <c r="E8283">
        <v>132.16</v>
      </c>
    </row>
    <row r="8284" spans="2:5">
      <c r="B8284" s="17">
        <v>41973</v>
      </c>
      <c r="D8284" t="s">
        <v>292</v>
      </c>
      <c r="E8284">
        <v>17.903999999999996</v>
      </c>
    </row>
    <row r="8285" spans="2:5">
      <c r="B8285" s="17">
        <v>41972</v>
      </c>
      <c r="D8285" t="s">
        <v>292</v>
      </c>
      <c r="E8285">
        <v>124.032</v>
      </c>
    </row>
    <row r="8286" spans="2:5">
      <c r="B8286" s="17">
        <v>41972</v>
      </c>
      <c r="D8286" t="s">
        <v>491</v>
      </c>
      <c r="E8286">
        <v>1325.76</v>
      </c>
    </row>
    <row r="8287" spans="2:5">
      <c r="B8287" s="17">
        <v>41972</v>
      </c>
      <c r="D8287" t="s">
        <v>491</v>
      </c>
      <c r="E8287">
        <v>572.16000000000008</v>
      </c>
    </row>
    <row r="8288" spans="2:5">
      <c r="B8288" s="17">
        <v>41972</v>
      </c>
      <c r="D8288" t="s">
        <v>491</v>
      </c>
      <c r="E8288">
        <v>18.240000000000002</v>
      </c>
    </row>
    <row r="8289" spans="2:5">
      <c r="B8289" s="17">
        <v>41972</v>
      </c>
      <c r="D8289" t="s">
        <v>491</v>
      </c>
      <c r="E8289">
        <v>17.28</v>
      </c>
    </row>
    <row r="8290" spans="2:5">
      <c r="B8290" s="17">
        <v>41971</v>
      </c>
      <c r="D8290" t="s">
        <v>491</v>
      </c>
      <c r="E8290">
        <v>122.48</v>
      </c>
    </row>
    <row r="8291" spans="2:5">
      <c r="B8291" s="17">
        <v>41971</v>
      </c>
      <c r="D8291" t="s">
        <v>491</v>
      </c>
      <c r="E8291">
        <v>2244.48</v>
      </c>
    </row>
    <row r="8292" spans="2:5">
      <c r="B8292" s="17">
        <v>41971</v>
      </c>
      <c r="D8292" t="s">
        <v>491</v>
      </c>
      <c r="E8292">
        <v>62.31</v>
      </c>
    </row>
    <row r="8293" spans="2:5">
      <c r="B8293" s="17">
        <v>41971</v>
      </c>
      <c r="D8293" t="s">
        <v>491</v>
      </c>
      <c r="E8293">
        <v>455.1</v>
      </c>
    </row>
    <row r="8294" spans="2:5">
      <c r="B8294" s="17">
        <v>41971</v>
      </c>
      <c r="D8294" t="s">
        <v>491</v>
      </c>
      <c r="E8294">
        <v>31.049999999999997</v>
      </c>
    </row>
    <row r="8295" spans="2:5">
      <c r="B8295" s="17">
        <v>41971</v>
      </c>
      <c r="D8295" t="s">
        <v>491</v>
      </c>
      <c r="E8295">
        <v>43.512</v>
      </c>
    </row>
    <row r="8296" spans="2:5">
      <c r="B8296" s="17">
        <v>41971</v>
      </c>
      <c r="D8296" t="s">
        <v>491</v>
      </c>
      <c r="E8296">
        <v>662.88</v>
      </c>
    </row>
    <row r="8297" spans="2:5">
      <c r="B8297" s="17">
        <v>41971</v>
      </c>
      <c r="D8297" t="s">
        <v>491</v>
      </c>
      <c r="E8297">
        <v>25.920000000000005</v>
      </c>
    </row>
    <row r="8298" spans="2:5">
      <c r="B8298" s="17">
        <v>41971</v>
      </c>
      <c r="D8298" t="s">
        <v>491</v>
      </c>
      <c r="E8298">
        <v>487.98400000000004</v>
      </c>
    </row>
    <row r="8299" spans="2:5">
      <c r="B8299" s="17">
        <v>41971</v>
      </c>
      <c r="D8299" t="s">
        <v>491</v>
      </c>
      <c r="E8299">
        <v>47.3</v>
      </c>
    </row>
    <row r="8300" spans="2:5">
      <c r="B8300" s="17">
        <v>41971</v>
      </c>
      <c r="D8300" t="s">
        <v>491</v>
      </c>
      <c r="E8300">
        <v>4.13</v>
      </c>
    </row>
    <row r="8301" spans="2:5">
      <c r="B8301" s="17">
        <v>41971</v>
      </c>
      <c r="D8301" t="s">
        <v>491</v>
      </c>
      <c r="E8301">
        <v>155.12</v>
      </c>
    </row>
    <row r="8302" spans="2:5">
      <c r="B8302" s="17">
        <v>41971</v>
      </c>
      <c r="D8302" t="s">
        <v>1784</v>
      </c>
      <c r="E8302">
        <v>447.94399999999996</v>
      </c>
    </row>
    <row r="8303" spans="2:5">
      <c r="B8303" s="17">
        <v>41970</v>
      </c>
      <c r="D8303" t="s">
        <v>1784</v>
      </c>
      <c r="E8303">
        <v>3.69</v>
      </c>
    </row>
    <row r="8304" spans="2:5">
      <c r="B8304" s="17">
        <v>41970</v>
      </c>
      <c r="D8304" t="s">
        <v>1784</v>
      </c>
      <c r="E8304">
        <v>1103.97</v>
      </c>
    </row>
    <row r="8305" spans="2:5">
      <c r="B8305" s="17">
        <v>41969</v>
      </c>
      <c r="D8305" t="s">
        <v>1784</v>
      </c>
      <c r="E8305">
        <v>190.84800000000001</v>
      </c>
    </row>
    <row r="8306" spans="2:5">
      <c r="B8306" s="17">
        <v>41969</v>
      </c>
      <c r="D8306" t="s">
        <v>1784</v>
      </c>
      <c r="E8306">
        <v>51.967999999999996</v>
      </c>
    </row>
    <row r="8307" spans="2:5">
      <c r="B8307" s="17">
        <v>41969</v>
      </c>
      <c r="D8307" t="s">
        <v>74</v>
      </c>
      <c r="E8307">
        <v>71.975999999999999</v>
      </c>
    </row>
    <row r="8308" spans="2:5">
      <c r="B8308" s="17">
        <v>41969</v>
      </c>
      <c r="D8308" t="s">
        <v>74</v>
      </c>
      <c r="E8308">
        <v>8.4480000000000004</v>
      </c>
    </row>
    <row r="8309" spans="2:5">
      <c r="B8309" s="17">
        <v>41969</v>
      </c>
      <c r="D8309" t="s">
        <v>74</v>
      </c>
      <c r="E8309">
        <v>19.431999999999995</v>
      </c>
    </row>
    <row r="8310" spans="2:5">
      <c r="B8310" s="17">
        <v>41969</v>
      </c>
      <c r="D8310" t="s">
        <v>74</v>
      </c>
      <c r="E8310">
        <v>65.44</v>
      </c>
    </row>
    <row r="8311" spans="2:5">
      <c r="B8311" s="17">
        <v>41969</v>
      </c>
      <c r="D8311" t="s">
        <v>74</v>
      </c>
      <c r="E8311">
        <v>192.18600000000004</v>
      </c>
    </row>
    <row r="8312" spans="2:5">
      <c r="B8312" s="17">
        <v>41969</v>
      </c>
      <c r="D8312" t="s">
        <v>74</v>
      </c>
      <c r="E8312">
        <v>4.8120000000000003</v>
      </c>
    </row>
    <row r="8313" spans="2:5">
      <c r="B8313" s="17">
        <v>41969</v>
      </c>
      <c r="D8313" t="s">
        <v>74</v>
      </c>
      <c r="E8313">
        <v>152.76</v>
      </c>
    </row>
    <row r="8314" spans="2:5">
      <c r="B8314" s="17">
        <v>41969</v>
      </c>
      <c r="D8314" t="s">
        <v>74</v>
      </c>
      <c r="E8314">
        <v>7.27</v>
      </c>
    </row>
    <row r="8315" spans="2:5">
      <c r="B8315" s="17">
        <v>41969</v>
      </c>
      <c r="D8315" t="s">
        <v>74</v>
      </c>
      <c r="E8315">
        <v>1819.8600000000001</v>
      </c>
    </row>
    <row r="8316" spans="2:5">
      <c r="B8316" s="17">
        <v>41969</v>
      </c>
      <c r="D8316" t="s">
        <v>74</v>
      </c>
      <c r="E8316">
        <v>14.62</v>
      </c>
    </row>
    <row r="8317" spans="2:5">
      <c r="B8317" s="17">
        <v>41969</v>
      </c>
      <c r="D8317" t="s">
        <v>74</v>
      </c>
      <c r="E8317">
        <v>22.549999999999997</v>
      </c>
    </row>
    <row r="8318" spans="2:5">
      <c r="B8318" s="17">
        <v>41969</v>
      </c>
      <c r="D8318" t="s">
        <v>74</v>
      </c>
      <c r="E8318">
        <v>583.79999999999995</v>
      </c>
    </row>
    <row r="8319" spans="2:5">
      <c r="B8319" s="17">
        <v>41968</v>
      </c>
      <c r="D8319" t="s">
        <v>74</v>
      </c>
      <c r="E8319">
        <v>15.552000000000003</v>
      </c>
    </row>
    <row r="8320" spans="2:5">
      <c r="B8320" s="17">
        <v>41968</v>
      </c>
      <c r="D8320" t="s">
        <v>74</v>
      </c>
      <c r="E8320">
        <v>32.591999999999999</v>
      </c>
    </row>
    <row r="8321" spans="2:5">
      <c r="B8321" s="17">
        <v>41968</v>
      </c>
      <c r="D8321" t="s">
        <v>74</v>
      </c>
      <c r="E8321">
        <v>40.049999999999997</v>
      </c>
    </row>
    <row r="8322" spans="2:5">
      <c r="B8322" s="17">
        <v>41968</v>
      </c>
      <c r="D8322" t="s">
        <v>74</v>
      </c>
      <c r="E8322">
        <v>5.4840000000000009</v>
      </c>
    </row>
    <row r="8323" spans="2:5">
      <c r="B8323" s="17">
        <v>41968</v>
      </c>
      <c r="D8323" t="s">
        <v>74</v>
      </c>
      <c r="E8323">
        <v>1.1670000000000003</v>
      </c>
    </row>
    <row r="8324" spans="2:5">
      <c r="B8324" s="17">
        <v>41968</v>
      </c>
      <c r="D8324" t="s">
        <v>74</v>
      </c>
      <c r="E8324">
        <v>44.46</v>
      </c>
    </row>
    <row r="8325" spans="2:5">
      <c r="B8325" s="17">
        <v>41968</v>
      </c>
      <c r="D8325" t="s">
        <v>74</v>
      </c>
      <c r="E8325">
        <v>395</v>
      </c>
    </row>
    <row r="8326" spans="2:5">
      <c r="B8326" s="17">
        <v>41968</v>
      </c>
      <c r="D8326" t="s">
        <v>74</v>
      </c>
      <c r="E8326">
        <v>627.16800000000012</v>
      </c>
    </row>
    <row r="8327" spans="2:5">
      <c r="B8327" s="17">
        <v>41968</v>
      </c>
      <c r="D8327" t="s">
        <v>74</v>
      </c>
      <c r="E8327">
        <v>1013.8320000000001</v>
      </c>
    </row>
    <row r="8328" spans="2:5">
      <c r="B8328" s="17">
        <v>41968</v>
      </c>
      <c r="D8328" t="s">
        <v>74</v>
      </c>
      <c r="E8328">
        <v>1.984</v>
      </c>
    </row>
    <row r="8329" spans="2:5">
      <c r="B8329" s="17">
        <v>41968</v>
      </c>
      <c r="D8329" t="s">
        <v>74</v>
      </c>
      <c r="E8329">
        <v>36.288000000000011</v>
      </c>
    </row>
    <row r="8330" spans="2:5">
      <c r="B8330" s="17">
        <v>41968</v>
      </c>
      <c r="D8330" t="s">
        <v>74</v>
      </c>
      <c r="E8330">
        <v>56.567999999999998</v>
      </c>
    </row>
    <row r="8331" spans="2:5">
      <c r="B8331" s="17">
        <v>41968</v>
      </c>
      <c r="D8331" t="s">
        <v>74</v>
      </c>
      <c r="E8331">
        <v>114.2</v>
      </c>
    </row>
    <row r="8332" spans="2:5">
      <c r="B8332" s="17">
        <v>41968</v>
      </c>
      <c r="D8332" t="s">
        <v>74</v>
      </c>
      <c r="E8332">
        <v>1403.9200000000003</v>
      </c>
    </row>
    <row r="8333" spans="2:5">
      <c r="B8333" s="17">
        <v>41968</v>
      </c>
      <c r="D8333" t="s">
        <v>74</v>
      </c>
      <c r="E8333">
        <v>99.98</v>
      </c>
    </row>
    <row r="8334" spans="2:5">
      <c r="B8334" s="17">
        <v>41968</v>
      </c>
      <c r="D8334" t="s">
        <v>74</v>
      </c>
      <c r="E8334">
        <v>29.46</v>
      </c>
    </row>
    <row r="8335" spans="2:5">
      <c r="B8335" s="17">
        <v>41967</v>
      </c>
      <c r="D8335" t="s">
        <v>74</v>
      </c>
      <c r="E8335">
        <v>8.6240000000000023</v>
      </c>
    </row>
    <row r="8336" spans="2:5">
      <c r="B8336" s="17">
        <v>41967</v>
      </c>
      <c r="D8336" t="s">
        <v>74</v>
      </c>
      <c r="E8336">
        <v>40.68</v>
      </c>
    </row>
    <row r="8337" spans="2:5">
      <c r="B8337" s="17">
        <v>41967</v>
      </c>
      <c r="D8337" t="s">
        <v>74</v>
      </c>
      <c r="E8337">
        <v>763.28</v>
      </c>
    </row>
    <row r="8338" spans="2:5">
      <c r="B8338" s="17">
        <v>41967</v>
      </c>
      <c r="D8338" t="s">
        <v>74</v>
      </c>
      <c r="E8338">
        <v>6.16</v>
      </c>
    </row>
    <row r="8339" spans="2:5">
      <c r="B8339" s="17">
        <v>41967</v>
      </c>
      <c r="D8339" t="s">
        <v>74</v>
      </c>
      <c r="E8339">
        <v>8.5440000000000005</v>
      </c>
    </row>
    <row r="8340" spans="2:5">
      <c r="B8340" s="17">
        <v>41967</v>
      </c>
      <c r="D8340" t="s">
        <v>74</v>
      </c>
      <c r="E8340">
        <v>445.80200000000002</v>
      </c>
    </row>
    <row r="8341" spans="2:5">
      <c r="B8341" s="17">
        <v>41967</v>
      </c>
      <c r="D8341" t="s">
        <v>74</v>
      </c>
      <c r="E8341">
        <v>5.1039999999999992</v>
      </c>
    </row>
    <row r="8342" spans="2:5">
      <c r="B8342" s="17">
        <v>41967</v>
      </c>
      <c r="D8342" t="s">
        <v>74</v>
      </c>
      <c r="E8342">
        <v>2.8960000000000004</v>
      </c>
    </row>
    <row r="8343" spans="2:5">
      <c r="B8343" s="17">
        <v>41967</v>
      </c>
      <c r="D8343" t="s">
        <v>74</v>
      </c>
      <c r="E8343">
        <v>35.016000000000005</v>
      </c>
    </row>
    <row r="8344" spans="2:5">
      <c r="B8344" s="17">
        <v>41967</v>
      </c>
      <c r="D8344" t="s">
        <v>74</v>
      </c>
      <c r="E8344">
        <v>186.304</v>
      </c>
    </row>
    <row r="8345" spans="2:5">
      <c r="B8345" s="17">
        <v>41967</v>
      </c>
      <c r="D8345" t="s">
        <v>74</v>
      </c>
      <c r="E8345">
        <v>2.6240000000000001</v>
      </c>
    </row>
    <row r="8346" spans="2:5">
      <c r="B8346" s="17">
        <v>41967</v>
      </c>
      <c r="D8346" t="s">
        <v>127</v>
      </c>
      <c r="E8346">
        <v>136.53</v>
      </c>
    </row>
    <row r="8347" spans="2:5">
      <c r="B8347" s="17">
        <v>41967</v>
      </c>
      <c r="D8347" t="s">
        <v>127</v>
      </c>
      <c r="E8347">
        <v>6999.96</v>
      </c>
    </row>
    <row r="8348" spans="2:5">
      <c r="B8348" s="17">
        <v>41967</v>
      </c>
      <c r="D8348" t="s">
        <v>127</v>
      </c>
      <c r="E8348">
        <v>9.2639999999999976</v>
      </c>
    </row>
    <row r="8349" spans="2:5">
      <c r="B8349" s="17">
        <v>41967</v>
      </c>
      <c r="D8349" t="s">
        <v>127</v>
      </c>
      <c r="E8349">
        <v>90.24</v>
      </c>
    </row>
    <row r="8350" spans="2:5">
      <c r="B8350" s="17">
        <v>41967</v>
      </c>
      <c r="D8350" t="s">
        <v>127</v>
      </c>
      <c r="E8350">
        <v>2.92</v>
      </c>
    </row>
    <row r="8351" spans="2:5">
      <c r="B8351" s="17">
        <v>41967</v>
      </c>
      <c r="D8351" t="s">
        <v>127</v>
      </c>
      <c r="E8351">
        <v>94.427999999999997</v>
      </c>
    </row>
    <row r="8352" spans="2:5">
      <c r="B8352" s="17">
        <v>41967</v>
      </c>
      <c r="D8352" t="s">
        <v>127</v>
      </c>
      <c r="E8352">
        <v>87.960000000000008</v>
      </c>
    </row>
    <row r="8353" spans="2:5">
      <c r="B8353" s="17">
        <v>41967</v>
      </c>
      <c r="D8353" t="s">
        <v>127</v>
      </c>
      <c r="E8353">
        <v>5.2140000000000004</v>
      </c>
    </row>
    <row r="8354" spans="2:5">
      <c r="B8354" s="17">
        <v>41966</v>
      </c>
      <c r="D8354" t="s">
        <v>127</v>
      </c>
      <c r="E8354">
        <v>12.39</v>
      </c>
    </row>
    <row r="8355" spans="2:5">
      <c r="B8355" s="17">
        <v>41966</v>
      </c>
      <c r="D8355" t="s">
        <v>127</v>
      </c>
      <c r="E8355">
        <v>764.6880000000001</v>
      </c>
    </row>
    <row r="8356" spans="2:5">
      <c r="B8356" s="17">
        <v>41966</v>
      </c>
      <c r="D8356" t="s">
        <v>127</v>
      </c>
      <c r="E8356">
        <v>3610.848</v>
      </c>
    </row>
    <row r="8357" spans="2:5">
      <c r="B8357" s="17">
        <v>41966</v>
      </c>
      <c r="D8357" t="s">
        <v>127</v>
      </c>
      <c r="E8357">
        <v>43.31</v>
      </c>
    </row>
    <row r="8358" spans="2:5">
      <c r="B8358" s="17">
        <v>41966</v>
      </c>
      <c r="D8358" t="s">
        <v>127</v>
      </c>
      <c r="E8358">
        <v>12.54</v>
      </c>
    </row>
    <row r="8359" spans="2:5">
      <c r="B8359" s="17">
        <v>41966</v>
      </c>
      <c r="D8359" t="s">
        <v>127</v>
      </c>
      <c r="E8359">
        <v>8.94</v>
      </c>
    </row>
    <row r="8360" spans="2:5">
      <c r="B8360" s="17">
        <v>41966</v>
      </c>
      <c r="D8360" t="s">
        <v>127</v>
      </c>
      <c r="E8360">
        <v>9.24</v>
      </c>
    </row>
    <row r="8361" spans="2:5">
      <c r="B8361" s="17">
        <v>41966</v>
      </c>
      <c r="D8361" t="s">
        <v>127</v>
      </c>
      <c r="E8361">
        <v>23.472000000000001</v>
      </c>
    </row>
    <row r="8362" spans="2:5">
      <c r="B8362" s="17">
        <v>41966</v>
      </c>
      <c r="D8362" t="s">
        <v>1827</v>
      </c>
      <c r="E8362">
        <v>11.36</v>
      </c>
    </row>
    <row r="8363" spans="2:5">
      <c r="B8363" s="17">
        <v>41966</v>
      </c>
      <c r="D8363" t="s">
        <v>1793</v>
      </c>
      <c r="E8363">
        <v>106.34399999999999</v>
      </c>
    </row>
    <row r="8364" spans="2:5">
      <c r="B8364" s="17">
        <v>41966</v>
      </c>
      <c r="D8364" t="s">
        <v>460</v>
      </c>
      <c r="E8364">
        <v>25.92</v>
      </c>
    </row>
    <row r="8365" spans="2:5">
      <c r="B8365" s="17">
        <v>41966</v>
      </c>
      <c r="D8365" t="s">
        <v>460</v>
      </c>
      <c r="E8365">
        <v>91.36</v>
      </c>
    </row>
    <row r="8366" spans="2:5">
      <c r="B8366" s="17">
        <v>41965</v>
      </c>
      <c r="D8366" t="s">
        <v>460</v>
      </c>
      <c r="E8366">
        <v>34.68</v>
      </c>
    </row>
    <row r="8367" spans="2:5">
      <c r="B8367" s="17">
        <v>41965</v>
      </c>
      <c r="D8367" t="s">
        <v>460</v>
      </c>
      <c r="E8367">
        <v>100.70400000000001</v>
      </c>
    </row>
    <row r="8368" spans="2:5">
      <c r="B8368" s="17">
        <v>41965</v>
      </c>
      <c r="D8368" t="s">
        <v>912</v>
      </c>
      <c r="E8368">
        <v>10.688000000000001</v>
      </c>
    </row>
    <row r="8369" spans="2:5">
      <c r="B8369" s="17">
        <v>41965</v>
      </c>
      <c r="D8369" t="s">
        <v>912</v>
      </c>
      <c r="E8369">
        <v>8.4480000000000004</v>
      </c>
    </row>
    <row r="8370" spans="2:5">
      <c r="B8370" s="17">
        <v>41965</v>
      </c>
      <c r="D8370" t="s">
        <v>912</v>
      </c>
      <c r="E8370">
        <v>20.387999999999995</v>
      </c>
    </row>
    <row r="8371" spans="2:5">
      <c r="B8371" s="17">
        <v>41965</v>
      </c>
      <c r="D8371" t="s">
        <v>912</v>
      </c>
      <c r="E8371">
        <v>30.672000000000001</v>
      </c>
    </row>
    <row r="8372" spans="2:5">
      <c r="B8372" s="17">
        <v>41965</v>
      </c>
      <c r="D8372" t="s">
        <v>527</v>
      </c>
      <c r="E8372">
        <v>1079.9759999999999</v>
      </c>
    </row>
    <row r="8373" spans="2:5">
      <c r="B8373" s="17">
        <v>41965</v>
      </c>
      <c r="D8373" t="s">
        <v>527</v>
      </c>
      <c r="E8373">
        <v>60.415999999999997</v>
      </c>
    </row>
    <row r="8374" spans="2:5">
      <c r="B8374" s="17">
        <v>41964</v>
      </c>
      <c r="D8374" t="s">
        <v>527</v>
      </c>
      <c r="E8374">
        <v>27.888000000000002</v>
      </c>
    </row>
    <row r="8375" spans="2:5">
      <c r="B8375" s="17">
        <v>41964</v>
      </c>
      <c r="D8375" t="s">
        <v>527</v>
      </c>
      <c r="E8375">
        <v>6.4560000000000004</v>
      </c>
    </row>
    <row r="8376" spans="2:5">
      <c r="B8376" s="17">
        <v>41964</v>
      </c>
      <c r="D8376" t="s">
        <v>527</v>
      </c>
      <c r="E8376">
        <v>52.679999999999993</v>
      </c>
    </row>
    <row r="8377" spans="2:5">
      <c r="B8377" s="17">
        <v>41964</v>
      </c>
      <c r="D8377" t="s">
        <v>527</v>
      </c>
      <c r="E8377">
        <v>13.88</v>
      </c>
    </row>
    <row r="8378" spans="2:5">
      <c r="B8378" s="17">
        <v>41964</v>
      </c>
      <c r="D8378" t="s">
        <v>527</v>
      </c>
      <c r="E8378">
        <v>103.92000000000002</v>
      </c>
    </row>
    <row r="8379" spans="2:5">
      <c r="B8379" s="17">
        <v>41964</v>
      </c>
      <c r="D8379" t="s">
        <v>527</v>
      </c>
      <c r="E8379">
        <v>11.52</v>
      </c>
    </row>
    <row r="8380" spans="2:5">
      <c r="B8380" s="17">
        <v>41964</v>
      </c>
      <c r="D8380" t="s">
        <v>527</v>
      </c>
      <c r="E8380">
        <v>10.368000000000002</v>
      </c>
    </row>
    <row r="8381" spans="2:5">
      <c r="B8381" s="17">
        <v>41964</v>
      </c>
      <c r="D8381" t="s">
        <v>527</v>
      </c>
      <c r="E8381">
        <v>39.072000000000003</v>
      </c>
    </row>
    <row r="8382" spans="2:5">
      <c r="B8382" s="17">
        <v>41964</v>
      </c>
      <c r="D8382" t="s">
        <v>527</v>
      </c>
      <c r="E8382">
        <v>45.68</v>
      </c>
    </row>
    <row r="8383" spans="2:5">
      <c r="B8383" s="17">
        <v>41963</v>
      </c>
      <c r="D8383" t="s">
        <v>805</v>
      </c>
      <c r="E8383">
        <v>603.91999999999996</v>
      </c>
    </row>
    <row r="8384" spans="2:5">
      <c r="B8384" s="17">
        <v>41963</v>
      </c>
      <c r="D8384" t="s">
        <v>805</v>
      </c>
      <c r="E8384">
        <v>39.880000000000003</v>
      </c>
    </row>
    <row r="8385" spans="2:5">
      <c r="B8385" s="17">
        <v>41963</v>
      </c>
      <c r="D8385" t="s">
        <v>805</v>
      </c>
      <c r="E8385">
        <v>79.44</v>
      </c>
    </row>
    <row r="8386" spans="2:5">
      <c r="B8386" s="17">
        <v>41963</v>
      </c>
      <c r="D8386" t="s">
        <v>805</v>
      </c>
      <c r="E8386">
        <v>105.52</v>
      </c>
    </row>
    <row r="8387" spans="2:5">
      <c r="B8387" s="17">
        <v>41962</v>
      </c>
      <c r="D8387" t="s">
        <v>805</v>
      </c>
      <c r="E8387">
        <v>8.64</v>
      </c>
    </row>
    <row r="8388" spans="2:5">
      <c r="B8388" s="17">
        <v>41962</v>
      </c>
      <c r="D8388" t="s">
        <v>1876</v>
      </c>
      <c r="E8388">
        <v>164.88</v>
      </c>
    </row>
    <row r="8389" spans="2:5">
      <c r="B8389" s="17">
        <v>41962</v>
      </c>
      <c r="D8389" t="s">
        <v>1766</v>
      </c>
      <c r="E8389">
        <v>23.976000000000003</v>
      </c>
    </row>
    <row r="8390" spans="2:5">
      <c r="B8390" s="17">
        <v>41962</v>
      </c>
      <c r="D8390" t="s">
        <v>1766</v>
      </c>
      <c r="E8390">
        <v>53.424000000000007</v>
      </c>
    </row>
    <row r="8391" spans="2:5">
      <c r="B8391" s="17">
        <v>41962</v>
      </c>
      <c r="D8391" t="s">
        <v>1766</v>
      </c>
      <c r="E8391">
        <v>14.015999999999996</v>
      </c>
    </row>
    <row r="8392" spans="2:5">
      <c r="B8392" s="17">
        <v>41962</v>
      </c>
      <c r="D8392" t="s">
        <v>1581</v>
      </c>
      <c r="E8392">
        <v>35.04</v>
      </c>
    </row>
    <row r="8393" spans="2:5">
      <c r="B8393" s="17">
        <v>41962</v>
      </c>
      <c r="D8393" t="s">
        <v>558</v>
      </c>
      <c r="E8393">
        <v>10.776000000000002</v>
      </c>
    </row>
    <row r="8394" spans="2:5">
      <c r="B8394" s="17">
        <v>41962</v>
      </c>
      <c r="D8394" t="s">
        <v>558</v>
      </c>
      <c r="E8394">
        <v>4.5999999999999988</v>
      </c>
    </row>
    <row r="8395" spans="2:5">
      <c r="B8395" s="17">
        <v>41962</v>
      </c>
      <c r="D8395" t="s">
        <v>558</v>
      </c>
      <c r="E8395">
        <v>35.167999999999999</v>
      </c>
    </row>
    <row r="8396" spans="2:5">
      <c r="B8396" s="17">
        <v>41962</v>
      </c>
      <c r="D8396" t="s">
        <v>558</v>
      </c>
      <c r="E8396">
        <v>1261.33</v>
      </c>
    </row>
    <row r="8397" spans="2:5">
      <c r="B8397" s="17">
        <v>41962</v>
      </c>
      <c r="D8397" t="s">
        <v>558</v>
      </c>
      <c r="E8397">
        <v>42.207999999999998</v>
      </c>
    </row>
    <row r="8398" spans="2:5">
      <c r="B8398" s="17">
        <v>41962</v>
      </c>
      <c r="D8398" t="s">
        <v>558</v>
      </c>
      <c r="E8398">
        <v>1113.0240000000001</v>
      </c>
    </row>
    <row r="8399" spans="2:5">
      <c r="B8399" s="17">
        <v>41962</v>
      </c>
      <c r="D8399" t="s">
        <v>558</v>
      </c>
      <c r="E8399">
        <v>167.96800000000002</v>
      </c>
    </row>
    <row r="8400" spans="2:5">
      <c r="B8400" s="17">
        <v>41961</v>
      </c>
      <c r="D8400" t="s">
        <v>558</v>
      </c>
      <c r="E8400">
        <v>24.816000000000003</v>
      </c>
    </row>
    <row r="8401" spans="2:5">
      <c r="B8401" s="17">
        <v>41961</v>
      </c>
      <c r="D8401" t="s">
        <v>531</v>
      </c>
      <c r="E8401">
        <v>408.74399999999997</v>
      </c>
    </row>
    <row r="8402" spans="2:5">
      <c r="B8402" s="17">
        <v>41961</v>
      </c>
      <c r="D8402" t="s">
        <v>531</v>
      </c>
      <c r="E8402">
        <v>24.56</v>
      </c>
    </row>
    <row r="8403" spans="2:5">
      <c r="B8403" s="17">
        <v>41961</v>
      </c>
      <c r="D8403" t="s">
        <v>531</v>
      </c>
      <c r="E8403">
        <v>348.488</v>
      </c>
    </row>
    <row r="8404" spans="2:5">
      <c r="B8404" s="17">
        <v>41961</v>
      </c>
      <c r="D8404" t="s">
        <v>531</v>
      </c>
      <c r="E8404">
        <v>172.73599999999999</v>
      </c>
    </row>
    <row r="8405" spans="2:5">
      <c r="B8405" s="17">
        <v>41961</v>
      </c>
      <c r="D8405" t="s">
        <v>531</v>
      </c>
      <c r="E8405">
        <v>98.376000000000005</v>
      </c>
    </row>
    <row r="8406" spans="2:5">
      <c r="B8406" s="17">
        <v>41961</v>
      </c>
      <c r="D8406" t="s">
        <v>531</v>
      </c>
      <c r="E8406">
        <v>29.940000000000005</v>
      </c>
    </row>
    <row r="8407" spans="2:5">
      <c r="B8407" s="17">
        <v>41961</v>
      </c>
      <c r="D8407" t="s">
        <v>531</v>
      </c>
      <c r="E8407">
        <v>17.472000000000001</v>
      </c>
    </row>
    <row r="8408" spans="2:5">
      <c r="B8408" s="17">
        <v>41961</v>
      </c>
      <c r="D8408" t="s">
        <v>531</v>
      </c>
      <c r="E8408">
        <v>36.738</v>
      </c>
    </row>
    <row r="8409" spans="2:5">
      <c r="B8409" s="17">
        <v>41961</v>
      </c>
      <c r="D8409" t="s">
        <v>531</v>
      </c>
      <c r="E8409">
        <v>179.93999999999997</v>
      </c>
    </row>
    <row r="8410" spans="2:5">
      <c r="B8410" s="17">
        <v>41961</v>
      </c>
      <c r="D8410" t="s">
        <v>531</v>
      </c>
      <c r="E8410">
        <v>26.46</v>
      </c>
    </row>
    <row r="8411" spans="2:5">
      <c r="B8411" s="17">
        <v>41961</v>
      </c>
      <c r="D8411" t="s">
        <v>531</v>
      </c>
      <c r="E8411">
        <v>49.12</v>
      </c>
    </row>
    <row r="8412" spans="2:5">
      <c r="B8412" s="17">
        <v>41961</v>
      </c>
      <c r="D8412" t="s">
        <v>531</v>
      </c>
      <c r="E8412">
        <v>15</v>
      </c>
    </row>
    <row r="8413" spans="2:5">
      <c r="B8413" s="17">
        <v>41961</v>
      </c>
      <c r="D8413" t="s">
        <v>531</v>
      </c>
      <c r="E8413">
        <v>129.97999999999999</v>
      </c>
    </row>
    <row r="8414" spans="2:5">
      <c r="B8414" s="17">
        <v>41961</v>
      </c>
      <c r="D8414" t="s">
        <v>531</v>
      </c>
      <c r="E8414">
        <v>479.96</v>
      </c>
    </row>
    <row r="8415" spans="2:5">
      <c r="B8415" s="17">
        <v>41961</v>
      </c>
      <c r="D8415" t="s">
        <v>531</v>
      </c>
      <c r="E8415">
        <v>25.92</v>
      </c>
    </row>
    <row r="8416" spans="2:5">
      <c r="B8416" s="17">
        <v>41961</v>
      </c>
      <c r="D8416" t="s">
        <v>531</v>
      </c>
      <c r="E8416">
        <v>119.96</v>
      </c>
    </row>
    <row r="8417" spans="2:5">
      <c r="B8417" s="17">
        <v>41961</v>
      </c>
      <c r="D8417" t="s">
        <v>856</v>
      </c>
      <c r="E8417">
        <v>883.92</v>
      </c>
    </row>
    <row r="8418" spans="2:5">
      <c r="B8418" s="17">
        <v>41961</v>
      </c>
      <c r="D8418" t="s">
        <v>856</v>
      </c>
      <c r="E8418">
        <v>46.72</v>
      </c>
    </row>
    <row r="8419" spans="2:5">
      <c r="B8419" s="17">
        <v>41961</v>
      </c>
      <c r="D8419" t="s">
        <v>856</v>
      </c>
      <c r="E8419">
        <v>58.36</v>
      </c>
    </row>
    <row r="8420" spans="2:5">
      <c r="B8420" s="17">
        <v>41960</v>
      </c>
      <c r="D8420" t="s">
        <v>856</v>
      </c>
      <c r="E8420">
        <v>39.960000000000008</v>
      </c>
    </row>
    <row r="8421" spans="2:5">
      <c r="B8421" s="17">
        <v>41960</v>
      </c>
      <c r="D8421" t="s">
        <v>856</v>
      </c>
      <c r="E8421">
        <v>119.80000000000001</v>
      </c>
    </row>
    <row r="8422" spans="2:5">
      <c r="B8422" s="17">
        <v>41960</v>
      </c>
      <c r="D8422" t="s">
        <v>856</v>
      </c>
      <c r="E8422">
        <v>2.3939999999999997</v>
      </c>
    </row>
    <row r="8423" spans="2:5">
      <c r="B8423" s="17">
        <v>41960</v>
      </c>
      <c r="D8423" t="s">
        <v>856</v>
      </c>
      <c r="E8423">
        <v>60.72</v>
      </c>
    </row>
    <row r="8424" spans="2:5">
      <c r="B8424" s="17">
        <v>41960</v>
      </c>
      <c r="D8424" t="s">
        <v>856</v>
      </c>
      <c r="E8424">
        <v>146.82</v>
      </c>
    </row>
    <row r="8425" spans="2:5">
      <c r="B8425" s="17">
        <v>41960</v>
      </c>
      <c r="D8425" t="s">
        <v>1340</v>
      </c>
      <c r="E8425">
        <v>15.66</v>
      </c>
    </row>
    <row r="8426" spans="2:5">
      <c r="B8426" s="17">
        <v>41960</v>
      </c>
      <c r="D8426" t="s">
        <v>1340</v>
      </c>
      <c r="E8426">
        <v>5.95</v>
      </c>
    </row>
    <row r="8427" spans="2:5">
      <c r="B8427" s="17">
        <v>41960</v>
      </c>
      <c r="D8427" t="s">
        <v>1650</v>
      </c>
      <c r="E8427">
        <v>15.24</v>
      </c>
    </row>
    <row r="8428" spans="2:5">
      <c r="B8428" s="17">
        <v>41960</v>
      </c>
      <c r="D8428" t="s">
        <v>1650</v>
      </c>
      <c r="E8428">
        <v>2807.84</v>
      </c>
    </row>
    <row r="8429" spans="2:5">
      <c r="B8429" s="17">
        <v>41960</v>
      </c>
      <c r="D8429" t="s">
        <v>1650</v>
      </c>
      <c r="E8429">
        <v>46.64</v>
      </c>
    </row>
    <row r="8430" spans="2:5">
      <c r="B8430" s="17">
        <v>41960</v>
      </c>
      <c r="D8430" t="s">
        <v>1650</v>
      </c>
      <c r="E8430">
        <v>58.199999999999996</v>
      </c>
    </row>
    <row r="8431" spans="2:5">
      <c r="B8431" s="17">
        <v>41960</v>
      </c>
      <c r="D8431" t="s">
        <v>1582</v>
      </c>
      <c r="E8431">
        <v>95.968000000000004</v>
      </c>
    </row>
    <row r="8432" spans="2:5">
      <c r="B8432" s="17">
        <v>41960</v>
      </c>
      <c r="D8432" t="s">
        <v>1582</v>
      </c>
      <c r="E8432">
        <v>659.98799999999994</v>
      </c>
    </row>
    <row r="8433" spans="2:5">
      <c r="B8433" s="17">
        <v>41959</v>
      </c>
      <c r="D8433" t="s">
        <v>1582</v>
      </c>
      <c r="E8433">
        <v>8.1280000000000001</v>
      </c>
    </row>
    <row r="8434" spans="2:5">
      <c r="B8434" s="17">
        <v>41959</v>
      </c>
      <c r="D8434" t="s">
        <v>1582</v>
      </c>
      <c r="E8434">
        <v>36.288000000000011</v>
      </c>
    </row>
    <row r="8435" spans="2:5">
      <c r="B8435" s="17">
        <v>41959</v>
      </c>
      <c r="D8435" t="s">
        <v>120</v>
      </c>
      <c r="E8435">
        <v>909.7199999999998</v>
      </c>
    </row>
    <row r="8436" spans="2:5">
      <c r="B8436" s="17">
        <v>41959</v>
      </c>
      <c r="D8436" t="s">
        <v>120</v>
      </c>
      <c r="E8436">
        <v>674.05799999999999</v>
      </c>
    </row>
    <row r="8437" spans="2:5">
      <c r="B8437" s="17">
        <v>41959</v>
      </c>
      <c r="D8437" t="s">
        <v>120</v>
      </c>
      <c r="E8437">
        <v>45.839999999999996</v>
      </c>
    </row>
    <row r="8438" spans="2:5">
      <c r="B8438" s="17">
        <v>41959</v>
      </c>
      <c r="D8438" t="s">
        <v>120</v>
      </c>
      <c r="E8438">
        <v>9.82</v>
      </c>
    </row>
    <row r="8439" spans="2:5">
      <c r="B8439" s="17">
        <v>41959</v>
      </c>
      <c r="D8439" t="s">
        <v>120</v>
      </c>
      <c r="E8439">
        <v>62.28</v>
      </c>
    </row>
    <row r="8440" spans="2:5">
      <c r="B8440" s="17">
        <v>41959</v>
      </c>
      <c r="D8440" t="s">
        <v>120</v>
      </c>
      <c r="E8440">
        <v>6.6420000000000012</v>
      </c>
    </row>
    <row r="8441" spans="2:5">
      <c r="B8441" s="17">
        <v>41959</v>
      </c>
      <c r="D8441" t="s">
        <v>120</v>
      </c>
      <c r="E8441">
        <v>47.992000000000004</v>
      </c>
    </row>
    <row r="8442" spans="2:5">
      <c r="B8442" s="17">
        <v>41959</v>
      </c>
      <c r="D8442" t="s">
        <v>120</v>
      </c>
      <c r="E8442">
        <v>102.24000000000001</v>
      </c>
    </row>
    <row r="8443" spans="2:5">
      <c r="B8443" s="17">
        <v>41958</v>
      </c>
      <c r="D8443" t="s">
        <v>1251</v>
      </c>
      <c r="E8443">
        <v>5.04</v>
      </c>
    </row>
    <row r="8444" spans="2:5">
      <c r="B8444" s="17">
        <v>41958</v>
      </c>
      <c r="D8444" t="s">
        <v>1693</v>
      </c>
      <c r="E8444">
        <v>12.624000000000001</v>
      </c>
    </row>
    <row r="8445" spans="2:5">
      <c r="B8445" s="17">
        <v>41958</v>
      </c>
      <c r="D8445" t="s">
        <v>1693</v>
      </c>
      <c r="E8445">
        <v>575.91999999999996</v>
      </c>
    </row>
    <row r="8446" spans="2:5">
      <c r="B8446" s="17">
        <v>41958</v>
      </c>
      <c r="D8446" t="s">
        <v>1693</v>
      </c>
      <c r="E8446">
        <v>30.4</v>
      </c>
    </row>
    <row r="8447" spans="2:5">
      <c r="B8447" s="17">
        <v>41958</v>
      </c>
      <c r="D8447" t="s">
        <v>1693</v>
      </c>
      <c r="E8447">
        <v>25.06</v>
      </c>
    </row>
    <row r="8448" spans="2:5">
      <c r="B8448" s="17">
        <v>41958</v>
      </c>
      <c r="D8448" t="s">
        <v>1693</v>
      </c>
      <c r="E8448">
        <v>14.669999999999998</v>
      </c>
    </row>
    <row r="8449" spans="2:5">
      <c r="B8449" s="17">
        <v>41958</v>
      </c>
      <c r="D8449" t="s">
        <v>415</v>
      </c>
      <c r="E8449">
        <v>17.248000000000001</v>
      </c>
    </row>
    <row r="8450" spans="2:5">
      <c r="B8450" s="17">
        <v>41958</v>
      </c>
      <c r="D8450" t="s">
        <v>415</v>
      </c>
      <c r="E8450">
        <v>397.59999999999997</v>
      </c>
    </row>
    <row r="8451" spans="2:5">
      <c r="B8451" s="17">
        <v>41957</v>
      </c>
      <c r="D8451" t="s">
        <v>415</v>
      </c>
      <c r="E8451">
        <v>85.96</v>
      </c>
    </row>
    <row r="8452" spans="2:5">
      <c r="B8452" s="17">
        <v>41957</v>
      </c>
      <c r="D8452" t="s">
        <v>415</v>
      </c>
      <c r="E8452">
        <v>13.12</v>
      </c>
    </row>
    <row r="8453" spans="2:5">
      <c r="B8453" s="17">
        <v>41957</v>
      </c>
      <c r="D8453" t="s">
        <v>1014</v>
      </c>
      <c r="E8453">
        <v>45.660000000000004</v>
      </c>
    </row>
    <row r="8454" spans="2:5">
      <c r="B8454" s="17">
        <v>41957</v>
      </c>
      <c r="D8454" t="s">
        <v>1014</v>
      </c>
      <c r="E8454">
        <v>7.36</v>
      </c>
    </row>
    <row r="8455" spans="2:5">
      <c r="B8455" s="17">
        <v>41957</v>
      </c>
      <c r="D8455" t="s">
        <v>1014</v>
      </c>
      <c r="E8455">
        <v>41.4</v>
      </c>
    </row>
    <row r="8456" spans="2:5">
      <c r="B8456" s="17">
        <v>41957</v>
      </c>
      <c r="D8456" t="s">
        <v>1014</v>
      </c>
      <c r="E8456">
        <v>411.33199999999999</v>
      </c>
    </row>
    <row r="8457" spans="2:5">
      <c r="B8457" s="17">
        <v>41957</v>
      </c>
      <c r="D8457" t="s">
        <v>1014</v>
      </c>
      <c r="E8457">
        <v>43.68</v>
      </c>
    </row>
    <row r="8458" spans="2:5">
      <c r="B8458" s="17">
        <v>41957</v>
      </c>
      <c r="D8458" t="s">
        <v>598</v>
      </c>
      <c r="E8458">
        <v>139.92999999999998</v>
      </c>
    </row>
    <row r="8459" spans="2:5">
      <c r="B8459" s="17">
        <v>41955</v>
      </c>
      <c r="D8459" t="s">
        <v>598</v>
      </c>
      <c r="E8459">
        <v>998.84999999999991</v>
      </c>
    </row>
    <row r="8460" spans="2:5">
      <c r="B8460" s="17">
        <v>41955</v>
      </c>
      <c r="D8460" t="s">
        <v>598</v>
      </c>
      <c r="E8460">
        <v>64.02</v>
      </c>
    </row>
    <row r="8461" spans="2:5">
      <c r="B8461" s="17">
        <v>41955</v>
      </c>
      <c r="D8461" t="s">
        <v>598</v>
      </c>
      <c r="E8461">
        <v>3.76</v>
      </c>
    </row>
    <row r="8462" spans="2:5">
      <c r="B8462" s="17">
        <v>41955</v>
      </c>
      <c r="D8462" t="s">
        <v>598</v>
      </c>
      <c r="E8462">
        <v>19.3</v>
      </c>
    </row>
    <row r="8463" spans="2:5">
      <c r="B8463" s="17">
        <v>41955</v>
      </c>
      <c r="D8463" t="s">
        <v>598</v>
      </c>
      <c r="E8463">
        <v>15.552000000000003</v>
      </c>
    </row>
    <row r="8464" spans="2:5">
      <c r="B8464" s="17">
        <v>41955</v>
      </c>
      <c r="D8464" t="s">
        <v>598</v>
      </c>
      <c r="E8464">
        <v>669.08</v>
      </c>
    </row>
    <row r="8465" spans="2:5">
      <c r="B8465" s="17">
        <v>41955</v>
      </c>
      <c r="D8465" t="s">
        <v>1323</v>
      </c>
      <c r="E8465">
        <v>438.33600000000001</v>
      </c>
    </row>
    <row r="8466" spans="2:5">
      <c r="B8466" s="17">
        <v>41955</v>
      </c>
      <c r="D8466" t="s">
        <v>1323</v>
      </c>
      <c r="E8466">
        <v>81.98</v>
      </c>
    </row>
    <row r="8467" spans="2:5">
      <c r="B8467" s="17">
        <v>41955</v>
      </c>
      <c r="D8467" t="s">
        <v>1141</v>
      </c>
      <c r="E8467">
        <v>12.912000000000001</v>
      </c>
    </row>
    <row r="8468" spans="2:5">
      <c r="B8468" s="17">
        <v>41955</v>
      </c>
      <c r="D8468" t="s">
        <v>1141</v>
      </c>
      <c r="E8468">
        <v>17.088000000000001</v>
      </c>
    </row>
    <row r="8469" spans="2:5">
      <c r="B8469" s="17">
        <v>41955</v>
      </c>
      <c r="D8469" t="s">
        <v>1141</v>
      </c>
      <c r="E8469">
        <v>93.149999999999991</v>
      </c>
    </row>
    <row r="8470" spans="2:5">
      <c r="B8470" s="17">
        <v>41954</v>
      </c>
      <c r="D8470" t="s">
        <v>105</v>
      </c>
      <c r="E8470">
        <v>11.52</v>
      </c>
    </row>
    <row r="8471" spans="2:5">
      <c r="B8471" s="17">
        <v>41954</v>
      </c>
      <c r="D8471" t="s">
        <v>105</v>
      </c>
      <c r="E8471">
        <v>4.32</v>
      </c>
    </row>
    <row r="8472" spans="2:5">
      <c r="B8472" s="17">
        <v>41954</v>
      </c>
      <c r="D8472" t="s">
        <v>105</v>
      </c>
      <c r="E8472">
        <v>14.940000000000001</v>
      </c>
    </row>
    <row r="8473" spans="2:5">
      <c r="B8473" s="17">
        <v>41954</v>
      </c>
      <c r="D8473" t="s">
        <v>105</v>
      </c>
      <c r="E8473">
        <v>40.54</v>
      </c>
    </row>
    <row r="8474" spans="2:5">
      <c r="B8474" s="17">
        <v>41954</v>
      </c>
      <c r="D8474" t="s">
        <v>105</v>
      </c>
      <c r="E8474">
        <v>7.3120000000000012</v>
      </c>
    </row>
    <row r="8475" spans="2:5">
      <c r="B8475" s="17">
        <v>41954</v>
      </c>
      <c r="D8475" t="s">
        <v>669</v>
      </c>
      <c r="E8475">
        <v>23.88</v>
      </c>
    </row>
    <row r="8476" spans="2:5">
      <c r="B8476" s="17">
        <v>41954</v>
      </c>
      <c r="D8476" t="s">
        <v>669</v>
      </c>
      <c r="E8476">
        <v>26.76</v>
      </c>
    </row>
    <row r="8477" spans="2:5">
      <c r="B8477" s="17">
        <v>41954</v>
      </c>
      <c r="D8477" t="s">
        <v>669</v>
      </c>
      <c r="E8477">
        <v>24.672000000000001</v>
      </c>
    </row>
    <row r="8478" spans="2:5">
      <c r="B8478" s="17">
        <v>41954</v>
      </c>
      <c r="D8478" t="s">
        <v>669</v>
      </c>
      <c r="E8478">
        <v>2.52</v>
      </c>
    </row>
    <row r="8479" spans="2:5">
      <c r="B8479" s="17">
        <v>41954</v>
      </c>
      <c r="D8479" t="s">
        <v>669</v>
      </c>
      <c r="E8479">
        <v>1218.7349999999997</v>
      </c>
    </row>
    <row r="8480" spans="2:5">
      <c r="B8480" s="17">
        <v>41954</v>
      </c>
      <c r="D8480" t="s">
        <v>669</v>
      </c>
      <c r="E8480">
        <v>5.9039999999999999</v>
      </c>
    </row>
    <row r="8481" spans="2:5">
      <c r="B8481" s="17">
        <v>41954</v>
      </c>
      <c r="D8481" t="s">
        <v>1425</v>
      </c>
      <c r="E8481">
        <v>15.696000000000002</v>
      </c>
    </row>
    <row r="8482" spans="2:5">
      <c r="B8482" s="17">
        <v>41954</v>
      </c>
      <c r="D8482" t="s">
        <v>1425</v>
      </c>
      <c r="E8482">
        <v>6.0960000000000001</v>
      </c>
    </row>
    <row r="8483" spans="2:5">
      <c r="B8483" s="17">
        <v>41954</v>
      </c>
      <c r="D8483" t="s">
        <v>1425</v>
      </c>
      <c r="E8483">
        <v>52.96</v>
      </c>
    </row>
    <row r="8484" spans="2:5">
      <c r="B8484" s="17">
        <v>41954</v>
      </c>
      <c r="D8484" t="s">
        <v>1425</v>
      </c>
      <c r="E8484">
        <v>1117.92</v>
      </c>
    </row>
    <row r="8485" spans="2:5">
      <c r="B8485" s="17">
        <v>41954</v>
      </c>
      <c r="D8485" t="s">
        <v>1425</v>
      </c>
      <c r="E8485">
        <v>51.016000000000005</v>
      </c>
    </row>
    <row r="8486" spans="2:5">
      <c r="B8486" s="17">
        <v>41954</v>
      </c>
      <c r="D8486" t="s">
        <v>1425</v>
      </c>
      <c r="E8486">
        <v>539.91999999999996</v>
      </c>
    </row>
    <row r="8487" spans="2:5">
      <c r="B8487" s="17">
        <v>41954</v>
      </c>
      <c r="D8487" t="s">
        <v>578</v>
      </c>
      <c r="E8487">
        <v>725.34400000000005</v>
      </c>
    </row>
    <row r="8488" spans="2:5">
      <c r="B8488" s="17">
        <v>41954</v>
      </c>
      <c r="D8488" t="s">
        <v>578</v>
      </c>
      <c r="E8488">
        <v>7.4399999999999995</v>
      </c>
    </row>
    <row r="8489" spans="2:5">
      <c r="B8489" s="17">
        <v>41954</v>
      </c>
      <c r="D8489" t="s">
        <v>578</v>
      </c>
      <c r="E8489">
        <v>2.6240000000000001</v>
      </c>
    </row>
    <row r="8490" spans="2:5">
      <c r="B8490" s="17">
        <v>41954</v>
      </c>
      <c r="D8490" t="s">
        <v>578</v>
      </c>
      <c r="E8490">
        <v>151.72</v>
      </c>
    </row>
    <row r="8491" spans="2:5">
      <c r="B8491" s="17">
        <v>41954</v>
      </c>
      <c r="D8491" t="s">
        <v>578</v>
      </c>
      <c r="E8491">
        <v>12.096000000000002</v>
      </c>
    </row>
    <row r="8492" spans="2:5">
      <c r="B8492" s="17">
        <v>41954</v>
      </c>
      <c r="D8492" t="s">
        <v>578</v>
      </c>
      <c r="E8492">
        <v>485.88</v>
      </c>
    </row>
    <row r="8493" spans="2:5">
      <c r="B8493" s="17">
        <v>41954</v>
      </c>
      <c r="D8493" t="s">
        <v>578</v>
      </c>
      <c r="E8493">
        <v>25.92</v>
      </c>
    </row>
    <row r="8494" spans="2:5">
      <c r="B8494" s="17">
        <v>41954</v>
      </c>
      <c r="D8494" t="s">
        <v>1399</v>
      </c>
      <c r="E8494">
        <v>197.58</v>
      </c>
    </row>
    <row r="8495" spans="2:5">
      <c r="B8495" s="17">
        <v>41954</v>
      </c>
      <c r="D8495" t="s">
        <v>1399</v>
      </c>
      <c r="E8495">
        <v>111.79</v>
      </c>
    </row>
    <row r="8496" spans="2:5">
      <c r="B8496" s="17">
        <v>41953</v>
      </c>
      <c r="D8496" t="s">
        <v>1399</v>
      </c>
      <c r="E8496">
        <v>120.71199999999999</v>
      </c>
    </row>
    <row r="8497" spans="2:5">
      <c r="B8497" s="17">
        <v>41953</v>
      </c>
      <c r="D8497" t="s">
        <v>1399</v>
      </c>
      <c r="E8497">
        <v>1049.97</v>
      </c>
    </row>
    <row r="8498" spans="2:5">
      <c r="B8498" s="17">
        <v>41953</v>
      </c>
      <c r="D8498" t="s">
        <v>1399</v>
      </c>
      <c r="E8498">
        <v>611.05799999999999</v>
      </c>
    </row>
    <row r="8499" spans="2:5">
      <c r="B8499" s="17">
        <v>41953</v>
      </c>
      <c r="D8499" t="s">
        <v>1399</v>
      </c>
      <c r="E8499">
        <v>646.20000000000005</v>
      </c>
    </row>
    <row r="8500" spans="2:5">
      <c r="B8500" s="17">
        <v>41953</v>
      </c>
      <c r="D8500" t="s">
        <v>288</v>
      </c>
      <c r="E8500">
        <v>35.168000000000006</v>
      </c>
    </row>
    <row r="8501" spans="2:5">
      <c r="B8501" s="17">
        <v>41953</v>
      </c>
      <c r="D8501" t="s">
        <v>288</v>
      </c>
      <c r="E8501">
        <v>1502.376</v>
      </c>
    </row>
    <row r="8502" spans="2:5">
      <c r="B8502" s="17">
        <v>41953</v>
      </c>
      <c r="D8502" t="s">
        <v>288</v>
      </c>
      <c r="E8502">
        <v>151.91999999999999</v>
      </c>
    </row>
    <row r="8503" spans="2:5">
      <c r="B8503" s="17">
        <v>41953</v>
      </c>
      <c r="D8503" t="s">
        <v>288</v>
      </c>
      <c r="E8503">
        <v>196.62</v>
      </c>
    </row>
    <row r="8504" spans="2:5">
      <c r="B8504" s="17">
        <v>41953</v>
      </c>
      <c r="D8504" t="s">
        <v>288</v>
      </c>
      <c r="E8504">
        <v>144.12</v>
      </c>
    </row>
    <row r="8505" spans="2:5">
      <c r="B8505" s="17">
        <v>41953</v>
      </c>
      <c r="D8505" t="s">
        <v>288</v>
      </c>
      <c r="E8505">
        <v>15.96</v>
      </c>
    </row>
    <row r="8506" spans="2:5">
      <c r="B8506" s="17">
        <v>41953</v>
      </c>
      <c r="D8506" t="s">
        <v>288</v>
      </c>
      <c r="E8506">
        <v>111.15</v>
      </c>
    </row>
    <row r="8507" spans="2:5">
      <c r="B8507" s="17">
        <v>41953</v>
      </c>
      <c r="D8507" t="s">
        <v>51</v>
      </c>
      <c r="E8507">
        <v>5.7420000000000009</v>
      </c>
    </row>
    <row r="8508" spans="2:5">
      <c r="B8508" s="17">
        <v>41952</v>
      </c>
      <c r="D8508" t="s">
        <v>51</v>
      </c>
      <c r="E8508">
        <v>603.91999999999996</v>
      </c>
    </row>
    <row r="8509" spans="2:5">
      <c r="B8509" s="17">
        <v>41952</v>
      </c>
      <c r="D8509" t="s">
        <v>51</v>
      </c>
      <c r="E8509">
        <v>21.84</v>
      </c>
    </row>
    <row r="8510" spans="2:5">
      <c r="B8510" s="17">
        <v>41952</v>
      </c>
      <c r="D8510" t="s">
        <v>51</v>
      </c>
      <c r="E8510">
        <v>29.99</v>
      </c>
    </row>
    <row r="8511" spans="2:5">
      <c r="B8511" s="17">
        <v>41952</v>
      </c>
      <c r="D8511" t="s">
        <v>51</v>
      </c>
      <c r="E8511">
        <v>381.44000000000005</v>
      </c>
    </row>
    <row r="8512" spans="2:5">
      <c r="B8512" s="17">
        <v>41952</v>
      </c>
      <c r="D8512" t="s">
        <v>1611</v>
      </c>
      <c r="E8512">
        <v>23.680000000000003</v>
      </c>
    </row>
    <row r="8513" spans="2:5">
      <c r="B8513" s="17">
        <v>41952</v>
      </c>
      <c r="D8513" t="s">
        <v>1611</v>
      </c>
      <c r="E8513">
        <v>6.3680000000000003</v>
      </c>
    </row>
    <row r="8514" spans="2:5">
      <c r="B8514" s="17">
        <v>41952</v>
      </c>
      <c r="D8514" t="s">
        <v>1611</v>
      </c>
      <c r="E8514">
        <v>34.175999999999995</v>
      </c>
    </row>
    <row r="8515" spans="2:5">
      <c r="B8515" s="17">
        <v>41951</v>
      </c>
      <c r="D8515" t="s">
        <v>1611</v>
      </c>
      <c r="E8515">
        <v>5.5440000000000005</v>
      </c>
    </row>
    <row r="8516" spans="2:5">
      <c r="B8516" s="17">
        <v>41950</v>
      </c>
      <c r="D8516" t="s">
        <v>1149</v>
      </c>
      <c r="E8516">
        <v>62.808000000000007</v>
      </c>
    </row>
    <row r="8517" spans="2:5">
      <c r="B8517" s="17">
        <v>41950</v>
      </c>
      <c r="D8517" t="s">
        <v>1149</v>
      </c>
      <c r="E8517">
        <v>23.472000000000001</v>
      </c>
    </row>
    <row r="8518" spans="2:5">
      <c r="B8518" s="17">
        <v>41950</v>
      </c>
      <c r="D8518" t="s">
        <v>1149</v>
      </c>
      <c r="E8518">
        <v>155.37199999999999</v>
      </c>
    </row>
    <row r="8519" spans="2:5">
      <c r="B8519" s="17">
        <v>41950</v>
      </c>
      <c r="D8519" t="s">
        <v>1149</v>
      </c>
      <c r="E8519">
        <v>14.669999999999998</v>
      </c>
    </row>
    <row r="8520" spans="2:5">
      <c r="B8520" s="17">
        <v>41950</v>
      </c>
      <c r="D8520" t="s">
        <v>588</v>
      </c>
      <c r="E8520">
        <v>16.23</v>
      </c>
    </row>
    <row r="8521" spans="2:5">
      <c r="B8521" s="17">
        <v>41950</v>
      </c>
      <c r="D8521" t="s">
        <v>588</v>
      </c>
      <c r="E8521">
        <v>11.36</v>
      </c>
    </row>
    <row r="8522" spans="2:5">
      <c r="B8522" s="17">
        <v>41950</v>
      </c>
      <c r="D8522" t="s">
        <v>588</v>
      </c>
      <c r="E8522">
        <v>675.12</v>
      </c>
    </row>
    <row r="8523" spans="2:5">
      <c r="B8523" s="17">
        <v>41950</v>
      </c>
      <c r="D8523" t="s">
        <v>588</v>
      </c>
      <c r="E8523">
        <v>6.9279999999999982</v>
      </c>
    </row>
    <row r="8524" spans="2:5">
      <c r="B8524" s="17">
        <v>41950</v>
      </c>
      <c r="D8524" t="s">
        <v>588</v>
      </c>
      <c r="E8524">
        <v>9.9799999999999969</v>
      </c>
    </row>
    <row r="8525" spans="2:5">
      <c r="B8525" s="17">
        <v>41950</v>
      </c>
      <c r="D8525" t="s">
        <v>233</v>
      </c>
      <c r="E8525">
        <v>53.820000000000007</v>
      </c>
    </row>
    <row r="8526" spans="2:5">
      <c r="B8526" s="17">
        <v>41950</v>
      </c>
      <c r="D8526" t="s">
        <v>233</v>
      </c>
      <c r="E8526">
        <v>9.9600000000000009</v>
      </c>
    </row>
    <row r="8527" spans="2:5">
      <c r="B8527" s="17">
        <v>41950</v>
      </c>
      <c r="D8527" t="s">
        <v>233</v>
      </c>
      <c r="E8527">
        <v>36.99</v>
      </c>
    </row>
    <row r="8528" spans="2:5">
      <c r="B8528" s="17">
        <v>41950</v>
      </c>
      <c r="D8528" t="s">
        <v>233</v>
      </c>
      <c r="E8528">
        <v>629.09999999999991</v>
      </c>
    </row>
    <row r="8529" spans="2:5">
      <c r="B8529" s="17">
        <v>41950</v>
      </c>
      <c r="D8529" t="s">
        <v>384</v>
      </c>
      <c r="E8529">
        <v>193.95000000000002</v>
      </c>
    </row>
    <row r="8530" spans="2:5">
      <c r="B8530" s="17">
        <v>41949</v>
      </c>
      <c r="D8530" t="s">
        <v>384</v>
      </c>
      <c r="E8530">
        <v>5.46</v>
      </c>
    </row>
    <row r="8531" spans="2:5">
      <c r="B8531" s="17">
        <v>41948</v>
      </c>
      <c r="D8531" t="s">
        <v>384</v>
      </c>
      <c r="E8531">
        <v>12.96</v>
      </c>
    </row>
    <row r="8532" spans="2:5">
      <c r="B8532" s="17">
        <v>41948</v>
      </c>
      <c r="D8532" t="s">
        <v>384</v>
      </c>
      <c r="E8532">
        <v>1.6320000000000001</v>
      </c>
    </row>
    <row r="8533" spans="2:5">
      <c r="B8533" s="17">
        <v>41948</v>
      </c>
      <c r="D8533" t="s">
        <v>384</v>
      </c>
      <c r="E8533">
        <v>6.58</v>
      </c>
    </row>
    <row r="8534" spans="2:5">
      <c r="B8534" s="17">
        <v>41948</v>
      </c>
      <c r="D8534" t="s">
        <v>384</v>
      </c>
      <c r="E8534">
        <v>94.99</v>
      </c>
    </row>
    <row r="8535" spans="2:5">
      <c r="B8535" s="17">
        <v>41948</v>
      </c>
      <c r="D8535" t="s">
        <v>1245</v>
      </c>
      <c r="E8535">
        <v>34.74</v>
      </c>
    </row>
    <row r="8536" spans="2:5">
      <c r="B8536" s="17">
        <v>41948</v>
      </c>
      <c r="D8536" t="s">
        <v>1245</v>
      </c>
      <c r="E8536">
        <v>833.94</v>
      </c>
    </row>
    <row r="8537" spans="2:5">
      <c r="B8537" s="17">
        <v>41948</v>
      </c>
      <c r="D8537" t="s">
        <v>1245</v>
      </c>
      <c r="E8537">
        <v>12.96</v>
      </c>
    </row>
    <row r="8538" spans="2:5">
      <c r="B8538" s="17">
        <v>41948</v>
      </c>
      <c r="D8538" t="s">
        <v>1245</v>
      </c>
      <c r="E8538">
        <v>25.92</v>
      </c>
    </row>
    <row r="8539" spans="2:5">
      <c r="B8539" s="17">
        <v>41947</v>
      </c>
      <c r="D8539" t="s">
        <v>1245</v>
      </c>
      <c r="E8539">
        <v>503.96</v>
      </c>
    </row>
    <row r="8540" spans="2:5">
      <c r="B8540" s="17">
        <v>41947</v>
      </c>
      <c r="D8540" t="s">
        <v>95</v>
      </c>
      <c r="E8540">
        <v>149.94999999999999</v>
      </c>
    </row>
    <row r="8541" spans="2:5">
      <c r="B8541" s="17">
        <v>41947</v>
      </c>
      <c r="D8541" t="s">
        <v>95</v>
      </c>
      <c r="E8541">
        <v>29</v>
      </c>
    </row>
    <row r="8542" spans="2:5">
      <c r="B8542" s="17">
        <v>41947</v>
      </c>
      <c r="D8542" t="s">
        <v>95</v>
      </c>
      <c r="E8542">
        <v>4548.8100000000004</v>
      </c>
    </row>
    <row r="8543" spans="2:5">
      <c r="B8543" s="17">
        <v>41947</v>
      </c>
      <c r="D8543" t="s">
        <v>95</v>
      </c>
      <c r="E8543">
        <v>22.5</v>
      </c>
    </row>
    <row r="8544" spans="2:5">
      <c r="B8544" s="17">
        <v>41947</v>
      </c>
      <c r="D8544" t="s">
        <v>95</v>
      </c>
      <c r="E8544">
        <v>9.9600000000000009</v>
      </c>
    </row>
    <row r="8545" spans="2:5">
      <c r="B8545" s="17">
        <v>41947</v>
      </c>
      <c r="D8545" t="s">
        <v>95</v>
      </c>
      <c r="E8545">
        <v>1025.8799999999999</v>
      </c>
    </row>
    <row r="8546" spans="2:5">
      <c r="B8546" s="17">
        <v>41947</v>
      </c>
      <c r="D8546" t="s">
        <v>95</v>
      </c>
      <c r="E8546">
        <v>166.44</v>
      </c>
    </row>
    <row r="8547" spans="2:5">
      <c r="B8547" s="17">
        <v>41947</v>
      </c>
      <c r="D8547" t="s">
        <v>95</v>
      </c>
      <c r="E8547">
        <v>47.496000000000002</v>
      </c>
    </row>
    <row r="8548" spans="2:5">
      <c r="B8548" s="17">
        <v>41947</v>
      </c>
      <c r="D8548" t="s">
        <v>634</v>
      </c>
      <c r="E8548">
        <v>5.88</v>
      </c>
    </row>
    <row r="8549" spans="2:5">
      <c r="B8549" s="17">
        <v>41947</v>
      </c>
      <c r="D8549" t="s">
        <v>634</v>
      </c>
      <c r="E8549">
        <v>145.97999999999999</v>
      </c>
    </row>
    <row r="8550" spans="2:5">
      <c r="B8550" s="17">
        <v>41947</v>
      </c>
      <c r="D8550" t="s">
        <v>634</v>
      </c>
      <c r="E8550">
        <v>35.808</v>
      </c>
    </row>
    <row r="8551" spans="2:5">
      <c r="B8551" s="17">
        <v>41947</v>
      </c>
      <c r="D8551" t="s">
        <v>634</v>
      </c>
      <c r="E8551">
        <v>50.997000000000007</v>
      </c>
    </row>
    <row r="8552" spans="2:5">
      <c r="B8552" s="17">
        <v>41947</v>
      </c>
      <c r="D8552" t="s">
        <v>1510</v>
      </c>
      <c r="E8552">
        <v>76.792000000000002</v>
      </c>
    </row>
    <row r="8553" spans="2:5">
      <c r="B8553" s="17">
        <v>41947</v>
      </c>
      <c r="D8553" t="s">
        <v>1510</v>
      </c>
      <c r="E8553">
        <v>539.96399999999994</v>
      </c>
    </row>
    <row r="8554" spans="2:5">
      <c r="B8554" s="17">
        <v>41946</v>
      </c>
      <c r="D8554" t="s">
        <v>921</v>
      </c>
      <c r="E8554">
        <v>60.311999999999998</v>
      </c>
    </row>
    <row r="8555" spans="2:5">
      <c r="B8555" s="17">
        <v>41946</v>
      </c>
      <c r="D8555" t="s">
        <v>921</v>
      </c>
      <c r="E8555">
        <v>1.9440000000000004</v>
      </c>
    </row>
    <row r="8556" spans="2:5">
      <c r="B8556" s="17">
        <v>41946</v>
      </c>
      <c r="D8556" t="s">
        <v>921</v>
      </c>
      <c r="E8556">
        <v>14.479999999999997</v>
      </c>
    </row>
    <row r="8557" spans="2:5">
      <c r="B8557" s="17">
        <v>41946</v>
      </c>
      <c r="D8557" t="s">
        <v>921</v>
      </c>
      <c r="E8557">
        <v>11.808000000000002</v>
      </c>
    </row>
    <row r="8558" spans="2:5">
      <c r="B8558" s="17">
        <v>41946</v>
      </c>
      <c r="D8558" t="s">
        <v>921</v>
      </c>
      <c r="E8558">
        <v>9.5879999999999992</v>
      </c>
    </row>
    <row r="8559" spans="2:5">
      <c r="B8559" s="17">
        <v>41946</v>
      </c>
      <c r="D8559" t="s">
        <v>921</v>
      </c>
      <c r="E8559">
        <v>21.98</v>
      </c>
    </row>
    <row r="8560" spans="2:5">
      <c r="B8560" s="17">
        <v>41946</v>
      </c>
      <c r="D8560" t="s">
        <v>1409</v>
      </c>
      <c r="E8560">
        <v>8.5440000000000005</v>
      </c>
    </row>
    <row r="8561" spans="2:5">
      <c r="B8561" s="17">
        <v>41946</v>
      </c>
      <c r="D8561" t="s">
        <v>1409</v>
      </c>
      <c r="E8561">
        <v>424.11599999999999</v>
      </c>
    </row>
    <row r="8562" spans="2:5">
      <c r="B8562" s="17">
        <v>41946</v>
      </c>
      <c r="D8562" t="s">
        <v>503</v>
      </c>
      <c r="E8562">
        <v>2.8919999999999995</v>
      </c>
    </row>
    <row r="8563" spans="2:5">
      <c r="B8563" s="17">
        <v>41946</v>
      </c>
      <c r="D8563" t="s">
        <v>503</v>
      </c>
      <c r="E8563">
        <v>381.72</v>
      </c>
    </row>
    <row r="8564" spans="2:5">
      <c r="B8564" s="17">
        <v>41946</v>
      </c>
      <c r="D8564" t="s">
        <v>503</v>
      </c>
      <c r="E8564">
        <v>67.150000000000006</v>
      </c>
    </row>
    <row r="8565" spans="2:5">
      <c r="B8565" s="17">
        <v>41946</v>
      </c>
      <c r="D8565" t="s">
        <v>503</v>
      </c>
      <c r="E8565">
        <v>392.93999999999994</v>
      </c>
    </row>
    <row r="8566" spans="2:5">
      <c r="B8566" s="17">
        <v>41946</v>
      </c>
      <c r="D8566" t="s">
        <v>503</v>
      </c>
      <c r="E8566">
        <v>137.54</v>
      </c>
    </row>
    <row r="8567" spans="2:5">
      <c r="B8567" s="17">
        <v>41946</v>
      </c>
      <c r="D8567" t="s">
        <v>568</v>
      </c>
      <c r="E8567">
        <v>730.2</v>
      </c>
    </row>
    <row r="8568" spans="2:5">
      <c r="B8568" s="17">
        <v>41945</v>
      </c>
      <c r="D8568" t="s">
        <v>568</v>
      </c>
      <c r="E8568">
        <v>479.90000000000003</v>
      </c>
    </row>
    <row r="8569" spans="2:5">
      <c r="B8569" s="17">
        <v>41945</v>
      </c>
      <c r="D8569" t="s">
        <v>568</v>
      </c>
      <c r="E8569">
        <v>2934.33</v>
      </c>
    </row>
    <row r="8570" spans="2:5">
      <c r="B8570" s="17">
        <v>41945</v>
      </c>
      <c r="D8570" t="s">
        <v>568</v>
      </c>
      <c r="E8570">
        <v>124.41</v>
      </c>
    </row>
    <row r="8571" spans="2:5">
      <c r="B8571" s="17">
        <v>41945</v>
      </c>
      <c r="D8571" t="s">
        <v>568</v>
      </c>
      <c r="E8571">
        <v>57.75</v>
      </c>
    </row>
    <row r="8572" spans="2:5">
      <c r="B8572" s="17">
        <v>41945</v>
      </c>
      <c r="D8572" t="s">
        <v>568</v>
      </c>
      <c r="E8572">
        <v>99.98</v>
      </c>
    </row>
    <row r="8573" spans="2:5">
      <c r="B8573" s="17">
        <v>41945</v>
      </c>
      <c r="D8573" t="s">
        <v>568</v>
      </c>
      <c r="E8573">
        <v>733.94999999999993</v>
      </c>
    </row>
    <row r="8574" spans="2:5">
      <c r="B8574" s="17">
        <v>41945</v>
      </c>
      <c r="D8574" t="s">
        <v>568</v>
      </c>
      <c r="E8574">
        <v>12.448</v>
      </c>
    </row>
    <row r="8575" spans="2:5">
      <c r="B8575" s="17">
        <v>41945</v>
      </c>
      <c r="D8575" t="s">
        <v>568</v>
      </c>
      <c r="E8575">
        <v>657.93</v>
      </c>
    </row>
    <row r="8576" spans="2:5">
      <c r="B8576" s="17">
        <v>41945</v>
      </c>
      <c r="D8576" t="s">
        <v>568</v>
      </c>
      <c r="E8576">
        <v>7.080000000000001</v>
      </c>
    </row>
    <row r="8577" spans="2:5">
      <c r="B8577" s="17">
        <v>41945</v>
      </c>
      <c r="D8577" t="s">
        <v>72</v>
      </c>
      <c r="E8577">
        <v>2152.7760000000003</v>
      </c>
    </row>
    <row r="8578" spans="2:5">
      <c r="B8578" s="17">
        <v>41945</v>
      </c>
      <c r="D8578" t="s">
        <v>72</v>
      </c>
      <c r="E8578">
        <v>4007.8400000000006</v>
      </c>
    </row>
    <row r="8579" spans="2:5">
      <c r="B8579" s="17">
        <v>41944</v>
      </c>
      <c r="D8579" t="s">
        <v>72</v>
      </c>
      <c r="E8579">
        <v>34.44</v>
      </c>
    </row>
    <row r="8580" spans="2:5">
      <c r="B8580" s="17">
        <v>41944</v>
      </c>
      <c r="D8580" t="s">
        <v>72</v>
      </c>
      <c r="E8580">
        <v>78.349999999999994</v>
      </c>
    </row>
    <row r="8581" spans="2:5">
      <c r="B8581" s="17">
        <v>41944</v>
      </c>
      <c r="D8581" t="s">
        <v>72</v>
      </c>
      <c r="E8581">
        <v>31.68</v>
      </c>
    </row>
    <row r="8582" spans="2:5">
      <c r="B8582" s="17">
        <v>41944</v>
      </c>
      <c r="D8582" t="s">
        <v>72</v>
      </c>
      <c r="E8582">
        <v>29.12</v>
      </c>
    </row>
    <row r="8583" spans="2:5">
      <c r="B8583" s="17">
        <v>41944</v>
      </c>
      <c r="D8583" t="s">
        <v>72</v>
      </c>
      <c r="E8583">
        <v>169.45</v>
      </c>
    </row>
    <row r="8584" spans="2:5">
      <c r="B8584" s="17">
        <v>41944</v>
      </c>
      <c r="D8584" t="s">
        <v>72</v>
      </c>
      <c r="E8584">
        <v>5.22</v>
      </c>
    </row>
    <row r="8585" spans="2:5">
      <c r="B8585" s="17">
        <v>41944</v>
      </c>
      <c r="D8585" t="s">
        <v>579</v>
      </c>
      <c r="E8585">
        <v>37.295999999999999</v>
      </c>
    </row>
    <row r="8586" spans="2:5">
      <c r="B8586" s="17">
        <v>41944</v>
      </c>
      <c r="D8586" t="s">
        <v>579</v>
      </c>
      <c r="E8586">
        <v>79.968000000000004</v>
      </c>
    </row>
    <row r="8587" spans="2:5">
      <c r="B8587" s="17">
        <v>41944</v>
      </c>
      <c r="D8587" t="s">
        <v>579</v>
      </c>
      <c r="E8587">
        <v>344.90999999999997</v>
      </c>
    </row>
    <row r="8588" spans="2:5">
      <c r="B8588" s="17">
        <v>41944</v>
      </c>
      <c r="D8588" t="s">
        <v>579</v>
      </c>
      <c r="E8588">
        <v>4.2240000000000002</v>
      </c>
    </row>
    <row r="8589" spans="2:5">
      <c r="B8589" s="17">
        <v>41944</v>
      </c>
      <c r="D8589" t="s">
        <v>579</v>
      </c>
      <c r="E8589">
        <v>24.896000000000001</v>
      </c>
    </row>
    <row r="8590" spans="2:5">
      <c r="B8590" s="17">
        <v>41944</v>
      </c>
      <c r="D8590" t="s">
        <v>579</v>
      </c>
      <c r="E8590">
        <v>604.65600000000006</v>
      </c>
    </row>
    <row r="8591" spans="2:5">
      <c r="B8591" s="17">
        <v>41944</v>
      </c>
      <c r="D8591" t="s">
        <v>579</v>
      </c>
      <c r="E8591">
        <v>10.11</v>
      </c>
    </row>
    <row r="8592" spans="2:5">
      <c r="B8592" s="17">
        <v>41944</v>
      </c>
      <c r="D8592" t="s">
        <v>579</v>
      </c>
      <c r="E8592">
        <v>772.47</v>
      </c>
    </row>
    <row r="8593" spans="2:5">
      <c r="B8593" s="17">
        <v>41944</v>
      </c>
      <c r="D8593" t="s">
        <v>579</v>
      </c>
      <c r="E8593">
        <v>20.46</v>
      </c>
    </row>
    <row r="8594" spans="2:5">
      <c r="B8594" s="17">
        <v>41944</v>
      </c>
      <c r="D8594" t="s">
        <v>579</v>
      </c>
      <c r="E8594">
        <v>10.95</v>
      </c>
    </row>
    <row r="8595" spans="2:5">
      <c r="B8595" s="17">
        <v>41944</v>
      </c>
      <c r="D8595" t="s">
        <v>948</v>
      </c>
      <c r="E8595">
        <v>832.93</v>
      </c>
    </row>
    <row r="8596" spans="2:5">
      <c r="B8596" s="17">
        <v>41944</v>
      </c>
      <c r="D8596" t="s">
        <v>948</v>
      </c>
      <c r="E8596">
        <v>43.8</v>
      </c>
    </row>
    <row r="8597" spans="2:5">
      <c r="B8597" s="17">
        <v>41944</v>
      </c>
      <c r="D8597" t="s">
        <v>948</v>
      </c>
      <c r="E8597">
        <v>12.72</v>
      </c>
    </row>
    <row r="8598" spans="2:5">
      <c r="B8598" s="17">
        <v>41944</v>
      </c>
      <c r="D8598" t="s">
        <v>948</v>
      </c>
      <c r="E8598">
        <v>11.52</v>
      </c>
    </row>
    <row r="8599" spans="2:5">
      <c r="B8599" s="17">
        <v>41943</v>
      </c>
      <c r="D8599" t="s">
        <v>948</v>
      </c>
      <c r="E8599">
        <v>20.736000000000004</v>
      </c>
    </row>
    <row r="8600" spans="2:5">
      <c r="B8600" s="17">
        <v>41943</v>
      </c>
      <c r="D8600" t="s">
        <v>948</v>
      </c>
      <c r="E8600">
        <v>11.36</v>
      </c>
    </row>
    <row r="8601" spans="2:5">
      <c r="B8601" s="17">
        <v>41943</v>
      </c>
      <c r="D8601" t="s">
        <v>948</v>
      </c>
      <c r="E8601">
        <v>69.263999999999996</v>
      </c>
    </row>
    <row r="8602" spans="2:5">
      <c r="B8602" s="17">
        <v>41943</v>
      </c>
      <c r="D8602" t="s">
        <v>948</v>
      </c>
      <c r="E8602">
        <v>32.400000000000006</v>
      </c>
    </row>
    <row r="8603" spans="2:5">
      <c r="B8603" s="17">
        <v>41943</v>
      </c>
      <c r="D8603" t="s">
        <v>948</v>
      </c>
      <c r="E8603">
        <v>49.632000000000005</v>
      </c>
    </row>
    <row r="8604" spans="2:5">
      <c r="B8604" s="17">
        <v>41943</v>
      </c>
      <c r="D8604" t="s">
        <v>243</v>
      </c>
      <c r="E8604">
        <v>11.96</v>
      </c>
    </row>
    <row r="8605" spans="2:5">
      <c r="B8605" s="17">
        <v>41943</v>
      </c>
      <c r="D8605" t="s">
        <v>243</v>
      </c>
      <c r="E8605">
        <v>629.06400000000008</v>
      </c>
    </row>
    <row r="8606" spans="2:5">
      <c r="B8606" s="17">
        <v>41943</v>
      </c>
      <c r="D8606" t="s">
        <v>243</v>
      </c>
      <c r="E8606">
        <v>7.8719999999999999</v>
      </c>
    </row>
    <row r="8607" spans="2:5">
      <c r="B8607" s="17">
        <v>41943</v>
      </c>
      <c r="D8607" t="s">
        <v>243</v>
      </c>
      <c r="E8607">
        <v>2.6720000000000002</v>
      </c>
    </row>
    <row r="8608" spans="2:5">
      <c r="B8608" s="17">
        <v>41943</v>
      </c>
      <c r="D8608" t="s">
        <v>243</v>
      </c>
      <c r="E8608">
        <v>79.512000000000015</v>
      </c>
    </row>
    <row r="8609" spans="2:5">
      <c r="B8609" s="17">
        <v>41943</v>
      </c>
      <c r="D8609" t="s">
        <v>243</v>
      </c>
      <c r="E8609">
        <v>36.288000000000011</v>
      </c>
    </row>
    <row r="8610" spans="2:5">
      <c r="B8610" s="17">
        <v>41943</v>
      </c>
      <c r="D8610" t="s">
        <v>1035</v>
      </c>
      <c r="E8610">
        <v>67.993199999999987</v>
      </c>
    </row>
    <row r="8611" spans="2:5">
      <c r="B8611" s="17">
        <v>41943</v>
      </c>
      <c r="D8611" t="s">
        <v>1035</v>
      </c>
      <c r="E8611">
        <v>25.128000000000004</v>
      </c>
    </row>
    <row r="8612" spans="2:5">
      <c r="B8612" s="17">
        <v>41943</v>
      </c>
      <c r="D8612" t="s">
        <v>1035</v>
      </c>
      <c r="E8612">
        <v>127.98399999999999</v>
      </c>
    </row>
    <row r="8613" spans="2:5">
      <c r="B8613" s="17">
        <v>41943</v>
      </c>
      <c r="D8613" t="s">
        <v>1035</v>
      </c>
      <c r="E8613">
        <v>665.88</v>
      </c>
    </row>
    <row r="8614" spans="2:5">
      <c r="B8614" s="17">
        <v>41943</v>
      </c>
      <c r="D8614" t="s">
        <v>1035</v>
      </c>
      <c r="E8614">
        <v>3.3920000000000003</v>
      </c>
    </row>
    <row r="8615" spans="2:5">
      <c r="B8615" s="17">
        <v>41943</v>
      </c>
      <c r="D8615" t="s">
        <v>1423</v>
      </c>
      <c r="E8615">
        <v>559.98400000000004</v>
      </c>
    </row>
    <row r="8616" spans="2:5">
      <c r="B8616" s="17">
        <v>41943</v>
      </c>
      <c r="D8616" t="s">
        <v>1423</v>
      </c>
      <c r="E8616">
        <v>603.91999999999996</v>
      </c>
    </row>
    <row r="8617" spans="2:5">
      <c r="B8617" s="17">
        <v>41943</v>
      </c>
      <c r="D8617" t="s">
        <v>1423</v>
      </c>
      <c r="E8617">
        <v>896.98999999999978</v>
      </c>
    </row>
    <row r="8618" spans="2:5">
      <c r="B8618" s="17">
        <v>41941</v>
      </c>
      <c r="D8618" t="s">
        <v>1423</v>
      </c>
      <c r="E8618">
        <v>1.2339999999999998</v>
      </c>
    </row>
    <row r="8619" spans="2:5">
      <c r="B8619" s="17">
        <v>41941</v>
      </c>
      <c r="D8619" t="s">
        <v>148</v>
      </c>
      <c r="E8619">
        <v>67.56</v>
      </c>
    </row>
    <row r="8620" spans="2:5">
      <c r="B8620" s="17">
        <v>41941</v>
      </c>
      <c r="D8620" t="s">
        <v>148</v>
      </c>
      <c r="E8620">
        <v>21.720000000000002</v>
      </c>
    </row>
    <row r="8621" spans="2:5">
      <c r="B8621" s="17">
        <v>41940</v>
      </c>
      <c r="D8621" t="s">
        <v>148</v>
      </c>
      <c r="E8621">
        <v>148.47999999999999</v>
      </c>
    </row>
    <row r="8622" spans="2:5">
      <c r="B8622" s="17">
        <v>41940</v>
      </c>
      <c r="D8622" t="s">
        <v>148</v>
      </c>
      <c r="E8622">
        <v>30.48</v>
      </c>
    </row>
    <row r="8623" spans="2:5">
      <c r="B8623" s="17">
        <v>41940</v>
      </c>
      <c r="D8623" t="s">
        <v>148</v>
      </c>
      <c r="E8623">
        <v>112.64800000000001</v>
      </c>
    </row>
    <row r="8624" spans="2:5">
      <c r="B8624" s="17">
        <v>41940</v>
      </c>
      <c r="D8624" t="s">
        <v>148</v>
      </c>
      <c r="E8624">
        <v>23.968000000000004</v>
      </c>
    </row>
    <row r="8625" spans="2:5">
      <c r="B8625" s="17">
        <v>41940</v>
      </c>
      <c r="D8625" t="s">
        <v>1570</v>
      </c>
      <c r="E8625">
        <v>521.96</v>
      </c>
    </row>
    <row r="8626" spans="2:5">
      <c r="B8626" s="17">
        <v>41940</v>
      </c>
      <c r="D8626" t="s">
        <v>1570</v>
      </c>
      <c r="E8626">
        <v>575.928</v>
      </c>
    </row>
    <row r="8627" spans="2:5">
      <c r="B8627" s="17">
        <v>41939</v>
      </c>
      <c r="D8627" t="s">
        <v>1570</v>
      </c>
      <c r="E8627">
        <v>7.78</v>
      </c>
    </row>
    <row r="8628" spans="2:5">
      <c r="B8628" s="17">
        <v>41939</v>
      </c>
      <c r="D8628" t="s">
        <v>1570</v>
      </c>
      <c r="E8628">
        <v>123.92</v>
      </c>
    </row>
    <row r="8629" spans="2:5">
      <c r="B8629" s="17">
        <v>41938</v>
      </c>
      <c r="D8629" t="s">
        <v>1570</v>
      </c>
      <c r="E8629">
        <v>22.98</v>
      </c>
    </row>
    <row r="8630" spans="2:5">
      <c r="B8630" s="17">
        <v>41938</v>
      </c>
      <c r="D8630" t="s">
        <v>1570</v>
      </c>
      <c r="E8630">
        <v>102.13</v>
      </c>
    </row>
    <row r="8631" spans="2:5">
      <c r="B8631" s="17">
        <v>41937</v>
      </c>
      <c r="D8631" t="s">
        <v>784</v>
      </c>
      <c r="E8631">
        <v>2033.5840000000001</v>
      </c>
    </row>
    <row r="8632" spans="2:5">
      <c r="B8632" s="17">
        <v>41937</v>
      </c>
      <c r="D8632" t="s">
        <v>784</v>
      </c>
      <c r="E8632">
        <v>10.984000000000002</v>
      </c>
    </row>
    <row r="8633" spans="2:5">
      <c r="B8633" s="17">
        <v>41937</v>
      </c>
      <c r="D8633" t="s">
        <v>784</v>
      </c>
      <c r="E8633">
        <v>797.94399999999996</v>
      </c>
    </row>
    <row r="8634" spans="2:5">
      <c r="B8634" s="17">
        <v>41936</v>
      </c>
      <c r="D8634" t="s">
        <v>784</v>
      </c>
      <c r="E8634">
        <v>46.349999999999994</v>
      </c>
    </row>
    <row r="8635" spans="2:5">
      <c r="B8635" s="17">
        <v>41936</v>
      </c>
      <c r="D8635" t="s">
        <v>784</v>
      </c>
      <c r="E8635">
        <v>7.3</v>
      </c>
    </row>
    <row r="8636" spans="2:5">
      <c r="B8636" s="17">
        <v>41936</v>
      </c>
      <c r="D8636" t="s">
        <v>784</v>
      </c>
      <c r="E8636">
        <v>601.53599999999994</v>
      </c>
    </row>
    <row r="8637" spans="2:5">
      <c r="B8637" s="17">
        <v>41934</v>
      </c>
      <c r="D8637" t="s">
        <v>1499</v>
      </c>
      <c r="E8637">
        <v>10.99</v>
      </c>
    </row>
    <row r="8638" spans="2:5">
      <c r="B8638" s="17">
        <v>41934</v>
      </c>
      <c r="D8638" t="s">
        <v>1499</v>
      </c>
      <c r="E8638">
        <v>39.880000000000003</v>
      </c>
    </row>
    <row r="8639" spans="2:5">
      <c r="B8639" s="17">
        <v>41933</v>
      </c>
      <c r="D8639" t="s">
        <v>1499</v>
      </c>
      <c r="E8639">
        <v>62.24</v>
      </c>
    </row>
    <row r="8640" spans="2:5">
      <c r="B8640" s="17">
        <v>41933</v>
      </c>
      <c r="D8640" t="s">
        <v>778</v>
      </c>
      <c r="E8640">
        <v>53.2</v>
      </c>
    </row>
    <row r="8641" spans="2:5">
      <c r="B8641" s="17">
        <v>41933</v>
      </c>
      <c r="D8641" t="s">
        <v>778</v>
      </c>
      <c r="E8641">
        <v>39.840000000000003</v>
      </c>
    </row>
    <row r="8642" spans="2:5">
      <c r="B8642" s="17">
        <v>41933</v>
      </c>
      <c r="D8642" t="s">
        <v>778</v>
      </c>
      <c r="E8642">
        <v>3.9</v>
      </c>
    </row>
    <row r="8643" spans="2:5">
      <c r="B8643" s="17">
        <v>41933</v>
      </c>
      <c r="D8643" t="s">
        <v>778</v>
      </c>
      <c r="E8643">
        <v>12.84</v>
      </c>
    </row>
    <row r="8644" spans="2:5">
      <c r="B8644" s="17">
        <v>41933</v>
      </c>
      <c r="D8644" t="s">
        <v>262</v>
      </c>
      <c r="E8644">
        <v>15.84</v>
      </c>
    </row>
    <row r="8645" spans="2:5">
      <c r="B8645" s="17">
        <v>41932</v>
      </c>
      <c r="D8645" t="s">
        <v>262</v>
      </c>
      <c r="E8645">
        <v>563.93999999999994</v>
      </c>
    </row>
    <row r="8646" spans="2:5">
      <c r="B8646" s="17">
        <v>41932</v>
      </c>
      <c r="D8646" t="s">
        <v>262</v>
      </c>
      <c r="E8646">
        <v>62.94</v>
      </c>
    </row>
    <row r="8647" spans="2:5">
      <c r="B8647" s="17">
        <v>41932</v>
      </c>
      <c r="D8647" t="s">
        <v>262</v>
      </c>
      <c r="E8647">
        <v>535.41</v>
      </c>
    </row>
    <row r="8648" spans="2:5">
      <c r="B8648" s="17">
        <v>41932</v>
      </c>
      <c r="D8648" t="s">
        <v>262</v>
      </c>
      <c r="E8648">
        <v>703.96800000000007</v>
      </c>
    </row>
    <row r="8649" spans="2:5">
      <c r="B8649" s="17">
        <v>41932</v>
      </c>
      <c r="D8649" t="s">
        <v>262</v>
      </c>
      <c r="E8649">
        <v>92.52</v>
      </c>
    </row>
    <row r="8650" spans="2:5">
      <c r="B8650" s="17">
        <v>41932</v>
      </c>
      <c r="D8650" t="s">
        <v>945</v>
      </c>
      <c r="E8650">
        <v>62.649999999999991</v>
      </c>
    </row>
    <row r="8651" spans="2:5">
      <c r="B8651" s="17">
        <v>41932</v>
      </c>
      <c r="D8651" t="s">
        <v>945</v>
      </c>
      <c r="E8651">
        <v>94.85</v>
      </c>
    </row>
    <row r="8652" spans="2:5">
      <c r="B8652" s="17">
        <v>41932</v>
      </c>
      <c r="D8652" t="s">
        <v>945</v>
      </c>
      <c r="E8652">
        <v>56.52</v>
      </c>
    </row>
    <row r="8653" spans="2:5">
      <c r="B8653" s="17">
        <v>41931</v>
      </c>
      <c r="D8653" t="s">
        <v>1575</v>
      </c>
      <c r="E8653">
        <v>26.045999999999992</v>
      </c>
    </row>
    <row r="8654" spans="2:5">
      <c r="B8654" s="17">
        <v>41931</v>
      </c>
      <c r="D8654" t="s">
        <v>1575</v>
      </c>
      <c r="E8654">
        <v>74.352000000000004</v>
      </c>
    </row>
    <row r="8655" spans="2:5">
      <c r="B8655" s="17">
        <v>41931</v>
      </c>
      <c r="D8655" t="s">
        <v>1717</v>
      </c>
      <c r="E8655">
        <v>123.14399999999999</v>
      </c>
    </row>
    <row r="8656" spans="2:5">
      <c r="B8656" s="17">
        <v>41931</v>
      </c>
      <c r="D8656" t="s">
        <v>1717</v>
      </c>
      <c r="E8656">
        <v>683.14399999999989</v>
      </c>
    </row>
    <row r="8657" spans="2:5">
      <c r="B8657" s="17">
        <v>41931</v>
      </c>
      <c r="D8657" t="s">
        <v>1717</v>
      </c>
      <c r="E8657">
        <v>1.4759999999999995</v>
      </c>
    </row>
    <row r="8658" spans="2:5">
      <c r="B8658" s="17">
        <v>41931</v>
      </c>
      <c r="D8658" t="s">
        <v>631</v>
      </c>
      <c r="E8658">
        <v>40.711999999999996</v>
      </c>
    </row>
    <row r="8659" spans="2:5">
      <c r="B8659" s="17">
        <v>41931</v>
      </c>
      <c r="D8659" t="s">
        <v>631</v>
      </c>
      <c r="E8659">
        <v>36.630000000000003</v>
      </c>
    </row>
    <row r="8660" spans="2:5">
      <c r="B8660" s="17">
        <v>41930</v>
      </c>
      <c r="D8660" t="s">
        <v>631</v>
      </c>
      <c r="E8660">
        <v>22.58</v>
      </c>
    </row>
    <row r="8661" spans="2:5">
      <c r="B8661" s="17">
        <v>41930</v>
      </c>
      <c r="D8661" t="s">
        <v>631</v>
      </c>
      <c r="E8661">
        <v>12.39</v>
      </c>
    </row>
    <row r="8662" spans="2:5">
      <c r="B8662" s="17">
        <v>41930</v>
      </c>
      <c r="D8662" t="s">
        <v>631</v>
      </c>
      <c r="E8662">
        <v>5.92</v>
      </c>
    </row>
    <row r="8663" spans="2:5">
      <c r="B8663" s="17">
        <v>41930</v>
      </c>
      <c r="D8663" t="s">
        <v>631</v>
      </c>
      <c r="E8663">
        <v>30.18</v>
      </c>
    </row>
    <row r="8664" spans="2:5">
      <c r="B8664" s="17">
        <v>41930</v>
      </c>
      <c r="D8664" t="s">
        <v>726</v>
      </c>
      <c r="E8664">
        <v>25.920000000000005</v>
      </c>
    </row>
    <row r="8665" spans="2:5">
      <c r="B8665" s="17">
        <v>41930</v>
      </c>
      <c r="D8665" t="s">
        <v>726</v>
      </c>
      <c r="E8665">
        <v>120.76800000000001</v>
      </c>
    </row>
    <row r="8666" spans="2:5">
      <c r="B8666" s="17">
        <v>41930</v>
      </c>
      <c r="D8666" t="s">
        <v>726</v>
      </c>
      <c r="E8666">
        <v>43.68</v>
      </c>
    </row>
    <row r="8667" spans="2:5">
      <c r="B8667" s="17">
        <v>41930</v>
      </c>
      <c r="D8667" t="s">
        <v>1239</v>
      </c>
      <c r="E8667">
        <v>20.04</v>
      </c>
    </row>
    <row r="8668" spans="2:5">
      <c r="B8668" s="17">
        <v>41930</v>
      </c>
      <c r="D8668" t="s">
        <v>1239</v>
      </c>
      <c r="E8668">
        <v>47.79</v>
      </c>
    </row>
    <row r="8669" spans="2:5">
      <c r="B8669" s="17">
        <v>41929</v>
      </c>
      <c r="D8669" t="s">
        <v>1306</v>
      </c>
      <c r="E8669">
        <v>13.194000000000001</v>
      </c>
    </row>
    <row r="8670" spans="2:5">
      <c r="B8670" s="17">
        <v>41929</v>
      </c>
      <c r="D8670" t="s">
        <v>1306</v>
      </c>
      <c r="E8670">
        <v>1080.096</v>
      </c>
    </row>
    <row r="8671" spans="2:5">
      <c r="B8671" s="17">
        <v>41929</v>
      </c>
      <c r="D8671" t="s">
        <v>1306</v>
      </c>
      <c r="E8671">
        <v>51.56</v>
      </c>
    </row>
    <row r="8672" spans="2:5">
      <c r="B8672" s="17">
        <v>41928</v>
      </c>
      <c r="D8672" t="s">
        <v>671</v>
      </c>
      <c r="E8672">
        <v>58.415999999999997</v>
      </c>
    </row>
    <row r="8673" spans="2:5">
      <c r="B8673" s="17">
        <v>41928</v>
      </c>
      <c r="D8673" t="s">
        <v>671</v>
      </c>
      <c r="E8673">
        <v>149.9</v>
      </c>
    </row>
    <row r="8674" spans="2:5">
      <c r="B8674" s="17">
        <v>41927</v>
      </c>
      <c r="D8674" t="s">
        <v>671</v>
      </c>
      <c r="E8674">
        <v>135.88200000000001</v>
      </c>
    </row>
    <row r="8675" spans="2:5">
      <c r="B8675" s="17">
        <v>41927</v>
      </c>
      <c r="D8675" t="s">
        <v>671</v>
      </c>
      <c r="E8675">
        <v>3991.98</v>
      </c>
    </row>
    <row r="8676" spans="2:5">
      <c r="B8676" s="17">
        <v>41927</v>
      </c>
      <c r="D8676" t="s">
        <v>1422</v>
      </c>
      <c r="E8676">
        <v>360</v>
      </c>
    </row>
    <row r="8677" spans="2:5">
      <c r="B8677" s="17">
        <v>41926</v>
      </c>
      <c r="D8677" t="s">
        <v>1422</v>
      </c>
      <c r="E8677">
        <v>43.57</v>
      </c>
    </row>
    <row r="8678" spans="2:5">
      <c r="B8678" s="17">
        <v>41926</v>
      </c>
      <c r="D8678" t="s">
        <v>115</v>
      </c>
      <c r="E8678">
        <v>8.3760000000000012</v>
      </c>
    </row>
    <row r="8679" spans="2:5">
      <c r="B8679" s="17">
        <v>41926</v>
      </c>
      <c r="D8679" t="s">
        <v>115</v>
      </c>
      <c r="E8679">
        <v>58.240000000000009</v>
      </c>
    </row>
    <row r="8680" spans="2:5">
      <c r="B8680" s="17">
        <v>41926</v>
      </c>
      <c r="D8680" t="s">
        <v>833</v>
      </c>
      <c r="E8680">
        <v>35.340000000000003</v>
      </c>
    </row>
    <row r="8681" spans="2:5">
      <c r="B8681" s="17">
        <v>41926</v>
      </c>
      <c r="D8681" t="s">
        <v>833</v>
      </c>
      <c r="E8681">
        <v>666.34400000000005</v>
      </c>
    </row>
    <row r="8682" spans="2:5">
      <c r="B8682" s="17">
        <v>41926</v>
      </c>
      <c r="D8682" t="s">
        <v>833</v>
      </c>
      <c r="E8682">
        <v>573.72799999999995</v>
      </c>
    </row>
    <row r="8683" spans="2:5">
      <c r="B8683" s="17">
        <v>41926</v>
      </c>
      <c r="D8683" t="s">
        <v>725</v>
      </c>
      <c r="E8683">
        <v>21.936000000000003</v>
      </c>
    </row>
    <row r="8684" spans="2:5">
      <c r="B8684" s="17">
        <v>41926</v>
      </c>
      <c r="D8684" t="s">
        <v>725</v>
      </c>
      <c r="E8684">
        <v>19.440000000000001</v>
      </c>
    </row>
    <row r="8685" spans="2:5">
      <c r="B8685" s="17">
        <v>41926</v>
      </c>
      <c r="D8685" t="s">
        <v>725</v>
      </c>
      <c r="E8685">
        <v>447.96800000000007</v>
      </c>
    </row>
    <row r="8686" spans="2:5">
      <c r="B8686" s="17">
        <v>41926</v>
      </c>
      <c r="D8686" t="s">
        <v>725</v>
      </c>
      <c r="E8686">
        <v>52.064</v>
      </c>
    </row>
    <row r="8687" spans="2:5">
      <c r="B8687" s="17">
        <v>41925</v>
      </c>
      <c r="D8687" t="s">
        <v>1625</v>
      </c>
      <c r="E8687">
        <v>2.94</v>
      </c>
    </row>
    <row r="8688" spans="2:5">
      <c r="B8688" s="17">
        <v>41925</v>
      </c>
      <c r="D8688" t="s">
        <v>1625</v>
      </c>
      <c r="E8688">
        <v>783.96</v>
      </c>
    </row>
    <row r="8689" spans="2:5">
      <c r="B8689" s="17">
        <v>41925</v>
      </c>
      <c r="D8689" t="s">
        <v>1625</v>
      </c>
      <c r="E8689">
        <v>48.896000000000001</v>
      </c>
    </row>
    <row r="8690" spans="2:5">
      <c r="B8690" s="17">
        <v>41925</v>
      </c>
      <c r="D8690" t="s">
        <v>1625</v>
      </c>
      <c r="E8690">
        <v>7.8560000000000008</v>
      </c>
    </row>
    <row r="8691" spans="2:5">
      <c r="B8691" s="17">
        <v>41925</v>
      </c>
      <c r="D8691" t="s">
        <v>1625</v>
      </c>
      <c r="E8691">
        <v>11.64</v>
      </c>
    </row>
    <row r="8692" spans="2:5">
      <c r="B8692" s="17">
        <v>41925</v>
      </c>
      <c r="D8692" t="s">
        <v>267</v>
      </c>
      <c r="E8692">
        <v>3.4880000000000004</v>
      </c>
    </row>
    <row r="8693" spans="2:5">
      <c r="B8693" s="17">
        <v>41925</v>
      </c>
      <c r="D8693" t="s">
        <v>267</v>
      </c>
      <c r="E8693">
        <v>143.85600000000002</v>
      </c>
    </row>
    <row r="8694" spans="2:5">
      <c r="B8694" s="17">
        <v>41925</v>
      </c>
      <c r="D8694" t="s">
        <v>267</v>
      </c>
      <c r="E8694">
        <v>25.983999999999998</v>
      </c>
    </row>
    <row r="8695" spans="2:5">
      <c r="B8695" s="17">
        <v>41925</v>
      </c>
      <c r="D8695" t="s">
        <v>267</v>
      </c>
      <c r="E8695">
        <v>945.03600000000006</v>
      </c>
    </row>
    <row r="8696" spans="2:5">
      <c r="B8696" s="17">
        <v>41925</v>
      </c>
      <c r="D8696" t="s">
        <v>267</v>
      </c>
      <c r="E8696">
        <v>14.301000000000002</v>
      </c>
    </row>
    <row r="8697" spans="2:5">
      <c r="B8697" s="17">
        <v>41925</v>
      </c>
      <c r="D8697" t="s">
        <v>267</v>
      </c>
      <c r="E8697">
        <v>410.35199999999998</v>
      </c>
    </row>
    <row r="8698" spans="2:5">
      <c r="B8698" s="17">
        <v>41924</v>
      </c>
      <c r="D8698" t="s">
        <v>267</v>
      </c>
      <c r="E8698">
        <v>5.76</v>
      </c>
    </row>
    <row r="8699" spans="2:5">
      <c r="B8699" s="17">
        <v>41924</v>
      </c>
      <c r="D8699" t="s">
        <v>267</v>
      </c>
      <c r="E8699">
        <v>89.97</v>
      </c>
    </row>
    <row r="8700" spans="2:5">
      <c r="B8700" s="17">
        <v>41924</v>
      </c>
      <c r="D8700" t="s">
        <v>534</v>
      </c>
      <c r="E8700">
        <v>6.72</v>
      </c>
    </row>
    <row r="8701" spans="2:5">
      <c r="B8701" s="17">
        <v>41923</v>
      </c>
      <c r="D8701" t="s">
        <v>534</v>
      </c>
      <c r="E8701">
        <v>34.86</v>
      </c>
    </row>
    <row r="8702" spans="2:5">
      <c r="B8702" s="17">
        <v>41923</v>
      </c>
      <c r="D8702" t="s">
        <v>534</v>
      </c>
      <c r="E8702">
        <v>89.34</v>
      </c>
    </row>
    <row r="8703" spans="2:5">
      <c r="B8703" s="17">
        <v>41923</v>
      </c>
      <c r="D8703" t="s">
        <v>903</v>
      </c>
      <c r="E8703">
        <v>88.77600000000001</v>
      </c>
    </row>
    <row r="8704" spans="2:5">
      <c r="B8704" s="17">
        <v>41923</v>
      </c>
      <c r="D8704" t="s">
        <v>903</v>
      </c>
      <c r="E8704">
        <v>539.96399999999994</v>
      </c>
    </row>
    <row r="8705" spans="2:5">
      <c r="B8705" s="17">
        <v>41923</v>
      </c>
      <c r="D8705" t="s">
        <v>903</v>
      </c>
      <c r="E8705">
        <v>50.231999999999999</v>
      </c>
    </row>
    <row r="8706" spans="2:5">
      <c r="B8706" s="17">
        <v>41923</v>
      </c>
      <c r="D8706" t="s">
        <v>903</v>
      </c>
      <c r="E8706">
        <v>19.242000000000001</v>
      </c>
    </row>
    <row r="8707" spans="2:5">
      <c r="B8707" s="17">
        <v>41923</v>
      </c>
      <c r="D8707" t="s">
        <v>903</v>
      </c>
      <c r="E8707">
        <v>799.92000000000007</v>
      </c>
    </row>
    <row r="8708" spans="2:5">
      <c r="B8708" s="17">
        <v>41923</v>
      </c>
      <c r="D8708" t="s">
        <v>903</v>
      </c>
      <c r="E8708">
        <v>46.384</v>
      </c>
    </row>
    <row r="8709" spans="2:5">
      <c r="B8709" s="17">
        <v>41923</v>
      </c>
      <c r="D8709" t="s">
        <v>903</v>
      </c>
      <c r="E8709">
        <v>362.92</v>
      </c>
    </row>
    <row r="8710" spans="2:5">
      <c r="B8710" s="17">
        <v>41922</v>
      </c>
      <c r="D8710" t="s">
        <v>581</v>
      </c>
      <c r="E8710">
        <v>41.94</v>
      </c>
    </row>
    <row r="8711" spans="2:5">
      <c r="B8711" s="17">
        <v>41922</v>
      </c>
      <c r="D8711" t="s">
        <v>581</v>
      </c>
      <c r="E8711">
        <v>52.792000000000002</v>
      </c>
    </row>
    <row r="8712" spans="2:5">
      <c r="B8712" s="17">
        <v>41922</v>
      </c>
      <c r="D8712" t="s">
        <v>581</v>
      </c>
      <c r="E8712">
        <v>43.176000000000002</v>
      </c>
    </row>
    <row r="8713" spans="2:5">
      <c r="B8713" s="17">
        <v>41922</v>
      </c>
      <c r="D8713" t="s">
        <v>581</v>
      </c>
      <c r="E8713">
        <v>1983.9680000000001</v>
      </c>
    </row>
    <row r="8714" spans="2:5">
      <c r="B8714" s="17">
        <v>41922</v>
      </c>
      <c r="D8714" t="s">
        <v>581</v>
      </c>
      <c r="E8714">
        <v>443.92</v>
      </c>
    </row>
    <row r="8715" spans="2:5">
      <c r="B8715" s="17">
        <v>41922</v>
      </c>
      <c r="D8715" t="s">
        <v>858</v>
      </c>
      <c r="E8715">
        <v>155.976</v>
      </c>
    </row>
    <row r="8716" spans="2:5">
      <c r="B8716" s="17">
        <v>41922</v>
      </c>
      <c r="D8716" t="s">
        <v>858</v>
      </c>
      <c r="E8716">
        <v>7.52</v>
      </c>
    </row>
    <row r="8717" spans="2:5">
      <c r="B8717" s="17">
        <v>41922</v>
      </c>
      <c r="D8717" t="s">
        <v>858</v>
      </c>
      <c r="E8717">
        <v>10.272000000000002</v>
      </c>
    </row>
    <row r="8718" spans="2:5">
      <c r="B8718" s="17">
        <v>41922</v>
      </c>
      <c r="D8718" t="s">
        <v>858</v>
      </c>
      <c r="E8718">
        <v>47.808000000000007</v>
      </c>
    </row>
    <row r="8719" spans="2:5">
      <c r="B8719" s="17">
        <v>41922</v>
      </c>
      <c r="D8719" t="s">
        <v>523</v>
      </c>
      <c r="E8719">
        <v>978.83999999999992</v>
      </c>
    </row>
    <row r="8720" spans="2:5">
      <c r="B8720" s="17">
        <v>41921</v>
      </c>
      <c r="D8720" t="s">
        <v>523</v>
      </c>
      <c r="E8720">
        <v>15.696000000000002</v>
      </c>
    </row>
    <row r="8721" spans="2:5">
      <c r="B8721" s="17">
        <v>41921</v>
      </c>
      <c r="D8721" t="s">
        <v>523</v>
      </c>
      <c r="E8721">
        <v>69.52</v>
      </c>
    </row>
    <row r="8722" spans="2:5">
      <c r="B8722" s="17">
        <v>41921</v>
      </c>
      <c r="D8722" t="s">
        <v>523</v>
      </c>
      <c r="E8722">
        <v>5.64</v>
      </c>
    </row>
    <row r="8723" spans="2:5">
      <c r="B8723" s="17">
        <v>41920</v>
      </c>
      <c r="D8723" t="s">
        <v>523</v>
      </c>
      <c r="E8723">
        <v>44.400000000000006</v>
      </c>
    </row>
    <row r="8724" spans="2:5">
      <c r="B8724" s="17">
        <v>41920</v>
      </c>
      <c r="D8724" t="s">
        <v>523</v>
      </c>
      <c r="E8724">
        <v>21.400000000000002</v>
      </c>
    </row>
    <row r="8725" spans="2:5">
      <c r="B8725" s="17">
        <v>41919</v>
      </c>
      <c r="D8725" t="s">
        <v>1111</v>
      </c>
      <c r="E8725">
        <v>533.93999999999994</v>
      </c>
    </row>
    <row r="8726" spans="2:5">
      <c r="B8726" s="17">
        <v>41919</v>
      </c>
      <c r="D8726" t="s">
        <v>1111</v>
      </c>
      <c r="E8726">
        <v>167.94</v>
      </c>
    </row>
    <row r="8727" spans="2:5">
      <c r="B8727" s="17">
        <v>41918</v>
      </c>
      <c r="D8727" t="s">
        <v>1111</v>
      </c>
      <c r="E8727">
        <v>31.68</v>
      </c>
    </row>
    <row r="8728" spans="2:5">
      <c r="B8728" s="17">
        <v>41918</v>
      </c>
      <c r="D8728" t="s">
        <v>287</v>
      </c>
      <c r="E8728">
        <v>76.12</v>
      </c>
    </row>
    <row r="8729" spans="2:5">
      <c r="B8729" s="17">
        <v>41918</v>
      </c>
      <c r="D8729" t="s">
        <v>287</v>
      </c>
      <c r="E8729">
        <v>68.703999999999994</v>
      </c>
    </row>
    <row r="8730" spans="2:5">
      <c r="B8730" s="17">
        <v>41918</v>
      </c>
      <c r="D8730" t="s">
        <v>287</v>
      </c>
      <c r="E8730">
        <v>3.1320000000000001</v>
      </c>
    </row>
    <row r="8731" spans="2:5">
      <c r="B8731" s="17">
        <v>41917</v>
      </c>
      <c r="D8731" t="s">
        <v>287</v>
      </c>
      <c r="E8731">
        <v>22.428000000000004</v>
      </c>
    </row>
    <row r="8732" spans="2:5">
      <c r="B8732" s="17">
        <v>41917</v>
      </c>
      <c r="D8732" t="s">
        <v>287</v>
      </c>
      <c r="E8732">
        <v>11.34</v>
      </c>
    </row>
    <row r="8733" spans="2:5">
      <c r="B8733" s="17">
        <v>41916</v>
      </c>
      <c r="D8733" t="s">
        <v>287</v>
      </c>
      <c r="E8733">
        <v>80.3</v>
      </c>
    </row>
    <row r="8734" spans="2:5">
      <c r="B8734" s="17">
        <v>41916</v>
      </c>
      <c r="D8734" t="s">
        <v>1548</v>
      </c>
      <c r="E8734">
        <v>15.968000000000002</v>
      </c>
    </row>
    <row r="8735" spans="2:5">
      <c r="B8735" s="17">
        <v>41916</v>
      </c>
      <c r="D8735" t="s">
        <v>1548</v>
      </c>
      <c r="E8735">
        <v>64.740000000000009</v>
      </c>
    </row>
    <row r="8736" spans="2:5">
      <c r="B8736" s="17">
        <v>41916</v>
      </c>
      <c r="D8736" t="s">
        <v>1548</v>
      </c>
      <c r="E8736">
        <v>19.295999999999999</v>
      </c>
    </row>
    <row r="8737" spans="2:5">
      <c r="B8737" s="17">
        <v>41915</v>
      </c>
      <c r="D8737" t="s">
        <v>1548</v>
      </c>
      <c r="E8737">
        <v>405.64</v>
      </c>
    </row>
    <row r="8738" spans="2:5">
      <c r="B8738" s="17">
        <v>41915</v>
      </c>
      <c r="D8738" t="s">
        <v>1548</v>
      </c>
      <c r="E8738">
        <v>146.352</v>
      </c>
    </row>
    <row r="8739" spans="2:5">
      <c r="B8739" s="17">
        <v>41915</v>
      </c>
      <c r="D8739" t="s">
        <v>1548</v>
      </c>
      <c r="E8739">
        <v>12.39</v>
      </c>
    </row>
    <row r="8740" spans="2:5">
      <c r="B8740" s="17">
        <v>41915</v>
      </c>
      <c r="D8740" t="s">
        <v>1548</v>
      </c>
      <c r="E8740">
        <v>49.25</v>
      </c>
    </row>
    <row r="8741" spans="2:5">
      <c r="B8741" s="17">
        <v>41915</v>
      </c>
      <c r="D8741" t="s">
        <v>1548</v>
      </c>
      <c r="E8741">
        <v>10.16</v>
      </c>
    </row>
    <row r="8742" spans="2:5">
      <c r="B8742" s="17">
        <v>41915</v>
      </c>
      <c r="D8742" t="s">
        <v>516</v>
      </c>
      <c r="E8742">
        <v>14.76</v>
      </c>
    </row>
    <row r="8743" spans="2:5">
      <c r="B8743" s="17">
        <v>41915</v>
      </c>
      <c r="D8743" t="s">
        <v>516</v>
      </c>
      <c r="E8743">
        <v>34.08</v>
      </c>
    </row>
    <row r="8744" spans="2:5">
      <c r="B8744" s="17">
        <v>41915</v>
      </c>
      <c r="D8744" t="s">
        <v>516</v>
      </c>
      <c r="E8744">
        <v>17.669999999999998</v>
      </c>
    </row>
    <row r="8745" spans="2:5">
      <c r="B8745" s="17">
        <v>41915</v>
      </c>
      <c r="D8745" t="s">
        <v>516</v>
      </c>
      <c r="E8745">
        <v>1604.9</v>
      </c>
    </row>
    <row r="8746" spans="2:5">
      <c r="B8746" s="17">
        <v>41915</v>
      </c>
      <c r="D8746" t="s">
        <v>516</v>
      </c>
      <c r="E8746">
        <v>385.68599999999998</v>
      </c>
    </row>
    <row r="8747" spans="2:5">
      <c r="B8747" s="17">
        <v>41915</v>
      </c>
      <c r="D8747" t="s">
        <v>516</v>
      </c>
      <c r="E8747">
        <v>742.33600000000001</v>
      </c>
    </row>
    <row r="8748" spans="2:5">
      <c r="B8748" s="17">
        <v>41915</v>
      </c>
      <c r="D8748" t="s">
        <v>516</v>
      </c>
      <c r="E8748">
        <v>1421.664</v>
      </c>
    </row>
    <row r="8749" spans="2:5">
      <c r="B8749" s="17">
        <v>41915</v>
      </c>
      <c r="D8749" t="s">
        <v>1689</v>
      </c>
      <c r="E8749">
        <v>73.584000000000003</v>
      </c>
    </row>
    <row r="8750" spans="2:5">
      <c r="B8750" s="17">
        <v>41914</v>
      </c>
      <c r="D8750" t="s">
        <v>1689</v>
      </c>
      <c r="E8750">
        <v>2735.9520000000002</v>
      </c>
    </row>
    <row r="8751" spans="2:5">
      <c r="B8751" s="17">
        <v>41914</v>
      </c>
      <c r="D8751" t="s">
        <v>1689</v>
      </c>
      <c r="E8751">
        <v>1.98</v>
      </c>
    </row>
    <row r="8752" spans="2:5">
      <c r="B8752" s="17">
        <v>41914</v>
      </c>
      <c r="D8752" t="s">
        <v>1349</v>
      </c>
      <c r="E8752">
        <v>75.88</v>
      </c>
    </row>
    <row r="8753" spans="2:5">
      <c r="B8753" s="17">
        <v>41914</v>
      </c>
      <c r="D8753" t="s">
        <v>1349</v>
      </c>
      <c r="E8753">
        <v>7.1840000000000011</v>
      </c>
    </row>
    <row r="8754" spans="2:5">
      <c r="B8754" s="17">
        <v>41914</v>
      </c>
      <c r="D8754" t="s">
        <v>1349</v>
      </c>
      <c r="E8754">
        <v>6.28</v>
      </c>
    </row>
    <row r="8755" spans="2:5">
      <c r="B8755" s="17">
        <v>41914</v>
      </c>
      <c r="D8755" t="s">
        <v>85</v>
      </c>
      <c r="E8755">
        <v>480.74</v>
      </c>
    </row>
    <row r="8756" spans="2:5">
      <c r="B8756" s="17">
        <v>41914</v>
      </c>
      <c r="D8756" t="s">
        <v>85</v>
      </c>
      <c r="E8756">
        <v>616.99800000000005</v>
      </c>
    </row>
    <row r="8757" spans="2:5">
      <c r="B8757" s="17">
        <v>41913</v>
      </c>
      <c r="D8757" t="s">
        <v>85</v>
      </c>
      <c r="E8757">
        <v>141.4</v>
      </c>
    </row>
    <row r="8758" spans="2:5">
      <c r="B8758" s="17">
        <v>41912</v>
      </c>
      <c r="D8758" t="s">
        <v>85</v>
      </c>
      <c r="E8758">
        <v>10.368000000000002</v>
      </c>
    </row>
    <row r="8759" spans="2:5">
      <c r="B8759" s="17">
        <v>41912</v>
      </c>
      <c r="D8759" t="s">
        <v>85</v>
      </c>
      <c r="E8759">
        <v>11.952000000000002</v>
      </c>
    </row>
    <row r="8760" spans="2:5">
      <c r="B8760" s="17">
        <v>41912</v>
      </c>
      <c r="D8760" t="s">
        <v>85</v>
      </c>
      <c r="E8760">
        <v>63.92</v>
      </c>
    </row>
    <row r="8761" spans="2:5">
      <c r="B8761" s="17">
        <v>41912</v>
      </c>
      <c r="D8761" t="s">
        <v>1543</v>
      </c>
      <c r="E8761">
        <v>383.96000000000004</v>
      </c>
    </row>
    <row r="8762" spans="2:5">
      <c r="B8762" s="17">
        <v>41912</v>
      </c>
      <c r="D8762" t="s">
        <v>1543</v>
      </c>
      <c r="E8762">
        <v>49.408000000000001</v>
      </c>
    </row>
    <row r="8763" spans="2:5">
      <c r="B8763" s="17">
        <v>41912</v>
      </c>
      <c r="D8763" t="s">
        <v>1543</v>
      </c>
      <c r="E8763">
        <v>40.775999999999996</v>
      </c>
    </row>
    <row r="8764" spans="2:5">
      <c r="B8764" s="17">
        <v>41911</v>
      </c>
      <c r="D8764" t="s">
        <v>1543</v>
      </c>
      <c r="E8764">
        <v>13.698000000000002</v>
      </c>
    </row>
    <row r="8765" spans="2:5">
      <c r="B8765" s="17">
        <v>41911</v>
      </c>
      <c r="D8765" t="s">
        <v>1543</v>
      </c>
      <c r="E8765">
        <v>10.368000000000002</v>
      </c>
    </row>
    <row r="8766" spans="2:5">
      <c r="B8766" s="17">
        <v>41911</v>
      </c>
      <c r="D8766" t="s">
        <v>680</v>
      </c>
      <c r="E8766">
        <v>34.271999999999998</v>
      </c>
    </row>
    <row r="8767" spans="2:5">
      <c r="B8767" s="17">
        <v>41911</v>
      </c>
      <c r="D8767" t="s">
        <v>680</v>
      </c>
      <c r="E8767">
        <v>11.850000000000001</v>
      </c>
    </row>
    <row r="8768" spans="2:5">
      <c r="B8768" s="17">
        <v>41911</v>
      </c>
      <c r="D8768" t="s">
        <v>680</v>
      </c>
      <c r="E8768">
        <v>93.888000000000005</v>
      </c>
    </row>
    <row r="8769" spans="2:5">
      <c r="B8769" s="17">
        <v>41911</v>
      </c>
      <c r="D8769" t="s">
        <v>680</v>
      </c>
      <c r="E8769">
        <v>129.91999999999999</v>
      </c>
    </row>
    <row r="8770" spans="2:5">
      <c r="B8770" s="17">
        <v>41911</v>
      </c>
      <c r="D8770" t="s">
        <v>680</v>
      </c>
      <c r="E8770">
        <v>121.79200000000002</v>
      </c>
    </row>
    <row r="8771" spans="2:5">
      <c r="B8771" s="17">
        <v>41911</v>
      </c>
      <c r="D8771" t="s">
        <v>1816</v>
      </c>
      <c r="E8771">
        <v>409.59000000000003</v>
      </c>
    </row>
    <row r="8772" spans="2:5">
      <c r="B8772" s="17">
        <v>41911</v>
      </c>
      <c r="D8772" t="s">
        <v>1478</v>
      </c>
      <c r="E8772">
        <v>36.36</v>
      </c>
    </row>
    <row r="8773" spans="2:5">
      <c r="B8773" s="17">
        <v>41911</v>
      </c>
      <c r="D8773" t="s">
        <v>1478</v>
      </c>
      <c r="E8773">
        <v>194.7</v>
      </c>
    </row>
    <row r="8774" spans="2:5">
      <c r="B8774" s="17">
        <v>41911</v>
      </c>
      <c r="D8774" t="s">
        <v>1614</v>
      </c>
      <c r="E8774">
        <v>591.32000000000005</v>
      </c>
    </row>
    <row r="8775" spans="2:5">
      <c r="B8775" s="17">
        <v>41911</v>
      </c>
      <c r="D8775" t="s">
        <v>1614</v>
      </c>
      <c r="E8775">
        <v>2.84</v>
      </c>
    </row>
    <row r="8776" spans="2:5">
      <c r="B8776" s="17">
        <v>41911</v>
      </c>
      <c r="D8776" t="s">
        <v>1614</v>
      </c>
      <c r="E8776">
        <v>98.352000000000004</v>
      </c>
    </row>
    <row r="8777" spans="2:5">
      <c r="B8777" s="17">
        <v>41911</v>
      </c>
      <c r="D8777" t="s">
        <v>1223</v>
      </c>
      <c r="E8777">
        <v>505.32000000000005</v>
      </c>
    </row>
    <row r="8778" spans="2:5">
      <c r="B8778" s="17">
        <v>41911</v>
      </c>
      <c r="D8778" t="s">
        <v>1223</v>
      </c>
      <c r="E8778">
        <v>3.8079999999999998</v>
      </c>
    </row>
    <row r="8779" spans="2:5">
      <c r="B8779" s="17">
        <v>41911</v>
      </c>
      <c r="D8779" t="s">
        <v>1223</v>
      </c>
      <c r="E8779">
        <v>8.6819999999999968</v>
      </c>
    </row>
    <row r="8780" spans="2:5">
      <c r="B8780" s="17">
        <v>41911</v>
      </c>
      <c r="D8780" t="s">
        <v>1223</v>
      </c>
      <c r="E8780">
        <v>24.424000000000003</v>
      </c>
    </row>
    <row r="8781" spans="2:5">
      <c r="B8781" s="17">
        <v>41911</v>
      </c>
      <c r="D8781" t="s">
        <v>1223</v>
      </c>
      <c r="E8781">
        <v>13.440000000000001</v>
      </c>
    </row>
    <row r="8782" spans="2:5">
      <c r="B8782" s="17">
        <v>41911</v>
      </c>
      <c r="D8782" t="s">
        <v>1223</v>
      </c>
      <c r="E8782">
        <v>2.9920000000000004</v>
      </c>
    </row>
    <row r="8783" spans="2:5">
      <c r="B8783" s="17">
        <v>41910</v>
      </c>
      <c r="D8783" t="s">
        <v>1223</v>
      </c>
      <c r="E8783">
        <v>20.064</v>
      </c>
    </row>
    <row r="8784" spans="2:5">
      <c r="B8784" s="17">
        <v>41910</v>
      </c>
      <c r="D8784" t="s">
        <v>572</v>
      </c>
      <c r="E8784">
        <v>146.72999999999999</v>
      </c>
    </row>
    <row r="8785" spans="2:5">
      <c r="B8785" s="17">
        <v>41910</v>
      </c>
      <c r="D8785" t="s">
        <v>572</v>
      </c>
      <c r="E8785">
        <v>18.75</v>
      </c>
    </row>
    <row r="8786" spans="2:5">
      <c r="B8786" s="17">
        <v>41910</v>
      </c>
      <c r="D8786" t="s">
        <v>572</v>
      </c>
      <c r="E8786">
        <v>117.57600000000002</v>
      </c>
    </row>
    <row r="8787" spans="2:5">
      <c r="B8787" s="17">
        <v>41909</v>
      </c>
      <c r="D8787" t="s">
        <v>1608</v>
      </c>
      <c r="E8787">
        <v>1394.95</v>
      </c>
    </row>
    <row r="8788" spans="2:5">
      <c r="B8788" s="17">
        <v>41909</v>
      </c>
      <c r="D8788" t="s">
        <v>1608</v>
      </c>
      <c r="E8788">
        <v>545.88</v>
      </c>
    </row>
    <row r="8789" spans="2:5">
      <c r="B8789" s="17">
        <v>41909</v>
      </c>
      <c r="D8789" t="s">
        <v>1608</v>
      </c>
      <c r="E8789">
        <v>52.512</v>
      </c>
    </row>
    <row r="8790" spans="2:5">
      <c r="B8790" s="17">
        <v>41908</v>
      </c>
      <c r="D8790" t="s">
        <v>1608</v>
      </c>
      <c r="E8790">
        <v>186.91200000000001</v>
      </c>
    </row>
    <row r="8791" spans="2:5">
      <c r="B8791" s="17">
        <v>41908</v>
      </c>
      <c r="D8791" t="s">
        <v>1608</v>
      </c>
      <c r="E8791">
        <v>10.048000000000002</v>
      </c>
    </row>
    <row r="8792" spans="2:5">
      <c r="B8792" s="17">
        <v>41908</v>
      </c>
      <c r="D8792" t="s">
        <v>714</v>
      </c>
      <c r="E8792">
        <v>605.34</v>
      </c>
    </row>
    <row r="8793" spans="2:5">
      <c r="B8793" s="17">
        <v>41908</v>
      </c>
      <c r="D8793" t="s">
        <v>714</v>
      </c>
      <c r="E8793">
        <v>61.96</v>
      </c>
    </row>
    <row r="8794" spans="2:5">
      <c r="B8794" s="17">
        <v>41908</v>
      </c>
      <c r="D8794" t="s">
        <v>714</v>
      </c>
      <c r="E8794">
        <v>1.3440000000000001</v>
      </c>
    </row>
    <row r="8795" spans="2:5">
      <c r="B8795" s="17">
        <v>41908</v>
      </c>
      <c r="D8795" t="s">
        <v>714</v>
      </c>
      <c r="E8795">
        <v>10.779999999999996</v>
      </c>
    </row>
    <row r="8796" spans="2:5">
      <c r="B8796" s="17">
        <v>41908</v>
      </c>
      <c r="D8796" t="s">
        <v>714</v>
      </c>
      <c r="E8796">
        <v>119.97600000000001</v>
      </c>
    </row>
    <row r="8797" spans="2:5">
      <c r="B8797" s="17">
        <v>41908</v>
      </c>
      <c r="D8797" t="s">
        <v>699</v>
      </c>
      <c r="E8797">
        <v>5.3120000000000003</v>
      </c>
    </row>
    <row r="8798" spans="2:5">
      <c r="B8798" s="17">
        <v>41908</v>
      </c>
      <c r="D8798" t="s">
        <v>448</v>
      </c>
      <c r="E8798">
        <v>14.352000000000002</v>
      </c>
    </row>
    <row r="8799" spans="2:5">
      <c r="B8799" s="17">
        <v>41908</v>
      </c>
      <c r="D8799" t="s">
        <v>448</v>
      </c>
      <c r="E8799">
        <v>179.97</v>
      </c>
    </row>
    <row r="8800" spans="2:5">
      <c r="B8800" s="17">
        <v>41908</v>
      </c>
      <c r="D8800" t="s">
        <v>594</v>
      </c>
      <c r="E8800">
        <v>15.384</v>
      </c>
    </row>
    <row r="8801" spans="2:5">
      <c r="B8801" s="17">
        <v>41908</v>
      </c>
      <c r="D8801" t="s">
        <v>594</v>
      </c>
      <c r="E8801">
        <v>183.37199999999999</v>
      </c>
    </row>
    <row r="8802" spans="2:5">
      <c r="B8802" s="17">
        <v>41908</v>
      </c>
      <c r="D8802" t="s">
        <v>594</v>
      </c>
      <c r="E8802">
        <v>7.9680000000000009</v>
      </c>
    </row>
    <row r="8803" spans="2:5">
      <c r="B8803" s="17">
        <v>41907</v>
      </c>
      <c r="D8803" t="s">
        <v>594</v>
      </c>
      <c r="E8803">
        <v>22.92</v>
      </c>
    </row>
    <row r="8804" spans="2:5">
      <c r="B8804" s="17">
        <v>41907</v>
      </c>
      <c r="D8804" t="s">
        <v>544</v>
      </c>
      <c r="E8804">
        <v>3.1599999999999993</v>
      </c>
    </row>
    <row r="8805" spans="2:5">
      <c r="B8805" s="17">
        <v>41907</v>
      </c>
      <c r="D8805" t="s">
        <v>544</v>
      </c>
      <c r="E8805">
        <v>1999.96</v>
      </c>
    </row>
    <row r="8806" spans="2:5">
      <c r="B8806" s="17">
        <v>41907</v>
      </c>
      <c r="D8806" t="s">
        <v>1256</v>
      </c>
      <c r="E8806">
        <v>2.9459999999999993</v>
      </c>
    </row>
    <row r="8807" spans="2:5">
      <c r="B8807" s="17">
        <v>41907</v>
      </c>
      <c r="D8807" t="s">
        <v>1256</v>
      </c>
      <c r="E8807">
        <v>19.136000000000003</v>
      </c>
    </row>
    <row r="8808" spans="2:5">
      <c r="B8808" s="17">
        <v>41906</v>
      </c>
      <c r="D8808" t="s">
        <v>389</v>
      </c>
      <c r="E8808">
        <v>177</v>
      </c>
    </row>
    <row r="8809" spans="2:5">
      <c r="B8809" s="17">
        <v>41905</v>
      </c>
      <c r="D8809" t="s">
        <v>389</v>
      </c>
      <c r="E8809">
        <v>79.45</v>
      </c>
    </row>
    <row r="8810" spans="2:5">
      <c r="B8810" s="17">
        <v>41905</v>
      </c>
      <c r="D8810" t="s">
        <v>389</v>
      </c>
      <c r="E8810">
        <v>1628.82</v>
      </c>
    </row>
    <row r="8811" spans="2:5">
      <c r="B8811" s="17">
        <v>41905</v>
      </c>
      <c r="D8811" t="s">
        <v>389</v>
      </c>
      <c r="E8811">
        <v>11.52</v>
      </c>
    </row>
    <row r="8812" spans="2:5">
      <c r="B8812" s="17">
        <v>41905</v>
      </c>
      <c r="D8812" t="s">
        <v>389</v>
      </c>
      <c r="E8812">
        <v>1298.55</v>
      </c>
    </row>
    <row r="8813" spans="2:5">
      <c r="B8813" s="17">
        <v>41905</v>
      </c>
      <c r="D8813" t="s">
        <v>1135</v>
      </c>
      <c r="E8813">
        <v>25.78</v>
      </c>
    </row>
    <row r="8814" spans="2:5">
      <c r="B8814" s="17">
        <v>41905</v>
      </c>
      <c r="D8814" t="s">
        <v>1135</v>
      </c>
      <c r="E8814">
        <v>18.940000000000001</v>
      </c>
    </row>
    <row r="8815" spans="2:5">
      <c r="B8815" s="17">
        <v>41905</v>
      </c>
      <c r="D8815" t="s">
        <v>1135</v>
      </c>
      <c r="E8815">
        <v>7.7520000000000007</v>
      </c>
    </row>
    <row r="8816" spans="2:5">
      <c r="B8816" s="17">
        <v>41905</v>
      </c>
      <c r="D8816" t="s">
        <v>1249</v>
      </c>
      <c r="E8816">
        <v>36.4</v>
      </c>
    </row>
    <row r="8817" spans="2:5">
      <c r="B8817" s="17">
        <v>41905</v>
      </c>
      <c r="D8817" t="s">
        <v>1249</v>
      </c>
      <c r="E8817">
        <v>22.96</v>
      </c>
    </row>
    <row r="8818" spans="2:5">
      <c r="B8818" s="17">
        <v>41905</v>
      </c>
      <c r="D8818" t="s">
        <v>1249</v>
      </c>
      <c r="E8818">
        <v>15.18</v>
      </c>
    </row>
    <row r="8819" spans="2:5">
      <c r="B8819" s="17">
        <v>41905</v>
      </c>
      <c r="D8819" t="s">
        <v>1249</v>
      </c>
      <c r="E8819">
        <v>14.9</v>
      </c>
    </row>
    <row r="8820" spans="2:5">
      <c r="B8820" s="17">
        <v>41905</v>
      </c>
      <c r="D8820" t="s">
        <v>1249</v>
      </c>
      <c r="E8820">
        <v>21.39</v>
      </c>
    </row>
    <row r="8821" spans="2:5">
      <c r="B8821" s="17">
        <v>41904</v>
      </c>
      <c r="D8821" t="s">
        <v>573</v>
      </c>
      <c r="E8821">
        <v>22.240000000000002</v>
      </c>
    </row>
    <row r="8822" spans="2:5">
      <c r="B8822" s="17">
        <v>41904</v>
      </c>
      <c r="D8822" t="s">
        <v>573</v>
      </c>
      <c r="E8822">
        <v>63.47</v>
      </c>
    </row>
    <row r="8823" spans="2:5">
      <c r="B8823" s="17">
        <v>41904</v>
      </c>
      <c r="D8823" t="s">
        <v>241</v>
      </c>
      <c r="E8823">
        <v>345</v>
      </c>
    </row>
    <row r="8824" spans="2:5">
      <c r="B8824" s="17">
        <v>41904</v>
      </c>
      <c r="D8824" t="s">
        <v>241</v>
      </c>
      <c r="E8824">
        <v>31.92</v>
      </c>
    </row>
    <row r="8825" spans="2:5">
      <c r="B8825" s="17">
        <v>41904</v>
      </c>
      <c r="D8825" t="s">
        <v>241</v>
      </c>
      <c r="E8825">
        <v>433.56800000000004</v>
      </c>
    </row>
    <row r="8826" spans="2:5">
      <c r="B8826" s="17">
        <v>41904</v>
      </c>
      <c r="D8826" t="s">
        <v>241</v>
      </c>
      <c r="E8826">
        <v>7.31</v>
      </c>
    </row>
    <row r="8827" spans="2:5">
      <c r="B8827" s="17">
        <v>41904</v>
      </c>
      <c r="D8827" t="s">
        <v>241</v>
      </c>
      <c r="E8827">
        <v>8.92</v>
      </c>
    </row>
    <row r="8828" spans="2:5">
      <c r="B8828" s="17">
        <v>41904</v>
      </c>
      <c r="D8828" t="s">
        <v>241</v>
      </c>
      <c r="E8828">
        <v>7.64</v>
      </c>
    </row>
    <row r="8829" spans="2:5">
      <c r="B8829" s="17">
        <v>41903</v>
      </c>
      <c r="D8829" t="s">
        <v>241</v>
      </c>
      <c r="E8829">
        <v>122.352</v>
      </c>
    </row>
    <row r="8830" spans="2:5">
      <c r="B8830" s="17">
        <v>41903</v>
      </c>
      <c r="D8830" t="s">
        <v>241</v>
      </c>
      <c r="E8830">
        <v>15.28</v>
      </c>
    </row>
    <row r="8831" spans="2:5">
      <c r="B8831" s="17">
        <v>41903</v>
      </c>
      <c r="D8831" t="s">
        <v>990</v>
      </c>
      <c r="E8831">
        <v>46.872</v>
      </c>
    </row>
    <row r="8832" spans="2:5">
      <c r="B8832" s="17">
        <v>41903</v>
      </c>
      <c r="D8832" t="s">
        <v>990</v>
      </c>
      <c r="E8832">
        <v>719.95200000000011</v>
      </c>
    </row>
    <row r="8833" spans="2:5">
      <c r="B8833" s="17">
        <v>41903</v>
      </c>
      <c r="D8833" t="s">
        <v>990</v>
      </c>
      <c r="E8833">
        <v>755.94400000000019</v>
      </c>
    </row>
    <row r="8834" spans="2:5">
      <c r="B8834" s="17">
        <v>41903</v>
      </c>
      <c r="D8834" t="s">
        <v>990</v>
      </c>
      <c r="E8834">
        <v>11.979999999999997</v>
      </c>
    </row>
    <row r="8835" spans="2:5">
      <c r="B8835" s="17">
        <v>41903</v>
      </c>
      <c r="D8835" t="s">
        <v>990</v>
      </c>
      <c r="E8835">
        <v>0.8979999999999998</v>
      </c>
    </row>
    <row r="8836" spans="2:5">
      <c r="B8836" s="17">
        <v>41903</v>
      </c>
      <c r="D8836" t="s">
        <v>990</v>
      </c>
      <c r="E8836">
        <v>101.99400000000001</v>
      </c>
    </row>
    <row r="8837" spans="2:5">
      <c r="B8837" s="17">
        <v>41903</v>
      </c>
      <c r="D8837" t="s">
        <v>990</v>
      </c>
      <c r="E8837">
        <v>18.264000000000003</v>
      </c>
    </row>
    <row r="8838" spans="2:5">
      <c r="B8838" s="17">
        <v>41903</v>
      </c>
      <c r="D8838" t="s">
        <v>990</v>
      </c>
      <c r="E8838">
        <v>88.768000000000001</v>
      </c>
    </row>
    <row r="8839" spans="2:5">
      <c r="B8839" s="17">
        <v>41903</v>
      </c>
      <c r="D8839" t="s">
        <v>990</v>
      </c>
      <c r="E8839">
        <v>144.60000000000002</v>
      </c>
    </row>
    <row r="8840" spans="2:5">
      <c r="B8840" s="17">
        <v>41903</v>
      </c>
      <c r="D8840" t="s">
        <v>990</v>
      </c>
      <c r="E8840">
        <v>15.991999999999999</v>
      </c>
    </row>
    <row r="8841" spans="2:5">
      <c r="B8841" s="17">
        <v>41903</v>
      </c>
      <c r="D8841" t="s">
        <v>1854</v>
      </c>
      <c r="E8841">
        <v>23.472000000000001</v>
      </c>
    </row>
    <row r="8842" spans="2:5">
      <c r="B8842" s="17">
        <v>41903</v>
      </c>
      <c r="D8842" t="s">
        <v>255</v>
      </c>
      <c r="E8842">
        <v>123.92</v>
      </c>
    </row>
    <row r="8843" spans="2:5">
      <c r="B8843" s="17">
        <v>41903</v>
      </c>
      <c r="D8843" t="s">
        <v>255</v>
      </c>
      <c r="E8843">
        <v>129.91999999999999</v>
      </c>
    </row>
    <row r="8844" spans="2:5">
      <c r="B8844" s="17">
        <v>41903</v>
      </c>
      <c r="D8844" t="s">
        <v>255</v>
      </c>
      <c r="E8844">
        <v>107.44</v>
      </c>
    </row>
    <row r="8845" spans="2:5">
      <c r="B8845" s="17">
        <v>41902</v>
      </c>
      <c r="D8845" t="s">
        <v>255</v>
      </c>
      <c r="E8845">
        <v>9.09</v>
      </c>
    </row>
    <row r="8846" spans="2:5">
      <c r="B8846" s="17">
        <v>41902</v>
      </c>
      <c r="D8846" t="s">
        <v>255</v>
      </c>
      <c r="E8846">
        <v>15.36</v>
      </c>
    </row>
    <row r="8847" spans="2:5">
      <c r="B8847" s="17">
        <v>41902</v>
      </c>
      <c r="D8847" t="s">
        <v>255</v>
      </c>
      <c r="E8847">
        <v>83.920000000000016</v>
      </c>
    </row>
    <row r="8848" spans="2:5">
      <c r="B8848" s="17">
        <v>41902</v>
      </c>
      <c r="D8848" t="s">
        <v>255</v>
      </c>
      <c r="E8848">
        <v>386.34</v>
      </c>
    </row>
    <row r="8849" spans="2:5">
      <c r="B8849" s="17">
        <v>41902</v>
      </c>
      <c r="D8849" t="s">
        <v>794</v>
      </c>
      <c r="E8849">
        <v>91.92</v>
      </c>
    </row>
    <row r="8850" spans="2:5">
      <c r="B8850" s="17">
        <v>41902</v>
      </c>
      <c r="D8850" t="s">
        <v>794</v>
      </c>
      <c r="E8850">
        <v>99.98</v>
      </c>
    </row>
    <row r="8851" spans="2:5">
      <c r="B8851" s="17">
        <v>41902</v>
      </c>
      <c r="D8851" t="s">
        <v>794</v>
      </c>
      <c r="E8851">
        <v>14.450000000000001</v>
      </c>
    </row>
    <row r="8852" spans="2:5">
      <c r="B8852" s="17">
        <v>41902</v>
      </c>
      <c r="D8852" t="s">
        <v>794</v>
      </c>
      <c r="E8852">
        <v>95.64800000000001</v>
      </c>
    </row>
    <row r="8853" spans="2:5">
      <c r="B8853" s="17">
        <v>41902</v>
      </c>
      <c r="D8853" t="s">
        <v>794</v>
      </c>
      <c r="E8853">
        <v>29.24</v>
      </c>
    </row>
    <row r="8854" spans="2:5">
      <c r="B8854" s="17">
        <v>41902</v>
      </c>
      <c r="D8854" t="s">
        <v>794</v>
      </c>
      <c r="E8854">
        <v>589.41</v>
      </c>
    </row>
    <row r="8855" spans="2:5">
      <c r="B8855" s="17">
        <v>41902</v>
      </c>
      <c r="D8855" t="s">
        <v>794</v>
      </c>
      <c r="E8855">
        <v>143.43199999999999</v>
      </c>
    </row>
    <row r="8856" spans="2:5">
      <c r="B8856" s="17">
        <v>41902</v>
      </c>
      <c r="D8856" t="s">
        <v>1271</v>
      </c>
      <c r="E8856">
        <v>122.352</v>
      </c>
    </row>
    <row r="8857" spans="2:5">
      <c r="B8857" s="17">
        <v>41902</v>
      </c>
      <c r="D8857" t="s">
        <v>1253</v>
      </c>
      <c r="E8857">
        <v>61.567999999999998</v>
      </c>
    </row>
    <row r="8858" spans="2:5">
      <c r="B8858" s="17">
        <v>41902</v>
      </c>
      <c r="D8858" t="s">
        <v>1253</v>
      </c>
      <c r="E8858">
        <v>6.1920000000000002</v>
      </c>
    </row>
    <row r="8859" spans="2:5">
      <c r="B8859" s="17">
        <v>41902</v>
      </c>
      <c r="D8859" t="s">
        <v>1253</v>
      </c>
      <c r="E8859">
        <v>55.984000000000009</v>
      </c>
    </row>
    <row r="8860" spans="2:5">
      <c r="B8860" s="17">
        <v>41902</v>
      </c>
      <c r="D8860" t="s">
        <v>795</v>
      </c>
      <c r="E8860">
        <v>14.480000000000002</v>
      </c>
    </row>
    <row r="8861" spans="2:5">
      <c r="B8861" s="17">
        <v>41902</v>
      </c>
      <c r="D8861" t="s">
        <v>795</v>
      </c>
      <c r="E8861">
        <v>142.488</v>
      </c>
    </row>
    <row r="8862" spans="2:5">
      <c r="B8862" s="17">
        <v>41902</v>
      </c>
      <c r="D8862" t="s">
        <v>795</v>
      </c>
      <c r="E8862">
        <v>4.3440000000000003</v>
      </c>
    </row>
    <row r="8863" spans="2:5">
      <c r="B8863" s="17">
        <v>41901</v>
      </c>
      <c r="D8863" t="s">
        <v>795</v>
      </c>
      <c r="E8863">
        <v>31.776000000000003</v>
      </c>
    </row>
    <row r="8864" spans="2:5">
      <c r="B8864" s="17">
        <v>41901</v>
      </c>
      <c r="D8864" t="s">
        <v>795</v>
      </c>
      <c r="E8864">
        <v>4.9280000000000008</v>
      </c>
    </row>
    <row r="8865" spans="2:5">
      <c r="B8865" s="17">
        <v>41901</v>
      </c>
      <c r="D8865" t="s">
        <v>795</v>
      </c>
      <c r="E8865">
        <v>1.7879999999999996</v>
      </c>
    </row>
    <row r="8866" spans="2:5">
      <c r="B8866" s="17">
        <v>41901</v>
      </c>
      <c r="D8866" t="s">
        <v>406</v>
      </c>
      <c r="E8866">
        <v>15.072000000000001</v>
      </c>
    </row>
    <row r="8867" spans="2:5">
      <c r="B8867" s="17">
        <v>41901</v>
      </c>
      <c r="D8867" t="s">
        <v>406</v>
      </c>
      <c r="E8867">
        <v>9.4079999999999995</v>
      </c>
    </row>
    <row r="8868" spans="2:5">
      <c r="B8868" s="17">
        <v>41901</v>
      </c>
      <c r="D8868" t="s">
        <v>406</v>
      </c>
      <c r="E8868">
        <v>4.6719999999999997</v>
      </c>
    </row>
    <row r="8869" spans="2:5">
      <c r="B8869" s="17">
        <v>41901</v>
      </c>
      <c r="D8869" t="s">
        <v>406</v>
      </c>
      <c r="E8869">
        <v>12.768000000000001</v>
      </c>
    </row>
    <row r="8870" spans="2:5">
      <c r="B8870" s="17">
        <v>41901</v>
      </c>
      <c r="D8870" t="s">
        <v>406</v>
      </c>
      <c r="E8870">
        <v>15.36</v>
      </c>
    </row>
    <row r="8871" spans="2:5">
      <c r="B8871" s="17">
        <v>41901</v>
      </c>
      <c r="D8871" t="s">
        <v>406</v>
      </c>
      <c r="E8871">
        <v>7.16</v>
      </c>
    </row>
    <row r="8872" spans="2:5">
      <c r="B8872" s="17">
        <v>41899</v>
      </c>
      <c r="D8872" t="s">
        <v>1668</v>
      </c>
      <c r="E8872">
        <v>4.71</v>
      </c>
    </row>
    <row r="8873" spans="2:5">
      <c r="B8873" s="17">
        <v>41899</v>
      </c>
      <c r="D8873" t="s">
        <v>1668</v>
      </c>
      <c r="E8873">
        <v>48.94</v>
      </c>
    </row>
    <row r="8874" spans="2:5">
      <c r="B8874" s="17">
        <v>41899</v>
      </c>
      <c r="D8874" t="s">
        <v>1668</v>
      </c>
      <c r="E8874">
        <v>15.552000000000003</v>
      </c>
    </row>
    <row r="8875" spans="2:5">
      <c r="B8875" s="17">
        <v>41899</v>
      </c>
      <c r="D8875" t="s">
        <v>1668</v>
      </c>
      <c r="E8875">
        <v>69.216000000000008</v>
      </c>
    </row>
    <row r="8876" spans="2:5">
      <c r="B8876" s="17">
        <v>41899</v>
      </c>
      <c r="D8876" t="s">
        <v>339</v>
      </c>
      <c r="E8876">
        <v>43.176000000000002</v>
      </c>
    </row>
    <row r="8877" spans="2:5">
      <c r="B8877" s="17">
        <v>41899</v>
      </c>
      <c r="D8877" t="s">
        <v>339</v>
      </c>
      <c r="E8877">
        <v>15.24</v>
      </c>
    </row>
    <row r="8878" spans="2:5">
      <c r="B8878" s="17">
        <v>41899</v>
      </c>
      <c r="D8878" t="s">
        <v>339</v>
      </c>
      <c r="E8878">
        <v>795.40800000000013</v>
      </c>
    </row>
    <row r="8879" spans="2:5">
      <c r="B8879" s="17">
        <v>41899</v>
      </c>
      <c r="D8879" t="s">
        <v>339</v>
      </c>
      <c r="E8879">
        <v>8.7200000000000006</v>
      </c>
    </row>
    <row r="8880" spans="2:5">
      <c r="B8880" s="17">
        <v>41899</v>
      </c>
      <c r="D8880" t="s">
        <v>339</v>
      </c>
      <c r="E8880">
        <v>6.48</v>
      </c>
    </row>
    <row r="8881" spans="2:5">
      <c r="B8881" s="17">
        <v>41899</v>
      </c>
      <c r="D8881" t="s">
        <v>339</v>
      </c>
      <c r="E8881">
        <v>686.32</v>
      </c>
    </row>
    <row r="8882" spans="2:5">
      <c r="B8882" s="17">
        <v>41899</v>
      </c>
      <c r="D8882" t="s">
        <v>339</v>
      </c>
      <c r="E8882">
        <v>62.18</v>
      </c>
    </row>
    <row r="8883" spans="2:5">
      <c r="B8883" s="17">
        <v>41899</v>
      </c>
      <c r="D8883" t="s">
        <v>339</v>
      </c>
      <c r="E8883">
        <v>4.2240000000000002</v>
      </c>
    </row>
    <row r="8884" spans="2:5">
      <c r="B8884" s="17">
        <v>41899</v>
      </c>
      <c r="D8884" t="s">
        <v>321</v>
      </c>
      <c r="E8884">
        <v>409.27199999999999</v>
      </c>
    </row>
    <row r="8885" spans="2:5">
      <c r="B8885" s="17">
        <v>41899</v>
      </c>
      <c r="D8885" t="s">
        <v>321</v>
      </c>
      <c r="E8885">
        <v>55.44</v>
      </c>
    </row>
    <row r="8886" spans="2:5">
      <c r="B8886" s="17">
        <v>41898</v>
      </c>
      <c r="D8886" t="s">
        <v>321</v>
      </c>
      <c r="E8886">
        <v>20.928000000000001</v>
      </c>
    </row>
    <row r="8887" spans="2:5">
      <c r="B8887" s="17">
        <v>41897</v>
      </c>
      <c r="D8887" t="s">
        <v>321</v>
      </c>
      <c r="E8887">
        <v>1801.6320000000001</v>
      </c>
    </row>
    <row r="8888" spans="2:5">
      <c r="B8888" s="17">
        <v>41897</v>
      </c>
      <c r="D8888" t="s">
        <v>1327</v>
      </c>
      <c r="E8888">
        <v>67.175999999999988</v>
      </c>
    </row>
    <row r="8889" spans="2:5">
      <c r="B8889" s="17">
        <v>41897</v>
      </c>
      <c r="D8889" t="s">
        <v>1327</v>
      </c>
      <c r="E8889">
        <v>6.16</v>
      </c>
    </row>
    <row r="8890" spans="2:5">
      <c r="B8890" s="17">
        <v>41896</v>
      </c>
      <c r="D8890" t="s">
        <v>1005</v>
      </c>
      <c r="E8890">
        <v>2348.8200000000002</v>
      </c>
    </row>
    <row r="8891" spans="2:5">
      <c r="B8891" s="17">
        <v>41896</v>
      </c>
      <c r="D8891" t="s">
        <v>1005</v>
      </c>
      <c r="E8891">
        <v>1395.54</v>
      </c>
    </row>
    <row r="8892" spans="2:5">
      <c r="B8892" s="17">
        <v>41896</v>
      </c>
      <c r="D8892" t="s">
        <v>1005</v>
      </c>
      <c r="E8892">
        <v>117.36</v>
      </c>
    </row>
    <row r="8893" spans="2:5">
      <c r="B8893" s="17">
        <v>41896</v>
      </c>
      <c r="D8893" t="s">
        <v>1005</v>
      </c>
      <c r="E8893">
        <v>18.899999999999999</v>
      </c>
    </row>
    <row r="8894" spans="2:5">
      <c r="B8894" s="17">
        <v>41896</v>
      </c>
      <c r="D8894" t="s">
        <v>1005</v>
      </c>
      <c r="E8894">
        <v>77.52</v>
      </c>
    </row>
    <row r="8895" spans="2:5">
      <c r="B8895" s="17">
        <v>41896</v>
      </c>
      <c r="D8895" t="s">
        <v>1748</v>
      </c>
      <c r="E8895">
        <v>10.048000000000002</v>
      </c>
    </row>
    <row r="8896" spans="2:5">
      <c r="B8896" s="17">
        <v>41896</v>
      </c>
      <c r="D8896" t="s">
        <v>1748</v>
      </c>
      <c r="E8896">
        <v>807.75</v>
      </c>
    </row>
    <row r="8897" spans="2:5">
      <c r="B8897" s="17">
        <v>41896</v>
      </c>
      <c r="D8897" t="s">
        <v>1748</v>
      </c>
      <c r="E8897">
        <v>46.26</v>
      </c>
    </row>
    <row r="8898" spans="2:5">
      <c r="B8898" s="17">
        <v>41896</v>
      </c>
      <c r="D8898" t="s">
        <v>1748</v>
      </c>
      <c r="E8898">
        <v>96.256</v>
      </c>
    </row>
    <row r="8899" spans="2:5">
      <c r="B8899" s="17">
        <v>41896</v>
      </c>
      <c r="D8899" t="s">
        <v>1364</v>
      </c>
      <c r="E8899">
        <v>10.688000000000001</v>
      </c>
    </row>
    <row r="8900" spans="2:5">
      <c r="B8900" s="17">
        <v>41896</v>
      </c>
      <c r="D8900" t="s">
        <v>1364</v>
      </c>
      <c r="E8900">
        <v>87.539999999999992</v>
      </c>
    </row>
    <row r="8901" spans="2:5">
      <c r="B8901" s="17">
        <v>41896</v>
      </c>
      <c r="D8901" t="s">
        <v>1364</v>
      </c>
      <c r="E8901">
        <v>603.91999999999996</v>
      </c>
    </row>
    <row r="8902" spans="2:5">
      <c r="B8902" s="17">
        <v>41896</v>
      </c>
      <c r="D8902" t="s">
        <v>1364</v>
      </c>
      <c r="E8902">
        <v>81.98</v>
      </c>
    </row>
    <row r="8903" spans="2:5">
      <c r="B8903" s="17">
        <v>41896</v>
      </c>
      <c r="D8903" t="s">
        <v>1364</v>
      </c>
      <c r="E8903">
        <v>145.56800000000001</v>
      </c>
    </row>
    <row r="8904" spans="2:5">
      <c r="B8904" s="17">
        <v>41896</v>
      </c>
      <c r="D8904" t="s">
        <v>1099</v>
      </c>
      <c r="E8904">
        <v>0.87599999999999978</v>
      </c>
    </row>
    <row r="8905" spans="2:5">
      <c r="B8905" s="17">
        <v>41896</v>
      </c>
      <c r="D8905" t="s">
        <v>1099</v>
      </c>
      <c r="E8905">
        <v>143.952</v>
      </c>
    </row>
    <row r="8906" spans="2:5">
      <c r="B8906" s="17">
        <v>41896</v>
      </c>
      <c r="D8906" t="s">
        <v>1099</v>
      </c>
      <c r="E8906">
        <v>585.55200000000002</v>
      </c>
    </row>
    <row r="8907" spans="2:5">
      <c r="B8907" s="17">
        <v>41896</v>
      </c>
      <c r="D8907" t="s">
        <v>1099</v>
      </c>
      <c r="E8907">
        <v>19.440000000000001</v>
      </c>
    </row>
    <row r="8908" spans="2:5">
      <c r="B8908" s="17">
        <v>41896</v>
      </c>
      <c r="D8908" t="s">
        <v>1099</v>
      </c>
      <c r="E8908">
        <v>5.9700000000000006</v>
      </c>
    </row>
    <row r="8909" spans="2:5">
      <c r="B8909" s="17">
        <v>41895</v>
      </c>
      <c r="D8909" t="s">
        <v>1099</v>
      </c>
      <c r="E8909">
        <v>21.184000000000001</v>
      </c>
    </row>
    <row r="8910" spans="2:5">
      <c r="B8910" s="17">
        <v>41895</v>
      </c>
      <c r="D8910" t="s">
        <v>1099</v>
      </c>
      <c r="E8910">
        <v>41.375999999999998</v>
      </c>
    </row>
    <row r="8911" spans="2:5">
      <c r="B8911" s="17">
        <v>41895</v>
      </c>
      <c r="D8911" t="s">
        <v>825</v>
      </c>
      <c r="E8911">
        <v>16.704000000000001</v>
      </c>
    </row>
    <row r="8912" spans="2:5">
      <c r="B8912" s="17">
        <v>41895</v>
      </c>
      <c r="D8912" t="s">
        <v>825</v>
      </c>
      <c r="E8912">
        <v>3.1520000000000001</v>
      </c>
    </row>
    <row r="8913" spans="2:5">
      <c r="B8913" s="17">
        <v>41895</v>
      </c>
      <c r="D8913" t="s">
        <v>825</v>
      </c>
      <c r="E8913">
        <v>32.896000000000001</v>
      </c>
    </row>
    <row r="8914" spans="2:5">
      <c r="B8914" s="17">
        <v>41895</v>
      </c>
      <c r="D8914" t="s">
        <v>825</v>
      </c>
      <c r="E8914">
        <v>153.82400000000001</v>
      </c>
    </row>
    <row r="8915" spans="2:5">
      <c r="B8915" s="17">
        <v>41895</v>
      </c>
      <c r="D8915" t="s">
        <v>825</v>
      </c>
      <c r="E8915">
        <v>33.792000000000002</v>
      </c>
    </row>
    <row r="8916" spans="2:5">
      <c r="B8916" s="17">
        <v>41895</v>
      </c>
      <c r="D8916" t="s">
        <v>307</v>
      </c>
      <c r="E8916">
        <v>2.7239999999999993</v>
      </c>
    </row>
    <row r="8917" spans="2:5">
      <c r="B8917" s="17">
        <v>41895</v>
      </c>
      <c r="D8917" t="s">
        <v>307</v>
      </c>
      <c r="E8917">
        <v>3.2640000000000002</v>
      </c>
    </row>
    <row r="8918" spans="2:5">
      <c r="B8918" s="17">
        <v>41895</v>
      </c>
      <c r="D8918" t="s">
        <v>307</v>
      </c>
      <c r="E8918">
        <v>14.576000000000001</v>
      </c>
    </row>
    <row r="8919" spans="2:5">
      <c r="B8919" s="17">
        <v>41895</v>
      </c>
      <c r="D8919" t="s">
        <v>307</v>
      </c>
      <c r="E8919">
        <v>435.99900000000002</v>
      </c>
    </row>
    <row r="8920" spans="2:5">
      <c r="B8920" s="17">
        <v>41895</v>
      </c>
      <c r="D8920" t="s">
        <v>1859</v>
      </c>
      <c r="E8920">
        <v>83.984000000000009</v>
      </c>
    </row>
    <row r="8921" spans="2:5">
      <c r="B8921" s="17">
        <v>41895</v>
      </c>
      <c r="D8921" t="s">
        <v>1859</v>
      </c>
      <c r="E8921">
        <v>139.44</v>
      </c>
    </row>
    <row r="8922" spans="2:5">
      <c r="B8922" s="17">
        <v>41895</v>
      </c>
      <c r="D8922" t="s">
        <v>1258</v>
      </c>
      <c r="E8922">
        <v>32.400000000000006</v>
      </c>
    </row>
    <row r="8923" spans="2:5">
      <c r="B8923" s="17">
        <v>41895</v>
      </c>
      <c r="D8923" t="s">
        <v>1258</v>
      </c>
      <c r="E8923">
        <v>404.90000000000003</v>
      </c>
    </row>
    <row r="8924" spans="2:5">
      <c r="B8924" s="17">
        <v>41894</v>
      </c>
      <c r="D8924" t="s">
        <v>1258</v>
      </c>
      <c r="E8924">
        <v>9449.9500000000007</v>
      </c>
    </row>
    <row r="8925" spans="2:5">
      <c r="B8925" s="17">
        <v>41894</v>
      </c>
      <c r="D8925" t="s">
        <v>1258</v>
      </c>
      <c r="E8925">
        <v>12.94</v>
      </c>
    </row>
    <row r="8926" spans="2:5">
      <c r="B8926" s="17">
        <v>41894</v>
      </c>
      <c r="D8926" t="s">
        <v>1258</v>
      </c>
      <c r="E8926">
        <v>28.8</v>
      </c>
    </row>
    <row r="8927" spans="2:5">
      <c r="B8927" s="17">
        <v>41894</v>
      </c>
      <c r="D8927" t="s">
        <v>1258</v>
      </c>
      <c r="E8927">
        <v>11.12</v>
      </c>
    </row>
    <row r="8928" spans="2:5">
      <c r="B8928" s="17">
        <v>41894</v>
      </c>
      <c r="D8928" t="s">
        <v>117</v>
      </c>
      <c r="E8928">
        <v>18.463999999999999</v>
      </c>
    </row>
    <row r="8929" spans="2:5">
      <c r="B8929" s="17">
        <v>41894</v>
      </c>
      <c r="D8929" t="s">
        <v>117</v>
      </c>
      <c r="E8929">
        <v>9.84</v>
      </c>
    </row>
    <row r="8930" spans="2:5">
      <c r="B8930" s="17">
        <v>41894</v>
      </c>
      <c r="D8930" t="s">
        <v>117</v>
      </c>
      <c r="E8930">
        <v>34.5</v>
      </c>
    </row>
    <row r="8931" spans="2:5">
      <c r="B8931" s="17">
        <v>41894</v>
      </c>
      <c r="D8931" t="s">
        <v>117</v>
      </c>
      <c r="E8931">
        <v>4.6079999999999997</v>
      </c>
    </row>
    <row r="8932" spans="2:5">
      <c r="B8932" s="17">
        <v>41894</v>
      </c>
      <c r="D8932" t="s">
        <v>117</v>
      </c>
      <c r="E8932">
        <v>169.45</v>
      </c>
    </row>
    <row r="8933" spans="2:5">
      <c r="B8933" s="17">
        <v>41894</v>
      </c>
      <c r="D8933" t="s">
        <v>117</v>
      </c>
      <c r="E8933">
        <v>40.68</v>
      </c>
    </row>
    <row r="8934" spans="2:5">
      <c r="B8934" s="17">
        <v>41894</v>
      </c>
      <c r="D8934" t="s">
        <v>117</v>
      </c>
      <c r="E8934">
        <v>97.44</v>
      </c>
    </row>
    <row r="8935" spans="2:5">
      <c r="B8935" s="17">
        <v>41893</v>
      </c>
      <c r="D8935" t="s">
        <v>117</v>
      </c>
      <c r="E8935">
        <v>3.9840000000000004</v>
      </c>
    </row>
    <row r="8936" spans="2:5">
      <c r="B8936" s="17">
        <v>41892</v>
      </c>
      <c r="D8936" t="s">
        <v>117</v>
      </c>
      <c r="E8936">
        <v>13.04</v>
      </c>
    </row>
    <row r="8937" spans="2:5">
      <c r="B8937" s="17">
        <v>41892</v>
      </c>
      <c r="D8937" t="s">
        <v>1003</v>
      </c>
      <c r="E8937">
        <v>579.52800000000002</v>
      </c>
    </row>
    <row r="8938" spans="2:5">
      <c r="B8938" s="17">
        <v>41892</v>
      </c>
      <c r="D8938" t="s">
        <v>1003</v>
      </c>
      <c r="E8938">
        <v>1799.97</v>
      </c>
    </row>
    <row r="8939" spans="2:5">
      <c r="B8939" s="17">
        <v>41892</v>
      </c>
      <c r="D8939" t="s">
        <v>1003</v>
      </c>
      <c r="E8939">
        <v>25.96</v>
      </c>
    </row>
    <row r="8940" spans="2:5">
      <c r="B8940" s="17">
        <v>41892</v>
      </c>
      <c r="D8940" t="s">
        <v>1003</v>
      </c>
      <c r="E8940">
        <v>36.269999999999996</v>
      </c>
    </row>
    <row r="8941" spans="2:5">
      <c r="B8941" s="17">
        <v>41891</v>
      </c>
      <c r="D8941" t="s">
        <v>1000</v>
      </c>
      <c r="E8941">
        <v>6.48</v>
      </c>
    </row>
    <row r="8942" spans="2:5">
      <c r="B8942" s="17">
        <v>41891</v>
      </c>
      <c r="D8942" t="s">
        <v>1000</v>
      </c>
      <c r="E8942">
        <v>15.56</v>
      </c>
    </row>
    <row r="8943" spans="2:5">
      <c r="B8943" s="17">
        <v>41891</v>
      </c>
      <c r="D8943" t="s">
        <v>1000</v>
      </c>
      <c r="E8943">
        <v>78.349999999999994</v>
      </c>
    </row>
    <row r="8944" spans="2:5">
      <c r="B8944" s="17">
        <v>41891</v>
      </c>
      <c r="D8944" t="s">
        <v>1000</v>
      </c>
      <c r="E8944">
        <v>59.519999999999996</v>
      </c>
    </row>
    <row r="8945" spans="2:5">
      <c r="B8945" s="17">
        <v>41891</v>
      </c>
      <c r="D8945" t="s">
        <v>1000</v>
      </c>
      <c r="E8945">
        <v>38.520000000000003</v>
      </c>
    </row>
    <row r="8946" spans="2:5">
      <c r="B8946" s="17">
        <v>41891</v>
      </c>
      <c r="D8946" t="s">
        <v>1000</v>
      </c>
      <c r="E8946">
        <v>19.350000000000001</v>
      </c>
    </row>
    <row r="8947" spans="2:5">
      <c r="B8947" s="17">
        <v>41891</v>
      </c>
      <c r="D8947" t="s">
        <v>1000</v>
      </c>
      <c r="E8947">
        <v>11.352000000000002</v>
      </c>
    </row>
    <row r="8948" spans="2:5">
      <c r="B8948" s="17">
        <v>41891</v>
      </c>
      <c r="D8948" t="s">
        <v>1000</v>
      </c>
      <c r="E8948">
        <v>20.808000000000003</v>
      </c>
    </row>
    <row r="8949" spans="2:5">
      <c r="B8949" s="17">
        <v>41891</v>
      </c>
      <c r="D8949" t="s">
        <v>1000</v>
      </c>
      <c r="E8949">
        <v>8.5440000000000005</v>
      </c>
    </row>
    <row r="8950" spans="2:5">
      <c r="B8950" s="17">
        <v>41891</v>
      </c>
      <c r="D8950" t="s">
        <v>1818</v>
      </c>
      <c r="E8950">
        <v>6.5700000000000012</v>
      </c>
    </row>
    <row r="8951" spans="2:5">
      <c r="B8951" s="17">
        <v>41891</v>
      </c>
      <c r="D8951" t="s">
        <v>1818</v>
      </c>
      <c r="E8951">
        <v>66.03</v>
      </c>
    </row>
    <row r="8952" spans="2:5">
      <c r="B8952" s="17">
        <v>41891</v>
      </c>
      <c r="D8952" t="s">
        <v>1818</v>
      </c>
      <c r="E8952">
        <v>617.70000000000005</v>
      </c>
    </row>
    <row r="8953" spans="2:5">
      <c r="B8953" s="17">
        <v>41891</v>
      </c>
      <c r="D8953" t="s">
        <v>1818</v>
      </c>
      <c r="E8953">
        <v>9.9600000000000009</v>
      </c>
    </row>
    <row r="8954" spans="2:5">
      <c r="B8954" s="17">
        <v>41890</v>
      </c>
      <c r="D8954" t="s">
        <v>931</v>
      </c>
      <c r="E8954">
        <v>21.72</v>
      </c>
    </row>
    <row r="8955" spans="2:5">
      <c r="B8955" s="17">
        <v>41890</v>
      </c>
      <c r="D8955" t="s">
        <v>931</v>
      </c>
      <c r="E8955">
        <v>2.8160000000000003</v>
      </c>
    </row>
    <row r="8956" spans="2:5">
      <c r="B8956" s="17">
        <v>41890</v>
      </c>
      <c r="D8956" t="s">
        <v>931</v>
      </c>
      <c r="E8956">
        <v>43.92</v>
      </c>
    </row>
    <row r="8957" spans="2:5">
      <c r="B8957" s="17">
        <v>41890</v>
      </c>
      <c r="D8957" t="s">
        <v>931</v>
      </c>
      <c r="E8957">
        <v>20.231999999999999</v>
      </c>
    </row>
    <row r="8958" spans="2:5">
      <c r="B8958" s="17">
        <v>41890</v>
      </c>
      <c r="D8958" t="s">
        <v>931</v>
      </c>
      <c r="E8958">
        <v>164.22</v>
      </c>
    </row>
    <row r="8959" spans="2:5">
      <c r="B8959" s="17">
        <v>41890</v>
      </c>
      <c r="D8959" t="s">
        <v>931</v>
      </c>
      <c r="E8959">
        <v>362.94</v>
      </c>
    </row>
    <row r="8960" spans="2:5">
      <c r="B8960" s="17">
        <v>41890</v>
      </c>
      <c r="D8960" t="s">
        <v>133</v>
      </c>
      <c r="E8960">
        <v>59.98</v>
      </c>
    </row>
    <row r="8961" spans="2:5">
      <c r="B8961" s="17">
        <v>41890</v>
      </c>
      <c r="D8961" t="s">
        <v>133</v>
      </c>
      <c r="E8961">
        <v>493.42999999999995</v>
      </c>
    </row>
    <row r="8962" spans="2:5">
      <c r="B8962" s="17">
        <v>41890</v>
      </c>
      <c r="D8962" t="s">
        <v>133</v>
      </c>
      <c r="E8962">
        <v>11.120000000000001</v>
      </c>
    </row>
    <row r="8963" spans="2:5">
      <c r="B8963" s="17">
        <v>41890</v>
      </c>
      <c r="D8963" t="s">
        <v>133</v>
      </c>
      <c r="E8963">
        <v>8.56</v>
      </c>
    </row>
    <row r="8964" spans="2:5">
      <c r="B8964" s="17">
        <v>41890</v>
      </c>
      <c r="D8964" t="s">
        <v>133</v>
      </c>
      <c r="E8964">
        <v>629.94999999999993</v>
      </c>
    </row>
    <row r="8965" spans="2:5">
      <c r="B8965" s="17">
        <v>41890</v>
      </c>
      <c r="D8965" t="s">
        <v>133</v>
      </c>
      <c r="E8965">
        <v>631.78200000000004</v>
      </c>
    </row>
    <row r="8966" spans="2:5">
      <c r="B8966" s="17">
        <v>41890</v>
      </c>
      <c r="D8966" t="s">
        <v>133</v>
      </c>
      <c r="E8966">
        <v>801.5680000000001</v>
      </c>
    </row>
    <row r="8967" spans="2:5">
      <c r="B8967" s="17">
        <v>41890</v>
      </c>
      <c r="D8967" t="s">
        <v>133</v>
      </c>
      <c r="E8967">
        <v>75.179999999999993</v>
      </c>
    </row>
    <row r="8968" spans="2:5">
      <c r="B8968" s="17">
        <v>41890</v>
      </c>
      <c r="D8968" t="s">
        <v>133</v>
      </c>
      <c r="E8968">
        <v>30.98</v>
      </c>
    </row>
    <row r="8969" spans="2:5">
      <c r="B8969" s="17">
        <v>41890</v>
      </c>
      <c r="D8969" t="s">
        <v>133</v>
      </c>
      <c r="E8969">
        <v>1349.91</v>
      </c>
    </row>
    <row r="8970" spans="2:5">
      <c r="B8970" s="17">
        <v>41890</v>
      </c>
      <c r="D8970" t="s">
        <v>569</v>
      </c>
      <c r="E8970">
        <v>3059.982</v>
      </c>
    </row>
    <row r="8971" spans="2:5">
      <c r="B8971" s="17">
        <v>41890</v>
      </c>
      <c r="D8971" t="s">
        <v>569</v>
      </c>
      <c r="E8971">
        <v>2519.9579999999996</v>
      </c>
    </row>
    <row r="8972" spans="2:5">
      <c r="B8972" s="17">
        <v>41890</v>
      </c>
      <c r="D8972" t="s">
        <v>569</v>
      </c>
      <c r="E8972">
        <v>7.16</v>
      </c>
    </row>
    <row r="8973" spans="2:5">
      <c r="B8973" s="17">
        <v>41890</v>
      </c>
      <c r="D8973" t="s">
        <v>569</v>
      </c>
      <c r="E8973">
        <v>67.343999999999994</v>
      </c>
    </row>
    <row r="8974" spans="2:5">
      <c r="B8974" s="17">
        <v>41890</v>
      </c>
      <c r="D8974" t="s">
        <v>569</v>
      </c>
      <c r="E8974">
        <v>2624.9850000000001</v>
      </c>
    </row>
    <row r="8975" spans="2:5">
      <c r="B8975" s="17">
        <v>41890</v>
      </c>
      <c r="D8975" t="s">
        <v>569</v>
      </c>
      <c r="E8975">
        <v>887.10299999999995</v>
      </c>
    </row>
    <row r="8976" spans="2:5">
      <c r="B8976" s="17">
        <v>41890</v>
      </c>
      <c r="D8976" t="s">
        <v>569</v>
      </c>
      <c r="E8976">
        <v>92.52</v>
      </c>
    </row>
    <row r="8977" spans="2:5">
      <c r="B8977" s="17">
        <v>41890</v>
      </c>
      <c r="D8977" t="s">
        <v>569</v>
      </c>
      <c r="E8977">
        <v>5.67</v>
      </c>
    </row>
    <row r="8978" spans="2:5">
      <c r="B8978" s="17">
        <v>41890</v>
      </c>
      <c r="D8978" t="s">
        <v>569</v>
      </c>
      <c r="E8978">
        <v>73.915000000000006</v>
      </c>
    </row>
    <row r="8979" spans="2:5">
      <c r="B8979" s="17">
        <v>41890</v>
      </c>
      <c r="D8979" t="s">
        <v>1763</v>
      </c>
      <c r="E8979">
        <v>5.8920000000000012</v>
      </c>
    </row>
    <row r="8980" spans="2:5">
      <c r="B8980" s="17">
        <v>41890</v>
      </c>
      <c r="D8980" t="s">
        <v>1763</v>
      </c>
      <c r="E8980">
        <v>47.984000000000002</v>
      </c>
    </row>
    <row r="8981" spans="2:5">
      <c r="B8981" s="17">
        <v>41889</v>
      </c>
      <c r="D8981" t="s">
        <v>1763</v>
      </c>
      <c r="E8981">
        <v>4.6240000000000006</v>
      </c>
    </row>
    <row r="8982" spans="2:5">
      <c r="B8982" s="17">
        <v>41889</v>
      </c>
      <c r="D8982" t="s">
        <v>1763</v>
      </c>
      <c r="E8982">
        <v>30.28</v>
      </c>
    </row>
    <row r="8983" spans="2:5">
      <c r="B8983" s="17">
        <v>41889</v>
      </c>
      <c r="D8983" t="s">
        <v>1763</v>
      </c>
      <c r="E8983">
        <v>57.929999999999993</v>
      </c>
    </row>
    <row r="8984" spans="2:5">
      <c r="B8984" s="17">
        <v>41889</v>
      </c>
      <c r="D8984" t="s">
        <v>1763</v>
      </c>
      <c r="E8984">
        <v>35.340000000000003</v>
      </c>
    </row>
    <row r="8985" spans="2:5">
      <c r="B8985" s="17">
        <v>41889</v>
      </c>
      <c r="D8985" t="s">
        <v>1763</v>
      </c>
      <c r="E8985">
        <v>137.24</v>
      </c>
    </row>
    <row r="8986" spans="2:5">
      <c r="B8986" s="17">
        <v>41889</v>
      </c>
      <c r="D8986" t="s">
        <v>156</v>
      </c>
      <c r="E8986">
        <v>182.94</v>
      </c>
    </row>
    <row r="8987" spans="2:5">
      <c r="B8987" s="17">
        <v>41889</v>
      </c>
      <c r="D8987" t="s">
        <v>156</v>
      </c>
      <c r="E8987">
        <v>5.2480000000000002</v>
      </c>
    </row>
    <row r="8988" spans="2:5">
      <c r="B8988" s="17">
        <v>41889</v>
      </c>
      <c r="D8988" t="s">
        <v>156</v>
      </c>
      <c r="E8988">
        <v>38.256</v>
      </c>
    </row>
    <row r="8989" spans="2:5">
      <c r="B8989" s="17">
        <v>41889</v>
      </c>
      <c r="D8989" t="s">
        <v>156</v>
      </c>
      <c r="E8989">
        <v>40.24</v>
      </c>
    </row>
    <row r="8990" spans="2:5">
      <c r="B8990" s="17">
        <v>41889</v>
      </c>
      <c r="D8990" t="s">
        <v>156</v>
      </c>
      <c r="E8990">
        <v>29.925000000000001</v>
      </c>
    </row>
    <row r="8991" spans="2:5">
      <c r="B8991" s="17">
        <v>41889</v>
      </c>
      <c r="D8991" t="s">
        <v>1615</v>
      </c>
      <c r="E8991">
        <v>148.70400000000001</v>
      </c>
    </row>
    <row r="8992" spans="2:5">
      <c r="B8992" s="17">
        <v>41889</v>
      </c>
      <c r="D8992" t="s">
        <v>1615</v>
      </c>
      <c r="E8992">
        <v>55.92</v>
      </c>
    </row>
    <row r="8993" spans="2:5">
      <c r="B8993" s="17">
        <v>41889</v>
      </c>
      <c r="D8993" t="s">
        <v>35</v>
      </c>
      <c r="E8993">
        <v>33.552</v>
      </c>
    </row>
    <row r="8994" spans="2:5">
      <c r="B8994" s="17">
        <v>41889</v>
      </c>
      <c r="D8994" t="s">
        <v>35</v>
      </c>
      <c r="E8994">
        <v>103.93599999999999</v>
      </c>
    </row>
    <row r="8995" spans="2:5">
      <c r="B8995" s="17">
        <v>41889</v>
      </c>
      <c r="D8995" t="s">
        <v>35</v>
      </c>
      <c r="E8995">
        <v>14.940000000000001</v>
      </c>
    </row>
    <row r="8996" spans="2:5">
      <c r="B8996" s="17">
        <v>41889</v>
      </c>
      <c r="D8996" t="s">
        <v>35</v>
      </c>
      <c r="E8996">
        <v>14.56</v>
      </c>
    </row>
    <row r="8997" spans="2:5">
      <c r="B8997" s="17">
        <v>41889</v>
      </c>
      <c r="D8997" t="s">
        <v>35</v>
      </c>
      <c r="E8997">
        <v>52.447999999999993</v>
      </c>
    </row>
    <row r="8998" spans="2:5">
      <c r="B8998" s="17">
        <v>41889</v>
      </c>
      <c r="D8998" t="s">
        <v>35</v>
      </c>
      <c r="E8998">
        <v>20.16</v>
      </c>
    </row>
    <row r="8999" spans="2:5">
      <c r="B8999" s="17">
        <v>41889</v>
      </c>
      <c r="D8999" t="s">
        <v>35</v>
      </c>
      <c r="E8999">
        <v>449.15</v>
      </c>
    </row>
    <row r="9000" spans="2:5">
      <c r="B9000" s="17">
        <v>41889</v>
      </c>
      <c r="D9000" t="s">
        <v>35</v>
      </c>
      <c r="E9000">
        <v>11.07</v>
      </c>
    </row>
    <row r="9001" spans="2:5">
      <c r="B9001" s="17">
        <v>41889</v>
      </c>
      <c r="D9001" t="s">
        <v>35</v>
      </c>
      <c r="E9001">
        <v>13</v>
      </c>
    </row>
    <row r="9002" spans="2:5">
      <c r="B9002" s="17">
        <v>41889</v>
      </c>
      <c r="D9002" t="s">
        <v>35</v>
      </c>
      <c r="E9002">
        <v>13.128</v>
      </c>
    </row>
    <row r="9003" spans="2:5">
      <c r="B9003" s="17">
        <v>41889</v>
      </c>
      <c r="D9003" t="s">
        <v>35</v>
      </c>
      <c r="E9003">
        <v>142.4</v>
      </c>
    </row>
    <row r="9004" spans="2:5">
      <c r="B9004" s="17">
        <v>41889</v>
      </c>
      <c r="D9004" t="s">
        <v>35</v>
      </c>
      <c r="E9004">
        <v>7.16</v>
      </c>
    </row>
    <row r="9005" spans="2:5">
      <c r="B9005" s="17">
        <v>41889</v>
      </c>
      <c r="D9005" t="s">
        <v>628</v>
      </c>
      <c r="E9005">
        <v>464.29200000000003</v>
      </c>
    </row>
    <row r="9006" spans="2:5">
      <c r="B9006" s="17">
        <v>41888</v>
      </c>
      <c r="D9006" t="s">
        <v>628</v>
      </c>
      <c r="E9006">
        <v>68.459999999999994</v>
      </c>
    </row>
    <row r="9007" spans="2:5">
      <c r="B9007" s="17">
        <v>41888</v>
      </c>
      <c r="D9007" t="s">
        <v>628</v>
      </c>
      <c r="E9007">
        <v>2799.96</v>
      </c>
    </row>
    <row r="9008" spans="2:5">
      <c r="B9008" s="17">
        <v>41887</v>
      </c>
      <c r="D9008" t="s">
        <v>628</v>
      </c>
      <c r="E9008">
        <v>601.29999999999995</v>
      </c>
    </row>
    <row r="9009" spans="2:5">
      <c r="B9009" s="17">
        <v>41887</v>
      </c>
      <c r="D9009" t="s">
        <v>628</v>
      </c>
      <c r="E9009">
        <v>16.989999999999998</v>
      </c>
    </row>
    <row r="9010" spans="2:5">
      <c r="B9010" s="17">
        <v>41885</v>
      </c>
      <c r="D9010" t="s">
        <v>628</v>
      </c>
      <c r="E9010">
        <v>44.820000000000007</v>
      </c>
    </row>
    <row r="9011" spans="2:5">
      <c r="B9011" s="17">
        <v>41885</v>
      </c>
      <c r="D9011" t="s">
        <v>628</v>
      </c>
      <c r="E9011">
        <v>6.048</v>
      </c>
    </row>
    <row r="9012" spans="2:5">
      <c r="B9012" s="17">
        <v>41884</v>
      </c>
      <c r="D9012" t="s">
        <v>730</v>
      </c>
      <c r="E9012">
        <v>6.8480000000000008</v>
      </c>
    </row>
    <row r="9013" spans="2:5">
      <c r="B9013" s="17">
        <v>41884</v>
      </c>
      <c r="D9013" t="s">
        <v>730</v>
      </c>
      <c r="E9013">
        <v>9.9600000000000009</v>
      </c>
    </row>
    <row r="9014" spans="2:5">
      <c r="B9014" s="17">
        <v>41884</v>
      </c>
      <c r="D9014" t="s">
        <v>730</v>
      </c>
      <c r="E9014">
        <v>8.5519999999999978</v>
      </c>
    </row>
    <row r="9015" spans="2:5">
      <c r="B9015" s="17">
        <v>41884</v>
      </c>
      <c r="D9015" t="s">
        <v>730</v>
      </c>
      <c r="E9015">
        <v>18.648000000000003</v>
      </c>
    </row>
    <row r="9016" spans="2:5">
      <c r="B9016" s="17">
        <v>41884</v>
      </c>
      <c r="D9016" t="s">
        <v>1767</v>
      </c>
      <c r="E9016">
        <v>15.552000000000003</v>
      </c>
    </row>
    <row r="9017" spans="2:5">
      <c r="B9017" s="17">
        <v>41884</v>
      </c>
      <c r="D9017" t="s">
        <v>1267</v>
      </c>
      <c r="E9017">
        <v>5.46</v>
      </c>
    </row>
    <row r="9018" spans="2:5">
      <c r="B9018" s="17">
        <v>41884</v>
      </c>
      <c r="D9018" t="s">
        <v>1267</v>
      </c>
      <c r="E9018">
        <v>79.400000000000006</v>
      </c>
    </row>
    <row r="9019" spans="2:5">
      <c r="B9019" s="17">
        <v>41884</v>
      </c>
      <c r="D9019" t="s">
        <v>1267</v>
      </c>
      <c r="E9019">
        <v>2.5020000000000002</v>
      </c>
    </row>
    <row r="9020" spans="2:5">
      <c r="B9020" s="17">
        <v>41884</v>
      </c>
      <c r="D9020" t="s">
        <v>1267</v>
      </c>
      <c r="E9020">
        <v>5.6999999999999993</v>
      </c>
    </row>
    <row r="9021" spans="2:5">
      <c r="B9021" s="17">
        <v>41883</v>
      </c>
      <c r="D9021" t="s">
        <v>1267</v>
      </c>
      <c r="E9021">
        <v>14.190000000000001</v>
      </c>
    </row>
    <row r="9022" spans="2:5">
      <c r="B9022" s="17">
        <v>41883</v>
      </c>
      <c r="D9022" t="s">
        <v>1267</v>
      </c>
      <c r="E9022">
        <v>7.3</v>
      </c>
    </row>
    <row r="9023" spans="2:5">
      <c r="B9023" s="17">
        <v>41883</v>
      </c>
      <c r="D9023" t="s">
        <v>1199</v>
      </c>
      <c r="E9023">
        <v>144.96</v>
      </c>
    </row>
    <row r="9024" spans="2:5">
      <c r="B9024" s="17">
        <v>41883</v>
      </c>
      <c r="D9024" t="s">
        <v>1199</v>
      </c>
      <c r="E9024">
        <v>118</v>
      </c>
    </row>
    <row r="9025" spans="2:5">
      <c r="B9025" s="17">
        <v>41883</v>
      </c>
      <c r="D9025" t="s">
        <v>1199</v>
      </c>
      <c r="E9025">
        <v>48.94</v>
      </c>
    </row>
    <row r="9026" spans="2:5">
      <c r="B9026" s="17">
        <v>41882</v>
      </c>
      <c r="D9026" t="s">
        <v>1199</v>
      </c>
      <c r="E9026">
        <v>22.66</v>
      </c>
    </row>
    <row r="9027" spans="2:5">
      <c r="B9027" s="17">
        <v>41881</v>
      </c>
      <c r="D9027" t="s">
        <v>1199</v>
      </c>
      <c r="E9027">
        <v>69.989999999999995</v>
      </c>
    </row>
    <row r="9028" spans="2:5">
      <c r="B9028" s="17">
        <v>41881</v>
      </c>
      <c r="D9028" t="s">
        <v>739</v>
      </c>
      <c r="E9028">
        <v>10.368000000000002</v>
      </c>
    </row>
    <row r="9029" spans="2:5">
      <c r="B9029" s="17">
        <v>41880</v>
      </c>
      <c r="D9029" t="s">
        <v>739</v>
      </c>
      <c r="E9029">
        <v>166.84</v>
      </c>
    </row>
    <row r="9030" spans="2:5">
      <c r="B9030" s="17">
        <v>41880</v>
      </c>
      <c r="D9030" t="s">
        <v>739</v>
      </c>
      <c r="E9030">
        <v>15.216000000000001</v>
      </c>
    </row>
    <row r="9031" spans="2:5">
      <c r="B9031" s="17">
        <v>41880</v>
      </c>
      <c r="D9031" t="s">
        <v>739</v>
      </c>
      <c r="E9031">
        <v>5.1799999999999988</v>
      </c>
    </row>
    <row r="9032" spans="2:5">
      <c r="B9032" s="17">
        <v>41880</v>
      </c>
      <c r="D9032" t="s">
        <v>739</v>
      </c>
      <c r="E9032">
        <v>63.924000000000007</v>
      </c>
    </row>
    <row r="9033" spans="2:5">
      <c r="B9033" s="17">
        <v>41880</v>
      </c>
      <c r="D9033" t="s">
        <v>739</v>
      </c>
      <c r="E9033">
        <v>357.93</v>
      </c>
    </row>
    <row r="9034" spans="2:5">
      <c r="B9034" s="17">
        <v>41878</v>
      </c>
      <c r="D9034" t="s">
        <v>739</v>
      </c>
      <c r="E9034">
        <v>57.400000000000006</v>
      </c>
    </row>
    <row r="9035" spans="2:5">
      <c r="B9035" s="17">
        <v>41878</v>
      </c>
      <c r="D9035" t="s">
        <v>739</v>
      </c>
      <c r="E9035">
        <v>40.56</v>
      </c>
    </row>
    <row r="9036" spans="2:5">
      <c r="B9036" s="17">
        <v>41878</v>
      </c>
      <c r="D9036" t="s">
        <v>1260</v>
      </c>
      <c r="E9036">
        <v>3785.2920000000004</v>
      </c>
    </row>
    <row r="9037" spans="2:5">
      <c r="B9037" s="17">
        <v>41878</v>
      </c>
      <c r="D9037" t="s">
        <v>1260</v>
      </c>
      <c r="E9037">
        <v>127.94999999999999</v>
      </c>
    </row>
    <row r="9038" spans="2:5">
      <c r="B9038" s="17">
        <v>41878</v>
      </c>
      <c r="D9038" t="s">
        <v>1260</v>
      </c>
      <c r="E9038">
        <v>9.64</v>
      </c>
    </row>
    <row r="9039" spans="2:5">
      <c r="B9039" s="17">
        <v>41878</v>
      </c>
      <c r="D9039" t="s">
        <v>1260</v>
      </c>
      <c r="E9039">
        <v>21.728000000000002</v>
      </c>
    </row>
    <row r="9040" spans="2:5">
      <c r="B9040" s="17">
        <v>41878</v>
      </c>
      <c r="D9040" t="s">
        <v>1260</v>
      </c>
      <c r="E9040">
        <v>1487.04</v>
      </c>
    </row>
    <row r="9041" spans="2:5">
      <c r="B9041" s="17">
        <v>41877</v>
      </c>
      <c r="D9041" t="s">
        <v>1260</v>
      </c>
      <c r="E9041">
        <v>81.92</v>
      </c>
    </row>
    <row r="9042" spans="2:5">
      <c r="B9042" s="17">
        <v>41877</v>
      </c>
      <c r="D9042" t="s">
        <v>134</v>
      </c>
      <c r="E9042">
        <v>103.60000000000001</v>
      </c>
    </row>
    <row r="9043" spans="2:5">
      <c r="B9043" s="17">
        <v>41877</v>
      </c>
      <c r="D9043" t="s">
        <v>134</v>
      </c>
      <c r="E9043">
        <v>166.44</v>
      </c>
    </row>
    <row r="9044" spans="2:5">
      <c r="B9044" s="17">
        <v>41877</v>
      </c>
      <c r="D9044" t="s">
        <v>134</v>
      </c>
      <c r="E9044">
        <v>785.87999999999988</v>
      </c>
    </row>
    <row r="9045" spans="2:5">
      <c r="B9045" s="17">
        <v>41877</v>
      </c>
      <c r="D9045" t="s">
        <v>134</v>
      </c>
      <c r="E9045">
        <v>26.2</v>
      </c>
    </row>
    <row r="9046" spans="2:5">
      <c r="B9046" s="17">
        <v>41877</v>
      </c>
      <c r="D9046" t="s">
        <v>134</v>
      </c>
      <c r="E9046">
        <v>1325.8500000000001</v>
      </c>
    </row>
    <row r="9047" spans="2:5">
      <c r="B9047" s="17">
        <v>41876</v>
      </c>
      <c r="D9047" t="s">
        <v>134</v>
      </c>
      <c r="E9047">
        <v>15.552000000000003</v>
      </c>
    </row>
    <row r="9048" spans="2:5">
      <c r="B9048" s="17">
        <v>41876</v>
      </c>
      <c r="D9048" t="s">
        <v>134</v>
      </c>
      <c r="E9048">
        <v>64.704000000000008</v>
      </c>
    </row>
    <row r="9049" spans="2:5">
      <c r="B9049" s="17">
        <v>41876</v>
      </c>
      <c r="D9049" t="s">
        <v>134</v>
      </c>
      <c r="E9049">
        <v>17.472000000000001</v>
      </c>
    </row>
    <row r="9050" spans="2:5">
      <c r="B9050" s="17">
        <v>41876</v>
      </c>
      <c r="D9050" t="s">
        <v>134</v>
      </c>
      <c r="E9050">
        <v>135.51599999999999</v>
      </c>
    </row>
    <row r="9051" spans="2:5">
      <c r="B9051" s="17">
        <v>41876</v>
      </c>
      <c r="D9051" t="s">
        <v>134</v>
      </c>
      <c r="E9051">
        <v>1299.99</v>
      </c>
    </row>
    <row r="9052" spans="2:5">
      <c r="B9052" s="17">
        <v>41876</v>
      </c>
      <c r="D9052" t="s">
        <v>134</v>
      </c>
      <c r="E9052">
        <v>60.672000000000011</v>
      </c>
    </row>
    <row r="9053" spans="2:5">
      <c r="B9053" s="17">
        <v>41876</v>
      </c>
      <c r="D9053" t="s">
        <v>134</v>
      </c>
      <c r="E9053">
        <v>30.816000000000003</v>
      </c>
    </row>
    <row r="9054" spans="2:5">
      <c r="B9054" s="17">
        <v>41876</v>
      </c>
      <c r="D9054" t="s">
        <v>107</v>
      </c>
      <c r="E9054">
        <v>10.896000000000001</v>
      </c>
    </row>
    <row r="9055" spans="2:5">
      <c r="B9055" s="17">
        <v>41876</v>
      </c>
      <c r="D9055" t="s">
        <v>107</v>
      </c>
      <c r="E9055">
        <v>9.9359999999999999</v>
      </c>
    </row>
    <row r="9056" spans="2:5">
      <c r="B9056" s="17">
        <v>41876</v>
      </c>
      <c r="D9056" t="s">
        <v>107</v>
      </c>
      <c r="E9056">
        <v>8159.9519999999993</v>
      </c>
    </row>
    <row r="9057" spans="2:5">
      <c r="B9057" s="17">
        <v>41876</v>
      </c>
      <c r="D9057" t="s">
        <v>107</v>
      </c>
      <c r="E9057">
        <v>1740.0599999999997</v>
      </c>
    </row>
    <row r="9058" spans="2:5">
      <c r="B9058" s="17">
        <v>41876</v>
      </c>
      <c r="D9058" t="s">
        <v>107</v>
      </c>
      <c r="E9058">
        <v>32.064</v>
      </c>
    </row>
    <row r="9059" spans="2:5">
      <c r="B9059" s="17">
        <v>41876</v>
      </c>
      <c r="D9059" t="s">
        <v>107</v>
      </c>
      <c r="E9059">
        <v>177.97999999999996</v>
      </c>
    </row>
    <row r="9060" spans="2:5">
      <c r="B9060" s="17">
        <v>41876</v>
      </c>
      <c r="D9060" t="s">
        <v>107</v>
      </c>
      <c r="E9060">
        <v>143.976</v>
      </c>
    </row>
    <row r="9061" spans="2:5">
      <c r="B9061" s="17">
        <v>41875</v>
      </c>
      <c r="D9061" t="s">
        <v>107</v>
      </c>
      <c r="E9061">
        <v>49.98</v>
      </c>
    </row>
    <row r="9062" spans="2:5">
      <c r="B9062" s="17">
        <v>41875</v>
      </c>
      <c r="D9062" t="s">
        <v>107</v>
      </c>
      <c r="E9062">
        <v>51.183999999999983</v>
      </c>
    </row>
    <row r="9063" spans="2:5">
      <c r="B9063" s="17">
        <v>41875</v>
      </c>
      <c r="D9063" t="s">
        <v>107</v>
      </c>
      <c r="E9063">
        <v>32.97</v>
      </c>
    </row>
    <row r="9064" spans="2:5">
      <c r="B9064" s="17">
        <v>41875</v>
      </c>
      <c r="D9064" t="s">
        <v>107</v>
      </c>
      <c r="E9064">
        <v>83.88</v>
      </c>
    </row>
    <row r="9065" spans="2:5">
      <c r="B9065" s="17">
        <v>41874</v>
      </c>
      <c r="D9065" t="s">
        <v>626</v>
      </c>
      <c r="E9065">
        <v>56.65</v>
      </c>
    </row>
    <row r="9066" spans="2:5">
      <c r="B9066" s="17">
        <v>41874</v>
      </c>
      <c r="D9066" t="s">
        <v>626</v>
      </c>
      <c r="E9066">
        <v>14.97</v>
      </c>
    </row>
    <row r="9067" spans="2:5">
      <c r="B9067" s="17">
        <v>41874</v>
      </c>
      <c r="D9067" t="s">
        <v>626</v>
      </c>
      <c r="E9067">
        <v>4.0199999999999996</v>
      </c>
    </row>
    <row r="9068" spans="2:5">
      <c r="B9068" s="17">
        <v>41874</v>
      </c>
      <c r="D9068" t="s">
        <v>626</v>
      </c>
      <c r="E9068">
        <v>45</v>
      </c>
    </row>
    <row r="9069" spans="2:5">
      <c r="B9069" s="17">
        <v>41874</v>
      </c>
      <c r="D9069" t="s">
        <v>626</v>
      </c>
      <c r="E9069">
        <v>16.78</v>
      </c>
    </row>
    <row r="9070" spans="2:5">
      <c r="B9070" s="17">
        <v>41874</v>
      </c>
      <c r="D9070" t="s">
        <v>626</v>
      </c>
      <c r="E9070">
        <v>5.88</v>
      </c>
    </row>
    <row r="9071" spans="2:5">
      <c r="B9071" s="17">
        <v>41874</v>
      </c>
      <c r="D9071" t="s">
        <v>626</v>
      </c>
      <c r="E9071">
        <v>975.92</v>
      </c>
    </row>
    <row r="9072" spans="2:5">
      <c r="B9072" s="17">
        <v>41874</v>
      </c>
      <c r="D9072" t="s">
        <v>791</v>
      </c>
      <c r="E9072">
        <v>485.88</v>
      </c>
    </row>
    <row r="9073" spans="2:5">
      <c r="B9073" s="17">
        <v>41874</v>
      </c>
      <c r="D9073" t="s">
        <v>791</v>
      </c>
      <c r="E9073">
        <v>17.904</v>
      </c>
    </row>
    <row r="9074" spans="2:5">
      <c r="B9074" s="17">
        <v>41874</v>
      </c>
      <c r="D9074" t="s">
        <v>791</v>
      </c>
      <c r="E9074">
        <v>966.69999999999982</v>
      </c>
    </row>
    <row r="9075" spans="2:5">
      <c r="B9075" s="17">
        <v>41873</v>
      </c>
      <c r="D9075" t="s">
        <v>791</v>
      </c>
      <c r="E9075">
        <v>182.11199999999999</v>
      </c>
    </row>
    <row r="9076" spans="2:5">
      <c r="B9076" s="17">
        <v>41873</v>
      </c>
      <c r="D9076" t="s">
        <v>791</v>
      </c>
      <c r="E9076">
        <v>172.76400000000001</v>
      </c>
    </row>
    <row r="9077" spans="2:5">
      <c r="B9077" s="17">
        <v>41873</v>
      </c>
      <c r="D9077" t="s">
        <v>791</v>
      </c>
      <c r="E9077">
        <v>3.52</v>
      </c>
    </row>
    <row r="9078" spans="2:5">
      <c r="B9078" s="17">
        <v>41871</v>
      </c>
      <c r="D9078" t="s">
        <v>791</v>
      </c>
      <c r="E9078">
        <v>8.6080000000000005</v>
      </c>
    </row>
    <row r="9079" spans="2:5">
      <c r="B9079" s="17">
        <v>41871</v>
      </c>
      <c r="D9079" t="s">
        <v>791</v>
      </c>
      <c r="E9079">
        <v>64.784000000000006</v>
      </c>
    </row>
    <row r="9080" spans="2:5">
      <c r="B9080" s="17">
        <v>41871</v>
      </c>
      <c r="D9080" t="s">
        <v>1174</v>
      </c>
      <c r="E9080">
        <v>32.381999999999998</v>
      </c>
    </row>
    <row r="9081" spans="2:5">
      <c r="B9081" s="17">
        <v>41871</v>
      </c>
      <c r="D9081" t="s">
        <v>1174</v>
      </c>
      <c r="E9081">
        <v>42.368000000000002</v>
      </c>
    </row>
    <row r="9082" spans="2:5">
      <c r="B9082" s="17">
        <v>41870</v>
      </c>
      <c r="D9082" t="s">
        <v>1174</v>
      </c>
      <c r="E9082">
        <v>399.54</v>
      </c>
    </row>
    <row r="9083" spans="2:5">
      <c r="B9083" s="17">
        <v>41870</v>
      </c>
      <c r="D9083" t="s">
        <v>68</v>
      </c>
      <c r="E9083">
        <v>57.69</v>
      </c>
    </row>
    <row r="9084" spans="2:5">
      <c r="B9084" s="17">
        <v>41870</v>
      </c>
      <c r="D9084" t="s">
        <v>68</v>
      </c>
      <c r="E9084">
        <v>42.81</v>
      </c>
    </row>
    <row r="9085" spans="2:5">
      <c r="B9085" s="17">
        <v>41870</v>
      </c>
      <c r="D9085" t="s">
        <v>68</v>
      </c>
      <c r="E9085">
        <v>12.96</v>
      </c>
    </row>
    <row r="9086" spans="2:5">
      <c r="B9086" s="17">
        <v>41870</v>
      </c>
      <c r="D9086" t="s">
        <v>68</v>
      </c>
      <c r="E9086">
        <v>821.87999999999988</v>
      </c>
    </row>
    <row r="9087" spans="2:5">
      <c r="B9087" s="17">
        <v>41870</v>
      </c>
      <c r="D9087" t="s">
        <v>68</v>
      </c>
      <c r="E9087">
        <v>104.85000000000001</v>
      </c>
    </row>
    <row r="9088" spans="2:5">
      <c r="B9088" s="17">
        <v>41870</v>
      </c>
      <c r="D9088" t="s">
        <v>68</v>
      </c>
      <c r="E9088">
        <v>377.96999999999997</v>
      </c>
    </row>
    <row r="9089" spans="2:5">
      <c r="B9089" s="17">
        <v>41868</v>
      </c>
      <c r="D9089" t="s">
        <v>68</v>
      </c>
      <c r="E9089">
        <v>196.77600000000001</v>
      </c>
    </row>
    <row r="9090" spans="2:5">
      <c r="B9090" s="17">
        <v>41868</v>
      </c>
      <c r="D9090" t="s">
        <v>68</v>
      </c>
      <c r="E9090">
        <v>2.9199999999999995</v>
      </c>
    </row>
    <row r="9091" spans="2:5">
      <c r="B9091" s="17">
        <v>41868</v>
      </c>
      <c r="D9091" t="s">
        <v>68</v>
      </c>
      <c r="E9091">
        <v>46.688000000000002</v>
      </c>
    </row>
    <row r="9092" spans="2:5">
      <c r="B9092" s="17">
        <v>41868</v>
      </c>
      <c r="D9092" t="s">
        <v>68</v>
      </c>
      <c r="E9092">
        <v>21.864000000000001</v>
      </c>
    </row>
    <row r="9093" spans="2:5">
      <c r="B9093" s="17">
        <v>41868</v>
      </c>
      <c r="D9093" t="s">
        <v>68</v>
      </c>
      <c r="E9093">
        <v>429.90000000000003</v>
      </c>
    </row>
    <row r="9094" spans="2:5">
      <c r="B9094" s="17">
        <v>41867</v>
      </c>
      <c r="D9094" t="s">
        <v>68</v>
      </c>
      <c r="E9094">
        <v>32.06</v>
      </c>
    </row>
    <row r="9095" spans="2:5">
      <c r="B9095" s="17">
        <v>41866</v>
      </c>
      <c r="D9095" t="s">
        <v>1192</v>
      </c>
      <c r="E9095">
        <v>161.96</v>
      </c>
    </row>
    <row r="9096" spans="2:5">
      <c r="B9096" s="17">
        <v>41866</v>
      </c>
      <c r="D9096" t="s">
        <v>1192</v>
      </c>
      <c r="E9096">
        <v>19.86</v>
      </c>
    </row>
    <row r="9097" spans="2:5">
      <c r="B9097" s="17">
        <v>41866</v>
      </c>
      <c r="D9097" t="s">
        <v>1192</v>
      </c>
      <c r="E9097">
        <v>27.36</v>
      </c>
    </row>
    <row r="9098" spans="2:5">
      <c r="B9098" s="17">
        <v>41866</v>
      </c>
      <c r="D9098" t="s">
        <v>1192</v>
      </c>
      <c r="E9098">
        <v>20.56</v>
      </c>
    </row>
    <row r="9099" spans="2:5">
      <c r="B9099" s="17">
        <v>41866</v>
      </c>
      <c r="D9099" t="s">
        <v>1192</v>
      </c>
      <c r="E9099">
        <v>83.920000000000016</v>
      </c>
    </row>
    <row r="9100" spans="2:5">
      <c r="B9100" s="17">
        <v>41866</v>
      </c>
      <c r="D9100" t="s">
        <v>1192</v>
      </c>
      <c r="E9100">
        <v>13.16</v>
      </c>
    </row>
    <row r="9101" spans="2:5">
      <c r="B9101" s="17">
        <v>41866</v>
      </c>
      <c r="D9101" t="s">
        <v>924</v>
      </c>
      <c r="E9101">
        <v>3.8279999999999994</v>
      </c>
    </row>
    <row r="9102" spans="2:5">
      <c r="B9102" s="17">
        <v>41866</v>
      </c>
      <c r="D9102" t="s">
        <v>924</v>
      </c>
      <c r="E9102">
        <v>41.88</v>
      </c>
    </row>
    <row r="9103" spans="2:5">
      <c r="B9103" s="17">
        <v>41866</v>
      </c>
      <c r="D9103" t="s">
        <v>924</v>
      </c>
      <c r="E9103">
        <v>58.48</v>
      </c>
    </row>
    <row r="9104" spans="2:5">
      <c r="B9104" s="17">
        <v>41863</v>
      </c>
      <c r="D9104" t="s">
        <v>924</v>
      </c>
      <c r="E9104">
        <v>31.983999999999998</v>
      </c>
    </row>
    <row r="9105" spans="2:5">
      <c r="B9105" s="17">
        <v>41863</v>
      </c>
      <c r="D9105" t="s">
        <v>1348</v>
      </c>
      <c r="E9105">
        <v>14.399999999999999</v>
      </c>
    </row>
    <row r="9106" spans="2:5">
      <c r="B9106" s="17">
        <v>41863</v>
      </c>
      <c r="D9106" t="s">
        <v>1348</v>
      </c>
      <c r="E9106">
        <v>7.6799999999999979</v>
      </c>
    </row>
    <row r="9107" spans="2:5">
      <c r="B9107" s="17">
        <v>41863</v>
      </c>
      <c r="D9107" t="s">
        <v>1348</v>
      </c>
      <c r="E9107">
        <v>19.899999999999999</v>
      </c>
    </row>
    <row r="9108" spans="2:5">
      <c r="B9108" s="17">
        <v>41863</v>
      </c>
      <c r="D9108" t="s">
        <v>1348</v>
      </c>
      <c r="E9108">
        <v>70.709999999999994</v>
      </c>
    </row>
    <row r="9109" spans="2:5">
      <c r="B9109" s="17">
        <v>41863</v>
      </c>
      <c r="D9109" t="s">
        <v>1348</v>
      </c>
      <c r="E9109">
        <v>21.240000000000002</v>
      </c>
    </row>
    <row r="9110" spans="2:5">
      <c r="B9110" s="17">
        <v>41863</v>
      </c>
      <c r="D9110" t="s">
        <v>1348</v>
      </c>
      <c r="E9110">
        <v>57.75</v>
      </c>
    </row>
    <row r="9111" spans="2:5">
      <c r="B9111" s="17">
        <v>41863</v>
      </c>
      <c r="D9111" t="s">
        <v>1348</v>
      </c>
      <c r="E9111">
        <v>14.940000000000001</v>
      </c>
    </row>
    <row r="9112" spans="2:5">
      <c r="B9112" s="17">
        <v>41863</v>
      </c>
      <c r="D9112" t="s">
        <v>1309</v>
      </c>
      <c r="E9112">
        <v>559.71</v>
      </c>
    </row>
    <row r="9113" spans="2:5">
      <c r="B9113" s="17">
        <v>41863</v>
      </c>
      <c r="D9113" t="s">
        <v>1309</v>
      </c>
      <c r="E9113">
        <v>1793.98</v>
      </c>
    </row>
    <row r="9114" spans="2:5">
      <c r="B9114" s="17">
        <v>41863</v>
      </c>
      <c r="D9114" t="s">
        <v>929</v>
      </c>
      <c r="E9114">
        <v>475.94400000000002</v>
      </c>
    </row>
    <row r="9115" spans="2:5">
      <c r="B9115" s="17">
        <v>41862</v>
      </c>
      <c r="D9115" t="s">
        <v>929</v>
      </c>
      <c r="E9115">
        <v>53.94</v>
      </c>
    </row>
    <row r="9116" spans="2:5">
      <c r="B9116" s="17">
        <v>41862</v>
      </c>
      <c r="D9116" t="s">
        <v>929</v>
      </c>
      <c r="E9116">
        <v>3.6479999999999992</v>
      </c>
    </row>
    <row r="9117" spans="2:5">
      <c r="B9117" s="17">
        <v>41862</v>
      </c>
      <c r="D9117" t="s">
        <v>481</v>
      </c>
      <c r="E9117">
        <v>31.104000000000006</v>
      </c>
    </row>
    <row r="9118" spans="2:5">
      <c r="B9118" s="17">
        <v>41862</v>
      </c>
      <c r="D9118" t="s">
        <v>481</v>
      </c>
      <c r="E9118">
        <v>23.744</v>
      </c>
    </row>
    <row r="9119" spans="2:5">
      <c r="B9119" s="17">
        <v>41860</v>
      </c>
      <c r="D9119" t="s">
        <v>481</v>
      </c>
      <c r="E9119">
        <v>357</v>
      </c>
    </row>
    <row r="9120" spans="2:5">
      <c r="B9120" s="17">
        <v>41860</v>
      </c>
      <c r="D9120" t="s">
        <v>481</v>
      </c>
      <c r="E9120">
        <v>92.52</v>
      </c>
    </row>
    <row r="9121" spans="2:5">
      <c r="B9121" s="17">
        <v>41860</v>
      </c>
      <c r="D9121" t="s">
        <v>481</v>
      </c>
      <c r="E9121">
        <v>25.299999999999997</v>
      </c>
    </row>
    <row r="9122" spans="2:5">
      <c r="B9122" s="17">
        <v>41860</v>
      </c>
      <c r="D9122" t="s">
        <v>481</v>
      </c>
      <c r="E9122">
        <v>95.94</v>
      </c>
    </row>
    <row r="9123" spans="2:5">
      <c r="B9123" s="17">
        <v>41860</v>
      </c>
      <c r="D9123" t="s">
        <v>899</v>
      </c>
      <c r="E9123">
        <v>109.92</v>
      </c>
    </row>
    <row r="9124" spans="2:5">
      <c r="B9124" s="17">
        <v>41860</v>
      </c>
      <c r="D9124" t="s">
        <v>899</v>
      </c>
      <c r="E9124">
        <v>13.36</v>
      </c>
    </row>
    <row r="9125" spans="2:5">
      <c r="B9125" s="17">
        <v>41860</v>
      </c>
      <c r="D9125" t="s">
        <v>899</v>
      </c>
      <c r="E9125">
        <v>29.808</v>
      </c>
    </row>
    <row r="9126" spans="2:5">
      <c r="B9126" s="17">
        <v>41860</v>
      </c>
      <c r="D9126" t="s">
        <v>899</v>
      </c>
      <c r="E9126">
        <v>505.1760000000001</v>
      </c>
    </row>
    <row r="9127" spans="2:5">
      <c r="B9127" s="17">
        <v>41860</v>
      </c>
      <c r="D9127" t="s">
        <v>899</v>
      </c>
      <c r="E9127">
        <v>174.05850000000001</v>
      </c>
    </row>
    <row r="9128" spans="2:5">
      <c r="B9128" s="17">
        <v>41859</v>
      </c>
      <c r="D9128" t="s">
        <v>899</v>
      </c>
      <c r="E9128">
        <v>8.56</v>
      </c>
    </row>
    <row r="9129" spans="2:5">
      <c r="B9129" s="17">
        <v>41859</v>
      </c>
      <c r="D9129" t="s">
        <v>854</v>
      </c>
      <c r="E9129">
        <v>22.72</v>
      </c>
    </row>
    <row r="9130" spans="2:5">
      <c r="B9130" s="17">
        <v>41859</v>
      </c>
      <c r="D9130" t="s">
        <v>854</v>
      </c>
      <c r="E9130">
        <v>579.94999999999993</v>
      </c>
    </row>
    <row r="9131" spans="2:5">
      <c r="B9131" s="17">
        <v>41859</v>
      </c>
      <c r="D9131" t="s">
        <v>854</v>
      </c>
      <c r="E9131">
        <v>29.12</v>
      </c>
    </row>
    <row r="9132" spans="2:5">
      <c r="B9132" s="17">
        <v>41859</v>
      </c>
      <c r="D9132" t="s">
        <v>854</v>
      </c>
      <c r="E9132">
        <v>1202.94</v>
      </c>
    </row>
    <row r="9133" spans="2:5">
      <c r="B9133" s="17">
        <v>41859</v>
      </c>
      <c r="D9133" t="s">
        <v>854</v>
      </c>
      <c r="E9133">
        <v>13.36</v>
      </c>
    </row>
    <row r="9134" spans="2:5">
      <c r="B9134" s="17">
        <v>41859</v>
      </c>
      <c r="D9134" t="s">
        <v>854</v>
      </c>
      <c r="E9134">
        <v>176.8</v>
      </c>
    </row>
    <row r="9135" spans="2:5">
      <c r="B9135" s="17">
        <v>41859</v>
      </c>
      <c r="D9135" t="s">
        <v>854</v>
      </c>
      <c r="E9135">
        <v>10.68</v>
      </c>
    </row>
    <row r="9136" spans="2:5">
      <c r="B9136" s="17">
        <v>41859</v>
      </c>
      <c r="D9136" t="s">
        <v>854</v>
      </c>
      <c r="E9136">
        <v>17.34</v>
      </c>
    </row>
    <row r="9137" spans="2:5">
      <c r="B9137" s="17">
        <v>41859</v>
      </c>
      <c r="D9137" t="s">
        <v>854</v>
      </c>
      <c r="E9137">
        <v>3.38</v>
      </c>
    </row>
    <row r="9138" spans="2:5">
      <c r="B9138" s="17">
        <v>41859</v>
      </c>
      <c r="D9138" t="s">
        <v>517</v>
      </c>
      <c r="E9138">
        <v>8.64</v>
      </c>
    </row>
    <row r="9139" spans="2:5">
      <c r="B9139" s="17">
        <v>41859</v>
      </c>
      <c r="D9139" t="s">
        <v>517</v>
      </c>
      <c r="E9139">
        <v>149.97</v>
      </c>
    </row>
    <row r="9140" spans="2:5">
      <c r="B9140" s="17">
        <v>41859</v>
      </c>
      <c r="D9140" t="s">
        <v>517</v>
      </c>
      <c r="E9140">
        <v>40.096000000000004</v>
      </c>
    </row>
    <row r="9141" spans="2:5">
      <c r="B9141" s="17">
        <v>41857</v>
      </c>
      <c r="D9141" t="s">
        <v>517</v>
      </c>
      <c r="E9141">
        <v>4.7200000000000006</v>
      </c>
    </row>
    <row r="9142" spans="2:5">
      <c r="B9142" s="17">
        <v>41857</v>
      </c>
      <c r="D9142" t="s">
        <v>517</v>
      </c>
      <c r="E9142">
        <v>23.976000000000003</v>
      </c>
    </row>
    <row r="9143" spans="2:5">
      <c r="B9143" s="17">
        <v>41856</v>
      </c>
      <c r="D9143" t="s">
        <v>517</v>
      </c>
      <c r="E9143">
        <v>130.464</v>
      </c>
    </row>
    <row r="9144" spans="2:5">
      <c r="B9144" s="17">
        <v>41856</v>
      </c>
      <c r="D9144" t="s">
        <v>995</v>
      </c>
      <c r="E9144">
        <v>6.28</v>
      </c>
    </row>
    <row r="9145" spans="2:5">
      <c r="B9145" s="17">
        <v>41856</v>
      </c>
      <c r="D9145" t="s">
        <v>995</v>
      </c>
      <c r="E9145">
        <v>95.1</v>
      </c>
    </row>
    <row r="9146" spans="2:5">
      <c r="B9146" s="17">
        <v>41856</v>
      </c>
      <c r="D9146" t="s">
        <v>1507</v>
      </c>
      <c r="E9146">
        <v>25.92</v>
      </c>
    </row>
    <row r="9147" spans="2:5">
      <c r="B9147" s="17">
        <v>41856</v>
      </c>
      <c r="D9147" t="s">
        <v>1507</v>
      </c>
      <c r="E9147">
        <v>48.84</v>
      </c>
    </row>
    <row r="9148" spans="2:5">
      <c r="B9148" s="17">
        <v>41856</v>
      </c>
      <c r="D9148" t="s">
        <v>1507</v>
      </c>
      <c r="E9148">
        <v>1007.9440000000002</v>
      </c>
    </row>
    <row r="9149" spans="2:5">
      <c r="B9149" s="17">
        <v>41856</v>
      </c>
      <c r="D9149" t="s">
        <v>1507</v>
      </c>
      <c r="E9149">
        <v>25.679999999999993</v>
      </c>
    </row>
    <row r="9150" spans="2:5">
      <c r="B9150" s="17">
        <v>41856</v>
      </c>
      <c r="D9150" t="s">
        <v>1507</v>
      </c>
      <c r="E9150">
        <v>12.383999999999997</v>
      </c>
    </row>
    <row r="9151" spans="2:5">
      <c r="B9151" s="17">
        <v>41856</v>
      </c>
      <c r="D9151" t="s">
        <v>1263</v>
      </c>
      <c r="E9151">
        <v>6.5280000000000014</v>
      </c>
    </row>
    <row r="9152" spans="2:5">
      <c r="B9152" s="17">
        <v>41856</v>
      </c>
      <c r="D9152" t="s">
        <v>1263</v>
      </c>
      <c r="E9152">
        <v>2.8620000000000005</v>
      </c>
    </row>
    <row r="9153" spans="2:5">
      <c r="B9153" s="17">
        <v>41856</v>
      </c>
      <c r="D9153" t="s">
        <v>1571</v>
      </c>
      <c r="E9153">
        <v>20.856000000000002</v>
      </c>
    </row>
    <row r="9154" spans="2:5">
      <c r="B9154" s="17">
        <v>41856</v>
      </c>
      <c r="D9154" t="s">
        <v>1571</v>
      </c>
      <c r="E9154">
        <v>8.2880000000000003</v>
      </c>
    </row>
    <row r="9155" spans="2:5">
      <c r="B9155" s="17">
        <v>41855</v>
      </c>
      <c r="D9155" t="s">
        <v>1571</v>
      </c>
      <c r="E9155">
        <v>13.28</v>
      </c>
    </row>
    <row r="9156" spans="2:5">
      <c r="B9156" s="17">
        <v>41855</v>
      </c>
      <c r="D9156" t="s">
        <v>1571</v>
      </c>
      <c r="E9156">
        <v>12.672000000000001</v>
      </c>
    </row>
    <row r="9157" spans="2:5">
      <c r="B9157" s="17">
        <v>41855</v>
      </c>
      <c r="D9157" t="s">
        <v>1571</v>
      </c>
      <c r="E9157">
        <v>25.5</v>
      </c>
    </row>
    <row r="9158" spans="2:5">
      <c r="B9158" s="17">
        <v>41855</v>
      </c>
      <c r="D9158" t="s">
        <v>1571</v>
      </c>
      <c r="E9158">
        <v>25.92</v>
      </c>
    </row>
    <row r="9159" spans="2:5">
      <c r="B9159" s="17">
        <v>41855</v>
      </c>
      <c r="D9159" t="s">
        <v>1571</v>
      </c>
      <c r="E9159">
        <v>45.92</v>
      </c>
    </row>
    <row r="9160" spans="2:5">
      <c r="B9160" s="17">
        <v>41855</v>
      </c>
      <c r="D9160" t="s">
        <v>1334</v>
      </c>
      <c r="E9160">
        <v>49.568000000000005</v>
      </c>
    </row>
    <row r="9161" spans="2:5">
      <c r="B9161" s="17">
        <v>41855</v>
      </c>
      <c r="D9161" t="s">
        <v>1334</v>
      </c>
      <c r="E9161">
        <v>15.552000000000003</v>
      </c>
    </row>
    <row r="9162" spans="2:5">
      <c r="B9162" s="17">
        <v>41855</v>
      </c>
      <c r="D9162" t="s">
        <v>1334</v>
      </c>
      <c r="E9162">
        <v>6.8000000000000007</v>
      </c>
    </row>
    <row r="9163" spans="2:5">
      <c r="B9163" s="17">
        <v>41855</v>
      </c>
      <c r="D9163" t="s">
        <v>1334</v>
      </c>
      <c r="E9163">
        <v>4.2240000000000002</v>
      </c>
    </row>
    <row r="9164" spans="2:5">
      <c r="B9164" s="17">
        <v>41854</v>
      </c>
      <c r="D9164" t="s">
        <v>1334</v>
      </c>
      <c r="E9164">
        <v>143.64000000000001</v>
      </c>
    </row>
    <row r="9165" spans="2:5">
      <c r="B9165" s="17">
        <v>41854</v>
      </c>
      <c r="D9165" t="s">
        <v>1334</v>
      </c>
      <c r="E9165">
        <v>31.104000000000006</v>
      </c>
    </row>
    <row r="9166" spans="2:5">
      <c r="B9166" s="17">
        <v>41854</v>
      </c>
      <c r="D9166" t="s">
        <v>1824</v>
      </c>
      <c r="E9166">
        <v>19.440000000000001</v>
      </c>
    </row>
    <row r="9167" spans="2:5">
      <c r="B9167" s="17">
        <v>41854</v>
      </c>
      <c r="D9167" t="s">
        <v>100</v>
      </c>
      <c r="E9167">
        <v>3.9119999999999999</v>
      </c>
    </row>
    <row r="9168" spans="2:5">
      <c r="B9168" s="17">
        <v>41854</v>
      </c>
      <c r="D9168" t="s">
        <v>100</v>
      </c>
      <c r="E9168">
        <v>7.6320000000000014</v>
      </c>
    </row>
    <row r="9169" spans="2:5">
      <c r="B9169" s="17">
        <v>41854</v>
      </c>
      <c r="D9169" t="s">
        <v>100</v>
      </c>
      <c r="E9169">
        <v>11.56</v>
      </c>
    </row>
    <row r="9170" spans="2:5">
      <c r="B9170" s="17">
        <v>41853</v>
      </c>
      <c r="D9170" t="s">
        <v>100</v>
      </c>
      <c r="E9170">
        <v>421.37200000000001</v>
      </c>
    </row>
    <row r="9171" spans="2:5">
      <c r="B9171" s="17">
        <v>41853</v>
      </c>
      <c r="D9171" t="s">
        <v>100</v>
      </c>
      <c r="E9171">
        <v>500.23999999999995</v>
      </c>
    </row>
    <row r="9172" spans="2:5">
      <c r="B9172" s="17">
        <v>41853</v>
      </c>
      <c r="D9172" t="s">
        <v>100</v>
      </c>
      <c r="E9172">
        <v>20.12</v>
      </c>
    </row>
    <row r="9173" spans="2:5">
      <c r="B9173" s="17">
        <v>41852</v>
      </c>
      <c r="D9173" t="s">
        <v>100</v>
      </c>
      <c r="E9173">
        <v>896.99</v>
      </c>
    </row>
    <row r="9174" spans="2:5">
      <c r="B9174" s="17">
        <v>41852</v>
      </c>
      <c r="D9174" t="s">
        <v>100</v>
      </c>
      <c r="E9174">
        <v>10.72</v>
      </c>
    </row>
    <row r="9175" spans="2:5">
      <c r="B9175" s="17">
        <v>41852</v>
      </c>
      <c r="D9175" t="s">
        <v>702</v>
      </c>
      <c r="E9175">
        <v>76.77600000000001</v>
      </c>
    </row>
    <row r="9176" spans="2:5">
      <c r="B9176" s="17">
        <v>41852</v>
      </c>
      <c r="D9176" t="s">
        <v>702</v>
      </c>
      <c r="E9176">
        <v>9.1840000000000011</v>
      </c>
    </row>
    <row r="9177" spans="2:5">
      <c r="B9177" s="17">
        <v>41852</v>
      </c>
      <c r="D9177" t="s">
        <v>702</v>
      </c>
      <c r="E9177">
        <v>638.82000000000005</v>
      </c>
    </row>
    <row r="9178" spans="2:5">
      <c r="B9178" s="17">
        <v>41852</v>
      </c>
      <c r="D9178" t="s">
        <v>702</v>
      </c>
      <c r="E9178">
        <v>69.456000000000003</v>
      </c>
    </row>
    <row r="9179" spans="2:5">
      <c r="B9179" s="17">
        <v>41850</v>
      </c>
      <c r="D9179" t="s">
        <v>122</v>
      </c>
      <c r="E9179">
        <v>344.90999999999997</v>
      </c>
    </row>
    <row r="9180" spans="2:5">
      <c r="B9180" s="17">
        <v>41848</v>
      </c>
      <c r="D9180" t="s">
        <v>122</v>
      </c>
      <c r="E9180">
        <v>15.552000000000003</v>
      </c>
    </row>
    <row r="9181" spans="2:5">
      <c r="B9181" s="17">
        <v>41848</v>
      </c>
      <c r="D9181" t="s">
        <v>122</v>
      </c>
      <c r="E9181">
        <v>114.2</v>
      </c>
    </row>
    <row r="9182" spans="2:5">
      <c r="B9182" s="17">
        <v>41848</v>
      </c>
      <c r="D9182" t="s">
        <v>122</v>
      </c>
      <c r="E9182">
        <v>17.96</v>
      </c>
    </row>
    <row r="9183" spans="2:5">
      <c r="B9183" s="17">
        <v>41847</v>
      </c>
      <c r="D9183" t="s">
        <v>122</v>
      </c>
      <c r="E9183">
        <v>12.67</v>
      </c>
    </row>
    <row r="9184" spans="2:5">
      <c r="B9184" s="17">
        <v>41847</v>
      </c>
      <c r="D9184" t="s">
        <v>122</v>
      </c>
      <c r="E9184">
        <v>853.09199999999987</v>
      </c>
    </row>
    <row r="9185" spans="2:5">
      <c r="B9185" s="17">
        <v>41847</v>
      </c>
      <c r="D9185" t="s">
        <v>122</v>
      </c>
      <c r="E9185">
        <v>30.959999999999994</v>
      </c>
    </row>
    <row r="9186" spans="2:5">
      <c r="B9186" s="17">
        <v>41846</v>
      </c>
      <c r="D9186" t="s">
        <v>122</v>
      </c>
      <c r="E9186">
        <v>62.94</v>
      </c>
    </row>
    <row r="9187" spans="2:5">
      <c r="B9187" s="17">
        <v>41846</v>
      </c>
      <c r="D9187" t="s">
        <v>122</v>
      </c>
      <c r="E9187">
        <v>91.360000000000014</v>
      </c>
    </row>
    <row r="9188" spans="2:5">
      <c r="B9188" s="17">
        <v>41846</v>
      </c>
      <c r="D9188" t="s">
        <v>122</v>
      </c>
      <c r="E9188">
        <v>152.24</v>
      </c>
    </row>
    <row r="9189" spans="2:5">
      <c r="B9189" s="17">
        <v>41846</v>
      </c>
      <c r="D9189" t="s">
        <v>122</v>
      </c>
      <c r="E9189">
        <v>152.91</v>
      </c>
    </row>
    <row r="9190" spans="2:5">
      <c r="B9190" s="17">
        <v>41846</v>
      </c>
      <c r="D9190" t="s">
        <v>1278</v>
      </c>
      <c r="E9190">
        <v>92.94</v>
      </c>
    </row>
    <row r="9191" spans="2:5">
      <c r="B9191" s="17">
        <v>41846</v>
      </c>
      <c r="D9191" t="s">
        <v>1278</v>
      </c>
      <c r="E9191">
        <v>17.856000000000002</v>
      </c>
    </row>
    <row r="9192" spans="2:5">
      <c r="B9192" s="17">
        <v>41846</v>
      </c>
      <c r="D9192" t="s">
        <v>1278</v>
      </c>
      <c r="E9192">
        <v>46.440000000000005</v>
      </c>
    </row>
    <row r="9193" spans="2:5">
      <c r="B9193" s="17">
        <v>41846</v>
      </c>
      <c r="D9193" t="s">
        <v>1278</v>
      </c>
      <c r="E9193">
        <v>195.136</v>
      </c>
    </row>
    <row r="9194" spans="2:5">
      <c r="B9194" s="17">
        <v>41846</v>
      </c>
      <c r="D9194" t="s">
        <v>1278</v>
      </c>
      <c r="E9194">
        <v>196.21</v>
      </c>
    </row>
    <row r="9195" spans="2:5">
      <c r="B9195" s="17">
        <v>41846</v>
      </c>
      <c r="D9195" t="s">
        <v>320</v>
      </c>
      <c r="E9195">
        <v>806.33600000000001</v>
      </c>
    </row>
    <row r="9196" spans="2:5">
      <c r="B9196" s="17">
        <v>41846</v>
      </c>
      <c r="D9196" t="s">
        <v>320</v>
      </c>
      <c r="E9196">
        <v>85.44</v>
      </c>
    </row>
    <row r="9197" spans="2:5">
      <c r="B9197" s="17">
        <v>41846</v>
      </c>
      <c r="D9197" t="s">
        <v>320</v>
      </c>
      <c r="E9197">
        <v>31.104000000000006</v>
      </c>
    </row>
    <row r="9198" spans="2:5">
      <c r="B9198" s="17">
        <v>41846</v>
      </c>
      <c r="D9198" t="s">
        <v>320</v>
      </c>
      <c r="E9198">
        <v>47.96</v>
      </c>
    </row>
    <row r="9199" spans="2:5">
      <c r="B9199" s="17">
        <v>41846</v>
      </c>
      <c r="D9199" t="s">
        <v>320</v>
      </c>
      <c r="E9199">
        <v>158.928</v>
      </c>
    </row>
    <row r="9200" spans="2:5">
      <c r="B9200" s="17">
        <v>41846</v>
      </c>
      <c r="D9200" t="s">
        <v>320</v>
      </c>
      <c r="E9200">
        <v>5.5520000000000005</v>
      </c>
    </row>
    <row r="9201" spans="2:5">
      <c r="B9201" s="17">
        <v>41845</v>
      </c>
      <c r="D9201" t="s">
        <v>1333</v>
      </c>
      <c r="E9201">
        <v>2.952</v>
      </c>
    </row>
    <row r="9202" spans="2:5">
      <c r="B9202" s="17">
        <v>41845</v>
      </c>
      <c r="D9202" t="s">
        <v>1333</v>
      </c>
      <c r="E9202">
        <v>14.04</v>
      </c>
    </row>
    <row r="9203" spans="2:5">
      <c r="B9203" s="17">
        <v>41845</v>
      </c>
      <c r="D9203" t="s">
        <v>1333</v>
      </c>
      <c r="E9203">
        <v>12.35</v>
      </c>
    </row>
    <row r="9204" spans="2:5">
      <c r="B9204" s="17">
        <v>41845</v>
      </c>
      <c r="D9204" t="s">
        <v>1333</v>
      </c>
      <c r="E9204">
        <v>40.97</v>
      </c>
    </row>
    <row r="9205" spans="2:5">
      <c r="B9205" s="17">
        <v>41845</v>
      </c>
      <c r="D9205" t="s">
        <v>1333</v>
      </c>
      <c r="E9205">
        <v>22.96</v>
      </c>
    </row>
    <row r="9206" spans="2:5">
      <c r="B9206" s="17">
        <v>41843</v>
      </c>
      <c r="D9206" t="s">
        <v>1333</v>
      </c>
      <c r="E9206">
        <v>375.34</v>
      </c>
    </row>
    <row r="9207" spans="2:5">
      <c r="B9207" s="17">
        <v>41843</v>
      </c>
      <c r="D9207" t="s">
        <v>1333</v>
      </c>
      <c r="E9207">
        <v>178.38400000000001</v>
      </c>
    </row>
    <row r="9208" spans="2:5">
      <c r="B9208" s="17">
        <v>41843</v>
      </c>
      <c r="D9208" t="s">
        <v>358</v>
      </c>
      <c r="E9208">
        <v>15.552000000000003</v>
      </c>
    </row>
    <row r="9209" spans="2:5">
      <c r="B9209" s="17">
        <v>41843</v>
      </c>
      <c r="D9209" t="s">
        <v>358</v>
      </c>
      <c r="E9209">
        <v>20.88</v>
      </c>
    </row>
    <row r="9210" spans="2:5">
      <c r="B9210" s="17">
        <v>41843</v>
      </c>
      <c r="D9210" t="s">
        <v>358</v>
      </c>
      <c r="E9210">
        <v>1091.1680000000001</v>
      </c>
    </row>
    <row r="9211" spans="2:5">
      <c r="B9211" s="17">
        <v>41843</v>
      </c>
      <c r="D9211" t="s">
        <v>358</v>
      </c>
      <c r="E9211">
        <v>2060.7440000000001</v>
      </c>
    </row>
    <row r="9212" spans="2:5">
      <c r="B9212" s="17">
        <v>41843</v>
      </c>
      <c r="D9212" t="s">
        <v>1303</v>
      </c>
      <c r="E9212">
        <v>5.98</v>
      </c>
    </row>
    <row r="9213" spans="2:5">
      <c r="B9213" s="17">
        <v>41843</v>
      </c>
      <c r="D9213" t="s">
        <v>1303</v>
      </c>
      <c r="E9213">
        <v>4.4640000000000004</v>
      </c>
    </row>
    <row r="9214" spans="2:5">
      <c r="B9214" s="17">
        <v>41843</v>
      </c>
      <c r="D9214" t="s">
        <v>1303</v>
      </c>
      <c r="E9214">
        <v>9.3450000000000024</v>
      </c>
    </row>
    <row r="9215" spans="2:5">
      <c r="B9215" s="17">
        <v>41842</v>
      </c>
      <c r="D9215" t="s">
        <v>1303</v>
      </c>
      <c r="E9215">
        <v>76.12</v>
      </c>
    </row>
    <row r="9216" spans="2:5">
      <c r="B9216" s="17">
        <v>41842</v>
      </c>
      <c r="D9216" t="s">
        <v>1303</v>
      </c>
      <c r="E9216">
        <v>1199.9760000000001</v>
      </c>
    </row>
    <row r="9217" spans="2:5">
      <c r="B9217" s="17">
        <v>41842</v>
      </c>
      <c r="D9217" t="s">
        <v>181</v>
      </c>
      <c r="E9217">
        <v>445.96000000000004</v>
      </c>
    </row>
    <row r="9218" spans="2:5">
      <c r="B9218" s="17">
        <v>41842</v>
      </c>
      <c r="D9218" t="s">
        <v>181</v>
      </c>
      <c r="E9218">
        <v>121.376</v>
      </c>
    </row>
    <row r="9219" spans="2:5">
      <c r="B9219" s="17">
        <v>41842</v>
      </c>
      <c r="D9219" t="s">
        <v>181</v>
      </c>
      <c r="E9219">
        <v>95.976000000000013</v>
      </c>
    </row>
    <row r="9220" spans="2:5">
      <c r="B9220" s="17">
        <v>41842</v>
      </c>
      <c r="D9220" t="s">
        <v>181</v>
      </c>
      <c r="E9220">
        <v>423.28</v>
      </c>
    </row>
    <row r="9221" spans="2:5">
      <c r="B9221" s="17">
        <v>41842</v>
      </c>
      <c r="D9221" t="s">
        <v>181</v>
      </c>
      <c r="E9221">
        <v>549.99</v>
      </c>
    </row>
    <row r="9222" spans="2:5">
      <c r="B9222" s="17">
        <v>41842</v>
      </c>
      <c r="D9222" t="s">
        <v>181</v>
      </c>
      <c r="E9222">
        <v>167.535</v>
      </c>
    </row>
    <row r="9223" spans="2:5">
      <c r="B9223" s="17">
        <v>41841</v>
      </c>
      <c r="D9223" t="s">
        <v>181</v>
      </c>
      <c r="E9223">
        <v>38.339999999999996</v>
      </c>
    </row>
    <row r="9224" spans="2:5">
      <c r="B9224" s="17">
        <v>41841</v>
      </c>
      <c r="D9224" t="s">
        <v>425</v>
      </c>
      <c r="E9224">
        <v>53.88</v>
      </c>
    </row>
    <row r="9225" spans="2:5">
      <c r="B9225" s="17">
        <v>41841</v>
      </c>
      <c r="D9225" t="s">
        <v>425</v>
      </c>
      <c r="E9225">
        <v>155.45600000000002</v>
      </c>
    </row>
    <row r="9226" spans="2:5">
      <c r="B9226" s="17">
        <v>41841</v>
      </c>
      <c r="D9226" t="s">
        <v>425</v>
      </c>
      <c r="E9226">
        <v>62.91</v>
      </c>
    </row>
    <row r="9227" spans="2:5">
      <c r="B9227" s="17">
        <v>41841</v>
      </c>
      <c r="D9227" t="s">
        <v>425</v>
      </c>
      <c r="E9227">
        <v>20.94</v>
      </c>
    </row>
    <row r="9228" spans="2:5">
      <c r="B9228" s="17">
        <v>41841</v>
      </c>
      <c r="D9228" t="s">
        <v>1724</v>
      </c>
      <c r="E9228">
        <v>110.96</v>
      </c>
    </row>
    <row r="9229" spans="2:5">
      <c r="B9229" s="17">
        <v>41841</v>
      </c>
      <c r="D9229" t="s">
        <v>1724</v>
      </c>
      <c r="E9229">
        <v>15.78</v>
      </c>
    </row>
    <row r="9230" spans="2:5">
      <c r="B9230" s="17">
        <v>41841</v>
      </c>
      <c r="D9230" t="s">
        <v>212</v>
      </c>
      <c r="E9230">
        <v>45.98</v>
      </c>
    </row>
    <row r="9231" spans="2:5">
      <c r="B9231" s="17">
        <v>41840</v>
      </c>
      <c r="D9231" t="s">
        <v>212</v>
      </c>
      <c r="E9231">
        <v>79.47</v>
      </c>
    </row>
    <row r="9232" spans="2:5">
      <c r="B9232" s="17">
        <v>41840</v>
      </c>
      <c r="D9232" t="s">
        <v>212</v>
      </c>
      <c r="E9232">
        <v>4.5599999999999996</v>
      </c>
    </row>
    <row r="9233" spans="2:5">
      <c r="B9233" s="17">
        <v>41840</v>
      </c>
      <c r="D9233" t="s">
        <v>212</v>
      </c>
      <c r="E9233">
        <v>1133.3499999999999</v>
      </c>
    </row>
    <row r="9234" spans="2:5">
      <c r="B9234" s="17">
        <v>41840</v>
      </c>
      <c r="D9234" t="s">
        <v>212</v>
      </c>
      <c r="E9234">
        <v>135.99</v>
      </c>
    </row>
    <row r="9235" spans="2:5">
      <c r="B9235" s="17">
        <v>41840</v>
      </c>
      <c r="D9235" t="s">
        <v>212</v>
      </c>
      <c r="E9235">
        <v>15.959999999999999</v>
      </c>
    </row>
    <row r="9236" spans="2:5">
      <c r="B9236" s="17">
        <v>41840</v>
      </c>
      <c r="D9236" t="s">
        <v>1125</v>
      </c>
      <c r="E9236">
        <v>489.22999999999996</v>
      </c>
    </row>
    <row r="9237" spans="2:5">
      <c r="B9237" s="17">
        <v>41840</v>
      </c>
      <c r="D9237" t="s">
        <v>1125</v>
      </c>
      <c r="E9237">
        <v>1089.75</v>
      </c>
    </row>
    <row r="9238" spans="2:5">
      <c r="B9238" s="17">
        <v>41840</v>
      </c>
      <c r="D9238" t="s">
        <v>505</v>
      </c>
      <c r="E9238">
        <v>447.84</v>
      </c>
    </row>
    <row r="9239" spans="2:5">
      <c r="B9239" s="17">
        <v>41840</v>
      </c>
      <c r="D9239" t="s">
        <v>505</v>
      </c>
      <c r="E9239">
        <v>399.96000000000004</v>
      </c>
    </row>
    <row r="9240" spans="2:5">
      <c r="B9240" s="17">
        <v>41840</v>
      </c>
      <c r="D9240" t="s">
        <v>505</v>
      </c>
      <c r="E9240">
        <v>158.9</v>
      </c>
    </row>
    <row r="9241" spans="2:5">
      <c r="B9241" s="17">
        <v>41840</v>
      </c>
      <c r="D9241" t="s">
        <v>505</v>
      </c>
      <c r="E9241">
        <v>13.184000000000001</v>
      </c>
    </row>
    <row r="9242" spans="2:5">
      <c r="B9242" s="17">
        <v>41840</v>
      </c>
      <c r="D9242" t="s">
        <v>505</v>
      </c>
      <c r="E9242">
        <v>101.96</v>
      </c>
    </row>
    <row r="9243" spans="2:5">
      <c r="B9243" s="17">
        <v>41840</v>
      </c>
      <c r="D9243" t="s">
        <v>1655</v>
      </c>
      <c r="E9243">
        <v>2.6</v>
      </c>
    </row>
    <row r="9244" spans="2:5">
      <c r="B9244" s="17">
        <v>41840</v>
      </c>
      <c r="D9244" t="s">
        <v>210</v>
      </c>
      <c r="E9244">
        <v>39.96</v>
      </c>
    </row>
    <row r="9245" spans="2:5">
      <c r="B9245" s="17">
        <v>41840</v>
      </c>
      <c r="D9245" t="s">
        <v>210</v>
      </c>
      <c r="E9245">
        <v>102.30000000000001</v>
      </c>
    </row>
    <row r="9246" spans="2:5">
      <c r="B9246" s="17">
        <v>41839</v>
      </c>
      <c r="D9246" t="s">
        <v>210</v>
      </c>
      <c r="E9246">
        <v>21.36</v>
      </c>
    </row>
    <row r="9247" spans="2:5">
      <c r="B9247" s="17">
        <v>41839</v>
      </c>
      <c r="D9247" t="s">
        <v>210</v>
      </c>
      <c r="E9247">
        <v>93.024000000000001</v>
      </c>
    </row>
    <row r="9248" spans="2:5">
      <c r="B9248" s="17">
        <v>41839</v>
      </c>
      <c r="D9248" t="s">
        <v>210</v>
      </c>
      <c r="E9248">
        <v>26.7</v>
      </c>
    </row>
    <row r="9249" spans="2:5">
      <c r="B9249" s="17">
        <v>41839</v>
      </c>
      <c r="D9249" t="s">
        <v>210</v>
      </c>
      <c r="E9249">
        <v>21.2</v>
      </c>
    </row>
    <row r="9250" spans="2:5">
      <c r="B9250" s="17">
        <v>41839</v>
      </c>
      <c r="D9250" t="s">
        <v>210</v>
      </c>
      <c r="E9250">
        <v>838.38</v>
      </c>
    </row>
    <row r="9251" spans="2:5">
      <c r="B9251" s="17">
        <v>41838</v>
      </c>
      <c r="D9251" t="s">
        <v>210</v>
      </c>
      <c r="E9251">
        <v>17.544</v>
      </c>
    </row>
    <row r="9252" spans="2:5">
      <c r="B9252" s="17">
        <v>41838</v>
      </c>
      <c r="D9252" t="s">
        <v>210</v>
      </c>
      <c r="E9252">
        <v>44.128</v>
      </c>
    </row>
    <row r="9253" spans="2:5">
      <c r="B9253" s="17">
        <v>41835</v>
      </c>
      <c r="D9253" t="s">
        <v>210</v>
      </c>
      <c r="E9253">
        <v>62.920000000000009</v>
      </c>
    </row>
    <row r="9254" spans="2:5">
      <c r="B9254" s="17">
        <v>41835</v>
      </c>
      <c r="D9254" t="s">
        <v>210</v>
      </c>
      <c r="E9254">
        <v>78.304000000000002</v>
      </c>
    </row>
    <row r="9255" spans="2:5">
      <c r="B9255" s="17">
        <v>41834</v>
      </c>
      <c r="D9255" t="s">
        <v>519</v>
      </c>
      <c r="E9255">
        <v>19.752000000000002</v>
      </c>
    </row>
    <row r="9256" spans="2:5">
      <c r="B9256" s="17">
        <v>41834</v>
      </c>
      <c r="D9256" t="s">
        <v>519</v>
      </c>
      <c r="E9256">
        <v>5.68</v>
      </c>
    </row>
    <row r="9257" spans="2:5">
      <c r="B9257" s="17">
        <v>41834</v>
      </c>
      <c r="D9257" t="s">
        <v>519</v>
      </c>
      <c r="E9257">
        <v>1367.84</v>
      </c>
    </row>
    <row r="9258" spans="2:5">
      <c r="B9258" s="17">
        <v>41834</v>
      </c>
      <c r="D9258" t="s">
        <v>519</v>
      </c>
      <c r="E9258">
        <v>14.320000000000002</v>
      </c>
    </row>
    <row r="9259" spans="2:5">
      <c r="B9259" s="17">
        <v>41834</v>
      </c>
      <c r="D9259" t="s">
        <v>519</v>
      </c>
      <c r="E9259">
        <v>129.88800000000001</v>
      </c>
    </row>
    <row r="9260" spans="2:5">
      <c r="B9260" s="17">
        <v>41834</v>
      </c>
      <c r="D9260" t="s">
        <v>1266</v>
      </c>
      <c r="E9260">
        <v>48.944000000000003</v>
      </c>
    </row>
    <row r="9261" spans="2:5">
      <c r="B9261" s="17">
        <v>41834</v>
      </c>
      <c r="D9261" t="s">
        <v>1266</v>
      </c>
      <c r="E9261">
        <v>65.78</v>
      </c>
    </row>
    <row r="9262" spans="2:5">
      <c r="B9262" s="17">
        <v>41834</v>
      </c>
      <c r="D9262" t="s">
        <v>1266</v>
      </c>
      <c r="E9262">
        <v>123.55199999999999</v>
      </c>
    </row>
    <row r="9263" spans="2:5">
      <c r="B9263" s="17">
        <v>41834</v>
      </c>
      <c r="D9263" t="s">
        <v>1266</v>
      </c>
      <c r="E9263">
        <v>911.98400000000004</v>
      </c>
    </row>
    <row r="9264" spans="2:5">
      <c r="B9264" s="17">
        <v>41833</v>
      </c>
      <c r="D9264" t="s">
        <v>1266</v>
      </c>
      <c r="E9264">
        <v>674.35200000000009</v>
      </c>
    </row>
    <row r="9265" spans="2:5">
      <c r="B9265" s="17">
        <v>41832</v>
      </c>
      <c r="D9265" t="s">
        <v>1640</v>
      </c>
      <c r="E9265">
        <v>134.01</v>
      </c>
    </row>
    <row r="9266" spans="2:5">
      <c r="B9266" s="17">
        <v>41832</v>
      </c>
      <c r="D9266" t="s">
        <v>1640</v>
      </c>
      <c r="E9266">
        <v>170.97</v>
      </c>
    </row>
    <row r="9267" spans="2:5">
      <c r="B9267" s="17">
        <v>41832</v>
      </c>
      <c r="D9267" t="s">
        <v>1195</v>
      </c>
      <c r="E9267">
        <v>111.93</v>
      </c>
    </row>
    <row r="9268" spans="2:5">
      <c r="B9268" s="17">
        <v>41832</v>
      </c>
      <c r="D9268" t="s">
        <v>1195</v>
      </c>
      <c r="E9268">
        <v>67.88</v>
      </c>
    </row>
    <row r="9269" spans="2:5">
      <c r="B9269" s="17">
        <v>41832</v>
      </c>
      <c r="D9269" t="s">
        <v>1195</v>
      </c>
      <c r="E9269">
        <v>162.88999999999999</v>
      </c>
    </row>
    <row r="9270" spans="2:5">
      <c r="B9270" s="17">
        <v>41832</v>
      </c>
      <c r="D9270" t="s">
        <v>1195</v>
      </c>
      <c r="E9270">
        <v>25.71</v>
      </c>
    </row>
    <row r="9271" spans="2:5">
      <c r="B9271" s="17">
        <v>41832</v>
      </c>
      <c r="D9271" t="s">
        <v>423</v>
      </c>
      <c r="E9271">
        <v>2177.5839999999994</v>
      </c>
    </row>
    <row r="9272" spans="2:5">
      <c r="B9272" s="17">
        <v>41832</v>
      </c>
      <c r="D9272" t="s">
        <v>423</v>
      </c>
      <c r="E9272">
        <v>17.496000000000002</v>
      </c>
    </row>
    <row r="9273" spans="2:5">
      <c r="B9273" s="17">
        <v>41832</v>
      </c>
      <c r="D9273" t="s">
        <v>423</v>
      </c>
      <c r="E9273">
        <v>16.783999999999995</v>
      </c>
    </row>
    <row r="9274" spans="2:5">
      <c r="B9274" s="17">
        <v>41832</v>
      </c>
      <c r="D9274" t="s">
        <v>423</v>
      </c>
      <c r="E9274">
        <v>431.13600000000002</v>
      </c>
    </row>
    <row r="9275" spans="2:5">
      <c r="B9275" s="17">
        <v>41832</v>
      </c>
      <c r="D9275" t="s">
        <v>423</v>
      </c>
      <c r="E9275">
        <v>8.879999999999999</v>
      </c>
    </row>
    <row r="9276" spans="2:5">
      <c r="B9276" s="17">
        <v>41832</v>
      </c>
      <c r="D9276" t="s">
        <v>423</v>
      </c>
      <c r="E9276">
        <v>4.8359999999999985</v>
      </c>
    </row>
    <row r="9277" spans="2:5">
      <c r="B9277" s="17">
        <v>41831</v>
      </c>
      <c r="D9277" t="s">
        <v>423</v>
      </c>
      <c r="E9277">
        <v>53.72</v>
      </c>
    </row>
    <row r="9278" spans="2:5">
      <c r="B9278" s="17">
        <v>41831</v>
      </c>
      <c r="D9278" t="s">
        <v>423</v>
      </c>
      <c r="E9278">
        <v>8187.65</v>
      </c>
    </row>
    <row r="9279" spans="2:5">
      <c r="B9279" s="17">
        <v>41831</v>
      </c>
      <c r="D9279" t="s">
        <v>423</v>
      </c>
      <c r="E9279">
        <v>77.92</v>
      </c>
    </row>
    <row r="9280" spans="2:5">
      <c r="B9280" s="17">
        <v>41831</v>
      </c>
      <c r="D9280" t="s">
        <v>423</v>
      </c>
      <c r="E9280">
        <v>6.48</v>
      </c>
    </row>
    <row r="9281" spans="2:5">
      <c r="B9281" s="17">
        <v>41831</v>
      </c>
      <c r="D9281" t="s">
        <v>423</v>
      </c>
      <c r="E9281">
        <v>15.52</v>
      </c>
    </row>
    <row r="9282" spans="2:5">
      <c r="B9282" s="17">
        <v>41831</v>
      </c>
      <c r="D9282" t="s">
        <v>1255</v>
      </c>
      <c r="E9282">
        <v>8.1600000000000019</v>
      </c>
    </row>
    <row r="9283" spans="2:5">
      <c r="B9283" s="17">
        <v>41831</v>
      </c>
      <c r="D9283" t="s">
        <v>1255</v>
      </c>
      <c r="E9283">
        <v>1023.9360000000001</v>
      </c>
    </row>
    <row r="9284" spans="2:5">
      <c r="B9284" s="17">
        <v>41831</v>
      </c>
      <c r="D9284" t="s">
        <v>1255</v>
      </c>
      <c r="E9284">
        <v>9.24</v>
      </c>
    </row>
    <row r="9285" spans="2:5">
      <c r="B9285" s="17">
        <v>41831</v>
      </c>
      <c r="D9285" t="s">
        <v>1255</v>
      </c>
      <c r="E9285">
        <v>479.04</v>
      </c>
    </row>
    <row r="9286" spans="2:5">
      <c r="B9286" s="17">
        <v>41831</v>
      </c>
      <c r="D9286" t="s">
        <v>1255</v>
      </c>
      <c r="E9286">
        <v>99.98</v>
      </c>
    </row>
    <row r="9287" spans="2:5">
      <c r="B9287" s="17">
        <v>41829</v>
      </c>
      <c r="D9287" t="s">
        <v>94</v>
      </c>
      <c r="E9287">
        <v>604.75199999999995</v>
      </c>
    </row>
    <row r="9288" spans="2:5">
      <c r="B9288" s="17">
        <v>41829</v>
      </c>
      <c r="D9288" t="s">
        <v>94</v>
      </c>
      <c r="E9288">
        <v>40.700000000000003</v>
      </c>
    </row>
    <row r="9289" spans="2:5">
      <c r="B9289" s="17">
        <v>41829</v>
      </c>
      <c r="D9289" t="s">
        <v>94</v>
      </c>
      <c r="E9289">
        <v>45</v>
      </c>
    </row>
    <row r="9290" spans="2:5">
      <c r="B9290" s="17">
        <v>41829</v>
      </c>
      <c r="D9290" t="s">
        <v>1798</v>
      </c>
      <c r="E9290">
        <v>5.96</v>
      </c>
    </row>
    <row r="9291" spans="2:5">
      <c r="B9291" s="17">
        <v>41829</v>
      </c>
      <c r="D9291" t="s">
        <v>1798</v>
      </c>
      <c r="E9291">
        <v>159.97999999999999</v>
      </c>
    </row>
    <row r="9292" spans="2:5">
      <c r="B9292" s="17">
        <v>41829</v>
      </c>
      <c r="D9292" t="s">
        <v>386</v>
      </c>
      <c r="E9292">
        <v>11.52</v>
      </c>
    </row>
    <row r="9293" spans="2:5">
      <c r="B9293" s="17">
        <v>41829</v>
      </c>
      <c r="D9293" t="s">
        <v>386</v>
      </c>
      <c r="E9293">
        <v>717.72</v>
      </c>
    </row>
    <row r="9294" spans="2:5">
      <c r="B9294" s="17">
        <v>41829</v>
      </c>
      <c r="D9294" t="s">
        <v>386</v>
      </c>
      <c r="E9294">
        <v>170.35200000000003</v>
      </c>
    </row>
    <row r="9295" spans="2:5">
      <c r="B9295" s="17">
        <v>41829</v>
      </c>
      <c r="D9295" t="s">
        <v>386</v>
      </c>
      <c r="E9295">
        <v>19.68</v>
      </c>
    </row>
    <row r="9296" spans="2:5">
      <c r="B9296" s="17">
        <v>41828</v>
      </c>
      <c r="D9296" t="s">
        <v>386</v>
      </c>
      <c r="E9296">
        <v>26.632000000000001</v>
      </c>
    </row>
    <row r="9297" spans="2:5">
      <c r="B9297" s="17">
        <v>41828</v>
      </c>
      <c r="D9297" t="s">
        <v>386</v>
      </c>
      <c r="E9297">
        <v>99.2</v>
      </c>
    </row>
    <row r="9298" spans="2:5">
      <c r="B9298" s="17">
        <v>41828</v>
      </c>
      <c r="D9298" t="s">
        <v>1439</v>
      </c>
      <c r="E9298">
        <v>801.5680000000001</v>
      </c>
    </row>
    <row r="9299" spans="2:5">
      <c r="B9299" s="17">
        <v>41827</v>
      </c>
      <c r="D9299" t="s">
        <v>1850</v>
      </c>
      <c r="E9299">
        <v>4.9919999999999991</v>
      </c>
    </row>
    <row r="9300" spans="2:5">
      <c r="B9300" s="17">
        <v>41827</v>
      </c>
      <c r="D9300" t="s">
        <v>236</v>
      </c>
      <c r="E9300">
        <v>87.92</v>
      </c>
    </row>
    <row r="9301" spans="2:5">
      <c r="B9301" s="17">
        <v>41826</v>
      </c>
      <c r="D9301" t="s">
        <v>236</v>
      </c>
      <c r="E9301">
        <v>657.93</v>
      </c>
    </row>
    <row r="9302" spans="2:5">
      <c r="B9302" s="17">
        <v>41826</v>
      </c>
      <c r="D9302" t="s">
        <v>236</v>
      </c>
      <c r="E9302">
        <v>1.0439999999999998</v>
      </c>
    </row>
    <row r="9303" spans="2:5">
      <c r="B9303" s="17">
        <v>41825</v>
      </c>
      <c r="D9303" t="s">
        <v>236</v>
      </c>
      <c r="E9303">
        <v>35.979999999999997</v>
      </c>
    </row>
    <row r="9304" spans="2:5">
      <c r="B9304" s="17">
        <v>41825</v>
      </c>
      <c r="D9304" t="s">
        <v>236</v>
      </c>
      <c r="E9304">
        <v>16.739999999999998</v>
      </c>
    </row>
    <row r="9305" spans="2:5">
      <c r="B9305" s="17">
        <v>41825</v>
      </c>
      <c r="D9305" t="s">
        <v>65</v>
      </c>
      <c r="E9305">
        <v>981.37199999999996</v>
      </c>
    </row>
    <row r="9306" spans="2:5">
      <c r="B9306" s="17">
        <v>41825</v>
      </c>
      <c r="D9306" t="s">
        <v>65</v>
      </c>
      <c r="E9306">
        <v>25.983999999999998</v>
      </c>
    </row>
    <row r="9307" spans="2:5">
      <c r="B9307" s="17">
        <v>41825</v>
      </c>
      <c r="D9307" t="s">
        <v>65</v>
      </c>
      <c r="E9307">
        <v>27.360000000000003</v>
      </c>
    </row>
    <row r="9308" spans="2:5">
      <c r="B9308" s="17">
        <v>41825</v>
      </c>
      <c r="D9308" t="s">
        <v>65</v>
      </c>
      <c r="E9308">
        <v>104.85</v>
      </c>
    </row>
    <row r="9309" spans="2:5">
      <c r="B9309" s="17">
        <v>41825</v>
      </c>
      <c r="D9309" t="s">
        <v>65</v>
      </c>
      <c r="E9309">
        <v>8.7040000000000006</v>
      </c>
    </row>
    <row r="9310" spans="2:5">
      <c r="B9310" s="17">
        <v>41825</v>
      </c>
      <c r="D9310" t="s">
        <v>1046</v>
      </c>
      <c r="E9310">
        <v>19.920000000000002</v>
      </c>
    </row>
    <row r="9311" spans="2:5">
      <c r="B9311" s="17">
        <v>41825</v>
      </c>
      <c r="D9311" t="s">
        <v>1046</v>
      </c>
      <c r="E9311">
        <v>43.019999999999996</v>
      </c>
    </row>
    <row r="9312" spans="2:5">
      <c r="B9312" s="17">
        <v>41825</v>
      </c>
      <c r="D9312" t="s">
        <v>1046</v>
      </c>
      <c r="E9312">
        <v>89.712000000000018</v>
      </c>
    </row>
    <row r="9313" spans="2:5">
      <c r="B9313" s="17">
        <v>41824</v>
      </c>
      <c r="D9313" t="s">
        <v>1046</v>
      </c>
      <c r="E9313">
        <v>22.830000000000002</v>
      </c>
    </row>
    <row r="9314" spans="2:5">
      <c r="B9314" s="17">
        <v>41824</v>
      </c>
      <c r="D9314" t="s">
        <v>1046</v>
      </c>
      <c r="E9314">
        <v>41.94</v>
      </c>
    </row>
    <row r="9315" spans="2:5">
      <c r="B9315" s="17">
        <v>41824</v>
      </c>
      <c r="D9315" t="s">
        <v>1046</v>
      </c>
      <c r="E9315">
        <v>11.96</v>
      </c>
    </row>
    <row r="9316" spans="2:5">
      <c r="B9316" s="17">
        <v>41824</v>
      </c>
      <c r="D9316" t="s">
        <v>1046</v>
      </c>
      <c r="E9316">
        <v>13.12</v>
      </c>
    </row>
    <row r="9317" spans="2:5">
      <c r="B9317" s="17">
        <v>41822</v>
      </c>
      <c r="D9317" t="s">
        <v>873</v>
      </c>
      <c r="E9317">
        <v>535.41</v>
      </c>
    </row>
    <row r="9318" spans="2:5">
      <c r="B9318" s="17">
        <v>41822</v>
      </c>
      <c r="D9318" t="s">
        <v>873</v>
      </c>
      <c r="E9318">
        <v>359.98</v>
      </c>
    </row>
    <row r="9319" spans="2:5">
      <c r="B9319" s="17">
        <v>41821</v>
      </c>
      <c r="D9319" t="s">
        <v>873</v>
      </c>
      <c r="E9319">
        <v>70.559999999999988</v>
      </c>
    </row>
    <row r="9320" spans="2:5">
      <c r="B9320" s="17">
        <v>41821</v>
      </c>
      <c r="D9320" t="s">
        <v>285</v>
      </c>
      <c r="E9320">
        <v>20.88</v>
      </c>
    </row>
    <row r="9321" spans="2:5">
      <c r="B9321" s="17">
        <v>41821</v>
      </c>
      <c r="D9321" t="s">
        <v>285</v>
      </c>
      <c r="E9321">
        <v>3.81</v>
      </c>
    </row>
    <row r="9322" spans="2:5">
      <c r="B9322" s="17">
        <v>41820</v>
      </c>
      <c r="D9322" t="s">
        <v>285</v>
      </c>
      <c r="E9322">
        <v>6.0960000000000001</v>
      </c>
    </row>
    <row r="9323" spans="2:5">
      <c r="B9323" s="17">
        <v>41820</v>
      </c>
      <c r="D9323" t="s">
        <v>285</v>
      </c>
      <c r="E9323">
        <v>13.904</v>
      </c>
    </row>
    <row r="9324" spans="2:5">
      <c r="B9324" s="17">
        <v>41820</v>
      </c>
      <c r="D9324" t="s">
        <v>285</v>
      </c>
      <c r="E9324">
        <v>2.9699999999999998</v>
      </c>
    </row>
    <row r="9325" spans="2:5">
      <c r="B9325" s="17">
        <v>41820</v>
      </c>
      <c r="D9325" t="s">
        <v>285</v>
      </c>
      <c r="E9325">
        <v>6.5400000000000009</v>
      </c>
    </row>
    <row r="9326" spans="2:5">
      <c r="B9326" s="17">
        <v>41820</v>
      </c>
      <c r="D9326" t="s">
        <v>1004</v>
      </c>
      <c r="E9326">
        <v>29.931999999999992</v>
      </c>
    </row>
    <row r="9327" spans="2:5">
      <c r="B9327" s="17">
        <v>41820</v>
      </c>
      <c r="D9327" t="s">
        <v>1004</v>
      </c>
      <c r="E9327">
        <v>38.272000000000006</v>
      </c>
    </row>
    <row r="9328" spans="2:5">
      <c r="B9328" s="17">
        <v>41820</v>
      </c>
      <c r="D9328" t="s">
        <v>1004</v>
      </c>
      <c r="E9328">
        <v>55.92</v>
      </c>
    </row>
    <row r="9329" spans="2:5">
      <c r="B9329" s="17">
        <v>41820</v>
      </c>
      <c r="D9329" t="s">
        <v>1004</v>
      </c>
      <c r="E9329">
        <v>13.493999999999998</v>
      </c>
    </row>
    <row r="9330" spans="2:5">
      <c r="B9330" s="17">
        <v>41819</v>
      </c>
      <c r="D9330" t="s">
        <v>1004</v>
      </c>
      <c r="E9330">
        <v>23.987999999999996</v>
      </c>
    </row>
    <row r="9331" spans="2:5">
      <c r="B9331" s="17">
        <v>41819</v>
      </c>
      <c r="D9331" t="s">
        <v>1004</v>
      </c>
      <c r="E9331">
        <v>31.983999999999998</v>
      </c>
    </row>
    <row r="9332" spans="2:5">
      <c r="B9332" s="17">
        <v>41818</v>
      </c>
      <c r="D9332" t="s">
        <v>1004</v>
      </c>
      <c r="E9332">
        <v>41.584000000000003</v>
      </c>
    </row>
    <row r="9333" spans="2:5">
      <c r="B9333" s="17">
        <v>41818</v>
      </c>
      <c r="D9333" t="s">
        <v>1004</v>
      </c>
      <c r="E9333">
        <v>39.479999999999997</v>
      </c>
    </row>
    <row r="9334" spans="2:5">
      <c r="B9334" s="17">
        <v>41818</v>
      </c>
      <c r="D9334" t="s">
        <v>1004</v>
      </c>
      <c r="E9334">
        <v>17.940000000000001</v>
      </c>
    </row>
    <row r="9335" spans="2:5">
      <c r="B9335" s="17">
        <v>41818</v>
      </c>
      <c r="D9335" t="s">
        <v>121</v>
      </c>
      <c r="E9335">
        <v>351.21600000000001</v>
      </c>
    </row>
    <row r="9336" spans="2:5">
      <c r="B9336" s="17">
        <v>41818</v>
      </c>
      <c r="D9336" t="s">
        <v>121</v>
      </c>
      <c r="E9336">
        <v>7.7120000000000006</v>
      </c>
    </row>
    <row r="9337" spans="2:5">
      <c r="B9337" s="17">
        <v>41818</v>
      </c>
      <c r="D9337" t="s">
        <v>121</v>
      </c>
      <c r="E9337">
        <v>698.35200000000009</v>
      </c>
    </row>
    <row r="9338" spans="2:5">
      <c r="B9338" s="17">
        <v>41817</v>
      </c>
      <c r="D9338" t="s">
        <v>121</v>
      </c>
      <c r="E9338">
        <v>123.136</v>
      </c>
    </row>
    <row r="9339" spans="2:5">
      <c r="B9339" s="17">
        <v>41817</v>
      </c>
      <c r="D9339" t="s">
        <v>121</v>
      </c>
      <c r="E9339">
        <v>11.264000000000001</v>
      </c>
    </row>
    <row r="9340" spans="2:5">
      <c r="B9340" s="17">
        <v>41817</v>
      </c>
      <c r="D9340" t="s">
        <v>121</v>
      </c>
      <c r="E9340">
        <v>35.856000000000002</v>
      </c>
    </row>
    <row r="9341" spans="2:5">
      <c r="B9341" s="17">
        <v>41815</v>
      </c>
      <c r="D9341" t="s">
        <v>121</v>
      </c>
      <c r="E9341">
        <v>23.840000000000003</v>
      </c>
    </row>
    <row r="9342" spans="2:5">
      <c r="B9342" s="17">
        <v>41815</v>
      </c>
      <c r="D9342" t="s">
        <v>121</v>
      </c>
      <c r="E9342">
        <v>512.35799999999995</v>
      </c>
    </row>
    <row r="9343" spans="2:5">
      <c r="B9343" s="17">
        <v>41815</v>
      </c>
      <c r="D9343" t="s">
        <v>1092</v>
      </c>
      <c r="E9343">
        <v>3.4880000000000004</v>
      </c>
    </row>
    <row r="9344" spans="2:5">
      <c r="B9344" s="17">
        <v>41815</v>
      </c>
      <c r="D9344" t="s">
        <v>1092</v>
      </c>
      <c r="E9344">
        <v>22.288</v>
      </c>
    </row>
    <row r="9345" spans="2:5">
      <c r="B9345" s="17">
        <v>41814</v>
      </c>
      <c r="D9345" t="s">
        <v>1092</v>
      </c>
      <c r="E9345">
        <v>16.032</v>
      </c>
    </row>
    <row r="9346" spans="2:5">
      <c r="B9346" s="17">
        <v>41813</v>
      </c>
      <c r="D9346" t="s">
        <v>1092</v>
      </c>
      <c r="E9346">
        <v>177.2</v>
      </c>
    </row>
    <row r="9347" spans="2:5">
      <c r="B9347" s="17">
        <v>41813</v>
      </c>
      <c r="D9347" t="s">
        <v>1092</v>
      </c>
      <c r="E9347">
        <v>197.96999999999997</v>
      </c>
    </row>
    <row r="9348" spans="2:5">
      <c r="B9348" s="17">
        <v>41813</v>
      </c>
      <c r="D9348" t="s">
        <v>1221</v>
      </c>
      <c r="E9348">
        <v>854.94</v>
      </c>
    </row>
    <row r="9349" spans="2:5">
      <c r="B9349" s="17">
        <v>41812</v>
      </c>
      <c r="D9349" t="s">
        <v>1221</v>
      </c>
      <c r="E9349">
        <v>124.10999999999999</v>
      </c>
    </row>
    <row r="9350" spans="2:5">
      <c r="B9350" s="17">
        <v>41812</v>
      </c>
      <c r="D9350" t="s">
        <v>1221</v>
      </c>
      <c r="E9350">
        <v>14.399999999999999</v>
      </c>
    </row>
    <row r="9351" spans="2:5">
      <c r="B9351" s="17">
        <v>41812</v>
      </c>
      <c r="D9351" t="s">
        <v>1221</v>
      </c>
      <c r="E9351">
        <v>575.96800000000007</v>
      </c>
    </row>
    <row r="9352" spans="2:5">
      <c r="B9352" s="17">
        <v>41812</v>
      </c>
      <c r="D9352" t="s">
        <v>1221</v>
      </c>
      <c r="E9352">
        <v>10.368000000000002</v>
      </c>
    </row>
    <row r="9353" spans="2:5">
      <c r="B9353" s="17">
        <v>41812</v>
      </c>
      <c r="D9353" t="s">
        <v>238</v>
      </c>
      <c r="E9353">
        <v>49.12</v>
      </c>
    </row>
    <row r="9354" spans="2:5">
      <c r="B9354" s="17">
        <v>41812</v>
      </c>
      <c r="D9354" t="s">
        <v>238</v>
      </c>
      <c r="E9354">
        <v>18.28</v>
      </c>
    </row>
    <row r="9355" spans="2:5">
      <c r="B9355" s="17">
        <v>41812</v>
      </c>
      <c r="D9355" t="s">
        <v>238</v>
      </c>
      <c r="E9355">
        <v>164.85000000000002</v>
      </c>
    </row>
    <row r="9356" spans="2:5">
      <c r="B9356" s="17">
        <v>41811</v>
      </c>
      <c r="D9356" t="s">
        <v>238</v>
      </c>
      <c r="E9356">
        <v>10.368000000000002</v>
      </c>
    </row>
    <row r="9357" spans="2:5">
      <c r="B9357" s="17">
        <v>41811</v>
      </c>
      <c r="D9357" t="s">
        <v>447</v>
      </c>
      <c r="E9357">
        <v>14.352000000000002</v>
      </c>
    </row>
    <row r="9358" spans="2:5">
      <c r="B9358" s="17">
        <v>41811</v>
      </c>
      <c r="D9358" t="s">
        <v>447</v>
      </c>
      <c r="E9358">
        <v>2.88</v>
      </c>
    </row>
    <row r="9359" spans="2:5">
      <c r="B9359" s="17">
        <v>41811</v>
      </c>
      <c r="D9359" t="s">
        <v>447</v>
      </c>
      <c r="E9359">
        <v>41.904000000000003</v>
      </c>
    </row>
    <row r="9360" spans="2:5">
      <c r="B9360" s="17">
        <v>41811</v>
      </c>
      <c r="D9360" t="s">
        <v>447</v>
      </c>
      <c r="E9360">
        <v>23.92</v>
      </c>
    </row>
    <row r="9361" spans="2:5">
      <c r="B9361" s="17">
        <v>41811</v>
      </c>
      <c r="D9361" t="s">
        <v>447</v>
      </c>
      <c r="E9361">
        <v>14.303999999999998</v>
      </c>
    </row>
    <row r="9362" spans="2:5">
      <c r="B9362" s="17">
        <v>41811</v>
      </c>
      <c r="D9362" t="s">
        <v>947</v>
      </c>
      <c r="E9362">
        <v>119.83299999999998</v>
      </c>
    </row>
    <row r="9363" spans="2:5">
      <c r="B9363" s="17">
        <v>41811</v>
      </c>
      <c r="D9363" t="s">
        <v>947</v>
      </c>
      <c r="E9363">
        <v>5.56</v>
      </c>
    </row>
    <row r="9364" spans="2:5">
      <c r="B9364" s="17">
        <v>41811</v>
      </c>
      <c r="D9364" t="s">
        <v>947</v>
      </c>
      <c r="E9364">
        <v>32.400000000000006</v>
      </c>
    </row>
    <row r="9365" spans="2:5">
      <c r="B9365" s="17">
        <v>41811</v>
      </c>
      <c r="D9365" t="s">
        <v>947</v>
      </c>
      <c r="E9365">
        <v>63.882000000000005</v>
      </c>
    </row>
    <row r="9366" spans="2:5">
      <c r="B9366" s="17">
        <v>41811</v>
      </c>
      <c r="D9366" t="s">
        <v>947</v>
      </c>
      <c r="E9366">
        <v>502.48800000000006</v>
      </c>
    </row>
    <row r="9367" spans="2:5">
      <c r="B9367" s="17">
        <v>41811</v>
      </c>
      <c r="D9367" t="s">
        <v>514</v>
      </c>
      <c r="E9367">
        <v>196.70400000000001</v>
      </c>
    </row>
    <row r="9368" spans="2:5">
      <c r="B9368" s="17">
        <v>41811</v>
      </c>
      <c r="D9368" t="s">
        <v>514</v>
      </c>
      <c r="E9368">
        <v>172.18599999999998</v>
      </c>
    </row>
    <row r="9369" spans="2:5">
      <c r="B9369" s="17">
        <v>41811</v>
      </c>
      <c r="D9369" t="s">
        <v>514</v>
      </c>
      <c r="E9369">
        <v>69.00800000000001</v>
      </c>
    </row>
    <row r="9370" spans="2:5">
      <c r="B9370" s="17">
        <v>41811</v>
      </c>
      <c r="D9370" t="s">
        <v>514</v>
      </c>
      <c r="E9370">
        <v>559.99200000000008</v>
      </c>
    </row>
    <row r="9371" spans="2:5">
      <c r="B9371" s="17">
        <v>41811</v>
      </c>
      <c r="D9371" t="s">
        <v>514</v>
      </c>
      <c r="E9371">
        <v>478.48</v>
      </c>
    </row>
    <row r="9372" spans="2:5">
      <c r="B9372" s="17">
        <v>41811</v>
      </c>
      <c r="D9372" t="s">
        <v>514</v>
      </c>
      <c r="E9372">
        <v>479.97</v>
      </c>
    </row>
    <row r="9373" spans="2:5">
      <c r="B9373" s="17">
        <v>41811</v>
      </c>
      <c r="D9373" t="s">
        <v>514</v>
      </c>
      <c r="E9373">
        <v>14.62</v>
      </c>
    </row>
    <row r="9374" spans="2:5">
      <c r="B9374" s="17">
        <v>41810</v>
      </c>
      <c r="D9374" t="s">
        <v>514</v>
      </c>
      <c r="E9374">
        <v>19.440000000000001</v>
      </c>
    </row>
    <row r="9375" spans="2:5">
      <c r="B9375" s="17">
        <v>41810</v>
      </c>
      <c r="D9375" t="s">
        <v>199</v>
      </c>
      <c r="E9375">
        <v>180.96000000000004</v>
      </c>
    </row>
    <row r="9376" spans="2:5">
      <c r="B9376" s="17">
        <v>41810</v>
      </c>
      <c r="D9376" t="s">
        <v>199</v>
      </c>
      <c r="E9376">
        <v>4.3680000000000003</v>
      </c>
    </row>
    <row r="9377" spans="2:5">
      <c r="B9377" s="17">
        <v>41810</v>
      </c>
      <c r="D9377" t="s">
        <v>199</v>
      </c>
      <c r="E9377">
        <v>19.52</v>
      </c>
    </row>
    <row r="9378" spans="2:5">
      <c r="B9378" s="17">
        <v>41810</v>
      </c>
      <c r="D9378" t="s">
        <v>199</v>
      </c>
      <c r="E9378">
        <v>9.8100000000000023</v>
      </c>
    </row>
    <row r="9379" spans="2:5">
      <c r="B9379" s="17">
        <v>41810</v>
      </c>
      <c r="D9379" t="s">
        <v>199</v>
      </c>
      <c r="E9379">
        <v>177.536</v>
      </c>
    </row>
    <row r="9380" spans="2:5">
      <c r="B9380" s="17">
        <v>41810</v>
      </c>
      <c r="D9380" t="s">
        <v>688</v>
      </c>
      <c r="E9380">
        <v>32.432000000000002</v>
      </c>
    </row>
    <row r="9381" spans="2:5">
      <c r="B9381" s="17">
        <v>41810</v>
      </c>
      <c r="D9381" t="s">
        <v>688</v>
      </c>
      <c r="E9381">
        <v>21.84</v>
      </c>
    </row>
    <row r="9382" spans="2:5">
      <c r="B9382" s="17">
        <v>41810</v>
      </c>
      <c r="D9382" t="s">
        <v>688</v>
      </c>
      <c r="E9382">
        <v>15.600000000000001</v>
      </c>
    </row>
    <row r="9383" spans="2:5">
      <c r="B9383" s="17">
        <v>41808</v>
      </c>
      <c r="D9383" t="s">
        <v>688</v>
      </c>
      <c r="E9383">
        <v>73.98</v>
      </c>
    </row>
    <row r="9384" spans="2:5">
      <c r="B9384" s="17">
        <v>41807</v>
      </c>
      <c r="D9384" t="s">
        <v>688</v>
      </c>
      <c r="E9384">
        <v>5.58</v>
      </c>
    </row>
    <row r="9385" spans="2:5">
      <c r="B9385" s="17">
        <v>41807</v>
      </c>
      <c r="D9385" t="s">
        <v>1896</v>
      </c>
      <c r="E9385">
        <v>19.920000000000002</v>
      </c>
    </row>
    <row r="9386" spans="2:5">
      <c r="B9386" s="17">
        <v>41807</v>
      </c>
      <c r="D9386" t="s">
        <v>613</v>
      </c>
      <c r="E9386">
        <v>575.91999999999996</v>
      </c>
    </row>
    <row r="9387" spans="2:5">
      <c r="B9387" s="17">
        <v>41807</v>
      </c>
      <c r="D9387" t="s">
        <v>613</v>
      </c>
      <c r="E9387">
        <v>5.1840000000000011</v>
      </c>
    </row>
    <row r="9388" spans="2:5">
      <c r="B9388" s="17">
        <v>41807</v>
      </c>
      <c r="D9388" t="s">
        <v>613</v>
      </c>
      <c r="E9388">
        <v>5.2480000000000002</v>
      </c>
    </row>
    <row r="9389" spans="2:5">
      <c r="B9389" s="17">
        <v>41806</v>
      </c>
      <c r="D9389" t="s">
        <v>613</v>
      </c>
      <c r="E9389">
        <v>32.400000000000006</v>
      </c>
    </row>
    <row r="9390" spans="2:5">
      <c r="B9390" s="17">
        <v>41806</v>
      </c>
      <c r="D9390" t="s">
        <v>613</v>
      </c>
      <c r="E9390">
        <v>25.920000000000005</v>
      </c>
    </row>
    <row r="9391" spans="2:5">
      <c r="B9391" s="17">
        <v>41806</v>
      </c>
      <c r="D9391" t="s">
        <v>613</v>
      </c>
      <c r="E9391">
        <v>21.312000000000005</v>
      </c>
    </row>
    <row r="9392" spans="2:5">
      <c r="B9392" s="17">
        <v>41806</v>
      </c>
      <c r="D9392" t="s">
        <v>613</v>
      </c>
      <c r="E9392">
        <v>2.6880000000000002</v>
      </c>
    </row>
    <row r="9393" spans="2:5">
      <c r="B9393" s="17">
        <v>41805</v>
      </c>
      <c r="D9393" t="s">
        <v>613</v>
      </c>
      <c r="E9393">
        <v>6.6000000000000005</v>
      </c>
    </row>
    <row r="9394" spans="2:5">
      <c r="B9394" s="17">
        <v>41805</v>
      </c>
      <c r="D9394" t="s">
        <v>153</v>
      </c>
      <c r="E9394">
        <v>32.76</v>
      </c>
    </row>
    <row r="9395" spans="2:5">
      <c r="B9395" s="17">
        <v>41805</v>
      </c>
      <c r="D9395" t="s">
        <v>153</v>
      </c>
      <c r="E9395">
        <v>13.919999999999998</v>
      </c>
    </row>
    <row r="9396" spans="2:5">
      <c r="B9396" s="17">
        <v>41805</v>
      </c>
      <c r="D9396" t="s">
        <v>153</v>
      </c>
      <c r="E9396">
        <v>41.472000000000008</v>
      </c>
    </row>
    <row r="9397" spans="2:5">
      <c r="B9397" s="17">
        <v>41804</v>
      </c>
      <c r="D9397" t="s">
        <v>153</v>
      </c>
      <c r="E9397">
        <v>3.168000000000001</v>
      </c>
    </row>
    <row r="9398" spans="2:5">
      <c r="B9398" s="17">
        <v>41803</v>
      </c>
      <c r="D9398" t="s">
        <v>153</v>
      </c>
      <c r="E9398">
        <v>1228.4649999999999</v>
      </c>
    </row>
    <row r="9399" spans="2:5">
      <c r="B9399" s="17">
        <v>41800</v>
      </c>
      <c r="D9399" t="s">
        <v>1756</v>
      </c>
      <c r="E9399">
        <v>31.086000000000006</v>
      </c>
    </row>
    <row r="9400" spans="2:5">
      <c r="B9400" s="17">
        <v>41799</v>
      </c>
      <c r="D9400" t="s">
        <v>1756</v>
      </c>
      <c r="E9400">
        <v>6.08</v>
      </c>
    </row>
    <row r="9401" spans="2:5">
      <c r="B9401" s="17">
        <v>41799</v>
      </c>
      <c r="D9401" t="s">
        <v>1515</v>
      </c>
      <c r="E9401">
        <v>85.98</v>
      </c>
    </row>
    <row r="9402" spans="2:5">
      <c r="B9402" s="17">
        <v>41799</v>
      </c>
      <c r="D9402" t="s">
        <v>1515</v>
      </c>
      <c r="E9402">
        <v>447.84</v>
      </c>
    </row>
    <row r="9403" spans="2:5">
      <c r="B9403" s="17">
        <v>41799</v>
      </c>
      <c r="D9403" t="s">
        <v>641</v>
      </c>
      <c r="E9403">
        <v>71.632000000000005</v>
      </c>
    </row>
    <row r="9404" spans="2:5">
      <c r="B9404" s="17">
        <v>41799</v>
      </c>
      <c r="D9404" t="s">
        <v>641</v>
      </c>
      <c r="E9404">
        <v>9.3280000000000012</v>
      </c>
    </row>
    <row r="9405" spans="2:5">
      <c r="B9405" s="17">
        <v>41799</v>
      </c>
      <c r="D9405" t="s">
        <v>641</v>
      </c>
      <c r="E9405">
        <v>4.2720000000000002</v>
      </c>
    </row>
    <row r="9406" spans="2:5">
      <c r="B9406" s="17">
        <v>41799</v>
      </c>
      <c r="D9406" t="s">
        <v>641</v>
      </c>
      <c r="E9406">
        <v>86.376000000000005</v>
      </c>
    </row>
    <row r="9407" spans="2:5">
      <c r="B9407" s="17">
        <v>41799</v>
      </c>
      <c r="D9407" t="s">
        <v>641</v>
      </c>
      <c r="E9407">
        <v>20.015999999999998</v>
      </c>
    </row>
    <row r="9408" spans="2:5">
      <c r="B9408" s="17">
        <v>41799</v>
      </c>
      <c r="D9408" t="s">
        <v>286</v>
      </c>
      <c r="E9408">
        <v>3.1040000000000001</v>
      </c>
    </row>
    <row r="9409" spans="2:5">
      <c r="B9409" s="17">
        <v>41799</v>
      </c>
      <c r="D9409" t="s">
        <v>286</v>
      </c>
      <c r="E9409">
        <v>196.75200000000001</v>
      </c>
    </row>
    <row r="9410" spans="2:5">
      <c r="B9410" s="17">
        <v>41799</v>
      </c>
      <c r="D9410" t="s">
        <v>286</v>
      </c>
      <c r="E9410">
        <v>501.81000000000006</v>
      </c>
    </row>
    <row r="9411" spans="2:5">
      <c r="B9411" s="17">
        <v>41799</v>
      </c>
      <c r="D9411" t="s">
        <v>286</v>
      </c>
      <c r="E9411">
        <v>161.94</v>
      </c>
    </row>
    <row r="9412" spans="2:5">
      <c r="B9412" s="17">
        <v>41799</v>
      </c>
      <c r="D9412" t="s">
        <v>863</v>
      </c>
      <c r="E9412">
        <v>170.05799999999999</v>
      </c>
    </row>
    <row r="9413" spans="2:5">
      <c r="B9413" s="17">
        <v>41799</v>
      </c>
      <c r="D9413" t="s">
        <v>863</v>
      </c>
      <c r="E9413">
        <v>82.782000000000011</v>
      </c>
    </row>
    <row r="9414" spans="2:5">
      <c r="B9414" s="17">
        <v>41799</v>
      </c>
      <c r="D9414" t="s">
        <v>863</v>
      </c>
      <c r="E9414">
        <v>853.92999999999984</v>
      </c>
    </row>
    <row r="9415" spans="2:5">
      <c r="B9415" s="17">
        <v>41799</v>
      </c>
      <c r="D9415" t="s">
        <v>863</v>
      </c>
      <c r="E9415">
        <v>8.2260000000000009</v>
      </c>
    </row>
    <row r="9416" spans="2:5">
      <c r="B9416" s="17">
        <v>41798</v>
      </c>
      <c r="D9416" t="s">
        <v>863</v>
      </c>
      <c r="E9416">
        <v>104.01</v>
      </c>
    </row>
    <row r="9417" spans="2:5">
      <c r="B9417" s="17">
        <v>41798</v>
      </c>
      <c r="D9417" t="s">
        <v>1895</v>
      </c>
      <c r="E9417">
        <v>36.839999999999996</v>
      </c>
    </row>
    <row r="9418" spans="2:5">
      <c r="B9418" s="17">
        <v>41798</v>
      </c>
      <c r="D9418" t="s">
        <v>668</v>
      </c>
      <c r="E9418">
        <v>1322.93</v>
      </c>
    </row>
    <row r="9419" spans="2:5">
      <c r="B9419" s="17">
        <v>41798</v>
      </c>
      <c r="D9419" t="s">
        <v>668</v>
      </c>
      <c r="E9419">
        <v>3.76</v>
      </c>
    </row>
    <row r="9420" spans="2:5">
      <c r="B9420" s="17">
        <v>41797</v>
      </c>
      <c r="D9420" t="s">
        <v>668</v>
      </c>
      <c r="E9420">
        <v>21.400000000000002</v>
      </c>
    </row>
    <row r="9421" spans="2:5">
      <c r="B9421" s="17">
        <v>41797</v>
      </c>
      <c r="D9421" t="s">
        <v>668</v>
      </c>
      <c r="E9421">
        <v>11.088000000000003</v>
      </c>
    </row>
    <row r="9422" spans="2:5">
      <c r="B9422" s="17">
        <v>41796</v>
      </c>
      <c r="D9422" t="s">
        <v>668</v>
      </c>
      <c r="E9422">
        <v>25.164000000000001</v>
      </c>
    </row>
    <row r="9423" spans="2:5">
      <c r="B9423" s="17">
        <v>41796</v>
      </c>
      <c r="D9423" t="s">
        <v>1274</v>
      </c>
      <c r="E9423">
        <v>24.896000000000001</v>
      </c>
    </row>
    <row r="9424" spans="2:5">
      <c r="B9424" s="17">
        <v>41796</v>
      </c>
      <c r="D9424" t="s">
        <v>1274</v>
      </c>
      <c r="E9424">
        <v>3.9840000000000004</v>
      </c>
    </row>
    <row r="9425" spans="2:5">
      <c r="B9425" s="17">
        <v>41796</v>
      </c>
      <c r="D9425" t="s">
        <v>1274</v>
      </c>
      <c r="E9425">
        <v>95.968000000000004</v>
      </c>
    </row>
    <row r="9426" spans="2:5">
      <c r="B9426" s="17">
        <v>41796</v>
      </c>
      <c r="D9426" t="s">
        <v>1661</v>
      </c>
      <c r="E9426">
        <v>44.416000000000004</v>
      </c>
    </row>
    <row r="9427" spans="2:5">
      <c r="B9427" s="17">
        <v>41796</v>
      </c>
      <c r="D9427" t="s">
        <v>1661</v>
      </c>
      <c r="E9427">
        <v>9.006000000000002</v>
      </c>
    </row>
    <row r="9428" spans="2:5">
      <c r="B9428" s="17">
        <v>41796</v>
      </c>
      <c r="D9428" t="s">
        <v>1661</v>
      </c>
      <c r="E9428">
        <v>19.649999999999999</v>
      </c>
    </row>
    <row r="9429" spans="2:5">
      <c r="B9429" s="17">
        <v>41796</v>
      </c>
      <c r="D9429" t="s">
        <v>1661</v>
      </c>
      <c r="E9429">
        <v>617.97</v>
      </c>
    </row>
    <row r="9430" spans="2:5">
      <c r="B9430" s="17">
        <v>41796</v>
      </c>
      <c r="D9430" t="s">
        <v>1667</v>
      </c>
      <c r="E9430">
        <v>59.699999999999996</v>
      </c>
    </row>
    <row r="9431" spans="2:5">
      <c r="B9431" s="17">
        <v>41794</v>
      </c>
      <c r="D9431" t="s">
        <v>1667</v>
      </c>
      <c r="E9431">
        <v>1214.8499999999999</v>
      </c>
    </row>
    <row r="9432" spans="2:5">
      <c r="B9432" s="17">
        <v>41794</v>
      </c>
      <c r="D9432" t="s">
        <v>767</v>
      </c>
      <c r="E9432">
        <v>3.3919999999999995</v>
      </c>
    </row>
    <row r="9433" spans="2:5">
      <c r="B9433" s="17">
        <v>41794</v>
      </c>
      <c r="D9433" t="s">
        <v>767</v>
      </c>
      <c r="E9433">
        <v>193.06559999999999</v>
      </c>
    </row>
    <row r="9434" spans="2:5">
      <c r="B9434" s="17">
        <v>41794</v>
      </c>
      <c r="D9434" t="s">
        <v>767</v>
      </c>
      <c r="E9434">
        <v>15.552000000000003</v>
      </c>
    </row>
    <row r="9435" spans="2:5">
      <c r="B9435" s="17">
        <v>41794</v>
      </c>
      <c r="D9435" t="s">
        <v>767</v>
      </c>
      <c r="E9435">
        <v>11.648000000000001</v>
      </c>
    </row>
    <row r="9436" spans="2:5">
      <c r="B9436" s="17">
        <v>41793</v>
      </c>
      <c r="D9436" t="s">
        <v>767</v>
      </c>
      <c r="E9436">
        <v>418.8</v>
      </c>
    </row>
    <row r="9437" spans="2:5">
      <c r="B9437" s="17">
        <v>41793</v>
      </c>
      <c r="D9437" t="s">
        <v>90</v>
      </c>
      <c r="E9437">
        <v>509.48800000000006</v>
      </c>
    </row>
    <row r="9438" spans="2:5">
      <c r="B9438" s="17">
        <v>41793</v>
      </c>
      <c r="D9438" t="s">
        <v>90</v>
      </c>
      <c r="E9438">
        <v>471.90000000000003</v>
      </c>
    </row>
    <row r="9439" spans="2:5">
      <c r="B9439" s="17">
        <v>41793</v>
      </c>
      <c r="D9439" t="s">
        <v>90</v>
      </c>
      <c r="E9439">
        <v>3.52</v>
      </c>
    </row>
    <row r="9440" spans="2:5">
      <c r="B9440" s="17">
        <v>41793</v>
      </c>
      <c r="D9440" t="s">
        <v>90</v>
      </c>
      <c r="E9440">
        <v>139.80000000000001</v>
      </c>
    </row>
    <row r="9441" spans="2:5">
      <c r="B9441" s="17">
        <v>41792</v>
      </c>
      <c r="D9441" t="s">
        <v>90</v>
      </c>
      <c r="E9441">
        <v>65.97</v>
      </c>
    </row>
    <row r="9442" spans="2:5">
      <c r="B9442" s="17">
        <v>41792</v>
      </c>
      <c r="D9442" t="s">
        <v>90</v>
      </c>
      <c r="E9442">
        <v>6.24</v>
      </c>
    </row>
    <row r="9443" spans="2:5">
      <c r="B9443" s="17">
        <v>41792</v>
      </c>
      <c r="D9443" t="s">
        <v>90</v>
      </c>
      <c r="E9443">
        <v>17.899999999999999</v>
      </c>
    </row>
    <row r="9444" spans="2:5">
      <c r="B9444" s="17">
        <v>41792</v>
      </c>
      <c r="D9444" t="s">
        <v>90</v>
      </c>
      <c r="E9444">
        <v>3266.3760000000002</v>
      </c>
    </row>
    <row r="9445" spans="2:5">
      <c r="B9445" s="17">
        <v>41792</v>
      </c>
      <c r="D9445" t="s">
        <v>1801</v>
      </c>
      <c r="E9445">
        <v>62.015999999999998</v>
      </c>
    </row>
    <row r="9446" spans="2:5">
      <c r="B9446" s="17">
        <v>41791</v>
      </c>
      <c r="D9446" t="s">
        <v>1424</v>
      </c>
      <c r="E9446">
        <v>647.84</v>
      </c>
    </row>
    <row r="9447" spans="2:5">
      <c r="B9447" s="17">
        <v>41791</v>
      </c>
      <c r="D9447" t="s">
        <v>1424</v>
      </c>
      <c r="E9447">
        <v>41.4</v>
      </c>
    </row>
    <row r="9448" spans="2:5">
      <c r="B9448" s="17">
        <v>41791</v>
      </c>
      <c r="D9448" t="s">
        <v>1424</v>
      </c>
      <c r="E9448">
        <v>35</v>
      </c>
    </row>
    <row r="9449" spans="2:5">
      <c r="B9449" s="17">
        <v>41791</v>
      </c>
      <c r="D9449" t="s">
        <v>1424</v>
      </c>
      <c r="E9449">
        <v>39.552000000000007</v>
      </c>
    </row>
    <row r="9450" spans="2:5">
      <c r="B9450" s="17">
        <v>41791</v>
      </c>
      <c r="D9450" t="s">
        <v>1424</v>
      </c>
      <c r="E9450">
        <v>99.918000000000006</v>
      </c>
    </row>
    <row r="9451" spans="2:5">
      <c r="B9451" s="17">
        <v>41791</v>
      </c>
      <c r="D9451" t="s">
        <v>172</v>
      </c>
      <c r="E9451">
        <v>797.94399999999996</v>
      </c>
    </row>
    <row r="9452" spans="2:5">
      <c r="B9452" s="17">
        <v>41791</v>
      </c>
      <c r="D9452" t="s">
        <v>172</v>
      </c>
      <c r="E9452">
        <v>8.5679999999999978</v>
      </c>
    </row>
    <row r="9453" spans="2:5">
      <c r="B9453" s="17">
        <v>41791</v>
      </c>
      <c r="D9453" t="s">
        <v>172</v>
      </c>
      <c r="E9453">
        <v>36.544000000000004</v>
      </c>
    </row>
    <row r="9454" spans="2:5">
      <c r="B9454" s="17">
        <v>41791</v>
      </c>
      <c r="D9454" t="s">
        <v>172</v>
      </c>
      <c r="E9454">
        <v>14.52</v>
      </c>
    </row>
    <row r="9455" spans="2:5">
      <c r="B9455" s="17">
        <v>41791</v>
      </c>
      <c r="D9455" t="s">
        <v>1177</v>
      </c>
      <c r="E9455">
        <v>491.55</v>
      </c>
    </row>
    <row r="9456" spans="2:5">
      <c r="B9456" s="17">
        <v>41791</v>
      </c>
      <c r="D9456" t="s">
        <v>1177</v>
      </c>
      <c r="E9456">
        <v>48.86</v>
      </c>
    </row>
    <row r="9457" spans="2:5">
      <c r="B9457" s="17">
        <v>41790</v>
      </c>
      <c r="D9457" t="s">
        <v>1177</v>
      </c>
      <c r="E9457">
        <v>7.28</v>
      </c>
    </row>
    <row r="9458" spans="2:5">
      <c r="B9458" s="17">
        <v>41790</v>
      </c>
      <c r="D9458" t="s">
        <v>1177</v>
      </c>
      <c r="E9458">
        <v>907.15200000000004</v>
      </c>
    </row>
    <row r="9459" spans="2:5">
      <c r="B9459" s="17">
        <v>41789</v>
      </c>
      <c r="D9459" t="s">
        <v>690</v>
      </c>
      <c r="E9459">
        <v>18.504000000000001</v>
      </c>
    </row>
    <row r="9460" spans="2:5">
      <c r="B9460" s="17">
        <v>41789</v>
      </c>
      <c r="D9460" t="s">
        <v>690</v>
      </c>
      <c r="E9460">
        <v>114.9</v>
      </c>
    </row>
    <row r="9461" spans="2:5">
      <c r="B9461" s="17">
        <v>41789</v>
      </c>
      <c r="D9461" t="s">
        <v>690</v>
      </c>
      <c r="E9461">
        <v>1706.1840000000002</v>
      </c>
    </row>
    <row r="9462" spans="2:5">
      <c r="B9462" s="17">
        <v>41789</v>
      </c>
      <c r="D9462" t="s">
        <v>692</v>
      </c>
      <c r="E9462">
        <v>911.42399999999998</v>
      </c>
    </row>
    <row r="9463" spans="2:5">
      <c r="B9463" s="17">
        <v>41789</v>
      </c>
      <c r="D9463" t="s">
        <v>692</v>
      </c>
      <c r="E9463">
        <v>7.9920000000000009</v>
      </c>
    </row>
    <row r="9464" spans="2:5">
      <c r="B9464" s="17">
        <v>41789</v>
      </c>
      <c r="D9464" t="s">
        <v>692</v>
      </c>
      <c r="E9464">
        <v>63.984000000000009</v>
      </c>
    </row>
    <row r="9465" spans="2:5">
      <c r="B9465" s="17">
        <v>41789</v>
      </c>
      <c r="D9465" t="s">
        <v>692</v>
      </c>
      <c r="E9465">
        <v>70.367999999999995</v>
      </c>
    </row>
    <row r="9466" spans="2:5">
      <c r="B9466" s="17">
        <v>41789</v>
      </c>
      <c r="D9466" t="s">
        <v>1431</v>
      </c>
      <c r="E9466">
        <v>7.36</v>
      </c>
    </row>
    <row r="9467" spans="2:5">
      <c r="B9467" s="17">
        <v>41787</v>
      </c>
      <c r="D9467" t="s">
        <v>828</v>
      </c>
      <c r="E9467">
        <v>23.1</v>
      </c>
    </row>
    <row r="9468" spans="2:5">
      <c r="B9468" s="17">
        <v>41787</v>
      </c>
      <c r="D9468" t="s">
        <v>828</v>
      </c>
      <c r="E9468">
        <v>1441.3</v>
      </c>
    </row>
    <row r="9469" spans="2:5">
      <c r="B9469" s="17">
        <v>41787</v>
      </c>
      <c r="D9469" t="s">
        <v>828</v>
      </c>
      <c r="E9469">
        <v>18.060000000000002</v>
      </c>
    </row>
    <row r="9470" spans="2:5">
      <c r="B9470" s="17">
        <v>41786</v>
      </c>
      <c r="D9470" t="s">
        <v>828</v>
      </c>
      <c r="E9470">
        <v>79.14</v>
      </c>
    </row>
    <row r="9471" spans="2:5">
      <c r="B9471" s="17">
        <v>41786</v>
      </c>
      <c r="D9471" t="s">
        <v>828</v>
      </c>
      <c r="E9471">
        <v>37.4</v>
      </c>
    </row>
    <row r="9472" spans="2:5">
      <c r="B9472" s="17">
        <v>41786</v>
      </c>
      <c r="D9472" t="s">
        <v>1435</v>
      </c>
      <c r="E9472">
        <v>585.55200000000002</v>
      </c>
    </row>
    <row r="9473" spans="2:5">
      <c r="B9473" s="17">
        <v>41786</v>
      </c>
      <c r="D9473" t="s">
        <v>1435</v>
      </c>
      <c r="E9473">
        <v>170.35200000000003</v>
      </c>
    </row>
    <row r="9474" spans="2:5">
      <c r="B9474" s="17">
        <v>41786</v>
      </c>
      <c r="D9474" t="s">
        <v>1435</v>
      </c>
      <c r="E9474">
        <v>68.48</v>
      </c>
    </row>
    <row r="9475" spans="2:5">
      <c r="B9475" s="17">
        <v>41785</v>
      </c>
      <c r="D9475" t="s">
        <v>1435</v>
      </c>
      <c r="E9475">
        <v>1676.88</v>
      </c>
    </row>
    <row r="9476" spans="2:5">
      <c r="B9476" s="17">
        <v>41785</v>
      </c>
      <c r="D9476" t="s">
        <v>1246</v>
      </c>
      <c r="E9476">
        <v>12.461999999999996</v>
      </c>
    </row>
    <row r="9477" spans="2:5">
      <c r="B9477" s="17">
        <v>41785</v>
      </c>
      <c r="D9477" t="s">
        <v>1246</v>
      </c>
      <c r="E9477">
        <v>13.36</v>
      </c>
    </row>
    <row r="9478" spans="2:5">
      <c r="B9478" s="17">
        <v>41785</v>
      </c>
      <c r="D9478" t="s">
        <v>1246</v>
      </c>
      <c r="E9478">
        <v>149.54399999999998</v>
      </c>
    </row>
    <row r="9479" spans="2:5">
      <c r="B9479" s="17">
        <v>41785</v>
      </c>
      <c r="D9479" t="s">
        <v>1082</v>
      </c>
      <c r="E9479">
        <v>17.14</v>
      </c>
    </row>
    <row r="9480" spans="2:5">
      <c r="B9480" s="17">
        <v>41785</v>
      </c>
      <c r="D9480" t="s">
        <v>1082</v>
      </c>
      <c r="E9480">
        <v>991.76400000000012</v>
      </c>
    </row>
    <row r="9481" spans="2:5">
      <c r="B9481" s="17">
        <v>41785</v>
      </c>
      <c r="D9481" t="s">
        <v>1082</v>
      </c>
      <c r="E9481">
        <v>24.587999999999994</v>
      </c>
    </row>
    <row r="9482" spans="2:5">
      <c r="B9482" s="17">
        <v>41785</v>
      </c>
      <c r="D9482" t="s">
        <v>1082</v>
      </c>
      <c r="E9482">
        <v>13.984000000000002</v>
      </c>
    </row>
    <row r="9483" spans="2:5">
      <c r="B9483" s="17">
        <v>41784</v>
      </c>
      <c r="D9483" t="s">
        <v>1082</v>
      </c>
      <c r="E9483">
        <v>100.24000000000001</v>
      </c>
    </row>
    <row r="9484" spans="2:5">
      <c r="B9484" s="17">
        <v>41784</v>
      </c>
      <c r="D9484" t="s">
        <v>506</v>
      </c>
      <c r="E9484">
        <v>1.3650000000000002</v>
      </c>
    </row>
    <row r="9485" spans="2:5">
      <c r="B9485" s="17">
        <v>41784</v>
      </c>
      <c r="D9485" t="s">
        <v>506</v>
      </c>
      <c r="E9485">
        <v>62.015999999999998</v>
      </c>
    </row>
    <row r="9486" spans="2:5">
      <c r="B9486" s="17">
        <v>41783</v>
      </c>
      <c r="D9486" t="s">
        <v>506</v>
      </c>
      <c r="E9486">
        <v>16.224</v>
      </c>
    </row>
    <row r="9487" spans="2:5">
      <c r="B9487" s="17">
        <v>41782</v>
      </c>
      <c r="D9487" t="s">
        <v>506</v>
      </c>
      <c r="E9487">
        <v>56.96</v>
      </c>
    </row>
    <row r="9488" spans="2:5">
      <c r="B9488" s="17">
        <v>41782</v>
      </c>
      <c r="D9488" t="s">
        <v>506</v>
      </c>
      <c r="E9488">
        <v>15.56</v>
      </c>
    </row>
    <row r="9489" spans="2:5">
      <c r="B9489" s="17">
        <v>41782</v>
      </c>
      <c r="D9489" t="s">
        <v>506</v>
      </c>
      <c r="E9489">
        <v>353.56799999999998</v>
      </c>
    </row>
    <row r="9490" spans="2:5">
      <c r="B9490" s="17">
        <v>41782</v>
      </c>
      <c r="D9490" t="s">
        <v>864</v>
      </c>
      <c r="E9490">
        <v>13.96</v>
      </c>
    </row>
    <row r="9491" spans="2:5">
      <c r="B9491" s="17">
        <v>41782</v>
      </c>
      <c r="D9491" t="s">
        <v>864</v>
      </c>
      <c r="E9491">
        <v>515.88</v>
      </c>
    </row>
    <row r="9492" spans="2:5">
      <c r="B9492" s="17">
        <v>41782</v>
      </c>
      <c r="D9492" t="s">
        <v>864</v>
      </c>
      <c r="E9492">
        <v>15.28</v>
      </c>
    </row>
    <row r="9493" spans="2:5">
      <c r="B9493" s="17">
        <v>41782</v>
      </c>
      <c r="D9493" t="s">
        <v>864</v>
      </c>
      <c r="E9493">
        <v>15.936000000000002</v>
      </c>
    </row>
    <row r="9494" spans="2:5">
      <c r="B9494" s="17">
        <v>41781</v>
      </c>
      <c r="D9494" t="s">
        <v>1669</v>
      </c>
      <c r="E9494">
        <v>61.543999999999997</v>
      </c>
    </row>
    <row r="9495" spans="2:5">
      <c r="B9495" s="17">
        <v>41781</v>
      </c>
      <c r="D9495" t="s">
        <v>1669</v>
      </c>
      <c r="E9495">
        <v>132.696</v>
      </c>
    </row>
    <row r="9496" spans="2:5">
      <c r="B9496" s="17">
        <v>41780</v>
      </c>
      <c r="D9496" t="s">
        <v>1669</v>
      </c>
      <c r="E9496">
        <v>59.808000000000007</v>
      </c>
    </row>
    <row r="9497" spans="2:5">
      <c r="B9497" s="17">
        <v>41780</v>
      </c>
      <c r="D9497" t="s">
        <v>1669</v>
      </c>
      <c r="E9497">
        <v>73.320000000000007</v>
      </c>
    </row>
    <row r="9498" spans="2:5">
      <c r="B9498" s="17">
        <v>41780</v>
      </c>
      <c r="D9498" t="s">
        <v>1669</v>
      </c>
      <c r="E9498">
        <v>8.56</v>
      </c>
    </row>
    <row r="9499" spans="2:5">
      <c r="B9499" s="17">
        <v>41780</v>
      </c>
      <c r="D9499" t="s">
        <v>720</v>
      </c>
      <c r="E9499">
        <v>356.94</v>
      </c>
    </row>
    <row r="9500" spans="2:5">
      <c r="B9500" s="17">
        <v>41780</v>
      </c>
      <c r="D9500" t="s">
        <v>720</v>
      </c>
      <c r="E9500">
        <v>2001.8600000000001</v>
      </c>
    </row>
    <row r="9501" spans="2:5">
      <c r="B9501" s="17">
        <v>41780</v>
      </c>
      <c r="D9501" t="s">
        <v>720</v>
      </c>
      <c r="E9501">
        <v>166.72</v>
      </c>
    </row>
    <row r="9502" spans="2:5">
      <c r="B9502" s="17">
        <v>41780</v>
      </c>
      <c r="D9502" t="s">
        <v>720</v>
      </c>
      <c r="E9502">
        <v>47.88</v>
      </c>
    </row>
    <row r="9503" spans="2:5">
      <c r="B9503" s="17">
        <v>41780</v>
      </c>
      <c r="D9503" t="s">
        <v>720</v>
      </c>
      <c r="E9503">
        <v>1503.25</v>
      </c>
    </row>
    <row r="9504" spans="2:5">
      <c r="B9504" s="17">
        <v>41780</v>
      </c>
      <c r="D9504" t="s">
        <v>720</v>
      </c>
      <c r="E9504">
        <v>25.92</v>
      </c>
    </row>
    <row r="9505" spans="2:5">
      <c r="B9505" s="17">
        <v>41780</v>
      </c>
      <c r="D9505" t="s">
        <v>720</v>
      </c>
      <c r="E9505">
        <v>45.480000000000004</v>
      </c>
    </row>
    <row r="9506" spans="2:5">
      <c r="B9506" s="17">
        <v>41779</v>
      </c>
      <c r="D9506" t="s">
        <v>1514</v>
      </c>
      <c r="E9506">
        <v>22.200000000000003</v>
      </c>
    </row>
    <row r="9507" spans="2:5">
      <c r="B9507" s="17">
        <v>41779</v>
      </c>
      <c r="D9507" t="s">
        <v>1514</v>
      </c>
      <c r="E9507">
        <v>881.93</v>
      </c>
    </row>
    <row r="9508" spans="2:5">
      <c r="B9508" s="17">
        <v>41779</v>
      </c>
      <c r="D9508" t="s">
        <v>1514</v>
      </c>
      <c r="E9508">
        <v>138.56</v>
      </c>
    </row>
    <row r="9509" spans="2:5">
      <c r="B9509" s="17">
        <v>41779</v>
      </c>
      <c r="D9509" t="s">
        <v>220</v>
      </c>
      <c r="E9509">
        <v>65.52000000000001</v>
      </c>
    </row>
    <row r="9510" spans="2:5">
      <c r="B9510" s="17">
        <v>41779</v>
      </c>
      <c r="D9510" t="s">
        <v>220</v>
      </c>
      <c r="E9510">
        <v>659.97</v>
      </c>
    </row>
    <row r="9511" spans="2:5">
      <c r="B9511" s="17">
        <v>41779</v>
      </c>
      <c r="D9511" t="s">
        <v>220</v>
      </c>
      <c r="E9511">
        <v>113.72999999999999</v>
      </c>
    </row>
    <row r="9512" spans="2:5">
      <c r="B9512" s="17">
        <v>41779</v>
      </c>
      <c r="D9512" t="s">
        <v>220</v>
      </c>
      <c r="E9512">
        <v>13.620000000000001</v>
      </c>
    </row>
    <row r="9513" spans="2:5">
      <c r="B9513" s="17">
        <v>41778</v>
      </c>
      <c r="D9513" t="s">
        <v>220</v>
      </c>
      <c r="E9513">
        <v>355.45499999999998</v>
      </c>
    </row>
    <row r="9514" spans="2:5">
      <c r="B9514" s="17">
        <v>41778</v>
      </c>
      <c r="D9514" t="s">
        <v>532</v>
      </c>
      <c r="E9514">
        <v>70.367999999999995</v>
      </c>
    </row>
    <row r="9515" spans="2:5">
      <c r="B9515" s="17">
        <v>41777</v>
      </c>
      <c r="D9515" t="s">
        <v>532</v>
      </c>
      <c r="E9515">
        <v>25.584000000000003</v>
      </c>
    </row>
    <row r="9516" spans="2:5">
      <c r="B9516" s="17">
        <v>41777</v>
      </c>
      <c r="D9516" t="s">
        <v>532</v>
      </c>
      <c r="E9516">
        <v>464</v>
      </c>
    </row>
    <row r="9517" spans="2:5">
      <c r="B9517" s="17">
        <v>41777</v>
      </c>
      <c r="D9517" t="s">
        <v>729</v>
      </c>
      <c r="E9517">
        <v>39.96</v>
      </c>
    </row>
    <row r="9518" spans="2:5">
      <c r="B9518" s="17">
        <v>41777</v>
      </c>
      <c r="D9518" t="s">
        <v>729</v>
      </c>
      <c r="E9518">
        <v>719.97600000000011</v>
      </c>
    </row>
    <row r="9519" spans="2:5">
      <c r="B9519" s="17">
        <v>41776</v>
      </c>
      <c r="D9519" t="s">
        <v>729</v>
      </c>
      <c r="E9519">
        <v>57.408000000000008</v>
      </c>
    </row>
    <row r="9520" spans="2:5">
      <c r="B9520" s="17">
        <v>41775</v>
      </c>
      <c r="D9520" t="s">
        <v>729</v>
      </c>
      <c r="E9520">
        <v>27.6</v>
      </c>
    </row>
    <row r="9521" spans="2:5">
      <c r="B9521" s="17">
        <v>41775</v>
      </c>
      <c r="D9521" t="s">
        <v>729</v>
      </c>
      <c r="E9521">
        <v>136.96</v>
      </c>
    </row>
    <row r="9522" spans="2:5">
      <c r="B9522" s="17">
        <v>41773</v>
      </c>
      <c r="D9522" t="s">
        <v>729</v>
      </c>
      <c r="E9522">
        <v>567.12</v>
      </c>
    </row>
    <row r="9523" spans="2:5">
      <c r="B9523" s="17">
        <v>41772</v>
      </c>
      <c r="D9523" t="s">
        <v>729</v>
      </c>
      <c r="E9523">
        <v>359.32</v>
      </c>
    </row>
    <row r="9524" spans="2:5">
      <c r="B9524" s="17">
        <v>41772</v>
      </c>
      <c r="D9524" t="s">
        <v>77</v>
      </c>
      <c r="E9524">
        <v>1113.5039999999999</v>
      </c>
    </row>
    <row r="9525" spans="2:5">
      <c r="B9525" s="17">
        <v>41772</v>
      </c>
      <c r="D9525" t="s">
        <v>77</v>
      </c>
      <c r="E9525">
        <v>99.99</v>
      </c>
    </row>
    <row r="9526" spans="2:5">
      <c r="B9526" s="17">
        <v>41772</v>
      </c>
      <c r="D9526" t="s">
        <v>77</v>
      </c>
      <c r="E9526">
        <v>17.459999999999997</v>
      </c>
    </row>
    <row r="9527" spans="2:5">
      <c r="B9527" s="17">
        <v>41772</v>
      </c>
      <c r="D9527" t="s">
        <v>77</v>
      </c>
      <c r="E9527">
        <v>83.984000000000009</v>
      </c>
    </row>
    <row r="9528" spans="2:5">
      <c r="B9528" s="17">
        <v>41772</v>
      </c>
      <c r="D9528" t="s">
        <v>77</v>
      </c>
      <c r="E9528">
        <v>48.4</v>
      </c>
    </row>
    <row r="9529" spans="2:5">
      <c r="B9529" s="17">
        <v>41771</v>
      </c>
      <c r="D9529" t="s">
        <v>959</v>
      </c>
      <c r="E9529">
        <v>102.624</v>
      </c>
    </row>
    <row r="9530" spans="2:5">
      <c r="B9530" s="17">
        <v>41771</v>
      </c>
      <c r="D9530" t="s">
        <v>959</v>
      </c>
      <c r="E9530">
        <v>359.77199999999999</v>
      </c>
    </row>
    <row r="9531" spans="2:5">
      <c r="B9531" s="17">
        <v>41770</v>
      </c>
      <c r="D9531" t="s">
        <v>959</v>
      </c>
      <c r="E9531">
        <v>13.392000000000001</v>
      </c>
    </row>
    <row r="9532" spans="2:5">
      <c r="B9532" s="17">
        <v>41770</v>
      </c>
      <c r="D9532" t="s">
        <v>444</v>
      </c>
      <c r="E9532">
        <v>75.59999999999998</v>
      </c>
    </row>
    <row r="9533" spans="2:5">
      <c r="B9533" s="17">
        <v>41770</v>
      </c>
      <c r="D9533" t="s">
        <v>444</v>
      </c>
      <c r="E9533">
        <v>29.32</v>
      </c>
    </row>
    <row r="9534" spans="2:5">
      <c r="B9534" s="17">
        <v>41770</v>
      </c>
      <c r="D9534" t="s">
        <v>444</v>
      </c>
      <c r="E9534">
        <v>14.62</v>
      </c>
    </row>
    <row r="9535" spans="2:5">
      <c r="B9535" s="17">
        <v>41770</v>
      </c>
      <c r="D9535" t="s">
        <v>444</v>
      </c>
      <c r="E9535">
        <v>116.28</v>
      </c>
    </row>
    <row r="9536" spans="2:5">
      <c r="B9536" s="17">
        <v>41770</v>
      </c>
      <c r="D9536" t="s">
        <v>444</v>
      </c>
      <c r="E9536">
        <v>3.2820000000000005</v>
      </c>
    </row>
    <row r="9537" spans="2:5">
      <c r="B9537" s="17">
        <v>41770</v>
      </c>
      <c r="D9537" t="s">
        <v>444</v>
      </c>
      <c r="E9537">
        <v>21.167999999999999</v>
      </c>
    </row>
    <row r="9538" spans="2:5">
      <c r="B9538" s="17">
        <v>41770</v>
      </c>
      <c r="D9538" t="s">
        <v>1312</v>
      </c>
      <c r="E9538">
        <v>55.188000000000002</v>
      </c>
    </row>
    <row r="9539" spans="2:5">
      <c r="B9539" s="17">
        <v>41769</v>
      </c>
      <c r="D9539" t="s">
        <v>1312</v>
      </c>
      <c r="E9539">
        <v>12.96</v>
      </c>
    </row>
    <row r="9540" spans="2:5">
      <c r="B9540" s="17">
        <v>41769</v>
      </c>
      <c r="D9540" t="s">
        <v>1312</v>
      </c>
      <c r="E9540">
        <v>17.96</v>
      </c>
    </row>
    <row r="9541" spans="2:5">
      <c r="B9541" s="17">
        <v>41769</v>
      </c>
      <c r="D9541" t="s">
        <v>1312</v>
      </c>
      <c r="E9541">
        <v>5.04</v>
      </c>
    </row>
    <row r="9542" spans="2:5">
      <c r="B9542" s="17">
        <v>41769</v>
      </c>
      <c r="D9542" t="s">
        <v>436</v>
      </c>
      <c r="E9542">
        <v>135.97999999999999</v>
      </c>
    </row>
    <row r="9543" spans="2:5">
      <c r="B9543" s="17">
        <v>41769</v>
      </c>
      <c r="D9543" t="s">
        <v>436</v>
      </c>
      <c r="E9543">
        <v>44.95</v>
      </c>
    </row>
    <row r="9544" spans="2:5">
      <c r="B9544" s="17">
        <v>41769</v>
      </c>
      <c r="D9544" t="s">
        <v>436</v>
      </c>
      <c r="E9544">
        <v>2715.9300000000003</v>
      </c>
    </row>
    <row r="9545" spans="2:5">
      <c r="B9545" s="17">
        <v>41769</v>
      </c>
      <c r="D9545" t="s">
        <v>1720</v>
      </c>
      <c r="E9545">
        <v>617.97</v>
      </c>
    </row>
    <row r="9546" spans="2:5">
      <c r="B9546" s="17">
        <v>41769</v>
      </c>
      <c r="D9546" t="s">
        <v>1720</v>
      </c>
      <c r="E9546">
        <v>31.84</v>
      </c>
    </row>
    <row r="9547" spans="2:5">
      <c r="B9547" s="17">
        <v>41768</v>
      </c>
      <c r="D9547" t="s">
        <v>1720</v>
      </c>
      <c r="E9547">
        <v>447.85999999999996</v>
      </c>
    </row>
    <row r="9548" spans="2:5">
      <c r="B9548" s="17">
        <v>41768</v>
      </c>
      <c r="D9548" t="s">
        <v>1720</v>
      </c>
      <c r="E9548">
        <v>17.940000000000001</v>
      </c>
    </row>
    <row r="9549" spans="2:5">
      <c r="B9549" s="17">
        <v>41768</v>
      </c>
      <c r="D9549" t="s">
        <v>848</v>
      </c>
      <c r="E9549">
        <v>56.063999999999993</v>
      </c>
    </row>
    <row r="9550" spans="2:5">
      <c r="B9550" s="17">
        <v>41768</v>
      </c>
      <c r="D9550" t="s">
        <v>1495</v>
      </c>
      <c r="E9550">
        <v>107.77200000000001</v>
      </c>
    </row>
    <row r="9551" spans="2:5">
      <c r="B9551" s="17">
        <v>41768</v>
      </c>
      <c r="D9551" t="s">
        <v>1495</v>
      </c>
      <c r="E9551">
        <v>4.8320000000000007</v>
      </c>
    </row>
    <row r="9552" spans="2:5">
      <c r="B9552" s="17">
        <v>41768</v>
      </c>
      <c r="D9552" t="s">
        <v>1750</v>
      </c>
      <c r="E9552">
        <v>18.239999999999995</v>
      </c>
    </row>
    <row r="9553" spans="2:5">
      <c r="B9553" s="17">
        <v>41767</v>
      </c>
      <c r="D9553" t="s">
        <v>1750</v>
      </c>
      <c r="E9553">
        <v>33.28</v>
      </c>
    </row>
    <row r="9554" spans="2:5">
      <c r="B9554" s="17">
        <v>41766</v>
      </c>
      <c r="D9554" t="s">
        <v>1750</v>
      </c>
      <c r="E9554">
        <v>38.520000000000003</v>
      </c>
    </row>
    <row r="9555" spans="2:5">
      <c r="B9555" s="17">
        <v>41766</v>
      </c>
      <c r="D9555" t="s">
        <v>1750</v>
      </c>
      <c r="E9555">
        <v>139.86000000000001</v>
      </c>
    </row>
    <row r="9556" spans="2:5">
      <c r="B9556" s="17">
        <v>41766</v>
      </c>
      <c r="D9556" t="s">
        <v>1750</v>
      </c>
      <c r="E9556">
        <v>10.332000000000001</v>
      </c>
    </row>
    <row r="9557" spans="2:5">
      <c r="B9557" s="17">
        <v>41766</v>
      </c>
      <c r="D9557" t="s">
        <v>1750</v>
      </c>
      <c r="E9557">
        <v>10.368000000000002</v>
      </c>
    </row>
    <row r="9558" spans="2:5">
      <c r="B9558" s="17">
        <v>41765</v>
      </c>
      <c r="D9558" t="s">
        <v>1325</v>
      </c>
      <c r="E9558">
        <v>20.784000000000002</v>
      </c>
    </row>
    <row r="9559" spans="2:5">
      <c r="B9559" s="17">
        <v>41765</v>
      </c>
      <c r="D9559" t="s">
        <v>1325</v>
      </c>
      <c r="E9559">
        <v>66.959999999999994</v>
      </c>
    </row>
    <row r="9560" spans="2:5">
      <c r="B9560" s="17">
        <v>41765</v>
      </c>
      <c r="D9560" t="s">
        <v>1456</v>
      </c>
      <c r="E9560">
        <v>57.42</v>
      </c>
    </row>
    <row r="9561" spans="2:5">
      <c r="B9561" s="17">
        <v>41764</v>
      </c>
      <c r="D9561" t="s">
        <v>1456</v>
      </c>
      <c r="E9561">
        <v>34.200000000000003</v>
      </c>
    </row>
    <row r="9562" spans="2:5">
      <c r="B9562" s="17">
        <v>41764</v>
      </c>
      <c r="D9562" t="s">
        <v>1456</v>
      </c>
      <c r="E9562">
        <v>779.79600000000005</v>
      </c>
    </row>
    <row r="9563" spans="2:5">
      <c r="B9563" s="17">
        <v>41764</v>
      </c>
      <c r="D9563" t="s">
        <v>1456</v>
      </c>
      <c r="E9563">
        <v>149.232</v>
      </c>
    </row>
    <row r="9564" spans="2:5">
      <c r="B9564" s="17">
        <v>41764</v>
      </c>
      <c r="D9564" t="s">
        <v>1456</v>
      </c>
      <c r="E9564">
        <v>15.936000000000002</v>
      </c>
    </row>
    <row r="9565" spans="2:5">
      <c r="B9565" s="17">
        <v>41764</v>
      </c>
      <c r="D9565" t="s">
        <v>1456</v>
      </c>
      <c r="E9565">
        <v>3.9840000000000004</v>
      </c>
    </row>
    <row r="9566" spans="2:5">
      <c r="B9566" s="17">
        <v>41764</v>
      </c>
      <c r="D9566" t="s">
        <v>408</v>
      </c>
      <c r="E9566">
        <v>91.679999999999993</v>
      </c>
    </row>
    <row r="9567" spans="2:5">
      <c r="B9567" s="17">
        <v>41764</v>
      </c>
      <c r="D9567" t="s">
        <v>408</v>
      </c>
      <c r="E9567">
        <v>56.400000000000006</v>
      </c>
    </row>
    <row r="9568" spans="2:5">
      <c r="B9568" s="17">
        <v>41763</v>
      </c>
      <c r="D9568" t="s">
        <v>408</v>
      </c>
      <c r="E9568">
        <v>55.5</v>
      </c>
    </row>
    <row r="9569" spans="2:5">
      <c r="B9569" s="17">
        <v>41763</v>
      </c>
      <c r="D9569" t="s">
        <v>408</v>
      </c>
      <c r="E9569">
        <v>7.104000000000001</v>
      </c>
    </row>
    <row r="9570" spans="2:5">
      <c r="B9570" s="17">
        <v>41763</v>
      </c>
      <c r="D9570" t="s">
        <v>408</v>
      </c>
      <c r="E9570">
        <v>398.35200000000003</v>
      </c>
    </row>
    <row r="9571" spans="2:5">
      <c r="B9571" s="17">
        <v>41763</v>
      </c>
      <c r="D9571" t="s">
        <v>408</v>
      </c>
      <c r="E9571">
        <v>149.97</v>
      </c>
    </row>
    <row r="9572" spans="2:5">
      <c r="B9572" s="17">
        <v>41763</v>
      </c>
      <c r="D9572" t="s">
        <v>1500</v>
      </c>
      <c r="E9572">
        <v>8</v>
      </c>
    </row>
    <row r="9573" spans="2:5">
      <c r="B9573" s="17">
        <v>41763</v>
      </c>
      <c r="D9573" t="s">
        <v>1500</v>
      </c>
      <c r="E9573">
        <v>34.79</v>
      </c>
    </row>
    <row r="9574" spans="2:5">
      <c r="B9574" s="17">
        <v>41762</v>
      </c>
      <c r="D9574" t="s">
        <v>1500</v>
      </c>
      <c r="E9574">
        <v>700.05600000000004</v>
      </c>
    </row>
    <row r="9575" spans="2:5">
      <c r="B9575" s="17">
        <v>41762</v>
      </c>
      <c r="D9575" t="s">
        <v>1500</v>
      </c>
      <c r="E9575">
        <v>58.112000000000002</v>
      </c>
    </row>
    <row r="9576" spans="2:5">
      <c r="B9576" s="17">
        <v>41762</v>
      </c>
      <c r="D9576" t="s">
        <v>1500</v>
      </c>
      <c r="E9576">
        <v>100.792</v>
      </c>
    </row>
    <row r="9577" spans="2:5">
      <c r="B9577" s="17">
        <v>41761</v>
      </c>
      <c r="D9577" t="s">
        <v>1061</v>
      </c>
      <c r="E9577">
        <v>66.112000000000009</v>
      </c>
    </row>
    <row r="9578" spans="2:5">
      <c r="B9578" s="17">
        <v>41761</v>
      </c>
      <c r="D9578" t="s">
        <v>1061</v>
      </c>
      <c r="E9578">
        <v>46.864000000000004</v>
      </c>
    </row>
    <row r="9579" spans="2:5">
      <c r="B9579" s="17">
        <v>41759</v>
      </c>
      <c r="D9579" t="s">
        <v>1061</v>
      </c>
      <c r="E9579">
        <v>35.910000000000004</v>
      </c>
    </row>
    <row r="9580" spans="2:5">
      <c r="B9580" s="17">
        <v>41759</v>
      </c>
      <c r="D9580" t="s">
        <v>1061</v>
      </c>
      <c r="E9580">
        <v>1212.9599999999998</v>
      </c>
    </row>
    <row r="9581" spans="2:5">
      <c r="B9581" s="17">
        <v>41759</v>
      </c>
      <c r="D9581" t="s">
        <v>1061</v>
      </c>
      <c r="E9581">
        <v>17.472000000000001</v>
      </c>
    </row>
    <row r="9582" spans="2:5">
      <c r="B9582" s="17">
        <v>41758</v>
      </c>
      <c r="D9582" t="s">
        <v>1061</v>
      </c>
      <c r="E9582">
        <v>104.57999999999998</v>
      </c>
    </row>
    <row r="9583" spans="2:5">
      <c r="B9583" s="17">
        <v>41758</v>
      </c>
      <c r="D9583" t="s">
        <v>1061</v>
      </c>
      <c r="E9583">
        <v>158.13</v>
      </c>
    </row>
    <row r="9584" spans="2:5">
      <c r="B9584" s="17">
        <v>41758</v>
      </c>
      <c r="D9584" t="s">
        <v>1373</v>
      </c>
      <c r="E9584">
        <v>43.6</v>
      </c>
    </row>
    <row r="9585" spans="2:5">
      <c r="B9585" s="17">
        <v>41758</v>
      </c>
      <c r="D9585" t="s">
        <v>1373</v>
      </c>
      <c r="E9585">
        <v>349.96499999999997</v>
      </c>
    </row>
    <row r="9586" spans="2:5">
      <c r="B9586" s="17">
        <v>41758</v>
      </c>
      <c r="D9586" t="s">
        <v>1373</v>
      </c>
      <c r="E9586">
        <v>22.32</v>
      </c>
    </row>
    <row r="9587" spans="2:5">
      <c r="B9587" s="17">
        <v>41758</v>
      </c>
      <c r="D9587" t="s">
        <v>1601</v>
      </c>
      <c r="E9587">
        <v>39.96</v>
      </c>
    </row>
    <row r="9588" spans="2:5">
      <c r="B9588" s="17">
        <v>41757</v>
      </c>
      <c r="D9588" t="s">
        <v>1601</v>
      </c>
      <c r="E9588">
        <v>1432.0000000000002</v>
      </c>
    </row>
    <row r="9589" spans="2:5">
      <c r="B9589" s="17">
        <v>41757</v>
      </c>
      <c r="D9589" t="s">
        <v>1601</v>
      </c>
      <c r="E9589">
        <v>41.04</v>
      </c>
    </row>
    <row r="9590" spans="2:5">
      <c r="B9590" s="17">
        <v>41757</v>
      </c>
      <c r="D9590" t="s">
        <v>1601</v>
      </c>
      <c r="E9590">
        <v>67.8</v>
      </c>
    </row>
    <row r="9591" spans="2:5">
      <c r="B9591" s="17">
        <v>41757</v>
      </c>
      <c r="D9591" t="s">
        <v>1676</v>
      </c>
      <c r="E9591">
        <v>167.97</v>
      </c>
    </row>
    <row r="9592" spans="2:5">
      <c r="B9592" s="17">
        <v>41757</v>
      </c>
      <c r="D9592" t="s">
        <v>1676</v>
      </c>
      <c r="E9592">
        <v>83.25</v>
      </c>
    </row>
    <row r="9593" spans="2:5">
      <c r="B9593" s="17">
        <v>41757</v>
      </c>
      <c r="D9593" t="s">
        <v>1676</v>
      </c>
      <c r="E9593">
        <v>9.4499999999999993</v>
      </c>
    </row>
    <row r="9594" spans="2:5">
      <c r="B9594" s="17">
        <v>41757</v>
      </c>
      <c r="D9594" t="s">
        <v>1676</v>
      </c>
      <c r="E9594">
        <v>20.65</v>
      </c>
    </row>
    <row r="9595" spans="2:5">
      <c r="B9595" s="17">
        <v>41757</v>
      </c>
      <c r="D9595" t="s">
        <v>928</v>
      </c>
      <c r="E9595">
        <v>45.36</v>
      </c>
    </row>
    <row r="9596" spans="2:5">
      <c r="B9596" s="17">
        <v>41757</v>
      </c>
      <c r="D9596" t="s">
        <v>928</v>
      </c>
      <c r="E9596">
        <v>1799.9699999999998</v>
      </c>
    </row>
    <row r="9597" spans="2:5">
      <c r="B9597" s="17">
        <v>41755</v>
      </c>
      <c r="D9597" t="s">
        <v>928</v>
      </c>
      <c r="E9597">
        <v>16.14</v>
      </c>
    </row>
    <row r="9598" spans="2:5">
      <c r="B9598" s="17">
        <v>41755</v>
      </c>
      <c r="D9598" t="s">
        <v>928</v>
      </c>
      <c r="E9598">
        <v>194.25</v>
      </c>
    </row>
    <row r="9599" spans="2:5">
      <c r="B9599" s="17">
        <v>41755</v>
      </c>
      <c r="D9599" t="s">
        <v>928</v>
      </c>
      <c r="E9599">
        <v>8.64</v>
      </c>
    </row>
    <row r="9600" spans="2:5">
      <c r="B9600" s="17">
        <v>41755</v>
      </c>
      <c r="D9600" t="s">
        <v>928</v>
      </c>
      <c r="E9600">
        <v>872.32</v>
      </c>
    </row>
    <row r="9601" spans="2:5">
      <c r="B9601" s="17">
        <v>41754</v>
      </c>
      <c r="D9601" t="s">
        <v>540</v>
      </c>
      <c r="E9601">
        <v>140.73599999999999</v>
      </c>
    </row>
    <row r="9602" spans="2:5">
      <c r="B9602" s="17">
        <v>41754</v>
      </c>
      <c r="D9602" t="s">
        <v>540</v>
      </c>
      <c r="E9602">
        <v>5.78</v>
      </c>
    </row>
    <row r="9603" spans="2:5">
      <c r="B9603" s="17">
        <v>41754</v>
      </c>
      <c r="D9603" t="s">
        <v>540</v>
      </c>
      <c r="E9603">
        <v>107.94</v>
      </c>
    </row>
    <row r="9604" spans="2:5">
      <c r="B9604" s="17">
        <v>41754</v>
      </c>
      <c r="D9604" t="s">
        <v>540</v>
      </c>
      <c r="E9604">
        <v>9.42</v>
      </c>
    </row>
    <row r="9605" spans="2:5">
      <c r="B9605" s="17">
        <v>41754</v>
      </c>
      <c r="D9605" t="s">
        <v>540</v>
      </c>
      <c r="E9605">
        <v>6.56</v>
      </c>
    </row>
    <row r="9606" spans="2:5">
      <c r="B9606" s="17">
        <v>41754</v>
      </c>
      <c r="D9606" t="s">
        <v>461</v>
      </c>
      <c r="E9606">
        <v>24.56</v>
      </c>
    </row>
    <row r="9607" spans="2:5">
      <c r="B9607" s="17">
        <v>41752</v>
      </c>
      <c r="D9607" t="s">
        <v>461</v>
      </c>
      <c r="E9607">
        <v>127.869</v>
      </c>
    </row>
    <row r="9608" spans="2:5">
      <c r="B9608" s="17">
        <v>41752</v>
      </c>
      <c r="D9608" t="s">
        <v>461</v>
      </c>
      <c r="E9608">
        <v>45.248000000000005</v>
      </c>
    </row>
    <row r="9609" spans="2:5">
      <c r="B9609" s="17">
        <v>41752</v>
      </c>
      <c r="D9609" t="s">
        <v>461</v>
      </c>
      <c r="E9609">
        <v>11.88</v>
      </c>
    </row>
    <row r="9610" spans="2:5">
      <c r="B9610" s="17">
        <v>41752</v>
      </c>
      <c r="D9610" t="s">
        <v>461</v>
      </c>
      <c r="E9610">
        <v>35.44</v>
      </c>
    </row>
    <row r="9611" spans="2:5">
      <c r="B9611" s="17">
        <v>41752</v>
      </c>
      <c r="D9611" t="s">
        <v>1344</v>
      </c>
      <c r="E9611">
        <v>46.8</v>
      </c>
    </row>
    <row r="9612" spans="2:5">
      <c r="B9612" s="17">
        <v>41752</v>
      </c>
      <c r="D9612" t="s">
        <v>1407</v>
      </c>
      <c r="E9612">
        <v>27.46</v>
      </c>
    </row>
    <row r="9613" spans="2:5">
      <c r="B9613" s="17">
        <v>41751</v>
      </c>
      <c r="D9613" t="s">
        <v>1407</v>
      </c>
      <c r="E9613">
        <v>37.839999999999996</v>
      </c>
    </row>
    <row r="9614" spans="2:5">
      <c r="B9614" s="17">
        <v>41751</v>
      </c>
      <c r="D9614" t="s">
        <v>1407</v>
      </c>
      <c r="E9614">
        <v>5.4719999999999995</v>
      </c>
    </row>
    <row r="9615" spans="2:5">
      <c r="B9615" s="17">
        <v>41750</v>
      </c>
      <c r="D9615" t="s">
        <v>1171</v>
      </c>
      <c r="E9615">
        <v>12.18</v>
      </c>
    </row>
    <row r="9616" spans="2:5">
      <c r="B9616" s="17">
        <v>41750</v>
      </c>
      <c r="D9616" t="s">
        <v>1171</v>
      </c>
      <c r="E9616">
        <v>57.68</v>
      </c>
    </row>
    <row r="9617" spans="2:5">
      <c r="B9617" s="17">
        <v>41749</v>
      </c>
      <c r="D9617" t="s">
        <v>1171</v>
      </c>
      <c r="E9617">
        <v>21.560000000000002</v>
      </c>
    </row>
    <row r="9618" spans="2:5">
      <c r="B9618" s="17">
        <v>41749</v>
      </c>
      <c r="D9618" t="s">
        <v>1171</v>
      </c>
      <c r="E9618">
        <v>40.176000000000002</v>
      </c>
    </row>
    <row r="9619" spans="2:5">
      <c r="B9619" s="17">
        <v>41749</v>
      </c>
      <c r="D9619" t="s">
        <v>1171</v>
      </c>
      <c r="E9619">
        <v>10.896000000000001</v>
      </c>
    </row>
    <row r="9620" spans="2:5">
      <c r="B9620" s="17">
        <v>41749</v>
      </c>
      <c r="D9620" t="s">
        <v>1171</v>
      </c>
      <c r="E9620">
        <v>26.136000000000003</v>
      </c>
    </row>
    <row r="9621" spans="2:5">
      <c r="B9621" s="17">
        <v>41748</v>
      </c>
      <c r="D9621" t="s">
        <v>885</v>
      </c>
      <c r="E9621">
        <v>479.98400000000004</v>
      </c>
    </row>
    <row r="9622" spans="2:5">
      <c r="B9622" s="17">
        <v>41748</v>
      </c>
      <c r="D9622" t="s">
        <v>885</v>
      </c>
      <c r="E9622">
        <v>47.79</v>
      </c>
    </row>
    <row r="9623" spans="2:5">
      <c r="B9623" s="17">
        <v>41748</v>
      </c>
      <c r="D9623" t="s">
        <v>885</v>
      </c>
      <c r="E9623">
        <v>174.95000000000002</v>
      </c>
    </row>
    <row r="9624" spans="2:5">
      <c r="B9624" s="17">
        <v>41747</v>
      </c>
      <c r="D9624" t="s">
        <v>885</v>
      </c>
      <c r="E9624">
        <v>826</v>
      </c>
    </row>
    <row r="9625" spans="2:5">
      <c r="B9625" s="17">
        <v>41747</v>
      </c>
      <c r="D9625" t="s">
        <v>885</v>
      </c>
      <c r="E9625">
        <v>17.46</v>
      </c>
    </row>
    <row r="9626" spans="2:5">
      <c r="B9626" s="17">
        <v>41747</v>
      </c>
      <c r="D9626" t="s">
        <v>885</v>
      </c>
      <c r="E9626">
        <v>51.96</v>
      </c>
    </row>
    <row r="9627" spans="2:5">
      <c r="B9627" s="17">
        <v>41747</v>
      </c>
      <c r="D9627" t="s">
        <v>1352</v>
      </c>
      <c r="E9627">
        <v>17.940000000000001</v>
      </c>
    </row>
    <row r="9628" spans="2:5">
      <c r="B9628" s="17">
        <v>41747</v>
      </c>
      <c r="D9628" t="s">
        <v>1352</v>
      </c>
      <c r="E9628">
        <v>561.58400000000006</v>
      </c>
    </row>
    <row r="9629" spans="2:5">
      <c r="B9629" s="17">
        <v>41747</v>
      </c>
      <c r="D9629" t="s">
        <v>1352</v>
      </c>
      <c r="E9629">
        <v>99.920000000000016</v>
      </c>
    </row>
    <row r="9630" spans="2:5">
      <c r="B9630" s="17">
        <v>41747</v>
      </c>
      <c r="D9630" t="s">
        <v>1352</v>
      </c>
      <c r="E9630">
        <v>19.98</v>
      </c>
    </row>
    <row r="9631" spans="2:5">
      <c r="B9631" s="17">
        <v>41747</v>
      </c>
      <c r="D9631" t="s">
        <v>1352</v>
      </c>
      <c r="E9631">
        <v>20.86</v>
      </c>
    </row>
    <row r="9632" spans="2:5">
      <c r="B9632" s="17">
        <v>41745</v>
      </c>
      <c r="D9632" t="s">
        <v>1837</v>
      </c>
      <c r="E9632">
        <v>497.61</v>
      </c>
    </row>
    <row r="9633" spans="2:5">
      <c r="B9633" s="17">
        <v>41744</v>
      </c>
      <c r="D9633" t="s">
        <v>1837</v>
      </c>
      <c r="E9633">
        <v>5.34</v>
      </c>
    </row>
    <row r="9634" spans="2:5">
      <c r="B9634" s="17">
        <v>41744</v>
      </c>
      <c r="D9634" t="s">
        <v>1839</v>
      </c>
      <c r="E9634">
        <v>3.15</v>
      </c>
    </row>
    <row r="9635" spans="2:5">
      <c r="B9635" s="17">
        <v>41742</v>
      </c>
      <c r="D9635" t="s">
        <v>1839</v>
      </c>
      <c r="E9635">
        <v>6.911999999999999</v>
      </c>
    </row>
    <row r="9636" spans="2:5">
      <c r="B9636" s="17">
        <v>41742</v>
      </c>
      <c r="D9636" t="s">
        <v>1839</v>
      </c>
      <c r="E9636">
        <v>27.096</v>
      </c>
    </row>
    <row r="9637" spans="2:5">
      <c r="B9637" s="17">
        <v>41742</v>
      </c>
      <c r="D9637" t="s">
        <v>1839</v>
      </c>
      <c r="E9637">
        <v>177.56800000000001</v>
      </c>
    </row>
    <row r="9638" spans="2:5">
      <c r="B9638" s="17">
        <v>41742</v>
      </c>
      <c r="D9638" t="s">
        <v>458</v>
      </c>
      <c r="E9638">
        <v>1679.96</v>
      </c>
    </row>
    <row r="9639" spans="2:5">
      <c r="B9639" s="17">
        <v>41742</v>
      </c>
      <c r="D9639" t="s">
        <v>458</v>
      </c>
      <c r="E9639">
        <v>159.97999999999999</v>
      </c>
    </row>
    <row r="9640" spans="2:5">
      <c r="B9640" s="17">
        <v>41741</v>
      </c>
      <c r="D9640" t="s">
        <v>458</v>
      </c>
      <c r="E9640">
        <v>18.288</v>
      </c>
    </row>
    <row r="9641" spans="2:5">
      <c r="B9641" s="17">
        <v>41741</v>
      </c>
      <c r="D9641" t="s">
        <v>458</v>
      </c>
      <c r="E9641">
        <v>21.400000000000002</v>
      </c>
    </row>
    <row r="9642" spans="2:5">
      <c r="B9642" s="17">
        <v>41741</v>
      </c>
      <c r="D9642" t="s">
        <v>1694</v>
      </c>
      <c r="E9642">
        <v>12.6</v>
      </c>
    </row>
    <row r="9643" spans="2:5">
      <c r="B9643" s="17">
        <v>41741</v>
      </c>
      <c r="D9643" t="s">
        <v>1694</v>
      </c>
      <c r="E9643">
        <v>10.368000000000002</v>
      </c>
    </row>
    <row r="9644" spans="2:5">
      <c r="B9644" s="17">
        <v>41741</v>
      </c>
      <c r="D9644" t="s">
        <v>462</v>
      </c>
      <c r="E9644">
        <v>6.24</v>
      </c>
    </row>
    <row r="9645" spans="2:5">
      <c r="B9645" s="17">
        <v>41741</v>
      </c>
      <c r="D9645" t="s">
        <v>462</v>
      </c>
      <c r="E9645">
        <v>1487.04</v>
      </c>
    </row>
    <row r="9646" spans="2:5">
      <c r="B9646" s="17">
        <v>41740</v>
      </c>
      <c r="D9646" t="s">
        <v>462</v>
      </c>
      <c r="E9646">
        <v>2.5020000000000002</v>
      </c>
    </row>
    <row r="9647" spans="2:5">
      <c r="B9647" s="17">
        <v>41740</v>
      </c>
      <c r="D9647" t="s">
        <v>1408</v>
      </c>
      <c r="E9647">
        <v>7.4880000000000013</v>
      </c>
    </row>
    <row r="9648" spans="2:5">
      <c r="B9648" s="17">
        <v>41740</v>
      </c>
      <c r="D9648" t="s">
        <v>1408</v>
      </c>
      <c r="E9648">
        <v>22.336000000000002</v>
      </c>
    </row>
    <row r="9649" spans="2:5">
      <c r="B9649" s="17">
        <v>41740</v>
      </c>
      <c r="D9649" t="s">
        <v>1408</v>
      </c>
      <c r="E9649">
        <v>48.91</v>
      </c>
    </row>
    <row r="9650" spans="2:5">
      <c r="B9650" s="17">
        <v>41740</v>
      </c>
      <c r="D9650" t="s">
        <v>1408</v>
      </c>
      <c r="E9650">
        <v>9.9120000000000008</v>
      </c>
    </row>
    <row r="9651" spans="2:5">
      <c r="B9651" s="17">
        <v>41740</v>
      </c>
      <c r="D9651" t="s">
        <v>1408</v>
      </c>
      <c r="E9651">
        <v>828.83999999999992</v>
      </c>
    </row>
    <row r="9652" spans="2:5">
      <c r="B9652" s="17">
        <v>41740</v>
      </c>
      <c r="D9652" t="s">
        <v>1710</v>
      </c>
      <c r="E9652">
        <v>744.09999999999991</v>
      </c>
    </row>
    <row r="9653" spans="2:5">
      <c r="B9653" s="17">
        <v>41740</v>
      </c>
      <c r="D9653" t="s">
        <v>1710</v>
      </c>
      <c r="E9653">
        <v>44.840000000000011</v>
      </c>
    </row>
    <row r="9654" spans="2:5">
      <c r="B9654" s="17">
        <v>41740</v>
      </c>
      <c r="D9654" t="s">
        <v>1710</v>
      </c>
      <c r="E9654">
        <v>401.59000000000003</v>
      </c>
    </row>
    <row r="9655" spans="2:5">
      <c r="B9655" s="17">
        <v>41737</v>
      </c>
      <c r="D9655" t="s">
        <v>1849</v>
      </c>
      <c r="E9655">
        <v>59.92</v>
      </c>
    </row>
    <row r="9656" spans="2:5">
      <c r="B9656" s="17">
        <v>41737</v>
      </c>
      <c r="D9656" t="s">
        <v>1849</v>
      </c>
      <c r="E9656">
        <v>76.14</v>
      </c>
    </row>
    <row r="9657" spans="2:5">
      <c r="B9657" s="17">
        <v>41737</v>
      </c>
      <c r="D9657" t="s">
        <v>1849</v>
      </c>
      <c r="E9657">
        <v>58.050000000000004</v>
      </c>
    </row>
    <row r="9658" spans="2:5">
      <c r="B9658" s="17">
        <v>41737</v>
      </c>
      <c r="D9658" t="s">
        <v>419</v>
      </c>
      <c r="E9658">
        <v>71.28</v>
      </c>
    </row>
    <row r="9659" spans="2:5">
      <c r="B9659" s="17">
        <v>41737</v>
      </c>
      <c r="D9659" t="s">
        <v>1102</v>
      </c>
      <c r="E9659">
        <v>13.12</v>
      </c>
    </row>
    <row r="9660" spans="2:5">
      <c r="B9660" s="17">
        <v>41737</v>
      </c>
      <c r="D9660" t="s">
        <v>1102</v>
      </c>
      <c r="E9660">
        <v>10.75</v>
      </c>
    </row>
    <row r="9661" spans="2:5">
      <c r="B9661" s="17">
        <v>41737</v>
      </c>
      <c r="D9661" t="s">
        <v>1102</v>
      </c>
      <c r="E9661">
        <v>11.62</v>
      </c>
    </row>
    <row r="9662" spans="2:5">
      <c r="B9662" s="17">
        <v>41736</v>
      </c>
      <c r="D9662" t="s">
        <v>1102</v>
      </c>
      <c r="E9662">
        <v>2.6880000000000002</v>
      </c>
    </row>
    <row r="9663" spans="2:5">
      <c r="B9663" s="17">
        <v>41736</v>
      </c>
      <c r="D9663" t="s">
        <v>446</v>
      </c>
      <c r="E9663">
        <v>149.352</v>
      </c>
    </row>
    <row r="9664" spans="2:5">
      <c r="B9664" s="17">
        <v>41736</v>
      </c>
      <c r="D9664" t="s">
        <v>1772</v>
      </c>
      <c r="E9664">
        <v>39.072000000000003</v>
      </c>
    </row>
    <row r="9665" spans="2:5">
      <c r="B9665" s="17">
        <v>41736</v>
      </c>
      <c r="D9665" t="s">
        <v>1772</v>
      </c>
      <c r="E9665">
        <v>106.96</v>
      </c>
    </row>
    <row r="9666" spans="2:5">
      <c r="B9666" s="17">
        <v>41736</v>
      </c>
      <c r="D9666" t="s">
        <v>1213</v>
      </c>
      <c r="E9666">
        <v>187.76</v>
      </c>
    </row>
    <row r="9667" spans="2:5">
      <c r="B9667" s="17">
        <v>41735</v>
      </c>
      <c r="D9667" t="s">
        <v>1882</v>
      </c>
      <c r="E9667">
        <v>17.856000000000002</v>
      </c>
    </row>
    <row r="9668" spans="2:5">
      <c r="B9668" s="17">
        <v>41735</v>
      </c>
      <c r="D9668" t="s">
        <v>1882</v>
      </c>
      <c r="E9668">
        <v>509.97000000000008</v>
      </c>
    </row>
    <row r="9669" spans="2:5">
      <c r="B9669" s="17">
        <v>41735</v>
      </c>
      <c r="D9669" t="s">
        <v>1662</v>
      </c>
      <c r="E9669">
        <v>30.991999999999997</v>
      </c>
    </row>
    <row r="9670" spans="2:5">
      <c r="B9670" s="17">
        <v>41735</v>
      </c>
      <c r="D9670" t="s">
        <v>1662</v>
      </c>
      <c r="E9670">
        <v>71.927999999999997</v>
      </c>
    </row>
    <row r="9671" spans="2:5">
      <c r="B9671" s="17">
        <v>41735</v>
      </c>
      <c r="D9671" t="s">
        <v>1662</v>
      </c>
      <c r="E9671">
        <v>7.83</v>
      </c>
    </row>
    <row r="9672" spans="2:5">
      <c r="B9672" s="17">
        <v>41735</v>
      </c>
      <c r="D9672" t="s">
        <v>1662</v>
      </c>
      <c r="E9672">
        <v>1075.088</v>
      </c>
    </row>
    <row r="9673" spans="2:5">
      <c r="B9673" s="17">
        <v>41735</v>
      </c>
      <c r="D9673" t="s">
        <v>1193</v>
      </c>
      <c r="E9673">
        <v>438.36800000000005</v>
      </c>
    </row>
    <row r="9674" spans="2:5">
      <c r="B9674" s="17">
        <v>41735</v>
      </c>
      <c r="D9674" t="s">
        <v>1193</v>
      </c>
      <c r="E9674">
        <v>18.088000000000001</v>
      </c>
    </row>
    <row r="9675" spans="2:5">
      <c r="B9675" s="17">
        <v>41735</v>
      </c>
      <c r="D9675" t="s">
        <v>1193</v>
      </c>
      <c r="E9675">
        <v>32.400000000000006</v>
      </c>
    </row>
    <row r="9676" spans="2:5">
      <c r="B9676" s="17">
        <v>41735</v>
      </c>
      <c r="D9676" t="s">
        <v>278</v>
      </c>
      <c r="E9676">
        <v>39.68</v>
      </c>
    </row>
    <row r="9677" spans="2:5">
      <c r="B9677" s="17">
        <v>41735</v>
      </c>
      <c r="D9677" t="s">
        <v>278</v>
      </c>
      <c r="E9677">
        <v>6.911999999999999</v>
      </c>
    </row>
    <row r="9678" spans="2:5">
      <c r="B9678" s="17">
        <v>41735</v>
      </c>
      <c r="D9678" t="s">
        <v>278</v>
      </c>
      <c r="E9678">
        <v>383.97600000000006</v>
      </c>
    </row>
    <row r="9679" spans="2:5">
      <c r="B9679" s="17">
        <v>41735</v>
      </c>
      <c r="D9679" t="s">
        <v>278</v>
      </c>
      <c r="E9679">
        <v>10.368000000000002</v>
      </c>
    </row>
    <row r="9680" spans="2:5">
      <c r="B9680" s="17">
        <v>41734</v>
      </c>
      <c r="D9680" t="s">
        <v>278</v>
      </c>
      <c r="E9680">
        <v>9.5840000000000014</v>
      </c>
    </row>
    <row r="9681" spans="2:5">
      <c r="B9681" s="17">
        <v>41734</v>
      </c>
      <c r="D9681" t="s">
        <v>278</v>
      </c>
      <c r="E9681">
        <v>758.35200000000009</v>
      </c>
    </row>
    <row r="9682" spans="2:5">
      <c r="B9682" s="17">
        <v>41734</v>
      </c>
      <c r="D9682" t="s">
        <v>278</v>
      </c>
      <c r="E9682">
        <v>87.08</v>
      </c>
    </row>
    <row r="9683" spans="2:5">
      <c r="B9683" s="17">
        <v>41734</v>
      </c>
      <c r="D9683" t="s">
        <v>278</v>
      </c>
      <c r="E9683">
        <v>105.584</v>
      </c>
    </row>
    <row r="9684" spans="2:5">
      <c r="B9684" s="17">
        <v>41734</v>
      </c>
      <c r="D9684" t="s">
        <v>1093</v>
      </c>
      <c r="E9684">
        <v>2.3679999999999999</v>
      </c>
    </row>
    <row r="9685" spans="2:5">
      <c r="B9685" s="17">
        <v>41734</v>
      </c>
      <c r="D9685" t="s">
        <v>1093</v>
      </c>
      <c r="E9685">
        <v>19.008000000000003</v>
      </c>
    </row>
    <row r="9686" spans="2:5">
      <c r="B9686" s="17">
        <v>41734</v>
      </c>
      <c r="D9686" t="s">
        <v>1093</v>
      </c>
      <c r="E9686">
        <v>1215.92</v>
      </c>
    </row>
    <row r="9687" spans="2:5">
      <c r="B9687" s="17">
        <v>41734</v>
      </c>
      <c r="D9687" t="s">
        <v>1093</v>
      </c>
      <c r="E9687">
        <v>49.792000000000002</v>
      </c>
    </row>
    <row r="9688" spans="2:5">
      <c r="B9688" s="17">
        <v>41734</v>
      </c>
      <c r="D9688" t="s">
        <v>1842</v>
      </c>
      <c r="E9688">
        <v>99.591999999999999</v>
      </c>
    </row>
    <row r="9689" spans="2:5">
      <c r="B9689" s="17">
        <v>41734</v>
      </c>
      <c r="D9689" t="s">
        <v>1842</v>
      </c>
      <c r="E9689">
        <v>399.96</v>
      </c>
    </row>
    <row r="9690" spans="2:5">
      <c r="B9690" s="17">
        <v>41734</v>
      </c>
      <c r="D9690" t="s">
        <v>898</v>
      </c>
      <c r="E9690">
        <v>172.11</v>
      </c>
    </row>
    <row r="9691" spans="2:5">
      <c r="B9691" s="17">
        <v>41734</v>
      </c>
      <c r="D9691" t="s">
        <v>898</v>
      </c>
      <c r="E9691">
        <v>8.9600000000000009</v>
      </c>
    </row>
    <row r="9692" spans="2:5">
      <c r="B9692" s="17">
        <v>41734</v>
      </c>
      <c r="D9692" t="s">
        <v>898</v>
      </c>
      <c r="E9692">
        <v>629.94999999999993</v>
      </c>
    </row>
    <row r="9693" spans="2:5">
      <c r="B9693" s="17">
        <v>41733</v>
      </c>
      <c r="D9693" t="s">
        <v>898</v>
      </c>
      <c r="E9693">
        <v>122.97</v>
      </c>
    </row>
    <row r="9694" spans="2:5">
      <c r="B9694" s="17">
        <v>41733</v>
      </c>
      <c r="D9694" t="s">
        <v>898</v>
      </c>
      <c r="E9694">
        <v>58.320000000000007</v>
      </c>
    </row>
    <row r="9695" spans="2:5">
      <c r="B9695" s="17">
        <v>41733</v>
      </c>
      <c r="D9695" t="s">
        <v>844</v>
      </c>
      <c r="E9695">
        <v>44.910000000000011</v>
      </c>
    </row>
    <row r="9696" spans="2:5">
      <c r="B9696" s="17">
        <v>41733</v>
      </c>
      <c r="D9696" t="s">
        <v>844</v>
      </c>
      <c r="E9696">
        <v>10.304000000000002</v>
      </c>
    </row>
    <row r="9697" spans="2:5">
      <c r="B9697" s="17">
        <v>41733</v>
      </c>
      <c r="D9697" t="s">
        <v>844</v>
      </c>
      <c r="E9697">
        <v>154.76400000000001</v>
      </c>
    </row>
    <row r="9698" spans="2:5">
      <c r="B9698" s="17">
        <v>41733</v>
      </c>
      <c r="D9698" t="s">
        <v>844</v>
      </c>
      <c r="E9698">
        <v>116.78399999999999</v>
      </c>
    </row>
    <row r="9699" spans="2:5">
      <c r="B9699" s="17">
        <v>41733</v>
      </c>
      <c r="D9699" t="s">
        <v>363</v>
      </c>
      <c r="E9699">
        <v>653.54999999999995</v>
      </c>
    </row>
    <row r="9700" spans="2:5">
      <c r="B9700" s="17">
        <v>41733</v>
      </c>
      <c r="D9700" t="s">
        <v>363</v>
      </c>
      <c r="E9700">
        <v>33.9</v>
      </c>
    </row>
    <row r="9701" spans="2:5">
      <c r="B9701" s="17">
        <v>41732</v>
      </c>
      <c r="D9701" t="s">
        <v>363</v>
      </c>
      <c r="E9701">
        <v>91.96</v>
      </c>
    </row>
    <row r="9702" spans="2:5">
      <c r="B9702" s="17">
        <v>41732</v>
      </c>
      <c r="D9702" t="s">
        <v>363</v>
      </c>
      <c r="E9702">
        <v>33.11</v>
      </c>
    </row>
    <row r="9703" spans="2:5">
      <c r="B9703" s="17">
        <v>41732</v>
      </c>
      <c r="D9703" t="s">
        <v>363</v>
      </c>
      <c r="E9703">
        <v>19.440000000000001</v>
      </c>
    </row>
    <row r="9704" spans="2:5">
      <c r="B9704" s="17">
        <v>41731</v>
      </c>
      <c r="D9704" t="s">
        <v>363</v>
      </c>
      <c r="E9704">
        <v>55.48</v>
      </c>
    </row>
    <row r="9705" spans="2:5">
      <c r="B9705" s="17">
        <v>41731</v>
      </c>
      <c r="D9705" t="s">
        <v>363</v>
      </c>
      <c r="E9705">
        <v>70.949999999999989</v>
      </c>
    </row>
    <row r="9706" spans="2:5">
      <c r="B9706" s="17">
        <v>41731</v>
      </c>
      <c r="D9706" t="s">
        <v>363</v>
      </c>
      <c r="E9706">
        <v>65.567999999999998</v>
      </c>
    </row>
    <row r="9707" spans="2:5">
      <c r="B9707" s="17">
        <v>41731</v>
      </c>
      <c r="D9707" t="s">
        <v>1762</v>
      </c>
      <c r="E9707">
        <v>55.48</v>
      </c>
    </row>
    <row r="9708" spans="2:5">
      <c r="B9708" s="17">
        <v>41731</v>
      </c>
      <c r="D9708" t="s">
        <v>1762</v>
      </c>
      <c r="E9708">
        <v>22.959999999999997</v>
      </c>
    </row>
    <row r="9709" spans="2:5">
      <c r="B9709" s="17">
        <v>41731</v>
      </c>
      <c r="D9709" t="s">
        <v>1762</v>
      </c>
      <c r="E9709">
        <v>28.99</v>
      </c>
    </row>
    <row r="9710" spans="2:5">
      <c r="B9710" s="17">
        <v>41730</v>
      </c>
      <c r="D9710" t="s">
        <v>1504</v>
      </c>
      <c r="E9710">
        <v>12.96</v>
      </c>
    </row>
    <row r="9711" spans="2:5">
      <c r="B9711" s="17">
        <v>41730</v>
      </c>
      <c r="D9711" t="s">
        <v>1504</v>
      </c>
      <c r="E9711">
        <v>22.959999999999997</v>
      </c>
    </row>
    <row r="9712" spans="2:5">
      <c r="B9712" s="17">
        <v>41730</v>
      </c>
      <c r="D9712" t="s">
        <v>1504</v>
      </c>
      <c r="E9712">
        <v>4164.0499999999993</v>
      </c>
    </row>
    <row r="9713" spans="2:5">
      <c r="B9713" s="17">
        <v>41730</v>
      </c>
      <c r="D9713" t="s">
        <v>1504</v>
      </c>
      <c r="E9713">
        <v>49.632000000000005</v>
      </c>
    </row>
    <row r="9714" spans="2:5">
      <c r="B9714" s="17">
        <v>41729</v>
      </c>
      <c r="D9714" t="s">
        <v>1504</v>
      </c>
      <c r="E9714">
        <v>52.096000000000004</v>
      </c>
    </row>
    <row r="9715" spans="2:5">
      <c r="B9715" s="17">
        <v>41729</v>
      </c>
      <c r="D9715" t="s">
        <v>1504</v>
      </c>
      <c r="E9715">
        <v>26.7</v>
      </c>
    </row>
    <row r="9716" spans="2:5">
      <c r="B9716" s="17">
        <v>41729</v>
      </c>
      <c r="D9716" t="s">
        <v>1178</v>
      </c>
      <c r="E9716">
        <v>40.199999999999996</v>
      </c>
    </row>
    <row r="9717" spans="2:5">
      <c r="B9717" s="17">
        <v>41729</v>
      </c>
      <c r="D9717" t="s">
        <v>1178</v>
      </c>
      <c r="E9717">
        <v>13.89</v>
      </c>
    </row>
    <row r="9718" spans="2:5">
      <c r="B9718" s="17">
        <v>41729</v>
      </c>
      <c r="D9718" t="s">
        <v>1178</v>
      </c>
      <c r="E9718">
        <v>689.81999999999994</v>
      </c>
    </row>
    <row r="9719" spans="2:5">
      <c r="B9719" s="17">
        <v>41729</v>
      </c>
      <c r="D9719" t="s">
        <v>1178</v>
      </c>
      <c r="E9719">
        <v>115.36</v>
      </c>
    </row>
    <row r="9720" spans="2:5">
      <c r="B9720" s="17">
        <v>41729</v>
      </c>
      <c r="D9720" t="s">
        <v>1178</v>
      </c>
      <c r="E9720">
        <v>18.899999999999999</v>
      </c>
    </row>
    <row r="9721" spans="2:5">
      <c r="B9721" s="17">
        <v>41729</v>
      </c>
      <c r="D9721" t="s">
        <v>1178</v>
      </c>
      <c r="E9721">
        <v>5.47</v>
      </c>
    </row>
    <row r="9722" spans="2:5">
      <c r="B9722" s="17">
        <v>41729</v>
      </c>
      <c r="D9722" t="s">
        <v>1178</v>
      </c>
      <c r="E9722">
        <v>79.36</v>
      </c>
    </row>
    <row r="9723" spans="2:5">
      <c r="B9723" s="17">
        <v>41728</v>
      </c>
      <c r="D9723" t="s">
        <v>1178</v>
      </c>
      <c r="E9723">
        <v>7.1840000000000011</v>
      </c>
    </row>
    <row r="9724" spans="2:5">
      <c r="B9724" s="17">
        <v>41728</v>
      </c>
      <c r="D9724" t="s">
        <v>180</v>
      </c>
      <c r="E9724">
        <v>99.98</v>
      </c>
    </row>
    <row r="9725" spans="2:5">
      <c r="B9725" s="17">
        <v>41728</v>
      </c>
      <c r="D9725" t="s">
        <v>180</v>
      </c>
      <c r="E9725">
        <v>19.440000000000001</v>
      </c>
    </row>
    <row r="9726" spans="2:5">
      <c r="B9726" s="17">
        <v>41728</v>
      </c>
      <c r="D9726" t="s">
        <v>180</v>
      </c>
      <c r="E9726">
        <v>12.96</v>
      </c>
    </row>
    <row r="9727" spans="2:5">
      <c r="B9727" s="17">
        <v>41728</v>
      </c>
      <c r="D9727" t="s">
        <v>180</v>
      </c>
      <c r="E9727">
        <v>11.16</v>
      </c>
    </row>
    <row r="9728" spans="2:5">
      <c r="B9728" s="17">
        <v>41728</v>
      </c>
      <c r="D9728" t="s">
        <v>180</v>
      </c>
      <c r="E9728">
        <v>62.31</v>
      </c>
    </row>
    <row r="9729" spans="2:5">
      <c r="B9729" s="17">
        <v>41728</v>
      </c>
      <c r="D9729" t="s">
        <v>180</v>
      </c>
      <c r="E9729">
        <v>159.97999999999999</v>
      </c>
    </row>
    <row r="9730" spans="2:5">
      <c r="B9730" s="17">
        <v>41728</v>
      </c>
      <c r="D9730" t="s">
        <v>180</v>
      </c>
      <c r="E9730">
        <v>15.84</v>
      </c>
    </row>
    <row r="9731" spans="2:5">
      <c r="B9731" s="17">
        <v>41728</v>
      </c>
      <c r="D9731" t="s">
        <v>1030</v>
      </c>
      <c r="E9731">
        <v>1049.93</v>
      </c>
    </row>
    <row r="9732" spans="2:5">
      <c r="B9732" s="17">
        <v>41727</v>
      </c>
      <c r="D9732" t="s">
        <v>1030</v>
      </c>
      <c r="E9732">
        <v>154.9</v>
      </c>
    </row>
    <row r="9733" spans="2:5">
      <c r="B9733" s="17">
        <v>41726</v>
      </c>
      <c r="D9733" t="s">
        <v>970</v>
      </c>
      <c r="E9733">
        <v>26.720000000000002</v>
      </c>
    </row>
    <row r="9734" spans="2:5">
      <c r="B9734" s="17">
        <v>41726</v>
      </c>
      <c r="D9734" t="s">
        <v>970</v>
      </c>
      <c r="E9734">
        <v>33.488000000000007</v>
      </c>
    </row>
    <row r="9735" spans="2:5">
      <c r="B9735" s="17">
        <v>41726</v>
      </c>
      <c r="D9735" t="s">
        <v>970</v>
      </c>
      <c r="E9735">
        <v>177.68</v>
      </c>
    </row>
    <row r="9736" spans="2:5">
      <c r="B9736" s="17">
        <v>41726</v>
      </c>
      <c r="D9736" t="s">
        <v>970</v>
      </c>
      <c r="E9736">
        <v>29.6</v>
      </c>
    </row>
    <row r="9737" spans="2:5">
      <c r="B9737" s="17">
        <v>41724</v>
      </c>
      <c r="D9737" t="s">
        <v>970</v>
      </c>
      <c r="E9737">
        <v>17.088000000000001</v>
      </c>
    </row>
    <row r="9738" spans="2:5">
      <c r="B9738" s="17">
        <v>41724</v>
      </c>
      <c r="D9738" t="s">
        <v>970</v>
      </c>
      <c r="E9738">
        <v>66.959999999999994</v>
      </c>
    </row>
    <row r="9739" spans="2:5">
      <c r="B9739" s="17">
        <v>41724</v>
      </c>
      <c r="D9739" t="s">
        <v>970</v>
      </c>
      <c r="E9739">
        <v>6.24</v>
      </c>
    </row>
    <row r="9740" spans="2:5">
      <c r="B9740" s="17">
        <v>41724</v>
      </c>
      <c r="D9740" t="s">
        <v>209</v>
      </c>
      <c r="E9740">
        <v>673.5680000000001</v>
      </c>
    </row>
    <row r="9741" spans="2:5">
      <c r="B9741" s="17">
        <v>41724</v>
      </c>
      <c r="D9741" t="s">
        <v>209</v>
      </c>
      <c r="E9741">
        <v>52.98</v>
      </c>
    </row>
    <row r="9742" spans="2:5">
      <c r="B9742" s="17">
        <v>41723</v>
      </c>
      <c r="D9742" t="s">
        <v>209</v>
      </c>
      <c r="E9742">
        <v>0.85200000000000009</v>
      </c>
    </row>
    <row r="9743" spans="2:5">
      <c r="B9743" s="17">
        <v>41723</v>
      </c>
      <c r="D9743" t="s">
        <v>209</v>
      </c>
      <c r="E9743">
        <v>8.1339999999999986</v>
      </c>
    </row>
    <row r="9744" spans="2:5">
      <c r="B9744" s="17">
        <v>41723</v>
      </c>
      <c r="D9744" t="s">
        <v>209</v>
      </c>
      <c r="E9744">
        <v>79.984000000000009</v>
      </c>
    </row>
    <row r="9745" spans="2:5">
      <c r="B9745" s="17">
        <v>41723</v>
      </c>
      <c r="D9745" t="s">
        <v>209</v>
      </c>
      <c r="E9745">
        <v>1.8690000000000004</v>
      </c>
    </row>
    <row r="9746" spans="2:5">
      <c r="B9746" s="17">
        <v>41723</v>
      </c>
      <c r="D9746" t="s">
        <v>209</v>
      </c>
      <c r="E9746">
        <v>1125.4879999999998</v>
      </c>
    </row>
    <row r="9747" spans="2:5">
      <c r="B9747" s="17">
        <v>41722</v>
      </c>
      <c r="D9747" t="s">
        <v>209</v>
      </c>
      <c r="E9747">
        <v>12.645000000000001</v>
      </c>
    </row>
    <row r="9748" spans="2:5">
      <c r="B9748" s="17">
        <v>41722</v>
      </c>
      <c r="D9748" t="s">
        <v>209</v>
      </c>
      <c r="E9748">
        <v>4.032</v>
      </c>
    </row>
    <row r="9749" spans="2:5">
      <c r="B9749" s="17">
        <v>41721</v>
      </c>
      <c r="D9749" t="s">
        <v>1806</v>
      </c>
      <c r="E9749">
        <v>49.65</v>
      </c>
    </row>
    <row r="9750" spans="2:5">
      <c r="B9750" s="17">
        <v>41721</v>
      </c>
      <c r="D9750" t="s">
        <v>1073</v>
      </c>
      <c r="E9750">
        <v>15.84</v>
      </c>
    </row>
    <row r="9751" spans="2:5">
      <c r="B9751" s="17">
        <v>41721</v>
      </c>
      <c r="D9751" t="s">
        <v>1073</v>
      </c>
      <c r="E9751">
        <v>44.400000000000006</v>
      </c>
    </row>
    <row r="9752" spans="2:5">
      <c r="B9752" s="17">
        <v>41720</v>
      </c>
      <c r="D9752" t="s">
        <v>1073</v>
      </c>
      <c r="E9752">
        <v>10.5</v>
      </c>
    </row>
    <row r="9753" spans="2:5">
      <c r="B9753" s="17">
        <v>41720</v>
      </c>
      <c r="D9753" t="s">
        <v>1048</v>
      </c>
      <c r="E9753">
        <v>127.30199999999999</v>
      </c>
    </row>
    <row r="9754" spans="2:5">
      <c r="B9754" s="17">
        <v>41720</v>
      </c>
      <c r="D9754" t="s">
        <v>1048</v>
      </c>
      <c r="E9754">
        <v>129.30000000000001</v>
      </c>
    </row>
    <row r="9755" spans="2:5">
      <c r="B9755" s="17">
        <v>41720</v>
      </c>
      <c r="D9755" t="s">
        <v>1048</v>
      </c>
      <c r="E9755">
        <v>890.84099999999989</v>
      </c>
    </row>
    <row r="9756" spans="2:5">
      <c r="B9756" s="17">
        <v>41720</v>
      </c>
      <c r="D9756" t="s">
        <v>1048</v>
      </c>
      <c r="E9756">
        <v>6.12</v>
      </c>
    </row>
    <row r="9757" spans="2:5">
      <c r="B9757" s="17">
        <v>41719</v>
      </c>
      <c r="D9757" t="s">
        <v>756</v>
      </c>
      <c r="E9757">
        <v>1184.72</v>
      </c>
    </row>
    <row r="9758" spans="2:5">
      <c r="B9758" s="17">
        <v>41719</v>
      </c>
      <c r="D9758" t="s">
        <v>756</v>
      </c>
      <c r="E9758">
        <v>66.300000000000011</v>
      </c>
    </row>
    <row r="9759" spans="2:5">
      <c r="B9759" s="17">
        <v>41719</v>
      </c>
      <c r="D9759" t="s">
        <v>756</v>
      </c>
      <c r="E9759">
        <v>3.36</v>
      </c>
    </row>
    <row r="9760" spans="2:5">
      <c r="B9760" s="17">
        <v>41719</v>
      </c>
      <c r="D9760" t="s">
        <v>1382</v>
      </c>
      <c r="E9760">
        <v>27.936000000000003</v>
      </c>
    </row>
    <row r="9761" spans="2:5">
      <c r="B9761" s="17">
        <v>41719</v>
      </c>
      <c r="D9761" t="s">
        <v>1382</v>
      </c>
      <c r="E9761">
        <v>28.783999999999999</v>
      </c>
    </row>
    <row r="9762" spans="2:5">
      <c r="B9762" s="17">
        <v>41719</v>
      </c>
      <c r="D9762" t="s">
        <v>1382</v>
      </c>
      <c r="E9762">
        <v>18.75</v>
      </c>
    </row>
    <row r="9763" spans="2:5">
      <c r="B9763" s="17">
        <v>41719</v>
      </c>
      <c r="D9763" t="s">
        <v>1382</v>
      </c>
      <c r="E9763">
        <v>366.786</v>
      </c>
    </row>
    <row r="9764" spans="2:5">
      <c r="B9764" s="17">
        <v>41719</v>
      </c>
      <c r="D9764" t="s">
        <v>1382</v>
      </c>
      <c r="E9764">
        <v>6.56</v>
      </c>
    </row>
    <row r="9765" spans="2:5">
      <c r="B9765" s="17">
        <v>41719</v>
      </c>
      <c r="D9765" t="s">
        <v>1382</v>
      </c>
      <c r="E9765">
        <v>14.88</v>
      </c>
    </row>
    <row r="9766" spans="2:5">
      <c r="B9766" s="17">
        <v>41719</v>
      </c>
      <c r="D9766" t="s">
        <v>1382</v>
      </c>
      <c r="E9766">
        <v>45.48</v>
      </c>
    </row>
    <row r="9767" spans="2:5">
      <c r="B9767" s="17">
        <v>41719</v>
      </c>
      <c r="D9767" t="s">
        <v>1382</v>
      </c>
      <c r="E9767">
        <v>25.44</v>
      </c>
    </row>
    <row r="9768" spans="2:5">
      <c r="B9768" s="17">
        <v>41717</v>
      </c>
      <c r="D9768" t="s">
        <v>838</v>
      </c>
      <c r="E9768">
        <v>24.900000000000002</v>
      </c>
    </row>
    <row r="9769" spans="2:5">
      <c r="B9769" s="17">
        <v>41717</v>
      </c>
      <c r="D9769" t="s">
        <v>838</v>
      </c>
      <c r="E9769">
        <v>40.479999999999997</v>
      </c>
    </row>
    <row r="9770" spans="2:5">
      <c r="B9770" s="17">
        <v>41717</v>
      </c>
      <c r="D9770" t="s">
        <v>838</v>
      </c>
      <c r="E9770">
        <v>604.75199999999995</v>
      </c>
    </row>
    <row r="9771" spans="2:5">
      <c r="B9771" s="17">
        <v>41717</v>
      </c>
      <c r="D9771" t="s">
        <v>838</v>
      </c>
      <c r="E9771">
        <v>9.9120000000000008</v>
      </c>
    </row>
    <row r="9772" spans="2:5">
      <c r="B9772" s="17">
        <v>41717</v>
      </c>
      <c r="D9772" t="s">
        <v>838</v>
      </c>
      <c r="E9772">
        <v>7.644000000000001</v>
      </c>
    </row>
    <row r="9773" spans="2:5">
      <c r="B9773" s="17">
        <v>41717</v>
      </c>
      <c r="D9773" t="s">
        <v>1592</v>
      </c>
      <c r="E9773">
        <v>51.465000000000018</v>
      </c>
    </row>
    <row r="9774" spans="2:5">
      <c r="B9774" s="17">
        <v>41717</v>
      </c>
      <c r="D9774" t="s">
        <v>1592</v>
      </c>
      <c r="E9774">
        <v>74.352000000000004</v>
      </c>
    </row>
    <row r="9775" spans="2:5">
      <c r="B9775" s="17">
        <v>41716</v>
      </c>
      <c r="D9775" t="s">
        <v>1592</v>
      </c>
      <c r="E9775">
        <v>7.4080000000000004</v>
      </c>
    </row>
    <row r="9776" spans="2:5">
      <c r="B9776" s="17">
        <v>41716</v>
      </c>
      <c r="D9776" t="s">
        <v>1159</v>
      </c>
      <c r="E9776">
        <v>6.048</v>
      </c>
    </row>
    <row r="9777" spans="2:5">
      <c r="B9777" s="17">
        <v>41716</v>
      </c>
      <c r="D9777" t="s">
        <v>1159</v>
      </c>
      <c r="E9777">
        <v>3499.9300000000003</v>
      </c>
    </row>
    <row r="9778" spans="2:5">
      <c r="B9778" s="17">
        <v>41716</v>
      </c>
      <c r="D9778" t="s">
        <v>1159</v>
      </c>
      <c r="E9778">
        <v>14.399999999999999</v>
      </c>
    </row>
    <row r="9779" spans="2:5">
      <c r="B9779" s="17">
        <v>41716</v>
      </c>
      <c r="D9779" t="s">
        <v>1159</v>
      </c>
      <c r="E9779">
        <v>122.97</v>
      </c>
    </row>
    <row r="9780" spans="2:5">
      <c r="B9780" s="17">
        <v>41716</v>
      </c>
      <c r="D9780" t="s">
        <v>793</v>
      </c>
      <c r="E9780">
        <v>9.32</v>
      </c>
    </row>
    <row r="9781" spans="2:5">
      <c r="B9781" s="17">
        <v>41716</v>
      </c>
      <c r="D9781" t="s">
        <v>793</v>
      </c>
      <c r="E9781">
        <v>122.94</v>
      </c>
    </row>
    <row r="9782" spans="2:5">
      <c r="B9782" s="17">
        <v>41716</v>
      </c>
      <c r="D9782" t="s">
        <v>793</v>
      </c>
      <c r="E9782">
        <v>59.20000000000001</v>
      </c>
    </row>
    <row r="9783" spans="2:5">
      <c r="B9783" s="17">
        <v>41716</v>
      </c>
      <c r="D9783" t="s">
        <v>793</v>
      </c>
      <c r="E9783">
        <v>32.952000000000005</v>
      </c>
    </row>
    <row r="9784" spans="2:5">
      <c r="B9784" s="17">
        <v>41716</v>
      </c>
      <c r="D9784" t="s">
        <v>543</v>
      </c>
      <c r="E9784">
        <v>11.808</v>
      </c>
    </row>
    <row r="9785" spans="2:5">
      <c r="B9785" s="17">
        <v>41716</v>
      </c>
      <c r="D9785" t="s">
        <v>1291</v>
      </c>
      <c r="E9785">
        <v>26.160000000000004</v>
      </c>
    </row>
    <row r="9786" spans="2:5">
      <c r="B9786" s="17">
        <v>41715</v>
      </c>
      <c r="D9786" t="s">
        <v>1291</v>
      </c>
      <c r="E9786">
        <v>33.57</v>
      </c>
    </row>
    <row r="9787" spans="2:5">
      <c r="B9787" s="17">
        <v>41715</v>
      </c>
      <c r="D9787" t="s">
        <v>1187</v>
      </c>
      <c r="E9787">
        <v>4.9920000000000009</v>
      </c>
    </row>
    <row r="9788" spans="2:5">
      <c r="B9788" s="17">
        <v>41715</v>
      </c>
      <c r="D9788" t="s">
        <v>1187</v>
      </c>
      <c r="E9788">
        <v>20.016000000000002</v>
      </c>
    </row>
    <row r="9789" spans="2:5">
      <c r="B9789" s="17">
        <v>41715</v>
      </c>
      <c r="D9789" t="s">
        <v>1187</v>
      </c>
      <c r="E9789">
        <v>170.24</v>
      </c>
    </row>
    <row r="9790" spans="2:5">
      <c r="B9790" s="17">
        <v>41715</v>
      </c>
      <c r="D9790" t="s">
        <v>1187</v>
      </c>
      <c r="E9790">
        <v>821.3</v>
      </c>
    </row>
    <row r="9791" spans="2:5">
      <c r="B9791" s="17">
        <v>41715</v>
      </c>
      <c r="D9791" t="s">
        <v>1187</v>
      </c>
      <c r="E9791">
        <v>22638.48</v>
      </c>
    </row>
    <row r="9792" spans="2:5">
      <c r="B9792" s="17">
        <v>41715</v>
      </c>
      <c r="D9792" t="s">
        <v>1355</v>
      </c>
      <c r="E9792">
        <v>21.376000000000001</v>
      </c>
    </row>
    <row r="9793" spans="2:5">
      <c r="B9793" s="17">
        <v>41715</v>
      </c>
      <c r="D9793" t="s">
        <v>1355</v>
      </c>
      <c r="E9793">
        <v>8.016</v>
      </c>
    </row>
    <row r="9794" spans="2:5">
      <c r="B9794" s="17">
        <v>41715</v>
      </c>
      <c r="D9794" t="s">
        <v>1355</v>
      </c>
      <c r="E9794">
        <v>30.768000000000001</v>
      </c>
    </row>
    <row r="9795" spans="2:5">
      <c r="B9795" s="17">
        <v>41715</v>
      </c>
      <c r="D9795" t="s">
        <v>1355</v>
      </c>
      <c r="E9795">
        <v>18.936</v>
      </c>
    </row>
    <row r="9796" spans="2:5">
      <c r="B9796" s="17">
        <v>41715</v>
      </c>
      <c r="D9796" t="s">
        <v>1355</v>
      </c>
      <c r="E9796">
        <v>122.352</v>
      </c>
    </row>
    <row r="9797" spans="2:5">
      <c r="B9797" s="17">
        <v>41715</v>
      </c>
      <c r="D9797" t="s">
        <v>1355</v>
      </c>
      <c r="E9797">
        <v>1198.33</v>
      </c>
    </row>
    <row r="9798" spans="2:5">
      <c r="B9798" s="17">
        <v>41715</v>
      </c>
      <c r="D9798" t="s">
        <v>1355</v>
      </c>
      <c r="E9798">
        <v>111</v>
      </c>
    </row>
    <row r="9799" spans="2:5">
      <c r="B9799" s="17">
        <v>41715</v>
      </c>
      <c r="D9799" t="s">
        <v>1464</v>
      </c>
      <c r="E9799">
        <v>1279.9680000000001</v>
      </c>
    </row>
    <row r="9800" spans="2:5">
      <c r="B9800" s="17">
        <v>41715</v>
      </c>
      <c r="D9800" t="s">
        <v>1464</v>
      </c>
      <c r="E9800">
        <v>1856.19</v>
      </c>
    </row>
    <row r="9801" spans="2:5">
      <c r="B9801" s="17">
        <v>41715</v>
      </c>
      <c r="D9801" t="s">
        <v>1464</v>
      </c>
      <c r="E9801">
        <v>93.78</v>
      </c>
    </row>
    <row r="9802" spans="2:5">
      <c r="B9802" s="17">
        <v>41715</v>
      </c>
      <c r="D9802" t="s">
        <v>1464</v>
      </c>
      <c r="E9802">
        <v>47.18</v>
      </c>
    </row>
    <row r="9803" spans="2:5">
      <c r="B9803" s="17">
        <v>41715</v>
      </c>
      <c r="D9803" t="s">
        <v>1464</v>
      </c>
      <c r="E9803">
        <v>19.68</v>
      </c>
    </row>
    <row r="9804" spans="2:5">
      <c r="B9804" s="17">
        <v>41715</v>
      </c>
      <c r="D9804" t="s">
        <v>1464</v>
      </c>
      <c r="E9804">
        <v>53.4</v>
      </c>
    </row>
    <row r="9805" spans="2:5">
      <c r="B9805" s="17">
        <v>41714</v>
      </c>
      <c r="D9805" t="s">
        <v>1436</v>
      </c>
      <c r="E9805">
        <v>35.880000000000003</v>
      </c>
    </row>
    <row r="9806" spans="2:5">
      <c r="B9806" s="17">
        <v>41713</v>
      </c>
      <c r="D9806" t="s">
        <v>1436</v>
      </c>
      <c r="E9806">
        <v>1579.7460000000001</v>
      </c>
    </row>
    <row r="9807" spans="2:5">
      <c r="B9807" s="17">
        <v>41713</v>
      </c>
      <c r="D9807" t="s">
        <v>1436</v>
      </c>
      <c r="E9807">
        <v>1071.576</v>
      </c>
    </row>
    <row r="9808" spans="2:5">
      <c r="B9808" s="17">
        <v>41713</v>
      </c>
      <c r="D9808" t="s">
        <v>1436</v>
      </c>
      <c r="E9808">
        <v>613.90800000000002</v>
      </c>
    </row>
    <row r="9809" spans="2:5">
      <c r="B9809" s="17">
        <v>41713</v>
      </c>
      <c r="D9809" t="s">
        <v>152</v>
      </c>
      <c r="E9809">
        <v>34.86</v>
      </c>
    </row>
    <row r="9810" spans="2:5">
      <c r="B9810" s="17">
        <v>41713</v>
      </c>
      <c r="D9810" t="s">
        <v>152</v>
      </c>
      <c r="E9810">
        <v>155.04</v>
      </c>
    </row>
    <row r="9811" spans="2:5">
      <c r="B9811" s="17">
        <v>41712</v>
      </c>
      <c r="D9811" t="s">
        <v>152</v>
      </c>
      <c r="E9811">
        <v>4.4479999999999995</v>
      </c>
    </row>
    <row r="9812" spans="2:5">
      <c r="B9812" s="17">
        <v>41712</v>
      </c>
      <c r="D9812" t="s">
        <v>152</v>
      </c>
      <c r="E9812">
        <v>5.1840000000000011</v>
      </c>
    </row>
    <row r="9813" spans="2:5">
      <c r="B9813" s="17">
        <v>41712</v>
      </c>
      <c r="D9813" t="s">
        <v>152</v>
      </c>
      <c r="E9813">
        <v>15.552000000000003</v>
      </c>
    </row>
    <row r="9814" spans="2:5">
      <c r="B9814" s="17">
        <v>41712</v>
      </c>
      <c r="D9814" t="s">
        <v>152</v>
      </c>
      <c r="E9814">
        <v>11.43</v>
      </c>
    </row>
    <row r="9815" spans="2:5">
      <c r="B9815" s="17">
        <v>41712</v>
      </c>
      <c r="D9815" t="s">
        <v>152</v>
      </c>
      <c r="E9815">
        <v>30.44</v>
      </c>
    </row>
    <row r="9816" spans="2:5">
      <c r="B9816" s="17">
        <v>41712</v>
      </c>
      <c r="D9816" t="s">
        <v>1145</v>
      </c>
      <c r="E9816">
        <v>12.96</v>
      </c>
    </row>
    <row r="9817" spans="2:5">
      <c r="B9817" s="17">
        <v>41712</v>
      </c>
      <c r="D9817" t="s">
        <v>1145</v>
      </c>
      <c r="E9817">
        <v>16</v>
      </c>
    </row>
    <row r="9818" spans="2:5">
      <c r="B9818" s="17">
        <v>41712</v>
      </c>
      <c r="D9818" t="s">
        <v>1145</v>
      </c>
      <c r="E9818">
        <v>32.67</v>
      </c>
    </row>
    <row r="9819" spans="2:5">
      <c r="B9819" s="17">
        <v>41712</v>
      </c>
      <c r="D9819" t="s">
        <v>1145</v>
      </c>
      <c r="E9819">
        <v>126.624</v>
      </c>
    </row>
    <row r="9820" spans="2:5">
      <c r="B9820" s="17">
        <v>41712</v>
      </c>
      <c r="D9820" t="s">
        <v>1145</v>
      </c>
      <c r="E9820">
        <v>471.92</v>
      </c>
    </row>
    <row r="9821" spans="2:5">
      <c r="B9821" s="17">
        <v>41712</v>
      </c>
      <c r="D9821" t="s">
        <v>1145</v>
      </c>
      <c r="E9821">
        <v>142.77600000000001</v>
      </c>
    </row>
    <row r="9822" spans="2:5">
      <c r="B9822" s="17">
        <v>41709</v>
      </c>
      <c r="D9822" t="s">
        <v>369</v>
      </c>
      <c r="E9822">
        <v>45.695999999999998</v>
      </c>
    </row>
    <row r="9823" spans="2:5">
      <c r="B9823" s="17">
        <v>41709</v>
      </c>
      <c r="D9823" t="s">
        <v>369</v>
      </c>
      <c r="E9823">
        <v>7.218</v>
      </c>
    </row>
    <row r="9824" spans="2:5">
      <c r="B9824" s="17">
        <v>41709</v>
      </c>
      <c r="D9824" t="s">
        <v>369</v>
      </c>
      <c r="E9824">
        <v>43.188000000000009</v>
      </c>
    </row>
    <row r="9825" spans="2:5">
      <c r="B9825" s="17">
        <v>41709</v>
      </c>
      <c r="D9825" t="s">
        <v>369</v>
      </c>
      <c r="E9825">
        <v>131.904</v>
      </c>
    </row>
    <row r="9826" spans="2:5">
      <c r="B9826" s="17">
        <v>41709</v>
      </c>
      <c r="D9826" t="s">
        <v>369</v>
      </c>
      <c r="E9826">
        <v>10.56</v>
      </c>
    </row>
    <row r="9827" spans="2:5">
      <c r="B9827" s="17">
        <v>41709</v>
      </c>
      <c r="D9827" t="s">
        <v>369</v>
      </c>
      <c r="E9827">
        <v>3.38</v>
      </c>
    </row>
    <row r="9828" spans="2:5">
      <c r="B9828" s="17">
        <v>41709</v>
      </c>
      <c r="D9828" t="s">
        <v>369</v>
      </c>
      <c r="E9828">
        <v>1139.92</v>
      </c>
    </row>
    <row r="9829" spans="2:5">
      <c r="B9829" s="17">
        <v>41709</v>
      </c>
      <c r="D9829" t="s">
        <v>369</v>
      </c>
      <c r="E9829">
        <v>33.088000000000001</v>
      </c>
    </row>
    <row r="9830" spans="2:5">
      <c r="B9830" s="17">
        <v>41708</v>
      </c>
      <c r="D9830" t="s">
        <v>369</v>
      </c>
      <c r="E9830">
        <v>80.98</v>
      </c>
    </row>
    <row r="9831" spans="2:5">
      <c r="B9831" s="17">
        <v>41708</v>
      </c>
      <c r="D9831" t="s">
        <v>855</v>
      </c>
      <c r="E9831">
        <v>82.800000000000011</v>
      </c>
    </row>
    <row r="9832" spans="2:5">
      <c r="B9832" s="17">
        <v>41708</v>
      </c>
      <c r="D9832" t="s">
        <v>855</v>
      </c>
      <c r="E9832">
        <v>21.36</v>
      </c>
    </row>
    <row r="9833" spans="2:5">
      <c r="B9833" s="17">
        <v>41705</v>
      </c>
      <c r="D9833" t="s">
        <v>933</v>
      </c>
      <c r="E9833">
        <v>62.048000000000002</v>
      </c>
    </row>
    <row r="9834" spans="2:5">
      <c r="B9834" s="17">
        <v>41705</v>
      </c>
      <c r="D9834" t="s">
        <v>933</v>
      </c>
      <c r="E9834">
        <v>574.91</v>
      </c>
    </row>
    <row r="9835" spans="2:5">
      <c r="B9835" s="17">
        <v>41705</v>
      </c>
      <c r="D9835" t="s">
        <v>933</v>
      </c>
      <c r="E9835">
        <v>8.4480000000000004</v>
      </c>
    </row>
    <row r="9836" spans="2:5">
      <c r="B9836" s="17">
        <v>41705</v>
      </c>
      <c r="D9836" t="s">
        <v>933</v>
      </c>
      <c r="E9836">
        <v>91.055999999999997</v>
      </c>
    </row>
    <row r="9837" spans="2:5">
      <c r="B9837" s="17">
        <v>41705</v>
      </c>
      <c r="D9837" t="s">
        <v>933</v>
      </c>
      <c r="E9837">
        <v>8.32</v>
      </c>
    </row>
    <row r="9838" spans="2:5">
      <c r="B9838" s="17">
        <v>41705</v>
      </c>
      <c r="D9838" t="s">
        <v>933</v>
      </c>
      <c r="E9838">
        <v>10.464000000000002</v>
      </c>
    </row>
    <row r="9839" spans="2:5">
      <c r="B9839" s="17">
        <v>41705</v>
      </c>
      <c r="D9839" t="s">
        <v>933</v>
      </c>
      <c r="E9839">
        <v>108.92</v>
      </c>
    </row>
    <row r="9840" spans="2:5">
      <c r="B9840" s="17">
        <v>41705</v>
      </c>
      <c r="D9840" t="s">
        <v>933</v>
      </c>
      <c r="E9840">
        <v>146.76</v>
      </c>
    </row>
    <row r="9841" spans="2:5">
      <c r="B9841" s="17">
        <v>41703</v>
      </c>
      <c r="D9841" t="s">
        <v>1101</v>
      </c>
      <c r="E9841">
        <v>32.96</v>
      </c>
    </row>
    <row r="9842" spans="2:5">
      <c r="B9842" s="17">
        <v>41703</v>
      </c>
      <c r="D9842" t="s">
        <v>1101</v>
      </c>
      <c r="E9842">
        <v>587.97</v>
      </c>
    </row>
    <row r="9843" spans="2:5">
      <c r="B9843" s="17">
        <v>41703</v>
      </c>
      <c r="D9843" t="s">
        <v>1101</v>
      </c>
      <c r="E9843">
        <v>14.940000000000001</v>
      </c>
    </row>
    <row r="9844" spans="2:5">
      <c r="B9844" s="17">
        <v>41703</v>
      </c>
      <c r="D9844" t="s">
        <v>1101</v>
      </c>
      <c r="E9844">
        <v>7.98</v>
      </c>
    </row>
    <row r="9845" spans="2:5">
      <c r="B9845" s="17">
        <v>41703</v>
      </c>
      <c r="D9845" t="s">
        <v>1101</v>
      </c>
      <c r="E9845">
        <v>22.38</v>
      </c>
    </row>
    <row r="9846" spans="2:5">
      <c r="B9846" s="17">
        <v>41702</v>
      </c>
      <c r="D9846" t="s">
        <v>1101</v>
      </c>
      <c r="E9846">
        <v>636.40800000000013</v>
      </c>
    </row>
    <row r="9847" spans="2:5">
      <c r="B9847" s="17">
        <v>41702</v>
      </c>
      <c r="D9847" t="s">
        <v>1101</v>
      </c>
      <c r="E9847">
        <v>83.168000000000006</v>
      </c>
    </row>
    <row r="9848" spans="2:5">
      <c r="B9848" s="17">
        <v>41701</v>
      </c>
      <c r="D9848" t="s">
        <v>1101</v>
      </c>
      <c r="E9848">
        <v>48.712000000000003</v>
      </c>
    </row>
    <row r="9849" spans="2:5">
      <c r="B9849" s="17">
        <v>41701</v>
      </c>
      <c r="D9849" t="s">
        <v>902</v>
      </c>
      <c r="E9849">
        <v>17.940000000000001</v>
      </c>
    </row>
    <row r="9850" spans="2:5">
      <c r="B9850" s="17">
        <v>41701</v>
      </c>
      <c r="D9850" t="s">
        <v>902</v>
      </c>
      <c r="E9850">
        <v>107.64800000000001</v>
      </c>
    </row>
    <row r="9851" spans="2:5">
      <c r="B9851" s="17">
        <v>41701</v>
      </c>
      <c r="D9851" t="s">
        <v>902</v>
      </c>
      <c r="E9851">
        <v>20.65</v>
      </c>
    </row>
    <row r="9852" spans="2:5">
      <c r="B9852" s="17">
        <v>41701</v>
      </c>
      <c r="D9852" t="s">
        <v>1250</v>
      </c>
      <c r="E9852">
        <v>436.70400000000006</v>
      </c>
    </row>
    <row r="9853" spans="2:5">
      <c r="B9853" s="17">
        <v>41701</v>
      </c>
      <c r="D9853" t="s">
        <v>1250</v>
      </c>
      <c r="E9853">
        <v>481.56800000000004</v>
      </c>
    </row>
    <row r="9854" spans="2:5">
      <c r="B9854" s="17">
        <v>41701</v>
      </c>
      <c r="D9854" t="s">
        <v>1250</v>
      </c>
      <c r="E9854">
        <v>59.519999999999996</v>
      </c>
    </row>
    <row r="9855" spans="2:5">
      <c r="B9855" s="17">
        <v>41701</v>
      </c>
      <c r="D9855" t="s">
        <v>1250</v>
      </c>
      <c r="E9855">
        <v>479.97</v>
      </c>
    </row>
    <row r="9856" spans="2:5">
      <c r="B9856" s="17">
        <v>41701</v>
      </c>
      <c r="D9856" t="s">
        <v>1457</v>
      </c>
      <c r="E9856">
        <v>18.62</v>
      </c>
    </row>
    <row r="9857" spans="2:5">
      <c r="B9857" s="17">
        <v>41700</v>
      </c>
      <c r="D9857" t="s">
        <v>1457</v>
      </c>
      <c r="E9857">
        <v>49.632000000000005</v>
      </c>
    </row>
    <row r="9858" spans="2:5">
      <c r="B9858" s="17">
        <v>41700</v>
      </c>
      <c r="D9858" t="s">
        <v>1457</v>
      </c>
      <c r="E9858">
        <v>97.82</v>
      </c>
    </row>
    <row r="9859" spans="2:5">
      <c r="B9859" s="17">
        <v>41700</v>
      </c>
      <c r="D9859" t="s">
        <v>1137</v>
      </c>
      <c r="E9859">
        <v>354.90000000000003</v>
      </c>
    </row>
    <row r="9860" spans="2:5">
      <c r="B9860" s="17">
        <v>41700</v>
      </c>
      <c r="D9860" t="s">
        <v>1137</v>
      </c>
      <c r="E9860">
        <v>15.552000000000003</v>
      </c>
    </row>
    <row r="9861" spans="2:5">
      <c r="B9861" s="17">
        <v>41699</v>
      </c>
      <c r="D9861" t="s">
        <v>1137</v>
      </c>
      <c r="E9861">
        <v>19.456000000000003</v>
      </c>
    </row>
    <row r="9862" spans="2:5">
      <c r="B9862" s="17">
        <v>41699</v>
      </c>
      <c r="D9862" t="s">
        <v>1137</v>
      </c>
      <c r="E9862">
        <v>9.99</v>
      </c>
    </row>
    <row r="9863" spans="2:5">
      <c r="B9863" s="17">
        <v>41699</v>
      </c>
      <c r="D9863" t="s">
        <v>1137</v>
      </c>
      <c r="E9863">
        <v>125.76</v>
      </c>
    </row>
    <row r="9864" spans="2:5">
      <c r="B9864" s="17">
        <v>41699</v>
      </c>
      <c r="D9864" t="s">
        <v>1137</v>
      </c>
      <c r="E9864">
        <v>25.32</v>
      </c>
    </row>
    <row r="9865" spans="2:5">
      <c r="B9865" s="17">
        <v>41699</v>
      </c>
      <c r="D9865" t="s">
        <v>1137</v>
      </c>
      <c r="E9865">
        <v>15.120000000000001</v>
      </c>
    </row>
    <row r="9866" spans="2:5">
      <c r="B9866" s="17">
        <v>41699</v>
      </c>
      <c r="D9866" t="s">
        <v>976</v>
      </c>
      <c r="E9866">
        <v>44.672000000000004</v>
      </c>
    </row>
    <row r="9867" spans="2:5">
      <c r="B9867" s="17">
        <v>41699</v>
      </c>
      <c r="D9867" t="s">
        <v>976</v>
      </c>
      <c r="E9867">
        <v>176.77199999999996</v>
      </c>
    </row>
    <row r="9868" spans="2:5">
      <c r="B9868" s="17">
        <v>41699</v>
      </c>
      <c r="D9868" t="s">
        <v>976</v>
      </c>
      <c r="E9868">
        <v>626.35200000000009</v>
      </c>
    </row>
    <row r="9869" spans="2:5">
      <c r="B9869" s="17">
        <v>41699</v>
      </c>
      <c r="D9869" t="s">
        <v>976</v>
      </c>
      <c r="E9869">
        <v>11.36</v>
      </c>
    </row>
    <row r="9870" spans="2:5">
      <c r="B9870" s="17">
        <v>41699</v>
      </c>
      <c r="D9870" t="s">
        <v>610</v>
      </c>
      <c r="E9870">
        <v>36.4</v>
      </c>
    </row>
    <row r="9871" spans="2:5">
      <c r="B9871" s="17">
        <v>41697</v>
      </c>
      <c r="D9871" t="s">
        <v>610</v>
      </c>
      <c r="E9871">
        <v>3.4240000000000004</v>
      </c>
    </row>
    <row r="9872" spans="2:5">
      <c r="B9872" s="17">
        <v>41694</v>
      </c>
      <c r="D9872" t="s">
        <v>610</v>
      </c>
      <c r="E9872">
        <v>151.20000000000002</v>
      </c>
    </row>
    <row r="9873" spans="2:5">
      <c r="B9873" s="17">
        <v>41694</v>
      </c>
      <c r="D9873" t="s">
        <v>610</v>
      </c>
      <c r="E9873">
        <v>457.56800000000004</v>
      </c>
    </row>
    <row r="9874" spans="2:5">
      <c r="B9874" s="17">
        <v>41693</v>
      </c>
      <c r="D9874" t="s">
        <v>610</v>
      </c>
      <c r="E9874">
        <v>5.9399999999999995</v>
      </c>
    </row>
    <row r="9875" spans="2:5">
      <c r="B9875" s="17">
        <v>41693</v>
      </c>
      <c r="D9875" t="s">
        <v>610</v>
      </c>
      <c r="E9875">
        <v>634.11599999999999</v>
      </c>
    </row>
    <row r="9876" spans="2:5">
      <c r="B9876" s="17">
        <v>41692</v>
      </c>
      <c r="D9876" t="s">
        <v>610</v>
      </c>
      <c r="E9876">
        <v>17.472000000000001</v>
      </c>
    </row>
    <row r="9877" spans="2:5">
      <c r="B9877" s="17">
        <v>41691</v>
      </c>
      <c r="D9877" t="s">
        <v>1657</v>
      </c>
      <c r="E9877">
        <v>18.84</v>
      </c>
    </row>
    <row r="9878" spans="2:5">
      <c r="B9878" s="17">
        <v>41690</v>
      </c>
      <c r="D9878" t="s">
        <v>1657</v>
      </c>
      <c r="E9878">
        <v>362.24999999999994</v>
      </c>
    </row>
    <row r="9879" spans="2:5">
      <c r="B9879" s="17">
        <v>41690</v>
      </c>
      <c r="D9879" t="s">
        <v>1657</v>
      </c>
      <c r="E9879">
        <v>63.552000000000007</v>
      </c>
    </row>
    <row r="9880" spans="2:5">
      <c r="B9880" s="17">
        <v>41690</v>
      </c>
      <c r="D9880" t="s">
        <v>1691</v>
      </c>
      <c r="E9880">
        <v>129.55199999999999</v>
      </c>
    </row>
    <row r="9881" spans="2:5">
      <c r="B9881" s="17">
        <v>41688</v>
      </c>
      <c r="D9881" t="s">
        <v>1691</v>
      </c>
      <c r="E9881">
        <v>137.352</v>
      </c>
    </row>
    <row r="9882" spans="2:5">
      <c r="B9882" s="17">
        <v>41688</v>
      </c>
      <c r="D9882" t="s">
        <v>1691</v>
      </c>
      <c r="E9882">
        <v>376.50899999999996</v>
      </c>
    </row>
    <row r="9883" spans="2:5">
      <c r="B9883" s="17">
        <v>41687</v>
      </c>
      <c r="D9883" t="s">
        <v>1691</v>
      </c>
      <c r="E9883">
        <v>19.456000000000003</v>
      </c>
    </row>
    <row r="9884" spans="2:5">
      <c r="B9884" s="17">
        <v>41686</v>
      </c>
      <c r="D9884" t="s">
        <v>1691</v>
      </c>
      <c r="E9884">
        <v>32.896000000000001</v>
      </c>
    </row>
    <row r="9885" spans="2:5">
      <c r="B9885" s="17">
        <v>41686</v>
      </c>
      <c r="D9885" t="s">
        <v>1691</v>
      </c>
      <c r="E9885">
        <v>22.776000000000003</v>
      </c>
    </row>
    <row r="9886" spans="2:5">
      <c r="B9886" s="17">
        <v>41685</v>
      </c>
      <c r="D9886" t="s">
        <v>555</v>
      </c>
      <c r="E9886">
        <v>6.9360000000000008</v>
      </c>
    </row>
    <row r="9887" spans="2:5">
      <c r="B9887" s="17">
        <v>41684</v>
      </c>
      <c r="D9887" t="s">
        <v>555</v>
      </c>
      <c r="E9887">
        <v>4.427999999999999</v>
      </c>
    </row>
    <row r="9888" spans="2:5">
      <c r="B9888" s="17">
        <v>41684</v>
      </c>
      <c r="D9888" t="s">
        <v>555</v>
      </c>
      <c r="E9888">
        <v>19.440000000000001</v>
      </c>
    </row>
    <row r="9889" spans="2:5">
      <c r="B9889" s="17">
        <v>41684</v>
      </c>
      <c r="D9889" t="s">
        <v>555</v>
      </c>
      <c r="E9889">
        <v>8.8499999999999979</v>
      </c>
    </row>
    <row r="9890" spans="2:5">
      <c r="B9890" s="17">
        <v>41684</v>
      </c>
      <c r="D9890" t="s">
        <v>555</v>
      </c>
      <c r="E9890">
        <v>62.31</v>
      </c>
    </row>
    <row r="9891" spans="2:5">
      <c r="B9891" s="17">
        <v>41682</v>
      </c>
      <c r="D9891" t="s">
        <v>555</v>
      </c>
      <c r="E9891">
        <v>20.32</v>
      </c>
    </row>
    <row r="9892" spans="2:5">
      <c r="B9892" s="17">
        <v>41681</v>
      </c>
      <c r="D9892" t="s">
        <v>555</v>
      </c>
      <c r="E9892">
        <v>12.96</v>
      </c>
    </row>
    <row r="9893" spans="2:5">
      <c r="B9893" s="17">
        <v>41681</v>
      </c>
      <c r="D9893" t="s">
        <v>555</v>
      </c>
      <c r="E9893">
        <v>25.16</v>
      </c>
    </row>
    <row r="9894" spans="2:5">
      <c r="B9894" s="17">
        <v>41681</v>
      </c>
      <c r="D9894" t="s">
        <v>555</v>
      </c>
      <c r="E9894">
        <v>12.624000000000001</v>
      </c>
    </row>
    <row r="9895" spans="2:5">
      <c r="B9895" s="17">
        <v>41681</v>
      </c>
      <c r="D9895" t="s">
        <v>918</v>
      </c>
      <c r="E9895">
        <v>54.207999999999998</v>
      </c>
    </row>
    <row r="9896" spans="2:5">
      <c r="B9896" s="17">
        <v>41681</v>
      </c>
      <c r="D9896" t="s">
        <v>918</v>
      </c>
      <c r="E9896">
        <v>1.0799999999999998</v>
      </c>
    </row>
    <row r="9897" spans="2:5">
      <c r="B9897" s="17">
        <v>41681</v>
      </c>
      <c r="D9897" t="s">
        <v>918</v>
      </c>
      <c r="E9897">
        <v>7.9599999999999973</v>
      </c>
    </row>
    <row r="9898" spans="2:5">
      <c r="B9898" s="17">
        <v>41681</v>
      </c>
      <c r="D9898" t="s">
        <v>918</v>
      </c>
      <c r="E9898">
        <v>21.36</v>
      </c>
    </row>
    <row r="9899" spans="2:5">
      <c r="B9899" s="17">
        <v>41681</v>
      </c>
      <c r="D9899" t="s">
        <v>918</v>
      </c>
      <c r="E9899">
        <v>16.176000000000002</v>
      </c>
    </row>
    <row r="9900" spans="2:5">
      <c r="B9900" s="17">
        <v>41681</v>
      </c>
      <c r="D9900" t="s">
        <v>918</v>
      </c>
      <c r="E9900">
        <v>81.96</v>
      </c>
    </row>
    <row r="9901" spans="2:5">
      <c r="B9901" s="17">
        <v>41678</v>
      </c>
      <c r="D9901" t="s">
        <v>918</v>
      </c>
      <c r="E9901">
        <v>129.56800000000001</v>
      </c>
    </row>
    <row r="9902" spans="2:5">
      <c r="B9902" s="17">
        <v>41677</v>
      </c>
      <c r="D9902" t="s">
        <v>918</v>
      </c>
      <c r="E9902">
        <v>1256.22</v>
      </c>
    </row>
    <row r="9903" spans="2:5">
      <c r="B9903" s="17">
        <v>41677</v>
      </c>
      <c r="D9903" t="s">
        <v>803</v>
      </c>
      <c r="E9903">
        <v>17.46</v>
      </c>
    </row>
    <row r="9904" spans="2:5">
      <c r="B9904" s="17">
        <v>41676</v>
      </c>
      <c r="D9904" t="s">
        <v>803</v>
      </c>
      <c r="E9904">
        <v>60.89</v>
      </c>
    </row>
    <row r="9905" spans="2:5">
      <c r="B9905" s="17">
        <v>41676</v>
      </c>
      <c r="D9905" t="s">
        <v>803</v>
      </c>
      <c r="E9905">
        <v>14.940000000000001</v>
      </c>
    </row>
    <row r="9906" spans="2:5">
      <c r="B9906" s="17">
        <v>41676</v>
      </c>
      <c r="D9906" t="s">
        <v>803</v>
      </c>
      <c r="E9906">
        <v>9.64</v>
      </c>
    </row>
    <row r="9907" spans="2:5">
      <c r="B9907" s="17">
        <v>41676</v>
      </c>
      <c r="D9907" t="s">
        <v>803</v>
      </c>
      <c r="E9907">
        <v>51.900000000000006</v>
      </c>
    </row>
    <row r="9908" spans="2:5">
      <c r="B9908" s="17">
        <v>41674</v>
      </c>
      <c r="D9908" t="s">
        <v>803</v>
      </c>
      <c r="E9908">
        <v>64.959999999999994</v>
      </c>
    </row>
    <row r="9909" spans="2:5">
      <c r="B9909" s="17">
        <v>41674</v>
      </c>
      <c r="D9909" t="s">
        <v>803</v>
      </c>
      <c r="E9909">
        <v>14.56</v>
      </c>
    </row>
    <row r="9910" spans="2:5">
      <c r="B9910" s="17">
        <v>41674</v>
      </c>
      <c r="D9910" t="s">
        <v>1230</v>
      </c>
      <c r="E9910">
        <v>115.36</v>
      </c>
    </row>
    <row r="9911" spans="2:5">
      <c r="B9911" s="17">
        <v>41673</v>
      </c>
      <c r="D9911" t="s">
        <v>1230</v>
      </c>
      <c r="E9911">
        <v>64.959999999999994</v>
      </c>
    </row>
    <row r="9912" spans="2:5">
      <c r="B9912" s="17">
        <v>41673</v>
      </c>
      <c r="D9912" t="s">
        <v>1230</v>
      </c>
      <c r="E9912">
        <v>15</v>
      </c>
    </row>
    <row r="9913" spans="2:5">
      <c r="B9913" s="17">
        <v>41672</v>
      </c>
      <c r="D9913" t="s">
        <v>1230</v>
      </c>
      <c r="E9913">
        <v>161.61000000000001</v>
      </c>
    </row>
    <row r="9914" spans="2:5">
      <c r="B9914" s="17">
        <v>41672</v>
      </c>
      <c r="D9914" t="s">
        <v>1652</v>
      </c>
      <c r="E9914">
        <v>144.94999999999999</v>
      </c>
    </row>
    <row r="9915" spans="2:5">
      <c r="B9915" s="17">
        <v>41672</v>
      </c>
      <c r="D9915" t="s">
        <v>1652</v>
      </c>
      <c r="E9915">
        <v>8.9519999999999982</v>
      </c>
    </row>
    <row r="9916" spans="2:5">
      <c r="B9916" s="17">
        <v>41671</v>
      </c>
      <c r="D9916" t="s">
        <v>1652</v>
      </c>
      <c r="E9916">
        <v>82.896000000000001</v>
      </c>
    </row>
    <row r="9917" spans="2:5">
      <c r="B9917" s="17">
        <v>41670</v>
      </c>
      <c r="D9917" t="s">
        <v>81</v>
      </c>
      <c r="E9917">
        <v>34.24</v>
      </c>
    </row>
    <row r="9918" spans="2:5">
      <c r="B9918" s="17">
        <v>41669</v>
      </c>
      <c r="D9918" t="s">
        <v>81</v>
      </c>
      <c r="E9918">
        <v>17.248000000000001</v>
      </c>
    </row>
    <row r="9919" spans="2:5">
      <c r="B9919" s="17">
        <v>41669</v>
      </c>
      <c r="D9919" t="s">
        <v>81</v>
      </c>
      <c r="E9919">
        <v>83.84</v>
      </c>
    </row>
    <row r="9920" spans="2:5">
      <c r="B9920" s="17">
        <v>41667</v>
      </c>
      <c r="D9920" t="s">
        <v>81</v>
      </c>
      <c r="E9920">
        <v>13.272000000000002</v>
      </c>
    </row>
    <row r="9921" spans="2:5">
      <c r="B9921" s="17">
        <v>41666</v>
      </c>
      <c r="D9921" t="s">
        <v>81</v>
      </c>
      <c r="E9921">
        <v>12.350000000000001</v>
      </c>
    </row>
    <row r="9922" spans="2:5">
      <c r="B9922" s="17">
        <v>41666</v>
      </c>
      <c r="D9922" t="s">
        <v>81</v>
      </c>
      <c r="E9922">
        <v>18.336000000000002</v>
      </c>
    </row>
    <row r="9923" spans="2:5">
      <c r="B9923" s="17">
        <v>41666</v>
      </c>
      <c r="D9923" t="s">
        <v>357</v>
      </c>
      <c r="E9923">
        <v>180.96</v>
      </c>
    </row>
    <row r="9924" spans="2:5">
      <c r="B9924" s="17">
        <v>41665</v>
      </c>
      <c r="D9924" t="s">
        <v>357</v>
      </c>
      <c r="E9924">
        <v>468.90000000000003</v>
      </c>
    </row>
    <row r="9925" spans="2:5">
      <c r="B9925" s="17">
        <v>41665</v>
      </c>
      <c r="D9925" t="s">
        <v>357</v>
      </c>
      <c r="E9925">
        <v>10.56</v>
      </c>
    </row>
    <row r="9926" spans="2:5">
      <c r="B9926" s="17">
        <v>41665</v>
      </c>
      <c r="D9926" t="s">
        <v>1209</v>
      </c>
      <c r="E9926">
        <v>3.9280000000000004</v>
      </c>
    </row>
    <row r="9927" spans="2:5">
      <c r="B9927" s="17">
        <v>41665</v>
      </c>
      <c r="D9927" t="s">
        <v>1209</v>
      </c>
      <c r="E9927">
        <v>57.23</v>
      </c>
    </row>
    <row r="9928" spans="2:5">
      <c r="B9928" s="17">
        <v>41665</v>
      </c>
      <c r="D9928" t="s">
        <v>1209</v>
      </c>
      <c r="E9928">
        <v>36.44</v>
      </c>
    </row>
    <row r="9929" spans="2:5">
      <c r="B9929" s="17">
        <v>41665</v>
      </c>
      <c r="D9929" t="s">
        <v>1209</v>
      </c>
      <c r="E9929">
        <v>62.820000000000007</v>
      </c>
    </row>
    <row r="9930" spans="2:5">
      <c r="B9930" s="17">
        <v>41665</v>
      </c>
      <c r="D9930" t="s">
        <v>1681</v>
      </c>
      <c r="E9930">
        <v>489.92</v>
      </c>
    </row>
    <row r="9931" spans="2:5">
      <c r="B9931" s="17">
        <v>41665</v>
      </c>
      <c r="D9931" t="s">
        <v>1681</v>
      </c>
      <c r="E9931">
        <v>19.440000000000001</v>
      </c>
    </row>
    <row r="9932" spans="2:5">
      <c r="B9932" s="17">
        <v>41665</v>
      </c>
      <c r="D9932" t="s">
        <v>1681</v>
      </c>
      <c r="E9932">
        <v>16.68</v>
      </c>
    </row>
    <row r="9933" spans="2:5">
      <c r="B9933" s="17">
        <v>41662</v>
      </c>
      <c r="D9933" t="s">
        <v>1681</v>
      </c>
      <c r="E9933">
        <v>155.35</v>
      </c>
    </row>
    <row r="9934" spans="2:5">
      <c r="B9934" s="17">
        <v>41662</v>
      </c>
      <c r="D9934" t="s">
        <v>533</v>
      </c>
      <c r="E9934">
        <v>12.419999999999998</v>
      </c>
    </row>
    <row r="9935" spans="2:5">
      <c r="B9935" s="17">
        <v>41660</v>
      </c>
      <c r="D9935" t="s">
        <v>533</v>
      </c>
      <c r="E9935">
        <v>187.98</v>
      </c>
    </row>
    <row r="9936" spans="2:5">
      <c r="B9936" s="17">
        <v>41659</v>
      </c>
      <c r="D9936" t="s">
        <v>533</v>
      </c>
      <c r="E9936">
        <v>10.68</v>
      </c>
    </row>
    <row r="9937" spans="2:5">
      <c r="B9937" s="17">
        <v>41659</v>
      </c>
      <c r="D9937" t="s">
        <v>533</v>
      </c>
      <c r="E9937">
        <v>141.96</v>
      </c>
    </row>
    <row r="9938" spans="2:5">
      <c r="B9938" s="17">
        <v>41659</v>
      </c>
      <c r="D9938" t="s">
        <v>533</v>
      </c>
      <c r="E9938">
        <v>40.08</v>
      </c>
    </row>
    <row r="9939" spans="2:5">
      <c r="B9939" s="17">
        <v>41659</v>
      </c>
      <c r="D9939" t="s">
        <v>533</v>
      </c>
      <c r="E9939">
        <v>5.9399999999999995</v>
      </c>
    </row>
    <row r="9940" spans="2:5">
      <c r="B9940" s="17">
        <v>41659</v>
      </c>
      <c r="D9940" t="s">
        <v>533</v>
      </c>
      <c r="E9940">
        <v>25.248000000000001</v>
      </c>
    </row>
    <row r="9941" spans="2:5">
      <c r="B9941" s="17">
        <v>41659</v>
      </c>
      <c r="D9941" t="s">
        <v>533</v>
      </c>
      <c r="E9941">
        <v>699.93</v>
      </c>
    </row>
    <row r="9942" spans="2:5">
      <c r="B9942" s="17">
        <v>41659</v>
      </c>
      <c r="D9942" t="s">
        <v>1749</v>
      </c>
      <c r="E9942">
        <v>22.959999999999997</v>
      </c>
    </row>
    <row r="9943" spans="2:5">
      <c r="B9943" s="17">
        <v>41659</v>
      </c>
      <c r="D9943" t="s">
        <v>1534</v>
      </c>
      <c r="E9943">
        <v>38.6</v>
      </c>
    </row>
    <row r="9944" spans="2:5">
      <c r="B9944" s="17">
        <v>41659</v>
      </c>
      <c r="D9944" t="s">
        <v>1534</v>
      </c>
      <c r="E9944">
        <v>6.63</v>
      </c>
    </row>
    <row r="9945" spans="2:5">
      <c r="B9945" s="17">
        <v>41659</v>
      </c>
      <c r="D9945" t="s">
        <v>1534</v>
      </c>
      <c r="E9945">
        <v>23.34</v>
      </c>
    </row>
    <row r="9946" spans="2:5">
      <c r="B9946" s="17">
        <v>41659</v>
      </c>
      <c r="D9946" t="s">
        <v>1534</v>
      </c>
      <c r="E9946">
        <v>1067.94</v>
      </c>
    </row>
    <row r="9947" spans="2:5">
      <c r="B9947" s="17">
        <v>41659</v>
      </c>
      <c r="D9947" t="s">
        <v>1534</v>
      </c>
      <c r="E9947">
        <v>19.36</v>
      </c>
    </row>
    <row r="9948" spans="2:5">
      <c r="B9948" s="17">
        <v>41659</v>
      </c>
      <c r="D9948" t="s">
        <v>1534</v>
      </c>
      <c r="E9948">
        <v>19.3</v>
      </c>
    </row>
    <row r="9949" spans="2:5">
      <c r="B9949" s="17">
        <v>41659</v>
      </c>
      <c r="D9949" t="s">
        <v>1879</v>
      </c>
      <c r="E9949">
        <v>13.98</v>
      </c>
    </row>
    <row r="9950" spans="2:5">
      <c r="B9950" s="17">
        <v>41659</v>
      </c>
      <c r="D9950" t="s">
        <v>687</v>
      </c>
      <c r="E9950">
        <v>19.05</v>
      </c>
    </row>
    <row r="9951" spans="2:5">
      <c r="B9951" s="17">
        <v>41659</v>
      </c>
      <c r="D9951" t="s">
        <v>687</v>
      </c>
      <c r="E9951">
        <v>66.58</v>
      </c>
    </row>
    <row r="9952" spans="2:5">
      <c r="B9952" s="17">
        <v>41659</v>
      </c>
      <c r="D9952" t="s">
        <v>687</v>
      </c>
      <c r="E9952">
        <v>43.92</v>
      </c>
    </row>
    <row r="9953" spans="2:5">
      <c r="B9953" s="17">
        <v>41658</v>
      </c>
      <c r="D9953" t="s">
        <v>687</v>
      </c>
      <c r="E9953">
        <v>14.73</v>
      </c>
    </row>
    <row r="9954" spans="2:5">
      <c r="B9954" s="17">
        <v>41658</v>
      </c>
      <c r="D9954" t="s">
        <v>687</v>
      </c>
      <c r="E9954">
        <v>29.700000000000003</v>
      </c>
    </row>
    <row r="9955" spans="2:5">
      <c r="B9955" s="17">
        <v>41658</v>
      </c>
      <c r="D9955" t="s">
        <v>687</v>
      </c>
      <c r="E9955">
        <v>67.194000000000003</v>
      </c>
    </row>
    <row r="9956" spans="2:5">
      <c r="B9956" s="17">
        <v>41658</v>
      </c>
      <c r="D9956" t="s">
        <v>687</v>
      </c>
      <c r="E9956">
        <v>32.340000000000003</v>
      </c>
    </row>
    <row r="9957" spans="2:5">
      <c r="B9957" s="17">
        <v>41657</v>
      </c>
      <c r="D9957" t="s">
        <v>687</v>
      </c>
      <c r="E9957">
        <v>56.064</v>
      </c>
    </row>
    <row r="9958" spans="2:5">
      <c r="B9958" s="17">
        <v>41655</v>
      </c>
      <c r="D9958" t="s">
        <v>375</v>
      </c>
      <c r="E9958">
        <v>108.72</v>
      </c>
    </row>
    <row r="9959" spans="2:5">
      <c r="B9959" s="17">
        <v>41655</v>
      </c>
      <c r="D9959" t="s">
        <v>375</v>
      </c>
      <c r="E9959">
        <v>181.47000000000003</v>
      </c>
    </row>
    <row r="9960" spans="2:5">
      <c r="B9960" s="17">
        <v>41655</v>
      </c>
      <c r="D9960" t="s">
        <v>375</v>
      </c>
      <c r="E9960">
        <v>64.864000000000004</v>
      </c>
    </row>
    <row r="9961" spans="2:5">
      <c r="B9961" s="17">
        <v>41655</v>
      </c>
      <c r="D9961" t="s">
        <v>375</v>
      </c>
      <c r="E9961">
        <v>127.10400000000001</v>
      </c>
    </row>
    <row r="9962" spans="2:5">
      <c r="B9962" s="17">
        <v>41654</v>
      </c>
      <c r="D9962" t="s">
        <v>375</v>
      </c>
      <c r="E9962">
        <v>124.19999999999999</v>
      </c>
    </row>
    <row r="9963" spans="2:5">
      <c r="B9963" s="17">
        <v>41653</v>
      </c>
      <c r="D9963" t="s">
        <v>375</v>
      </c>
      <c r="E9963">
        <v>18.588000000000005</v>
      </c>
    </row>
    <row r="9964" spans="2:5">
      <c r="B9964" s="17">
        <v>41652</v>
      </c>
      <c r="D9964" t="s">
        <v>375</v>
      </c>
      <c r="E9964">
        <v>30.072000000000003</v>
      </c>
    </row>
    <row r="9965" spans="2:5">
      <c r="B9965" s="17">
        <v>41652</v>
      </c>
      <c r="D9965" t="s">
        <v>375</v>
      </c>
      <c r="E9965">
        <v>149.94999999999999</v>
      </c>
    </row>
    <row r="9966" spans="2:5">
      <c r="B9966" s="17">
        <v>41652</v>
      </c>
      <c r="D9966" t="s">
        <v>375</v>
      </c>
      <c r="E9966">
        <v>61.96</v>
      </c>
    </row>
    <row r="9967" spans="2:5">
      <c r="B9967" s="17">
        <v>41652</v>
      </c>
      <c r="D9967" t="s">
        <v>375</v>
      </c>
      <c r="E9967">
        <v>11.36</v>
      </c>
    </row>
    <row r="9968" spans="2:5">
      <c r="B9968" s="17">
        <v>41652</v>
      </c>
      <c r="D9968" t="s">
        <v>583</v>
      </c>
      <c r="E9968">
        <v>50.94</v>
      </c>
    </row>
    <row r="9969" spans="2:5">
      <c r="B9969" s="17">
        <v>41652</v>
      </c>
      <c r="D9969" t="s">
        <v>583</v>
      </c>
      <c r="E9969">
        <v>646.74</v>
      </c>
    </row>
    <row r="9970" spans="2:5">
      <c r="B9970" s="17">
        <v>41652</v>
      </c>
      <c r="D9970" t="s">
        <v>583</v>
      </c>
      <c r="E9970">
        <v>5.64</v>
      </c>
    </row>
    <row r="9971" spans="2:5">
      <c r="B9971" s="17">
        <v>41652</v>
      </c>
      <c r="D9971" t="s">
        <v>583</v>
      </c>
      <c r="E9971">
        <v>572.58000000000004</v>
      </c>
    </row>
    <row r="9972" spans="2:5">
      <c r="B9972" s="17">
        <v>41652</v>
      </c>
      <c r="D9972" t="s">
        <v>583</v>
      </c>
      <c r="E9972">
        <v>545.93999999999994</v>
      </c>
    </row>
    <row r="9973" spans="2:5">
      <c r="B9973" s="17">
        <v>41652</v>
      </c>
      <c r="D9973" t="s">
        <v>1674</v>
      </c>
      <c r="E9973">
        <v>1325.8500000000001</v>
      </c>
    </row>
    <row r="9974" spans="2:5">
      <c r="B9974" s="17">
        <v>41652</v>
      </c>
      <c r="D9974" t="s">
        <v>1727</v>
      </c>
      <c r="E9974">
        <v>19.899999999999999</v>
      </c>
    </row>
    <row r="9975" spans="2:5">
      <c r="B9975" s="17">
        <v>41650</v>
      </c>
      <c r="D9975" t="s">
        <v>1727</v>
      </c>
      <c r="E9975">
        <v>37.408000000000001</v>
      </c>
    </row>
    <row r="9976" spans="2:5">
      <c r="B9976" s="17">
        <v>41649</v>
      </c>
      <c r="D9976" t="s">
        <v>535</v>
      </c>
      <c r="E9976">
        <v>3.4380000000000006</v>
      </c>
    </row>
    <row r="9977" spans="2:5">
      <c r="B9977" s="17">
        <v>41649</v>
      </c>
      <c r="D9977" t="s">
        <v>535</v>
      </c>
      <c r="E9977">
        <v>9.94</v>
      </c>
    </row>
    <row r="9978" spans="2:5">
      <c r="B9978" s="17">
        <v>41648</v>
      </c>
      <c r="D9978" t="s">
        <v>535</v>
      </c>
      <c r="E9978">
        <v>2.89</v>
      </c>
    </row>
    <row r="9979" spans="2:5">
      <c r="B9979" s="17">
        <v>41648</v>
      </c>
      <c r="D9979" t="s">
        <v>535</v>
      </c>
      <c r="E9979">
        <v>51.94</v>
      </c>
    </row>
    <row r="9980" spans="2:5">
      <c r="B9980" s="17">
        <v>41646</v>
      </c>
      <c r="D9980" t="s">
        <v>535</v>
      </c>
      <c r="E9980">
        <v>9.3439999999999994</v>
      </c>
    </row>
    <row r="9981" spans="2:5">
      <c r="B9981" s="17">
        <v>41646</v>
      </c>
      <c r="D9981" t="s">
        <v>535</v>
      </c>
      <c r="E9981">
        <v>31.200000000000003</v>
      </c>
    </row>
    <row r="9982" spans="2:5">
      <c r="B9982" s="17">
        <v>41645</v>
      </c>
      <c r="D9982" t="s">
        <v>1820</v>
      </c>
      <c r="E9982">
        <v>76.728000000000009</v>
      </c>
    </row>
    <row r="9983" spans="2:5">
      <c r="B9983" s="17">
        <v>41645</v>
      </c>
      <c r="D9983" t="s">
        <v>1820</v>
      </c>
      <c r="E9983">
        <v>10.429999999999998</v>
      </c>
    </row>
    <row r="9984" spans="2:5">
      <c r="B9984" s="17">
        <v>41645</v>
      </c>
      <c r="D9984" t="s">
        <v>70</v>
      </c>
      <c r="E9984">
        <v>19.440000000000001</v>
      </c>
    </row>
    <row r="9985" spans="2:5">
      <c r="B9985" s="17">
        <v>41645</v>
      </c>
      <c r="D9985" t="s">
        <v>70</v>
      </c>
      <c r="E9985">
        <v>12.78</v>
      </c>
    </row>
    <row r="9986" spans="2:5">
      <c r="B9986" s="17">
        <v>41645</v>
      </c>
      <c r="D9986" t="s">
        <v>70</v>
      </c>
      <c r="E9986">
        <v>2573.8200000000002</v>
      </c>
    </row>
    <row r="9987" spans="2:5">
      <c r="B9987" s="17">
        <v>41645</v>
      </c>
      <c r="D9987" t="s">
        <v>70</v>
      </c>
      <c r="E9987">
        <v>609.98</v>
      </c>
    </row>
    <row r="9988" spans="2:5">
      <c r="B9988" s="17">
        <v>41645</v>
      </c>
      <c r="D9988" t="s">
        <v>70</v>
      </c>
      <c r="E9988">
        <v>5.48</v>
      </c>
    </row>
    <row r="9989" spans="2:5">
      <c r="B9989" s="17">
        <v>41645</v>
      </c>
      <c r="D9989" t="s">
        <v>70</v>
      </c>
      <c r="E9989">
        <v>391.98</v>
      </c>
    </row>
    <row r="9990" spans="2:5">
      <c r="B9990" s="17">
        <v>41645</v>
      </c>
      <c r="D9990" t="s">
        <v>70</v>
      </c>
      <c r="E9990">
        <v>755.96</v>
      </c>
    </row>
    <row r="9991" spans="2:5">
      <c r="B9991" s="17">
        <v>41644</v>
      </c>
      <c r="D9991" t="s">
        <v>70</v>
      </c>
      <c r="E9991">
        <v>31.12</v>
      </c>
    </row>
    <row r="9992" spans="2:5">
      <c r="B9992" s="17">
        <v>41643</v>
      </c>
      <c r="D9992" t="s">
        <v>70</v>
      </c>
      <c r="E9992">
        <v>6.54</v>
      </c>
    </row>
    <row r="9993" spans="2:5">
      <c r="B9993" s="17">
        <v>41643</v>
      </c>
      <c r="D9993" t="s">
        <v>70</v>
      </c>
      <c r="E9993">
        <v>19.536000000000001</v>
      </c>
    </row>
    <row r="9994" spans="2:5">
      <c r="B9994" s="17">
        <v>41643</v>
      </c>
      <c r="D9994" t="s">
        <v>70</v>
      </c>
      <c r="E9994">
        <v>11.784000000000001</v>
      </c>
    </row>
    <row r="9995" spans="2:5">
      <c r="B9995" s="17">
        <v>41642</v>
      </c>
      <c r="D9995" t="s">
        <v>70</v>
      </c>
      <c r="E9995">
        <v>3.5399999999999991</v>
      </c>
    </row>
  </sheetData>
  <sortState xmlns:xlrd2="http://schemas.microsoft.com/office/spreadsheetml/2017/richdata2" ref="D2:E9998">
    <sortCondition sortBy="cellColor" ref="E2:E9998" dxfId="4"/>
    <sortCondition sortBy="cellColor" ref="E2:E9998" dxfId="3"/>
  </sortState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A1D5-E35A-4825-829A-71B749474912}">
  <dimension ref="C2:E9998"/>
  <sheetViews>
    <sheetView workbookViewId="0">
      <selection activeCell="J5" sqref="J5"/>
    </sheetView>
  </sheetViews>
  <sheetFormatPr defaultRowHeight="14.4"/>
  <cols>
    <col min="4" max="4" width="11.21875" bestFit="1" customWidth="1"/>
    <col min="5" max="5" width="67" customWidth="1"/>
  </cols>
  <sheetData>
    <row r="2" spans="3:5">
      <c r="C2" s="14" t="s">
        <v>1898</v>
      </c>
    </row>
    <row r="4" spans="3:5" ht="15.6">
      <c r="C4" s="16" t="s">
        <v>1</v>
      </c>
      <c r="D4" s="16" t="s">
        <v>46</v>
      </c>
      <c r="E4" s="16" t="s">
        <v>47</v>
      </c>
    </row>
    <row r="5" spans="3:5">
      <c r="C5">
        <v>0.44399999999999995</v>
      </c>
      <c r="D5" s="17">
        <v>42905</v>
      </c>
      <c r="E5" t="s">
        <v>869</v>
      </c>
    </row>
    <row r="6" spans="3:5">
      <c r="C6">
        <v>0.55599999999999983</v>
      </c>
      <c r="D6" s="17">
        <v>42796</v>
      </c>
      <c r="E6" t="s">
        <v>299</v>
      </c>
    </row>
    <row r="7" spans="3:5">
      <c r="C7">
        <v>0.83599999999999974</v>
      </c>
      <c r="D7" s="17">
        <v>42542</v>
      </c>
      <c r="E7" t="s">
        <v>93</v>
      </c>
    </row>
    <row r="8" spans="3:5">
      <c r="C8">
        <v>0.85200000000000009</v>
      </c>
      <c r="D8" s="17">
        <v>41729</v>
      </c>
      <c r="E8" t="s">
        <v>1719</v>
      </c>
    </row>
    <row r="9" spans="3:5">
      <c r="C9">
        <v>0.87599999999999978</v>
      </c>
      <c r="D9" s="17">
        <v>41908</v>
      </c>
      <c r="E9" t="s">
        <v>537</v>
      </c>
    </row>
    <row r="10" spans="3:5">
      <c r="C10">
        <v>0.8979999999999998</v>
      </c>
      <c r="D10" s="17">
        <v>41922</v>
      </c>
      <c r="E10" t="s">
        <v>353</v>
      </c>
    </row>
    <row r="11" spans="3:5">
      <c r="C11">
        <v>0.98399999999999976</v>
      </c>
      <c r="D11" s="17">
        <v>42180</v>
      </c>
      <c r="E11" t="s">
        <v>1545</v>
      </c>
    </row>
    <row r="12" spans="3:5">
      <c r="C12">
        <v>0.99</v>
      </c>
      <c r="D12" s="17">
        <v>43020</v>
      </c>
      <c r="E12" t="s">
        <v>1053</v>
      </c>
    </row>
    <row r="13" spans="3:5">
      <c r="C13">
        <v>1.0439999999999998</v>
      </c>
      <c r="D13" s="17">
        <v>41841</v>
      </c>
      <c r="E13" t="s">
        <v>1551</v>
      </c>
    </row>
    <row r="14" spans="3:5">
      <c r="C14">
        <v>1.0799999999999998</v>
      </c>
      <c r="D14" s="17">
        <v>41686</v>
      </c>
      <c r="E14" t="s">
        <v>35</v>
      </c>
    </row>
    <row r="15" spans="3:5">
      <c r="C15">
        <v>1.0800000000000003</v>
      </c>
      <c r="D15" s="17">
        <v>42275</v>
      </c>
      <c r="E15" t="s">
        <v>35</v>
      </c>
    </row>
    <row r="16" spans="3:5">
      <c r="C16">
        <v>1.0800000000000003</v>
      </c>
      <c r="D16" s="17">
        <v>42925</v>
      </c>
      <c r="E16" t="s">
        <v>35</v>
      </c>
    </row>
    <row r="17" spans="3:5">
      <c r="C17">
        <v>1.1119999999999997</v>
      </c>
      <c r="D17" s="17">
        <v>42073</v>
      </c>
      <c r="E17" t="s">
        <v>299</v>
      </c>
    </row>
    <row r="18" spans="3:5">
      <c r="C18">
        <v>1.1670000000000003</v>
      </c>
      <c r="D18" s="17">
        <v>41989</v>
      </c>
      <c r="E18" t="s">
        <v>774</v>
      </c>
    </row>
    <row r="19" spans="3:5">
      <c r="C19">
        <v>1.1879999999999997</v>
      </c>
      <c r="D19" s="17">
        <v>42878</v>
      </c>
      <c r="E19" t="s">
        <v>531</v>
      </c>
    </row>
    <row r="20" spans="3:5">
      <c r="C20">
        <v>1.1880000000000002</v>
      </c>
      <c r="D20" s="17">
        <v>42849</v>
      </c>
      <c r="E20" t="s">
        <v>591</v>
      </c>
    </row>
    <row r="21" spans="3:5">
      <c r="C21">
        <v>1.1880000000000002</v>
      </c>
      <c r="D21" s="17">
        <v>43097</v>
      </c>
      <c r="E21" t="s">
        <v>591</v>
      </c>
    </row>
    <row r="22" spans="3:5">
      <c r="C22">
        <v>1.1919999999999997</v>
      </c>
      <c r="D22" s="17">
        <v>42693</v>
      </c>
      <c r="E22" t="s">
        <v>280</v>
      </c>
    </row>
    <row r="23" spans="3:5">
      <c r="C23">
        <v>1.2339999999999998</v>
      </c>
      <c r="D23" s="17">
        <v>41954</v>
      </c>
      <c r="E23" t="s">
        <v>714</v>
      </c>
    </row>
    <row r="24" spans="3:5">
      <c r="C24">
        <v>1.24</v>
      </c>
      <c r="D24" s="17">
        <v>42259</v>
      </c>
      <c r="E24" t="s">
        <v>956</v>
      </c>
    </row>
    <row r="25" spans="3:5">
      <c r="C25">
        <v>1.2479999999999998</v>
      </c>
      <c r="D25" s="17">
        <v>43045</v>
      </c>
      <c r="E25" t="s">
        <v>70</v>
      </c>
    </row>
    <row r="26" spans="3:5">
      <c r="C26">
        <v>1.2479999999999998</v>
      </c>
      <c r="D26" s="17">
        <v>43078</v>
      </c>
      <c r="E26" t="s">
        <v>322</v>
      </c>
    </row>
    <row r="27" spans="3:5">
      <c r="C27">
        <v>1.2719999999999998</v>
      </c>
      <c r="D27" s="17">
        <v>42442</v>
      </c>
      <c r="E27" t="s">
        <v>801</v>
      </c>
    </row>
    <row r="28" spans="3:5">
      <c r="C28">
        <v>1.3439999999999996</v>
      </c>
      <c r="D28" s="17">
        <v>42532</v>
      </c>
      <c r="E28" t="s">
        <v>1552</v>
      </c>
    </row>
    <row r="29" spans="3:5">
      <c r="C29">
        <v>1.3440000000000001</v>
      </c>
      <c r="D29" s="17">
        <v>41930</v>
      </c>
      <c r="E29" t="s">
        <v>1552</v>
      </c>
    </row>
    <row r="30" spans="3:5">
      <c r="C30">
        <v>1.3440000000000001</v>
      </c>
      <c r="D30" s="17">
        <v>41996</v>
      </c>
      <c r="E30" t="s">
        <v>821</v>
      </c>
    </row>
    <row r="31" spans="3:5">
      <c r="C31">
        <v>1.3440000000000001</v>
      </c>
      <c r="D31" s="17">
        <v>42450</v>
      </c>
      <c r="E31" t="s">
        <v>821</v>
      </c>
    </row>
    <row r="32" spans="3:5">
      <c r="C32">
        <v>1.3619999999999997</v>
      </c>
      <c r="D32" s="17">
        <v>42221</v>
      </c>
      <c r="E32" t="s">
        <v>1374</v>
      </c>
    </row>
    <row r="33" spans="3:5">
      <c r="C33">
        <v>1.3650000000000002</v>
      </c>
      <c r="D33" s="17">
        <v>41796</v>
      </c>
      <c r="E33" t="s">
        <v>800</v>
      </c>
    </row>
    <row r="34" spans="3:5">
      <c r="C34">
        <v>1.3919999999999997</v>
      </c>
      <c r="D34" s="17">
        <v>43080</v>
      </c>
      <c r="E34" t="s">
        <v>1519</v>
      </c>
    </row>
    <row r="35" spans="3:5">
      <c r="C35">
        <v>1.4079999999999997</v>
      </c>
      <c r="D35" s="17">
        <v>43043</v>
      </c>
      <c r="E35" t="s">
        <v>1379</v>
      </c>
    </row>
    <row r="36" spans="3:5">
      <c r="C36">
        <v>1.4080000000000001</v>
      </c>
      <c r="D36" s="17">
        <v>42652</v>
      </c>
      <c r="E36" t="s">
        <v>722</v>
      </c>
    </row>
    <row r="37" spans="3:5">
      <c r="C37">
        <v>1.4400000000000002</v>
      </c>
      <c r="D37" s="17">
        <v>43009</v>
      </c>
      <c r="E37" t="s">
        <v>35</v>
      </c>
    </row>
    <row r="38" spans="3:5">
      <c r="C38">
        <v>1.4480000000000002</v>
      </c>
      <c r="D38" s="17">
        <v>42110</v>
      </c>
      <c r="E38" t="s">
        <v>1018</v>
      </c>
    </row>
    <row r="39" spans="3:5">
      <c r="C39">
        <v>1.4759999999999995</v>
      </c>
      <c r="D39" s="17">
        <v>41950</v>
      </c>
      <c r="E39" t="s">
        <v>1545</v>
      </c>
    </row>
    <row r="40" spans="3:5">
      <c r="C40">
        <v>1.4759999999999998</v>
      </c>
      <c r="D40" s="17">
        <v>42112</v>
      </c>
      <c r="E40" t="s">
        <v>1526</v>
      </c>
    </row>
    <row r="41" spans="3:5">
      <c r="C41">
        <v>1.504</v>
      </c>
      <c r="D41" s="17">
        <v>42516</v>
      </c>
      <c r="E41" t="s">
        <v>693</v>
      </c>
    </row>
    <row r="42" spans="3:5">
      <c r="C42">
        <v>1.5239999999999996</v>
      </c>
      <c r="D42" s="17">
        <v>42533</v>
      </c>
      <c r="E42" t="s">
        <v>254</v>
      </c>
    </row>
    <row r="43" spans="3:5">
      <c r="C43">
        <v>1.5559999999999996</v>
      </c>
      <c r="D43" s="17">
        <v>42989</v>
      </c>
      <c r="E43" t="s">
        <v>1184</v>
      </c>
    </row>
    <row r="44" spans="3:5">
      <c r="C44">
        <v>1.5840000000000001</v>
      </c>
      <c r="D44" s="17">
        <v>42960</v>
      </c>
      <c r="E44" t="s">
        <v>1053</v>
      </c>
    </row>
    <row r="45" spans="3:5">
      <c r="C45">
        <v>1.5919999999999996</v>
      </c>
      <c r="D45" s="17">
        <v>42877</v>
      </c>
      <c r="E45" t="s">
        <v>638</v>
      </c>
    </row>
    <row r="46" spans="3:5">
      <c r="C46">
        <v>1.6239999999999994</v>
      </c>
      <c r="D46" s="17">
        <v>42894</v>
      </c>
      <c r="E46" t="s">
        <v>806</v>
      </c>
    </row>
    <row r="47" spans="3:5">
      <c r="C47">
        <v>1.6320000000000001</v>
      </c>
      <c r="D47" s="17">
        <v>41964</v>
      </c>
      <c r="E47" t="s">
        <v>124</v>
      </c>
    </row>
    <row r="48" spans="3:5">
      <c r="C48">
        <v>1.64</v>
      </c>
      <c r="D48" s="17">
        <v>43067</v>
      </c>
      <c r="E48" t="s">
        <v>1047</v>
      </c>
    </row>
    <row r="49" spans="3:5">
      <c r="C49">
        <v>1.6410000000000002</v>
      </c>
      <c r="D49" s="17">
        <v>43091</v>
      </c>
      <c r="E49" t="s">
        <v>834</v>
      </c>
    </row>
    <row r="50" spans="3:5">
      <c r="C50">
        <v>1.6799999999999995</v>
      </c>
      <c r="D50" s="17">
        <v>43097</v>
      </c>
      <c r="E50" t="s">
        <v>1552</v>
      </c>
    </row>
    <row r="51" spans="3:5">
      <c r="C51">
        <v>1.68</v>
      </c>
      <c r="D51" s="17">
        <v>42538</v>
      </c>
      <c r="E51" t="s">
        <v>821</v>
      </c>
    </row>
    <row r="52" spans="3:5">
      <c r="C52">
        <v>1.6959999999999997</v>
      </c>
      <c r="D52" s="17">
        <v>42329</v>
      </c>
      <c r="E52" t="s">
        <v>856</v>
      </c>
    </row>
    <row r="53" spans="3:5">
      <c r="C53">
        <v>1.7199999999999995</v>
      </c>
      <c r="D53" s="17">
        <v>42296</v>
      </c>
      <c r="E53" t="s">
        <v>984</v>
      </c>
    </row>
    <row r="54" spans="3:5">
      <c r="C54">
        <v>1.7279999999999995</v>
      </c>
      <c r="D54" s="17">
        <v>42399</v>
      </c>
      <c r="E54" t="s">
        <v>139</v>
      </c>
    </row>
    <row r="55" spans="3:5">
      <c r="C55">
        <v>1.7279999999999998</v>
      </c>
      <c r="D55" s="17">
        <v>42435</v>
      </c>
      <c r="E55" t="s">
        <v>1524</v>
      </c>
    </row>
    <row r="56" spans="3:5">
      <c r="C56">
        <v>1.7280000000000002</v>
      </c>
      <c r="D56" s="17">
        <v>42708</v>
      </c>
      <c r="E56" t="s">
        <v>1524</v>
      </c>
    </row>
    <row r="57" spans="3:5">
      <c r="C57">
        <v>1.7440000000000002</v>
      </c>
      <c r="D57" s="17">
        <v>43006</v>
      </c>
      <c r="E57" t="s">
        <v>292</v>
      </c>
    </row>
    <row r="58" spans="3:5">
      <c r="C58">
        <v>1.752</v>
      </c>
      <c r="D58" s="17">
        <v>42836</v>
      </c>
      <c r="E58" t="s">
        <v>529</v>
      </c>
    </row>
    <row r="59" spans="3:5">
      <c r="C59">
        <v>1.78</v>
      </c>
      <c r="D59" s="17">
        <v>42348</v>
      </c>
      <c r="E59" t="s">
        <v>127</v>
      </c>
    </row>
    <row r="60" spans="3:5">
      <c r="C60">
        <v>1.7879999999999996</v>
      </c>
      <c r="D60" s="17">
        <v>41915</v>
      </c>
      <c r="E60" t="s">
        <v>280</v>
      </c>
    </row>
    <row r="61" spans="3:5">
      <c r="C61">
        <v>1.7879999999999996</v>
      </c>
      <c r="D61" s="17">
        <v>42611</v>
      </c>
      <c r="E61" t="s">
        <v>280</v>
      </c>
    </row>
    <row r="62" spans="3:5">
      <c r="C62">
        <v>1.7879999999999996</v>
      </c>
      <c r="D62" s="17">
        <v>42791</v>
      </c>
      <c r="E62" t="s">
        <v>280</v>
      </c>
    </row>
    <row r="63" spans="3:5">
      <c r="C63">
        <v>1.7999999999999996</v>
      </c>
      <c r="D63" s="17">
        <v>42723</v>
      </c>
      <c r="E63" t="s">
        <v>35</v>
      </c>
    </row>
    <row r="64" spans="3:5">
      <c r="C64">
        <v>1.81</v>
      </c>
      <c r="D64" s="17">
        <v>42615</v>
      </c>
      <c r="E64" t="s">
        <v>593</v>
      </c>
    </row>
    <row r="65" spans="3:5">
      <c r="C65">
        <v>1.81</v>
      </c>
      <c r="D65" s="17">
        <v>42849</v>
      </c>
      <c r="E65" t="s">
        <v>593</v>
      </c>
    </row>
    <row r="66" spans="3:5">
      <c r="C66">
        <v>1.8239999999999998</v>
      </c>
      <c r="D66" s="17">
        <v>42878</v>
      </c>
      <c r="E66" t="s">
        <v>747</v>
      </c>
    </row>
    <row r="67" spans="3:5">
      <c r="C67">
        <v>1.8240000000000003</v>
      </c>
      <c r="D67" s="17">
        <v>43055</v>
      </c>
      <c r="E67" t="s">
        <v>1404</v>
      </c>
    </row>
    <row r="68" spans="3:5">
      <c r="C68">
        <v>1.8690000000000004</v>
      </c>
      <c r="D68" s="17">
        <v>41729</v>
      </c>
      <c r="E68" t="s">
        <v>315</v>
      </c>
    </row>
    <row r="69" spans="3:5">
      <c r="C69">
        <v>1.8720000000000003</v>
      </c>
      <c r="D69" s="17">
        <v>42286</v>
      </c>
      <c r="E69" t="s">
        <v>70</v>
      </c>
    </row>
    <row r="70" spans="3:5">
      <c r="C70">
        <v>1.8720000000000003</v>
      </c>
      <c r="D70" s="17">
        <v>42569</v>
      </c>
      <c r="E70" t="s">
        <v>1566</v>
      </c>
    </row>
    <row r="71" spans="3:5">
      <c r="C71">
        <v>1.8920000000000003</v>
      </c>
      <c r="D71" s="17">
        <v>42873</v>
      </c>
      <c r="E71" t="s">
        <v>715</v>
      </c>
    </row>
    <row r="72" spans="3:5">
      <c r="C72">
        <v>1.9079999999999997</v>
      </c>
      <c r="D72" s="17">
        <v>42624</v>
      </c>
      <c r="E72" t="s">
        <v>801</v>
      </c>
    </row>
    <row r="73" spans="3:5">
      <c r="C73">
        <v>1.9080000000000004</v>
      </c>
      <c r="D73" s="17">
        <v>42999</v>
      </c>
      <c r="E73" t="s">
        <v>801</v>
      </c>
    </row>
    <row r="74" spans="3:5">
      <c r="C74">
        <v>1.9279999999999997</v>
      </c>
      <c r="D74" s="17">
        <v>42197</v>
      </c>
      <c r="E74" t="s">
        <v>1548</v>
      </c>
    </row>
    <row r="75" spans="3:5">
      <c r="C75">
        <v>1.9380000000000002</v>
      </c>
      <c r="D75" s="17">
        <v>42010</v>
      </c>
      <c r="E75" t="s">
        <v>1474</v>
      </c>
    </row>
    <row r="76" spans="3:5">
      <c r="C76">
        <v>1.9410000000000003</v>
      </c>
      <c r="D76" s="17">
        <v>42572</v>
      </c>
      <c r="E76" t="s">
        <v>54</v>
      </c>
    </row>
    <row r="77" spans="3:5">
      <c r="C77">
        <v>1.9440000000000004</v>
      </c>
      <c r="D77" s="17">
        <v>41961</v>
      </c>
      <c r="E77" t="s">
        <v>1524</v>
      </c>
    </row>
    <row r="78" spans="3:5">
      <c r="C78">
        <v>1.9639999999999995</v>
      </c>
      <c r="D78" s="17">
        <v>42511</v>
      </c>
      <c r="E78" t="s">
        <v>55</v>
      </c>
    </row>
    <row r="79" spans="3:5">
      <c r="C79">
        <v>1.9639999999999995</v>
      </c>
      <c r="D79" s="17">
        <v>42643</v>
      </c>
      <c r="E79" t="s">
        <v>55</v>
      </c>
    </row>
    <row r="80" spans="3:5">
      <c r="C80">
        <v>1.98</v>
      </c>
      <c r="D80" s="17">
        <v>41941</v>
      </c>
      <c r="E80" t="s">
        <v>609</v>
      </c>
    </row>
    <row r="81" spans="3:5">
      <c r="C81">
        <v>1.98</v>
      </c>
      <c r="D81" s="17">
        <v>42605</v>
      </c>
      <c r="E81" t="s">
        <v>609</v>
      </c>
    </row>
    <row r="82" spans="3:5">
      <c r="C82">
        <v>1.984</v>
      </c>
      <c r="D82" s="17">
        <v>41989</v>
      </c>
      <c r="E82" t="s">
        <v>956</v>
      </c>
    </row>
    <row r="83" spans="3:5">
      <c r="C83">
        <v>1.988</v>
      </c>
      <c r="D83" s="17">
        <v>42851</v>
      </c>
      <c r="E83" t="s">
        <v>182</v>
      </c>
    </row>
    <row r="84" spans="3:5">
      <c r="C84">
        <v>1.9959999999999996</v>
      </c>
      <c r="D84" s="17">
        <v>42873</v>
      </c>
      <c r="E84" t="s">
        <v>706</v>
      </c>
    </row>
    <row r="85" spans="3:5">
      <c r="C85">
        <v>2.0250000000000004</v>
      </c>
      <c r="D85" s="17">
        <v>42204</v>
      </c>
      <c r="E85" t="s">
        <v>1615</v>
      </c>
    </row>
    <row r="86" spans="3:5">
      <c r="C86">
        <v>2.032</v>
      </c>
      <c r="D86" s="17">
        <v>43083</v>
      </c>
      <c r="E86" t="s">
        <v>1226</v>
      </c>
    </row>
    <row r="87" spans="3:5">
      <c r="C87">
        <v>2.04</v>
      </c>
      <c r="D87" s="17">
        <v>42754</v>
      </c>
      <c r="E87" t="s">
        <v>124</v>
      </c>
    </row>
    <row r="88" spans="3:5">
      <c r="C88">
        <v>2.0430000000000001</v>
      </c>
      <c r="D88" s="17">
        <v>42435</v>
      </c>
      <c r="E88" t="s">
        <v>1374</v>
      </c>
    </row>
    <row r="89" spans="3:5">
      <c r="C89">
        <v>2.0640000000000001</v>
      </c>
      <c r="D89" s="17">
        <v>43052</v>
      </c>
      <c r="E89" t="s">
        <v>1140</v>
      </c>
    </row>
    <row r="90" spans="3:5">
      <c r="C90">
        <v>2.0679999999999996</v>
      </c>
      <c r="D90" s="17">
        <v>42600</v>
      </c>
      <c r="E90" t="s">
        <v>1502</v>
      </c>
    </row>
    <row r="91" spans="3:5">
      <c r="C91">
        <v>2.0719999999999996</v>
      </c>
      <c r="D91" s="17">
        <v>43027</v>
      </c>
      <c r="E91" t="s">
        <v>473</v>
      </c>
    </row>
    <row r="92" spans="3:5">
      <c r="C92">
        <v>2.0799999999999996</v>
      </c>
      <c r="D92" s="17">
        <v>42273</v>
      </c>
      <c r="E92" t="s">
        <v>1566</v>
      </c>
    </row>
    <row r="93" spans="3:5">
      <c r="C93">
        <v>2.0880000000000001</v>
      </c>
      <c r="D93" s="17">
        <v>42696</v>
      </c>
      <c r="E93" t="s">
        <v>483</v>
      </c>
    </row>
    <row r="94" spans="3:5">
      <c r="C94">
        <v>2.1119999999999997</v>
      </c>
      <c r="D94" s="17">
        <v>42937</v>
      </c>
      <c r="E94" t="s">
        <v>1000</v>
      </c>
    </row>
    <row r="95" spans="3:5">
      <c r="C95">
        <v>2.1819999999999995</v>
      </c>
      <c r="D95" s="17">
        <v>42493</v>
      </c>
      <c r="E95" t="s">
        <v>343</v>
      </c>
    </row>
    <row r="96" spans="3:5">
      <c r="C96">
        <v>2.2000000000000002</v>
      </c>
      <c r="D96" s="17">
        <v>42225</v>
      </c>
      <c r="E96" t="s">
        <v>1447</v>
      </c>
    </row>
    <row r="97" spans="3:5">
      <c r="C97">
        <v>2.2020000000000004</v>
      </c>
      <c r="D97" s="17">
        <v>42859</v>
      </c>
      <c r="E97" t="s">
        <v>635</v>
      </c>
    </row>
    <row r="98" spans="3:5">
      <c r="C98">
        <v>2.21</v>
      </c>
      <c r="D98" s="17">
        <v>42350</v>
      </c>
      <c r="E98" t="s">
        <v>161</v>
      </c>
    </row>
    <row r="99" spans="3:5">
      <c r="C99">
        <v>2.2140000000000004</v>
      </c>
      <c r="D99" s="17">
        <v>42580</v>
      </c>
      <c r="E99" t="s">
        <v>1545</v>
      </c>
    </row>
    <row r="100" spans="3:5">
      <c r="C100">
        <v>2.2140000000000004</v>
      </c>
      <c r="D100" s="17">
        <v>42719</v>
      </c>
      <c r="E100" t="s">
        <v>1545</v>
      </c>
    </row>
    <row r="101" spans="3:5">
      <c r="C101">
        <v>2.2200000000000002</v>
      </c>
      <c r="D101" s="17">
        <v>43031</v>
      </c>
      <c r="E101" t="s">
        <v>869</v>
      </c>
    </row>
    <row r="102" spans="3:5">
      <c r="C102">
        <v>2.2239999999999998</v>
      </c>
      <c r="D102" s="17">
        <v>43004</v>
      </c>
      <c r="E102" t="s">
        <v>394</v>
      </c>
    </row>
    <row r="103" spans="3:5">
      <c r="C103">
        <v>2.2639999999999993</v>
      </c>
      <c r="D103" s="17">
        <v>42905</v>
      </c>
      <c r="E103" t="s">
        <v>868</v>
      </c>
    </row>
    <row r="104" spans="3:5">
      <c r="C104">
        <v>2.2859999999999996</v>
      </c>
      <c r="D104" s="17">
        <v>42003</v>
      </c>
      <c r="E104" t="s">
        <v>1706</v>
      </c>
    </row>
    <row r="105" spans="3:5">
      <c r="C105">
        <v>2.2860000000000005</v>
      </c>
      <c r="D105" s="17">
        <v>42049</v>
      </c>
      <c r="E105" t="s">
        <v>1706</v>
      </c>
    </row>
    <row r="106" spans="3:5">
      <c r="C106">
        <v>2.2959999999999994</v>
      </c>
      <c r="D106" s="17">
        <v>42688</v>
      </c>
      <c r="E106" t="s">
        <v>1072</v>
      </c>
    </row>
    <row r="107" spans="3:5">
      <c r="C107">
        <v>2.2959999999999994</v>
      </c>
      <c r="D107" s="17">
        <v>42966</v>
      </c>
      <c r="E107" t="s">
        <v>1072</v>
      </c>
    </row>
    <row r="108" spans="3:5">
      <c r="C108">
        <v>2.3039999999999994</v>
      </c>
      <c r="D108" s="17">
        <v>42903</v>
      </c>
      <c r="E108" t="s">
        <v>139</v>
      </c>
    </row>
    <row r="109" spans="3:5">
      <c r="C109">
        <v>2.3039999999999998</v>
      </c>
      <c r="D109" s="17">
        <v>42232</v>
      </c>
      <c r="E109" t="s">
        <v>799</v>
      </c>
    </row>
    <row r="110" spans="3:5">
      <c r="C110">
        <v>2.3039999999999998</v>
      </c>
      <c r="D110" s="17">
        <v>42432</v>
      </c>
      <c r="E110" t="s">
        <v>886</v>
      </c>
    </row>
    <row r="111" spans="3:5">
      <c r="C111">
        <v>2.3079999999999994</v>
      </c>
      <c r="D111" s="17">
        <v>42632</v>
      </c>
      <c r="E111" t="s">
        <v>374</v>
      </c>
    </row>
    <row r="112" spans="3:5">
      <c r="C112">
        <v>2.3130000000000002</v>
      </c>
      <c r="D112" s="17">
        <v>42859</v>
      </c>
      <c r="E112" t="s">
        <v>185</v>
      </c>
    </row>
    <row r="113" spans="3:5">
      <c r="C113">
        <v>2.3280000000000003</v>
      </c>
      <c r="D113" s="17">
        <v>42693</v>
      </c>
      <c r="E113" t="s">
        <v>404</v>
      </c>
    </row>
    <row r="114" spans="3:5">
      <c r="C114">
        <v>2.3280000000000003</v>
      </c>
      <c r="D114" s="17">
        <v>42727</v>
      </c>
      <c r="E114" t="s">
        <v>404</v>
      </c>
    </row>
    <row r="115" spans="3:5">
      <c r="C115">
        <v>2.3339999999999996</v>
      </c>
      <c r="D115" s="17">
        <v>42435</v>
      </c>
      <c r="E115" t="s">
        <v>1184</v>
      </c>
    </row>
    <row r="116" spans="3:5">
      <c r="C116">
        <v>2.3679999999999999</v>
      </c>
      <c r="D116" s="17">
        <v>41737</v>
      </c>
      <c r="E116" t="s">
        <v>164</v>
      </c>
    </row>
    <row r="117" spans="3:5">
      <c r="C117">
        <v>2.3679999999999999</v>
      </c>
      <c r="D117" s="17">
        <v>43069</v>
      </c>
      <c r="E117" t="s">
        <v>164</v>
      </c>
    </row>
    <row r="118" spans="3:5">
      <c r="C118">
        <v>2.3760000000000003</v>
      </c>
      <c r="D118" s="17">
        <v>42163</v>
      </c>
      <c r="E118" t="s">
        <v>609</v>
      </c>
    </row>
    <row r="119" spans="3:5">
      <c r="C119">
        <v>2.3760000000000003</v>
      </c>
      <c r="D119" s="17">
        <v>42520</v>
      </c>
      <c r="E119" t="s">
        <v>1340</v>
      </c>
    </row>
    <row r="120" spans="3:5">
      <c r="C120">
        <v>2.3760000000000003</v>
      </c>
      <c r="D120" s="17">
        <v>42855</v>
      </c>
      <c r="E120" t="s">
        <v>609</v>
      </c>
    </row>
    <row r="121" spans="3:5">
      <c r="C121">
        <v>2.3880000000000003</v>
      </c>
      <c r="D121" s="17">
        <v>43044</v>
      </c>
      <c r="E121" t="s">
        <v>638</v>
      </c>
    </row>
    <row r="122" spans="3:5">
      <c r="C122">
        <v>2.3939999999999997</v>
      </c>
      <c r="D122" s="17">
        <v>41975</v>
      </c>
      <c r="E122" t="s">
        <v>484</v>
      </c>
    </row>
    <row r="123" spans="3:5">
      <c r="C123">
        <v>2.4119999999999999</v>
      </c>
      <c r="D123" s="17">
        <v>42260</v>
      </c>
      <c r="E123" t="s">
        <v>761</v>
      </c>
    </row>
    <row r="124" spans="3:5">
      <c r="C124">
        <v>2.4640000000000004</v>
      </c>
      <c r="D124" s="17">
        <v>42798</v>
      </c>
      <c r="E124" t="s">
        <v>309</v>
      </c>
    </row>
    <row r="125" spans="3:5">
      <c r="C125">
        <v>2.4690000000000003</v>
      </c>
      <c r="D125" s="17">
        <v>42272</v>
      </c>
      <c r="E125" t="s">
        <v>156</v>
      </c>
    </row>
    <row r="126" spans="3:5">
      <c r="C126">
        <v>2.48</v>
      </c>
      <c r="D126" s="17">
        <v>42317</v>
      </c>
      <c r="E126" t="s">
        <v>956</v>
      </c>
    </row>
    <row r="127" spans="3:5">
      <c r="C127">
        <v>2.48</v>
      </c>
      <c r="D127" s="17">
        <v>43097</v>
      </c>
      <c r="E127" t="s">
        <v>127</v>
      </c>
    </row>
    <row r="128" spans="3:5">
      <c r="C128">
        <v>2.4960000000000004</v>
      </c>
      <c r="D128" s="17">
        <v>42552</v>
      </c>
      <c r="E128" t="s">
        <v>70</v>
      </c>
    </row>
    <row r="129" spans="3:5">
      <c r="C129">
        <v>2.5020000000000002</v>
      </c>
      <c r="D129" s="17">
        <v>41752</v>
      </c>
      <c r="E129" t="s">
        <v>1174</v>
      </c>
    </row>
    <row r="130" spans="3:5">
      <c r="C130">
        <v>2.5020000000000002</v>
      </c>
      <c r="D130" s="17">
        <v>41895</v>
      </c>
      <c r="E130" t="s">
        <v>299</v>
      </c>
    </row>
    <row r="131" spans="3:5">
      <c r="C131">
        <v>2.5020000000000002</v>
      </c>
      <c r="D131" s="17">
        <v>42196</v>
      </c>
      <c r="E131" t="s">
        <v>299</v>
      </c>
    </row>
    <row r="132" spans="3:5">
      <c r="C132">
        <v>2.508</v>
      </c>
      <c r="D132" s="17">
        <v>42749</v>
      </c>
      <c r="E132" t="s">
        <v>93</v>
      </c>
    </row>
    <row r="133" spans="3:5">
      <c r="C133">
        <v>2.5119999999999996</v>
      </c>
      <c r="D133" s="17">
        <v>42083</v>
      </c>
      <c r="E133" t="s">
        <v>1361</v>
      </c>
    </row>
    <row r="134" spans="3:5">
      <c r="C134">
        <v>2.52</v>
      </c>
      <c r="D134" s="17">
        <v>41968</v>
      </c>
      <c r="E134" t="s">
        <v>1489</v>
      </c>
    </row>
    <row r="135" spans="3:5">
      <c r="C135">
        <v>2.52</v>
      </c>
      <c r="D135" s="17">
        <v>42749</v>
      </c>
      <c r="E135" t="s">
        <v>96</v>
      </c>
    </row>
    <row r="136" spans="3:5">
      <c r="C136">
        <v>2.5439999999999996</v>
      </c>
      <c r="D136" s="17">
        <v>42330</v>
      </c>
      <c r="E136" t="s">
        <v>856</v>
      </c>
    </row>
    <row r="137" spans="3:5">
      <c r="C137">
        <v>2.556</v>
      </c>
      <c r="D137" s="17">
        <v>42068</v>
      </c>
      <c r="E137" t="s">
        <v>1719</v>
      </c>
    </row>
    <row r="138" spans="3:5">
      <c r="C138">
        <v>2.6</v>
      </c>
      <c r="D138" s="17">
        <v>41854</v>
      </c>
      <c r="E138" t="s">
        <v>792</v>
      </c>
    </row>
    <row r="139" spans="3:5">
      <c r="C139">
        <v>2.61</v>
      </c>
      <c r="D139" s="17">
        <v>42345</v>
      </c>
      <c r="E139" t="s">
        <v>964</v>
      </c>
    </row>
    <row r="140" spans="3:5">
      <c r="C140">
        <v>2.61</v>
      </c>
      <c r="D140" s="17">
        <v>42348</v>
      </c>
      <c r="E140" t="s">
        <v>178</v>
      </c>
    </row>
    <row r="141" spans="3:5">
      <c r="C141">
        <v>2.61</v>
      </c>
      <c r="D141" s="17">
        <v>42731</v>
      </c>
      <c r="E141" t="s">
        <v>1564</v>
      </c>
    </row>
    <row r="142" spans="3:5">
      <c r="C142">
        <v>2.6240000000000001</v>
      </c>
      <c r="D142" s="17">
        <v>41967</v>
      </c>
      <c r="E142" t="s">
        <v>943</v>
      </c>
    </row>
    <row r="143" spans="3:5">
      <c r="C143">
        <v>2.6240000000000001</v>
      </c>
      <c r="D143" s="17">
        <v>41987</v>
      </c>
      <c r="E143" t="s">
        <v>875</v>
      </c>
    </row>
    <row r="144" spans="3:5">
      <c r="C144">
        <v>2.6240000000000001</v>
      </c>
      <c r="D144" s="17">
        <v>42120</v>
      </c>
      <c r="E144" t="s">
        <v>943</v>
      </c>
    </row>
    <row r="145" spans="3:5">
      <c r="C145">
        <v>2.6240000000000001</v>
      </c>
      <c r="D145" s="17">
        <v>43078</v>
      </c>
      <c r="E145" t="s">
        <v>943</v>
      </c>
    </row>
    <row r="146" spans="3:5">
      <c r="C146">
        <v>2.6280000000000001</v>
      </c>
      <c r="D146" s="17">
        <v>42694</v>
      </c>
      <c r="E146" t="s">
        <v>537</v>
      </c>
    </row>
    <row r="147" spans="3:5">
      <c r="C147">
        <v>2.6320000000000001</v>
      </c>
      <c r="D147" s="17">
        <v>42558</v>
      </c>
      <c r="E147" t="s">
        <v>752</v>
      </c>
    </row>
    <row r="148" spans="3:5">
      <c r="C148">
        <v>2.6550000000000002</v>
      </c>
      <c r="D148" s="17">
        <v>43006</v>
      </c>
      <c r="E148" t="s">
        <v>961</v>
      </c>
    </row>
    <row r="149" spans="3:5">
      <c r="C149">
        <v>2.6720000000000002</v>
      </c>
      <c r="D149" s="17">
        <v>41955</v>
      </c>
      <c r="E149" t="s">
        <v>1060</v>
      </c>
    </row>
    <row r="150" spans="3:5">
      <c r="C150">
        <v>2.6720000000000002</v>
      </c>
      <c r="D150" s="17">
        <v>42631</v>
      </c>
      <c r="E150" t="s">
        <v>888</v>
      </c>
    </row>
    <row r="151" spans="3:5">
      <c r="C151">
        <v>2.6879999999999997</v>
      </c>
      <c r="D151" s="17">
        <v>42812</v>
      </c>
      <c r="E151" t="s">
        <v>388</v>
      </c>
    </row>
    <row r="152" spans="3:5">
      <c r="C152">
        <v>2.6880000000000002</v>
      </c>
      <c r="D152" s="17">
        <v>41747</v>
      </c>
      <c r="E152" t="s">
        <v>821</v>
      </c>
    </row>
    <row r="153" spans="3:5">
      <c r="C153">
        <v>2.6880000000000002</v>
      </c>
      <c r="D153" s="17">
        <v>41820</v>
      </c>
      <c r="E153" t="s">
        <v>1202</v>
      </c>
    </row>
    <row r="154" spans="3:5">
      <c r="C154">
        <v>2.6880000000000002</v>
      </c>
      <c r="D154" s="17">
        <v>42993</v>
      </c>
      <c r="E154" t="s">
        <v>1202</v>
      </c>
    </row>
    <row r="155" spans="3:5">
      <c r="C155">
        <v>2.6939999999999995</v>
      </c>
      <c r="D155" s="17">
        <v>42846</v>
      </c>
      <c r="E155" t="s">
        <v>353</v>
      </c>
    </row>
    <row r="156" spans="3:5">
      <c r="C156">
        <v>2.6940000000000004</v>
      </c>
      <c r="D156" s="17">
        <v>42510</v>
      </c>
      <c r="E156" t="s">
        <v>353</v>
      </c>
    </row>
    <row r="157" spans="3:5">
      <c r="C157">
        <v>2.6960000000000002</v>
      </c>
      <c r="D157" s="17">
        <v>42138</v>
      </c>
      <c r="E157" t="s">
        <v>1540</v>
      </c>
    </row>
    <row r="158" spans="3:5">
      <c r="C158">
        <v>2.7239999999999993</v>
      </c>
      <c r="D158" s="17">
        <v>41907</v>
      </c>
      <c r="E158" t="s">
        <v>1374</v>
      </c>
    </row>
    <row r="159" spans="3:5">
      <c r="C159">
        <v>2.7239999999999993</v>
      </c>
      <c r="D159" s="17">
        <v>42240</v>
      </c>
      <c r="E159" t="s">
        <v>410</v>
      </c>
    </row>
    <row r="160" spans="3:5">
      <c r="C160">
        <v>2.7240000000000006</v>
      </c>
      <c r="D160" s="17">
        <v>42232</v>
      </c>
      <c r="E160" t="s">
        <v>410</v>
      </c>
    </row>
    <row r="161" spans="3:5">
      <c r="C161">
        <v>2.74</v>
      </c>
      <c r="D161" s="17">
        <v>42079</v>
      </c>
      <c r="E161" t="s">
        <v>1353</v>
      </c>
    </row>
    <row r="162" spans="3:5">
      <c r="C162">
        <v>2.7420000000000004</v>
      </c>
      <c r="D162" s="17">
        <v>42491</v>
      </c>
      <c r="E162" t="s">
        <v>1170</v>
      </c>
    </row>
    <row r="163" spans="3:5">
      <c r="C163">
        <v>2.7719999999999994</v>
      </c>
      <c r="D163" s="17">
        <v>42344</v>
      </c>
      <c r="E163" t="s">
        <v>591</v>
      </c>
    </row>
    <row r="164" spans="3:5">
      <c r="C164">
        <v>2.78</v>
      </c>
      <c r="D164" s="17">
        <v>42308</v>
      </c>
      <c r="E164" t="s">
        <v>1280</v>
      </c>
    </row>
    <row r="165" spans="3:5">
      <c r="C165">
        <v>2.78</v>
      </c>
      <c r="D165" s="17">
        <v>42877</v>
      </c>
      <c r="E165" t="s">
        <v>746</v>
      </c>
    </row>
    <row r="166" spans="3:5">
      <c r="C166">
        <v>2.78</v>
      </c>
      <c r="D166" s="17">
        <v>42983</v>
      </c>
      <c r="E166" t="s">
        <v>746</v>
      </c>
    </row>
    <row r="167" spans="3:5">
      <c r="C167">
        <v>2.78</v>
      </c>
      <c r="D167" s="17">
        <v>42988</v>
      </c>
      <c r="E167" t="s">
        <v>1174</v>
      </c>
    </row>
    <row r="168" spans="3:5">
      <c r="C168">
        <v>2.7840000000000003</v>
      </c>
      <c r="D168" s="17">
        <v>42970</v>
      </c>
      <c r="E168" t="s">
        <v>1090</v>
      </c>
    </row>
    <row r="169" spans="3:5">
      <c r="C169">
        <v>2.8079999999999989</v>
      </c>
      <c r="D169" s="17">
        <v>42267</v>
      </c>
      <c r="E169" t="s">
        <v>136</v>
      </c>
    </row>
    <row r="170" spans="3:5">
      <c r="C170">
        <v>2.8080000000000007</v>
      </c>
      <c r="D170" s="17">
        <v>42733</v>
      </c>
      <c r="E170" t="s">
        <v>70</v>
      </c>
    </row>
    <row r="171" spans="3:5">
      <c r="C171">
        <v>2.8080000000000007</v>
      </c>
      <c r="D171" s="17">
        <v>42742</v>
      </c>
      <c r="E171" t="s">
        <v>70</v>
      </c>
    </row>
    <row r="172" spans="3:5">
      <c r="C172">
        <v>2.8160000000000003</v>
      </c>
      <c r="D172" s="17">
        <v>41902</v>
      </c>
      <c r="E172" t="s">
        <v>998</v>
      </c>
    </row>
    <row r="173" spans="3:5">
      <c r="C173">
        <v>2.8160000000000003</v>
      </c>
      <c r="D173" s="17">
        <v>42269</v>
      </c>
      <c r="E173" t="s">
        <v>722</v>
      </c>
    </row>
    <row r="174" spans="3:5">
      <c r="C174">
        <v>2.84</v>
      </c>
      <c r="D174" s="17">
        <v>41933</v>
      </c>
      <c r="E174" t="s">
        <v>1386</v>
      </c>
    </row>
    <row r="175" spans="3:5">
      <c r="C175">
        <v>2.8620000000000005</v>
      </c>
      <c r="D175" s="17">
        <v>41876</v>
      </c>
      <c r="E175" t="s">
        <v>801</v>
      </c>
    </row>
    <row r="176" spans="3:5">
      <c r="C176">
        <v>2.8639999999999994</v>
      </c>
      <c r="D176" s="17">
        <v>42937</v>
      </c>
      <c r="E176" t="s">
        <v>162</v>
      </c>
    </row>
    <row r="177" spans="3:5">
      <c r="C177">
        <v>2.879999999999999</v>
      </c>
      <c r="D177" s="17">
        <v>42205</v>
      </c>
      <c r="E177" t="s">
        <v>139</v>
      </c>
    </row>
    <row r="178" spans="3:5">
      <c r="C178">
        <v>2.88</v>
      </c>
      <c r="D178" s="17">
        <v>41829</v>
      </c>
      <c r="E178" t="s">
        <v>324</v>
      </c>
    </row>
    <row r="179" spans="3:5">
      <c r="C179">
        <v>2.88</v>
      </c>
      <c r="D179" s="17">
        <v>42482</v>
      </c>
      <c r="E179" t="s">
        <v>1764</v>
      </c>
    </row>
    <row r="180" spans="3:5">
      <c r="C180">
        <v>2.88</v>
      </c>
      <c r="D180" s="17">
        <v>42910</v>
      </c>
      <c r="E180" t="s">
        <v>886</v>
      </c>
    </row>
    <row r="181" spans="3:5">
      <c r="C181">
        <v>2.88</v>
      </c>
      <c r="D181" s="17">
        <v>43010</v>
      </c>
      <c r="E181" t="s">
        <v>139</v>
      </c>
    </row>
    <row r="182" spans="3:5">
      <c r="C182">
        <v>2.88</v>
      </c>
      <c r="D182" s="17">
        <v>43063</v>
      </c>
      <c r="E182" t="s">
        <v>139</v>
      </c>
    </row>
    <row r="183" spans="3:5">
      <c r="C183">
        <v>2.8899999999999992</v>
      </c>
      <c r="D183" s="17">
        <v>42507</v>
      </c>
      <c r="E183" t="s">
        <v>219</v>
      </c>
    </row>
    <row r="184" spans="3:5">
      <c r="C184">
        <v>2.89</v>
      </c>
      <c r="D184" s="17">
        <v>41649</v>
      </c>
      <c r="E184" t="s">
        <v>952</v>
      </c>
    </row>
    <row r="185" spans="3:5">
      <c r="C185">
        <v>2.8919999999999995</v>
      </c>
      <c r="D185" s="17">
        <v>41961</v>
      </c>
      <c r="E185" t="s">
        <v>68</v>
      </c>
    </row>
    <row r="186" spans="3:5">
      <c r="C186">
        <v>2.8920000000000008</v>
      </c>
      <c r="D186" s="17">
        <v>42187</v>
      </c>
      <c r="E186" t="s">
        <v>68</v>
      </c>
    </row>
    <row r="187" spans="3:5">
      <c r="C187">
        <v>2.8959999999999995</v>
      </c>
      <c r="D187" s="17">
        <v>42841</v>
      </c>
      <c r="E187" t="s">
        <v>551</v>
      </c>
    </row>
    <row r="188" spans="3:5">
      <c r="C188">
        <v>2.8960000000000004</v>
      </c>
      <c r="D188" s="17">
        <v>41987</v>
      </c>
      <c r="E188" t="s">
        <v>1018</v>
      </c>
    </row>
    <row r="189" spans="3:5">
      <c r="C189">
        <v>2.8960000000000004</v>
      </c>
      <c r="D189" s="17">
        <v>42945</v>
      </c>
      <c r="E189" t="s">
        <v>1018</v>
      </c>
    </row>
    <row r="190" spans="3:5">
      <c r="C190">
        <v>2.8960000000000004</v>
      </c>
      <c r="D190" s="17">
        <v>42974</v>
      </c>
      <c r="E190" t="s">
        <v>1096</v>
      </c>
    </row>
    <row r="191" spans="3:5">
      <c r="C191">
        <v>2.907</v>
      </c>
      <c r="D191" s="17">
        <v>42640</v>
      </c>
      <c r="E191" t="s">
        <v>1474</v>
      </c>
    </row>
    <row r="192" spans="3:5">
      <c r="C192">
        <v>2.91</v>
      </c>
      <c r="D192" s="17">
        <v>42814</v>
      </c>
      <c r="E192" t="s">
        <v>404</v>
      </c>
    </row>
    <row r="193" spans="3:5">
      <c r="C193">
        <v>2.9120000000000004</v>
      </c>
      <c r="D193" s="17">
        <v>42624</v>
      </c>
      <c r="E193" t="s">
        <v>189</v>
      </c>
    </row>
    <row r="194" spans="3:5">
      <c r="C194">
        <v>2.9120000000000004</v>
      </c>
      <c r="D194" s="17">
        <v>42932</v>
      </c>
      <c r="E194" t="s">
        <v>189</v>
      </c>
    </row>
    <row r="195" spans="3:5">
      <c r="C195">
        <v>2.9199999999999995</v>
      </c>
      <c r="D195" s="17">
        <v>41889</v>
      </c>
      <c r="E195" t="s">
        <v>1433</v>
      </c>
    </row>
    <row r="196" spans="3:5">
      <c r="C196">
        <v>2.92</v>
      </c>
      <c r="D196" s="17">
        <v>41986</v>
      </c>
      <c r="E196" t="s">
        <v>1265</v>
      </c>
    </row>
    <row r="197" spans="3:5">
      <c r="C197">
        <v>2.9339999999999993</v>
      </c>
      <c r="D197" s="17">
        <v>42041</v>
      </c>
      <c r="E197" t="s">
        <v>572</v>
      </c>
    </row>
    <row r="198" spans="3:5">
      <c r="C198">
        <v>2.9339999999999993</v>
      </c>
      <c r="D198" s="17">
        <v>42846</v>
      </c>
      <c r="E198" t="s">
        <v>572</v>
      </c>
    </row>
    <row r="199" spans="3:5">
      <c r="C199">
        <v>2.94</v>
      </c>
      <c r="D199" s="17">
        <v>41947</v>
      </c>
      <c r="E199" t="s">
        <v>1220</v>
      </c>
    </row>
    <row r="200" spans="3:5">
      <c r="C200">
        <v>2.9440000000000004</v>
      </c>
      <c r="D200" s="17">
        <v>43057</v>
      </c>
      <c r="E200" t="s">
        <v>292</v>
      </c>
    </row>
    <row r="201" spans="3:5">
      <c r="C201">
        <v>2.9459999999999993</v>
      </c>
      <c r="D201" s="17">
        <v>41926</v>
      </c>
      <c r="E201" t="s">
        <v>55</v>
      </c>
    </row>
    <row r="202" spans="3:5">
      <c r="C202">
        <v>2.9460000000000006</v>
      </c>
      <c r="D202" s="17">
        <v>42272</v>
      </c>
      <c r="E202" t="s">
        <v>521</v>
      </c>
    </row>
    <row r="203" spans="3:5">
      <c r="C203">
        <v>2.9460000000000006</v>
      </c>
      <c r="D203" s="17">
        <v>42330</v>
      </c>
      <c r="E203" t="s">
        <v>521</v>
      </c>
    </row>
    <row r="204" spans="3:5">
      <c r="C204">
        <v>2.9460000000000006</v>
      </c>
      <c r="D204" s="17">
        <v>42713</v>
      </c>
      <c r="E204" t="s">
        <v>521</v>
      </c>
    </row>
    <row r="205" spans="3:5">
      <c r="C205">
        <v>2.9460000000000006</v>
      </c>
      <c r="D205" s="17">
        <v>42922</v>
      </c>
      <c r="E205" t="s">
        <v>55</v>
      </c>
    </row>
    <row r="206" spans="3:5">
      <c r="C206">
        <v>2.952</v>
      </c>
      <c r="D206" s="17">
        <v>41863</v>
      </c>
      <c r="E206" t="s">
        <v>674</v>
      </c>
    </row>
    <row r="207" spans="3:5">
      <c r="C207">
        <v>2.9520000000000004</v>
      </c>
      <c r="D207" s="17">
        <v>42507</v>
      </c>
      <c r="E207" t="s">
        <v>151</v>
      </c>
    </row>
    <row r="208" spans="3:5">
      <c r="C208">
        <v>2.96</v>
      </c>
      <c r="D208" s="17">
        <v>43057</v>
      </c>
      <c r="E208" t="s">
        <v>164</v>
      </c>
    </row>
    <row r="209" spans="3:5">
      <c r="C209">
        <v>2.9600000000000004</v>
      </c>
      <c r="D209" s="17">
        <v>42341</v>
      </c>
      <c r="E209" t="s">
        <v>608</v>
      </c>
    </row>
    <row r="210" spans="3:5">
      <c r="C210">
        <v>2.9600000000000004</v>
      </c>
      <c r="D210" s="17">
        <v>43097</v>
      </c>
      <c r="E210" t="s">
        <v>608</v>
      </c>
    </row>
    <row r="211" spans="3:5">
      <c r="C211">
        <v>2.9699999999999998</v>
      </c>
      <c r="D211" s="17">
        <v>41835</v>
      </c>
      <c r="E211" t="s">
        <v>1053</v>
      </c>
    </row>
    <row r="212" spans="3:5">
      <c r="C212">
        <v>2.9699999999999998</v>
      </c>
      <c r="D212" s="17">
        <v>43059</v>
      </c>
      <c r="E212" t="s">
        <v>609</v>
      </c>
    </row>
    <row r="213" spans="3:5">
      <c r="C213">
        <v>2.97</v>
      </c>
      <c r="D213" s="17">
        <v>42888</v>
      </c>
      <c r="E213" t="s">
        <v>787</v>
      </c>
    </row>
    <row r="214" spans="3:5">
      <c r="C214">
        <v>2.9919999999999995</v>
      </c>
      <c r="D214" s="17">
        <v>42278</v>
      </c>
      <c r="E214" t="s">
        <v>1415</v>
      </c>
    </row>
    <row r="215" spans="3:5">
      <c r="C215">
        <v>2.9920000000000004</v>
      </c>
      <c r="D215" s="17">
        <v>41931</v>
      </c>
      <c r="E215" t="s">
        <v>1415</v>
      </c>
    </row>
    <row r="216" spans="3:5">
      <c r="C216">
        <v>3</v>
      </c>
      <c r="D216" s="17">
        <v>42631</v>
      </c>
      <c r="E216" t="s">
        <v>1024</v>
      </c>
    </row>
    <row r="217" spans="3:5">
      <c r="C217">
        <v>3</v>
      </c>
      <c r="D217" s="17">
        <v>42848</v>
      </c>
      <c r="E217" t="s">
        <v>377</v>
      </c>
    </row>
    <row r="218" spans="3:5">
      <c r="C218">
        <v>3.008</v>
      </c>
      <c r="D218" s="17">
        <v>42336</v>
      </c>
      <c r="E218" t="s">
        <v>74</v>
      </c>
    </row>
    <row r="219" spans="3:5">
      <c r="C219">
        <v>3.008</v>
      </c>
      <c r="D219" s="17">
        <v>42359</v>
      </c>
      <c r="E219" t="s">
        <v>693</v>
      </c>
    </row>
    <row r="220" spans="3:5">
      <c r="C220">
        <v>3.024</v>
      </c>
      <c r="D220" s="17">
        <v>43099</v>
      </c>
      <c r="E220" t="s">
        <v>96</v>
      </c>
    </row>
    <row r="221" spans="3:5">
      <c r="C221">
        <v>3.0359999999999996</v>
      </c>
      <c r="D221" s="17">
        <v>42908</v>
      </c>
      <c r="E221" t="s">
        <v>791</v>
      </c>
    </row>
    <row r="222" spans="3:5">
      <c r="C222">
        <v>3.036</v>
      </c>
      <c r="D222" s="17">
        <v>42987</v>
      </c>
      <c r="E222" t="s">
        <v>791</v>
      </c>
    </row>
    <row r="223" spans="3:5">
      <c r="C223">
        <v>3.04</v>
      </c>
      <c r="D223" s="17">
        <v>42638</v>
      </c>
      <c r="E223" t="s">
        <v>67</v>
      </c>
    </row>
    <row r="224" spans="3:5">
      <c r="C224">
        <v>3.048</v>
      </c>
      <c r="D224" s="17">
        <v>42614</v>
      </c>
      <c r="E224" t="s">
        <v>1706</v>
      </c>
    </row>
    <row r="225" spans="3:5">
      <c r="C225">
        <v>3.048</v>
      </c>
      <c r="D225" s="17">
        <v>42873</v>
      </c>
      <c r="E225" t="s">
        <v>378</v>
      </c>
    </row>
    <row r="226" spans="3:5">
      <c r="C226">
        <v>3.08</v>
      </c>
      <c r="D226" s="17">
        <v>42243</v>
      </c>
      <c r="E226" t="s">
        <v>326</v>
      </c>
    </row>
    <row r="227" spans="3:5">
      <c r="C227">
        <v>3.1040000000000001</v>
      </c>
      <c r="D227" s="17">
        <v>41813</v>
      </c>
      <c r="E227" t="s">
        <v>1112</v>
      </c>
    </row>
    <row r="228" spans="3:5">
      <c r="C228">
        <v>3.1080000000000001</v>
      </c>
      <c r="D228" s="17">
        <v>42484</v>
      </c>
      <c r="E228" t="s">
        <v>739</v>
      </c>
    </row>
    <row r="229" spans="3:5">
      <c r="C229">
        <v>3.1320000000000001</v>
      </c>
      <c r="D229" s="17">
        <v>41944</v>
      </c>
      <c r="E229" t="s">
        <v>1551</v>
      </c>
    </row>
    <row r="230" spans="3:5">
      <c r="C230">
        <v>3.1320000000000001</v>
      </c>
      <c r="D230" s="17">
        <v>43095</v>
      </c>
      <c r="E230" t="s">
        <v>1551</v>
      </c>
    </row>
    <row r="231" spans="3:5">
      <c r="C231">
        <v>3.1359999999999992</v>
      </c>
      <c r="D231" s="17">
        <v>42687</v>
      </c>
      <c r="E231" t="s">
        <v>583</v>
      </c>
    </row>
    <row r="232" spans="3:5">
      <c r="C232">
        <v>3.15</v>
      </c>
      <c r="D232" s="17">
        <v>41757</v>
      </c>
      <c r="E232" t="s">
        <v>1714</v>
      </c>
    </row>
    <row r="233" spans="3:5">
      <c r="C233">
        <v>3.15</v>
      </c>
      <c r="D233" s="17">
        <v>42060</v>
      </c>
      <c r="E233" t="s">
        <v>1121</v>
      </c>
    </row>
    <row r="234" spans="3:5">
      <c r="C234">
        <v>3.15</v>
      </c>
      <c r="D234" s="17">
        <v>42572</v>
      </c>
      <c r="E234" t="s">
        <v>1262</v>
      </c>
    </row>
    <row r="235" spans="3:5">
      <c r="C235">
        <v>3.15</v>
      </c>
      <c r="D235" s="17">
        <v>42597</v>
      </c>
      <c r="E235" t="s">
        <v>1714</v>
      </c>
    </row>
    <row r="236" spans="3:5">
      <c r="C236">
        <v>3.15</v>
      </c>
      <c r="D236" s="17">
        <v>43072</v>
      </c>
      <c r="E236" t="s">
        <v>1489</v>
      </c>
    </row>
    <row r="237" spans="3:5">
      <c r="C237">
        <v>3.1520000000000001</v>
      </c>
      <c r="D237" s="17">
        <v>41908</v>
      </c>
      <c r="E237" t="s">
        <v>1393</v>
      </c>
    </row>
    <row r="238" spans="3:5">
      <c r="C238">
        <v>3.1599999999999993</v>
      </c>
      <c r="D238" s="17">
        <v>41926</v>
      </c>
      <c r="E238" t="s">
        <v>1297</v>
      </c>
    </row>
    <row r="239" spans="3:5">
      <c r="C239">
        <v>3.1679999999999993</v>
      </c>
      <c r="D239" s="17">
        <v>42450</v>
      </c>
      <c r="E239" t="s">
        <v>698</v>
      </c>
    </row>
    <row r="240" spans="3:5">
      <c r="C240">
        <v>3.1679999999999993</v>
      </c>
      <c r="D240" s="17">
        <v>43094</v>
      </c>
      <c r="E240" t="s">
        <v>1000</v>
      </c>
    </row>
    <row r="241" spans="3:5">
      <c r="C241">
        <v>3.1680000000000001</v>
      </c>
      <c r="D241" s="17">
        <v>42309</v>
      </c>
      <c r="E241" t="s">
        <v>936</v>
      </c>
    </row>
    <row r="242" spans="3:5">
      <c r="C242">
        <v>3.1680000000000001</v>
      </c>
      <c r="D242" s="17">
        <v>42332</v>
      </c>
      <c r="E242" t="s">
        <v>591</v>
      </c>
    </row>
    <row r="243" spans="3:5">
      <c r="C243">
        <v>3.1680000000000006</v>
      </c>
      <c r="D243" s="17">
        <v>43030</v>
      </c>
      <c r="E243" t="s">
        <v>1340</v>
      </c>
    </row>
    <row r="244" spans="3:5">
      <c r="C244">
        <v>3.168000000000001</v>
      </c>
      <c r="D244" s="17">
        <v>41818</v>
      </c>
      <c r="E244" t="s">
        <v>1379</v>
      </c>
    </row>
    <row r="245" spans="3:5">
      <c r="C245">
        <v>3.2</v>
      </c>
      <c r="D245" s="17">
        <v>43087</v>
      </c>
      <c r="E245" t="s">
        <v>1530</v>
      </c>
    </row>
    <row r="246" spans="3:5">
      <c r="C246">
        <v>3.2040000000000002</v>
      </c>
      <c r="D246" s="17">
        <v>42269</v>
      </c>
      <c r="E246" t="s">
        <v>1730</v>
      </c>
    </row>
    <row r="247" spans="3:5">
      <c r="C247">
        <v>3.2040000000000002</v>
      </c>
      <c r="D247" s="17">
        <v>42619</v>
      </c>
      <c r="E247" t="s">
        <v>411</v>
      </c>
    </row>
    <row r="248" spans="3:5">
      <c r="C248">
        <v>3.2079999999999993</v>
      </c>
      <c r="D248" s="17">
        <v>42496</v>
      </c>
      <c r="E248" t="s">
        <v>552</v>
      </c>
    </row>
    <row r="249" spans="3:5">
      <c r="C249">
        <v>3.2399999999999993</v>
      </c>
      <c r="D249" s="17">
        <v>42976</v>
      </c>
      <c r="E249" t="s">
        <v>35</v>
      </c>
    </row>
    <row r="250" spans="3:5">
      <c r="C250">
        <v>3.2640000000000002</v>
      </c>
      <c r="D250" s="17">
        <v>41907</v>
      </c>
      <c r="E250" t="s">
        <v>124</v>
      </c>
    </row>
    <row r="251" spans="3:5">
      <c r="C251">
        <v>3.2640000000000002</v>
      </c>
      <c r="D251" s="17">
        <v>42264</v>
      </c>
      <c r="E251" t="s">
        <v>124</v>
      </c>
    </row>
    <row r="252" spans="3:5">
      <c r="C252">
        <v>3.2640000000000007</v>
      </c>
      <c r="D252" s="17">
        <v>42272</v>
      </c>
      <c r="E252" t="s">
        <v>1763</v>
      </c>
    </row>
    <row r="253" spans="3:5">
      <c r="C253">
        <v>3.2730000000000006</v>
      </c>
      <c r="D253" s="17">
        <v>43079</v>
      </c>
      <c r="E253" t="s">
        <v>343</v>
      </c>
    </row>
    <row r="254" spans="3:5">
      <c r="C254">
        <v>3.28</v>
      </c>
      <c r="D254" s="17">
        <v>42353</v>
      </c>
      <c r="E254" t="s">
        <v>1134</v>
      </c>
    </row>
    <row r="255" spans="3:5">
      <c r="C255">
        <v>3.28</v>
      </c>
      <c r="D255" s="17">
        <v>42363</v>
      </c>
      <c r="E255" t="s">
        <v>265</v>
      </c>
    </row>
    <row r="256" spans="3:5">
      <c r="C256">
        <v>3.28</v>
      </c>
      <c r="D256" s="17">
        <v>42479</v>
      </c>
      <c r="E256" t="s">
        <v>1047</v>
      </c>
    </row>
    <row r="257" spans="3:5">
      <c r="C257">
        <v>3.2820000000000005</v>
      </c>
      <c r="D257" s="17">
        <v>41782</v>
      </c>
      <c r="E257" t="s">
        <v>834</v>
      </c>
    </row>
    <row r="258" spans="3:5">
      <c r="C258">
        <v>3.2820000000000005</v>
      </c>
      <c r="D258" s="17">
        <v>42520</v>
      </c>
      <c r="E258" t="s">
        <v>834</v>
      </c>
    </row>
    <row r="259" spans="3:5">
      <c r="C259">
        <v>3.29</v>
      </c>
      <c r="D259" s="17">
        <v>42880</v>
      </c>
      <c r="E259" t="s">
        <v>752</v>
      </c>
    </row>
    <row r="260" spans="3:5">
      <c r="C260">
        <v>3.3040000000000003</v>
      </c>
      <c r="D260" s="17">
        <v>42223</v>
      </c>
      <c r="E260" t="s">
        <v>277</v>
      </c>
    </row>
    <row r="261" spans="3:5">
      <c r="C261">
        <v>3.3040000000000003</v>
      </c>
      <c r="D261" s="17">
        <v>42941</v>
      </c>
      <c r="E261" t="s">
        <v>728</v>
      </c>
    </row>
    <row r="262" spans="3:5">
      <c r="C262">
        <v>3.3040000000000003</v>
      </c>
      <c r="D262" s="17">
        <v>43062</v>
      </c>
      <c r="E262" t="s">
        <v>602</v>
      </c>
    </row>
    <row r="263" spans="3:5">
      <c r="C263">
        <v>3.3119999999999998</v>
      </c>
      <c r="D263" s="17">
        <v>43041</v>
      </c>
      <c r="E263" t="s">
        <v>1368</v>
      </c>
    </row>
    <row r="264" spans="3:5">
      <c r="C264">
        <v>3.3179999999999996</v>
      </c>
      <c r="D264" s="17">
        <v>42951</v>
      </c>
      <c r="E264" t="s">
        <v>646</v>
      </c>
    </row>
    <row r="265" spans="3:5">
      <c r="C265">
        <v>3.3180000000000005</v>
      </c>
      <c r="D265" s="17">
        <v>42604</v>
      </c>
      <c r="E265" t="s">
        <v>646</v>
      </c>
    </row>
    <row r="266" spans="3:5">
      <c r="C266">
        <v>3.3280000000000003</v>
      </c>
      <c r="D266" s="17">
        <v>42203</v>
      </c>
      <c r="E266" t="s">
        <v>322</v>
      </c>
    </row>
    <row r="267" spans="3:5">
      <c r="C267">
        <v>3.3280000000000003</v>
      </c>
      <c r="D267" s="17">
        <v>42856</v>
      </c>
      <c r="E267" t="s">
        <v>616</v>
      </c>
    </row>
    <row r="268" spans="3:5">
      <c r="C268">
        <v>3.36</v>
      </c>
      <c r="D268" s="17">
        <v>41724</v>
      </c>
      <c r="E268" t="s">
        <v>1825</v>
      </c>
    </row>
    <row r="269" spans="3:5">
      <c r="C269">
        <v>3.36</v>
      </c>
      <c r="D269" s="17">
        <v>42802</v>
      </c>
      <c r="E269" t="s">
        <v>334</v>
      </c>
    </row>
    <row r="270" spans="3:5">
      <c r="C270">
        <v>3.366000000000001</v>
      </c>
      <c r="D270" s="17">
        <v>42195</v>
      </c>
      <c r="E270" t="s">
        <v>1415</v>
      </c>
    </row>
    <row r="271" spans="3:5">
      <c r="C271">
        <v>3.38</v>
      </c>
      <c r="D271" s="17">
        <v>41712</v>
      </c>
      <c r="E271" t="s">
        <v>1808</v>
      </c>
    </row>
    <row r="272" spans="3:5">
      <c r="C272">
        <v>3.38</v>
      </c>
      <c r="D272" s="17">
        <v>41877</v>
      </c>
      <c r="E272" t="s">
        <v>1156</v>
      </c>
    </row>
    <row r="273" spans="3:5">
      <c r="C273">
        <v>3.3919999999999995</v>
      </c>
      <c r="D273" s="17">
        <v>41810</v>
      </c>
      <c r="E273" t="s">
        <v>856</v>
      </c>
    </row>
    <row r="274" spans="3:5">
      <c r="C274">
        <v>3.3920000000000003</v>
      </c>
      <c r="D274" s="17">
        <v>41954</v>
      </c>
      <c r="E274" t="s">
        <v>1261</v>
      </c>
    </row>
    <row r="275" spans="3:5">
      <c r="C275">
        <v>3.4079999999999999</v>
      </c>
      <c r="D275" s="17">
        <v>42071</v>
      </c>
      <c r="E275" t="s">
        <v>842</v>
      </c>
    </row>
    <row r="276" spans="3:5">
      <c r="C276">
        <v>3.4240000000000004</v>
      </c>
      <c r="D276" s="17">
        <v>41700</v>
      </c>
      <c r="E276" t="s">
        <v>885</v>
      </c>
    </row>
    <row r="277" spans="3:5">
      <c r="C277">
        <v>3.4240000000000004</v>
      </c>
      <c r="D277" s="17">
        <v>42168</v>
      </c>
      <c r="E277" t="s">
        <v>261</v>
      </c>
    </row>
    <row r="278" spans="3:5">
      <c r="C278">
        <v>3.4240000000000004</v>
      </c>
      <c r="D278" s="17">
        <v>42972</v>
      </c>
      <c r="E278" t="s">
        <v>1093</v>
      </c>
    </row>
    <row r="279" spans="3:5">
      <c r="C279">
        <v>3.4380000000000006</v>
      </c>
      <c r="D279" s="17">
        <v>41652</v>
      </c>
      <c r="E279" t="s">
        <v>1084</v>
      </c>
    </row>
    <row r="280" spans="3:5">
      <c r="C280">
        <v>3.44</v>
      </c>
      <c r="D280" s="17">
        <v>42285</v>
      </c>
      <c r="E280" t="s">
        <v>734</v>
      </c>
    </row>
    <row r="281" spans="3:5">
      <c r="C281">
        <v>3.4440000000000008</v>
      </c>
      <c r="D281" s="17">
        <v>42253</v>
      </c>
      <c r="E281" t="s">
        <v>385</v>
      </c>
    </row>
    <row r="282" spans="3:5">
      <c r="C282">
        <v>3.4440000000000008</v>
      </c>
      <c r="D282" s="17">
        <v>42994</v>
      </c>
      <c r="E282" t="s">
        <v>1072</v>
      </c>
    </row>
    <row r="283" spans="3:5">
      <c r="C283">
        <v>3.48</v>
      </c>
      <c r="D283" s="17">
        <v>41999</v>
      </c>
      <c r="E283" t="s">
        <v>1090</v>
      </c>
    </row>
    <row r="284" spans="3:5">
      <c r="C284">
        <v>3.4860000000000002</v>
      </c>
      <c r="D284" s="17">
        <v>42611</v>
      </c>
      <c r="E284" t="s">
        <v>206</v>
      </c>
    </row>
    <row r="285" spans="3:5">
      <c r="C285">
        <v>3.4880000000000004</v>
      </c>
      <c r="D285" s="17">
        <v>41832</v>
      </c>
      <c r="E285" t="s">
        <v>558</v>
      </c>
    </row>
    <row r="286" spans="3:5">
      <c r="C286">
        <v>3.4880000000000004</v>
      </c>
      <c r="D286" s="17">
        <v>41946</v>
      </c>
      <c r="E286" t="s">
        <v>1091</v>
      </c>
    </row>
    <row r="287" spans="3:5">
      <c r="C287">
        <v>3.4880000000000004</v>
      </c>
      <c r="D287" s="17">
        <v>42237</v>
      </c>
      <c r="E287" t="s">
        <v>292</v>
      </c>
    </row>
    <row r="288" spans="3:5">
      <c r="C288">
        <v>3.4880000000000004</v>
      </c>
      <c r="D288" s="17">
        <v>42369</v>
      </c>
      <c r="E288" t="s">
        <v>558</v>
      </c>
    </row>
    <row r="289" spans="3:5">
      <c r="C289">
        <v>3.52</v>
      </c>
      <c r="D289" s="17">
        <v>41810</v>
      </c>
      <c r="E289" t="s">
        <v>998</v>
      </c>
    </row>
    <row r="290" spans="3:5">
      <c r="C290">
        <v>3.52</v>
      </c>
      <c r="D290" s="17">
        <v>41890</v>
      </c>
      <c r="E290" t="s">
        <v>998</v>
      </c>
    </row>
    <row r="291" spans="3:5">
      <c r="C291">
        <v>3.52</v>
      </c>
      <c r="D291" s="17">
        <v>42723</v>
      </c>
      <c r="E291" t="s">
        <v>129</v>
      </c>
    </row>
    <row r="292" spans="3:5">
      <c r="C292">
        <v>3.52</v>
      </c>
      <c r="D292" s="17">
        <v>42755</v>
      </c>
      <c r="E292" t="s">
        <v>129</v>
      </c>
    </row>
    <row r="293" spans="3:5">
      <c r="C293">
        <v>3.52</v>
      </c>
      <c r="D293" s="17">
        <v>42874</v>
      </c>
      <c r="E293" t="s">
        <v>722</v>
      </c>
    </row>
    <row r="294" spans="3:5">
      <c r="C294">
        <v>3.52</v>
      </c>
      <c r="D294" s="17">
        <v>42937</v>
      </c>
      <c r="E294" t="s">
        <v>998</v>
      </c>
    </row>
    <row r="295" spans="3:5">
      <c r="C295">
        <v>3.5280000000000005</v>
      </c>
      <c r="D295" s="17">
        <v>42609</v>
      </c>
      <c r="E295" t="s">
        <v>454</v>
      </c>
    </row>
    <row r="296" spans="3:5">
      <c r="C296">
        <v>3.536</v>
      </c>
      <c r="D296" s="17">
        <v>42709</v>
      </c>
      <c r="E296" t="s">
        <v>161</v>
      </c>
    </row>
    <row r="297" spans="3:5">
      <c r="C297">
        <v>3.5399999999999991</v>
      </c>
      <c r="D297" s="17">
        <v>41643</v>
      </c>
      <c r="E297" t="s">
        <v>961</v>
      </c>
    </row>
    <row r="298" spans="3:5">
      <c r="C298">
        <v>3.5519999999999996</v>
      </c>
      <c r="D298" s="17">
        <v>43076</v>
      </c>
      <c r="E298" t="s">
        <v>164</v>
      </c>
    </row>
    <row r="299" spans="3:5">
      <c r="C299">
        <v>3.5520000000000005</v>
      </c>
      <c r="D299" s="17">
        <v>42064</v>
      </c>
      <c r="E299" t="s">
        <v>869</v>
      </c>
    </row>
    <row r="300" spans="3:5">
      <c r="C300">
        <v>3.5520000000000005</v>
      </c>
      <c r="D300" s="17">
        <v>42357</v>
      </c>
      <c r="E300" t="s">
        <v>869</v>
      </c>
    </row>
    <row r="301" spans="3:5">
      <c r="C301">
        <v>3.5639999999999992</v>
      </c>
      <c r="D301" s="17">
        <v>42155</v>
      </c>
      <c r="E301" t="s">
        <v>531</v>
      </c>
    </row>
    <row r="302" spans="3:5">
      <c r="C302">
        <v>3.5639999999999992</v>
      </c>
      <c r="D302" s="17">
        <v>42679</v>
      </c>
      <c r="E302" t="s">
        <v>531</v>
      </c>
    </row>
    <row r="303" spans="3:5">
      <c r="C303">
        <v>3.5639999999999992</v>
      </c>
      <c r="D303" s="17">
        <v>42883</v>
      </c>
      <c r="E303" t="s">
        <v>531</v>
      </c>
    </row>
    <row r="304" spans="3:5">
      <c r="C304">
        <v>3.5639999999999992</v>
      </c>
      <c r="D304" s="17">
        <v>43031</v>
      </c>
      <c r="E304" t="s">
        <v>531</v>
      </c>
    </row>
    <row r="305" spans="3:5">
      <c r="C305">
        <v>3.5640000000000009</v>
      </c>
      <c r="D305" s="17">
        <v>43043</v>
      </c>
      <c r="E305" t="s">
        <v>531</v>
      </c>
    </row>
    <row r="306" spans="3:5">
      <c r="C306">
        <v>3.5760000000000005</v>
      </c>
      <c r="D306" s="17">
        <v>42262</v>
      </c>
      <c r="E306" t="s">
        <v>280</v>
      </c>
    </row>
    <row r="307" spans="3:5">
      <c r="C307">
        <v>3.5919999999999992</v>
      </c>
      <c r="D307" s="17">
        <v>42301</v>
      </c>
      <c r="E307" t="s">
        <v>353</v>
      </c>
    </row>
    <row r="308" spans="3:5">
      <c r="C308">
        <v>3.5920000000000005</v>
      </c>
      <c r="D308" s="17">
        <v>42300</v>
      </c>
      <c r="E308" t="s">
        <v>353</v>
      </c>
    </row>
    <row r="309" spans="3:5">
      <c r="C309">
        <v>3.5920000000000005</v>
      </c>
      <c r="D309" s="17">
        <v>42461</v>
      </c>
      <c r="E309" t="s">
        <v>353</v>
      </c>
    </row>
    <row r="310" spans="3:5">
      <c r="C310">
        <v>3.6</v>
      </c>
      <c r="D310" s="17">
        <v>42736</v>
      </c>
      <c r="E310" t="s">
        <v>35</v>
      </c>
    </row>
    <row r="311" spans="3:5">
      <c r="C311">
        <v>3.62</v>
      </c>
      <c r="D311" s="17">
        <v>42673</v>
      </c>
      <c r="E311" t="s">
        <v>1018</v>
      </c>
    </row>
    <row r="312" spans="3:5">
      <c r="C312">
        <v>3.62</v>
      </c>
      <c r="D312" s="17">
        <v>43094</v>
      </c>
      <c r="E312" t="s">
        <v>1018</v>
      </c>
    </row>
    <row r="313" spans="3:5">
      <c r="C313">
        <v>3.64</v>
      </c>
      <c r="D313" s="17">
        <v>42339</v>
      </c>
      <c r="E313" t="s">
        <v>1523</v>
      </c>
    </row>
    <row r="314" spans="3:5">
      <c r="C314">
        <v>3.64</v>
      </c>
      <c r="D314" s="17">
        <v>42467</v>
      </c>
      <c r="E314" t="s">
        <v>1017</v>
      </c>
    </row>
    <row r="315" spans="3:5">
      <c r="C315">
        <v>3.64</v>
      </c>
      <c r="D315" s="17">
        <v>42684</v>
      </c>
      <c r="E315" t="s">
        <v>800</v>
      </c>
    </row>
    <row r="316" spans="3:5">
      <c r="C316">
        <v>3.64</v>
      </c>
      <c r="D316" s="17">
        <v>42735</v>
      </c>
      <c r="E316" t="s">
        <v>189</v>
      </c>
    </row>
    <row r="317" spans="3:5">
      <c r="C317">
        <v>3.6479999999999992</v>
      </c>
      <c r="D317" s="17">
        <v>41883</v>
      </c>
      <c r="E317" t="s">
        <v>1404</v>
      </c>
    </row>
    <row r="318" spans="3:5">
      <c r="C318">
        <v>3.6480000000000006</v>
      </c>
      <c r="D318" s="17">
        <v>43053</v>
      </c>
      <c r="E318" t="s">
        <v>1404</v>
      </c>
    </row>
    <row r="319" spans="3:5">
      <c r="C319">
        <v>3.6559999999999993</v>
      </c>
      <c r="D319" s="17">
        <v>42369</v>
      </c>
      <c r="E319" t="s">
        <v>1170</v>
      </c>
    </row>
    <row r="320" spans="3:5">
      <c r="C320">
        <v>3.68</v>
      </c>
      <c r="D320" s="17">
        <v>42720</v>
      </c>
      <c r="E320" t="s">
        <v>1581</v>
      </c>
    </row>
    <row r="321" spans="3:5">
      <c r="C321">
        <v>3.69</v>
      </c>
      <c r="D321" s="17">
        <v>41993</v>
      </c>
      <c r="E321" t="s">
        <v>1437</v>
      </c>
    </row>
    <row r="322" spans="3:5">
      <c r="C322">
        <v>3.69</v>
      </c>
      <c r="D322" s="17">
        <v>42713</v>
      </c>
      <c r="E322" t="s">
        <v>557</v>
      </c>
    </row>
    <row r="323" spans="3:5">
      <c r="C323">
        <v>3.7439999999999998</v>
      </c>
      <c r="D323" s="17">
        <v>42971</v>
      </c>
      <c r="E323" t="s">
        <v>136</v>
      </c>
    </row>
    <row r="324" spans="3:5">
      <c r="C324">
        <v>3.7440000000000007</v>
      </c>
      <c r="D324" s="17">
        <v>42700</v>
      </c>
      <c r="E324" t="s">
        <v>70</v>
      </c>
    </row>
    <row r="325" spans="3:5">
      <c r="C325">
        <v>3.75</v>
      </c>
      <c r="D325" s="17">
        <v>42226</v>
      </c>
      <c r="E325" t="s">
        <v>1024</v>
      </c>
    </row>
    <row r="326" spans="3:5">
      <c r="C326">
        <v>3.75</v>
      </c>
      <c r="D326" s="17">
        <v>43028</v>
      </c>
      <c r="E326" t="s">
        <v>116</v>
      </c>
    </row>
    <row r="327" spans="3:5">
      <c r="C327">
        <v>3.76</v>
      </c>
      <c r="D327" s="17">
        <v>41811</v>
      </c>
      <c r="E327" t="s">
        <v>693</v>
      </c>
    </row>
    <row r="328" spans="3:5">
      <c r="C328">
        <v>3.76</v>
      </c>
      <c r="D328" s="17">
        <v>41970</v>
      </c>
      <c r="E328" t="s">
        <v>74</v>
      </c>
    </row>
    <row r="329" spans="3:5">
      <c r="C329">
        <v>3.76</v>
      </c>
      <c r="D329" s="17">
        <v>42352</v>
      </c>
      <c r="E329" t="s">
        <v>1480</v>
      </c>
    </row>
    <row r="330" spans="3:5">
      <c r="C330">
        <v>3.76</v>
      </c>
      <c r="D330" s="17">
        <v>42820</v>
      </c>
      <c r="E330" t="s">
        <v>74</v>
      </c>
    </row>
    <row r="331" spans="3:5">
      <c r="C331">
        <v>3.76</v>
      </c>
      <c r="D331" s="17">
        <v>42869</v>
      </c>
      <c r="E331" t="s">
        <v>693</v>
      </c>
    </row>
    <row r="332" spans="3:5">
      <c r="C332">
        <v>3.76</v>
      </c>
      <c r="D332" s="17">
        <v>42897</v>
      </c>
      <c r="E332" t="s">
        <v>693</v>
      </c>
    </row>
    <row r="333" spans="3:5">
      <c r="C333">
        <v>3.762</v>
      </c>
      <c r="D333" s="17">
        <v>42232</v>
      </c>
      <c r="E333" t="s">
        <v>93</v>
      </c>
    </row>
    <row r="334" spans="3:5">
      <c r="C334">
        <v>3.762</v>
      </c>
      <c r="D334" s="17">
        <v>42421</v>
      </c>
      <c r="E334" t="s">
        <v>93</v>
      </c>
    </row>
    <row r="335" spans="3:5">
      <c r="C335">
        <v>3.7680000000000007</v>
      </c>
      <c r="D335" s="17">
        <v>42166</v>
      </c>
      <c r="E335" t="s">
        <v>1361</v>
      </c>
    </row>
    <row r="336" spans="3:5">
      <c r="C336">
        <v>3.7979999999999987</v>
      </c>
      <c r="D336" s="17">
        <v>42241</v>
      </c>
      <c r="E336" t="s">
        <v>709</v>
      </c>
    </row>
    <row r="337" spans="3:5">
      <c r="C337">
        <v>3.7979999999999992</v>
      </c>
      <c r="D337" s="17">
        <v>42511</v>
      </c>
      <c r="E337" t="s">
        <v>781</v>
      </c>
    </row>
    <row r="338" spans="3:5">
      <c r="C338">
        <v>3.7980000000000005</v>
      </c>
      <c r="D338" s="17">
        <v>42887</v>
      </c>
      <c r="E338" t="s">
        <v>781</v>
      </c>
    </row>
    <row r="339" spans="3:5">
      <c r="C339">
        <v>3.8079999999999998</v>
      </c>
      <c r="D339" s="17">
        <v>41932</v>
      </c>
      <c r="E339" t="s">
        <v>1263</v>
      </c>
    </row>
    <row r="340" spans="3:5">
      <c r="C340">
        <v>3.81</v>
      </c>
      <c r="D340" s="17">
        <v>41839</v>
      </c>
      <c r="E340" t="s">
        <v>1706</v>
      </c>
    </row>
    <row r="341" spans="3:5">
      <c r="C341">
        <v>3.8159999999999998</v>
      </c>
      <c r="D341" s="17">
        <v>42928</v>
      </c>
      <c r="E341" t="s">
        <v>481</v>
      </c>
    </row>
    <row r="342" spans="3:5">
      <c r="C342">
        <v>3.8279999999999994</v>
      </c>
      <c r="D342" s="17">
        <v>41889</v>
      </c>
      <c r="E342" t="s">
        <v>1680</v>
      </c>
    </row>
    <row r="343" spans="3:5">
      <c r="C343">
        <v>3.8560000000000003</v>
      </c>
      <c r="D343" s="17">
        <v>43094</v>
      </c>
      <c r="E343" t="s">
        <v>1548</v>
      </c>
    </row>
    <row r="344" spans="3:5">
      <c r="C344">
        <v>3.8819999999999988</v>
      </c>
      <c r="D344" s="17">
        <v>42338</v>
      </c>
      <c r="E344" t="s">
        <v>54</v>
      </c>
    </row>
    <row r="345" spans="3:5">
      <c r="C345">
        <v>3.8820000000000006</v>
      </c>
      <c r="D345" s="17">
        <v>42769</v>
      </c>
      <c r="E345" t="s">
        <v>54</v>
      </c>
    </row>
    <row r="346" spans="3:5">
      <c r="C346">
        <v>3.8820000000000006</v>
      </c>
      <c r="D346" s="17">
        <v>42992</v>
      </c>
      <c r="E346" t="s">
        <v>54</v>
      </c>
    </row>
    <row r="347" spans="3:5">
      <c r="C347">
        <v>3.89</v>
      </c>
      <c r="D347" s="17">
        <v>42885</v>
      </c>
      <c r="E347" t="s">
        <v>774</v>
      </c>
    </row>
    <row r="348" spans="3:5">
      <c r="C348">
        <v>3.89</v>
      </c>
      <c r="D348" s="17">
        <v>43008</v>
      </c>
      <c r="E348" t="s">
        <v>1184</v>
      </c>
    </row>
    <row r="349" spans="3:5">
      <c r="C349">
        <v>3.9</v>
      </c>
      <c r="D349" s="17">
        <v>41953</v>
      </c>
      <c r="E349" t="s">
        <v>1802</v>
      </c>
    </row>
    <row r="350" spans="3:5">
      <c r="C350">
        <v>3.9</v>
      </c>
      <c r="D350" s="17">
        <v>42348</v>
      </c>
      <c r="E350" t="s">
        <v>1802</v>
      </c>
    </row>
    <row r="351" spans="3:5">
      <c r="C351">
        <v>3.9119999999999999</v>
      </c>
      <c r="D351" s="17">
        <v>41873</v>
      </c>
      <c r="E351" t="s">
        <v>541</v>
      </c>
    </row>
    <row r="352" spans="3:5">
      <c r="C352">
        <v>3.9119999999999999</v>
      </c>
      <c r="D352" s="17">
        <v>42617</v>
      </c>
      <c r="E352" t="s">
        <v>541</v>
      </c>
    </row>
    <row r="353" spans="3:5">
      <c r="C353">
        <v>3.9119999999999999</v>
      </c>
      <c r="D353" s="17">
        <v>42889</v>
      </c>
      <c r="E353" t="s">
        <v>572</v>
      </c>
    </row>
    <row r="354" spans="3:5">
      <c r="C354">
        <v>3.9280000000000004</v>
      </c>
      <c r="D354" s="17">
        <v>41667</v>
      </c>
      <c r="E354" t="s">
        <v>55</v>
      </c>
    </row>
    <row r="355" spans="3:5">
      <c r="C355">
        <v>3.9599999999999991</v>
      </c>
      <c r="D355" s="17">
        <v>42292</v>
      </c>
      <c r="E355" t="s">
        <v>591</v>
      </c>
    </row>
    <row r="356" spans="3:5">
      <c r="C356">
        <v>3.96</v>
      </c>
      <c r="D356" s="17">
        <v>42345</v>
      </c>
      <c r="E356" t="s">
        <v>1596</v>
      </c>
    </row>
    <row r="357" spans="3:5">
      <c r="C357">
        <v>3.96</v>
      </c>
      <c r="D357" s="17">
        <v>42544</v>
      </c>
      <c r="E357" t="s">
        <v>534</v>
      </c>
    </row>
    <row r="358" spans="3:5">
      <c r="C358">
        <v>3.96</v>
      </c>
      <c r="D358" s="17">
        <v>42554</v>
      </c>
      <c r="E358" t="s">
        <v>936</v>
      </c>
    </row>
    <row r="359" spans="3:5">
      <c r="C359">
        <v>3.9799999999999991</v>
      </c>
      <c r="D359" s="17">
        <v>42586</v>
      </c>
      <c r="E359" t="s">
        <v>92</v>
      </c>
    </row>
    <row r="360" spans="3:5">
      <c r="C360">
        <v>3.9840000000000004</v>
      </c>
      <c r="D360" s="17">
        <v>41777</v>
      </c>
      <c r="E360" t="s">
        <v>729</v>
      </c>
    </row>
    <row r="361" spans="3:5">
      <c r="C361">
        <v>3.9840000000000004</v>
      </c>
      <c r="D361" s="17">
        <v>41811</v>
      </c>
      <c r="E361" t="s">
        <v>222</v>
      </c>
    </row>
    <row r="362" spans="3:5">
      <c r="C362">
        <v>3.9840000000000004</v>
      </c>
      <c r="D362" s="17">
        <v>41904</v>
      </c>
      <c r="E362" t="s">
        <v>554</v>
      </c>
    </row>
    <row r="363" spans="3:5">
      <c r="C363">
        <v>3.9840000000000004</v>
      </c>
      <c r="D363" s="17">
        <v>42484</v>
      </c>
      <c r="E363" t="s">
        <v>554</v>
      </c>
    </row>
    <row r="364" spans="3:5">
      <c r="C364">
        <v>3.9840000000000004</v>
      </c>
      <c r="D364" s="17">
        <v>42491</v>
      </c>
      <c r="E364" t="s">
        <v>490</v>
      </c>
    </row>
    <row r="365" spans="3:5">
      <c r="C365">
        <v>3.9840000000000004</v>
      </c>
      <c r="D365" s="17">
        <v>42775</v>
      </c>
      <c r="E365" t="s">
        <v>222</v>
      </c>
    </row>
    <row r="366" spans="3:5">
      <c r="C366">
        <v>4.0199999999999996</v>
      </c>
      <c r="D366" s="17">
        <v>41890</v>
      </c>
      <c r="E366" t="s">
        <v>1533</v>
      </c>
    </row>
    <row r="367" spans="3:5">
      <c r="C367">
        <v>4.0199999999999996</v>
      </c>
      <c r="D367" s="17">
        <v>42656</v>
      </c>
      <c r="E367" t="s">
        <v>1533</v>
      </c>
    </row>
    <row r="368" spans="3:5">
      <c r="C368">
        <v>4.032</v>
      </c>
      <c r="D368" s="17">
        <v>41729</v>
      </c>
      <c r="E368" t="s">
        <v>937</v>
      </c>
    </row>
    <row r="369" spans="3:5">
      <c r="C369">
        <v>4.0440000000000005</v>
      </c>
      <c r="D369" s="17">
        <v>42525</v>
      </c>
      <c r="E369" t="s">
        <v>1751</v>
      </c>
    </row>
    <row r="370" spans="3:5">
      <c r="C370">
        <v>4.0640000000000001</v>
      </c>
      <c r="D370" s="17">
        <v>43029</v>
      </c>
      <c r="E370" t="s">
        <v>1118</v>
      </c>
    </row>
    <row r="371" spans="3:5">
      <c r="C371">
        <v>4.08</v>
      </c>
      <c r="D371" s="17">
        <v>42636</v>
      </c>
      <c r="E371" t="s">
        <v>124</v>
      </c>
    </row>
    <row r="372" spans="3:5">
      <c r="C372">
        <v>4.0860000000000003</v>
      </c>
      <c r="D372" s="17">
        <v>43042</v>
      </c>
      <c r="E372" t="s">
        <v>1374</v>
      </c>
    </row>
    <row r="373" spans="3:5">
      <c r="C373">
        <v>4.0950000000000006</v>
      </c>
      <c r="D373" s="17">
        <v>42653</v>
      </c>
      <c r="E373" t="s">
        <v>800</v>
      </c>
    </row>
    <row r="374" spans="3:5">
      <c r="C374">
        <v>4.13</v>
      </c>
      <c r="D374" s="17">
        <v>41993</v>
      </c>
      <c r="E374" t="s">
        <v>1559</v>
      </c>
    </row>
    <row r="375" spans="3:5">
      <c r="C375">
        <v>4.13</v>
      </c>
      <c r="D375" s="17">
        <v>42586</v>
      </c>
      <c r="E375" t="s">
        <v>1034</v>
      </c>
    </row>
    <row r="376" spans="3:5">
      <c r="C376">
        <v>4.1439999999999992</v>
      </c>
      <c r="D376" s="17">
        <v>43043</v>
      </c>
      <c r="E376" t="s">
        <v>739</v>
      </c>
    </row>
    <row r="377" spans="3:5">
      <c r="C377">
        <v>4.1580000000000004</v>
      </c>
      <c r="D377" s="17">
        <v>42677</v>
      </c>
      <c r="E377" t="s">
        <v>591</v>
      </c>
    </row>
    <row r="378" spans="3:5">
      <c r="C378">
        <v>4.1580000000000004</v>
      </c>
      <c r="D378" s="17">
        <v>43056</v>
      </c>
      <c r="E378" t="s">
        <v>591</v>
      </c>
    </row>
    <row r="379" spans="3:5">
      <c r="C379">
        <v>4.16</v>
      </c>
      <c r="D379" s="17">
        <v>42244</v>
      </c>
      <c r="E379" t="s">
        <v>771</v>
      </c>
    </row>
    <row r="380" spans="3:5">
      <c r="C380">
        <v>4.16</v>
      </c>
      <c r="D380" s="17">
        <v>42573</v>
      </c>
      <c r="E380" t="s">
        <v>1402</v>
      </c>
    </row>
    <row r="381" spans="3:5">
      <c r="C381">
        <v>4.17</v>
      </c>
      <c r="D381" s="17">
        <v>43091</v>
      </c>
      <c r="E381" t="s">
        <v>1280</v>
      </c>
    </row>
    <row r="382" spans="3:5">
      <c r="C382">
        <v>4.1760000000000002</v>
      </c>
      <c r="D382" s="17">
        <v>42678</v>
      </c>
      <c r="E382" t="s">
        <v>1551</v>
      </c>
    </row>
    <row r="383" spans="3:5">
      <c r="C383">
        <v>4.18</v>
      </c>
      <c r="D383" s="17">
        <v>42687</v>
      </c>
      <c r="E383" t="s">
        <v>1186</v>
      </c>
    </row>
    <row r="384" spans="3:5">
      <c r="C384">
        <v>4.2</v>
      </c>
      <c r="D384" s="17">
        <v>42727</v>
      </c>
      <c r="E384" t="s">
        <v>824</v>
      </c>
    </row>
    <row r="385" spans="3:5">
      <c r="C385">
        <v>4.2240000000000002</v>
      </c>
      <c r="D385" s="17">
        <v>41874</v>
      </c>
      <c r="E385" t="s">
        <v>994</v>
      </c>
    </row>
    <row r="386" spans="3:5">
      <c r="C386">
        <v>4.2240000000000002</v>
      </c>
      <c r="D386" s="17">
        <v>41911</v>
      </c>
      <c r="E386" t="s">
        <v>998</v>
      </c>
    </row>
    <row r="387" spans="3:5">
      <c r="C387">
        <v>4.2240000000000002</v>
      </c>
      <c r="D387" s="17">
        <v>41958</v>
      </c>
      <c r="E387" t="s">
        <v>722</v>
      </c>
    </row>
    <row r="388" spans="3:5">
      <c r="C388">
        <v>4.2240000000000002</v>
      </c>
      <c r="D388" s="17">
        <v>42349</v>
      </c>
      <c r="E388" t="s">
        <v>129</v>
      </c>
    </row>
    <row r="389" spans="3:5">
      <c r="C389">
        <v>4.2399999999999993</v>
      </c>
      <c r="D389" s="17">
        <v>43015</v>
      </c>
      <c r="E389" t="s">
        <v>856</v>
      </c>
    </row>
    <row r="390" spans="3:5">
      <c r="C390">
        <v>4.26</v>
      </c>
      <c r="D390" s="17">
        <v>42901</v>
      </c>
      <c r="E390" t="s">
        <v>842</v>
      </c>
    </row>
    <row r="391" spans="3:5">
      <c r="C391">
        <v>4.2720000000000002</v>
      </c>
      <c r="D391" s="17">
        <v>41814</v>
      </c>
      <c r="E391" t="s">
        <v>775</v>
      </c>
    </row>
    <row r="392" spans="3:5">
      <c r="C392">
        <v>4.2759999999999989</v>
      </c>
      <c r="D392" s="17">
        <v>42750</v>
      </c>
      <c r="E392" t="s">
        <v>110</v>
      </c>
    </row>
    <row r="393" spans="3:5">
      <c r="C393">
        <v>4.28</v>
      </c>
      <c r="D393" s="17">
        <v>42237</v>
      </c>
      <c r="E393" t="s">
        <v>668</v>
      </c>
    </row>
    <row r="394" spans="3:5">
      <c r="C394">
        <v>4.28</v>
      </c>
      <c r="D394" s="17">
        <v>43097</v>
      </c>
      <c r="E394" t="s">
        <v>436</v>
      </c>
    </row>
    <row r="395" spans="3:5">
      <c r="C395">
        <v>4.3</v>
      </c>
      <c r="D395" s="17">
        <v>43043</v>
      </c>
      <c r="E395" t="s">
        <v>734</v>
      </c>
    </row>
    <row r="396" spans="3:5">
      <c r="C396">
        <v>4.3040000000000003</v>
      </c>
      <c r="D396" s="17">
        <v>42337</v>
      </c>
      <c r="E396" t="s">
        <v>1319</v>
      </c>
    </row>
    <row r="397" spans="3:5">
      <c r="C397">
        <v>4.3119999999999985</v>
      </c>
      <c r="D397" s="17">
        <v>42112</v>
      </c>
      <c r="E397" t="s">
        <v>783</v>
      </c>
    </row>
    <row r="398" spans="3:5">
      <c r="C398">
        <v>4.3119999999999985</v>
      </c>
      <c r="D398" s="17">
        <v>42604</v>
      </c>
      <c r="E398" t="s">
        <v>783</v>
      </c>
    </row>
    <row r="399" spans="3:5">
      <c r="C399">
        <v>4.32</v>
      </c>
      <c r="D399" s="17">
        <v>41969</v>
      </c>
      <c r="E399" t="s">
        <v>35</v>
      </c>
    </row>
    <row r="400" spans="3:5">
      <c r="C400">
        <v>4.338000000000001</v>
      </c>
      <c r="D400" s="17">
        <v>42591</v>
      </c>
      <c r="E400" t="s">
        <v>1548</v>
      </c>
    </row>
    <row r="401" spans="3:5">
      <c r="C401">
        <v>4.3440000000000003</v>
      </c>
      <c r="D401" s="17">
        <v>41915</v>
      </c>
      <c r="E401" t="s">
        <v>593</v>
      </c>
    </row>
    <row r="402" spans="3:5">
      <c r="C402">
        <v>4.3440000000000003</v>
      </c>
      <c r="D402" s="17">
        <v>42698</v>
      </c>
      <c r="E402" t="s">
        <v>593</v>
      </c>
    </row>
    <row r="403" spans="3:5">
      <c r="C403">
        <v>4.355999999999999</v>
      </c>
      <c r="D403" s="17">
        <v>42713</v>
      </c>
      <c r="E403" t="s">
        <v>213</v>
      </c>
    </row>
    <row r="404" spans="3:5">
      <c r="C404">
        <v>4.3600000000000003</v>
      </c>
      <c r="D404" s="17">
        <v>42251</v>
      </c>
      <c r="E404" t="s">
        <v>1091</v>
      </c>
    </row>
    <row r="405" spans="3:5">
      <c r="C405">
        <v>4.3600000000000003</v>
      </c>
      <c r="D405" s="17">
        <v>42618</v>
      </c>
      <c r="E405" t="s">
        <v>1240</v>
      </c>
    </row>
    <row r="406" spans="3:5">
      <c r="C406">
        <v>4.3600000000000003</v>
      </c>
      <c r="D406" s="17">
        <v>42998</v>
      </c>
      <c r="E406" t="s">
        <v>1240</v>
      </c>
    </row>
    <row r="407" spans="3:5">
      <c r="C407">
        <v>4.3600000000000003</v>
      </c>
      <c r="D407" s="17">
        <v>43062</v>
      </c>
      <c r="E407" t="s">
        <v>292</v>
      </c>
    </row>
    <row r="408" spans="3:5">
      <c r="C408">
        <v>4.3600000000000003</v>
      </c>
      <c r="D408" s="17">
        <v>43071</v>
      </c>
      <c r="E408" t="s">
        <v>292</v>
      </c>
    </row>
    <row r="409" spans="3:5">
      <c r="C409">
        <v>4.3680000000000003</v>
      </c>
      <c r="D409" s="17">
        <v>41825</v>
      </c>
      <c r="E409" t="s">
        <v>1017</v>
      </c>
    </row>
    <row r="410" spans="3:5">
      <c r="C410">
        <v>4.3680000000000003</v>
      </c>
      <c r="D410" s="17">
        <v>42686</v>
      </c>
      <c r="E410" t="s">
        <v>1566</v>
      </c>
    </row>
    <row r="411" spans="3:5">
      <c r="C411">
        <v>4.3680000000000003</v>
      </c>
      <c r="D411" s="17">
        <v>42945</v>
      </c>
      <c r="E411" t="s">
        <v>1017</v>
      </c>
    </row>
    <row r="412" spans="3:5">
      <c r="C412">
        <v>4.3680000000000012</v>
      </c>
      <c r="D412" s="17">
        <v>42982</v>
      </c>
      <c r="E412" t="s">
        <v>931</v>
      </c>
    </row>
    <row r="413" spans="3:5">
      <c r="C413">
        <v>4.4009999999999998</v>
      </c>
      <c r="D413" s="17">
        <v>42314</v>
      </c>
      <c r="E413" t="s">
        <v>572</v>
      </c>
    </row>
    <row r="414" spans="3:5">
      <c r="C414">
        <v>4.41</v>
      </c>
      <c r="D414" s="17">
        <v>43044</v>
      </c>
      <c r="E414" t="s">
        <v>454</v>
      </c>
    </row>
    <row r="415" spans="3:5">
      <c r="C415">
        <v>4.4160000000000004</v>
      </c>
      <c r="D415" s="17">
        <v>42698</v>
      </c>
      <c r="E415" t="s">
        <v>1581</v>
      </c>
    </row>
    <row r="416" spans="3:5">
      <c r="C416">
        <v>4.4190000000000005</v>
      </c>
      <c r="D416" s="17">
        <v>42062</v>
      </c>
      <c r="E416" t="s">
        <v>55</v>
      </c>
    </row>
    <row r="417" spans="3:5">
      <c r="C417">
        <v>4.4190000000000005</v>
      </c>
      <c r="D417" s="17">
        <v>42835</v>
      </c>
      <c r="E417" t="s">
        <v>521</v>
      </c>
    </row>
    <row r="418" spans="3:5">
      <c r="C418">
        <v>4.427999999999999</v>
      </c>
      <c r="D418" s="17">
        <v>41693</v>
      </c>
      <c r="E418" t="s">
        <v>1526</v>
      </c>
    </row>
    <row r="419" spans="3:5">
      <c r="C419">
        <v>4.4479999999999995</v>
      </c>
      <c r="D419" s="17">
        <v>41715</v>
      </c>
      <c r="E419" t="s">
        <v>746</v>
      </c>
    </row>
    <row r="420" spans="3:5">
      <c r="C420">
        <v>4.4479999999999995</v>
      </c>
      <c r="D420" s="17">
        <v>42163</v>
      </c>
      <c r="E420" t="s">
        <v>1106</v>
      </c>
    </row>
    <row r="421" spans="3:5">
      <c r="C421">
        <v>4.4479999999999995</v>
      </c>
      <c r="D421" s="17">
        <v>42519</v>
      </c>
      <c r="E421" t="s">
        <v>746</v>
      </c>
    </row>
    <row r="422" spans="3:5">
      <c r="C422">
        <v>4.4479999999999995</v>
      </c>
      <c r="D422" s="17">
        <v>42574</v>
      </c>
      <c r="E422" t="s">
        <v>175</v>
      </c>
    </row>
    <row r="423" spans="3:5">
      <c r="C423">
        <v>4.4479999999999995</v>
      </c>
      <c r="D423" s="17">
        <v>42930</v>
      </c>
      <c r="E423" t="s">
        <v>299</v>
      </c>
    </row>
    <row r="424" spans="3:5">
      <c r="C424">
        <v>4.4479999999999995</v>
      </c>
      <c r="D424" s="17">
        <v>43028</v>
      </c>
      <c r="E424" t="s">
        <v>394</v>
      </c>
    </row>
    <row r="425" spans="3:5">
      <c r="C425">
        <v>4.4640000000000004</v>
      </c>
      <c r="D425" s="17">
        <v>41860</v>
      </c>
      <c r="E425" t="s">
        <v>415</v>
      </c>
    </row>
    <row r="426" spans="3:5">
      <c r="C426">
        <v>4.4640000000000004</v>
      </c>
      <c r="D426" s="17">
        <v>42292</v>
      </c>
      <c r="E426" t="s">
        <v>79</v>
      </c>
    </row>
    <row r="427" spans="3:5">
      <c r="C427">
        <v>4.4640000000000004</v>
      </c>
      <c r="D427" s="17">
        <v>42906</v>
      </c>
      <c r="E427" t="s">
        <v>707</v>
      </c>
    </row>
    <row r="428" spans="3:5">
      <c r="C428">
        <v>4.4699999999999989</v>
      </c>
      <c r="D428" s="17">
        <v>42252</v>
      </c>
      <c r="E428" t="s">
        <v>954</v>
      </c>
    </row>
    <row r="429" spans="3:5">
      <c r="C429">
        <v>4.4879999999999995</v>
      </c>
      <c r="D429" s="17">
        <v>42696</v>
      </c>
      <c r="E429" t="s">
        <v>1415</v>
      </c>
    </row>
    <row r="430" spans="3:5">
      <c r="C430">
        <v>4.503000000000001</v>
      </c>
      <c r="D430" s="17">
        <v>42987</v>
      </c>
      <c r="E430" t="s">
        <v>1052</v>
      </c>
    </row>
    <row r="431" spans="3:5">
      <c r="C431">
        <v>4.5120000000000005</v>
      </c>
      <c r="D431" s="17">
        <v>42275</v>
      </c>
      <c r="E431" t="s">
        <v>74</v>
      </c>
    </row>
    <row r="432" spans="3:5">
      <c r="C432">
        <v>4.5360000000000014</v>
      </c>
      <c r="D432" s="17">
        <v>42173</v>
      </c>
      <c r="E432" t="s">
        <v>1524</v>
      </c>
    </row>
    <row r="433" spans="3:5">
      <c r="C433">
        <v>4.54</v>
      </c>
      <c r="D433" s="17">
        <v>42912</v>
      </c>
      <c r="E433" t="s">
        <v>891</v>
      </c>
    </row>
    <row r="434" spans="3:5">
      <c r="C434">
        <v>4.5439999999999996</v>
      </c>
      <c r="D434" s="17">
        <v>42444</v>
      </c>
      <c r="E434" t="s">
        <v>1719</v>
      </c>
    </row>
    <row r="435" spans="3:5">
      <c r="C435">
        <v>4.5540000000000003</v>
      </c>
      <c r="D435" s="17">
        <v>42889</v>
      </c>
      <c r="E435" t="s">
        <v>791</v>
      </c>
    </row>
    <row r="436" spans="3:5">
      <c r="C436">
        <v>4.5599999999999996</v>
      </c>
      <c r="D436" s="17">
        <v>41856</v>
      </c>
      <c r="E436" t="s">
        <v>1711</v>
      </c>
    </row>
    <row r="437" spans="3:5">
      <c r="C437">
        <v>4.572000000000001</v>
      </c>
      <c r="D437" s="17">
        <v>42897</v>
      </c>
      <c r="E437" t="s">
        <v>254</v>
      </c>
    </row>
    <row r="438" spans="3:5">
      <c r="C438">
        <v>4.5999999999999988</v>
      </c>
      <c r="D438" s="17">
        <v>41979</v>
      </c>
      <c r="E438" t="s">
        <v>640</v>
      </c>
    </row>
    <row r="439" spans="3:5">
      <c r="C439">
        <v>4.6079999999999997</v>
      </c>
      <c r="D439" s="17">
        <v>41904</v>
      </c>
      <c r="E439" t="s">
        <v>130</v>
      </c>
    </row>
    <row r="440" spans="3:5">
      <c r="C440">
        <v>4.6079999999999997</v>
      </c>
      <c r="D440" s="17">
        <v>42072</v>
      </c>
      <c r="E440" t="s">
        <v>1218</v>
      </c>
    </row>
    <row r="441" spans="3:5">
      <c r="C441">
        <v>4.6079999999999997</v>
      </c>
      <c r="D441" s="17">
        <v>42180</v>
      </c>
      <c r="E441" t="s">
        <v>130</v>
      </c>
    </row>
    <row r="442" spans="3:5">
      <c r="C442">
        <v>4.6079999999999997</v>
      </c>
      <c r="D442" s="17">
        <v>42225</v>
      </c>
      <c r="E442" t="s">
        <v>130</v>
      </c>
    </row>
    <row r="443" spans="3:5">
      <c r="C443">
        <v>4.6079999999999997</v>
      </c>
      <c r="D443" s="17">
        <v>42811</v>
      </c>
      <c r="E443" t="s">
        <v>387</v>
      </c>
    </row>
    <row r="444" spans="3:5">
      <c r="C444">
        <v>4.6079999999999997</v>
      </c>
      <c r="D444" s="17">
        <v>42855</v>
      </c>
      <c r="E444" t="s">
        <v>387</v>
      </c>
    </row>
    <row r="445" spans="3:5">
      <c r="C445">
        <v>4.6079999999999997</v>
      </c>
      <c r="D445" s="17">
        <v>42856</v>
      </c>
      <c r="E445" t="s">
        <v>620</v>
      </c>
    </row>
    <row r="446" spans="3:5">
      <c r="C446">
        <v>4.6159999999999997</v>
      </c>
      <c r="D446" s="17">
        <v>42631</v>
      </c>
      <c r="E446" t="s">
        <v>374</v>
      </c>
    </row>
    <row r="447" spans="3:5">
      <c r="C447">
        <v>4.6240000000000006</v>
      </c>
      <c r="D447" s="17">
        <v>41899</v>
      </c>
      <c r="E447" t="s">
        <v>286</v>
      </c>
    </row>
    <row r="448" spans="3:5">
      <c r="C448">
        <v>4.6240000000000006</v>
      </c>
      <c r="D448" s="17">
        <v>42609</v>
      </c>
      <c r="E448" t="s">
        <v>408</v>
      </c>
    </row>
    <row r="449" spans="3:5">
      <c r="C449">
        <v>4.6240000000000006</v>
      </c>
      <c r="D449" s="17">
        <v>42684</v>
      </c>
      <c r="E449" t="s">
        <v>286</v>
      </c>
    </row>
    <row r="450" spans="3:5">
      <c r="C450">
        <v>4.6260000000000003</v>
      </c>
      <c r="D450" s="17">
        <v>42539</v>
      </c>
      <c r="E450" t="s">
        <v>185</v>
      </c>
    </row>
    <row r="451" spans="3:5">
      <c r="C451">
        <v>4.6560000000000006</v>
      </c>
      <c r="D451" s="17">
        <v>43059</v>
      </c>
      <c r="E451" t="s">
        <v>404</v>
      </c>
    </row>
    <row r="452" spans="3:5">
      <c r="C452">
        <v>4.66</v>
      </c>
      <c r="D452" s="17">
        <v>42384</v>
      </c>
      <c r="E452" t="s">
        <v>306</v>
      </c>
    </row>
    <row r="453" spans="3:5">
      <c r="C453">
        <v>4.6619999999999999</v>
      </c>
      <c r="D453" s="17">
        <v>42320</v>
      </c>
      <c r="E453" t="s">
        <v>473</v>
      </c>
    </row>
    <row r="454" spans="3:5">
      <c r="C454">
        <v>4.6719999999999997</v>
      </c>
      <c r="D454" s="17">
        <v>41914</v>
      </c>
      <c r="E454" t="s">
        <v>74</v>
      </c>
    </row>
    <row r="455" spans="3:5">
      <c r="C455">
        <v>4.6719999999999997</v>
      </c>
      <c r="D455" s="17">
        <v>42373</v>
      </c>
      <c r="E455" t="s">
        <v>167</v>
      </c>
    </row>
    <row r="456" spans="3:5">
      <c r="C456">
        <v>4.6719999999999997</v>
      </c>
      <c r="D456" s="17">
        <v>42987</v>
      </c>
      <c r="E456" t="s">
        <v>196</v>
      </c>
    </row>
    <row r="457" spans="3:5">
      <c r="C457">
        <v>4.7039999999999997</v>
      </c>
      <c r="D457" s="17">
        <v>42705</v>
      </c>
      <c r="E457" t="s">
        <v>1220</v>
      </c>
    </row>
    <row r="458" spans="3:5">
      <c r="C458">
        <v>4.71</v>
      </c>
      <c r="D458" s="17">
        <v>41913</v>
      </c>
      <c r="E458" t="s">
        <v>1876</v>
      </c>
    </row>
    <row r="459" spans="3:5">
      <c r="C459">
        <v>4.7119999999999997</v>
      </c>
      <c r="D459" s="17">
        <v>42068</v>
      </c>
      <c r="E459" t="s">
        <v>771</v>
      </c>
    </row>
    <row r="460" spans="3:5">
      <c r="C460">
        <v>4.7119999999999997</v>
      </c>
      <c r="D460" s="17">
        <v>42316</v>
      </c>
      <c r="E460" t="s">
        <v>771</v>
      </c>
    </row>
    <row r="461" spans="3:5">
      <c r="C461">
        <v>4.7200000000000006</v>
      </c>
      <c r="D461" s="17">
        <v>41876</v>
      </c>
      <c r="E461" t="s">
        <v>637</v>
      </c>
    </row>
    <row r="462" spans="3:5">
      <c r="C462">
        <v>4.7279999999999998</v>
      </c>
      <c r="D462" s="17">
        <v>42365</v>
      </c>
      <c r="E462" t="s">
        <v>1393</v>
      </c>
    </row>
    <row r="463" spans="3:5">
      <c r="C463">
        <v>4.7300000000000004</v>
      </c>
      <c r="D463" s="17">
        <v>42528</v>
      </c>
      <c r="E463" t="s">
        <v>1748</v>
      </c>
    </row>
    <row r="464" spans="3:5">
      <c r="C464">
        <v>4.7519999999999989</v>
      </c>
      <c r="D464" s="17">
        <v>42574</v>
      </c>
      <c r="E464" t="s">
        <v>531</v>
      </c>
    </row>
    <row r="465" spans="3:5">
      <c r="C465">
        <v>4.7520000000000007</v>
      </c>
      <c r="D465" s="17">
        <v>42248</v>
      </c>
      <c r="E465" t="s">
        <v>531</v>
      </c>
    </row>
    <row r="466" spans="3:5">
      <c r="C466">
        <v>4.7520000000000007</v>
      </c>
      <c r="D466" s="17">
        <v>42870</v>
      </c>
      <c r="E466" t="s">
        <v>698</v>
      </c>
    </row>
    <row r="467" spans="3:5">
      <c r="C467">
        <v>4.7679999999999998</v>
      </c>
      <c r="D467" s="17">
        <v>42475</v>
      </c>
      <c r="E467" t="s">
        <v>1334</v>
      </c>
    </row>
    <row r="468" spans="3:5">
      <c r="C468">
        <v>4.7679999999999998</v>
      </c>
      <c r="D468" s="17">
        <v>42504</v>
      </c>
      <c r="E468" t="s">
        <v>403</v>
      </c>
    </row>
    <row r="469" spans="3:5">
      <c r="C469">
        <v>4.7679999999999998</v>
      </c>
      <c r="D469" s="17">
        <v>42764</v>
      </c>
      <c r="E469" t="s">
        <v>179</v>
      </c>
    </row>
    <row r="470" spans="3:5">
      <c r="C470">
        <v>4.7679999999999998</v>
      </c>
      <c r="D470" s="17">
        <v>43028</v>
      </c>
      <c r="E470" t="s">
        <v>1334</v>
      </c>
    </row>
    <row r="471" spans="3:5">
      <c r="C471">
        <v>4.7699999999999996</v>
      </c>
      <c r="D471" s="17">
        <v>42414</v>
      </c>
      <c r="E471" t="s">
        <v>481</v>
      </c>
    </row>
    <row r="472" spans="3:5">
      <c r="C472">
        <v>4.7840000000000007</v>
      </c>
      <c r="D472" s="17">
        <v>42528</v>
      </c>
      <c r="E472" t="s">
        <v>1630</v>
      </c>
    </row>
    <row r="473" spans="3:5">
      <c r="C473">
        <v>4.7879999999999985</v>
      </c>
      <c r="D473" s="17">
        <v>42720</v>
      </c>
      <c r="E473" t="s">
        <v>1558</v>
      </c>
    </row>
    <row r="474" spans="3:5">
      <c r="C474">
        <v>4.8120000000000003</v>
      </c>
      <c r="D474" s="17">
        <v>41992</v>
      </c>
      <c r="E474" t="s">
        <v>552</v>
      </c>
    </row>
    <row r="475" spans="3:5">
      <c r="C475">
        <v>4.8239999999999998</v>
      </c>
      <c r="D475" s="17">
        <v>43087</v>
      </c>
      <c r="E475" t="s">
        <v>1533</v>
      </c>
    </row>
    <row r="476" spans="3:5">
      <c r="C476">
        <v>4.8320000000000007</v>
      </c>
      <c r="D476" s="17">
        <v>41780</v>
      </c>
      <c r="E476" t="s">
        <v>1377</v>
      </c>
    </row>
    <row r="477" spans="3:5">
      <c r="C477">
        <v>4.8359999999999985</v>
      </c>
      <c r="D477" s="17">
        <v>41846</v>
      </c>
      <c r="E477" t="s">
        <v>1172</v>
      </c>
    </row>
    <row r="478" spans="3:5">
      <c r="C478">
        <v>4.8420000000000005</v>
      </c>
      <c r="D478" s="17">
        <v>42855</v>
      </c>
      <c r="E478" t="s">
        <v>615</v>
      </c>
    </row>
    <row r="479" spans="3:5">
      <c r="C479">
        <v>4.8420000000000005</v>
      </c>
      <c r="D479" s="17">
        <v>42997</v>
      </c>
      <c r="E479" t="s">
        <v>1236</v>
      </c>
    </row>
    <row r="480" spans="3:5">
      <c r="C480">
        <v>4.8600000000000012</v>
      </c>
      <c r="D480" s="17">
        <v>42987</v>
      </c>
      <c r="E480" t="s">
        <v>329</v>
      </c>
    </row>
    <row r="481" spans="3:5">
      <c r="C481">
        <v>4.8899999999999997</v>
      </c>
      <c r="D481" s="17">
        <v>42840</v>
      </c>
      <c r="E481" t="s">
        <v>541</v>
      </c>
    </row>
    <row r="482" spans="3:5">
      <c r="C482">
        <v>4.8960000000000008</v>
      </c>
      <c r="D482" s="17">
        <v>42138</v>
      </c>
      <c r="E482" t="s">
        <v>1763</v>
      </c>
    </row>
    <row r="483" spans="3:5">
      <c r="C483">
        <v>4.8960000000000008</v>
      </c>
      <c r="D483" s="17">
        <v>42328</v>
      </c>
      <c r="E483" t="s">
        <v>1763</v>
      </c>
    </row>
    <row r="484" spans="3:5">
      <c r="C484">
        <v>4.8960000000000008</v>
      </c>
      <c r="D484" s="17">
        <v>42485</v>
      </c>
      <c r="E484" t="s">
        <v>1763</v>
      </c>
    </row>
    <row r="485" spans="3:5">
      <c r="C485">
        <v>4.8960000000000008</v>
      </c>
      <c r="D485" s="17">
        <v>42985</v>
      </c>
      <c r="E485" t="s">
        <v>124</v>
      </c>
    </row>
    <row r="486" spans="3:5">
      <c r="C486">
        <v>4.91</v>
      </c>
      <c r="D486" s="17">
        <v>42694</v>
      </c>
      <c r="E486" t="s">
        <v>55</v>
      </c>
    </row>
    <row r="487" spans="3:5">
      <c r="C487">
        <v>4.91</v>
      </c>
      <c r="D487" s="17">
        <v>42854</v>
      </c>
      <c r="E487" t="s">
        <v>509</v>
      </c>
    </row>
    <row r="488" spans="3:5">
      <c r="C488">
        <v>4.9119999999999999</v>
      </c>
      <c r="D488" s="17">
        <v>42636</v>
      </c>
      <c r="E488" t="s">
        <v>1413</v>
      </c>
    </row>
    <row r="489" spans="3:5">
      <c r="C489">
        <v>4.92</v>
      </c>
      <c r="D489" s="17">
        <v>42980</v>
      </c>
      <c r="E489" t="s">
        <v>1047</v>
      </c>
    </row>
    <row r="490" spans="3:5">
      <c r="C490">
        <v>4.9230000000000009</v>
      </c>
      <c r="D490" s="17">
        <v>42254</v>
      </c>
      <c r="E490" t="s">
        <v>834</v>
      </c>
    </row>
    <row r="491" spans="3:5">
      <c r="C491">
        <v>4.9280000000000008</v>
      </c>
      <c r="D491" s="17">
        <v>41915</v>
      </c>
      <c r="E491" t="s">
        <v>676</v>
      </c>
    </row>
    <row r="492" spans="3:5">
      <c r="C492">
        <v>4.9280000000000008</v>
      </c>
      <c r="D492" s="17">
        <v>42190</v>
      </c>
      <c r="E492" t="s">
        <v>463</v>
      </c>
    </row>
    <row r="493" spans="3:5">
      <c r="C493">
        <v>4.9280000000000008</v>
      </c>
      <c r="D493" s="17">
        <v>42190</v>
      </c>
      <c r="E493" t="s">
        <v>463</v>
      </c>
    </row>
    <row r="494" spans="3:5">
      <c r="C494">
        <v>4.9280000000000008</v>
      </c>
      <c r="D494" s="17">
        <v>42268</v>
      </c>
      <c r="E494" t="s">
        <v>1037</v>
      </c>
    </row>
    <row r="495" spans="3:5">
      <c r="C495">
        <v>4.9280000000000008</v>
      </c>
      <c r="D495" s="17">
        <v>42650</v>
      </c>
      <c r="E495" t="s">
        <v>326</v>
      </c>
    </row>
    <row r="496" spans="3:5">
      <c r="C496">
        <v>4.9280000000000008</v>
      </c>
      <c r="D496" s="17">
        <v>42800</v>
      </c>
      <c r="E496" t="s">
        <v>326</v>
      </c>
    </row>
    <row r="497" spans="3:5">
      <c r="C497">
        <v>4.9280000000000008</v>
      </c>
      <c r="D497" s="17">
        <v>43043</v>
      </c>
      <c r="E497" t="s">
        <v>1038</v>
      </c>
    </row>
    <row r="498" spans="3:5">
      <c r="C498">
        <v>4.9380000000000006</v>
      </c>
      <c r="D498" s="17">
        <v>42758</v>
      </c>
      <c r="E498" t="s">
        <v>156</v>
      </c>
    </row>
    <row r="499" spans="3:5">
      <c r="C499">
        <v>4.95</v>
      </c>
      <c r="D499" s="17">
        <v>42309</v>
      </c>
      <c r="E499" t="s">
        <v>787</v>
      </c>
    </row>
    <row r="500" spans="3:5">
      <c r="C500">
        <v>4.95</v>
      </c>
      <c r="D500" s="17">
        <v>42892</v>
      </c>
      <c r="E500" t="s">
        <v>804</v>
      </c>
    </row>
    <row r="501" spans="3:5">
      <c r="C501">
        <v>4.9560000000000004</v>
      </c>
      <c r="D501" s="17">
        <v>42790</v>
      </c>
      <c r="E501" t="s">
        <v>277</v>
      </c>
    </row>
    <row r="502" spans="3:5">
      <c r="C502">
        <v>4.96</v>
      </c>
      <c r="D502" s="17">
        <v>42177</v>
      </c>
      <c r="E502" t="s">
        <v>956</v>
      </c>
    </row>
    <row r="503" spans="3:5">
      <c r="C503">
        <v>4.96</v>
      </c>
      <c r="D503" s="17">
        <v>42930</v>
      </c>
      <c r="E503" t="s">
        <v>956</v>
      </c>
    </row>
    <row r="504" spans="3:5">
      <c r="C504">
        <v>4.9800000000000004</v>
      </c>
      <c r="D504" s="17">
        <v>42354</v>
      </c>
      <c r="E504" t="s">
        <v>1798</v>
      </c>
    </row>
    <row r="505" spans="3:5">
      <c r="C505">
        <v>4.9800000000000004</v>
      </c>
      <c r="D505" s="17">
        <v>42513</v>
      </c>
      <c r="E505" t="s">
        <v>729</v>
      </c>
    </row>
    <row r="506" spans="3:5">
      <c r="C506">
        <v>4.9800000000000004</v>
      </c>
      <c r="D506" s="17">
        <v>42638</v>
      </c>
      <c r="E506" t="s">
        <v>1371</v>
      </c>
    </row>
    <row r="507" spans="3:5">
      <c r="C507">
        <v>4.9800000000000004</v>
      </c>
      <c r="D507" s="17">
        <v>42709</v>
      </c>
      <c r="E507" t="s">
        <v>296</v>
      </c>
    </row>
    <row r="508" spans="3:5">
      <c r="C508">
        <v>4.9839999999999991</v>
      </c>
      <c r="D508" s="17">
        <v>42000</v>
      </c>
      <c r="E508" t="s">
        <v>1105</v>
      </c>
    </row>
    <row r="509" spans="3:5">
      <c r="C509">
        <v>4.9919999999999991</v>
      </c>
      <c r="D509" s="17">
        <v>41841</v>
      </c>
      <c r="E509" t="s">
        <v>1890</v>
      </c>
    </row>
    <row r="510" spans="3:5">
      <c r="C510">
        <v>4.9920000000000009</v>
      </c>
      <c r="D510" s="17">
        <v>41717</v>
      </c>
      <c r="E510" t="s">
        <v>771</v>
      </c>
    </row>
    <row r="511" spans="3:5">
      <c r="C511">
        <v>4.9920000000000009</v>
      </c>
      <c r="D511" s="17">
        <v>42730</v>
      </c>
      <c r="E511" t="s">
        <v>1566</v>
      </c>
    </row>
    <row r="512" spans="3:5">
      <c r="C512">
        <v>5</v>
      </c>
      <c r="D512" s="17">
        <v>42316</v>
      </c>
      <c r="E512" t="s">
        <v>629</v>
      </c>
    </row>
    <row r="513" spans="3:5">
      <c r="C513">
        <v>5.0220000000000002</v>
      </c>
      <c r="D513" s="17">
        <v>42638</v>
      </c>
      <c r="E513" t="s">
        <v>1021</v>
      </c>
    </row>
    <row r="514" spans="3:5">
      <c r="C514">
        <v>5.04</v>
      </c>
      <c r="D514" s="17">
        <v>41782</v>
      </c>
      <c r="E514" t="s">
        <v>1684</v>
      </c>
    </row>
    <row r="515" spans="3:5">
      <c r="C515">
        <v>5.04</v>
      </c>
      <c r="D515" s="17">
        <v>41972</v>
      </c>
      <c r="E515" t="s">
        <v>1714</v>
      </c>
    </row>
    <row r="516" spans="3:5">
      <c r="C516">
        <v>5.04</v>
      </c>
      <c r="D516" s="17">
        <v>42075</v>
      </c>
      <c r="E516" t="s">
        <v>1121</v>
      </c>
    </row>
    <row r="517" spans="3:5">
      <c r="C517">
        <v>5.04</v>
      </c>
      <c r="D517" s="17">
        <v>42232</v>
      </c>
      <c r="E517" t="s">
        <v>1714</v>
      </c>
    </row>
    <row r="518" spans="3:5">
      <c r="C518">
        <v>5.04</v>
      </c>
      <c r="D518" s="17">
        <v>42308</v>
      </c>
      <c r="E518" t="s">
        <v>1825</v>
      </c>
    </row>
    <row r="519" spans="3:5">
      <c r="C519">
        <v>5.04</v>
      </c>
      <c r="D519" s="17">
        <v>42316</v>
      </c>
      <c r="E519" t="s">
        <v>275</v>
      </c>
    </row>
    <row r="520" spans="3:5">
      <c r="C520">
        <v>5.04</v>
      </c>
      <c r="D520" s="17">
        <v>42316</v>
      </c>
      <c r="E520" t="s">
        <v>1572</v>
      </c>
    </row>
    <row r="521" spans="3:5">
      <c r="C521">
        <v>5.04</v>
      </c>
      <c r="D521" s="17">
        <v>42357</v>
      </c>
      <c r="E521" t="s">
        <v>96</v>
      </c>
    </row>
    <row r="522" spans="3:5">
      <c r="C522">
        <v>5.04</v>
      </c>
      <c r="D522" s="17">
        <v>42492</v>
      </c>
      <c r="E522" t="s">
        <v>697</v>
      </c>
    </row>
    <row r="523" spans="3:5">
      <c r="C523">
        <v>5.04</v>
      </c>
      <c r="D523" s="17">
        <v>42632</v>
      </c>
      <c r="E523" t="s">
        <v>1684</v>
      </c>
    </row>
    <row r="524" spans="3:5">
      <c r="C524">
        <v>5.04</v>
      </c>
      <c r="D524" s="17">
        <v>42869</v>
      </c>
      <c r="E524" t="s">
        <v>697</v>
      </c>
    </row>
    <row r="525" spans="3:5">
      <c r="C525">
        <v>5.08</v>
      </c>
      <c r="D525" s="17">
        <v>42699</v>
      </c>
      <c r="E525" t="s">
        <v>105</v>
      </c>
    </row>
    <row r="526" spans="3:5">
      <c r="C526">
        <v>5.1039999999999992</v>
      </c>
      <c r="D526" s="17">
        <v>41987</v>
      </c>
      <c r="E526" t="s">
        <v>1680</v>
      </c>
    </row>
    <row r="527" spans="3:5">
      <c r="C527">
        <v>5.1040000000000001</v>
      </c>
      <c r="D527" s="17">
        <v>42243</v>
      </c>
      <c r="E527" t="s">
        <v>1680</v>
      </c>
    </row>
    <row r="528" spans="3:5">
      <c r="C528">
        <v>5.16</v>
      </c>
      <c r="D528" s="17">
        <v>42194</v>
      </c>
      <c r="E528" t="s">
        <v>734</v>
      </c>
    </row>
    <row r="529" spans="3:5">
      <c r="C529">
        <v>5.16</v>
      </c>
      <c r="D529" s="17">
        <v>42541</v>
      </c>
      <c r="E529" t="s">
        <v>1140</v>
      </c>
    </row>
    <row r="530" spans="3:5">
      <c r="C530">
        <v>5.16</v>
      </c>
      <c r="D530" s="17">
        <v>43064</v>
      </c>
      <c r="E530" t="s">
        <v>1140</v>
      </c>
    </row>
    <row r="531" spans="3:5">
      <c r="C531">
        <v>5.1759999999999984</v>
      </c>
      <c r="D531" s="17">
        <v>42299</v>
      </c>
      <c r="E531" t="s">
        <v>54</v>
      </c>
    </row>
    <row r="532" spans="3:5">
      <c r="C532">
        <v>5.1799999999999988</v>
      </c>
      <c r="D532" s="17">
        <v>41894</v>
      </c>
      <c r="E532" t="s">
        <v>739</v>
      </c>
    </row>
    <row r="533" spans="3:5">
      <c r="C533">
        <v>5.1840000000000011</v>
      </c>
      <c r="D533" s="17">
        <v>41715</v>
      </c>
      <c r="E533" t="s">
        <v>928</v>
      </c>
    </row>
    <row r="534" spans="3:5">
      <c r="C534">
        <v>5.1840000000000011</v>
      </c>
      <c r="D534" s="17">
        <v>41821</v>
      </c>
      <c r="E534" t="s">
        <v>139</v>
      </c>
    </row>
    <row r="535" spans="3:5">
      <c r="C535">
        <v>5.1840000000000011</v>
      </c>
      <c r="D535" s="17">
        <v>41996</v>
      </c>
      <c r="E535" t="s">
        <v>1048</v>
      </c>
    </row>
    <row r="536" spans="3:5">
      <c r="C536">
        <v>5.1840000000000011</v>
      </c>
      <c r="D536" s="17">
        <v>42416</v>
      </c>
      <c r="E536" t="s">
        <v>793</v>
      </c>
    </row>
    <row r="537" spans="3:5">
      <c r="C537">
        <v>5.1840000000000011</v>
      </c>
      <c r="D537" s="17">
        <v>42443</v>
      </c>
      <c r="E537" t="s">
        <v>363</v>
      </c>
    </row>
    <row r="538" spans="3:5">
      <c r="C538">
        <v>5.1840000000000011</v>
      </c>
      <c r="D538" s="17">
        <v>42574</v>
      </c>
      <c r="E538" t="s">
        <v>1209</v>
      </c>
    </row>
    <row r="539" spans="3:5">
      <c r="C539">
        <v>5.1840000000000011</v>
      </c>
      <c r="D539" s="17">
        <v>42684</v>
      </c>
      <c r="E539" t="s">
        <v>1524</v>
      </c>
    </row>
    <row r="540" spans="3:5">
      <c r="C540">
        <v>5.1840000000000011</v>
      </c>
      <c r="D540" s="17">
        <v>42769</v>
      </c>
      <c r="E540" t="s">
        <v>209</v>
      </c>
    </row>
    <row r="541" spans="3:5">
      <c r="C541">
        <v>5.1840000000000011</v>
      </c>
      <c r="D541" s="17">
        <v>42915</v>
      </c>
      <c r="E541" t="s">
        <v>902</v>
      </c>
    </row>
    <row r="542" spans="3:5">
      <c r="C542">
        <v>5.1840000000000011</v>
      </c>
      <c r="D542" s="17">
        <v>42974</v>
      </c>
      <c r="E542" t="s">
        <v>1101</v>
      </c>
    </row>
    <row r="543" spans="3:5">
      <c r="C543">
        <v>5.1840000000000011</v>
      </c>
      <c r="D543" s="17">
        <v>43029</v>
      </c>
      <c r="E543" t="s">
        <v>902</v>
      </c>
    </row>
    <row r="544" spans="3:5">
      <c r="C544">
        <v>5.1930000000000005</v>
      </c>
      <c r="D544" s="17">
        <v>42810</v>
      </c>
      <c r="E544" t="s">
        <v>374</v>
      </c>
    </row>
    <row r="545" spans="3:5">
      <c r="C545">
        <v>5.2</v>
      </c>
      <c r="D545" s="17">
        <v>42889</v>
      </c>
      <c r="E545" t="s">
        <v>792</v>
      </c>
    </row>
    <row r="546" spans="3:5">
      <c r="C546">
        <v>5.2140000000000004</v>
      </c>
      <c r="D546" s="17">
        <v>41986</v>
      </c>
      <c r="E546" t="s">
        <v>421</v>
      </c>
    </row>
    <row r="547" spans="3:5">
      <c r="C547">
        <v>5.2140000000000004</v>
      </c>
      <c r="D547" s="17">
        <v>42723</v>
      </c>
      <c r="E547" t="s">
        <v>421</v>
      </c>
    </row>
    <row r="548" spans="3:5">
      <c r="C548">
        <v>5.22</v>
      </c>
      <c r="D548" s="17">
        <v>41959</v>
      </c>
      <c r="E548" t="s">
        <v>178</v>
      </c>
    </row>
    <row r="549" spans="3:5">
      <c r="C549">
        <v>5.22</v>
      </c>
      <c r="D549" s="17">
        <v>42764</v>
      </c>
      <c r="E549" t="s">
        <v>178</v>
      </c>
    </row>
    <row r="550" spans="3:5">
      <c r="C550">
        <v>5.2290000000000001</v>
      </c>
      <c r="D550" s="17">
        <v>42769</v>
      </c>
      <c r="E550" t="s">
        <v>206</v>
      </c>
    </row>
    <row r="551" spans="3:5">
      <c r="C551">
        <v>5.2319999999999984</v>
      </c>
      <c r="D551" s="17">
        <v>42918</v>
      </c>
      <c r="E551" t="s">
        <v>730</v>
      </c>
    </row>
    <row r="552" spans="3:5">
      <c r="C552">
        <v>5.2320000000000002</v>
      </c>
      <c r="D552" s="17">
        <v>42091</v>
      </c>
      <c r="E552" t="s">
        <v>1686</v>
      </c>
    </row>
    <row r="553" spans="3:5">
      <c r="C553">
        <v>5.2380000000000013</v>
      </c>
      <c r="D553" s="17">
        <v>42320</v>
      </c>
      <c r="E553" t="s">
        <v>134</v>
      </c>
    </row>
    <row r="554" spans="3:5">
      <c r="C554">
        <v>5.2480000000000002</v>
      </c>
      <c r="D554" s="17">
        <v>41820</v>
      </c>
      <c r="E554" t="s">
        <v>1047</v>
      </c>
    </row>
    <row r="555" spans="3:5">
      <c r="C555">
        <v>5.2480000000000002</v>
      </c>
      <c r="D555" s="17">
        <v>41899</v>
      </c>
      <c r="E555" t="s">
        <v>1799</v>
      </c>
    </row>
    <row r="556" spans="3:5">
      <c r="C556">
        <v>5.2480000000000002</v>
      </c>
      <c r="D556" s="17">
        <v>42132</v>
      </c>
      <c r="E556" t="s">
        <v>530</v>
      </c>
    </row>
    <row r="557" spans="3:5">
      <c r="C557">
        <v>5.2480000000000002</v>
      </c>
      <c r="D557" s="17">
        <v>42374</v>
      </c>
      <c r="E557" t="s">
        <v>337</v>
      </c>
    </row>
    <row r="558" spans="3:5">
      <c r="C558">
        <v>5.2480000000000002</v>
      </c>
      <c r="D558" s="17">
        <v>42804</v>
      </c>
      <c r="E558" t="s">
        <v>337</v>
      </c>
    </row>
    <row r="559" spans="3:5">
      <c r="C559">
        <v>5.2480000000000002</v>
      </c>
      <c r="D559" s="17">
        <v>42866</v>
      </c>
      <c r="E559" t="s">
        <v>149</v>
      </c>
    </row>
    <row r="560" spans="3:5">
      <c r="C560">
        <v>5.2480000000000002</v>
      </c>
      <c r="D560" s="17">
        <v>42906</v>
      </c>
      <c r="E560" t="s">
        <v>875</v>
      </c>
    </row>
    <row r="561" spans="3:5">
      <c r="C561">
        <v>5.2480000000000002</v>
      </c>
      <c r="D561" s="17">
        <v>43039</v>
      </c>
      <c r="E561" t="s">
        <v>625</v>
      </c>
    </row>
    <row r="562" spans="3:5">
      <c r="C562">
        <v>5.28</v>
      </c>
      <c r="D562" s="17">
        <v>42041</v>
      </c>
      <c r="E562" t="s">
        <v>722</v>
      </c>
    </row>
    <row r="563" spans="3:5">
      <c r="C563">
        <v>5.28</v>
      </c>
      <c r="D563" s="17">
        <v>42215</v>
      </c>
      <c r="E563" t="s">
        <v>994</v>
      </c>
    </row>
    <row r="564" spans="3:5">
      <c r="C564">
        <v>5.28</v>
      </c>
      <c r="D564" s="17">
        <v>42469</v>
      </c>
      <c r="E564" t="s">
        <v>1340</v>
      </c>
    </row>
    <row r="565" spans="3:5">
      <c r="C565">
        <v>5.28</v>
      </c>
      <c r="D565" s="17">
        <v>42617</v>
      </c>
      <c r="E565" t="s">
        <v>998</v>
      </c>
    </row>
    <row r="566" spans="3:5">
      <c r="C566">
        <v>5.28</v>
      </c>
      <c r="D566" s="17">
        <v>42688</v>
      </c>
      <c r="E566" t="s">
        <v>533</v>
      </c>
    </row>
    <row r="567" spans="3:5">
      <c r="C567">
        <v>5.28</v>
      </c>
      <c r="D567" s="17">
        <v>42838</v>
      </c>
      <c r="E567" t="s">
        <v>533</v>
      </c>
    </row>
    <row r="568" spans="3:5">
      <c r="C568">
        <v>5.3040000000000003</v>
      </c>
      <c r="D568" s="17">
        <v>42547</v>
      </c>
      <c r="E568" t="s">
        <v>161</v>
      </c>
    </row>
    <row r="569" spans="3:5">
      <c r="C569">
        <v>5.3120000000000003</v>
      </c>
      <c r="D569" s="17">
        <v>41929</v>
      </c>
      <c r="E569" t="s">
        <v>1273</v>
      </c>
    </row>
    <row r="570" spans="3:5">
      <c r="C570">
        <v>5.32</v>
      </c>
      <c r="D570" s="17">
        <v>43041</v>
      </c>
      <c r="E570" t="s">
        <v>270</v>
      </c>
    </row>
    <row r="571" spans="3:5">
      <c r="C571">
        <v>5.3280000000000012</v>
      </c>
      <c r="D571" s="17">
        <v>42832</v>
      </c>
      <c r="E571" t="s">
        <v>450</v>
      </c>
    </row>
    <row r="572" spans="3:5">
      <c r="C572">
        <v>5.34</v>
      </c>
      <c r="D572" s="17">
        <v>41757</v>
      </c>
      <c r="E572" t="s">
        <v>642</v>
      </c>
    </row>
    <row r="573" spans="3:5">
      <c r="C573">
        <v>5.3440000000000003</v>
      </c>
      <c r="D573" s="17">
        <v>42292</v>
      </c>
      <c r="E573" t="s">
        <v>1662</v>
      </c>
    </row>
    <row r="574" spans="3:5">
      <c r="C574">
        <v>5.3440000000000003</v>
      </c>
      <c r="D574" s="17">
        <v>42329</v>
      </c>
      <c r="E574" t="s">
        <v>888</v>
      </c>
    </row>
    <row r="575" spans="3:5">
      <c r="C575">
        <v>5.3440000000000003</v>
      </c>
      <c r="D575" s="17">
        <v>42600</v>
      </c>
      <c r="E575" t="s">
        <v>1455</v>
      </c>
    </row>
    <row r="576" spans="3:5">
      <c r="C576">
        <v>5.3440000000000003</v>
      </c>
      <c r="D576" s="17">
        <v>42628</v>
      </c>
      <c r="E576" t="s">
        <v>461</v>
      </c>
    </row>
    <row r="577" spans="3:5">
      <c r="C577">
        <v>5.3440000000000003</v>
      </c>
      <c r="D577" s="17">
        <v>42654</v>
      </c>
      <c r="E577" t="s">
        <v>1060</v>
      </c>
    </row>
    <row r="578" spans="3:5">
      <c r="C578">
        <v>5.3440000000000003</v>
      </c>
      <c r="D578" s="17">
        <v>42848</v>
      </c>
      <c r="E578" t="s">
        <v>77</v>
      </c>
    </row>
    <row r="579" spans="3:5">
      <c r="C579">
        <v>5.3440000000000003</v>
      </c>
      <c r="D579" s="17">
        <v>42911</v>
      </c>
      <c r="E579" t="s">
        <v>888</v>
      </c>
    </row>
    <row r="580" spans="3:5">
      <c r="C580">
        <v>5.3460000000000019</v>
      </c>
      <c r="D580" s="17">
        <v>43073</v>
      </c>
      <c r="E580" t="s">
        <v>531</v>
      </c>
    </row>
    <row r="581" spans="3:5">
      <c r="C581">
        <v>5.3520000000000003</v>
      </c>
      <c r="D581" s="17">
        <v>42631</v>
      </c>
      <c r="E581" t="s">
        <v>1687</v>
      </c>
    </row>
    <row r="582" spans="3:5">
      <c r="C582">
        <v>5.3880000000000008</v>
      </c>
      <c r="D582" s="17">
        <v>42644</v>
      </c>
      <c r="E582" t="s">
        <v>353</v>
      </c>
    </row>
    <row r="583" spans="3:5">
      <c r="C583">
        <v>5.4</v>
      </c>
      <c r="D583" s="17">
        <v>42573</v>
      </c>
      <c r="E583" t="s">
        <v>35</v>
      </c>
    </row>
    <row r="584" spans="3:5">
      <c r="C584">
        <v>5.4</v>
      </c>
      <c r="D584" s="17">
        <v>43080</v>
      </c>
      <c r="E584" t="s">
        <v>35</v>
      </c>
    </row>
    <row r="585" spans="3:5">
      <c r="C585">
        <v>5.43</v>
      </c>
      <c r="D585" s="17">
        <v>42178</v>
      </c>
      <c r="E585" t="s">
        <v>1018</v>
      </c>
    </row>
    <row r="586" spans="3:5">
      <c r="C586">
        <v>5.4319999999999986</v>
      </c>
      <c r="D586" s="17">
        <v>42737</v>
      </c>
      <c r="E586" t="s">
        <v>61</v>
      </c>
    </row>
    <row r="587" spans="3:5">
      <c r="C587">
        <v>5.46</v>
      </c>
      <c r="D587" s="17">
        <v>41895</v>
      </c>
      <c r="E587" t="s">
        <v>1017</v>
      </c>
    </row>
    <row r="588" spans="3:5">
      <c r="C588">
        <v>5.46</v>
      </c>
      <c r="D588" s="17">
        <v>41964</v>
      </c>
      <c r="E588" t="s">
        <v>1017</v>
      </c>
    </row>
    <row r="589" spans="3:5">
      <c r="C589">
        <v>5.46</v>
      </c>
      <c r="D589" s="17">
        <v>42479</v>
      </c>
      <c r="E589" t="s">
        <v>1523</v>
      </c>
    </row>
    <row r="590" spans="3:5">
      <c r="C590">
        <v>5.47</v>
      </c>
      <c r="D590" s="17">
        <v>41733</v>
      </c>
      <c r="E590" t="s">
        <v>1479</v>
      </c>
    </row>
    <row r="591" spans="3:5">
      <c r="C591">
        <v>5.4719999999999995</v>
      </c>
      <c r="D591" s="17">
        <v>41763</v>
      </c>
      <c r="E591" t="s">
        <v>747</v>
      </c>
    </row>
    <row r="592" spans="3:5">
      <c r="C592">
        <v>5.4719999999999995</v>
      </c>
      <c r="D592" s="17">
        <v>42608</v>
      </c>
      <c r="E592" t="s">
        <v>1711</v>
      </c>
    </row>
    <row r="593" spans="3:5">
      <c r="C593">
        <v>5.48</v>
      </c>
      <c r="D593" s="17">
        <v>41645</v>
      </c>
      <c r="E593" t="s">
        <v>1353</v>
      </c>
    </row>
    <row r="594" spans="3:5">
      <c r="C594">
        <v>5.4840000000000009</v>
      </c>
      <c r="D594" s="17">
        <v>41990</v>
      </c>
      <c r="E594" t="s">
        <v>1170</v>
      </c>
    </row>
    <row r="595" spans="3:5">
      <c r="C595">
        <v>5.5</v>
      </c>
      <c r="D595" s="17">
        <v>42658</v>
      </c>
      <c r="E595" t="s">
        <v>1016</v>
      </c>
    </row>
    <row r="596" spans="3:5">
      <c r="C596">
        <v>5.5440000000000005</v>
      </c>
      <c r="D596" s="17">
        <v>41966</v>
      </c>
      <c r="E596" t="s">
        <v>1053</v>
      </c>
    </row>
    <row r="597" spans="3:5">
      <c r="C597">
        <v>5.5520000000000005</v>
      </c>
      <c r="D597" s="17">
        <v>41863</v>
      </c>
      <c r="E597" t="s">
        <v>1059</v>
      </c>
    </row>
    <row r="598" spans="3:5">
      <c r="C598">
        <v>5.5520000000000005</v>
      </c>
      <c r="D598" s="17">
        <v>42964</v>
      </c>
      <c r="E598" t="s">
        <v>1059</v>
      </c>
    </row>
    <row r="599" spans="3:5">
      <c r="C599">
        <v>5.5530000000000008</v>
      </c>
      <c r="D599" s="17">
        <v>42727</v>
      </c>
      <c r="E599" t="s">
        <v>714</v>
      </c>
    </row>
    <row r="600" spans="3:5">
      <c r="C600">
        <v>5.56</v>
      </c>
      <c r="D600" s="17">
        <v>41829</v>
      </c>
      <c r="E600" t="s">
        <v>394</v>
      </c>
    </row>
    <row r="601" spans="3:5">
      <c r="C601">
        <v>5.56</v>
      </c>
      <c r="D601" s="17">
        <v>42092</v>
      </c>
      <c r="E601" t="s">
        <v>746</v>
      </c>
    </row>
    <row r="602" spans="3:5">
      <c r="C602">
        <v>5.56</v>
      </c>
      <c r="D602" s="17">
        <v>42111</v>
      </c>
      <c r="E602" t="s">
        <v>394</v>
      </c>
    </row>
    <row r="603" spans="3:5">
      <c r="C603">
        <v>5.56</v>
      </c>
      <c r="D603" s="17">
        <v>42520</v>
      </c>
      <c r="E603" t="s">
        <v>746</v>
      </c>
    </row>
    <row r="604" spans="3:5">
      <c r="C604">
        <v>5.56</v>
      </c>
      <c r="D604" s="17">
        <v>42975</v>
      </c>
      <c r="E604" t="s">
        <v>1106</v>
      </c>
    </row>
    <row r="605" spans="3:5">
      <c r="C605">
        <v>5.56</v>
      </c>
      <c r="D605" s="17">
        <v>42981</v>
      </c>
      <c r="E605" t="s">
        <v>394</v>
      </c>
    </row>
    <row r="606" spans="3:5">
      <c r="C606">
        <v>5.56</v>
      </c>
      <c r="D606" s="17">
        <v>43003</v>
      </c>
      <c r="E606" t="s">
        <v>746</v>
      </c>
    </row>
    <row r="607" spans="3:5">
      <c r="C607">
        <v>5.56</v>
      </c>
      <c r="D607" s="17">
        <v>43041</v>
      </c>
      <c r="E607" t="s">
        <v>489</v>
      </c>
    </row>
    <row r="608" spans="3:5">
      <c r="C608">
        <v>5.56</v>
      </c>
      <c r="D608" s="17">
        <v>43060</v>
      </c>
      <c r="E608" t="s">
        <v>1106</v>
      </c>
    </row>
    <row r="609" spans="3:5">
      <c r="C609">
        <v>5.5600000000000005</v>
      </c>
      <c r="D609" s="17">
        <v>42982</v>
      </c>
      <c r="E609" t="s">
        <v>703</v>
      </c>
    </row>
    <row r="610" spans="3:5">
      <c r="C610">
        <v>5.58</v>
      </c>
      <c r="D610" s="17">
        <v>41822</v>
      </c>
      <c r="E610" t="s">
        <v>1494</v>
      </c>
    </row>
    <row r="611" spans="3:5">
      <c r="C611">
        <v>5.58</v>
      </c>
      <c r="D611" s="17">
        <v>42874</v>
      </c>
      <c r="E611" t="s">
        <v>723</v>
      </c>
    </row>
    <row r="612" spans="3:5">
      <c r="C612">
        <v>5.58</v>
      </c>
      <c r="D612" s="17">
        <v>43041</v>
      </c>
      <c r="E612" t="s">
        <v>415</v>
      </c>
    </row>
    <row r="613" spans="3:5">
      <c r="C613">
        <v>5.5840000000000005</v>
      </c>
      <c r="D613" s="17">
        <v>42362</v>
      </c>
      <c r="E613" t="s">
        <v>1110</v>
      </c>
    </row>
    <row r="614" spans="3:5">
      <c r="C614">
        <v>5.5840000000000005</v>
      </c>
      <c r="D614" s="17">
        <v>42517</v>
      </c>
      <c r="E614" t="s">
        <v>736</v>
      </c>
    </row>
    <row r="615" spans="3:5">
      <c r="C615">
        <v>5.5879999999999992</v>
      </c>
      <c r="D615" s="17">
        <v>42980</v>
      </c>
      <c r="E615" t="s">
        <v>951</v>
      </c>
    </row>
    <row r="616" spans="3:5">
      <c r="C616">
        <v>5.6070000000000011</v>
      </c>
      <c r="D616" s="17">
        <v>43000</v>
      </c>
      <c r="E616" t="s">
        <v>177</v>
      </c>
    </row>
    <row r="617" spans="3:5">
      <c r="C617">
        <v>5.6070000000000011</v>
      </c>
      <c r="D617" s="17">
        <v>43035</v>
      </c>
      <c r="E617" t="s">
        <v>315</v>
      </c>
    </row>
    <row r="618" spans="3:5">
      <c r="C618">
        <v>5.64</v>
      </c>
      <c r="D618" s="17">
        <v>41652</v>
      </c>
      <c r="E618" t="s">
        <v>1480</v>
      </c>
    </row>
    <row r="619" spans="3:5">
      <c r="C619">
        <v>5.64</v>
      </c>
      <c r="D619" s="17">
        <v>41944</v>
      </c>
      <c r="E619" t="s">
        <v>693</v>
      </c>
    </row>
    <row r="620" spans="3:5">
      <c r="C620">
        <v>5.64</v>
      </c>
      <c r="D620" s="17">
        <v>42229</v>
      </c>
      <c r="E620" t="s">
        <v>1480</v>
      </c>
    </row>
    <row r="621" spans="3:5">
      <c r="C621">
        <v>5.67</v>
      </c>
      <c r="D621" s="17">
        <v>41901</v>
      </c>
      <c r="E621" t="s">
        <v>157</v>
      </c>
    </row>
    <row r="622" spans="3:5">
      <c r="C622">
        <v>5.67</v>
      </c>
      <c r="D622" s="17">
        <v>42759</v>
      </c>
      <c r="E622" t="s">
        <v>157</v>
      </c>
    </row>
    <row r="623" spans="3:5">
      <c r="C623">
        <v>5.68</v>
      </c>
      <c r="D623" s="17">
        <v>41852</v>
      </c>
      <c r="E623" t="s">
        <v>1185</v>
      </c>
    </row>
    <row r="624" spans="3:5">
      <c r="C624">
        <v>5.68</v>
      </c>
      <c r="D624" s="17">
        <v>42041</v>
      </c>
      <c r="E624" t="s">
        <v>1386</v>
      </c>
    </row>
    <row r="625" spans="3:5">
      <c r="C625">
        <v>5.68</v>
      </c>
      <c r="D625" s="17">
        <v>43045</v>
      </c>
      <c r="E625" t="s">
        <v>1386</v>
      </c>
    </row>
    <row r="626" spans="3:5">
      <c r="C626">
        <v>5.6820000000000013</v>
      </c>
      <c r="D626" s="17">
        <v>43045</v>
      </c>
      <c r="E626" t="s">
        <v>526</v>
      </c>
    </row>
    <row r="627" spans="3:5">
      <c r="C627">
        <v>5.6999999999999993</v>
      </c>
      <c r="D627" s="17">
        <v>41895</v>
      </c>
      <c r="E627" t="s">
        <v>747</v>
      </c>
    </row>
    <row r="628" spans="3:5">
      <c r="C628">
        <v>5.7150000000000016</v>
      </c>
      <c r="D628" s="17">
        <v>42558</v>
      </c>
      <c r="E628" t="s">
        <v>254</v>
      </c>
    </row>
    <row r="629" spans="3:5">
      <c r="C629">
        <v>5.7150000000000016</v>
      </c>
      <c r="D629" s="17">
        <v>42783</v>
      </c>
      <c r="E629" t="s">
        <v>254</v>
      </c>
    </row>
    <row r="630" spans="3:5">
      <c r="C630">
        <v>5.7150000000000016</v>
      </c>
      <c r="D630" s="17">
        <v>42824</v>
      </c>
      <c r="E630" t="s">
        <v>254</v>
      </c>
    </row>
    <row r="631" spans="3:5">
      <c r="C631">
        <v>5.7279999999999989</v>
      </c>
      <c r="D631" s="17">
        <v>42156</v>
      </c>
      <c r="E631" t="s">
        <v>162</v>
      </c>
    </row>
    <row r="632" spans="3:5">
      <c r="C632">
        <v>5.7280000000000006</v>
      </c>
      <c r="D632" s="17">
        <v>42495</v>
      </c>
      <c r="E632" t="s">
        <v>162</v>
      </c>
    </row>
    <row r="633" spans="3:5">
      <c r="C633">
        <v>5.7420000000000009</v>
      </c>
      <c r="D633" s="17">
        <v>41967</v>
      </c>
      <c r="E633" t="s">
        <v>979</v>
      </c>
    </row>
    <row r="634" spans="3:5">
      <c r="C634">
        <v>5.76</v>
      </c>
      <c r="D634" s="17">
        <v>41946</v>
      </c>
      <c r="E634" t="s">
        <v>139</v>
      </c>
    </row>
    <row r="635" spans="3:5">
      <c r="C635">
        <v>5.76</v>
      </c>
      <c r="D635" s="17">
        <v>42043</v>
      </c>
      <c r="E635" t="s">
        <v>1139</v>
      </c>
    </row>
    <row r="636" spans="3:5">
      <c r="C636">
        <v>5.76</v>
      </c>
      <c r="D636" s="17">
        <v>42203</v>
      </c>
      <c r="E636" t="s">
        <v>1764</v>
      </c>
    </row>
    <row r="637" spans="3:5">
      <c r="C637">
        <v>5.76</v>
      </c>
      <c r="D637" s="17">
        <v>42303</v>
      </c>
      <c r="E637" t="s">
        <v>1797</v>
      </c>
    </row>
    <row r="638" spans="3:5">
      <c r="C638">
        <v>5.76</v>
      </c>
      <c r="D638" s="17">
        <v>42348</v>
      </c>
      <c r="E638" t="s">
        <v>130</v>
      </c>
    </row>
    <row r="639" spans="3:5">
      <c r="C639">
        <v>5.76</v>
      </c>
      <c r="D639" s="17">
        <v>42604</v>
      </c>
      <c r="E639" t="s">
        <v>799</v>
      </c>
    </row>
    <row r="640" spans="3:5">
      <c r="C640">
        <v>5.76</v>
      </c>
      <c r="D640" s="17">
        <v>42638</v>
      </c>
      <c r="E640" t="s">
        <v>799</v>
      </c>
    </row>
    <row r="641" spans="3:5">
      <c r="C641">
        <v>5.76</v>
      </c>
      <c r="D641" s="17">
        <v>42718</v>
      </c>
      <c r="E641" t="s">
        <v>387</v>
      </c>
    </row>
    <row r="642" spans="3:5">
      <c r="C642">
        <v>5.76</v>
      </c>
      <c r="D642" s="17">
        <v>42855</v>
      </c>
      <c r="E642" t="s">
        <v>611</v>
      </c>
    </row>
    <row r="643" spans="3:5">
      <c r="C643">
        <v>5.76</v>
      </c>
      <c r="D643" s="17">
        <v>42961</v>
      </c>
      <c r="E643" t="s">
        <v>130</v>
      </c>
    </row>
    <row r="644" spans="3:5">
      <c r="C644">
        <v>5.76</v>
      </c>
      <c r="D644" s="17">
        <v>43078</v>
      </c>
      <c r="E644" t="s">
        <v>620</v>
      </c>
    </row>
    <row r="645" spans="3:5">
      <c r="C645">
        <v>5.76</v>
      </c>
      <c r="D645" s="17">
        <v>43087</v>
      </c>
      <c r="E645" t="s">
        <v>1532</v>
      </c>
    </row>
    <row r="646" spans="3:5">
      <c r="C646">
        <v>5.7679999999999989</v>
      </c>
      <c r="D646" s="17">
        <v>42239</v>
      </c>
      <c r="E646" t="s">
        <v>1392</v>
      </c>
    </row>
    <row r="647" spans="3:5">
      <c r="C647">
        <v>5.78</v>
      </c>
      <c r="D647" s="17">
        <v>41765</v>
      </c>
      <c r="E647" t="s">
        <v>1784</v>
      </c>
    </row>
    <row r="648" spans="3:5">
      <c r="C648">
        <v>5.78</v>
      </c>
      <c r="D648" s="17">
        <v>42815</v>
      </c>
      <c r="E648" t="s">
        <v>408</v>
      </c>
    </row>
    <row r="649" spans="3:5">
      <c r="C649">
        <v>5.78</v>
      </c>
      <c r="D649" s="17">
        <v>42826</v>
      </c>
      <c r="E649" t="s">
        <v>477</v>
      </c>
    </row>
    <row r="650" spans="3:5">
      <c r="C650">
        <v>5.78</v>
      </c>
      <c r="D650" s="17">
        <v>43045</v>
      </c>
      <c r="E650" t="s">
        <v>1193</v>
      </c>
    </row>
    <row r="651" spans="3:5">
      <c r="C651">
        <v>5.7919999999999989</v>
      </c>
      <c r="D651" s="17">
        <v>42174</v>
      </c>
      <c r="E651" t="s">
        <v>551</v>
      </c>
    </row>
    <row r="652" spans="3:5">
      <c r="C652">
        <v>5.7999999999999989</v>
      </c>
      <c r="D652" s="17">
        <v>42995</v>
      </c>
      <c r="E652" t="s">
        <v>1003</v>
      </c>
    </row>
    <row r="653" spans="3:5">
      <c r="C653">
        <v>5.8</v>
      </c>
      <c r="D653" s="17">
        <v>42416</v>
      </c>
      <c r="E653" t="s">
        <v>1003</v>
      </c>
    </row>
    <row r="654" spans="3:5">
      <c r="C654">
        <v>5.81</v>
      </c>
      <c r="D654" s="17">
        <v>42043</v>
      </c>
      <c r="E654" t="s">
        <v>1471</v>
      </c>
    </row>
    <row r="655" spans="3:5">
      <c r="C655">
        <v>5.82</v>
      </c>
      <c r="D655" s="17">
        <v>43057</v>
      </c>
      <c r="E655" t="s">
        <v>404</v>
      </c>
    </row>
    <row r="656" spans="3:5">
      <c r="C656">
        <v>5.84</v>
      </c>
      <c r="D656" s="17">
        <v>42098</v>
      </c>
      <c r="E656" t="s">
        <v>74</v>
      </c>
    </row>
    <row r="657" spans="3:5">
      <c r="C657">
        <v>5.84</v>
      </c>
      <c r="D657" s="17">
        <v>42121</v>
      </c>
      <c r="E657" t="s">
        <v>1265</v>
      </c>
    </row>
    <row r="658" spans="3:5">
      <c r="C658">
        <v>5.84</v>
      </c>
      <c r="D658" s="17">
        <v>42479</v>
      </c>
      <c r="E658" t="s">
        <v>1433</v>
      </c>
    </row>
    <row r="659" spans="3:5">
      <c r="C659">
        <v>5.84</v>
      </c>
      <c r="D659" s="17">
        <v>42567</v>
      </c>
      <c r="E659" t="s">
        <v>1265</v>
      </c>
    </row>
    <row r="660" spans="3:5">
      <c r="C660">
        <v>5.8719999999999999</v>
      </c>
      <c r="D660" s="17">
        <v>42715</v>
      </c>
      <c r="E660" t="s">
        <v>635</v>
      </c>
    </row>
    <row r="661" spans="3:5">
      <c r="C661">
        <v>5.88</v>
      </c>
      <c r="D661" s="17">
        <v>41890</v>
      </c>
      <c r="E661" t="s">
        <v>492</v>
      </c>
    </row>
    <row r="662" spans="3:5">
      <c r="C662">
        <v>5.88</v>
      </c>
      <c r="D662" s="17">
        <v>41962</v>
      </c>
      <c r="E662" t="s">
        <v>1812</v>
      </c>
    </row>
    <row r="663" spans="3:5">
      <c r="C663">
        <v>5.88</v>
      </c>
      <c r="D663" s="17">
        <v>43020</v>
      </c>
      <c r="E663" t="s">
        <v>1220</v>
      </c>
    </row>
    <row r="664" spans="3:5">
      <c r="C664">
        <v>5.88</v>
      </c>
      <c r="D664" s="17">
        <v>43063</v>
      </c>
      <c r="E664" t="s">
        <v>248</v>
      </c>
    </row>
    <row r="665" spans="3:5">
      <c r="C665">
        <v>5.88</v>
      </c>
      <c r="D665" s="17">
        <v>43090</v>
      </c>
      <c r="E665" t="s">
        <v>1535</v>
      </c>
    </row>
    <row r="666" spans="3:5">
      <c r="C666">
        <v>5.8880000000000008</v>
      </c>
      <c r="D666" s="17">
        <v>42369</v>
      </c>
      <c r="E666" t="s">
        <v>292</v>
      </c>
    </row>
    <row r="667" spans="3:5">
      <c r="C667">
        <v>5.8920000000000012</v>
      </c>
      <c r="D667" s="17">
        <v>41899</v>
      </c>
      <c r="E667" t="s">
        <v>521</v>
      </c>
    </row>
    <row r="668" spans="3:5">
      <c r="C668">
        <v>5.9039999999999999</v>
      </c>
      <c r="D668" s="17">
        <v>41968</v>
      </c>
      <c r="E668" t="s">
        <v>1318</v>
      </c>
    </row>
    <row r="669" spans="3:5">
      <c r="C669">
        <v>5.9039999999999999</v>
      </c>
      <c r="D669" s="17">
        <v>42155</v>
      </c>
      <c r="E669" t="s">
        <v>674</v>
      </c>
    </row>
    <row r="670" spans="3:5">
      <c r="C670">
        <v>5.9039999999999999</v>
      </c>
      <c r="D670" s="17">
        <v>42174</v>
      </c>
      <c r="E670" t="s">
        <v>1279</v>
      </c>
    </row>
    <row r="671" spans="3:5">
      <c r="C671">
        <v>5.9039999999999999</v>
      </c>
      <c r="D671" s="17">
        <v>42183</v>
      </c>
      <c r="E671" t="s">
        <v>674</v>
      </c>
    </row>
    <row r="672" spans="3:5">
      <c r="C672">
        <v>5.9039999999999999</v>
      </c>
      <c r="D672" s="17">
        <v>42734</v>
      </c>
      <c r="E672" t="s">
        <v>1437</v>
      </c>
    </row>
    <row r="673" spans="3:5">
      <c r="C673">
        <v>5.9039999999999999</v>
      </c>
      <c r="D673" s="17">
        <v>42867</v>
      </c>
      <c r="E673" t="s">
        <v>674</v>
      </c>
    </row>
    <row r="674" spans="3:5">
      <c r="C674">
        <v>5.92</v>
      </c>
      <c r="D674" s="17">
        <v>41950</v>
      </c>
      <c r="E674" t="s">
        <v>164</v>
      </c>
    </row>
    <row r="675" spans="3:5">
      <c r="C675">
        <v>5.9359999999999991</v>
      </c>
      <c r="D675" s="17">
        <v>42902</v>
      </c>
      <c r="E675" t="s">
        <v>856</v>
      </c>
    </row>
    <row r="676" spans="3:5">
      <c r="C676">
        <v>5.9399999999999995</v>
      </c>
      <c r="D676" s="17">
        <v>41662</v>
      </c>
      <c r="E676" t="s">
        <v>1596</v>
      </c>
    </row>
    <row r="677" spans="3:5">
      <c r="C677">
        <v>5.9399999999999995</v>
      </c>
      <c r="D677" s="17">
        <v>41699</v>
      </c>
      <c r="E677" t="s">
        <v>86</v>
      </c>
    </row>
    <row r="678" spans="3:5">
      <c r="C678">
        <v>5.9399999999999995</v>
      </c>
      <c r="D678" s="17">
        <v>42516</v>
      </c>
      <c r="E678" t="s">
        <v>1596</v>
      </c>
    </row>
    <row r="679" spans="3:5">
      <c r="C679">
        <v>5.9399999999999995</v>
      </c>
      <c r="D679" s="17">
        <v>42923</v>
      </c>
      <c r="E679" t="s">
        <v>936</v>
      </c>
    </row>
    <row r="680" spans="3:5">
      <c r="C680">
        <v>5.95</v>
      </c>
      <c r="D680" s="17">
        <v>41975</v>
      </c>
      <c r="E680" t="s">
        <v>1142</v>
      </c>
    </row>
    <row r="681" spans="3:5">
      <c r="C681">
        <v>5.9520000000000008</v>
      </c>
      <c r="D681" s="17">
        <v>42974</v>
      </c>
      <c r="E681" t="s">
        <v>360</v>
      </c>
    </row>
    <row r="682" spans="3:5">
      <c r="C682">
        <v>5.96</v>
      </c>
      <c r="D682" s="17">
        <v>41842</v>
      </c>
      <c r="E682" t="s">
        <v>179</v>
      </c>
    </row>
    <row r="683" spans="3:5">
      <c r="C683">
        <v>5.96</v>
      </c>
      <c r="D683" s="17">
        <v>42981</v>
      </c>
      <c r="E683" t="s">
        <v>179</v>
      </c>
    </row>
    <row r="684" spans="3:5">
      <c r="C684">
        <v>5.9700000000000006</v>
      </c>
      <c r="D684" s="17">
        <v>41908</v>
      </c>
      <c r="E684" t="s">
        <v>638</v>
      </c>
    </row>
    <row r="685" spans="3:5">
      <c r="C685">
        <v>5.9700000000000006</v>
      </c>
      <c r="D685" s="17">
        <v>42749</v>
      </c>
      <c r="E685" t="s">
        <v>92</v>
      </c>
    </row>
    <row r="686" spans="3:5">
      <c r="C686">
        <v>5.98</v>
      </c>
      <c r="D686" s="17">
        <v>41860</v>
      </c>
      <c r="E686" t="s">
        <v>147</v>
      </c>
    </row>
    <row r="687" spans="3:5">
      <c r="C687">
        <v>5.98</v>
      </c>
      <c r="D687" s="17">
        <v>42457</v>
      </c>
      <c r="E687" t="s">
        <v>1772</v>
      </c>
    </row>
    <row r="688" spans="3:5">
      <c r="C688">
        <v>5.98</v>
      </c>
      <c r="D688" s="17">
        <v>42495</v>
      </c>
      <c r="E688" t="s">
        <v>1716</v>
      </c>
    </row>
    <row r="689" spans="3:5">
      <c r="C689">
        <v>5.98</v>
      </c>
      <c r="D689" s="17">
        <v>42501</v>
      </c>
      <c r="E689" t="s">
        <v>1756</v>
      </c>
    </row>
    <row r="690" spans="3:5">
      <c r="C690">
        <v>5.98</v>
      </c>
      <c r="D690" s="17">
        <v>42994</v>
      </c>
      <c r="E690" t="s">
        <v>857</v>
      </c>
    </row>
    <row r="691" spans="3:5">
      <c r="C691">
        <v>5.9840000000000009</v>
      </c>
      <c r="D691" s="17">
        <v>42327</v>
      </c>
      <c r="E691" t="s">
        <v>1415</v>
      </c>
    </row>
    <row r="692" spans="3:5">
      <c r="C692">
        <v>5.9840000000000009</v>
      </c>
      <c r="D692" s="17">
        <v>42437</v>
      </c>
      <c r="E692" t="s">
        <v>260</v>
      </c>
    </row>
    <row r="693" spans="3:5">
      <c r="C693">
        <v>5.9840000000000009</v>
      </c>
      <c r="D693" s="17">
        <v>43085</v>
      </c>
      <c r="E693" t="s">
        <v>1415</v>
      </c>
    </row>
    <row r="694" spans="3:5">
      <c r="C694">
        <v>6</v>
      </c>
      <c r="D694" s="17">
        <v>42493</v>
      </c>
      <c r="E694" t="s">
        <v>377</v>
      </c>
    </row>
    <row r="695" spans="3:5">
      <c r="C695">
        <v>6</v>
      </c>
      <c r="D695" s="17">
        <v>42624</v>
      </c>
      <c r="E695" t="s">
        <v>1359</v>
      </c>
    </row>
    <row r="696" spans="3:5">
      <c r="C696">
        <v>6</v>
      </c>
      <c r="D696" s="17">
        <v>42754</v>
      </c>
      <c r="E696" t="s">
        <v>116</v>
      </c>
    </row>
    <row r="697" spans="3:5">
      <c r="C697">
        <v>6.0299999999999994</v>
      </c>
      <c r="D697" s="17">
        <v>43098</v>
      </c>
      <c r="E697" t="s">
        <v>1533</v>
      </c>
    </row>
    <row r="698" spans="3:5">
      <c r="C698">
        <v>6.048</v>
      </c>
      <c r="D698" s="17">
        <v>41719</v>
      </c>
      <c r="E698" t="s">
        <v>937</v>
      </c>
    </row>
    <row r="699" spans="3:5">
      <c r="C699">
        <v>6.048</v>
      </c>
      <c r="D699" s="17">
        <v>41896</v>
      </c>
      <c r="E699" t="s">
        <v>157</v>
      </c>
    </row>
    <row r="700" spans="3:5">
      <c r="C700">
        <v>6.0480000000000009</v>
      </c>
      <c r="D700" s="17">
        <v>42338</v>
      </c>
      <c r="E700" t="s">
        <v>139</v>
      </c>
    </row>
    <row r="701" spans="3:5">
      <c r="C701">
        <v>6.0799999999999983</v>
      </c>
      <c r="D701" s="17">
        <v>42300</v>
      </c>
      <c r="E701" t="s">
        <v>831</v>
      </c>
    </row>
    <row r="702" spans="3:5">
      <c r="C702">
        <v>6.08</v>
      </c>
      <c r="D702" s="17">
        <v>41818</v>
      </c>
      <c r="E702" t="s">
        <v>74</v>
      </c>
    </row>
    <row r="703" spans="3:5">
      <c r="C703">
        <v>6.08</v>
      </c>
      <c r="D703" s="17">
        <v>42257</v>
      </c>
      <c r="E703" t="s">
        <v>67</v>
      </c>
    </row>
    <row r="704" spans="3:5">
      <c r="C704">
        <v>6.08</v>
      </c>
      <c r="D704" s="17">
        <v>42824</v>
      </c>
      <c r="E704" t="s">
        <v>67</v>
      </c>
    </row>
    <row r="705" spans="3:5">
      <c r="C705">
        <v>6.0960000000000001</v>
      </c>
      <c r="D705" s="17">
        <v>41839</v>
      </c>
      <c r="E705" t="s">
        <v>227</v>
      </c>
    </row>
    <row r="706" spans="3:5">
      <c r="C706">
        <v>6.0960000000000001</v>
      </c>
      <c r="D706" s="17">
        <v>41968</v>
      </c>
      <c r="E706" t="s">
        <v>1196</v>
      </c>
    </row>
    <row r="707" spans="3:5">
      <c r="C707">
        <v>6.0960000000000001</v>
      </c>
      <c r="D707" s="17">
        <v>42152</v>
      </c>
      <c r="E707" t="s">
        <v>378</v>
      </c>
    </row>
    <row r="708" spans="3:5">
      <c r="C708">
        <v>6.0960000000000001</v>
      </c>
      <c r="D708" s="17">
        <v>42253</v>
      </c>
      <c r="E708" t="s">
        <v>1706</v>
      </c>
    </row>
    <row r="709" spans="3:5">
      <c r="C709">
        <v>6.0960000000000001</v>
      </c>
      <c r="D709" s="17">
        <v>42254</v>
      </c>
      <c r="E709" t="s">
        <v>378</v>
      </c>
    </row>
    <row r="710" spans="3:5">
      <c r="C710">
        <v>6.0960000000000001</v>
      </c>
      <c r="D710" s="17">
        <v>42717</v>
      </c>
      <c r="E710" t="s">
        <v>227</v>
      </c>
    </row>
    <row r="711" spans="3:5">
      <c r="C711">
        <v>6.1039999999999983</v>
      </c>
      <c r="D711" s="17">
        <v>43062</v>
      </c>
      <c r="E711" t="s">
        <v>1188</v>
      </c>
    </row>
    <row r="712" spans="3:5">
      <c r="C712">
        <v>6.12</v>
      </c>
      <c r="D712" s="17">
        <v>41726</v>
      </c>
      <c r="E712" t="s">
        <v>124</v>
      </c>
    </row>
    <row r="713" spans="3:5">
      <c r="C713">
        <v>6.12</v>
      </c>
      <c r="D713" s="17">
        <v>42473</v>
      </c>
      <c r="E713" t="s">
        <v>124</v>
      </c>
    </row>
    <row r="714" spans="3:5">
      <c r="C714">
        <v>6.1290000000000004</v>
      </c>
      <c r="D714" s="17">
        <v>42173</v>
      </c>
      <c r="E714" t="s">
        <v>1374</v>
      </c>
    </row>
    <row r="715" spans="3:5">
      <c r="C715">
        <v>6.16</v>
      </c>
      <c r="D715" s="17">
        <v>41911</v>
      </c>
      <c r="E715" t="s">
        <v>1037</v>
      </c>
    </row>
    <row r="716" spans="3:5">
      <c r="C716">
        <v>6.16</v>
      </c>
      <c r="D716" s="17">
        <v>41988</v>
      </c>
      <c r="E716" t="s">
        <v>463</v>
      </c>
    </row>
    <row r="717" spans="3:5">
      <c r="C717">
        <v>6.16</v>
      </c>
      <c r="D717" s="17">
        <v>42112</v>
      </c>
      <c r="E717" t="s">
        <v>1037</v>
      </c>
    </row>
    <row r="718" spans="3:5">
      <c r="C718">
        <v>6.16</v>
      </c>
      <c r="D718" s="17">
        <v>42225</v>
      </c>
      <c r="E718" t="s">
        <v>1037</v>
      </c>
    </row>
    <row r="719" spans="3:5">
      <c r="C719">
        <v>6.16</v>
      </c>
      <c r="D719" s="17">
        <v>42252</v>
      </c>
      <c r="E719" t="s">
        <v>1037</v>
      </c>
    </row>
    <row r="720" spans="3:5">
      <c r="C720">
        <v>6.16</v>
      </c>
      <c r="D720" s="17">
        <v>42352</v>
      </c>
      <c r="E720" t="s">
        <v>463</v>
      </c>
    </row>
    <row r="721" spans="3:5">
      <c r="C721">
        <v>6.16</v>
      </c>
      <c r="D721" s="17">
        <v>42646</v>
      </c>
      <c r="E721" t="s">
        <v>676</v>
      </c>
    </row>
    <row r="722" spans="3:5">
      <c r="C722">
        <v>6.16</v>
      </c>
      <c r="D722" s="17">
        <v>42867</v>
      </c>
      <c r="E722" t="s">
        <v>676</v>
      </c>
    </row>
    <row r="723" spans="3:5">
      <c r="C723">
        <v>6.16</v>
      </c>
      <c r="D723" s="17">
        <v>43034</v>
      </c>
      <c r="E723" t="s">
        <v>326</v>
      </c>
    </row>
    <row r="724" spans="3:5">
      <c r="C724">
        <v>6.1920000000000002</v>
      </c>
      <c r="D724" s="17">
        <v>41915</v>
      </c>
      <c r="E724" t="s">
        <v>1140</v>
      </c>
    </row>
    <row r="725" spans="3:5">
      <c r="C725">
        <v>6.2080000000000002</v>
      </c>
      <c r="D725" s="17">
        <v>42171</v>
      </c>
      <c r="E725" t="s">
        <v>395</v>
      </c>
    </row>
    <row r="726" spans="3:5">
      <c r="C726">
        <v>6.2080000000000002</v>
      </c>
      <c r="D726" s="17">
        <v>42978</v>
      </c>
      <c r="E726" t="s">
        <v>1112</v>
      </c>
    </row>
    <row r="727" spans="3:5">
      <c r="C727">
        <v>6.2159999999999993</v>
      </c>
      <c r="D727" s="17">
        <v>42696</v>
      </c>
      <c r="E727" t="s">
        <v>739</v>
      </c>
    </row>
    <row r="728" spans="3:5">
      <c r="C728">
        <v>6.2160000000000002</v>
      </c>
      <c r="D728" s="17">
        <v>43029</v>
      </c>
      <c r="E728" t="s">
        <v>473</v>
      </c>
    </row>
    <row r="729" spans="3:5">
      <c r="C729">
        <v>6.2299999999999986</v>
      </c>
      <c r="D729" s="17">
        <v>42222</v>
      </c>
      <c r="E729" t="s">
        <v>315</v>
      </c>
    </row>
    <row r="730" spans="3:5">
      <c r="C730">
        <v>6.24</v>
      </c>
      <c r="D730" s="17">
        <v>41730</v>
      </c>
      <c r="E730" t="s">
        <v>70</v>
      </c>
    </row>
    <row r="731" spans="3:5">
      <c r="C731">
        <v>6.24</v>
      </c>
      <c r="D731" s="17">
        <v>41754</v>
      </c>
      <c r="E731" t="s">
        <v>1402</v>
      </c>
    </row>
    <row r="732" spans="3:5">
      <c r="C732">
        <v>6.24</v>
      </c>
      <c r="D732" s="17">
        <v>41807</v>
      </c>
      <c r="E732" t="s">
        <v>771</v>
      </c>
    </row>
    <row r="733" spans="3:5">
      <c r="C733">
        <v>6.24</v>
      </c>
      <c r="D733" s="17">
        <v>42335</v>
      </c>
      <c r="E733" t="s">
        <v>70</v>
      </c>
    </row>
    <row r="734" spans="3:5">
      <c r="C734">
        <v>6.24</v>
      </c>
      <c r="D734" s="17">
        <v>42632</v>
      </c>
      <c r="E734" t="s">
        <v>616</v>
      </c>
    </row>
    <row r="735" spans="3:5">
      <c r="C735">
        <v>6.24</v>
      </c>
      <c r="D735" s="17">
        <v>42884</v>
      </c>
      <c r="E735" t="s">
        <v>771</v>
      </c>
    </row>
    <row r="736" spans="3:5">
      <c r="C736">
        <v>6.24</v>
      </c>
      <c r="D736" s="17">
        <v>42907</v>
      </c>
      <c r="E736" t="s">
        <v>70</v>
      </c>
    </row>
    <row r="737" spans="3:5">
      <c r="C737">
        <v>6.2580000000000009</v>
      </c>
      <c r="D737" s="17">
        <v>42987</v>
      </c>
      <c r="E737" t="s">
        <v>595</v>
      </c>
    </row>
    <row r="738" spans="3:5">
      <c r="C738">
        <v>6.2640000000000002</v>
      </c>
      <c r="D738" s="17">
        <v>42202</v>
      </c>
      <c r="E738" t="s">
        <v>1564</v>
      </c>
    </row>
    <row r="739" spans="3:5">
      <c r="C739">
        <v>6.2640000000000002</v>
      </c>
      <c r="D739" s="17">
        <v>42572</v>
      </c>
      <c r="E739" t="s">
        <v>483</v>
      </c>
    </row>
    <row r="740" spans="3:5">
      <c r="C740">
        <v>6.2640000000000002</v>
      </c>
      <c r="D740" s="17">
        <v>42625</v>
      </c>
      <c r="E740" t="s">
        <v>964</v>
      </c>
    </row>
    <row r="741" spans="3:5">
      <c r="C741">
        <v>6.2640000000000002</v>
      </c>
      <c r="D741" s="17">
        <v>42826</v>
      </c>
      <c r="E741" t="s">
        <v>483</v>
      </c>
    </row>
    <row r="742" spans="3:5">
      <c r="C742">
        <v>6.27</v>
      </c>
      <c r="D742" s="17">
        <v>42686</v>
      </c>
      <c r="E742" t="s">
        <v>93</v>
      </c>
    </row>
    <row r="743" spans="3:5">
      <c r="C743">
        <v>6.28</v>
      </c>
      <c r="D743" s="17">
        <v>41876</v>
      </c>
      <c r="E743" t="s">
        <v>950</v>
      </c>
    </row>
    <row r="744" spans="3:5">
      <c r="C744">
        <v>6.28</v>
      </c>
      <c r="D744" s="17">
        <v>41940</v>
      </c>
      <c r="E744" t="s">
        <v>1651</v>
      </c>
    </row>
    <row r="745" spans="3:5">
      <c r="C745">
        <v>6.2859999999999987</v>
      </c>
      <c r="D745" s="17">
        <v>42656</v>
      </c>
      <c r="E745" t="s">
        <v>353</v>
      </c>
    </row>
    <row r="746" spans="3:5">
      <c r="C746">
        <v>6.2940000000000014</v>
      </c>
      <c r="D746" s="17">
        <v>42513</v>
      </c>
      <c r="E746" t="s">
        <v>1051</v>
      </c>
    </row>
    <row r="747" spans="3:5">
      <c r="C747">
        <v>6.3</v>
      </c>
      <c r="D747" s="17">
        <v>42573</v>
      </c>
      <c r="E747" t="s">
        <v>1262</v>
      </c>
    </row>
    <row r="748" spans="3:5">
      <c r="C748">
        <v>6.3</v>
      </c>
      <c r="D748" s="17">
        <v>42707</v>
      </c>
      <c r="E748" t="s">
        <v>1489</v>
      </c>
    </row>
    <row r="749" spans="3:5">
      <c r="C749">
        <v>6.3159999999999981</v>
      </c>
      <c r="D749" s="17">
        <v>42921</v>
      </c>
      <c r="E749" t="s">
        <v>516</v>
      </c>
    </row>
    <row r="750" spans="3:5">
      <c r="C750">
        <v>6.3299999999999992</v>
      </c>
      <c r="D750" s="17">
        <v>43091</v>
      </c>
      <c r="E750" t="s">
        <v>781</v>
      </c>
    </row>
    <row r="751" spans="3:5">
      <c r="C751">
        <v>6.3360000000000012</v>
      </c>
      <c r="D751" s="17">
        <v>42272</v>
      </c>
      <c r="E751" t="s">
        <v>1000</v>
      </c>
    </row>
    <row r="752" spans="3:5">
      <c r="C752">
        <v>6.36</v>
      </c>
      <c r="D752" s="17">
        <v>42367</v>
      </c>
      <c r="E752" t="s">
        <v>1790</v>
      </c>
    </row>
    <row r="753" spans="3:5">
      <c r="C753">
        <v>6.3680000000000003</v>
      </c>
      <c r="D753" s="17">
        <v>41966</v>
      </c>
      <c r="E753" t="s">
        <v>491</v>
      </c>
    </row>
    <row r="754" spans="3:5">
      <c r="C754">
        <v>6.3680000000000003</v>
      </c>
      <c r="D754" s="17">
        <v>42218</v>
      </c>
      <c r="E754" t="s">
        <v>92</v>
      </c>
    </row>
    <row r="755" spans="3:5">
      <c r="C755">
        <v>6.3680000000000003</v>
      </c>
      <c r="D755" s="17">
        <v>42250</v>
      </c>
      <c r="E755" t="s">
        <v>638</v>
      </c>
    </row>
    <row r="756" spans="3:5">
      <c r="C756">
        <v>6.3680000000000003</v>
      </c>
      <c r="D756" s="17">
        <v>42692</v>
      </c>
      <c r="E756" t="s">
        <v>883</v>
      </c>
    </row>
    <row r="757" spans="3:5">
      <c r="C757">
        <v>6.3680000000000003</v>
      </c>
      <c r="D757" s="17">
        <v>42987</v>
      </c>
      <c r="E757" t="s">
        <v>448</v>
      </c>
    </row>
    <row r="758" spans="3:5">
      <c r="C758">
        <v>6.3699999999999983</v>
      </c>
      <c r="D758" s="17">
        <v>42890</v>
      </c>
      <c r="E758" t="s">
        <v>800</v>
      </c>
    </row>
    <row r="759" spans="3:5">
      <c r="C759">
        <v>6.38</v>
      </c>
      <c r="D759" s="17">
        <v>42637</v>
      </c>
      <c r="E759" t="s">
        <v>1680</v>
      </c>
    </row>
    <row r="760" spans="3:5">
      <c r="C760">
        <v>6.3840000000000003</v>
      </c>
      <c r="D760" s="17">
        <v>42734</v>
      </c>
      <c r="E760" t="s">
        <v>1558</v>
      </c>
    </row>
    <row r="761" spans="3:5">
      <c r="C761">
        <v>6.4080000000000004</v>
      </c>
      <c r="D761" s="17">
        <v>42075</v>
      </c>
      <c r="E761" t="s">
        <v>775</v>
      </c>
    </row>
    <row r="762" spans="3:5">
      <c r="C762">
        <v>6.4080000000000004</v>
      </c>
      <c r="D762" s="17">
        <v>42144</v>
      </c>
      <c r="E762" t="s">
        <v>411</v>
      </c>
    </row>
    <row r="763" spans="3:5">
      <c r="C763">
        <v>6.4080000000000004</v>
      </c>
      <c r="D763" s="17">
        <v>42861</v>
      </c>
      <c r="E763" t="s">
        <v>642</v>
      </c>
    </row>
    <row r="764" spans="3:5">
      <c r="C764">
        <v>6.4560000000000004</v>
      </c>
      <c r="D764" s="17">
        <v>41981</v>
      </c>
      <c r="E764" t="s">
        <v>1236</v>
      </c>
    </row>
    <row r="765" spans="3:5">
      <c r="C765">
        <v>6.46</v>
      </c>
      <c r="D765" s="17">
        <v>42567</v>
      </c>
      <c r="E765" t="s">
        <v>1474</v>
      </c>
    </row>
    <row r="766" spans="3:5">
      <c r="C766">
        <v>6.4640000000000004</v>
      </c>
      <c r="D766" s="17">
        <v>43062</v>
      </c>
      <c r="E766" t="s">
        <v>870</v>
      </c>
    </row>
    <row r="767" spans="3:5">
      <c r="C767">
        <v>6.469999999999998</v>
      </c>
      <c r="D767" s="17">
        <v>42736</v>
      </c>
      <c r="E767" t="s">
        <v>54</v>
      </c>
    </row>
    <row r="768" spans="3:5">
      <c r="C768">
        <v>6.48</v>
      </c>
      <c r="D768" s="17">
        <v>41845</v>
      </c>
      <c r="E768" t="s">
        <v>928</v>
      </c>
    </row>
    <row r="769" spans="3:5">
      <c r="C769">
        <v>6.48</v>
      </c>
      <c r="D769" s="17">
        <v>41903</v>
      </c>
      <c r="E769" t="s">
        <v>1691</v>
      </c>
    </row>
    <row r="770" spans="3:5">
      <c r="C770">
        <v>6.48</v>
      </c>
      <c r="D770" s="17">
        <v>41911</v>
      </c>
      <c r="E770" t="s">
        <v>1657</v>
      </c>
    </row>
    <row r="771" spans="3:5">
      <c r="C771">
        <v>6.48</v>
      </c>
      <c r="D771" s="17">
        <v>42124</v>
      </c>
      <c r="E771" t="s">
        <v>1005</v>
      </c>
    </row>
    <row r="772" spans="3:5">
      <c r="C772">
        <v>6.48</v>
      </c>
      <c r="D772" s="17">
        <v>42168</v>
      </c>
      <c r="E772" t="s">
        <v>1382</v>
      </c>
    </row>
    <row r="773" spans="3:5">
      <c r="C773">
        <v>6.48</v>
      </c>
      <c r="D773" s="17">
        <v>42174</v>
      </c>
      <c r="E773" t="s">
        <v>1209</v>
      </c>
    </row>
    <row r="774" spans="3:5">
      <c r="C774">
        <v>6.48</v>
      </c>
      <c r="D774" s="17">
        <v>42344</v>
      </c>
      <c r="E774" t="s">
        <v>1250</v>
      </c>
    </row>
    <row r="775" spans="3:5">
      <c r="C775">
        <v>6.48</v>
      </c>
      <c r="D775" s="17">
        <v>42344</v>
      </c>
      <c r="E775" t="s">
        <v>1806</v>
      </c>
    </row>
    <row r="776" spans="3:5">
      <c r="C776">
        <v>6.48</v>
      </c>
      <c r="D776" s="17">
        <v>42352</v>
      </c>
      <c r="E776" t="s">
        <v>81</v>
      </c>
    </row>
    <row r="777" spans="3:5">
      <c r="C777">
        <v>6.48</v>
      </c>
      <c r="D777" s="17">
        <v>42594</v>
      </c>
      <c r="E777" t="s">
        <v>1691</v>
      </c>
    </row>
    <row r="778" spans="3:5">
      <c r="C778">
        <v>6.48</v>
      </c>
      <c r="D778" s="17">
        <v>42608</v>
      </c>
      <c r="E778" t="s">
        <v>90</v>
      </c>
    </row>
    <row r="779" spans="3:5">
      <c r="C779">
        <v>6.48</v>
      </c>
      <c r="D779" s="17">
        <v>42630</v>
      </c>
      <c r="E779" t="s">
        <v>1504</v>
      </c>
    </row>
    <row r="780" spans="3:5">
      <c r="C780">
        <v>6.48</v>
      </c>
      <c r="D780" s="17">
        <v>42637</v>
      </c>
      <c r="E780" t="s">
        <v>1681</v>
      </c>
    </row>
    <row r="781" spans="3:5">
      <c r="C781">
        <v>6.48</v>
      </c>
      <c r="D781" s="17">
        <v>42698</v>
      </c>
      <c r="E781" t="s">
        <v>1101</v>
      </c>
    </row>
    <row r="782" spans="3:5">
      <c r="C782">
        <v>6.48</v>
      </c>
      <c r="D782" s="17">
        <v>42714</v>
      </c>
      <c r="E782" t="s">
        <v>976</v>
      </c>
    </row>
    <row r="783" spans="3:5">
      <c r="C783">
        <v>6.48</v>
      </c>
      <c r="D783" s="17">
        <v>42758</v>
      </c>
      <c r="E783" t="s">
        <v>153</v>
      </c>
    </row>
    <row r="784" spans="3:5">
      <c r="C784">
        <v>6.48</v>
      </c>
      <c r="D784" s="17">
        <v>42810</v>
      </c>
      <c r="E784" t="s">
        <v>369</v>
      </c>
    </row>
    <row r="785" spans="3:5">
      <c r="C785">
        <v>6.48</v>
      </c>
      <c r="D785" s="17">
        <v>42937</v>
      </c>
      <c r="E785" t="s">
        <v>363</v>
      </c>
    </row>
    <row r="786" spans="3:5">
      <c r="C786">
        <v>6.48</v>
      </c>
      <c r="D786" s="17">
        <v>43014</v>
      </c>
      <c r="E786" t="s">
        <v>1101</v>
      </c>
    </row>
    <row r="787" spans="3:5">
      <c r="C787">
        <v>6.48</v>
      </c>
      <c r="D787" s="17">
        <v>43089</v>
      </c>
      <c r="E787" t="s">
        <v>803</v>
      </c>
    </row>
    <row r="788" spans="3:5">
      <c r="C788">
        <v>6.4800000000000013</v>
      </c>
      <c r="D788" s="17">
        <v>42196</v>
      </c>
      <c r="E788" t="s">
        <v>329</v>
      </c>
    </row>
    <row r="789" spans="3:5">
      <c r="C789">
        <v>6.5280000000000014</v>
      </c>
      <c r="D789" s="17">
        <v>41876</v>
      </c>
      <c r="E789" t="s">
        <v>1763</v>
      </c>
    </row>
    <row r="790" spans="3:5">
      <c r="C790">
        <v>6.54</v>
      </c>
      <c r="D790" s="17">
        <v>41645</v>
      </c>
      <c r="E790" t="s">
        <v>1628</v>
      </c>
    </row>
    <row r="791" spans="3:5">
      <c r="C791">
        <v>6.5400000000000009</v>
      </c>
      <c r="D791" s="17">
        <v>41835</v>
      </c>
      <c r="E791" t="s">
        <v>1240</v>
      </c>
    </row>
    <row r="792" spans="3:5">
      <c r="C792">
        <v>6.5400000000000009</v>
      </c>
      <c r="D792" s="17">
        <v>43080</v>
      </c>
      <c r="E792" t="s">
        <v>558</v>
      </c>
    </row>
    <row r="793" spans="3:5">
      <c r="C793">
        <v>6.56</v>
      </c>
      <c r="D793" s="17">
        <v>41723</v>
      </c>
      <c r="E793" t="s">
        <v>875</v>
      </c>
    </row>
    <row r="794" spans="3:5">
      <c r="C794">
        <v>6.56</v>
      </c>
      <c r="D794" s="17">
        <v>41764</v>
      </c>
      <c r="E794" t="s">
        <v>625</v>
      </c>
    </row>
    <row r="795" spans="3:5">
      <c r="C795">
        <v>6.56</v>
      </c>
      <c r="D795" s="17">
        <v>42786</v>
      </c>
      <c r="E795" t="s">
        <v>265</v>
      </c>
    </row>
    <row r="796" spans="3:5">
      <c r="C796">
        <v>6.56</v>
      </c>
      <c r="D796" s="17">
        <v>42931</v>
      </c>
      <c r="E796" t="s">
        <v>963</v>
      </c>
    </row>
    <row r="797" spans="3:5">
      <c r="C797">
        <v>6.56</v>
      </c>
      <c r="D797" s="17">
        <v>42987</v>
      </c>
      <c r="E797" t="s">
        <v>875</v>
      </c>
    </row>
    <row r="798" spans="3:5">
      <c r="C798">
        <v>6.57</v>
      </c>
      <c r="D798" s="17">
        <v>42980</v>
      </c>
      <c r="E798" t="s">
        <v>529</v>
      </c>
    </row>
    <row r="799" spans="3:5">
      <c r="C799">
        <v>6.5700000000000012</v>
      </c>
      <c r="D799" s="17">
        <v>41903</v>
      </c>
      <c r="E799" t="s">
        <v>1433</v>
      </c>
    </row>
    <row r="800" spans="3:5">
      <c r="C800">
        <v>6.5760000000000005</v>
      </c>
      <c r="D800" s="17">
        <v>43035</v>
      </c>
      <c r="E800" t="s">
        <v>1353</v>
      </c>
    </row>
    <row r="801" spans="3:5">
      <c r="C801">
        <v>6.58</v>
      </c>
      <c r="D801" s="17">
        <v>41964</v>
      </c>
      <c r="E801" t="s">
        <v>1625</v>
      </c>
    </row>
    <row r="802" spans="3:5">
      <c r="C802">
        <v>6.58</v>
      </c>
      <c r="D802" s="17">
        <v>42194</v>
      </c>
      <c r="E802" t="s">
        <v>1625</v>
      </c>
    </row>
    <row r="803" spans="3:5">
      <c r="C803">
        <v>6.5879999999999992</v>
      </c>
      <c r="D803" s="17">
        <v>42264</v>
      </c>
      <c r="E803" t="s">
        <v>1400</v>
      </c>
    </row>
    <row r="804" spans="3:5">
      <c r="C804">
        <v>6.6000000000000005</v>
      </c>
      <c r="D804" s="17">
        <v>41820</v>
      </c>
      <c r="E804" t="s">
        <v>1447</v>
      </c>
    </row>
    <row r="805" spans="3:5">
      <c r="C805">
        <v>6.6080000000000005</v>
      </c>
      <c r="D805" s="17">
        <v>42224</v>
      </c>
      <c r="E805" t="s">
        <v>277</v>
      </c>
    </row>
    <row r="806" spans="3:5">
      <c r="C806">
        <v>6.6080000000000005</v>
      </c>
      <c r="D806" s="17">
        <v>42311</v>
      </c>
      <c r="E806" t="s">
        <v>1360</v>
      </c>
    </row>
    <row r="807" spans="3:5">
      <c r="C807">
        <v>6.63</v>
      </c>
      <c r="D807" s="17">
        <v>41659</v>
      </c>
      <c r="E807" t="s">
        <v>1531</v>
      </c>
    </row>
    <row r="808" spans="3:5">
      <c r="C808">
        <v>6.63</v>
      </c>
      <c r="D808" s="17">
        <v>42152</v>
      </c>
      <c r="E808" t="s">
        <v>161</v>
      </c>
    </row>
    <row r="809" spans="3:5">
      <c r="C809">
        <v>6.63</v>
      </c>
      <c r="D809" s="17">
        <v>42779</v>
      </c>
      <c r="E809" t="s">
        <v>161</v>
      </c>
    </row>
    <row r="810" spans="3:5">
      <c r="C810">
        <v>6.63</v>
      </c>
      <c r="D810" s="17">
        <v>43011</v>
      </c>
      <c r="E810" t="s">
        <v>946</v>
      </c>
    </row>
    <row r="811" spans="3:5">
      <c r="C811">
        <v>6.63</v>
      </c>
      <c r="D811" s="17">
        <v>43087</v>
      </c>
      <c r="E811" t="s">
        <v>1531</v>
      </c>
    </row>
    <row r="812" spans="3:5">
      <c r="C812">
        <v>6.63</v>
      </c>
      <c r="D812" s="17">
        <v>43090</v>
      </c>
      <c r="E812" t="s">
        <v>1531</v>
      </c>
    </row>
    <row r="813" spans="3:5">
      <c r="C813">
        <v>6.6420000000000012</v>
      </c>
      <c r="D813" s="17">
        <v>41973</v>
      </c>
      <c r="E813" t="s">
        <v>1545</v>
      </c>
    </row>
    <row r="814" spans="3:5">
      <c r="C814">
        <v>6.6719999999999988</v>
      </c>
      <c r="D814" s="17">
        <v>42715</v>
      </c>
      <c r="E814" t="s">
        <v>394</v>
      </c>
    </row>
    <row r="815" spans="3:5">
      <c r="C815">
        <v>6.6719999999999988</v>
      </c>
      <c r="D815" s="17">
        <v>42978</v>
      </c>
      <c r="E815" t="s">
        <v>299</v>
      </c>
    </row>
    <row r="816" spans="3:5">
      <c r="C816">
        <v>6.6719999999999988</v>
      </c>
      <c r="D816" s="17">
        <v>43009</v>
      </c>
      <c r="E816" t="s">
        <v>1280</v>
      </c>
    </row>
    <row r="817" spans="3:5">
      <c r="C817">
        <v>6.6720000000000006</v>
      </c>
      <c r="D817" s="17">
        <v>42968</v>
      </c>
      <c r="E817" t="s">
        <v>1086</v>
      </c>
    </row>
    <row r="818" spans="3:5">
      <c r="C818">
        <v>6.6720000000000006</v>
      </c>
      <c r="D818" s="17">
        <v>43028</v>
      </c>
      <c r="E818" t="s">
        <v>819</v>
      </c>
    </row>
    <row r="819" spans="3:5">
      <c r="C819">
        <v>6.6720000000000006</v>
      </c>
      <c r="D819" s="17">
        <v>43058</v>
      </c>
      <c r="E819" t="s">
        <v>234</v>
      </c>
    </row>
    <row r="820" spans="3:5">
      <c r="C820">
        <v>6.68</v>
      </c>
      <c r="D820" s="17">
        <v>42021</v>
      </c>
      <c r="E820" t="s">
        <v>1060</v>
      </c>
    </row>
    <row r="821" spans="3:5">
      <c r="C821">
        <v>6.68</v>
      </c>
      <c r="D821" s="17">
        <v>42665</v>
      </c>
      <c r="E821" t="s">
        <v>1662</v>
      </c>
    </row>
    <row r="822" spans="3:5">
      <c r="C822">
        <v>6.68</v>
      </c>
      <c r="D822" s="17">
        <v>42860</v>
      </c>
      <c r="E822" t="s">
        <v>641</v>
      </c>
    </row>
    <row r="823" spans="3:5">
      <c r="C823">
        <v>6.6879999999999997</v>
      </c>
      <c r="D823" s="17">
        <v>42339</v>
      </c>
      <c r="E823" t="s">
        <v>1186</v>
      </c>
    </row>
    <row r="824" spans="3:5">
      <c r="C824">
        <v>6.6879999999999997</v>
      </c>
      <c r="D824" s="17">
        <v>42345</v>
      </c>
      <c r="E824" t="s">
        <v>93</v>
      </c>
    </row>
    <row r="825" spans="3:5">
      <c r="C825">
        <v>6.69</v>
      </c>
      <c r="D825" s="17">
        <v>42623</v>
      </c>
      <c r="E825" t="s">
        <v>899</v>
      </c>
    </row>
    <row r="826" spans="3:5">
      <c r="C826">
        <v>6.6959999999999997</v>
      </c>
      <c r="D826" s="17">
        <v>42804</v>
      </c>
      <c r="E826" t="s">
        <v>339</v>
      </c>
    </row>
    <row r="827" spans="3:5">
      <c r="C827">
        <v>6.7</v>
      </c>
      <c r="D827" s="17">
        <v>42272</v>
      </c>
      <c r="E827" t="s">
        <v>1689</v>
      </c>
    </row>
    <row r="828" spans="3:5">
      <c r="C828">
        <v>6.72</v>
      </c>
      <c r="D828" s="17">
        <v>41946</v>
      </c>
      <c r="E828" t="s">
        <v>821</v>
      </c>
    </row>
    <row r="829" spans="3:5">
      <c r="C829">
        <v>6.72</v>
      </c>
      <c r="D829" s="17">
        <v>42217</v>
      </c>
      <c r="E829" t="s">
        <v>821</v>
      </c>
    </row>
    <row r="830" spans="3:5">
      <c r="C830">
        <v>6.7200000000000006</v>
      </c>
      <c r="D830" s="17">
        <v>42188</v>
      </c>
      <c r="E830" t="s">
        <v>301</v>
      </c>
    </row>
    <row r="831" spans="3:5">
      <c r="C831">
        <v>6.7200000000000006</v>
      </c>
      <c r="D831" s="17">
        <v>42495</v>
      </c>
      <c r="E831" t="s">
        <v>1552</v>
      </c>
    </row>
    <row r="832" spans="3:5">
      <c r="C832">
        <v>6.732000000000002</v>
      </c>
      <c r="D832" s="17">
        <v>42271</v>
      </c>
      <c r="E832" t="s">
        <v>1415</v>
      </c>
    </row>
    <row r="833" spans="3:5">
      <c r="C833">
        <v>6.743999999999998</v>
      </c>
      <c r="D833" s="17">
        <v>42965</v>
      </c>
      <c r="E833" t="s">
        <v>1067</v>
      </c>
    </row>
    <row r="834" spans="3:5">
      <c r="C834">
        <v>6.7830000000000004</v>
      </c>
      <c r="D834" s="17">
        <v>43070</v>
      </c>
      <c r="E834" t="s">
        <v>1474</v>
      </c>
    </row>
    <row r="835" spans="3:5">
      <c r="C835">
        <v>6.79</v>
      </c>
      <c r="D835" s="17">
        <v>42614</v>
      </c>
      <c r="E835" t="s">
        <v>1472</v>
      </c>
    </row>
    <row r="836" spans="3:5">
      <c r="C836">
        <v>6.8000000000000007</v>
      </c>
      <c r="D836" s="17">
        <v>41874</v>
      </c>
      <c r="E836" t="s">
        <v>677</v>
      </c>
    </row>
    <row r="837" spans="3:5">
      <c r="C837">
        <v>6.8159999999999981</v>
      </c>
      <c r="D837" s="17">
        <v>42639</v>
      </c>
      <c r="E837" t="s">
        <v>138</v>
      </c>
    </row>
    <row r="838" spans="3:5">
      <c r="C838">
        <v>6.84</v>
      </c>
      <c r="D838" s="17">
        <v>42478</v>
      </c>
      <c r="E838" t="s">
        <v>1765</v>
      </c>
    </row>
    <row r="839" spans="3:5">
      <c r="C839">
        <v>6.8480000000000008</v>
      </c>
      <c r="D839" s="17">
        <v>41896</v>
      </c>
      <c r="E839" t="s">
        <v>386</v>
      </c>
    </row>
    <row r="840" spans="3:5">
      <c r="C840">
        <v>6.8480000000000008</v>
      </c>
      <c r="D840" s="17">
        <v>42271</v>
      </c>
      <c r="E840" t="s">
        <v>261</v>
      </c>
    </row>
    <row r="841" spans="3:5">
      <c r="C841">
        <v>6.8480000000000008</v>
      </c>
      <c r="D841" s="17">
        <v>42356</v>
      </c>
      <c r="E841" t="s">
        <v>261</v>
      </c>
    </row>
    <row r="842" spans="3:5">
      <c r="C842">
        <v>6.8480000000000008</v>
      </c>
      <c r="D842" s="17">
        <v>42539</v>
      </c>
      <c r="E842" t="s">
        <v>386</v>
      </c>
    </row>
    <row r="843" spans="3:5">
      <c r="C843">
        <v>6.8480000000000008</v>
      </c>
      <c r="D843" s="17">
        <v>42819</v>
      </c>
      <c r="E843" t="s">
        <v>436</v>
      </c>
    </row>
    <row r="844" spans="3:5">
      <c r="C844">
        <v>6.8480000000000008</v>
      </c>
      <c r="D844" s="17">
        <v>42853</v>
      </c>
      <c r="E844" t="s">
        <v>605</v>
      </c>
    </row>
    <row r="845" spans="3:5">
      <c r="C845">
        <v>6.8480000000000008</v>
      </c>
      <c r="D845" s="17">
        <v>42866</v>
      </c>
      <c r="E845" t="s">
        <v>668</v>
      </c>
    </row>
    <row r="846" spans="3:5">
      <c r="C846">
        <v>6.8580000000000014</v>
      </c>
      <c r="D846" s="17">
        <v>42264</v>
      </c>
      <c r="E846" t="s">
        <v>254</v>
      </c>
    </row>
    <row r="847" spans="3:5">
      <c r="C847">
        <v>6.8739999999999988</v>
      </c>
      <c r="D847" s="17">
        <v>42873</v>
      </c>
      <c r="E847" t="s">
        <v>521</v>
      </c>
    </row>
    <row r="848" spans="3:5">
      <c r="C848">
        <v>6.88</v>
      </c>
      <c r="D848" s="17">
        <v>43001</v>
      </c>
      <c r="E848" t="s">
        <v>984</v>
      </c>
    </row>
    <row r="849" spans="3:5">
      <c r="C849">
        <v>6.8879999999999981</v>
      </c>
      <c r="D849" s="17">
        <v>42905</v>
      </c>
      <c r="E849" t="s">
        <v>385</v>
      </c>
    </row>
    <row r="850" spans="3:5">
      <c r="C850">
        <v>6.8880000000000017</v>
      </c>
      <c r="D850" s="17">
        <v>42702</v>
      </c>
      <c r="E850" t="s">
        <v>385</v>
      </c>
    </row>
    <row r="851" spans="3:5">
      <c r="C851">
        <v>6.8999999999999986</v>
      </c>
      <c r="D851" s="17">
        <v>42100</v>
      </c>
      <c r="E851" t="s">
        <v>640</v>
      </c>
    </row>
    <row r="852" spans="3:5">
      <c r="C852">
        <v>6.9</v>
      </c>
      <c r="D852" s="17">
        <v>42541</v>
      </c>
      <c r="E852" t="s">
        <v>1593</v>
      </c>
    </row>
    <row r="853" spans="3:5">
      <c r="C853">
        <v>6.911999999999999</v>
      </c>
      <c r="D853" s="17">
        <v>41740</v>
      </c>
      <c r="E853" t="s">
        <v>886</v>
      </c>
    </row>
    <row r="854" spans="3:5">
      <c r="C854">
        <v>6.911999999999999</v>
      </c>
      <c r="D854" s="17">
        <v>41757</v>
      </c>
      <c r="E854" t="s">
        <v>130</v>
      </c>
    </row>
    <row r="855" spans="3:5">
      <c r="C855">
        <v>6.911999999999999</v>
      </c>
      <c r="D855" s="17">
        <v>42197</v>
      </c>
      <c r="E855" t="s">
        <v>1764</v>
      </c>
    </row>
    <row r="856" spans="3:5">
      <c r="C856">
        <v>6.911999999999999</v>
      </c>
      <c r="D856" s="17">
        <v>42240</v>
      </c>
      <c r="E856" t="s">
        <v>387</v>
      </c>
    </row>
    <row r="857" spans="3:5">
      <c r="C857">
        <v>6.911999999999999</v>
      </c>
      <c r="D857" s="17">
        <v>42357</v>
      </c>
      <c r="E857" t="s">
        <v>387</v>
      </c>
    </row>
    <row r="858" spans="3:5">
      <c r="C858">
        <v>6.911999999999999</v>
      </c>
      <c r="D858" s="17">
        <v>42982</v>
      </c>
      <c r="E858" t="s">
        <v>1139</v>
      </c>
    </row>
    <row r="859" spans="3:5">
      <c r="C859">
        <v>6.9239999999999977</v>
      </c>
      <c r="D859" s="17">
        <v>42734</v>
      </c>
      <c r="E859" t="s">
        <v>374</v>
      </c>
    </row>
    <row r="860" spans="3:5">
      <c r="C860">
        <v>6.9279999999999982</v>
      </c>
      <c r="D860" s="17">
        <v>41965</v>
      </c>
      <c r="E860" t="s">
        <v>1199</v>
      </c>
    </row>
    <row r="861" spans="3:5">
      <c r="C861">
        <v>6.9360000000000008</v>
      </c>
      <c r="D861" s="17">
        <v>41693</v>
      </c>
      <c r="E861" t="s">
        <v>1784</v>
      </c>
    </row>
    <row r="862" spans="3:5">
      <c r="C862">
        <v>6.96</v>
      </c>
      <c r="D862" s="17">
        <v>42685</v>
      </c>
      <c r="E862" t="s">
        <v>1090</v>
      </c>
    </row>
    <row r="863" spans="3:5">
      <c r="C863">
        <v>6.9760000000000009</v>
      </c>
      <c r="D863" s="17">
        <v>42416</v>
      </c>
      <c r="E863" t="s">
        <v>1240</v>
      </c>
    </row>
    <row r="864" spans="3:5">
      <c r="C864">
        <v>6.9760000000000009</v>
      </c>
      <c r="D864" s="17">
        <v>42796</v>
      </c>
      <c r="E864" t="s">
        <v>292</v>
      </c>
    </row>
    <row r="865" spans="3:5">
      <c r="C865">
        <v>6.98</v>
      </c>
      <c r="D865" s="17">
        <v>42875</v>
      </c>
      <c r="E865" t="s">
        <v>736</v>
      </c>
    </row>
    <row r="866" spans="3:5">
      <c r="C866">
        <v>6.9840000000000009</v>
      </c>
      <c r="D866" s="17">
        <v>42533</v>
      </c>
      <c r="E866" t="s">
        <v>1290</v>
      </c>
    </row>
    <row r="867" spans="3:5">
      <c r="C867">
        <v>6.9840000000000009</v>
      </c>
      <c r="D867" s="17">
        <v>43089</v>
      </c>
      <c r="E867" t="s">
        <v>134</v>
      </c>
    </row>
    <row r="868" spans="3:5">
      <c r="C868">
        <v>6.99</v>
      </c>
      <c r="D868" s="17">
        <v>42478</v>
      </c>
      <c r="E868" t="s">
        <v>306</v>
      </c>
    </row>
    <row r="869" spans="3:5">
      <c r="C869">
        <v>6.99</v>
      </c>
      <c r="D869" s="17">
        <v>43066</v>
      </c>
      <c r="E869" t="s">
        <v>306</v>
      </c>
    </row>
    <row r="870" spans="3:5">
      <c r="C870">
        <v>6.9920000000000009</v>
      </c>
      <c r="D870" s="17">
        <v>42087</v>
      </c>
      <c r="E870" t="s">
        <v>780</v>
      </c>
    </row>
    <row r="871" spans="3:5">
      <c r="C871">
        <v>7.04</v>
      </c>
      <c r="D871" s="17">
        <v>42357</v>
      </c>
      <c r="E871" t="s">
        <v>1379</v>
      </c>
    </row>
    <row r="872" spans="3:5">
      <c r="C872">
        <v>7.04</v>
      </c>
      <c r="D872" s="17">
        <v>42461</v>
      </c>
      <c r="E872" t="s">
        <v>994</v>
      </c>
    </row>
    <row r="873" spans="3:5">
      <c r="C873">
        <v>7.04</v>
      </c>
      <c r="D873" s="17">
        <v>42535</v>
      </c>
      <c r="E873" t="s">
        <v>129</v>
      </c>
    </row>
    <row r="874" spans="3:5">
      <c r="C874">
        <v>7.04</v>
      </c>
      <c r="D874" s="17">
        <v>42829</v>
      </c>
      <c r="E874" t="s">
        <v>129</v>
      </c>
    </row>
    <row r="875" spans="3:5">
      <c r="C875">
        <v>7.0559999999999992</v>
      </c>
      <c r="D875" s="17">
        <v>42007</v>
      </c>
      <c r="E875" t="s">
        <v>1535</v>
      </c>
    </row>
    <row r="876" spans="3:5">
      <c r="C876">
        <v>7.0559999999999992</v>
      </c>
      <c r="D876" s="17">
        <v>42828</v>
      </c>
      <c r="E876" t="s">
        <v>492</v>
      </c>
    </row>
    <row r="877" spans="3:5">
      <c r="C877">
        <v>7.0559999999999992</v>
      </c>
      <c r="D877" s="17">
        <v>43035</v>
      </c>
      <c r="E877" t="s">
        <v>492</v>
      </c>
    </row>
    <row r="878" spans="3:5">
      <c r="C878">
        <v>7.0679999999999996</v>
      </c>
      <c r="D878" s="17">
        <v>42694</v>
      </c>
      <c r="E878" t="s">
        <v>771</v>
      </c>
    </row>
    <row r="879" spans="3:5">
      <c r="C879">
        <v>7.0720000000000001</v>
      </c>
      <c r="D879" s="17">
        <v>42500</v>
      </c>
      <c r="E879" t="s">
        <v>1757</v>
      </c>
    </row>
    <row r="880" spans="3:5">
      <c r="C880">
        <v>7.080000000000001</v>
      </c>
      <c r="D880" s="17">
        <v>41960</v>
      </c>
      <c r="E880" t="s">
        <v>637</v>
      </c>
    </row>
    <row r="881" spans="3:5">
      <c r="C881">
        <v>7.080000000000001</v>
      </c>
      <c r="D881" s="17">
        <v>42314</v>
      </c>
      <c r="E881" t="s">
        <v>637</v>
      </c>
    </row>
    <row r="882" spans="3:5">
      <c r="C882">
        <v>7.1039999999999992</v>
      </c>
      <c r="D882" s="17">
        <v>42068</v>
      </c>
      <c r="E882" t="s">
        <v>164</v>
      </c>
    </row>
    <row r="883" spans="3:5">
      <c r="C883">
        <v>7.104000000000001</v>
      </c>
      <c r="D883" s="17">
        <v>41772</v>
      </c>
      <c r="E883" t="s">
        <v>74</v>
      </c>
    </row>
    <row r="884" spans="3:5">
      <c r="C884">
        <v>7.120000000000001</v>
      </c>
      <c r="D884" s="17">
        <v>42771</v>
      </c>
      <c r="E884" t="s">
        <v>127</v>
      </c>
    </row>
    <row r="885" spans="3:5">
      <c r="C885">
        <v>7.1519999999999992</v>
      </c>
      <c r="D885" s="17">
        <v>42240</v>
      </c>
      <c r="E885" t="s">
        <v>179</v>
      </c>
    </row>
    <row r="886" spans="3:5">
      <c r="C886">
        <v>7.1519999999999992</v>
      </c>
      <c r="D886" s="17">
        <v>42521</v>
      </c>
      <c r="E886" t="s">
        <v>280</v>
      </c>
    </row>
    <row r="887" spans="3:5">
      <c r="C887">
        <v>7.1519999999999992</v>
      </c>
      <c r="D887" s="17">
        <v>42663</v>
      </c>
      <c r="E887" t="s">
        <v>179</v>
      </c>
    </row>
    <row r="888" spans="3:5">
      <c r="C888">
        <v>7.16</v>
      </c>
      <c r="D888" s="17">
        <v>41896</v>
      </c>
      <c r="E888" t="s">
        <v>162</v>
      </c>
    </row>
    <row r="889" spans="3:5">
      <c r="C889">
        <v>7.16</v>
      </c>
      <c r="D889" s="17">
        <v>41901</v>
      </c>
      <c r="E889" t="s">
        <v>518</v>
      </c>
    </row>
    <row r="890" spans="3:5">
      <c r="C890">
        <v>7.16</v>
      </c>
      <c r="D890" s="17">
        <v>41914</v>
      </c>
      <c r="E890" t="s">
        <v>380</v>
      </c>
    </row>
    <row r="891" spans="3:5">
      <c r="C891">
        <v>7.16</v>
      </c>
      <c r="D891" s="17">
        <v>42702</v>
      </c>
      <c r="E891" t="s">
        <v>162</v>
      </c>
    </row>
    <row r="892" spans="3:5">
      <c r="C892">
        <v>7.16</v>
      </c>
      <c r="D892" s="17">
        <v>42761</v>
      </c>
      <c r="E892" t="s">
        <v>162</v>
      </c>
    </row>
    <row r="893" spans="3:5">
      <c r="C893">
        <v>7.16</v>
      </c>
      <c r="D893" s="17">
        <v>42835</v>
      </c>
      <c r="E893" t="s">
        <v>518</v>
      </c>
    </row>
    <row r="894" spans="3:5">
      <c r="C894">
        <v>7.168000000000001</v>
      </c>
      <c r="D894" s="17">
        <v>43038</v>
      </c>
      <c r="E894" t="s">
        <v>877</v>
      </c>
    </row>
    <row r="895" spans="3:5">
      <c r="C895">
        <v>7.1840000000000011</v>
      </c>
      <c r="D895" s="17">
        <v>41733</v>
      </c>
      <c r="E895" t="s">
        <v>353</v>
      </c>
    </row>
    <row r="896" spans="3:5">
      <c r="C896">
        <v>7.1840000000000011</v>
      </c>
      <c r="D896" s="17">
        <v>41940</v>
      </c>
      <c r="E896" t="s">
        <v>353</v>
      </c>
    </row>
    <row r="897" spans="3:5">
      <c r="C897">
        <v>7.1840000000000011</v>
      </c>
      <c r="D897" s="17">
        <v>42988</v>
      </c>
      <c r="E897" t="s">
        <v>353</v>
      </c>
    </row>
    <row r="898" spans="3:5">
      <c r="C898">
        <v>7.2160000000000002</v>
      </c>
      <c r="D898" s="17">
        <v>42496</v>
      </c>
      <c r="E898" t="s">
        <v>1450</v>
      </c>
    </row>
    <row r="899" spans="3:5">
      <c r="C899">
        <v>7.218</v>
      </c>
      <c r="D899" s="17">
        <v>41713</v>
      </c>
      <c r="E899" t="s">
        <v>552</v>
      </c>
    </row>
    <row r="900" spans="3:5">
      <c r="C900">
        <v>7.218</v>
      </c>
      <c r="D900" s="17">
        <v>42313</v>
      </c>
      <c r="E900" t="s">
        <v>552</v>
      </c>
    </row>
    <row r="901" spans="3:5">
      <c r="C901">
        <v>7.2300000000000022</v>
      </c>
      <c r="D901" s="17">
        <v>42190</v>
      </c>
      <c r="E901" t="s">
        <v>68</v>
      </c>
    </row>
    <row r="902" spans="3:5">
      <c r="C902">
        <v>7.2300000000000022</v>
      </c>
      <c r="D902" s="17">
        <v>42328</v>
      </c>
      <c r="E902" t="s">
        <v>68</v>
      </c>
    </row>
    <row r="903" spans="3:5">
      <c r="C903">
        <v>7.2359999999999998</v>
      </c>
      <c r="D903" s="17">
        <v>43087</v>
      </c>
      <c r="E903" t="s">
        <v>761</v>
      </c>
    </row>
    <row r="904" spans="3:5">
      <c r="C904">
        <v>7.24</v>
      </c>
      <c r="D904" s="17">
        <v>42254</v>
      </c>
      <c r="E904" t="s">
        <v>1018</v>
      </c>
    </row>
    <row r="905" spans="3:5">
      <c r="C905">
        <v>7.2400000000000011</v>
      </c>
      <c r="D905" s="17">
        <v>42253</v>
      </c>
      <c r="E905" t="s">
        <v>1018</v>
      </c>
    </row>
    <row r="906" spans="3:5">
      <c r="C906">
        <v>7.27</v>
      </c>
      <c r="D906" s="17">
        <v>41992</v>
      </c>
      <c r="E906" t="s">
        <v>1108</v>
      </c>
    </row>
    <row r="907" spans="3:5">
      <c r="C907">
        <v>7.28</v>
      </c>
      <c r="D907" s="17">
        <v>41799</v>
      </c>
      <c r="E907" t="s">
        <v>1017</v>
      </c>
    </row>
    <row r="908" spans="3:5">
      <c r="C908">
        <v>7.28</v>
      </c>
      <c r="D908" s="17">
        <v>42224</v>
      </c>
      <c r="E908" t="s">
        <v>800</v>
      </c>
    </row>
    <row r="909" spans="3:5">
      <c r="C909">
        <v>7.28</v>
      </c>
      <c r="D909" s="17">
        <v>43080</v>
      </c>
      <c r="E909" t="s">
        <v>1520</v>
      </c>
    </row>
    <row r="910" spans="3:5">
      <c r="C910">
        <v>7.3</v>
      </c>
      <c r="D910" s="17">
        <v>41895</v>
      </c>
      <c r="E910" t="s">
        <v>1265</v>
      </c>
    </row>
    <row r="911" spans="3:5">
      <c r="C911">
        <v>7.3</v>
      </c>
      <c r="D911" s="17">
        <v>41954</v>
      </c>
      <c r="E911" t="s">
        <v>1265</v>
      </c>
    </row>
    <row r="912" spans="3:5">
      <c r="C912">
        <v>7.3</v>
      </c>
      <c r="D912" s="17">
        <v>42265</v>
      </c>
      <c r="E912" t="s">
        <v>1265</v>
      </c>
    </row>
    <row r="913" spans="3:5">
      <c r="C913">
        <v>7.3</v>
      </c>
      <c r="D913" s="17">
        <v>42315</v>
      </c>
      <c r="E913" t="s">
        <v>1810</v>
      </c>
    </row>
    <row r="914" spans="3:5">
      <c r="C914">
        <v>7.3</v>
      </c>
      <c r="D914" s="17">
        <v>43002</v>
      </c>
      <c r="E914" t="s">
        <v>1265</v>
      </c>
    </row>
    <row r="915" spans="3:5">
      <c r="C915">
        <v>7.31</v>
      </c>
      <c r="D915" s="17">
        <v>41923</v>
      </c>
      <c r="E915" t="s">
        <v>679</v>
      </c>
    </row>
    <row r="916" spans="3:5">
      <c r="C916">
        <v>7.31</v>
      </c>
      <c r="D916" s="17">
        <v>42348</v>
      </c>
      <c r="E916" t="s">
        <v>382</v>
      </c>
    </row>
    <row r="917" spans="3:5">
      <c r="C917">
        <v>7.31</v>
      </c>
      <c r="D917" s="17">
        <v>42811</v>
      </c>
      <c r="E917" t="s">
        <v>382</v>
      </c>
    </row>
    <row r="918" spans="3:5">
      <c r="C918">
        <v>7.3120000000000012</v>
      </c>
      <c r="D918" s="17">
        <v>41969</v>
      </c>
      <c r="E918" t="s">
        <v>399</v>
      </c>
    </row>
    <row r="919" spans="3:5">
      <c r="C919">
        <v>7.3120000000000012</v>
      </c>
      <c r="D919" s="17">
        <v>42615</v>
      </c>
      <c r="E919" t="s">
        <v>399</v>
      </c>
    </row>
    <row r="920" spans="3:5">
      <c r="C920">
        <v>7.3120000000000012</v>
      </c>
      <c r="D920" s="17">
        <v>42700</v>
      </c>
      <c r="E920" t="s">
        <v>1170</v>
      </c>
    </row>
    <row r="921" spans="3:5">
      <c r="C921">
        <v>7.36</v>
      </c>
      <c r="D921" s="17">
        <v>41799</v>
      </c>
      <c r="E921" t="s">
        <v>292</v>
      </c>
    </row>
    <row r="922" spans="3:5">
      <c r="C922">
        <v>7.36</v>
      </c>
      <c r="D922" s="17">
        <v>41971</v>
      </c>
      <c r="E922" t="s">
        <v>292</v>
      </c>
    </row>
    <row r="923" spans="3:5">
      <c r="C923">
        <v>7.36</v>
      </c>
      <c r="D923" s="17">
        <v>42664</v>
      </c>
      <c r="E923" t="s">
        <v>292</v>
      </c>
    </row>
    <row r="924" spans="3:5">
      <c r="C924">
        <v>7.38</v>
      </c>
      <c r="D924" s="17">
        <v>42079</v>
      </c>
      <c r="E924" t="s">
        <v>413</v>
      </c>
    </row>
    <row r="925" spans="3:5">
      <c r="C925">
        <v>7.38</v>
      </c>
      <c r="D925" s="17">
        <v>42159</v>
      </c>
      <c r="E925" t="s">
        <v>674</v>
      </c>
    </row>
    <row r="926" spans="3:5">
      <c r="C926">
        <v>7.38</v>
      </c>
      <c r="D926" s="17">
        <v>42203</v>
      </c>
      <c r="E926" t="s">
        <v>416</v>
      </c>
    </row>
    <row r="927" spans="3:5">
      <c r="C927">
        <v>7.38</v>
      </c>
      <c r="D927" s="17">
        <v>42279</v>
      </c>
      <c r="E927" t="s">
        <v>1526</v>
      </c>
    </row>
    <row r="928" spans="3:5">
      <c r="C928">
        <v>7.38</v>
      </c>
      <c r="D928" s="17">
        <v>42623</v>
      </c>
      <c r="E928" t="s">
        <v>1437</v>
      </c>
    </row>
    <row r="929" spans="3:5">
      <c r="C929">
        <v>7.38</v>
      </c>
      <c r="D929" s="17">
        <v>42688</v>
      </c>
      <c r="E929" t="s">
        <v>1318</v>
      </c>
    </row>
    <row r="930" spans="3:5">
      <c r="C930">
        <v>7.38</v>
      </c>
      <c r="D930" s="17">
        <v>42842</v>
      </c>
      <c r="E930" t="s">
        <v>557</v>
      </c>
    </row>
    <row r="931" spans="3:5">
      <c r="C931">
        <v>7.38</v>
      </c>
      <c r="D931" s="17">
        <v>43057</v>
      </c>
      <c r="E931" t="s">
        <v>1437</v>
      </c>
    </row>
    <row r="932" spans="3:5">
      <c r="C932">
        <v>7.3800000000000008</v>
      </c>
      <c r="D932" s="17">
        <v>42279</v>
      </c>
      <c r="E932" t="s">
        <v>151</v>
      </c>
    </row>
    <row r="933" spans="3:5">
      <c r="C933">
        <v>7.4</v>
      </c>
      <c r="D933" s="17">
        <v>43097</v>
      </c>
      <c r="E933" t="s">
        <v>608</v>
      </c>
    </row>
    <row r="934" spans="3:5">
      <c r="C934">
        <v>7.4080000000000004</v>
      </c>
      <c r="D934" s="17">
        <v>41719</v>
      </c>
      <c r="E934" t="s">
        <v>1363</v>
      </c>
    </row>
    <row r="935" spans="3:5">
      <c r="C935">
        <v>7.4080000000000004</v>
      </c>
      <c r="D935" s="17">
        <v>42525</v>
      </c>
      <c r="E935" t="s">
        <v>1363</v>
      </c>
    </row>
    <row r="936" spans="3:5">
      <c r="C936">
        <v>7.41</v>
      </c>
      <c r="D936" s="17">
        <v>42875</v>
      </c>
      <c r="E936" t="s">
        <v>74</v>
      </c>
    </row>
    <row r="937" spans="3:5">
      <c r="C937">
        <v>7.42</v>
      </c>
      <c r="D937" s="17">
        <v>43038</v>
      </c>
      <c r="E937" t="s">
        <v>1133</v>
      </c>
    </row>
    <row r="938" spans="3:5">
      <c r="C938">
        <v>7.4340000000000011</v>
      </c>
      <c r="D938" s="17">
        <v>42702</v>
      </c>
      <c r="E938" t="s">
        <v>1247</v>
      </c>
    </row>
    <row r="939" spans="3:5">
      <c r="C939">
        <v>7.4399999999999995</v>
      </c>
      <c r="D939" s="17">
        <v>41968</v>
      </c>
      <c r="E939" t="s">
        <v>127</v>
      </c>
    </row>
    <row r="940" spans="3:5">
      <c r="C940">
        <v>7.4760000000000018</v>
      </c>
      <c r="D940" s="17">
        <v>43062</v>
      </c>
      <c r="E940" t="s">
        <v>1105</v>
      </c>
    </row>
    <row r="941" spans="3:5">
      <c r="C941">
        <v>7.4880000000000013</v>
      </c>
      <c r="D941" s="17">
        <v>41752</v>
      </c>
      <c r="E941" t="s">
        <v>70</v>
      </c>
    </row>
    <row r="942" spans="3:5">
      <c r="C942">
        <v>7.5</v>
      </c>
      <c r="D942" s="17">
        <v>42250</v>
      </c>
      <c r="E942" t="s">
        <v>1359</v>
      </c>
    </row>
    <row r="943" spans="3:5">
      <c r="C943">
        <v>7.5060000000000002</v>
      </c>
      <c r="D943" s="17">
        <v>42635</v>
      </c>
      <c r="E943" t="s">
        <v>299</v>
      </c>
    </row>
    <row r="944" spans="3:5">
      <c r="C944">
        <v>7.5180000000000007</v>
      </c>
      <c r="D944" s="17">
        <v>42849</v>
      </c>
      <c r="E944" t="s">
        <v>592</v>
      </c>
    </row>
    <row r="945" spans="3:5">
      <c r="C945">
        <v>7.52</v>
      </c>
      <c r="D945" s="17">
        <v>41944</v>
      </c>
      <c r="E945" t="s">
        <v>74</v>
      </c>
    </row>
    <row r="946" spans="3:5">
      <c r="C946">
        <v>7.52</v>
      </c>
      <c r="D946" s="17">
        <v>42162</v>
      </c>
      <c r="E946" t="s">
        <v>1480</v>
      </c>
    </row>
    <row r="947" spans="3:5">
      <c r="C947">
        <v>7.5359999999999987</v>
      </c>
      <c r="D947" s="17">
        <v>43043</v>
      </c>
      <c r="E947" t="s">
        <v>1361</v>
      </c>
    </row>
    <row r="948" spans="3:5">
      <c r="C948">
        <v>7.5600000000000005</v>
      </c>
      <c r="D948" s="17">
        <v>42155</v>
      </c>
      <c r="E948" t="s">
        <v>96</v>
      </c>
    </row>
    <row r="949" spans="3:5">
      <c r="C949">
        <v>7.5600000000000005</v>
      </c>
      <c r="D949" s="17">
        <v>42391</v>
      </c>
      <c r="E949" t="s">
        <v>96</v>
      </c>
    </row>
    <row r="950" spans="3:5">
      <c r="C950">
        <v>7.5600000000000005</v>
      </c>
      <c r="D950" s="17">
        <v>42526</v>
      </c>
      <c r="E950" t="s">
        <v>697</v>
      </c>
    </row>
    <row r="951" spans="3:5">
      <c r="C951">
        <v>7.5600000000000005</v>
      </c>
      <c r="D951" s="17">
        <v>42924</v>
      </c>
      <c r="E951" t="s">
        <v>937</v>
      </c>
    </row>
    <row r="952" spans="3:5">
      <c r="C952">
        <v>7.58</v>
      </c>
      <c r="D952" s="17">
        <v>42979</v>
      </c>
      <c r="E952" t="s">
        <v>127</v>
      </c>
    </row>
    <row r="953" spans="3:5">
      <c r="C953">
        <v>7.5840000000000005</v>
      </c>
      <c r="D953" s="17">
        <v>42099</v>
      </c>
      <c r="E953" t="s">
        <v>102</v>
      </c>
    </row>
    <row r="954" spans="3:5">
      <c r="C954">
        <v>7.61</v>
      </c>
      <c r="D954" s="17">
        <v>42624</v>
      </c>
      <c r="E954" t="s">
        <v>517</v>
      </c>
    </row>
    <row r="955" spans="3:5">
      <c r="C955">
        <v>7.61</v>
      </c>
      <c r="D955" s="17">
        <v>42835</v>
      </c>
      <c r="E955" t="s">
        <v>517</v>
      </c>
    </row>
    <row r="956" spans="3:5">
      <c r="C956">
        <v>7.6320000000000014</v>
      </c>
      <c r="D956" s="17">
        <v>41873</v>
      </c>
      <c r="E956" t="s">
        <v>1790</v>
      </c>
    </row>
    <row r="957" spans="3:5">
      <c r="C957">
        <v>7.64</v>
      </c>
      <c r="D957" s="17">
        <v>41923</v>
      </c>
      <c r="E957" t="s">
        <v>89</v>
      </c>
    </row>
    <row r="958" spans="3:5">
      <c r="C958">
        <v>7.64</v>
      </c>
      <c r="D958" s="17">
        <v>42568</v>
      </c>
      <c r="E958" t="s">
        <v>860</v>
      </c>
    </row>
    <row r="959" spans="3:5">
      <c r="C959">
        <v>7.644000000000001</v>
      </c>
      <c r="D959" s="17">
        <v>41720</v>
      </c>
      <c r="E959" t="s">
        <v>414</v>
      </c>
    </row>
    <row r="960" spans="3:5">
      <c r="C960">
        <v>7.6559999999999988</v>
      </c>
      <c r="D960" s="17">
        <v>42148</v>
      </c>
      <c r="E960" t="s">
        <v>1680</v>
      </c>
    </row>
    <row r="961" spans="3:5">
      <c r="C961">
        <v>7.6560000000000006</v>
      </c>
      <c r="D961" s="17">
        <v>42251</v>
      </c>
      <c r="E961" t="s">
        <v>1680</v>
      </c>
    </row>
    <row r="962" spans="3:5">
      <c r="C962">
        <v>7.6560000000000006</v>
      </c>
      <c r="D962" s="17">
        <v>42934</v>
      </c>
      <c r="E962" t="s">
        <v>979</v>
      </c>
    </row>
    <row r="963" spans="3:5">
      <c r="C963">
        <v>7.6799999999999979</v>
      </c>
      <c r="D963" s="17">
        <v>41885</v>
      </c>
      <c r="E963" t="s">
        <v>1401</v>
      </c>
    </row>
    <row r="964" spans="3:5">
      <c r="C964">
        <v>7.6920000000000002</v>
      </c>
      <c r="D964" s="17">
        <v>42782</v>
      </c>
      <c r="E964" t="s">
        <v>244</v>
      </c>
    </row>
    <row r="965" spans="3:5">
      <c r="C965">
        <v>7.7</v>
      </c>
      <c r="D965" s="17">
        <v>42553</v>
      </c>
      <c r="E965" t="s">
        <v>1735</v>
      </c>
    </row>
    <row r="966" spans="3:5">
      <c r="C966">
        <v>7.71</v>
      </c>
      <c r="D966" s="17">
        <v>42765</v>
      </c>
      <c r="E966" t="s">
        <v>185</v>
      </c>
    </row>
    <row r="967" spans="3:5">
      <c r="C967">
        <v>7.7120000000000006</v>
      </c>
      <c r="D967" s="17">
        <v>41832</v>
      </c>
      <c r="E967" t="s">
        <v>1548</v>
      </c>
    </row>
    <row r="968" spans="3:5">
      <c r="C968">
        <v>7.7120000000000006</v>
      </c>
      <c r="D968" s="17">
        <v>42362</v>
      </c>
      <c r="E968" t="s">
        <v>1356</v>
      </c>
    </row>
    <row r="969" spans="3:5">
      <c r="C969">
        <v>7.7120000000000006</v>
      </c>
      <c r="D969" s="17">
        <v>42490</v>
      </c>
      <c r="E969" t="s">
        <v>1548</v>
      </c>
    </row>
    <row r="970" spans="3:5">
      <c r="C970">
        <v>7.7120000000000006</v>
      </c>
      <c r="D970" s="17">
        <v>42678</v>
      </c>
      <c r="E970" t="s">
        <v>1548</v>
      </c>
    </row>
    <row r="971" spans="3:5">
      <c r="C971">
        <v>7.7120000000000006</v>
      </c>
      <c r="D971" s="17">
        <v>43070</v>
      </c>
      <c r="E971" t="s">
        <v>1356</v>
      </c>
    </row>
    <row r="972" spans="3:5">
      <c r="C972">
        <v>7.7520000000000007</v>
      </c>
      <c r="D972" s="17">
        <v>41925</v>
      </c>
      <c r="E972" t="s">
        <v>1474</v>
      </c>
    </row>
    <row r="973" spans="3:5">
      <c r="C973">
        <v>7.7520000000000007</v>
      </c>
      <c r="D973" s="17">
        <v>42549</v>
      </c>
      <c r="E973" t="s">
        <v>1474</v>
      </c>
    </row>
    <row r="974" spans="3:5">
      <c r="C974">
        <v>7.76</v>
      </c>
      <c r="D974" s="17">
        <v>42197</v>
      </c>
      <c r="E974" t="s">
        <v>1445</v>
      </c>
    </row>
    <row r="975" spans="3:5">
      <c r="C975">
        <v>7.76</v>
      </c>
      <c r="D975" s="17">
        <v>42479</v>
      </c>
      <c r="E975" t="s">
        <v>1112</v>
      </c>
    </row>
    <row r="976" spans="3:5">
      <c r="C976">
        <v>7.7640000000000011</v>
      </c>
      <c r="D976" s="17">
        <v>42505</v>
      </c>
      <c r="E976" t="s">
        <v>54</v>
      </c>
    </row>
    <row r="977" spans="3:5">
      <c r="C977">
        <v>7.77</v>
      </c>
      <c r="D977" s="17">
        <v>42867</v>
      </c>
      <c r="E977" t="s">
        <v>672</v>
      </c>
    </row>
    <row r="978" spans="3:5">
      <c r="C978">
        <v>7.78</v>
      </c>
      <c r="D978" s="17">
        <v>41954</v>
      </c>
      <c r="E978" t="s">
        <v>1184</v>
      </c>
    </row>
    <row r="979" spans="3:5">
      <c r="C979">
        <v>7.78</v>
      </c>
      <c r="D979" s="17">
        <v>42344</v>
      </c>
      <c r="E979" t="s">
        <v>1184</v>
      </c>
    </row>
    <row r="980" spans="3:5">
      <c r="C980">
        <v>7.78</v>
      </c>
      <c r="D980" s="17">
        <v>42794</v>
      </c>
      <c r="E980" t="s">
        <v>291</v>
      </c>
    </row>
    <row r="981" spans="3:5">
      <c r="C981">
        <v>7.78</v>
      </c>
      <c r="D981" s="17">
        <v>43063</v>
      </c>
      <c r="E981" t="s">
        <v>291</v>
      </c>
    </row>
    <row r="982" spans="3:5">
      <c r="C982">
        <v>7.8000000000000007</v>
      </c>
      <c r="D982" s="17">
        <v>43049</v>
      </c>
      <c r="E982" t="s">
        <v>1402</v>
      </c>
    </row>
    <row r="983" spans="3:5">
      <c r="C983">
        <v>7.8239999999999998</v>
      </c>
      <c r="D983" s="17">
        <v>42260</v>
      </c>
      <c r="E983" t="s">
        <v>79</v>
      </c>
    </row>
    <row r="984" spans="3:5">
      <c r="C984">
        <v>7.8239999999999998</v>
      </c>
      <c r="D984" s="17">
        <v>43091</v>
      </c>
      <c r="E984" t="s">
        <v>79</v>
      </c>
    </row>
    <row r="985" spans="3:5">
      <c r="C985">
        <v>7.83</v>
      </c>
      <c r="D985" s="17">
        <v>41742</v>
      </c>
      <c r="E985" t="s">
        <v>1564</v>
      </c>
    </row>
    <row r="986" spans="3:5">
      <c r="C986">
        <v>7.83</v>
      </c>
      <c r="D986" s="17">
        <v>42407</v>
      </c>
      <c r="E986" t="s">
        <v>178</v>
      </c>
    </row>
    <row r="987" spans="3:5">
      <c r="C987">
        <v>7.83</v>
      </c>
      <c r="D987" s="17">
        <v>42639</v>
      </c>
      <c r="E987" t="s">
        <v>483</v>
      </c>
    </row>
    <row r="988" spans="3:5">
      <c r="C988">
        <v>7.83</v>
      </c>
      <c r="D988" s="17">
        <v>42931</v>
      </c>
      <c r="E988" t="s">
        <v>964</v>
      </c>
    </row>
    <row r="989" spans="3:5">
      <c r="C989">
        <v>7.8560000000000008</v>
      </c>
      <c r="D989" s="17">
        <v>41946</v>
      </c>
      <c r="E989" t="s">
        <v>521</v>
      </c>
    </row>
    <row r="990" spans="3:5">
      <c r="C990">
        <v>7.857000000000002</v>
      </c>
      <c r="D990" s="17">
        <v>42985</v>
      </c>
      <c r="E990" t="s">
        <v>134</v>
      </c>
    </row>
    <row r="991" spans="3:5">
      <c r="C991">
        <v>7.86</v>
      </c>
      <c r="D991" s="17">
        <v>42000</v>
      </c>
      <c r="E991" t="s">
        <v>74</v>
      </c>
    </row>
    <row r="992" spans="3:5">
      <c r="C992">
        <v>7.86</v>
      </c>
      <c r="D992" s="17">
        <v>42350</v>
      </c>
      <c r="E992" t="s">
        <v>74</v>
      </c>
    </row>
    <row r="993" spans="3:5">
      <c r="C993">
        <v>7.8719999999999999</v>
      </c>
      <c r="D993" s="17">
        <v>41955</v>
      </c>
      <c r="E993" t="s">
        <v>625</v>
      </c>
    </row>
    <row r="994" spans="3:5">
      <c r="C994">
        <v>7.8719999999999999</v>
      </c>
      <c r="D994" s="17">
        <v>42110</v>
      </c>
      <c r="E994" t="s">
        <v>943</v>
      </c>
    </row>
    <row r="995" spans="3:5">
      <c r="C995">
        <v>7.8719999999999999</v>
      </c>
      <c r="D995" s="17">
        <v>42112</v>
      </c>
      <c r="E995" t="s">
        <v>149</v>
      </c>
    </row>
    <row r="996" spans="3:5">
      <c r="C996">
        <v>7.8719999999999999</v>
      </c>
      <c r="D996" s="17">
        <v>42618</v>
      </c>
      <c r="E996" t="s">
        <v>1702</v>
      </c>
    </row>
    <row r="997" spans="3:5">
      <c r="C997">
        <v>7.8719999999999999</v>
      </c>
      <c r="D997" s="17">
        <v>42635</v>
      </c>
      <c r="E997" t="s">
        <v>149</v>
      </c>
    </row>
    <row r="998" spans="3:5">
      <c r="C998">
        <v>7.8719999999999999</v>
      </c>
      <c r="D998" s="17">
        <v>42757</v>
      </c>
      <c r="E998" t="s">
        <v>149</v>
      </c>
    </row>
    <row r="999" spans="3:5">
      <c r="C999">
        <v>7.88</v>
      </c>
      <c r="D999" s="17">
        <v>42309</v>
      </c>
      <c r="E999" t="s">
        <v>383</v>
      </c>
    </row>
    <row r="1000" spans="3:5">
      <c r="C1000">
        <v>7.88</v>
      </c>
      <c r="D1000" s="17">
        <v>43046</v>
      </c>
      <c r="E1000" t="s">
        <v>1393</v>
      </c>
    </row>
    <row r="1001" spans="3:5">
      <c r="C1001">
        <v>7.8800000000000008</v>
      </c>
      <c r="D1001" s="17">
        <v>42241</v>
      </c>
      <c r="E1001" t="s">
        <v>1822</v>
      </c>
    </row>
    <row r="1002" spans="3:5">
      <c r="C1002">
        <v>7.89</v>
      </c>
      <c r="D1002" s="17">
        <v>42576</v>
      </c>
      <c r="E1002" t="s">
        <v>1234</v>
      </c>
    </row>
    <row r="1003" spans="3:5">
      <c r="C1003">
        <v>7.89</v>
      </c>
      <c r="D1003" s="17">
        <v>42742</v>
      </c>
      <c r="E1003" t="s">
        <v>74</v>
      </c>
    </row>
    <row r="1004" spans="3:5">
      <c r="C1004">
        <v>7.8960000000000008</v>
      </c>
      <c r="D1004" s="17">
        <v>42507</v>
      </c>
      <c r="E1004" t="s">
        <v>752</v>
      </c>
    </row>
    <row r="1005" spans="3:5">
      <c r="C1005">
        <v>7.9</v>
      </c>
      <c r="D1005" s="17">
        <v>42268</v>
      </c>
      <c r="E1005" t="s">
        <v>312</v>
      </c>
    </row>
    <row r="1006" spans="3:5">
      <c r="C1006">
        <v>7.9</v>
      </c>
      <c r="D1006" s="17">
        <v>42730</v>
      </c>
      <c r="E1006" t="s">
        <v>1297</v>
      </c>
    </row>
    <row r="1007" spans="3:5">
      <c r="C1007">
        <v>7.9</v>
      </c>
      <c r="D1007" s="17">
        <v>42799</v>
      </c>
      <c r="E1007" t="s">
        <v>312</v>
      </c>
    </row>
    <row r="1008" spans="3:5">
      <c r="C1008">
        <v>7.9040000000000008</v>
      </c>
      <c r="D1008" s="17">
        <v>42933</v>
      </c>
      <c r="E1008" t="s">
        <v>187</v>
      </c>
    </row>
    <row r="1009" spans="3:5">
      <c r="C1009">
        <v>7.92</v>
      </c>
      <c r="D1009" s="17">
        <v>42365</v>
      </c>
      <c r="E1009" t="s">
        <v>1053</v>
      </c>
    </row>
    <row r="1010" spans="3:5">
      <c r="C1010">
        <v>7.92</v>
      </c>
      <c r="D1010" s="17">
        <v>42664</v>
      </c>
      <c r="E1010" t="s">
        <v>591</v>
      </c>
    </row>
    <row r="1011" spans="3:5">
      <c r="C1011">
        <v>7.92</v>
      </c>
      <c r="D1011" s="17">
        <v>42749</v>
      </c>
      <c r="E1011" t="s">
        <v>86</v>
      </c>
    </row>
    <row r="1012" spans="3:5">
      <c r="C1012">
        <v>7.92</v>
      </c>
      <c r="D1012" s="17">
        <v>42838</v>
      </c>
      <c r="E1012" t="s">
        <v>534</v>
      </c>
    </row>
    <row r="1013" spans="3:5">
      <c r="C1013">
        <v>7.9200000000000008</v>
      </c>
      <c r="D1013" s="17">
        <v>42358</v>
      </c>
      <c r="E1013" t="s">
        <v>1343</v>
      </c>
    </row>
    <row r="1014" spans="3:5">
      <c r="C1014">
        <v>7.9200000000000008</v>
      </c>
      <c r="D1014" s="17">
        <v>43051</v>
      </c>
      <c r="E1014" t="s">
        <v>787</v>
      </c>
    </row>
    <row r="1015" spans="3:5">
      <c r="C1015">
        <v>7.9599999999999973</v>
      </c>
      <c r="D1015" s="17">
        <v>41686</v>
      </c>
      <c r="E1015" t="s">
        <v>1605</v>
      </c>
    </row>
    <row r="1016" spans="3:5">
      <c r="C1016">
        <v>7.96</v>
      </c>
      <c r="D1016" s="17">
        <v>42538</v>
      </c>
      <c r="E1016" t="s">
        <v>92</v>
      </c>
    </row>
    <row r="1017" spans="3:5">
      <c r="C1017">
        <v>7.96</v>
      </c>
      <c r="D1017" s="17">
        <v>42549</v>
      </c>
      <c r="E1017" t="s">
        <v>92</v>
      </c>
    </row>
    <row r="1018" spans="3:5">
      <c r="C1018">
        <v>7.968</v>
      </c>
      <c r="D1018" s="17">
        <v>43097</v>
      </c>
      <c r="E1018" t="s">
        <v>1273</v>
      </c>
    </row>
    <row r="1019" spans="3:5">
      <c r="C1019">
        <v>7.9680000000000009</v>
      </c>
      <c r="D1019" s="17">
        <v>41927</v>
      </c>
      <c r="E1019" t="s">
        <v>1195</v>
      </c>
    </row>
    <row r="1020" spans="3:5">
      <c r="C1020">
        <v>7.9680000000000009</v>
      </c>
      <c r="D1020" s="17">
        <v>42100</v>
      </c>
      <c r="E1020" t="s">
        <v>729</v>
      </c>
    </row>
    <row r="1021" spans="3:5">
      <c r="C1021">
        <v>7.9680000000000009</v>
      </c>
      <c r="D1021" s="17">
        <v>42123</v>
      </c>
      <c r="E1021" t="s">
        <v>729</v>
      </c>
    </row>
    <row r="1022" spans="3:5">
      <c r="C1022">
        <v>7.9680000000000009</v>
      </c>
      <c r="D1022" s="17">
        <v>42127</v>
      </c>
      <c r="E1022" t="s">
        <v>1195</v>
      </c>
    </row>
    <row r="1023" spans="3:5">
      <c r="C1023">
        <v>7.9680000000000009</v>
      </c>
      <c r="D1023" s="17">
        <v>42727</v>
      </c>
      <c r="E1023" t="s">
        <v>1312</v>
      </c>
    </row>
    <row r="1024" spans="3:5">
      <c r="C1024">
        <v>7.9680000000000009</v>
      </c>
      <c r="D1024" s="17">
        <v>42951</v>
      </c>
      <c r="E1024" t="s">
        <v>682</v>
      </c>
    </row>
    <row r="1025" spans="3:5">
      <c r="C1025">
        <v>7.9680000000000009</v>
      </c>
      <c r="D1025" s="17">
        <v>43007</v>
      </c>
      <c r="E1025" t="s">
        <v>490</v>
      </c>
    </row>
    <row r="1026" spans="3:5">
      <c r="C1026">
        <v>7.9680000000000009</v>
      </c>
      <c r="D1026" s="17">
        <v>43020</v>
      </c>
      <c r="E1026" t="s">
        <v>1311</v>
      </c>
    </row>
    <row r="1027" spans="3:5">
      <c r="C1027">
        <v>7.9799999999999986</v>
      </c>
      <c r="D1027" s="17">
        <v>42329</v>
      </c>
      <c r="E1027" t="s">
        <v>1558</v>
      </c>
    </row>
    <row r="1028" spans="3:5">
      <c r="C1028">
        <v>7.98</v>
      </c>
      <c r="D1028" s="17">
        <v>41709</v>
      </c>
      <c r="E1028" t="s">
        <v>1326</v>
      </c>
    </row>
    <row r="1029" spans="3:5">
      <c r="C1029">
        <v>7.98</v>
      </c>
      <c r="D1029" s="17">
        <v>42414</v>
      </c>
      <c r="E1029" t="s">
        <v>1326</v>
      </c>
    </row>
    <row r="1030" spans="3:5">
      <c r="C1030">
        <v>7.98</v>
      </c>
      <c r="D1030" s="17">
        <v>42677</v>
      </c>
      <c r="E1030" t="s">
        <v>1326</v>
      </c>
    </row>
    <row r="1031" spans="3:5">
      <c r="C1031">
        <v>7.98</v>
      </c>
      <c r="D1031" s="17">
        <v>42884</v>
      </c>
      <c r="E1031" t="s">
        <v>772</v>
      </c>
    </row>
    <row r="1032" spans="3:5">
      <c r="C1032">
        <v>7.98</v>
      </c>
      <c r="D1032" s="17">
        <v>43007</v>
      </c>
      <c r="E1032" t="s">
        <v>270</v>
      </c>
    </row>
    <row r="1033" spans="3:5">
      <c r="C1033">
        <v>7.9920000000000009</v>
      </c>
      <c r="D1033" s="17">
        <v>41799</v>
      </c>
      <c r="E1033" t="s">
        <v>1438</v>
      </c>
    </row>
    <row r="1034" spans="3:5">
      <c r="C1034">
        <v>7.9920000000000009</v>
      </c>
      <c r="D1034" s="17">
        <v>42807</v>
      </c>
      <c r="E1034" t="s">
        <v>352</v>
      </c>
    </row>
    <row r="1035" spans="3:5">
      <c r="C1035">
        <v>7.9920000000000009</v>
      </c>
      <c r="D1035" s="17">
        <v>42869</v>
      </c>
      <c r="E1035" t="s">
        <v>691</v>
      </c>
    </row>
    <row r="1036" spans="3:5">
      <c r="C1036">
        <v>7.9920000000000009</v>
      </c>
      <c r="D1036" s="17">
        <v>42919</v>
      </c>
      <c r="E1036" t="s">
        <v>927</v>
      </c>
    </row>
    <row r="1037" spans="3:5">
      <c r="C1037">
        <v>7.9920000000000009</v>
      </c>
      <c r="D1037" s="17">
        <v>43013</v>
      </c>
      <c r="E1037" t="s">
        <v>927</v>
      </c>
    </row>
    <row r="1038" spans="3:5">
      <c r="C1038">
        <v>7.9959999999999996</v>
      </c>
      <c r="D1038" s="17">
        <v>42866</v>
      </c>
      <c r="E1038" t="s">
        <v>669</v>
      </c>
    </row>
    <row r="1039" spans="3:5">
      <c r="C1039">
        <v>8</v>
      </c>
      <c r="D1039" s="17">
        <v>41772</v>
      </c>
      <c r="E1039" t="s">
        <v>1878</v>
      </c>
    </row>
    <row r="1040" spans="3:5">
      <c r="C1040">
        <v>8</v>
      </c>
      <c r="D1040" s="17">
        <v>42499</v>
      </c>
      <c r="E1040" t="s">
        <v>1530</v>
      </c>
    </row>
    <row r="1041" spans="3:5">
      <c r="C1041">
        <v>8</v>
      </c>
      <c r="D1041" s="17">
        <v>42858</v>
      </c>
      <c r="E1041" t="s">
        <v>629</v>
      </c>
    </row>
    <row r="1042" spans="3:5">
      <c r="C1042">
        <v>8.0010000000000012</v>
      </c>
      <c r="D1042" s="17">
        <v>43070</v>
      </c>
      <c r="E1042" t="s">
        <v>227</v>
      </c>
    </row>
    <row r="1043" spans="3:5">
      <c r="C1043">
        <v>8.01</v>
      </c>
      <c r="D1043" s="17">
        <v>42885</v>
      </c>
      <c r="E1043" t="s">
        <v>775</v>
      </c>
    </row>
    <row r="1044" spans="3:5">
      <c r="C1044">
        <v>8.016</v>
      </c>
      <c r="D1044" s="17">
        <v>41716</v>
      </c>
      <c r="E1044" t="s">
        <v>1060</v>
      </c>
    </row>
    <row r="1045" spans="3:5">
      <c r="C1045">
        <v>8.016</v>
      </c>
      <c r="D1045" s="17">
        <v>41999</v>
      </c>
      <c r="E1045" t="s">
        <v>888</v>
      </c>
    </row>
    <row r="1046" spans="3:5">
      <c r="C1046">
        <v>8.016</v>
      </c>
      <c r="D1046" s="17">
        <v>42162</v>
      </c>
      <c r="E1046" t="s">
        <v>1060</v>
      </c>
    </row>
    <row r="1047" spans="3:5">
      <c r="C1047">
        <v>8.016</v>
      </c>
      <c r="D1047" s="17">
        <v>42287</v>
      </c>
      <c r="E1047" t="s">
        <v>1060</v>
      </c>
    </row>
    <row r="1048" spans="3:5">
      <c r="C1048">
        <v>8.016</v>
      </c>
      <c r="D1048" s="17">
        <v>42964</v>
      </c>
      <c r="E1048" t="s">
        <v>1060</v>
      </c>
    </row>
    <row r="1049" spans="3:5">
      <c r="C1049">
        <v>8.02</v>
      </c>
      <c r="D1049" s="17">
        <v>42547</v>
      </c>
      <c r="E1049" t="s">
        <v>552</v>
      </c>
    </row>
    <row r="1050" spans="3:5">
      <c r="C1050">
        <v>8.0399999999999991</v>
      </c>
      <c r="D1050" s="17">
        <v>42153</v>
      </c>
      <c r="E1050" t="s">
        <v>1533</v>
      </c>
    </row>
    <row r="1051" spans="3:5">
      <c r="C1051">
        <v>8.0399999999999991</v>
      </c>
      <c r="D1051" s="17">
        <v>42475</v>
      </c>
      <c r="E1051" t="s">
        <v>1533</v>
      </c>
    </row>
    <row r="1052" spans="3:5">
      <c r="C1052">
        <v>8.0400000000000009</v>
      </c>
      <c r="D1052" s="17">
        <v>42392</v>
      </c>
      <c r="E1052" t="s">
        <v>1788</v>
      </c>
    </row>
    <row r="1053" spans="3:5">
      <c r="C1053">
        <v>8.0960000000000001</v>
      </c>
      <c r="D1053" s="17">
        <v>42352</v>
      </c>
      <c r="E1053" t="s">
        <v>791</v>
      </c>
    </row>
    <row r="1054" spans="3:5">
      <c r="C1054">
        <v>8.1000000000000014</v>
      </c>
      <c r="D1054" s="17">
        <v>42831</v>
      </c>
      <c r="E1054" t="s">
        <v>329</v>
      </c>
    </row>
    <row r="1055" spans="3:5">
      <c r="C1055">
        <v>8.1280000000000001</v>
      </c>
      <c r="D1055" s="17">
        <v>41974</v>
      </c>
      <c r="E1055" t="s">
        <v>1196</v>
      </c>
    </row>
    <row r="1056" spans="3:5">
      <c r="C1056">
        <v>8.1339999999999986</v>
      </c>
      <c r="D1056" s="17">
        <v>41729</v>
      </c>
      <c r="E1056" t="s">
        <v>206</v>
      </c>
    </row>
    <row r="1057" spans="3:5">
      <c r="C1057">
        <v>8.1600000000000019</v>
      </c>
      <c r="D1057" s="17">
        <v>41843</v>
      </c>
      <c r="E1057" t="s">
        <v>1763</v>
      </c>
    </row>
    <row r="1058" spans="3:5">
      <c r="C1058">
        <v>8.2200000000000006</v>
      </c>
      <c r="D1058" s="17">
        <v>42350</v>
      </c>
      <c r="E1058" t="s">
        <v>1353</v>
      </c>
    </row>
    <row r="1059" spans="3:5">
      <c r="C1059">
        <v>8.2260000000000009</v>
      </c>
      <c r="D1059" s="17">
        <v>41812</v>
      </c>
      <c r="E1059" t="s">
        <v>399</v>
      </c>
    </row>
    <row r="1060" spans="3:5">
      <c r="C1060">
        <v>8.2260000000000009</v>
      </c>
      <c r="D1060" s="17">
        <v>42342</v>
      </c>
      <c r="E1060" t="s">
        <v>399</v>
      </c>
    </row>
    <row r="1061" spans="3:5">
      <c r="C1061">
        <v>8.2560000000000002</v>
      </c>
      <c r="D1061" s="17">
        <v>42982</v>
      </c>
      <c r="E1061" t="s">
        <v>1140</v>
      </c>
    </row>
    <row r="1062" spans="3:5">
      <c r="C1062">
        <v>8.26</v>
      </c>
      <c r="D1062" s="17">
        <v>42146</v>
      </c>
      <c r="E1062" t="s">
        <v>1034</v>
      </c>
    </row>
    <row r="1063" spans="3:5">
      <c r="C1063">
        <v>8.26</v>
      </c>
      <c r="D1063" s="17">
        <v>42168</v>
      </c>
      <c r="E1063" t="s">
        <v>277</v>
      </c>
    </row>
    <row r="1064" spans="3:5">
      <c r="C1064">
        <v>8.26</v>
      </c>
      <c r="D1064" s="17">
        <v>42468</v>
      </c>
      <c r="E1064" t="s">
        <v>1360</v>
      </c>
    </row>
    <row r="1065" spans="3:5">
      <c r="C1065">
        <v>8.26</v>
      </c>
      <c r="D1065" s="17">
        <v>42608</v>
      </c>
      <c r="E1065" t="s">
        <v>602</v>
      </c>
    </row>
    <row r="1066" spans="3:5">
      <c r="C1066">
        <v>8.26</v>
      </c>
      <c r="D1066" s="17">
        <v>42615</v>
      </c>
      <c r="E1066" t="s">
        <v>277</v>
      </c>
    </row>
    <row r="1067" spans="3:5">
      <c r="C1067">
        <v>8.26</v>
      </c>
      <c r="D1067" s="17">
        <v>42688</v>
      </c>
      <c r="E1067" t="s">
        <v>277</v>
      </c>
    </row>
    <row r="1068" spans="3:5">
      <c r="C1068">
        <v>8.26</v>
      </c>
      <c r="D1068" s="17">
        <v>42821</v>
      </c>
      <c r="E1068" t="s">
        <v>449</v>
      </c>
    </row>
    <row r="1069" spans="3:5">
      <c r="C1069">
        <v>8.26</v>
      </c>
      <c r="D1069" s="17">
        <v>43003</v>
      </c>
      <c r="E1069" t="s">
        <v>1247</v>
      </c>
    </row>
    <row r="1070" spans="3:5">
      <c r="C1070">
        <v>8.2719999999999985</v>
      </c>
      <c r="D1070" s="17">
        <v>42532</v>
      </c>
      <c r="E1070" t="s">
        <v>1502</v>
      </c>
    </row>
    <row r="1071" spans="3:5">
      <c r="C1071">
        <v>8.2799999999999994</v>
      </c>
      <c r="D1071" s="17">
        <v>42155</v>
      </c>
      <c r="E1071" t="s">
        <v>1368</v>
      </c>
    </row>
    <row r="1072" spans="3:5">
      <c r="C1072">
        <v>8.2799999999999994</v>
      </c>
      <c r="D1072" s="17">
        <v>42336</v>
      </c>
      <c r="E1072" t="s">
        <v>1205</v>
      </c>
    </row>
    <row r="1073" spans="3:5">
      <c r="C1073">
        <v>8.2880000000000003</v>
      </c>
      <c r="D1073" s="17">
        <v>41875</v>
      </c>
      <c r="E1073" t="s">
        <v>473</v>
      </c>
    </row>
    <row r="1074" spans="3:5">
      <c r="C1074">
        <v>8.2880000000000003</v>
      </c>
      <c r="D1074" s="17">
        <v>42656</v>
      </c>
      <c r="E1074" t="s">
        <v>1264</v>
      </c>
    </row>
    <row r="1075" spans="3:5">
      <c r="C1075">
        <v>8.2880000000000003</v>
      </c>
      <c r="D1075" s="17">
        <v>42875</v>
      </c>
      <c r="E1075" t="s">
        <v>739</v>
      </c>
    </row>
    <row r="1076" spans="3:5">
      <c r="C1076">
        <v>8.32</v>
      </c>
      <c r="D1076" s="17">
        <v>41709</v>
      </c>
      <c r="E1076" t="s">
        <v>771</v>
      </c>
    </row>
    <row r="1077" spans="3:5">
      <c r="C1077">
        <v>8.32</v>
      </c>
      <c r="D1077" s="17">
        <v>42481</v>
      </c>
      <c r="E1077" t="s">
        <v>1566</v>
      </c>
    </row>
    <row r="1078" spans="3:5">
      <c r="C1078">
        <v>8.32</v>
      </c>
      <c r="D1078" s="17">
        <v>42690</v>
      </c>
      <c r="E1078" t="s">
        <v>1566</v>
      </c>
    </row>
    <row r="1079" spans="3:5">
      <c r="C1079">
        <v>8.34</v>
      </c>
      <c r="D1079" s="17">
        <v>42079</v>
      </c>
      <c r="E1079" t="s">
        <v>1106</v>
      </c>
    </row>
    <row r="1080" spans="3:5">
      <c r="C1080">
        <v>8.34</v>
      </c>
      <c r="D1080" s="17">
        <v>42505</v>
      </c>
      <c r="E1080" t="s">
        <v>1106</v>
      </c>
    </row>
    <row r="1081" spans="3:5">
      <c r="C1081">
        <v>8.34</v>
      </c>
      <c r="D1081" s="17">
        <v>42665</v>
      </c>
      <c r="E1081" t="s">
        <v>394</v>
      </c>
    </row>
    <row r="1082" spans="3:5">
      <c r="C1082">
        <v>8.34</v>
      </c>
      <c r="D1082" s="17">
        <v>42764</v>
      </c>
      <c r="E1082" t="s">
        <v>175</v>
      </c>
    </row>
    <row r="1083" spans="3:5">
      <c r="C1083">
        <v>8.3520000000000003</v>
      </c>
      <c r="D1083" s="17">
        <v>42132</v>
      </c>
      <c r="E1083" t="s">
        <v>1090</v>
      </c>
    </row>
    <row r="1084" spans="3:5">
      <c r="C1084">
        <v>8.36</v>
      </c>
      <c r="D1084" s="17">
        <v>42990</v>
      </c>
      <c r="E1084" t="s">
        <v>1186</v>
      </c>
    </row>
    <row r="1085" spans="3:5">
      <c r="C1085">
        <v>8.3760000000000012</v>
      </c>
      <c r="D1085" s="17">
        <v>41947</v>
      </c>
      <c r="E1085" t="s">
        <v>1110</v>
      </c>
    </row>
    <row r="1086" spans="3:5">
      <c r="C1086">
        <v>8.3760000000000012</v>
      </c>
      <c r="D1086" s="17">
        <v>42978</v>
      </c>
      <c r="E1086" t="s">
        <v>1110</v>
      </c>
    </row>
    <row r="1087" spans="3:5">
      <c r="C1087">
        <v>8.3840000000000003</v>
      </c>
      <c r="D1087" s="17">
        <v>42853</v>
      </c>
      <c r="E1087" t="s">
        <v>527</v>
      </c>
    </row>
    <row r="1088" spans="3:5">
      <c r="C1088">
        <v>8.39</v>
      </c>
      <c r="D1088" s="17">
        <v>42253</v>
      </c>
      <c r="E1088" t="s">
        <v>504</v>
      </c>
    </row>
    <row r="1089" spans="3:5">
      <c r="C1089">
        <v>8.4</v>
      </c>
      <c r="D1089" s="17">
        <v>42218</v>
      </c>
      <c r="E1089" t="s">
        <v>301</v>
      </c>
    </row>
    <row r="1090" spans="3:5">
      <c r="C1090">
        <v>8.4</v>
      </c>
      <c r="D1090" s="17">
        <v>42266</v>
      </c>
      <c r="E1090" t="s">
        <v>334</v>
      </c>
    </row>
    <row r="1091" spans="3:5">
      <c r="C1091">
        <v>8.4</v>
      </c>
      <c r="D1091" s="17">
        <v>42789</v>
      </c>
      <c r="E1091" t="s">
        <v>275</v>
      </c>
    </row>
    <row r="1092" spans="3:5">
      <c r="C1092">
        <v>8.4</v>
      </c>
      <c r="D1092" s="17">
        <v>42896</v>
      </c>
      <c r="E1092" t="s">
        <v>821</v>
      </c>
    </row>
    <row r="1093" spans="3:5">
      <c r="C1093">
        <v>8.4480000000000004</v>
      </c>
      <c r="D1093" s="17">
        <v>41712</v>
      </c>
      <c r="E1093" t="s">
        <v>1373</v>
      </c>
    </row>
    <row r="1094" spans="3:5">
      <c r="C1094">
        <v>8.4480000000000004</v>
      </c>
      <c r="D1094" s="17">
        <v>41982</v>
      </c>
      <c r="E1094" t="s">
        <v>1166</v>
      </c>
    </row>
    <row r="1095" spans="3:5">
      <c r="C1095">
        <v>8.4480000000000004</v>
      </c>
      <c r="D1095" s="17">
        <v>41993</v>
      </c>
      <c r="E1095" t="s">
        <v>1720</v>
      </c>
    </row>
    <row r="1096" spans="3:5">
      <c r="C1096">
        <v>8.4480000000000004</v>
      </c>
      <c r="D1096" s="17">
        <v>42624</v>
      </c>
      <c r="E1096" t="s">
        <v>1352</v>
      </c>
    </row>
    <row r="1097" spans="3:5">
      <c r="C1097">
        <v>8.4480000000000004</v>
      </c>
      <c r="D1097" s="17">
        <v>43007</v>
      </c>
      <c r="E1097" t="s">
        <v>1274</v>
      </c>
    </row>
    <row r="1098" spans="3:5">
      <c r="C1098">
        <v>8.4480000000000004</v>
      </c>
      <c r="D1098" s="17">
        <v>43035</v>
      </c>
      <c r="E1098" t="s">
        <v>1352</v>
      </c>
    </row>
    <row r="1099" spans="3:5">
      <c r="C1099">
        <v>8.4480000000000004</v>
      </c>
      <c r="D1099" s="17">
        <v>43057</v>
      </c>
      <c r="E1099" t="s">
        <v>1000</v>
      </c>
    </row>
    <row r="1100" spans="3:5">
      <c r="C1100">
        <v>8.4480000000000004</v>
      </c>
      <c r="D1100" s="17">
        <v>43060</v>
      </c>
      <c r="E1100" t="s">
        <v>1352</v>
      </c>
    </row>
    <row r="1101" spans="3:5">
      <c r="C1101">
        <v>8.52</v>
      </c>
      <c r="D1101" s="17">
        <v>42595</v>
      </c>
      <c r="E1101" t="s">
        <v>1719</v>
      </c>
    </row>
    <row r="1102" spans="3:5">
      <c r="C1102">
        <v>8.5440000000000005</v>
      </c>
      <c r="D1102" s="17">
        <v>41903</v>
      </c>
      <c r="E1102" t="s">
        <v>836</v>
      </c>
    </row>
    <row r="1103" spans="3:5">
      <c r="C1103">
        <v>8.5440000000000005</v>
      </c>
      <c r="D1103" s="17">
        <v>41961</v>
      </c>
      <c r="E1103" t="s">
        <v>836</v>
      </c>
    </row>
    <row r="1104" spans="3:5">
      <c r="C1104">
        <v>8.5440000000000005</v>
      </c>
      <c r="D1104" s="17">
        <v>41988</v>
      </c>
      <c r="E1104" t="s">
        <v>836</v>
      </c>
    </row>
    <row r="1105" spans="3:5">
      <c r="C1105">
        <v>8.5440000000000005</v>
      </c>
      <c r="D1105" s="17">
        <v>42565</v>
      </c>
      <c r="E1105" t="s">
        <v>411</v>
      </c>
    </row>
    <row r="1106" spans="3:5">
      <c r="C1106">
        <v>8.5440000000000005</v>
      </c>
      <c r="D1106" s="17">
        <v>42815</v>
      </c>
      <c r="E1106" t="s">
        <v>411</v>
      </c>
    </row>
    <row r="1107" spans="3:5">
      <c r="C1107">
        <v>8.5440000000000005</v>
      </c>
      <c r="D1107" s="17">
        <v>43093</v>
      </c>
      <c r="E1107" t="s">
        <v>775</v>
      </c>
    </row>
    <row r="1108" spans="3:5">
      <c r="C1108">
        <v>8.5519999999999978</v>
      </c>
      <c r="D1108" s="17">
        <v>41896</v>
      </c>
      <c r="E1108" t="s">
        <v>858</v>
      </c>
    </row>
    <row r="1109" spans="3:5">
      <c r="C1109">
        <v>8.5590000000000011</v>
      </c>
      <c r="D1109" s="17">
        <v>43029</v>
      </c>
      <c r="E1109" t="s">
        <v>1287</v>
      </c>
    </row>
    <row r="1110" spans="3:5">
      <c r="C1110">
        <v>8.56</v>
      </c>
      <c r="D1110" s="17">
        <v>41792</v>
      </c>
      <c r="E1110" t="s">
        <v>1892</v>
      </c>
    </row>
    <row r="1111" spans="3:5">
      <c r="C1111">
        <v>8.56</v>
      </c>
      <c r="D1111" s="17">
        <v>41878</v>
      </c>
      <c r="E1111" t="s">
        <v>605</v>
      </c>
    </row>
    <row r="1112" spans="3:5">
      <c r="C1112">
        <v>8.56</v>
      </c>
      <c r="D1112" s="17">
        <v>41902</v>
      </c>
      <c r="E1112" t="s">
        <v>386</v>
      </c>
    </row>
    <row r="1113" spans="3:5">
      <c r="C1113">
        <v>8.56</v>
      </c>
      <c r="D1113" s="17">
        <v>42646</v>
      </c>
      <c r="E1113" t="s">
        <v>386</v>
      </c>
    </row>
    <row r="1114" spans="3:5">
      <c r="C1114">
        <v>8.56</v>
      </c>
      <c r="D1114" s="17">
        <v>42712</v>
      </c>
      <c r="E1114" t="s">
        <v>605</v>
      </c>
    </row>
    <row r="1115" spans="3:5">
      <c r="C1115">
        <v>8.56</v>
      </c>
      <c r="D1115" s="17">
        <v>42964</v>
      </c>
      <c r="E1115" t="s">
        <v>1061</v>
      </c>
    </row>
    <row r="1116" spans="3:5">
      <c r="C1116">
        <v>8.56</v>
      </c>
      <c r="D1116" s="17">
        <v>42992</v>
      </c>
      <c r="E1116" t="s">
        <v>419</v>
      </c>
    </row>
    <row r="1117" spans="3:5">
      <c r="C1117">
        <v>8.56</v>
      </c>
      <c r="D1117" s="17">
        <v>43042</v>
      </c>
      <c r="E1117" t="s">
        <v>885</v>
      </c>
    </row>
    <row r="1118" spans="3:5">
      <c r="C1118">
        <v>8.56</v>
      </c>
      <c r="D1118" s="17">
        <v>43071</v>
      </c>
      <c r="E1118" t="s">
        <v>1061</v>
      </c>
    </row>
    <row r="1119" spans="3:5">
      <c r="C1119">
        <v>8.5679999999999978</v>
      </c>
      <c r="D1119" s="17">
        <v>41805</v>
      </c>
      <c r="E1119" t="s">
        <v>1384</v>
      </c>
    </row>
    <row r="1120" spans="3:5">
      <c r="C1120">
        <v>8.5679999999999978</v>
      </c>
      <c r="D1120" s="17">
        <v>42071</v>
      </c>
      <c r="E1120" t="s">
        <v>1384</v>
      </c>
    </row>
    <row r="1121" spans="3:5">
      <c r="C1121">
        <v>8.57</v>
      </c>
      <c r="D1121" s="17">
        <v>42764</v>
      </c>
      <c r="E1121" t="s">
        <v>176</v>
      </c>
    </row>
    <row r="1122" spans="3:5">
      <c r="C1122">
        <v>8.5950000000000024</v>
      </c>
      <c r="D1122" s="17">
        <v>43003</v>
      </c>
      <c r="E1122" t="s">
        <v>1084</v>
      </c>
    </row>
    <row r="1123" spans="3:5">
      <c r="C1123">
        <v>8.6</v>
      </c>
      <c r="D1123" s="17">
        <v>42570</v>
      </c>
      <c r="E1123" t="s">
        <v>984</v>
      </c>
    </row>
    <row r="1124" spans="3:5">
      <c r="C1124">
        <v>8.6079999999999988</v>
      </c>
      <c r="D1124" s="17">
        <v>42615</v>
      </c>
      <c r="E1124" t="s">
        <v>1236</v>
      </c>
    </row>
    <row r="1125" spans="3:5">
      <c r="C1125">
        <v>8.6080000000000005</v>
      </c>
      <c r="D1125" s="17">
        <v>41890</v>
      </c>
      <c r="E1125" t="s">
        <v>615</v>
      </c>
    </row>
    <row r="1126" spans="3:5">
      <c r="C1126">
        <v>8.6199999999999992</v>
      </c>
      <c r="D1126" s="17">
        <v>43060</v>
      </c>
      <c r="E1126" t="s">
        <v>158</v>
      </c>
    </row>
    <row r="1127" spans="3:5">
      <c r="C1127">
        <v>8.6240000000000023</v>
      </c>
      <c r="D1127" s="17">
        <v>41989</v>
      </c>
      <c r="E1127" t="s">
        <v>1037</v>
      </c>
    </row>
    <row r="1128" spans="3:5">
      <c r="C1128">
        <v>8.64</v>
      </c>
      <c r="D1128" s="17">
        <v>41766</v>
      </c>
      <c r="E1128" t="s">
        <v>1532</v>
      </c>
    </row>
    <row r="1129" spans="3:5">
      <c r="C1129">
        <v>8.64</v>
      </c>
      <c r="D1129" s="17">
        <v>41877</v>
      </c>
      <c r="E1129" t="s">
        <v>1632</v>
      </c>
    </row>
    <row r="1130" spans="3:5">
      <c r="C1130">
        <v>8.64</v>
      </c>
      <c r="D1130" s="17">
        <v>41980</v>
      </c>
      <c r="E1130" t="s">
        <v>1764</v>
      </c>
    </row>
    <row r="1131" spans="3:5">
      <c r="C1131">
        <v>8.64</v>
      </c>
      <c r="D1131" s="17">
        <v>42239</v>
      </c>
      <c r="E1131" t="s">
        <v>387</v>
      </c>
    </row>
    <row r="1132" spans="3:5">
      <c r="C1132">
        <v>8.64</v>
      </c>
      <c r="D1132" s="17">
        <v>42258</v>
      </c>
      <c r="E1132" t="s">
        <v>387</v>
      </c>
    </row>
    <row r="1133" spans="3:5">
      <c r="C1133">
        <v>8.64</v>
      </c>
      <c r="D1133" s="17">
        <v>42535</v>
      </c>
      <c r="E1133" t="s">
        <v>799</v>
      </c>
    </row>
    <row r="1134" spans="3:5">
      <c r="C1134">
        <v>8.64</v>
      </c>
      <c r="D1134" s="17">
        <v>42608</v>
      </c>
      <c r="E1134" t="s">
        <v>1532</v>
      </c>
    </row>
    <row r="1135" spans="3:5">
      <c r="C1135">
        <v>8.64</v>
      </c>
      <c r="D1135" s="17">
        <v>42834</v>
      </c>
      <c r="E1135" t="s">
        <v>130</v>
      </c>
    </row>
    <row r="1136" spans="3:5">
      <c r="C1136">
        <v>8.64</v>
      </c>
      <c r="D1136" s="17">
        <v>42890</v>
      </c>
      <c r="E1136" t="s">
        <v>799</v>
      </c>
    </row>
    <row r="1137" spans="3:5">
      <c r="C1137">
        <v>8.64</v>
      </c>
      <c r="D1137" s="17">
        <v>43052</v>
      </c>
      <c r="E1137" t="s">
        <v>130</v>
      </c>
    </row>
    <row r="1138" spans="3:5">
      <c r="C1138">
        <v>8.64</v>
      </c>
      <c r="D1138" s="17">
        <v>43053</v>
      </c>
      <c r="E1138" t="s">
        <v>329</v>
      </c>
    </row>
    <row r="1139" spans="3:5">
      <c r="C1139">
        <v>8.64</v>
      </c>
      <c r="D1139" s="17">
        <v>43082</v>
      </c>
      <c r="E1139" t="s">
        <v>324</v>
      </c>
    </row>
    <row r="1140" spans="3:5">
      <c r="C1140">
        <v>8.6519999999999975</v>
      </c>
      <c r="D1140" s="17">
        <v>42122</v>
      </c>
      <c r="E1140" t="s">
        <v>1392</v>
      </c>
    </row>
    <row r="1141" spans="3:5">
      <c r="C1141">
        <v>8.67</v>
      </c>
      <c r="D1141" s="17">
        <v>42419</v>
      </c>
      <c r="E1141" t="s">
        <v>1784</v>
      </c>
    </row>
    <row r="1142" spans="3:5">
      <c r="C1142">
        <v>8.67</v>
      </c>
      <c r="D1142" s="17">
        <v>42502</v>
      </c>
      <c r="E1142" t="s">
        <v>484</v>
      </c>
    </row>
    <row r="1143" spans="3:5">
      <c r="C1143">
        <v>8.67</v>
      </c>
      <c r="D1143" s="17">
        <v>42927</v>
      </c>
      <c r="E1143" t="s">
        <v>952</v>
      </c>
    </row>
    <row r="1144" spans="3:5">
      <c r="C1144">
        <v>8.6819999999999968</v>
      </c>
      <c r="D1144" s="17">
        <v>41932</v>
      </c>
      <c r="E1144" t="s">
        <v>550</v>
      </c>
    </row>
    <row r="1145" spans="3:5">
      <c r="C1145">
        <v>8.6880000000000006</v>
      </c>
      <c r="D1145" s="17">
        <v>42075</v>
      </c>
      <c r="E1145" t="s">
        <v>1096</v>
      </c>
    </row>
    <row r="1146" spans="3:5">
      <c r="C1146">
        <v>8.6899999999999977</v>
      </c>
      <c r="D1146" s="17">
        <v>41999</v>
      </c>
      <c r="E1146" t="s">
        <v>421</v>
      </c>
    </row>
    <row r="1147" spans="3:5">
      <c r="C1147">
        <v>8.7000000000000011</v>
      </c>
      <c r="D1147" s="17">
        <v>42845</v>
      </c>
      <c r="E1147" t="s">
        <v>569</v>
      </c>
    </row>
    <row r="1148" spans="3:5">
      <c r="C1148">
        <v>8.7040000000000006</v>
      </c>
      <c r="D1148" s="17">
        <v>41840</v>
      </c>
      <c r="E1148" t="s">
        <v>1763</v>
      </c>
    </row>
    <row r="1149" spans="3:5">
      <c r="C1149">
        <v>8.711999999999998</v>
      </c>
      <c r="D1149" s="17">
        <v>42545</v>
      </c>
      <c r="E1149" t="s">
        <v>1015</v>
      </c>
    </row>
    <row r="1150" spans="3:5">
      <c r="C1150">
        <v>8.7200000000000006</v>
      </c>
      <c r="D1150" s="17">
        <v>41911</v>
      </c>
      <c r="E1150" t="s">
        <v>558</v>
      </c>
    </row>
    <row r="1151" spans="3:5">
      <c r="C1151">
        <v>8.7200000000000006</v>
      </c>
      <c r="D1151" s="17">
        <v>42322</v>
      </c>
      <c r="E1151" t="s">
        <v>1240</v>
      </c>
    </row>
    <row r="1152" spans="3:5">
      <c r="C1152">
        <v>8.7200000000000006</v>
      </c>
      <c r="D1152" s="17">
        <v>42323</v>
      </c>
      <c r="E1152" t="s">
        <v>292</v>
      </c>
    </row>
    <row r="1153" spans="3:5">
      <c r="C1153">
        <v>8.7200000000000006</v>
      </c>
      <c r="D1153" s="17">
        <v>42415</v>
      </c>
      <c r="E1153" t="s">
        <v>1240</v>
      </c>
    </row>
    <row r="1154" spans="3:5">
      <c r="C1154">
        <v>8.7200000000000006</v>
      </c>
      <c r="D1154" s="17">
        <v>42798</v>
      </c>
      <c r="E1154" t="s">
        <v>310</v>
      </c>
    </row>
    <row r="1155" spans="3:5">
      <c r="C1155">
        <v>8.7200000000000006</v>
      </c>
      <c r="D1155" s="17">
        <v>42970</v>
      </c>
      <c r="E1155" t="s">
        <v>1091</v>
      </c>
    </row>
    <row r="1156" spans="3:5">
      <c r="C1156">
        <v>8.73</v>
      </c>
      <c r="D1156" s="17">
        <v>42535</v>
      </c>
      <c r="E1156" t="s">
        <v>404</v>
      </c>
    </row>
    <row r="1157" spans="3:5">
      <c r="C1157">
        <v>8.73</v>
      </c>
      <c r="D1157" s="17">
        <v>43045</v>
      </c>
      <c r="E1157" t="s">
        <v>1290</v>
      </c>
    </row>
    <row r="1158" spans="3:5">
      <c r="C1158">
        <v>8.7360000000000007</v>
      </c>
      <c r="D1158" s="17">
        <v>42002</v>
      </c>
      <c r="E1158" t="s">
        <v>1807</v>
      </c>
    </row>
    <row r="1159" spans="3:5">
      <c r="C1159">
        <v>8.7360000000000024</v>
      </c>
      <c r="D1159" s="17">
        <v>42559</v>
      </c>
      <c r="E1159" t="s">
        <v>931</v>
      </c>
    </row>
    <row r="1160" spans="3:5">
      <c r="C1160">
        <v>8.74</v>
      </c>
      <c r="D1160" s="17">
        <v>42549</v>
      </c>
      <c r="E1160" t="s">
        <v>266</v>
      </c>
    </row>
    <row r="1161" spans="3:5">
      <c r="C1161">
        <v>8.74</v>
      </c>
      <c r="D1161" s="17">
        <v>42693</v>
      </c>
      <c r="E1161" t="s">
        <v>266</v>
      </c>
    </row>
    <row r="1162" spans="3:5">
      <c r="C1162">
        <v>8.75</v>
      </c>
      <c r="D1162" s="17">
        <v>42677</v>
      </c>
      <c r="E1162" t="s">
        <v>1654</v>
      </c>
    </row>
    <row r="1163" spans="3:5">
      <c r="C1163">
        <v>8.7520000000000007</v>
      </c>
      <c r="D1163" s="17">
        <v>43071</v>
      </c>
      <c r="E1163" t="s">
        <v>1479</v>
      </c>
    </row>
    <row r="1164" spans="3:5">
      <c r="C1164">
        <v>8.76</v>
      </c>
      <c r="D1164" s="17">
        <v>42839</v>
      </c>
      <c r="E1164" t="s">
        <v>537</v>
      </c>
    </row>
    <row r="1165" spans="3:5">
      <c r="C1165">
        <v>8.76</v>
      </c>
      <c r="D1165" s="17">
        <v>43066</v>
      </c>
      <c r="E1165" t="s">
        <v>529</v>
      </c>
    </row>
    <row r="1166" spans="3:5">
      <c r="C1166">
        <v>8.7799999999999994</v>
      </c>
      <c r="D1166" s="17">
        <v>42614</v>
      </c>
      <c r="E1166" t="s">
        <v>1707</v>
      </c>
    </row>
    <row r="1167" spans="3:5">
      <c r="C1167">
        <v>8.7839999999999989</v>
      </c>
      <c r="D1167" s="17">
        <v>42337</v>
      </c>
      <c r="E1167" t="s">
        <v>1400</v>
      </c>
    </row>
    <row r="1168" spans="3:5">
      <c r="C1168">
        <v>8.7840000000000007</v>
      </c>
      <c r="D1168" s="17">
        <v>42951</v>
      </c>
      <c r="E1168" t="s">
        <v>788</v>
      </c>
    </row>
    <row r="1169" spans="3:5">
      <c r="C1169">
        <v>8.7919999999999998</v>
      </c>
      <c r="D1169" s="17">
        <v>42936</v>
      </c>
      <c r="E1169" t="s">
        <v>982</v>
      </c>
    </row>
    <row r="1170" spans="3:5">
      <c r="C1170">
        <v>8.8000000000000007</v>
      </c>
      <c r="D1170" s="17">
        <v>42937</v>
      </c>
      <c r="E1170" t="s">
        <v>994</v>
      </c>
    </row>
    <row r="1171" spans="3:5">
      <c r="C1171">
        <v>8.8000000000000007</v>
      </c>
      <c r="D1171" s="17">
        <v>43041</v>
      </c>
      <c r="E1171" t="s">
        <v>998</v>
      </c>
    </row>
    <row r="1172" spans="3:5">
      <c r="C1172">
        <v>8.8000000000000007</v>
      </c>
      <c r="D1172" s="17">
        <v>43073</v>
      </c>
      <c r="E1172" t="s">
        <v>722</v>
      </c>
    </row>
    <row r="1173" spans="3:5">
      <c r="C1173">
        <v>8.8079999999999981</v>
      </c>
      <c r="D1173" s="17">
        <v>42616</v>
      </c>
      <c r="E1173" t="s">
        <v>375</v>
      </c>
    </row>
    <row r="1174" spans="3:5">
      <c r="C1174">
        <v>8.82</v>
      </c>
      <c r="D1174" s="17">
        <v>42127</v>
      </c>
      <c r="E1174" t="s">
        <v>1535</v>
      </c>
    </row>
    <row r="1175" spans="3:5">
      <c r="C1175">
        <v>8.82</v>
      </c>
      <c r="D1175" s="17">
        <v>42677</v>
      </c>
      <c r="E1175" t="s">
        <v>1452</v>
      </c>
    </row>
    <row r="1176" spans="3:5">
      <c r="C1176">
        <v>8.82</v>
      </c>
      <c r="D1176" s="17">
        <v>42727</v>
      </c>
      <c r="E1176" t="s">
        <v>1535</v>
      </c>
    </row>
    <row r="1177" spans="3:5">
      <c r="C1177">
        <v>8.82</v>
      </c>
      <c r="D1177" s="17">
        <v>42765</v>
      </c>
      <c r="E1177" t="s">
        <v>190</v>
      </c>
    </row>
    <row r="1178" spans="3:5">
      <c r="C1178">
        <v>8.82</v>
      </c>
      <c r="D1178" s="17">
        <v>42994</v>
      </c>
      <c r="E1178" t="s">
        <v>454</v>
      </c>
    </row>
    <row r="1179" spans="3:5">
      <c r="C1179">
        <v>8.82</v>
      </c>
      <c r="D1179" s="17">
        <v>42996</v>
      </c>
      <c r="E1179" t="s">
        <v>1220</v>
      </c>
    </row>
    <row r="1180" spans="3:5">
      <c r="C1180">
        <v>8.8320000000000007</v>
      </c>
      <c r="D1180" s="17">
        <v>42987</v>
      </c>
      <c r="E1180" t="s">
        <v>292</v>
      </c>
    </row>
    <row r="1181" spans="3:5">
      <c r="C1181">
        <v>8.84</v>
      </c>
      <c r="D1181" s="17">
        <v>42925</v>
      </c>
      <c r="E1181" t="s">
        <v>946</v>
      </c>
    </row>
    <row r="1182" spans="3:5">
      <c r="C1182">
        <v>8.8499999999999979</v>
      </c>
      <c r="D1182" s="17">
        <v>41691</v>
      </c>
      <c r="E1182" t="s">
        <v>961</v>
      </c>
    </row>
    <row r="1183" spans="3:5">
      <c r="C1183">
        <v>8.8559999999999981</v>
      </c>
      <c r="D1183" s="17">
        <v>42437</v>
      </c>
      <c r="E1183" t="s">
        <v>151</v>
      </c>
    </row>
    <row r="1184" spans="3:5">
      <c r="C1184">
        <v>8.8559999999999999</v>
      </c>
      <c r="D1184" s="17">
        <v>42126</v>
      </c>
      <c r="E1184" t="s">
        <v>674</v>
      </c>
    </row>
    <row r="1185" spans="3:5">
      <c r="C1185">
        <v>8.8559999999999999</v>
      </c>
      <c r="D1185" s="17">
        <v>42815</v>
      </c>
      <c r="E1185" t="s">
        <v>413</v>
      </c>
    </row>
    <row r="1186" spans="3:5">
      <c r="C1186">
        <v>8.8559999999999999</v>
      </c>
      <c r="D1186" s="17">
        <v>42898</v>
      </c>
      <c r="E1186" t="s">
        <v>416</v>
      </c>
    </row>
    <row r="1187" spans="3:5">
      <c r="C1187">
        <v>8.8559999999999999</v>
      </c>
      <c r="D1187" s="17">
        <v>43041</v>
      </c>
      <c r="E1187" t="s">
        <v>413</v>
      </c>
    </row>
    <row r="1188" spans="3:5">
      <c r="C1188">
        <v>8.8560000000000016</v>
      </c>
      <c r="D1188" s="17">
        <v>42618</v>
      </c>
      <c r="E1188" t="s">
        <v>151</v>
      </c>
    </row>
    <row r="1189" spans="3:5">
      <c r="C1189">
        <v>8.8719999999999999</v>
      </c>
      <c r="D1189" s="17">
        <v>42468</v>
      </c>
      <c r="E1189" t="s">
        <v>1179</v>
      </c>
    </row>
    <row r="1190" spans="3:5">
      <c r="C1190">
        <v>8.879999999999999</v>
      </c>
      <c r="D1190" s="17">
        <v>41846</v>
      </c>
      <c r="E1190" t="s">
        <v>450</v>
      </c>
    </row>
    <row r="1191" spans="3:5">
      <c r="C1191">
        <v>8.895999999999999</v>
      </c>
      <c r="D1191" s="17">
        <v>42850</v>
      </c>
      <c r="E1191" t="s">
        <v>489</v>
      </c>
    </row>
    <row r="1192" spans="3:5">
      <c r="C1192">
        <v>8.9039999999999999</v>
      </c>
      <c r="D1192" s="17">
        <v>42981</v>
      </c>
      <c r="E1192" t="s">
        <v>1133</v>
      </c>
    </row>
    <row r="1193" spans="3:5">
      <c r="C1193">
        <v>8.9039999999999999</v>
      </c>
      <c r="D1193" s="17">
        <v>43052</v>
      </c>
      <c r="E1193" t="s">
        <v>1133</v>
      </c>
    </row>
    <row r="1194" spans="3:5">
      <c r="C1194">
        <v>8.9040000000000017</v>
      </c>
      <c r="D1194" s="17">
        <v>42470</v>
      </c>
      <c r="E1194" t="s">
        <v>1767</v>
      </c>
    </row>
    <row r="1195" spans="3:5">
      <c r="C1195">
        <v>8.92</v>
      </c>
      <c r="D1195" s="17">
        <v>41923</v>
      </c>
      <c r="E1195" t="s">
        <v>1687</v>
      </c>
    </row>
    <row r="1196" spans="3:5">
      <c r="C1196">
        <v>8.92</v>
      </c>
      <c r="D1196" s="17">
        <v>42258</v>
      </c>
      <c r="E1196" t="s">
        <v>1687</v>
      </c>
    </row>
    <row r="1197" spans="3:5">
      <c r="C1197">
        <v>8.9280000000000008</v>
      </c>
      <c r="D1197" s="17">
        <v>42632</v>
      </c>
      <c r="E1197" t="s">
        <v>1685</v>
      </c>
    </row>
    <row r="1198" spans="3:5">
      <c r="C1198">
        <v>8.9280000000000008</v>
      </c>
      <c r="D1198" s="17">
        <v>42639</v>
      </c>
      <c r="E1198" t="s">
        <v>79</v>
      </c>
    </row>
    <row r="1199" spans="3:5">
      <c r="C1199">
        <v>8.9280000000000008</v>
      </c>
      <c r="D1199" s="17">
        <v>42873</v>
      </c>
      <c r="E1199" t="s">
        <v>707</v>
      </c>
    </row>
    <row r="1200" spans="3:5">
      <c r="C1200">
        <v>8.9280000000000008</v>
      </c>
      <c r="D1200" s="17">
        <v>42908</v>
      </c>
      <c r="E1200" t="s">
        <v>707</v>
      </c>
    </row>
    <row r="1201" spans="3:5">
      <c r="C1201">
        <v>8.9280000000000008</v>
      </c>
      <c r="D1201" s="17">
        <v>42996</v>
      </c>
      <c r="E1201" t="s">
        <v>723</v>
      </c>
    </row>
    <row r="1202" spans="3:5">
      <c r="C1202">
        <v>8.94</v>
      </c>
      <c r="D1202" s="17">
        <v>41985</v>
      </c>
      <c r="E1202" t="s">
        <v>1334</v>
      </c>
    </row>
    <row r="1203" spans="3:5">
      <c r="C1203">
        <v>8.94</v>
      </c>
      <c r="D1203" s="17">
        <v>42813</v>
      </c>
      <c r="E1203" t="s">
        <v>403</v>
      </c>
    </row>
    <row r="1204" spans="3:5">
      <c r="C1204">
        <v>8.94</v>
      </c>
      <c r="D1204" s="17">
        <v>43010</v>
      </c>
      <c r="E1204" t="s">
        <v>74</v>
      </c>
    </row>
    <row r="1205" spans="3:5">
      <c r="C1205">
        <v>8.9519999999999982</v>
      </c>
      <c r="D1205" s="17">
        <v>41676</v>
      </c>
      <c r="E1205" t="s">
        <v>141</v>
      </c>
    </row>
    <row r="1206" spans="3:5">
      <c r="C1206">
        <v>8.9520000000000017</v>
      </c>
      <c r="D1206" s="17">
        <v>42618</v>
      </c>
      <c r="E1206" t="s">
        <v>749</v>
      </c>
    </row>
    <row r="1207" spans="3:5">
      <c r="C1207">
        <v>8.9600000000000009</v>
      </c>
      <c r="D1207" s="17">
        <v>41736</v>
      </c>
      <c r="E1207" t="s">
        <v>877</v>
      </c>
    </row>
    <row r="1208" spans="3:5">
      <c r="C1208">
        <v>8.9600000000000009</v>
      </c>
      <c r="D1208" s="17">
        <v>42344</v>
      </c>
      <c r="E1208" t="s">
        <v>967</v>
      </c>
    </row>
    <row r="1209" spans="3:5">
      <c r="C1209">
        <v>8.9600000000000009</v>
      </c>
      <c r="D1209" s="17">
        <v>42931</v>
      </c>
      <c r="E1209" t="s">
        <v>967</v>
      </c>
    </row>
    <row r="1210" spans="3:5">
      <c r="C1210">
        <v>8.9600000000000009</v>
      </c>
      <c r="D1210" s="17">
        <v>43027</v>
      </c>
      <c r="E1210" t="s">
        <v>1328</v>
      </c>
    </row>
    <row r="1211" spans="3:5">
      <c r="C1211">
        <v>8.9640000000000022</v>
      </c>
      <c r="D1211" s="17">
        <v>42842</v>
      </c>
      <c r="E1211" t="s">
        <v>554</v>
      </c>
    </row>
    <row r="1212" spans="3:5">
      <c r="C1212">
        <v>9</v>
      </c>
      <c r="D1212" s="17">
        <v>42163</v>
      </c>
      <c r="E1212" t="s">
        <v>1359</v>
      </c>
    </row>
    <row r="1213" spans="3:5">
      <c r="C1213">
        <v>9.006000000000002</v>
      </c>
      <c r="D1213" s="17">
        <v>41811</v>
      </c>
      <c r="E1213" t="s">
        <v>1052</v>
      </c>
    </row>
    <row r="1214" spans="3:5">
      <c r="C1214">
        <v>9.02</v>
      </c>
      <c r="D1214" s="17">
        <v>43060</v>
      </c>
      <c r="E1214" t="s">
        <v>1450</v>
      </c>
    </row>
    <row r="1215" spans="3:5">
      <c r="C1215">
        <v>9.0240000000000009</v>
      </c>
      <c r="D1215" s="17">
        <v>43071</v>
      </c>
      <c r="E1215" t="s">
        <v>1480</v>
      </c>
    </row>
    <row r="1216" spans="3:5">
      <c r="C1216">
        <v>9.08</v>
      </c>
      <c r="D1216" s="17">
        <v>42694</v>
      </c>
      <c r="E1216" t="s">
        <v>891</v>
      </c>
    </row>
    <row r="1217" spans="3:5">
      <c r="C1217">
        <v>9.0879999999999992</v>
      </c>
      <c r="D1217" s="17">
        <v>42098</v>
      </c>
      <c r="E1217" t="s">
        <v>1719</v>
      </c>
    </row>
    <row r="1218" spans="3:5">
      <c r="C1218">
        <v>9.09</v>
      </c>
      <c r="D1218" s="17">
        <v>41918</v>
      </c>
      <c r="E1218" t="s">
        <v>99</v>
      </c>
    </row>
    <row r="1219" spans="3:5">
      <c r="C1219">
        <v>9.0960000000000001</v>
      </c>
      <c r="D1219" s="17">
        <v>42986</v>
      </c>
      <c r="E1219" t="s">
        <v>1158</v>
      </c>
    </row>
    <row r="1220" spans="3:5">
      <c r="C1220">
        <v>9.11</v>
      </c>
      <c r="D1220" s="17">
        <v>42859</v>
      </c>
      <c r="E1220" t="s">
        <v>632</v>
      </c>
    </row>
    <row r="1221" spans="3:5">
      <c r="C1221">
        <v>9.120000000000001</v>
      </c>
      <c r="D1221" s="17">
        <v>42738</v>
      </c>
      <c r="E1221" t="s">
        <v>67</v>
      </c>
    </row>
    <row r="1222" spans="3:5">
      <c r="C1222">
        <v>9.14</v>
      </c>
      <c r="D1222" s="17">
        <v>42110</v>
      </c>
      <c r="E1222" t="s">
        <v>183</v>
      </c>
    </row>
    <row r="1223" spans="3:5">
      <c r="C1223">
        <v>9.1440000000000001</v>
      </c>
      <c r="D1223" s="17">
        <v>42211</v>
      </c>
      <c r="E1223" t="s">
        <v>378</v>
      </c>
    </row>
    <row r="1224" spans="3:5">
      <c r="C1224">
        <v>9.1440000000000001</v>
      </c>
      <c r="D1224" s="17">
        <v>42565</v>
      </c>
      <c r="E1224" t="s">
        <v>1706</v>
      </c>
    </row>
    <row r="1225" spans="3:5">
      <c r="C1225">
        <v>9.1440000000000001</v>
      </c>
      <c r="D1225" s="17">
        <v>42811</v>
      </c>
      <c r="E1225" t="s">
        <v>378</v>
      </c>
    </row>
    <row r="1226" spans="3:5">
      <c r="C1226">
        <v>9.155999999999997</v>
      </c>
      <c r="D1226" s="17">
        <v>42096</v>
      </c>
      <c r="E1226" t="s">
        <v>1188</v>
      </c>
    </row>
    <row r="1227" spans="3:5">
      <c r="C1227">
        <v>9.1560000000000006</v>
      </c>
      <c r="D1227" s="17">
        <v>42173</v>
      </c>
      <c r="E1227" t="s">
        <v>1188</v>
      </c>
    </row>
    <row r="1228" spans="3:5">
      <c r="C1228">
        <v>9.1840000000000011</v>
      </c>
      <c r="D1228" s="17">
        <v>41870</v>
      </c>
      <c r="E1228" t="s">
        <v>981</v>
      </c>
    </row>
    <row r="1229" spans="3:5">
      <c r="C1229">
        <v>9.1840000000000011</v>
      </c>
      <c r="D1229" s="17">
        <v>42934</v>
      </c>
      <c r="E1229" t="s">
        <v>981</v>
      </c>
    </row>
    <row r="1230" spans="3:5">
      <c r="C1230">
        <v>9.1840000000000011</v>
      </c>
      <c r="D1230" s="17">
        <v>42958</v>
      </c>
      <c r="E1230" t="s">
        <v>1047</v>
      </c>
    </row>
    <row r="1231" spans="3:5">
      <c r="C1231">
        <v>9.2099999999999991</v>
      </c>
      <c r="D1231" s="17">
        <v>42394</v>
      </c>
      <c r="E1231" t="s">
        <v>1413</v>
      </c>
    </row>
    <row r="1232" spans="3:5">
      <c r="C1232">
        <v>9.2099999999999991</v>
      </c>
      <c r="D1232" s="17">
        <v>43051</v>
      </c>
      <c r="E1232" t="s">
        <v>1413</v>
      </c>
    </row>
    <row r="1233" spans="3:5">
      <c r="C1233">
        <v>9.2159999999999993</v>
      </c>
      <c r="D1233" s="17">
        <v>42363</v>
      </c>
      <c r="E1233" t="s">
        <v>387</v>
      </c>
    </row>
    <row r="1234" spans="3:5">
      <c r="C1234">
        <v>9.2159999999999993</v>
      </c>
      <c r="D1234" s="17">
        <v>42603</v>
      </c>
      <c r="E1234" t="s">
        <v>324</v>
      </c>
    </row>
    <row r="1235" spans="3:5">
      <c r="C1235">
        <v>9.2159999999999993</v>
      </c>
      <c r="D1235" s="17">
        <v>42609</v>
      </c>
      <c r="E1235" t="s">
        <v>1709</v>
      </c>
    </row>
    <row r="1236" spans="3:5">
      <c r="C1236">
        <v>9.2159999999999993</v>
      </c>
      <c r="D1236" s="17">
        <v>42684</v>
      </c>
      <c r="E1236" t="s">
        <v>130</v>
      </c>
    </row>
    <row r="1237" spans="3:5">
      <c r="C1237">
        <v>9.24</v>
      </c>
      <c r="D1237" s="17">
        <v>41843</v>
      </c>
      <c r="E1237" t="s">
        <v>1119</v>
      </c>
    </row>
    <row r="1238" spans="3:5">
      <c r="C1238">
        <v>9.24</v>
      </c>
      <c r="D1238" s="17">
        <v>41985</v>
      </c>
      <c r="E1238" t="s">
        <v>1037</v>
      </c>
    </row>
    <row r="1239" spans="3:5">
      <c r="C1239">
        <v>9.24</v>
      </c>
      <c r="D1239" s="17">
        <v>42053</v>
      </c>
      <c r="E1239" t="s">
        <v>676</v>
      </c>
    </row>
    <row r="1240" spans="3:5">
      <c r="C1240">
        <v>9.24</v>
      </c>
      <c r="D1240" s="17">
        <v>43004</v>
      </c>
      <c r="E1240" t="s">
        <v>463</v>
      </c>
    </row>
    <row r="1241" spans="3:5">
      <c r="C1241">
        <v>9.24</v>
      </c>
      <c r="D1241" s="17">
        <v>43006</v>
      </c>
      <c r="E1241" t="s">
        <v>1037</v>
      </c>
    </row>
    <row r="1242" spans="3:5">
      <c r="C1242">
        <v>9.2480000000000011</v>
      </c>
      <c r="D1242" s="17">
        <v>42581</v>
      </c>
      <c r="E1242" t="s">
        <v>477</v>
      </c>
    </row>
    <row r="1243" spans="3:5">
      <c r="C1243">
        <v>9.2480000000000011</v>
      </c>
      <c r="D1243" s="17">
        <v>42618</v>
      </c>
      <c r="E1243" t="s">
        <v>408</v>
      </c>
    </row>
    <row r="1244" spans="3:5">
      <c r="C1244">
        <v>9.2480000000000011</v>
      </c>
      <c r="D1244" s="17">
        <v>42677</v>
      </c>
      <c r="E1244" t="s">
        <v>1408</v>
      </c>
    </row>
    <row r="1245" spans="3:5">
      <c r="C1245">
        <v>9.2480000000000011</v>
      </c>
      <c r="D1245" s="17">
        <v>42930</v>
      </c>
      <c r="E1245" t="s">
        <v>959</v>
      </c>
    </row>
    <row r="1246" spans="3:5">
      <c r="C1246">
        <v>9.2480000000000011</v>
      </c>
      <c r="D1246" s="17">
        <v>43001</v>
      </c>
      <c r="E1246" t="s">
        <v>1255</v>
      </c>
    </row>
    <row r="1247" spans="3:5">
      <c r="C1247">
        <v>9.26</v>
      </c>
      <c r="D1247" s="17">
        <v>42159</v>
      </c>
      <c r="E1247" t="s">
        <v>1363</v>
      </c>
    </row>
    <row r="1248" spans="3:5">
      <c r="C1248">
        <v>9.26</v>
      </c>
      <c r="D1248" s="17">
        <v>42259</v>
      </c>
      <c r="E1248" t="s">
        <v>1363</v>
      </c>
    </row>
    <row r="1249" spans="3:5">
      <c r="C1249">
        <v>9.2639999999999976</v>
      </c>
      <c r="D1249" s="17">
        <v>41987</v>
      </c>
      <c r="E1249" t="s">
        <v>297</v>
      </c>
    </row>
    <row r="1250" spans="3:5">
      <c r="C1250">
        <v>9.2639999999999976</v>
      </c>
      <c r="D1250" s="17">
        <v>42581</v>
      </c>
      <c r="E1250" t="s">
        <v>297</v>
      </c>
    </row>
    <row r="1251" spans="3:5">
      <c r="C1251">
        <v>9.2799999999999994</v>
      </c>
      <c r="D1251" s="17">
        <v>42479</v>
      </c>
      <c r="E1251" t="s">
        <v>569</v>
      </c>
    </row>
    <row r="1252" spans="3:5">
      <c r="C1252">
        <v>9.2959999999999994</v>
      </c>
      <c r="D1252" s="17">
        <v>42677</v>
      </c>
      <c r="E1252" t="s">
        <v>206</v>
      </c>
    </row>
    <row r="1253" spans="3:5">
      <c r="C1253">
        <v>9.2959999999999994</v>
      </c>
      <c r="D1253" s="17">
        <v>43074</v>
      </c>
      <c r="E1253" t="s">
        <v>206</v>
      </c>
    </row>
    <row r="1254" spans="3:5">
      <c r="C1254">
        <v>9.32</v>
      </c>
      <c r="D1254" s="17">
        <v>41719</v>
      </c>
      <c r="E1254" t="s">
        <v>306</v>
      </c>
    </row>
    <row r="1255" spans="3:5">
      <c r="C1255">
        <v>9.32</v>
      </c>
      <c r="D1255" s="17">
        <v>42798</v>
      </c>
      <c r="E1255" t="s">
        <v>306</v>
      </c>
    </row>
    <row r="1256" spans="3:5">
      <c r="C1256">
        <v>9.3239999999999981</v>
      </c>
      <c r="D1256" s="17">
        <v>43052</v>
      </c>
      <c r="E1256" t="s">
        <v>672</v>
      </c>
    </row>
    <row r="1257" spans="3:5">
      <c r="C1257">
        <v>9.3280000000000012</v>
      </c>
      <c r="D1257" s="17">
        <v>41815</v>
      </c>
      <c r="E1257" t="s">
        <v>1591</v>
      </c>
    </row>
    <row r="1258" spans="3:5">
      <c r="C1258">
        <v>9.3280000000000012</v>
      </c>
      <c r="D1258" s="17">
        <v>42713</v>
      </c>
      <c r="E1258" t="s">
        <v>1591</v>
      </c>
    </row>
    <row r="1259" spans="3:5">
      <c r="C1259">
        <v>9.3360000000000003</v>
      </c>
      <c r="D1259" s="17">
        <v>42479</v>
      </c>
      <c r="E1259" t="s">
        <v>774</v>
      </c>
    </row>
    <row r="1260" spans="3:5">
      <c r="C1260">
        <v>9.3439999999999994</v>
      </c>
      <c r="D1260" s="17">
        <v>41648</v>
      </c>
      <c r="E1260" t="s">
        <v>167</v>
      </c>
    </row>
    <row r="1261" spans="3:5">
      <c r="C1261">
        <v>9.3439999999999994</v>
      </c>
      <c r="D1261" s="17">
        <v>42341</v>
      </c>
      <c r="E1261" t="s">
        <v>167</v>
      </c>
    </row>
    <row r="1262" spans="3:5">
      <c r="C1262">
        <v>9.3439999999999994</v>
      </c>
      <c r="D1262" s="17">
        <v>42499</v>
      </c>
      <c r="E1262" t="s">
        <v>79</v>
      </c>
    </row>
    <row r="1263" spans="3:5">
      <c r="C1263">
        <v>9.3439999999999994</v>
      </c>
      <c r="D1263" s="17">
        <v>42765</v>
      </c>
      <c r="E1263" t="s">
        <v>196</v>
      </c>
    </row>
    <row r="1264" spans="3:5">
      <c r="C1264">
        <v>9.3439999999999994</v>
      </c>
      <c r="D1264" s="17">
        <v>43014</v>
      </c>
      <c r="E1264" t="s">
        <v>1304</v>
      </c>
    </row>
    <row r="1265" spans="3:5">
      <c r="C1265">
        <v>9.3450000000000024</v>
      </c>
      <c r="D1265" s="17">
        <v>41860</v>
      </c>
      <c r="E1265" t="s">
        <v>315</v>
      </c>
    </row>
    <row r="1266" spans="3:5">
      <c r="C1266">
        <v>9.3599999999999977</v>
      </c>
      <c r="D1266" s="17">
        <v>42903</v>
      </c>
      <c r="E1266" t="s">
        <v>478</v>
      </c>
    </row>
    <row r="1267" spans="3:5">
      <c r="C1267">
        <v>9.3920000000000012</v>
      </c>
      <c r="D1267" s="17">
        <v>42187</v>
      </c>
      <c r="E1267" t="s">
        <v>631</v>
      </c>
    </row>
    <row r="1268" spans="3:5">
      <c r="C1268">
        <v>9.3920000000000012</v>
      </c>
      <c r="D1268" s="17">
        <v>42713</v>
      </c>
      <c r="E1268" t="s">
        <v>631</v>
      </c>
    </row>
    <row r="1269" spans="3:5">
      <c r="C1269">
        <v>9.3960000000000008</v>
      </c>
      <c r="D1269" s="17">
        <v>42859</v>
      </c>
      <c r="E1269" t="s">
        <v>58</v>
      </c>
    </row>
    <row r="1270" spans="3:5">
      <c r="C1270">
        <v>9.3999999999999986</v>
      </c>
      <c r="D1270" s="17">
        <v>42980</v>
      </c>
      <c r="E1270" t="s">
        <v>693</v>
      </c>
    </row>
    <row r="1271" spans="3:5">
      <c r="C1271">
        <v>9.4079999999999995</v>
      </c>
      <c r="D1271" s="17">
        <v>41914</v>
      </c>
      <c r="E1271" t="s">
        <v>248</v>
      </c>
    </row>
    <row r="1272" spans="3:5">
      <c r="C1272">
        <v>9.4080000000000013</v>
      </c>
      <c r="D1272" s="17">
        <v>42976</v>
      </c>
      <c r="E1272" t="s">
        <v>334</v>
      </c>
    </row>
    <row r="1273" spans="3:5">
      <c r="C1273">
        <v>9.42</v>
      </c>
      <c r="D1273" s="17">
        <v>41764</v>
      </c>
      <c r="E1273" t="s">
        <v>622</v>
      </c>
    </row>
    <row r="1274" spans="3:5">
      <c r="C1274">
        <v>9.42</v>
      </c>
      <c r="D1274" s="17">
        <v>42210</v>
      </c>
      <c r="E1274" t="s">
        <v>770</v>
      </c>
    </row>
    <row r="1275" spans="3:5">
      <c r="C1275">
        <v>9.4200000000000017</v>
      </c>
      <c r="D1275" s="17">
        <v>42558</v>
      </c>
      <c r="E1275" t="s">
        <v>1361</v>
      </c>
    </row>
    <row r="1276" spans="3:5">
      <c r="C1276">
        <v>9.4320000000000004</v>
      </c>
      <c r="D1276" s="17">
        <v>42786</v>
      </c>
      <c r="E1276" t="s">
        <v>74</v>
      </c>
    </row>
    <row r="1277" spans="3:5">
      <c r="C1277">
        <v>9.4499999999999993</v>
      </c>
      <c r="D1277" s="17">
        <v>41768</v>
      </c>
      <c r="E1277" t="s">
        <v>1121</v>
      </c>
    </row>
    <row r="1278" spans="3:5">
      <c r="C1278">
        <v>9.4499999999999993</v>
      </c>
      <c r="D1278" s="17">
        <v>42405</v>
      </c>
      <c r="E1278" t="s">
        <v>157</v>
      </c>
    </row>
    <row r="1279" spans="3:5">
      <c r="C1279">
        <v>9.4499999999999993</v>
      </c>
      <c r="D1279" s="17">
        <v>42537</v>
      </c>
      <c r="E1279" t="s">
        <v>1121</v>
      </c>
    </row>
    <row r="1280" spans="3:5">
      <c r="C1280">
        <v>9.4499999999999993</v>
      </c>
      <c r="D1280" s="17">
        <v>43074</v>
      </c>
      <c r="E1280" t="s">
        <v>1262</v>
      </c>
    </row>
    <row r="1281" spans="3:5">
      <c r="C1281">
        <v>9.4600000000000009</v>
      </c>
      <c r="D1281" s="17">
        <v>43022</v>
      </c>
      <c r="E1281" t="s">
        <v>715</v>
      </c>
    </row>
    <row r="1282" spans="3:5">
      <c r="C1282">
        <v>9.48</v>
      </c>
      <c r="D1282" s="17">
        <v>42124</v>
      </c>
      <c r="E1282" t="s">
        <v>584</v>
      </c>
    </row>
    <row r="1283" spans="3:5">
      <c r="C1283">
        <v>9.48</v>
      </c>
      <c r="D1283" s="17">
        <v>42579</v>
      </c>
      <c r="E1283" t="s">
        <v>1297</v>
      </c>
    </row>
    <row r="1284" spans="3:5">
      <c r="C1284">
        <v>9.5220000000000002</v>
      </c>
      <c r="D1284" s="17">
        <v>42254</v>
      </c>
      <c r="E1284" t="s">
        <v>1561</v>
      </c>
    </row>
    <row r="1285" spans="3:5">
      <c r="C1285">
        <v>9.5399999999999991</v>
      </c>
      <c r="D1285" s="17">
        <v>42043</v>
      </c>
      <c r="E1285" t="s">
        <v>481</v>
      </c>
    </row>
    <row r="1286" spans="3:5">
      <c r="C1286">
        <v>9.5400000000000009</v>
      </c>
      <c r="D1286" s="17">
        <v>42890</v>
      </c>
      <c r="E1286" t="s">
        <v>801</v>
      </c>
    </row>
    <row r="1287" spans="3:5">
      <c r="C1287">
        <v>9.5519999999999996</v>
      </c>
      <c r="D1287" s="17">
        <v>42567</v>
      </c>
      <c r="E1287" t="s">
        <v>491</v>
      </c>
    </row>
    <row r="1288" spans="3:5">
      <c r="C1288">
        <v>9.5519999999999996</v>
      </c>
      <c r="D1288" s="17">
        <v>42600</v>
      </c>
      <c r="E1288" t="s">
        <v>491</v>
      </c>
    </row>
    <row r="1289" spans="3:5">
      <c r="C1289">
        <v>9.5519999999999996</v>
      </c>
      <c r="D1289" s="17">
        <v>42919</v>
      </c>
      <c r="E1289" t="s">
        <v>883</v>
      </c>
    </row>
    <row r="1290" spans="3:5">
      <c r="C1290">
        <v>9.5520000000000014</v>
      </c>
      <c r="D1290" s="17">
        <v>42860</v>
      </c>
      <c r="E1290" t="s">
        <v>638</v>
      </c>
    </row>
    <row r="1291" spans="3:5">
      <c r="C1291">
        <v>9.5550000000000015</v>
      </c>
      <c r="D1291" s="17">
        <v>42618</v>
      </c>
      <c r="E1291" t="s">
        <v>414</v>
      </c>
    </row>
    <row r="1292" spans="3:5">
      <c r="C1292">
        <v>9.5680000000000014</v>
      </c>
      <c r="D1292" s="17">
        <v>41997</v>
      </c>
      <c r="E1292" t="s">
        <v>1839</v>
      </c>
    </row>
    <row r="1293" spans="3:5">
      <c r="C1293">
        <v>9.5680000000000014</v>
      </c>
      <c r="D1293" s="17">
        <v>42170</v>
      </c>
      <c r="E1293" t="s">
        <v>1266</v>
      </c>
    </row>
    <row r="1294" spans="3:5">
      <c r="C1294">
        <v>9.5680000000000014</v>
      </c>
      <c r="D1294" s="17">
        <v>42624</v>
      </c>
      <c r="E1294" t="s">
        <v>147</v>
      </c>
    </row>
    <row r="1295" spans="3:5">
      <c r="C1295">
        <v>9.5840000000000014</v>
      </c>
      <c r="D1295" s="17">
        <v>41740</v>
      </c>
      <c r="E1295" t="s">
        <v>1071</v>
      </c>
    </row>
    <row r="1296" spans="3:5">
      <c r="C1296">
        <v>9.5840000000000014</v>
      </c>
      <c r="D1296" s="17">
        <v>42509</v>
      </c>
      <c r="E1296" t="s">
        <v>1071</v>
      </c>
    </row>
    <row r="1297" spans="3:5">
      <c r="C1297">
        <v>9.5879999999999992</v>
      </c>
      <c r="D1297" s="17">
        <v>41961</v>
      </c>
      <c r="E1297" t="s">
        <v>1866</v>
      </c>
    </row>
    <row r="1298" spans="3:5">
      <c r="C1298">
        <v>9.6120000000000001</v>
      </c>
      <c r="D1298" s="17">
        <v>42328</v>
      </c>
      <c r="E1298" t="s">
        <v>1818</v>
      </c>
    </row>
    <row r="1299" spans="3:5">
      <c r="C1299">
        <v>9.6180000000000021</v>
      </c>
      <c r="D1299" s="17">
        <v>42264</v>
      </c>
      <c r="E1299" t="s">
        <v>59</v>
      </c>
    </row>
    <row r="1300" spans="3:5">
      <c r="C1300">
        <v>9.64</v>
      </c>
      <c r="D1300" s="17">
        <v>41681</v>
      </c>
      <c r="E1300" t="s">
        <v>68</v>
      </c>
    </row>
    <row r="1301" spans="3:5">
      <c r="C1301">
        <v>9.64</v>
      </c>
      <c r="D1301" s="17">
        <v>41892</v>
      </c>
      <c r="E1301" t="s">
        <v>1548</v>
      </c>
    </row>
    <row r="1302" spans="3:5">
      <c r="C1302">
        <v>9.64</v>
      </c>
      <c r="D1302" s="17">
        <v>42516</v>
      </c>
      <c r="E1302" t="s">
        <v>68</v>
      </c>
    </row>
    <row r="1303" spans="3:5">
      <c r="C1303">
        <v>9.64</v>
      </c>
      <c r="D1303" s="17">
        <v>43038</v>
      </c>
      <c r="E1303" t="s">
        <v>1356</v>
      </c>
    </row>
    <row r="1304" spans="3:5">
      <c r="C1304">
        <v>9.64</v>
      </c>
      <c r="D1304" s="17">
        <v>43048</v>
      </c>
      <c r="E1304" t="s">
        <v>68</v>
      </c>
    </row>
    <row r="1305" spans="3:5">
      <c r="C1305">
        <v>9.6479999999999961</v>
      </c>
      <c r="D1305" s="17">
        <v>42100</v>
      </c>
      <c r="E1305" t="s">
        <v>761</v>
      </c>
    </row>
    <row r="1306" spans="3:5">
      <c r="C1306">
        <v>9.6479999999999997</v>
      </c>
      <c r="D1306" s="17">
        <v>42528</v>
      </c>
      <c r="E1306" t="s">
        <v>1533</v>
      </c>
    </row>
    <row r="1307" spans="3:5">
      <c r="C1307">
        <v>9.6560000000000006</v>
      </c>
      <c r="D1307" s="17">
        <v>43010</v>
      </c>
      <c r="E1307" t="s">
        <v>585</v>
      </c>
    </row>
    <row r="1308" spans="3:5">
      <c r="C1308">
        <v>9.6640000000000015</v>
      </c>
      <c r="D1308" s="17">
        <v>42478</v>
      </c>
      <c r="E1308" t="s">
        <v>1377</v>
      </c>
    </row>
    <row r="1309" spans="3:5">
      <c r="C1309">
        <v>9.6640000000000015</v>
      </c>
      <c r="D1309" s="17">
        <v>43043</v>
      </c>
      <c r="E1309" t="s">
        <v>1377</v>
      </c>
    </row>
    <row r="1310" spans="3:5">
      <c r="C1310">
        <v>9.68</v>
      </c>
      <c r="D1310" s="17">
        <v>42362</v>
      </c>
      <c r="E1310" t="s">
        <v>1606</v>
      </c>
    </row>
    <row r="1311" spans="3:5">
      <c r="C1311">
        <v>9.68</v>
      </c>
      <c r="D1311" s="17">
        <v>43077</v>
      </c>
      <c r="E1311" t="s">
        <v>1507</v>
      </c>
    </row>
    <row r="1312" spans="3:5">
      <c r="C1312">
        <v>9.7020000000000017</v>
      </c>
      <c r="D1312" s="17">
        <v>42437</v>
      </c>
      <c r="E1312" t="s">
        <v>783</v>
      </c>
    </row>
    <row r="1313" spans="3:5">
      <c r="C1313">
        <v>9.7080000000000002</v>
      </c>
      <c r="D1313" s="17">
        <v>43078</v>
      </c>
      <c r="E1313" t="s">
        <v>1181</v>
      </c>
    </row>
    <row r="1314" spans="3:5">
      <c r="C1314">
        <v>9.7280000000000015</v>
      </c>
      <c r="D1314" s="17">
        <v>42308</v>
      </c>
      <c r="E1314" t="s">
        <v>1404</v>
      </c>
    </row>
    <row r="1315" spans="3:5">
      <c r="C1315">
        <v>9.7280000000000015</v>
      </c>
      <c r="D1315" s="17">
        <v>42670</v>
      </c>
      <c r="E1315" t="s">
        <v>1404</v>
      </c>
    </row>
    <row r="1316" spans="3:5">
      <c r="C1316">
        <v>9.7280000000000015</v>
      </c>
      <c r="D1316" s="17">
        <v>42972</v>
      </c>
      <c r="E1316" t="s">
        <v>535</v>
      </c>
    </row>
    <row r="1317" spans="3:5">
      <c r="C1317">
        <v>9.7619999999999969</v>
      </c>
      <c r="D1317" s="17">
        <v>43031</v>
      </c>
      <c r="E1317" t="s">
        <v>667</v>
      </c>
    </row>
    <row r="1318" spans="3:5">
      <c r="C1318">
        <v>9.7620000000000005</v>
      </c>
      <c r="D1318" s="17">
        <v>42251</v>
      </c>
      <c r="E1318" t="s">
        <v>667</v>
      </c>
    </row>
    <row r="1319" spans="3:5">
      <c r="C1319">
        <v>9.7799999999999994</v>
      </c>
      <c r="D1319" s="17">
        <v>42747</v>
      </c>
      <c r="E1319" t="s">
        <v>79</v>
      </c>
    </row>
    <row r="1320" spans="3:5">
      <c r="C1320">
        <v>9.7799999999999994</v>
      </c>
      <c r="D1320" s="17">
        <v>42855</v>
      </c>
      <c r="E1320" t="s">
        <v>541</v>
      </c>
    </row>
    <row r="1321" spans="3:5">
      <c r="C1321">
        <v>9.8100000000000023</v>
      </c>
      <c r="D1321" s="17">
        <v>41825</v>
      </c>
      <c r="E1321" t="s">
        <v>730</v>
      </c>
    </row>
    <row r="1322" spans="3:5">
      <c r="C1322">
        <v>9.82</v>
      </c>
      <c r="D1322" s="17">
        <v>41974</v>
      </c>
      <c r="E1322" t="s">
        <v>1223</v>
      </c>
    </row>
    <row r="1323" spans="3:5">
      <c r="C1323">
        <v>9.82</v>
      </c>
      <c r="D1323" s="17">
        <v>42017</v>
      </c>
      <c r="E1323" t="s">
        <v>874</v>
      </c>
    </row>
    <row r="1324" spans="3:5">
      <c r="C1324">
        <v>9.82</v>
      </c>
      <c r="D1324" s="17">
        <v>42586</v>
      </c>
      <c r="E1324" t="s">
        <v>599</v>
      </c>
    </row>
    <row r="1325" spans="3:5">
      <c r="C1325">
        <v>9.82</v>
      </c>
      <c r="D1325" s="17">
        <v>42784</v>
      </c>
      <c r="E1325" t="s">
        <v>258</v>
      </c>
    </row>
    <row r="1326" spans="3:5">
      <c r="C1326">
        <v>9.82</v>
      </c>
      <c r="D1326" s="17">
        <v>42834</v>
      </c>
      <c r="E1326" t="s">
        <v>509</v>
      </c>
    </row>
    <row r="1327" spans="3:5">
      <c r="C1327">
        <v>9.82</v>
      </c>
      <c r="D1327" s="17">
        <v>42906</v>
      </c>
      <c r="E1327" t="s">
        <v>874</v>
      </c>
    </row>
    <row r="1328" spans="3:5">
      <c r="C1328">
        <v>9.82</v>
      </c>
      <c r="D1328" s="17">
        <v>42996</v>
      </c>
      <c r="E1328" t="s">
        <v>1223</v>
      </c>
    </row>
    <row r="1329" spans="3:5">
      <c r="C1329">
        <v>9.84</v>
      </c>
      <c r="D1329" s="17">
        <v>41905</v>
      </c>
      <c r="E1329" t="s">
        <v>265</v>
      </c>
    </row>
    <row r="1330" spans="3:5">
      <c r="C1330">
        <v>9.84</v>
      </c>
      <c r="D1330" s="17">
        <v>42003</v>
      </c>
      <c r="E1330" t="s">
        <v>625</v>
      </c>
    </row>
    <row r="1331" spans="3:5">
      <c r="C1331">
        <v>9.84</v>
      </c>
      <c r="D1331" s="17">
        <v>42006</v>
      </c>
      <c r="E1331" t="s">
        <v>1799</v>
      </c>
    </row>
    <row r="1332" spans="3:5">
      <c r="C1332">
        <v>9.84</v>
      </c>
      <c r="D1332" s="17">
        <v>42461</v>
      </c>
      <c r="E1332" t="s">
        <v>1770</v>
      </c>
    </row>
    <row r="1333" spans="3:5">
      <c r="C1333">
        <v>9.84</v>
      </c>
      <c r="D1333" s="17">
        <v>42538</v>
      </c>
      <c r="E1333" t="s">
        <v>875</v>
      </c>
    </row>
    <row r="1334" spans="3:5">
      <c r="C1334">
        <v>9.84</v>
      </c>
      <c r="D1334" s="17">
        <v>42688</v>
      </c>
      <c r="E1334" t="s">
        <v>875</v>
      </c>
    </row>
    <row r="1335" spans="3:5">
      <c r="C1335">
        <v>9.84</v>
      </c>
      <c r="D1335" s="17">
        <v>42717</v>
      </c>
      <c r="E1335" t="s">
        <v>943</v>
      </c>
    </row>
    <row r="1336" spans="3:5">
      <c r="C1336">
        <v>9.84</v>
      </c>
      <c r="D1336" s="17">
        <v>42794</v>
      </c>
      <c r="E1336" t="s">
        <v>151</v>
      </c>
    </row>
    <row r="1337" spans="3:5">
      <c r="C1337">
        <v>9.84</v>
      </c>
      <c r="D1337" s="17">
        <v>42877</v>
      </c>
      <c r="E1337" t="s">
        <v>625</v>
      </c>
    </row>
    <row r="1338" spans="3:5">
      <c r="C1338">
        <v>9.8560000000000016</v>
      </c>
      <c r="D1338" s="17">
        <v>42987</v>
      </c>
      <c r="E1338" t="s">
        <v>326</v>
      </c>
    </row>
    <row r="1339" spans="3:5">
      <c r="C1339">
        <v>9.870000000000001</v>
      </c>
      <c r="D1339" s="17">
        <v>42092</v>
      </c>
      <c r="E1339" t="s">
        <v>1625</v>
      </c>
    </row>
    <row r="1340" spans="3:5">
      <c r="C1340">
        <v>9.8719999999999999</v>
      </c>
      <c r="D1340" s="17">
        <v>42321</v>
      </c>
      <c r="E1340" t="s">
        <v>714</v>
      </c>
    </row>
    <row r="1341" spans="3:5">
      <c r="C1341">
        <v>9.8880000000000017</v>
      </c>
      <c r="D1341" s="17">
        <v>42685</v>
      </c>
      <c r="E1341" t="s">
        <v>879</v>
      </c>
    </row>
    <row r="1342" spans="3:5">
      <c r="C1342">
        <v>9.9120000000000008</v>
      </c>
      <c r="D1342" s="17">
        <v>41721</v>
      </c>
      <c r="E1342" t="s">
        <v>1034</v>
      </c>
    </row>
    <row r="1343" spans="3:5">
      <c r="C1343">
        <v>9.9120000000000008</v>
      </c>
      <c r="D1343" s="17">
        <v>41751</v>
      </c>
      <c r="E1343" t="s">
        <v>277</v>
      </c>
    </row>
    <row r="1344" spans="3:5">
      <c r="C1344">
        <v>9.9120000000000008</v>
      </c>
      <c r="D1344" s="17">
        <v>42965</v>
      </c>
      <c r="E1344" t="s">
        <v>545</v>
      </c>
    </row>
    <row r="1345" spans="3:5">
      <c r="C1345">
        <v>9.9120000000000008</v>
      </c>
      <c r="D1345" s="17">
        <v>42995</v>
      </c>
      <c r="E1345" t="s">
        <v>602</v>
      </c>
    </row>
    <row r="1346" spans="3:5">
      <c r="C1346">
        <v>9.9120000000000008</v>
      </c>
      <c r="D1346" s="17">
        <v>43039</v>
      </c>
      <c r="E1346" t="s">
        <v>1360</v>
      </c>
    </row>
    <row r="1347" spans="3:5">
      <c r="C1347">
        <v>9.9359999999999999</v>
      </c>
      <c r="D1347" s="17">
        <v>41890</v>
      </c>
      <c r="E1347" t="s">
        <v>1205</v>
      </c>
    </row>
    <row r="1348" spans="3:5">
      <c r="C1348">
        <v>9.94</v>
      </c>
      <c r="D1348" s="17">
        <v>41650</v>
      </c>
      <c r="E1348" t="s">
        <v>182</v>
      </c>
    </row>
    <row r="1349" spans="3:5">
      <c r="C1349">
        <v>9.94</v>
      </c>
      <c r="D1349" s="17">
        <v>42698</v>
      </c>
      <c r="E1349" t="s">
        <v>182</v>
      </c>
    </row>
    <row r="1350" spans="3:5">
      <c r="C1350">
        <v>9.94</v>
      </c>
      <c r="D1350" s="17">
        <v>42965</v>
      </c>
      <c r="E1350" t="s">
        <v>182</v>
      </c>
    </row>
    <row r="1351" spans="3:5">
      <c r="C1351">
        <v>9.952</v>
      </c>
      <c r="D1351" s="17">
        <v>42299</v>
      </c>
      <c r="E1351" t="s">
        <v>1314</v>
      </c>
    </row>
    <row r="1352" spans="3:5">
      <c r="C1352">
        <v>9.9600000000000009</v>
      </c>
      <c r="D1352" s="17">
        <v>41896</v>
      </c>
      <c r="E1352" t="s">
        <v>222</v>
      </c>
    </row>
    <row r="1353" spans="3:5">
      <c r="C1353">
        <v>9.9600000000000009</v>
      </c>
      <c r="D1353" s="17">
        <v>41902</v>
      </c>
      <c r="E1353" t="s">
        <v>490</v>
      </c>
    </row>
    <row r="1354" spans="3:5">
      <c r="C1354">
        <v>9.9600000000000009</v>
      </c>
      <c r="D1354" s="17">
        <v>41962</v>
      </c>
      <c r="E1354" t="s">
        <v>490</v>
      </c>
    </row>
    <row r="1355" spans="3:5">
      <c r="C1355">
        <v>9.9600000000000009</v>
      </c>
      <c r="D1355" s="17">
        <v>41965</v>
      </c>
      <c r="E1355" t="s">
        <v>682</v>
      </c>
    </row>
    <row r="1356" spans="3:5">
      <c r="C1356">
        <v>9.9600000000000009</v>
      </c>
      <c r="D1356" s="17">
        <v>42198</v>
      </c>
      <c r="E1356" t="s">
        <v>296</v>
      </c>
    </row>
    <row r="1357" spans="3:5">
      <c r="C1357">
        <v>9.9600000000000009</v>
      </c>
      <c r="D1357" s="17">
        <v>42351</v>
      </c>
      <c r="E1357" t="s">
        <v>1371</v>
      </c>
    </row>
    <row r="1358" spans="3:5">
      <c r="C1358">
        <v>9.9600000000000009</v>
      </c>
      <c r="D1358" s="17">
        <v>42363</v>
      </c>
      <c r="E1358" t="s">
        <v>729</v>
      </c>
    </row>
    <row r="1359" spans="3:5">
      <c r="C1359">
        <v>9.9600000000000009</v>
      </c>
      <c r="D1359" s="17">
        <v>42476</v>
      </c>
      <c r="E1359" t="s">
        <v>222</v>
      </c>
    </row>
    <row r="1360" spans="3:5">
      <c r="C1360">
        <v>9.9600000000000009</v>
      </c>
      <c r="D1360" s="17">
        <v>43020</v>
      </c>
      <c r="E1360" t="s">
        <v>1312</v>
      </c>
    </row>
    <row r="1361" spans="3:5">
      <c r="C1361">
        <v>9.9600000000000009</v>
      </c>
      <c r="D1361" s="17">
        <v>43051</v>
      </c>
      <c r="E1361" t="s">
        <v>1412</v>
      </c>
    </row>
    <row r="1362" spans="3:5">
      <c r="C1362">
        <v>9.9799999999999969</v>
      </c>
      <c r="D1362" s="17">
        <v>41965</v>
      </c>
      <c r="E1362" t="s">
        <v>706</v>
      </c>
    </row>
    <row r="1363" spans="3:5">
      <c r="C1363">
        <v>9.98</v>
      </c>
      <c r="D1363" s="17">
        <v>42684</v>
      </c>
      <c r="E1363" t="s">
        <v>1578</v>
      </c>
    </row>
    <row r="1364" spans="3:5">
      <c r="C1364">
        <v>9.9840000000000018</v>
      </c>
      <c r="D1364" s="17">
        <v>42944</v>
      </c>
      <c r="E1364" t="s">
        <v>70</v>
      </c>
    </row>
    <row r="1365" spans="3:5">
      <c r="C1365">
        <v>9.99</v>
      </c>
      <c r="D1365" s="17">
        <v>41701</v>
      </c>
      <c r="E1365" t="s">
        <v>352</v>
      </c>
    </row>
    <row r="1366" spans="3:5">
      <c r="C1366">
        <v>9.99</v>
      </c>
      <c r="D1366" s="17">
        <v>42639</v>
      </c>
      <c r="E1366" t="s">
        <v>1678</v>
      </c>
    </row>
    <row r="1367" spans="3:5">
      <c r="C1367">
        <v>10.02</v>
      </c>
      <c r="D1367" s="17">
        <v>42225</v>
      </c>
      <c r="E1367" t="s">
        <v>1455</v>
      </c>
    </row>
    <row r="1368" spans="3:5">
      <c r="C1368">
        <v>10.02</v>
      </c>
      <c r="D1368" s="17">
        <v>42502</v>
      </c>
      <c r="E1368" t="s">
        <v>1455</v>
      </c>
    </row>
    <row r="1369" spans="3:5">
      <c r="C1369">
        <v>10.023999999999997</v>
      </c>
      <c r="D1369" s="17">
        <v>42610</v>
      </c>
      <c r="E1369" t="s">
        <v>592</v>
      </c>
    </row>
    <row r="1370" spans="3:5">
      <c r="C1370">
        <v>10.048000000000002</v>
      </c>
      <c r="D1370" s="17">
        <v>41911</v>
      </c>
      <c r="E1370" t="s">
        <v>1361</v>
      </c>
    </row>
    <row r="1371" spans="3:5">
      <c r="C1371">
        <v>10.048000000000002</v>
      </c>
      <c r="D1371" s="17">
        <v>41930</v>
      </c>
      <c r="E1371" t="s">
        <v>622</v>
      </c>
    </row>
    <row r="1372" spans="3:5">
      <c r="C1372">
        <v>10.08</v>
      </c>
      <c r="D1372" s="17">
        <v>42433</v>
      </c>
      <c r="E1372" t="s">
        <v>1121</v>
      </c>
    </row>
    <row r="1373" spans="3:5">
      <c r="C1373">
        <v>10.08</v>
      </c>
      <c r="D1373" s="17">
        <v>42558</v>
      </c>
      <c r="E1373" t="s">
        <v>1572</v>
      </c>
    </row>
    <row r="1374" spans="3:5">
      <c r="C1374">
        <v>10.08</v>
      </c>
      <c r="D1374" s="17">
        <v>43071</v>
      </c>
      <c r="E1374" t="s">
        <v>821</v>
      </c>
    </row>
    <row r="1375" spans="3:5">
      <c r="C1375">
        <v>10.080000000000002</v>
      </c>
      <c r="D1375" s="17">
        <v>42996</v>
      </c>
      <c r="E1375" t="s">
        <v>35</v>
      </c>
    </row>
    <row r="1376" spans="3:5">
      <c r="C1376">
        <v>10.11</v>
      </c>
      <c r="D1376" s="17">
        <v>41958</v>
      </c>
      <c r="E1376" t="s">
        <v>1751</v>
      </c>
    </row>
    <row r="1377" spans="3:5">
      <c r="C1377">
        <v>10.11</v>
      </c>
      <c r="D1377" s="17">
        <v>42295</v>
      </c>
      <c r="E1377" t="s">
        <v>1751</v>
      </c>
    </row>
    <row r="1378" spans="3:5">
      <c r="C1378">
        <v>10.128</v>
      </c>
      <c r="D1378" s="17">
        <v>43070</v>
      </c>
      <c r="E1378" t="s">
        <v>781</v>
      </c>
    </row>
    <row r="1379" spans="3:5">
      <c r="C1379">
        <v>10.16</v>
      </c>
      <c r="D1379" s="17">
        <v>41943</v>
      </c>
      <c r="E1379" t="s">
        <v>1118</v>
      </c>
    </row>
    <row r="1380" spans="3:5">
      <c r="C1380">
        <v>10.16</v>
      </c>
      <c r="D1380" s="17">
        <v>42065</v>
      </c>
      <c r="E1380" t="s">
        <v>500</v>
      </c>
    </row>
    <row r="1381" spans="3:5">
      <c r="C1381">
        <v>10.16</v>
      </c>
      <c r="D1381" s="17">
        <v>43010</v>
      </c>
      <c r="E1381" t="s">
        <v>1226</v>
      </c>
    </row>
    <row r="1382" spans="3:5">
      <c r="C1382">
        <v>10.192000000000002</v>
      </c>
      <c r="D1382" s="17">
        <v>42982</v>
      </c>
      <c r="E1382" t="s">
        <v>189</v>
      </c>
    </row>
    <row r="1383" spans="3:5">
      <c r="C1383">
        <v>10.192000000000002</v>
      </c>
      <c r="D1383" s="17">
        <v>43084</v>
      </c>
      <c r="E1383" t="s">
        <v>1523</v>
      </c>
    </row>
    <row r="1384" spans="3:5">
      <c r="C1384">
        <v>10.199999999999999</v>
      </c>
      <c r="D1384" s="17">
        <v>42567</v>
      </c>
      <c r="E1384" t="s">
        <v>124</v>
      </c>
    </row>
    <row r="1385" spans="3:5">
      <c r="C1385">
        <v>10.23</v>
      </c>
      <c r="D1385" s="17">
        <v>42608</v>
      </c>
      <c r="E1385" t="s">
        <v>1627</v>
      </c>
    </row>
    <row r="1386" spans="3:5">
      <c r="C1386">
        <v>10.272000000000002</v>
      </c>
      <c r="D1386" s="17">
        <v>41944</v>
      </c>
      <c r="E1386" t="s">
        <v>261</v>
      </c>
    </row>
    <row r="1387" spans="3:5">
      <c r="C1387">
        <v>10.272000000000002</v>
      </c>
      <c r="D1387" s="17">
        <v>42155</v>
      </c>
      <c r="E1387" t="s">
        <v>106</v>
      </c>
    </row>
    <row r="1388" spans="3:5">
      <c r="C1388">
        <v>10.272000000000002</v>
      </c>
      <c r="D1388" s="17">
        <v>42232</v>
      </c>
      <c r="E1388" t="s">
        <v>1093</v>
      </c>
    </row>
    <row r="1389" spans="3:5">
      <c r="C1389">
        <v>10.272000000000002</v>
      </c>
      <c r="D1389" s="17">
        <v>42233</v>
      </c>
      <c r="E1389" t="s">
        <v>1077</v>
      </c>
    </row>
    <row r="1390" spans="3:5">
      <c r="C1390">
        <v>10.272000000000002</v>
      </c>
      <c r="D1390" s="17">
        <v>42463</v>
      </c>
      <c r="E1390" t="s">
        <v>1061</v>
      </c>
    </row>
    <row r="1391" spans="3:5">
      <c r="C1391">
        <v>10.272000000000002</v>
      </c>
      <c r="D1391" s="17">
        <v>42472</v>
      </c>
      <c r="E1391" t="s">
        <v>1239</v>
      </c>
    </row>
    <row r="1392" spans="3:5">
      <c r="C1392">
        <v>10.272000000000002</v>
      </c>
      <c r="D1392" s="17">
        <v>42595</v>
      </c>
      <c r="E1392" t="s">
        <v>296</v>
      </c>
    </row>
    <row r="1393" spans="3:5">
      <c r="C1393">
        <v>10.272000000000002</v>
      </c>
      <c r="D1393" s="17">
        <v>42618</v>
      </c>
      <c r="E1393" t="s">
        <v>885</v>
      </c>
    </row>
    <row r="1394" spans="3:5">
      <c r="C1394">
        <v>10.272000000000002</v>
      </c>
      <c r="D1394" s="17">
        <v>42811</v>
      </c>
      <c r="E1394" t="s">
        <v>386</v>
      </c>
    </row>
    <row r="1395" spans="3:5">
      <c r="C1395">
        <v>10.272000000000002</v>
      </c>
      <c r="D1395" s="17">
        <v>42867</v>
      </c>
      <c r="E1395" t="s">
        <v>106</v>
      </c>
    </row>
    <row r="1396" spans="3:5">
      <c r="C1396">
        <v>10.272000000000002</v>
      </c>
      <c r="D1396" s="17">
        <v>42910</v>
      </c>
      <c r="E1396" t="s">
        <v>885</v>
      </c>
    </row>
    <row r="1397" spans="3:5">
      <c r="C1397">
        <v>10.272000000000002</v>
      </c>
      <c r="D1397" s="17">
        <v>42989</v>
      </c>
      <c r="E1397" t="s">
        <v>436</v>
      </c>
    </row>
    <row r="1398" spans="3:5">
      <c r="C1398">
        <v>10.272000000000002</v>
      </c>
      <c r="D1398" s="17">
        <v>43031</v>
      </c>
      <c r="E1398" t="s">
        <v>261</v>
      </c>
    </row>
    <row r="1399" spans="3:5">
      <c r="C1399">
        <v>10.304000000000002</v>
      </c>
      <c r="D1399" s="17">
        <v>41735</v>
      </c>
      <c r="E1399" t="s">
        <v>689</v>
      </c>
    </row>
    <row r="1400" spans="3:5">
      <c r="C1400">
        <v>10.312000000000001</v>
      </c>
      <c r="D1400" s="17">
        <v>42068</v>
      </c>
      <c r="E1400" t="s">
        <v>865</v>
      </c>
    </row>
    <row r="1401" spans="3:5">
      <c r="C1401">
        <v>10.32</v>
      </c>
      <c r="D1401" s="17">
        <v>43072</v>
      </c>
      <c r="E1401" t="s">
        <v>924</v>
      </c>
    </row>
    <row r="1402" spans="3:5">
      <c r="C1402">
        <v>10.332000000000001</v>
      </c>
      <c r="D1402" s="17">
        <v>41779</v>
      </c>
      <c r="E1402" t="s">
        <v>1470</v>
      </c>
    </row>
    <row r="1403" spans="3:5">
      <c r="C1403">
        <v>10.332000000000003</v>
      </c>
      <c r="D1403" s="17">
        <v>42349</v>
      </c>
      <c r="E1403" t="s">
        <v>385</v>
      </c>
    </row>
    <row r="1404" spans="3:5">
      <c r="C1404">
        <v>10.332000000000003</v>
      </c>
      <c r="D1404" s="17">
        <v>42908</v>
      </c>
      <c r="E1404" t="s">
        <v>385</v>
      </c>
    </row>
    <row r="1405" spans="3:5">
      <c r="C1405">
        <v>10.36</v>
      </c>
      <c r="D1405" s="17">
        <v>42894</v>
      </c>
      <c r="E1405" t="s">
        <v>739</v>
      </c>
    </row>
    <row r="1406" spans="3:5">
      <c r="C1406">
        <v>10.368000000000002</v>
      </c>
      <c r="D1406" s="17">
        <v>41740</v>
      </c>
      <c r="E1406" t="s">
        <v>1691</v>
      </c>
    </row>
    <row r="1407" spans="3:5">
      <c r="C1407">
        <v>10.368000000000002</v>
      </c>
      <c r="D1407" s="17">
        <v>41754</v>
      </c>
      <c r="E1407" t="s">
        <v>1882</v>
      </c>
    </row>
    <row r="1408" spans="3:5">
      <c r="C1408">
        <v>10.368000000000002</v>
      </c>
      <c r="D1408" s="17">
        <v>41779</v>
      </c>
      <c r="E1408" t="s">
        <v>1145</v>
      </c>
    </row>
    <row r="1409" spans="3:5">
      <c r="C1409">
        <v>10.368000000000002</v>
      </c>
      <c r="D1409" s="17">
        <v>41829</v>
      </c>
      <c r="E1409" t="s">
        <v>1150</v>
      </c>
    </row>
    <row r="1410" spans="3:5">
      <c r="C1410">
        <v>10.368000000000002</v>
      </c>
      <c r="D1410" s="17">
        <v>41831</v>
      </c>
      <c r="E1410" t="s">
        <v>1073</v>
      </c>
    </row>
    <row r="1411" spans="3:5">
      <c r="C1411">
        <v>10.368000000000002</v>
      </c>
      <c r="D1411" s="17">
        <v>41894</v>
      </c>
      <c r="E1411" t="s">
        <v>1137</v>
      </c>
    </row>
    <row r="1412" spans="3:5">
      <c r="C1412">
        <v>10.368000000000002</v>
      </c>
      <c r="D1412" s="17">
        <v>41936</v>
      </c>
      <c r="E1412" t="s">
        <v>1464</v>
      </c>
    </row>
    <row r="1413" spans="3:5">
      <c r="C1413">
        <v>10.368000000000002</v>
      </c>
      <c r="D1413" s="17">
        <v>41939</v>
      </c>
      <c r="E1413" t="s">
        <v>209</v>
      </c>
    </row>
    <row r="1414" spans="3:5">
      <c r="C1414">
        <v>10.368000000000002</v>
      </c>
      <c r="D1414" s="17">
        <v>41981</v>
      </c>
      <c r="E1414" t="s">
        <v>1681</v>
      </c>
    </row>
    <row r="1415" spans="3:5">
      <c r="C1415">
        <v>10.368000000000002</v>
      </c>
      <c r="D1415" s="17">
        <v>42007</v>
      </c>
      <c r="E1415" t="s">
        <v>1355</v>
      </c>
    </row>
    <row r="1416" spans="3:5">
      <c r="C1416">
        <v>10.368000000000002</v>
      </c>
      <c r="D1416" s="17">
        <v>42016</v>
      </c>
      <c r="E1416" t="s">
        <v>732</v>
      </c>
    </row>
    <row r="1417" spans="3:5">
      <c r="C1417">
        <v>10.368000000000002</v>
      </c>
      <c r="D1417" s="17">
        <v>42211</v>
      </c>
      <c r="E1417" t="s">
        <v>1150</v>
      </c>
    </row>
    <row r="1418" spans="3:5">
      <c r="C1418">
        <v>10.368000000000002</v>
      </c>
      <c r="D1418" s="17">
        <v>42232</v>
      </c>
      <c r="E1418" t="s">
        <v>803</v>
      </c>
    </row>
    <row r="1419" spans="3:5">
      <c r="C1419">
        <v>10.368000000000002</v>
      </c>
      <c r="D1419" s="17">
        <v>42239</v>
      </c>
      <c r="E1419" t="s">
        <v>793</v>
      </c>
    </row>
    <row r="1420" spans="3:5">
      <c r="C1420">
        <v>10.368000000000002</v>
      </c>
      <c r="D1420" s="17">
        <v>42301</v>
      </c>
      <c r="E1420" t="s">
        <v>209</v>
      </c>
    </row>
    <row r="1421" spans="3:5">
      <c r="C1421">
        <v>10.368000000000002</v>
      </c>
      <c r="D1421" s="17">
        <v>42363</v>
      </c>
      <c r="E1421" t="s">
        <v>803</v>
      </c>
    </row>
    <row r="1422" spans="3:5">
      <c r="C1422">
        <v>10.368000000000002</v>
      </c>
      <c r="D1422" s="17">
        <v>42449</v>
      </c>
      <c r="E1422" t="s">
        <v>519</v>
      </c>
    </row>
    <row r="1423" spans="3:5">
      <c r="C1423">
        <v>10.368000000000002</v>
      </c>
      <c r="D1423" s="17">
        <v>42498</v>
      </c>
      <c r="E1423" t="s">
        <v>610</v>
      </c>
    </row>
    <row r="1424" spans="3:5">
      <c r="C1424">
        <v>10.368000000000002</v>
      </c>
      <c r="D1424" s="17">
        <v>42513</v>
      </c>
      <c r="E1424" t="s">
        <v>1691</v>
      </c>
    </row>
    <row r="1425" spans="3:5">
      <c r="C1425">
        <v>10.368000000000002</v>
      </c>
      <c r="D1425" s="17">
        <v>42516</v>
      </c>
      <c r="E1425" t="s">
        <v>152</v>
      </c>
    </row>
    <row r="1426" spans="3:5">
      <c r="C1426">
        <v>10.368000000000002</v>
      </c>
      <c r="D1426" s="17">
        <v>42521</v>
      </c>
      <c r="E1426" t="s">
        <v>152</v>
      </c>
    </row>
    <row r="1427" spans="3:5">
      <c r="C1427">
        <v>10.368000000000002</v>
      </c>
      <c r="D1427" s="17">
        <v>42541</v>
      </c>
      <c r="E1427" t="s">
        <v>793</v>
      </c>
    </row>
    <row r="1428" spans="3:5">
      <c r="C1428">
        <v>10.368000000000002</v>
      </c>
      <c r="D1428" s="17">
        <v>42618</v>
      </c>
      <c r="E1428" t="s">
        <v>767</v>
      </c>
    </row>
    <row r="1429" spans="3:5">
      <c r="C1429">
        <v>10.368000000000002</v>
      </c>
      <c r="D1429" s="17">
        <v>42693</v>
      </c>
      <c r="E1429" t="s">
        <v>65</v>
      </c>
    </row>
    <row r="1430" spans="3:5">
      <c r="C1430">
        <v>10.368000000000002</v>
      </c>
      <c r="D1430" s="17">
        <v>42731</v>
      </c>
      <c r="E1430" t="s">
        <v>369</v>
      </c>
    </row>
    <row r="1431" spans="3:5">
      <c r="C1431">
        <v>10.368000000000002</v>
      </c>
      <c r="D1431" s="17">
        <v>42835</v>
      </c>
      <c r="E1431" t="s">
        <v>519</v>
      </c>
    </row>
    <row r="1432" spans="3:5">
      <c r="C1432">
        <v>10.368000000000002</v>
      </c>
      <c r="D1432" s="17">
        <v>42855</v>
      </c>
      <c r="E1432" t="s">
        <v>610</v>
      </c>
    </row>
    <row r="1433" spans="3:5">
      <c r="C1433">
        <v>10.368000000000002</v>
      </c>
      <c r="D1433" s="17">
        <v>42971</v>
      </c>
      <c r="E1433" t="s">
        <v>928</v>
      </c>
    </row>
    <row r="1434" spans="3:5">
      <c r="C1434">
        <v>10.368000000000002</v>
      </c>
      <c r="D1434" s="17">
        <v>42982</v>
      </c>
      <c r="E1434" t="s">
        <v>1145</v>
      </c>
    </row>
    <row r="1435" spans="3:5">
      <c r="C1435">
        <v>10.368000000000002</v>
      </c>
      <c r="D1435" s="17">
        <v>43006</v>
      </c>
      <c r="E1435" t="s">
        <v>1137</v>
      </c>
    </row>
    <row r="1436" spans="3:5">
      <c r="C1436">
        <v>10.368000000000002</v>
      </c>
      <c r="D1436" s="17">
        <v>43020</v>
      </c>
      <c r="E1436" t="s">
        <v>363</v>
      </c>
    </row>
    <row r="1437" spans="3:5">
      <c r="C1437">
        <v>10.368000000000002</v>
      </c>
      <c r="D1437" s="17">
        <v>43050</v>
      </c>
      <c r="E1437" t="s">
        <v>610</v>
      </c>
    </row>
    <row r="1438" spans="3:5">
      <c r="C1438">
        <v>10.368000000000002</v>
      </c>
      <c r="D1438" s="17">
        <v>43070</v>
      </c>
      <c r="E1438" t="s">
        <v>756</v>
      </c>
    </row>
    <row r="1439" spans="3:5">
      <c r="C1439">
        <v>10.368000000000002</v>
      </c>
      <c r="D1439" s="17">
        <v>43072</v>
      </c>
      <c r="E1439" t="s">
        <v>1030</v>
      </c>
    </row>
    <row r="1440" spans="3:5">
      <c r="C1440">
        <v>10.368000000000002</v>
      </c>
      <c r="D1440" s="17">
        <v>43079</v>
      </c>
      <c r="E1440" t="s">
        <v>1464</v>
      </c>
    </row>
    <row r="1441" spans="3:5">
      <c r="C1441">
        <v>10.368000000000002</v>
      </c>
      <c r="D1441" s="17">
        <v>43080</v>
      </c>
      <c r="E1441" t="s">
        <v>1355</v>
      </c>
    </row>
    <row r="1442" spans="3:5">
      <c r="C1442">
        <v>10.380000000000003</v>
      </c>
      <c r="D1442" s="17">
        <v>42504</v>
      </c>
      <c r="E1442" t="s">
        <v>1260</v>
      </c>
    </row>
    <row r="1443" spans="3:5">
      <c r="C1443">
        <v>10.384</v>
      </c>
      <c r="D1443" s="17">
        <v>42016</v>
      </c>
      <c r="E1443" t="s">
        <v>1729</v>
      </c>
    </row>
    <row r="1444" spans="3:5">
      <c r="C1444">
        <v>10.4</v>
      </c>
      <c r="D1444" s="17">
        <v>43078</v>
      </c>
      <c r="E1444" t="s">
        <v>322</v>
      </c>
    </row>
    <row r="1445" spans="3:5">
      <c r="C1445">
        <v>10.416000000000002</v>
      </c>
      <c r="D1445" s="17">
        <v>42110</v>
      </c>
      <c r="E1445" t="s">
        <v>415</v>
      </c>
    </row>
    <row r="1446" spans="3:5">
      <c r="C1446">
        <v>10.428000000000001</v>
      </c>
      <c r="D1446" s="17">
        <v>42099</v>
      </c>
      <c r="E1446" t="s">
        <v>786</v>
      </c>
    </row>
    <row r="1447" spans="3:5">
      <c r="C1447">
        <v>10.429999999999996</v>
      </c>
      <c r="D1447" s="17">
        <v>42849</v>
      </c>
      <c r="E1447" t="s">
        <v>595</v>
      </c>
    </row>
    <row r="1448" spans="3:5">
      <c r="C1448">
        <v>10.429999999999998</v>
      </c>
      <c r="D1448" s="17">
        <v>41646</v>
      </c>
      <c r="E1448" t="s">
        <v>954</v>
      </c>
    </row>
    <row r="1449" spans="3:5">
      <c r="C1449">
        <v>10.44</v>
      </c>
      <c r="D1449" s="17">
        <v>42576</v>
      </c>
      <c r="E1449" t="s">
        <v>58</v>
      </c>
    </row>
    <row r="1450" spans="3:5">
      <c r="C1450">
        <v>10.440000000000001</v>
      </c>
      <c r="D1450" s="17">
        <v>42723</v>
      </c>
      <c r="E1450" t="s">
        <v>569</v>
      </c>
    </row>
    <row r="1451" spans="3:5">
      <c r="C1451">
        <v>10.440000000000001</v>
      </c>
      <c r="D1451" s="17">
        <v>43050</v>
      </c>
      <c r="E1451" t="s">
        <v>178</v>
      </c>
    </row>
    <row r="1452" spans="3:5">
      <c r="C1452">
        <v>10.464000000000002</v>
      </c>
      <c r="D1452" s="17">
        <v>41709</v>
      </c>
      <c r="E1452" t="s">
        <v>558</v>
      </c>
    </row>
    <row r="1453" spans="3:5">
      <c r="C1453">
        <v>10.47</v>
      </c>
      <c r="D1453" s="17">
        <v>42625</v>
      </c>
      <c r="E1453" t="s">
        <v>1110</v>
      </c>
    </row>
    <row r="1454" spans="3:5">
      <c r="C1454">
        <v>10.475999999999999</v>
      </c>
      <c r="D1454" s="17">
        <v>42316</v>
      </c>
      <c r="E1454" t="s">
        <v>134</v>
      </c>
    </row>
    <row r="1455" spans="3:5">
      <c r="C1455">
        <v>10.476000000000001</v>
      </c>
      <c r="D1455" s="17">
        <v>43021</v>
      </c>
      <c r="E1455" t="s">
        <v>1290</v>
      </c>
    </row>
    <row r="1456" spans="3:5">
      <c r="C1456">
        <v>10.48</v>
      </c>
      <c r="D1456" s="17">
        <v>42272</v>
      </c>
      <c r="E1456" t="s">
        <v>1701</v>
      </c>
    </row>
    <row r="1457" spans="3:5">
      <c r="C1457">
        <v>10.48</v>
      </c>
      <c r="D1457" s="17">
        <v>43064</v>
      </c>
      <c r="E1457" t="s">
        <v>527</v>
      </c>
    </row>
    <row r="1458" spans="3:5">
      <c r="C1458">
        <v>10.496</v>
      </c>
      <c r="D1458" s="17">
        <v>42642</v>
      </c>
      <c r="E1458" t="s">
        <v>265</v>
      </c>
    </row>
    <row r="1459" spans="3:5">
      <c r="C1459">
        <v>10.5</v>
      </c>
      <c r="D1459" s="17">
        <v>41728</v>
      </c>
      <c r="E1459" t="s">
        <v>824</v>
      </c>
    </row>
    <row r="1460" spans="3:5">
      <c r="C1460">
        <v>10.512</v>
      </c>
      <c r="D1460" s="17">
        <v>42208</v>
      </c>
      <c r="E1460" t="s">
        <v>537</v>
      </c>
    </row>
    <row r="1461" spans="3:5">
      <c r="C1461">
        <v>10.528</v>
      </c>
      <c r="D1461" s="17">
        <v>42636</v>
      </c>
      <c r="E1461" t="s">
        <v>1480</v>
      </c>
    </row>
    <row r="1462" spans="3:5">
      <c r="C1462">
        <v>10.528</v>
      </c>
      <c r="D1462" s="17">
        <v>42698</v>
      </c>
      <c r="E1462" t="s">
        <v>1625</v>
      </c>
    </row>
    <row r="1463" spans="3:5">
      <c r="C1463">
        <v>10.528</v>
      </c>
      <c r="D1463" s="17">
        <v>42989</v>
      </c>
      <c r="E1463" t="s">
        <v>752</v>
      </c>
    </row>
    <row r="1464" spans="3:5">
      <c r="C1464">
        <v>10.56</v>
      </c>
      <c r="D1464" s="17">
        <v>41669</v>
      </c>
      <c r="E1464" t="s">
        <v>1352</v>
      </c>
    </row>
    <row r="1465" spans="3:5">
      <c r="C1465">
        <v>10.56</v>
      </c>
      <c r="D1465" s="17">
        <v>41712</v>
      </c>
      <c r="E1465" t="s">
        <v>1352</v>
      </c>
    </row>
    <row r="1466" spans="3:5">
      <c r="C1466">
        <v>10.56</v>
      </c>
      <c r="D1466" s="17">
        <v>42160</v>
      </c>
      <c r="E1466" t="s">
        <v>1102</v>
      </c>
    </row>
    <row r="1467" spans="3:5">
      <c r="C1467">
        <v>10.56</v>
      </c>
      <c r="D1467" s="17">
        <v>42414</v>
      </c>
      <c r="E1467" t="s">
        <v>994</v>
      </c>
    </row>
    <row r="1468" spans="3:5">
      <c r="C1468">
        <v>10.56</v>
      </c>
      <c r="D1468" s="17">
        <v>42590</v>
      </c>
      <c r="E1468" t="s">
        <v>1720</v>
      </c>
    </row>
    <row r="1469" spans="3:5">
      <c r="C1469">
        <v>10.56</v>
      </c>
      <c r="D1469" s="17">
        <v>42650</v>
      </c>
      <c r="E1469" t="s">
        <v>1166</v>
      </c>
    </row>
    <row r="1470" spans="3:5">
      <c r="C1470">
        <v>10.56</v>
      </c>
      <c r="D1470" s="17">
        <v>42933</v>
      </c>
      <c r="E1470" t="s">
        <v>805</v>
      </c>
    </row>
    <row r="1471" spans="3:5">
      <c r="C1471">
        <v>10.56</v>
      </c>
      <c r="D1471" s="17">
        <v>43051</v>
      </c>
      <c r="E1471" t="s">
        <v>533</v>
      </c>
    </row>
    <row r="1472" spans="3:5">
      <c r="C1472">
        <v>10.584</v>
      </c>
      <c r="D1472" s="17">
        <v>42338</v>
      </c>
      <c r="E1472" t="s">
        <v>157</v>
      </c>
    </row>
    <row r="1473" spans="3:5">
      <c r="C1473">
        <v>10.584</v>
      </c>
      <c r="D1473" s="17">
        <v>42611</v>
      </c>
      <c r="E1473" t="s">
        <v>157</v>
      </c>
    </row>
    <row r="1474" spans="3:5">
      <c r="C1474">
        <v>10.584000000000001</v>
      </c>
      <c r="D1474" s="17">
        <v>42712</v>
      </c>
      <c r="E1474" t="s">
        <v>454</v>
      </c>
    </row>
    <row r="1475" spans="3:5">
      <c r="C1475">
        <v>10.608000000000001</v>
      </c>
      <c r="D1475" s="17">
        <v>43003</v>
      </c>
      <c r="E1475" t="s">
        <v>161</v>
      </c>
    </row>
    <row r="1476" spans="3:5">
      <c r="C1476">
        <v>10.64</v>
      </c>
      <c r="D1476" s="17">
        <v>42786</v>
      </c>
      <c r="E1476" t="s">
        <v>270</v>
      </c>
    </row>
    <row r="1477" spans="3:5">
      <c r="C1477">
        <v>10.64</v>
      </c>
      <c r="D1477" s="17">
        <v>43025</v>
      </c>
      <c r="E1477" t="s">
        <v>1326</v>
      </c>
    </row>
    <row r="1478" spans="3:5">
      <c r="C1478">
        <v>10.649999999999999</v>
      </c>
      <c r="D1478" s="17">
        <v>42225</v>
      </c>
      <c r="E1478" t="s">
        <v>1185</v>
      </c>
    </row>
    <row r="1479" spans="3:5">
      <c r="C1479">
        <v>10.649999999999999</v>
      </c>
      <c r="D1479" s="17">
        <v>42422</v>
      </c>
      <c r="E1479" t="s">
        <v>1185</v>
      </c>
    </row>
    <row r="1480" spans="3:5">
      <c r="C1480">
        <v>10.67</v>
      </c>
      <c r="D1480" s="17">
        <v>42305</v>
      </c>
      <c r="E1480" t="s">
        <v>316</v>
      </c>
    </row>
    <row r="1481" spans="3:5">
      <c r="C1481">
        <v>10.68</v>
      </c>
      <c r="D1481" s="17">
        <v>41665</v>
      </c>
      <c r="E1481" t="s">
        <v>1818</v>
      </c>
    </row>
    <row r="1482" spans="3:5">
      <c r="C1482">
        <v>10.68</v>
      </c>
      <c r="D1482" s="17">
        <v>41877</v>
      </c>
      <c r="E1482" t="s">
        <v>775</v>
      </c>
    </row>
    <row r="1483" spans="3:5">
      <c r="C1483">
        <v>10.68</v>
      </c>
      <c r="D1483" s="17">
        <v>43075</v>
      </c>
      <c r="E1483" t="s">
        <v>98</v>
      </c>
    </row>
    <row r="1484" spans="3:5">
      <c r="C1484">
        <v>10.688000000000001</v>
      </c>
      <c r="D1484" s="17">
        <v>41910</v>
      </c>
      <c r="E1484" t="s">
        <v>77</v>
      </c>
    </row>
    <row r="1485" spans="3:5">
      <c r="C1485">
        <v>10.688000000000001</v>
      </c>
      <c r="D1485" s="17">
        <v>41982</v>
      </c>
      <c r="E1485" t="s">
        <v>77</v>
      </c>
    </row>
    <row r="1486" spans="3:5">
      <c r="C1486">
        <v>10.688000000000001</v>
      </c>
      <c r="D1486" s="17">
        <v>42300</v>
      </c>
      <c r="E1486" t="s">
        <v>1020</v>
      </c>
    </row>
    <row r="1487" spans="3:5">
      <c r="C1487">
        <v>10.688000000000001</v>
      </c>
      <c r="D1487" s="17">
        <v>42498</v>
      </c>
      <c r="E1487" t="s">
        <v>423</v>
      </c>
    </row>
    <row r="1488" spans="3:5">
      <c r="C1488">
        <v>10.688000000000001</v>
      </c>
      <c r="D1488" s="17">
        <v>42888</v>
      </c>
      <c r="E1488" t="s">
        <v>462</v>
      </c>
    </row>
    <row r="1489" spans="3:5">
      <c r="C1489">
        <v>10.688000000000001</v>
      </c>
      <c r="D1489" s="17">
        <v>43042</v>
      </c>
      <c r="E1489" t="s">
        <v>641</v>
      </c>
    </row>
    <row r="1490" spans="3:5">
      <c r="C1490">
        <v>10.688000000000001</v>
      </c>
      <c r="D1490" s="17">
        <v>43062</v>
      </c>
      <c r="E1490" t="s">
        <v>1456</v>
      </c>
    </row>
    <row r="1491" spans="3:5">
      <c r="C1491">
        <v>10.709999999999999</v>
      </c>
      <c r="D1491" s="17">
        <v>42111</v>
      </c>
      <c r="E1491" t="s">
        <v>235</v>
      </c>
    </row>
    <row r="1492" spans="3:5">
      <c r="C1492">
        <v>10.709999999999999</v>
      </c>
      <c r="D1492" s="17">
        <v>42779</v>
      </c>
      <c r="E1492" t="s">
        <v>235</v>
      </c>
    </row>
    <row r="1493" spans="3:5">
      <c r="C1493">
        <v>10.72</v>
      </c>
      <c r="D1493" s="17">
        <v>41870</v>
      </c>
      <c r="E1493" t="s">
        <v>1689</v>
      </c>
    </row>
    <row r="1494" spans="3:5">
      <c r="C1494">
        <v>10.74</v>
      </c>
      <c r="D1494" s="17">
        <v>42317</v>
      </c>
      <c r="E1494" t="s">
        <v>162</v>
      </c>
    </row>
    <row r="1495" spans="3:5">
      <c r="C1495">
        <v>10.74</v>
      </c>
      <c r="D1495" s="17">
        <v>42678</v>
      </c>
      <c r="E1495" t="s">
        <v>1211</v>
      </c>
    </row>
    <row r="1496" spans="3:5">
      <c r="C1496">
        <v>10.744</v>
      </c>
      <c r="D1496" s="17">
        <v>42107</v>
      </c>
      <c r="E1496" t="s">
        <v>381</v>
      </c>
    </row>
    <row r="1497" spans="3:5">
      <c r="C1497">
        <v>10.744</v>
      </c>
      <c r="D1497" s="17">
        <v>42978</v>
      </c>
      <c r="E1497" t="s">
        <v>381</v>
      </c>
    </row>
    <row r="1498" spans="3:5">
      <c r="C1498">
        <v>10.75</v>
      </c>
      <c r="D1498" s="17">
        <v>41747</v>
      </c>
      <c r="E1498" t="s">
        <v>734</v>
      </c>
    </row>
    <row r="1499" spans="3:5">
      <c r="C1499">
        <v>10.752000000000001</v>
      </c>
      <c r="D1499" s="17">
        <v>42341</v>
      </c>
      <c r="E1499" t="s">
        <v>1202</v>
      </c>
    </row>
    <row r="1500" spans="3:5">
      <c r="C1500">
        <v>10.76</v>
      </c>
      <c r="D1500" s="17">
        <v>42272</v>
      </c>
      <c r="E1500" t="s">
        <v>615</v>
      </c>
    </row>
    <row r="1501" spans="3:5">
      <c r="C1501">
        <v>10.776000000000002</v>
      </c>
      <c r="D1501" s="17">
        <v>41979</v>
      </c>
      <c r="E1501" t="s">
        <v>1626</v>
      </c>
    </row>
    <row r="1502" spans="3:5">
      <c r="C1502">
        <v>10.776000000000002</v>
      </c>
      <c r="D1502" s="17">
        <v>42691</v>
      </c>
      <c r="E1502" t="s">
        <v>353</v>
      </c>
    </row>
    <row r="1503" spans="3:5">
      <c r="C1503">
        <v>10.776000000000002</v>
      </c>
      <c r="D1503" s="17">
        <v>42839</v>
      </c>
      <c r="E1503" t="s">
        <v>353</v>
      </c>
    </row>
    <row r="1504" spans="3:5">
      <c r="C1504">
        <v>10.776000000000002</v>
      </c>
      <c r="D1504" s="17">
        <v>42995</v>
      </c>
      <c r="E1504" t="s">
        <v>353</v>
      </c>
    </row>
    <row r="1505" spans="3:5">
      <c r="C1505">
        <v>10.779999999999996</v>
      </c>
      <c r="D1505" s="17">
        <v>41929</v>
      </c>
      <c r="E1505" t="s">
        <v>783</v>
      </c>
    </row>
    <row r="1506" spans="3:5">
      <c r="C1506">
        <v>10.779999999999996</v>
      </c>
      <c r="D1506" s="17">
        <v>42693</v>
      </c>
      <c r="E1506" t="s">
        <v>783</v>
      </c>
    </row>
    <row r="1507" spans="3:5">
      <c r="C1507">
        <v>10.782000000000002</v>
      </c>
      <c r="D1507" s="17">
        <v>42965</v>
      </c>
      <c r="E1507" t="s">
        <v>1071</v>
      </c>
    </row>
    <row r="1508" spans="3:5">
      <c r="C1508">
        <v>10.784000000000001</v>
      </c>
      <c r="D1508" s="17">
        <v>42619</v>
      </c>
      <c r="E1508" t="s">
        <v>95</v>
      </c>
    </row>
    <row r="1509" spans="3:5">
      <c r="C1509">
        <v>10.8</v>
      </c>
      <c r="D1509" s="17">
        <v>43085</v>
      </c>
      <c r="E1509" t="s">
        <v>1524</v>
      </c>
    </row>
    <row r="1510" spans="3:5">
      <c r="C1510">
        <v>10.816000000000001</v>
      </c>
      <c r="D1510" s="17">
        <v>43017</v>
      </c>
      <c r="E1510" t="s">
        <v>1156</v>
      </c>
    </row>
    <row r="1511" spans="3:5">
      <c r="C1511">
        <v>10.824</v>
      </c>
      <c r="D1511" s="17">
        <v>43063</v>
      </c>
      <c r="E1511" t="s">
        <v>1450</v>
      </c>
    </row>
    <row r="1512" spans="3:5">
      <c r="C1512">
        <v>10.848000000000001</v>
      </c>
      <c r="D1512" s="17">
        <v>43051</v>
      </c>
      <c r="E1512" t="s">
        <v>120</v>
      </c>
    </row>
    <row r="1513" spans="3:5">
      <c r="C1513">
        <v>10.86</v>
      </c>
      <c r="D1513" s="17">
        <v>42142</v>
      </c>
      <c r="E1513" t="s">
        <v>1348</v>
      </c>
    </row>
    <row r="1514" spans="3:5">
      <c r="C1514">
        <v>10.86</v>
      </c>
      <c r="D1514" s="17">
        <v>42598</v>
      </c>
      <c r="E1514" t="s">
        <v>1096</v>
      </c>
    </row>
    <row r="1515" spans="3:5">
      <c r="C1515">
        <v>10.86</v>
      </c>
      <c r="D1515" s="17">
        <v>42996</v>
      </c>
      <c r="E1515" t="s">
        <v>1096</v>
      </c>
    </row>
    <row r="1516" spans="3:5">
      <c r="C1516">
        <v>10.86</v>
      </c>
      <c r="D1516" s="17">
        <v>43071</v>
      </c>
      <c r="E1516" t="s">
        <v>1348</v>
      </c>
    </row>
    <row r="1517" spans="3:5">
      <c r="C1517">
        <v>10.86</v>
      </c>
      <c r="D1517" s="17">
        <v>43079</v>
      </c>
      <c r="E1517" t="s">
        <v>1096</v>
      </c>
    </row>
    <row r="1518" spans="3:5">
      <c r="C1518">
        <v>10.89</v>
      </c>
      <c r="D1518" s="17">
        <v>43050</v>
      </c>
      <c r="E1518" t="s">
        <v>213</v>
      </c>
    </row>
    <row r="1519" spans="3:5">
      <c r="C1519">
        <v>10.896000000000001</v>
      </c>
      <c r="D1519" s="17">
        <v>41762</v>
      </c>
      <c r="E1519" t="s">
        <v>410</v>
      </c>
    </row>
    <row r="1520" spans="3:5">
      <c r="C1520">
        <v>10.896000000000001</v>
      </c>
      <c r="D1520" s="17">
        <v>41891</v>
      </c>
      <c r="E1520" t="s">
        <v>891</v>
      </c>
    </row>
    <row r="1521" spans="3:5">
      <c r="C1521">
        <v>10.896000000000001</v>
      </c>
      <c r="D1521" s="17">
        <v>42058</v>
      </c>
      <c r="E1521" t="s">
        <v>1374</v>
      </c>
    </row>
    <row r="1522" spans="3:5">
      <c r="C1522">
        <v>10.896000000000001</v>
      </c>
      <c r="D1522" s="17">
        <v>42815</v>
      </c>
      <c r="E1522" t="s">
        <v>410</v>
      </c>
    </row>
    <row r="1523" spans="3:5">
      <c r="C1523">
        <v>10.9</v>
      </c>
      <c r="D1523" s="17">
        <v>42082</v>
      </c>
      <c r="E1523" t="s">
        <v>558</v>
      </c>
    </row>
    <row r="1524" spans="3:5">
      <c r="C1524">
        <v>10.9</v>
      </c>
      <c r="D1524" s="17">
        <v>42638</v>
      </c>
      <c r="E1524" t="s">
        <v>1091</v>
      </c>
    </row>
    <row r="1525" spans="3:5">
      <c r="C1525">
        <v>10.9</v>
      </c>
      <c r="D1525" s="17">
        <v>42713</v>
      </c>
      <c r="E1525" t="s">
        <v>1342</v>
      </c>
    </row>
    <row r="1526" spans="3:5">
      <c r="C1526">
        <v>10.9</v>
      </c>
      <c r="D1526" s="17">
        <v>42842</v>
      </c>
      <c r="E1526" t="s">
        <v>558</v>
      </c>
    </row>
    <row r="1527" spans="3:5">
      <c r="C1527">
        <v>10.9</v>
      </c>
      <c r="D1527" s="17">
        <v>42980</v>
      </c>
      <c r="E1527" t="s">
        <v>310</v>
      </c>
    </row>
    <row r="1528" spans="3:5">
      <c r="C1528">
        <v>10.92</v>
      </c>
      <c r="D1528" s="17">
        <v>42215</v>
      </c>
      <c r="E1528" t="s">
        <v>800</v>
      </c>
    </row>
    <row r="1529" spans="3:5">
      <c r="C1529">
        <v>10.92</v>
      </c>
      <c r="D1529" s="17">
        <v>42329</v>
      </c>
      <c r="E1529" t="s">
        <v>189</v>
      </c>
    </row>
    <row r="1530" spans="3:5">
      <c r="C1530">
        <v>10.944000000000001</v>
      </c>
      <c r="D1530" s="17">
        <v>42279</v>
      </c>
      <c r="E1530" t="s">
        <v>1765</v>
      </c>
    </row>
    <row r="1531" spans="3:5">
      <c r="C1531">
        <v>10.95</v>
      </c>
      <c r="D1531" s="17">
        <v>41958</v>
      </c>
      <c r="E1531" t="s">
        <v>1265</v>
      </c>
    </row>
    <row r="1532" spans="3:5">
      <c r="C1532">
        <v>10.95</v>
      </c>
      <c r="D1532" s="17">
        <v>42098</v>
      </c>
      <c r="E1532" t="s">
        <v>810</v>
      </c>
    </row>
    <row r="1533" spans="3:5">
      <c r="C1533">
        <v>10.95</v>
      </c>
      <c r="D1533" s="17">
        <v>42334</v>
      </c>
      <c r="E1533" t="s">
        <v>1810</v>
      </c>
    </row>
    <row r="1534" spans="3:5">
      <c r="C1534">
        <v>10.95</v>
      </c>
      <c r="D1534" s="17">
        <v>42461</v>
      </c>
      <c r="E1534" t="s">
        <v>1265</v>
      </c>
    </row>
    <row r="1535" spans="3:5">
      <c r="C1535">
        <v>10.95</v>
      </c>
      <c r="D1535" s="17">
        <v>42614</v>
      </c>
      <c r="E1535" t="s">
        <v>1265</v>
      </c>
    </row>
    <row r="1536" spans="3:5">
      <c r="C1536">
        <v>10.96</v>
      </c>
      <c r="D1536" s="17">
        <v>42502</v>
      </c>
      <c r="E1536" t="s">
        <v>1353</v>
      </c>
    </row>
    <row r="1537" spans="3:5">
      <c r="C1537">
        <v>10.98</v>
      </c>
      <c r="D1537" s="17">
        <v>42000</v>
      </c>
      <c r="E1537" t="s">
        <v>484</v>
      </c>
    </row>
    <row r="1538" spans="3:5">
      <c r="C1538">
        <v>10.984000000000002</v>
      </c>
      <c r="D1538" s="17">
        <v>41954</v>
      </c>
      <c r="E1538" t="s">
        <v>1335</v>
      </c>
    </row>
    <row r="1539" spans="3:5">
      <c r="C1539">
        <v>10.99</v>
      </c>
      <c r="D1539" s="17">
        <v>41953</v>
      </c>
      <c r="E1539" t="s">
        <v>1698</v>
      </c>
    </row>
    <row r="1540" spans="3:5">
      <c r="C1540">
        <v>11.01</v>
      </c>
      <c r="D1540" s="17">
        <v>42947</v>
      </c>
      <c r="E1540" t="s">
        <v>635</v>
      </c>
    </row>
    <row r="1541" spans="3:5">
      <c r="C1541">
        <v>11.032</v>
      </c>
      <c r="D1541" s="17">
        <v>42279</v>
      </c>
      <c r="E1541" t="s">
        <v>1370</v>
      </c>
    </row>
    <row r="1542" spans="3:5">
      <c r="C1542">
        <v>11.05</v>
      </c>
      <c r="D1542" s="17">
        <v>42819</v>
      </c>
      <c r="E1542" t="s">
        <v>161</v>
      </c>
    </row>
    <row r="1543" spans="3:5">
      <c r="C1543">
        <v>11.059999999999999</v>
      </c>
      <c r="D1543" s="17">
        <v>42861</v>
      </c>
      <c r="E1543" t="s">
        <v>646</v>
      </c>
    </row>
    <row r="1544" spans="3:5">
      <c r="C1544">
        <v>11.07</v>
      </c>
      <c r="D1544" s="17">
        <v>41896</v>
      </c>
      <c r="E1544" t="s">
        <v>413</v>
      </c>
    </row>
    <row r="1545" spans="3:5">
      <c r="C1545">
        <v>11.07</v>
      </c>
      <c r="D1545" s="17">
        <v>42625</v>
      </c>
      <c r="E1545" t="s">
        <v>1437</v>
      </c>
    </row>
    <row r="1546" spans="3:5">
      <c r="C1546">
        <v>11.07</v>
      </c>
      <c r="D1546" s="17">
        <v>43021</v>
      </c>
      <c r="E1546" t="s">
        <v>1318</v>
      </c>
    </row>
    <row r="1547" spans="3:5">
      <c r="C1547">
        <v>11.07</v>
      </c>
      <c r="D1547" s="17">
        <v>43074</v>
      </c>
      <c r="E1547" t="s">
        <v>1318</v>
      </c>
    </row>
    <row r="1548" spans="3:5">
      <c r="C1548">
        <v>11.088000000000003</v>
      </c>
      <c r="D1548" s="17">
        <v>41811</v>
      </c>
      <c r="E1548" t="s">
        <v>1000</v>
      </c>
    </row>
    <row r="1549" spans="3:5">
      <c r="C1549">
        <v>11.088000000000003</v>
      </c>
      <c r="D1549" s="17">
        <v>42572</v>
      </c>
      <c r="E1549" t="s">
        <v>1000</v>
      </c>
    </row>
    <row r="1550" spans="3:5">
      <c r="C1550">
        <v>11.088000000000003</v>
      </c>
      <c r="D1550" s="17">
        <v>43078</v>
      </c>
      <c r="E1550" t="s">
        <v>1000</v>
      </c>
    </row>
    <row r="1551" spans="3:5">
      <c r="C1551">
        <v>11.09</v>
      </c>
      <c r="D1551" s="17">
        <v>42624</v>
      </c>
      <c r="E1551" t="s">
        <v>1179</v>
      </c>
    </row>
    <row r="1552" spans="3:5">
      <c r="C1552">
        <v>11.12</v>
      </c>
      <c r="D1552" s="17">
        <v>41905</v>
      </c>
      <c r="E1552" t="s">
        <v>1174</v>
      </c>
    </row>
    <row r="1553" spans="3:5">
      <c r="C1553">
        <v>11.12</v>
      </c>
      <c r="D1553" s="17">
        <v>42191</v>
      </c>
      <c r="E1553" t="s">
        <v>746</v>
      </c>
    </row>
    <row r="1554" spans="3:5">
      <c r="C1554">
        <v>11.12</v>
      </c>
      <c r="D1554" s="17">
        <v>42196</v>
      </c>
      <c r="E1554" t="s">
        <v>746</v>
      </c>
    </row>
    <row r="1555" spans="3:5">
      <c r="C1555">
        <v>11.12</v>
      </c>
      <c r="D1555" s="17">
        <v>42827</v>
      </c>
      <c r="E1555" t="s">
        <v>489</v>
      </c>
    </row>
    <row r="1556" spans="3:5">
      <c r="C1556">
        <v>11.120000000000001</v>
      </c>
      <c r="D1556" s="17">
        <v>41902</v>
      </c>
      <c r="E1556" t="s">
        <v>703</v>
      </c>
    </row>
    <row r="1557" spans="3:5">
      <c r="C1557">
        <v>11.120000000000001</v>
      </c>
      <c r="D1557" s="17">
        <v>42870</v>
      </c>
      <c r="E1557" t="s">
        <v>703</v>
      </c>
    </row>
    <row r="1558" spans="3:5">
      <c r="C1558">
        <v>11.16</v>
      </c>
      <c r="D1558" s="17">
        <v>41732</v>
      </c>
      <c r="E1558" t="s">
        <v>79</v>
      </c>
    </row>
    <row r="1559" spans="3:5">
      <c r="C1559">
        <v>11.16</v>
      </c>
      <c r="D1559" s="17">
        <v>42098</v>
      </c>
      <c r="E1559" t="s">
        <v>1494</v>
      </c>
    </row>
    <row r="1560" spans="3:5">
      <c r="C1560">
        <v>11.16</v>
      </c>
      <c r="D1560" s="17">
        <v>42491</v>
      </c>
      <c r="E1560" t="s">
        <v>1494</v>
      </c>
    </row>
    <row r="1561" spans="3:5">
      <c r="C1561">
        <v>11.16</v>
      </c>
      <c r="D1561" s="17">
        <v>42526</v>
      </c>
      <c r="E1561" t="s">
        <v>723</v>
      </c>
    </row>
    <row r="1562" spans="3:5">
      <c r="C1562">
        <v>11.16</v>
      </c>
      <c r="D1562" s="17">
        <v>43078</v>
      </c>
      <c r="E1562" t="s">
        <v>723</v>
      </c>
    </row>
    <row r="1563" spans="3:5">
      <c r="C1563">
        <v>11.168000000000001</v>
      </c>
      <c r="D1563" s="17">
        <v>42187</v>
      </c>
      <c r="E1563" t="s">
        <v>1589</v>
      </c>
    </row>
    <row r="1564" spans="3:5">
      <c r="C1564">
        <v>11.168000000000001</v>
      </c>
      <c r="D1564" s="17">
        <v>42590</v>
      </c>
      <c r="E1564" t="s">
        <v>1110</v>
      </c>
    </row>
    <row r="1565" spans="3:5">
      <c r="C1565">
        <v>11.168000000000001</v>
      </c>
      <c r="D1565" s="17">
        <v>43038</v>
      </c>
      <c r="E1565" t="s">
        <v>890</v>
      </c>
    </row>
    <row r="1566" spans="3:5">
      <c r="C1566">
        <v>11.176000000000002</v>
      </c>
      <c r="D1566" s="17">
        <v>42987</v>
      </c>
      <c r="E1566" t="s">
        <v>951</v>
      </c>
    </row>
    <row r="1567" spans="3:5">
      <c r="C1567">
        <v>11.184000000000001</v>
      </c>
      <c r="D1567" s="17">
        <v>42905</v>
      </c>
      <c r="E1567" t="s">
        <v>866</v>
      </c>
    </row>
    <row r="1568" spans="3:5">
      <c r="C1568">
        <v>11.200000000000001</v>
      </c>
      <c r="D1568" s="17">
        <v>42716</v>
      </c>
      <c r="E1568" t="s">
        <v>1530</v>
      </c>
    </row>
    <row r="1569" spans="3:5">
      <c r="C1569">
        <v>11.21</v>
      </c>
      <c r="D1569" s="17">
        <v>42438</v>
      </c>
      <c r="E1569" t="s">
        <v>1418</v>
      </c>
    </row>
    <row r="1570" spans="3:5">
      <c r="C1570">
        <v>11.21</v>
      </c>
      <c r="D1570" s="17">
        <v>42565</v>
      </c>
      <c r="E1570" t="s">
        <v>1418</v>
      </c>
    </row>
    <row r="1571" spans="3:5">
      <c r="C1571">
        <v>11.21</v>
      </c>
      <c r="D1571" s="17">
        <v>43052</v>
      </c>
      <c r="E1571" t="s">
        <v>1418</v>
      </c>
    </row>
    <row r="1572" spans="3:5">
      <c r="C1572">
        <v>11.211999999999998</v>
      </c>
      <c r="D1572" s="17">
        <v>42068</v>
      </c>
      <c r="E1572" t="s">
        <v>1286</v>
      </c>
    </row>
    <row r="1573" spans="3:5">
      <c r="C1573">
        <v>11.214000000000002</v>
      </c>
      <c r="D1573" s="17">
        <v>42286</v>
      </c>
      <c r="E1573" t="s">
        <v>177</v>
      </c>
    </row>
    <row r="1574" spans="3:5">
      <c r="C1574">
        <v>11.22</v>
      </c>
      <c r="D1574" s="17">
        <v>42785</v>
      </c>
      <c r="E1574" t="s">
        <v>260</v>
      </c>
    </row>
    <row r="1575" spans="3:5">
      <c r="C1575">
        <v>11.220000000000002</v>
      </c>
      <c r="D1575" s="17">
        <v>43052</v>
      </c>
      <c r="E1575" t="s">
        <v>1415</v>
      </c>
    </row>
    <row r="1576" spans="3:5">
      <c r="C1576">
        <v>11.227999999999998</v>
      </c>
      <c r="D1576" s="17">
        <v>43000</v>
      </c>
      <c r="E1576" t="s">
        <v>552</v>
      </c>
    </row>
    <row r="1577" spans="3:5">
      <c r="C1577">
        <v>11.231999999999999</v>
      </c>
      <c r="D1577" s="17">
        <v>42523</v>
      </c>
      <c r="E1577" t="s">
        <v>136</v>
      </c>
    </row>
    <row r="1578" spans="3:5">
      <c r="C1578">
        <v>11.231999999999999</v>
      </c>
      <c r="D1578" s="17">
        <v>42733</v>
      </c>
      <c r="E1578" t="s">
        <v>136</v>
      </c>
    </row>
    <row r="1579" spans="3:5">
      <c r="C1579">
        <v>11.232000000000001</v>
      </c>
      <c r="D1579" s="17">
        <v>42595</v>
      </c>
      <c r="E1579" t="s">
        <v>136</v>
      </c>
    </row>
    <row r="1580" spans="3:5">
      <c r="C1580">
        <v>11.264000000000001</v>
      </c>
      <c r="D1580" s="17">
        <v>41832</v>
      </c>
      <c r="E1580" t="s">
        <v>1379</v>
      </c>
    </row>
    <row r="1581" spans="3:5">
      <c r="C1581">
        <v>11.264000000000001</v>
      </c>
      <c r="D1581" s="17">
        <v>42533</v>
      </c>
      <c r="E1581" t="s">
        <v>998</v>
      </c>
    </row>
    <row r="1582" spans="3:5">
      <c r="C1582">
        <v>11.264000000000001</v>
      </c>
      <c r="D1582" s="17">
        <v>42569</v>
      </c>
      <c r="E1582" t="s">
        <v>129</v>
      </c>
    </row>
    <row r="1583" spans="3:5">
      <c r="C1583">
        <v>11.277000000000001</v>
      </c>
      <c r="D1583" s="17">
        <v>42519</v>
      </c>
      <c r="E1583" t="s">
        <v>592</v>
      </c>
    </row>
    <row r="1584" spans="3:5">
      <c r="C1584">
        <v>11.304</v>
      </c>
      <c r="D1584" s="17">
        <v>42911</v>
      </c>
      <c r="E1584" t="s">
        <v>770</v>
      </c>
    </row>
    <row r="1585" spans="3:5">
      <c r="C1585">
        <v>11.328000000000001</v>
      </c>
      <c r="D1585" s="17">
        <v>42730</v>
      </c>
      <c r="E1585" t="s">
        <v>745</v>
      </c>
    </row>
    <row r="1586" spans="3:5">
      <c r="C1586">
        <v>11.34</v>
      </c>
      <c r="D1586" s="17">
        <v>41943</v>
      </c>
      <c r="E1586" t="s">
        <v>74</v>
      </c>
    </row>
    <row r="1587" spans="3:5">
      <c r="C1587">
        <v>11.34</v>
      </c>
      <c r="D1587" s="17">
        <v>42459</v>
      </c>
      <c r="E1587" t="s">
        <v>100</v>
      </c>
    </row>
    <row r="1588" spans="3:5">
      <c r="C1588">
        <v>11.34</v>
      </c>
      <c r="D1588" s="17">
        <v>42625</v>
      </c>
      <c r="E1588" t="s">
        <v>74</v>
      </c>
    </row>
    <row r="1589" spans="3:5">
      <c r="C1589">
        <v>11.34</v>
      </c>
      <c r="D1589" s="17">
        <v>42749</v>
      </c>
      <c r="E1589" t="s">
        <v>100</v>
      </c>
    </row>
    <row r="1590" spans="3:5">
      <c r="C1590">
        <v>11.352000000000002</v>
      </c>
      <c r="D1590" s="17">
        <v>41903</v>
      </c>
      <c r="E1590" t="s">
        <v>1748</v>
      </c>
    </row>
    <row r="1591" spans="3:5">
      <c r="C1591">
        <v>11.352000000000002</v>
      </c>
      <c r="D1591" s="17">
        <v>42317</v>
      </c>
      <c r="E1591" t="s">
        <v>1748</v>
      </c>
    </row>
    <row r="1592" spans="3:5">
      <c r="C1592">
        <v>11.352000000000002</v>
      </c>
      <c r="D1592" s="17">
        <v>43073</v>
      </c>
      <c r="E1592" t="s">
        <v>715</v>
      </c>
    </row>
    <row r="1593" spans="3:5">
      <c r="C1593">
        <v>11.36</v>
      </c>
      <c r="D1593" s="17">
        <v>41652</v>
      </c>
      <c r="E1593" t="s">
        <v>79</v>
      </c>
    </row>
    <row r="1594" spans="3:5">
      <c r="C1594">
        <v>11.36</v>
      </c>
      <c r="D1594" s="17">
        <v>41700</v>
      </c>
      <c r="E1594" t="s">
        <v>79</v>
      </c>
    </row>
    <row r="1595" spans="3:5">
      <c r="C1595">
        <v>11.36</v>
      </c>
      <c r="D1595" s="17">
        <v>41957</v>
      </c>
      <c r="E1595" t="s">
        <v>1313</v>
      </c>
    </row>
    <row r="1596" spans="3:5">
      <c r="C1596">
        <v>11.36</v>
      </c>
      <c r="D1596" s="17">
        <v>41965</v>
      </c>
      <c r="E1596" t="s">
        <v>79</v>
      </c>
    </row>
    <row r="1597" spans="3:5">
      <c r="C1597">
        <v>11.36</v>
      </c>
      <c r="D1597" s="17">
        <v>41983</v>
      </c>
      <c r="E1597" t="s">
        <v>1313</v>
      </c>
    </row>
    <row r="1598" spans="3:5">
      <c r="C1598">
        <v>11.36</v>
      </c>
      <c r="D1598" s="17">
        <v>42229</v>
      </c>
      <c r="E1598" t="s">
        <v>1719</v>
      </c>
    </row>
    <row r="1599" spans="3:5">
      <c r="C1599">
        <v>11.36</v>
      </c>
      <c r="D1599" s="17">
        <v>42681</v>
      </c>
      <c r="E1599" t="s">
        <v>897</v>
      </c>
    </row>
    <row r="1600" spans="3:5">
      <c r="C1600">
        <v>11.363999999999997</v>
      </c>
      <c r="D1600" s="17">
        <v>42323</v>
      </c>
      <c r="E1600" t="s">
        <v>526</v>
      </c>
    </row>
    <row r="1601" spans="3:5">
      <c r="C1601">
        <v>11.363999999999997</v>
      </c>
      <c r="D1601" s="17">
        <v>42836</v>
      </c>
      <c r="E1601" t="s">
        <v>526</v>
      </c>
    </row>
    <row r="1602" spans="3:5">
      <c r="C1602">
        <v>11.376000000000001</v>
      </c>
      <c r="D1602" s="17">
        <v>42678</v>
      </c>
      <c r="E1602" t="s">
        <v>584</v>
      </c>
    </row>
    <row r="1603" spans="3:5">
      <c r="C1603">
        <v>11.393999999999998</v>
      </c>
      <c r="D1603" s="17">
        <v>42921</v>
      </c>
      <c r="E1603" t="s">
        <v>781</v>
      </c>
    </row>
    <row r="1604" spans="3:5">
      <c r="C1604">
        <v>11.415999999999997</v>
      </c>
      <c r="D1604" s="17">
        <v>42574</v>
      </c>
      <c r="E1604" t="s">
        <v>1576</v>
      </c>
    </row>
    <row r="1605" spans="3:5">
      <c r="C1605">
        <v>11.416</v>
      </c>
      <c r="D1605" s="17">
        <v>42721</v>
      </c>
      <c r="E1605" t="s">
        <v>1576</v>
      </c>
    </row>
    <row r="1606" spans="3:5">
      <c r="C1606">
        <v>11.423999999999999</v>
      </c>
      <c r="D1606" s="17">
        <v>43002</v>
      </c>
      <c r="E1606" t="s">
        <v>1263</v>
      </c>
    </row>
    <row r="1607" spans="3:5">
      <c r="C1607">
        <v>11.423999999999999</v>
      </c>
      <c r="D1607" s="17">
        <v>43044</v>
      </c>
      <c r="E1607" t="s">
        <v>1384</v>
      </c>
    </row>
    <row r="1608" spans="3:5">
      <c r="C1608">
        <v>11.43</v>
      </c>
      <c r="D1608" s="17">
        <v>41715</v>
      </c>
      <c r="E1608" t="s">
        <v>378</v>
      </c>
    </row>
    <row r="1609" spans="3:5">
      <c r="C1609">
        <v>11.52</v>
      </c>
      <c r="D1609" s="17">
        <v>41842</v>
      </c>
      <c r="E1609" t="s">
        <v>1764</v>
      </c>
    </row>
    <row r="1610" spans="3:5">
      <c r="C1610">
        <v>11.52</v>
      </c>
      <c r="D1610" s="17">
        <v>41925</v>
      </c>
      <c r="E1610" t="s">
        <v>1764</v>
      </c>
    </row>
    <row r="1611" spans="3:5">
      <c r="C1611">
        <v>11.52</v>
      </c>
      <c r="D1611" s="17">
        <v>41957</v>
      </c>
      <c r="E1611" t="s">
        <v>139</v>
      </c>
    </row>
    <row r="1612" spans="3:5">
      <c r="C1612">
        <v>11.52</v>
      </c>
      <c r="D1612" s="17">
        <v>41969</v>
      </c>
      <c r="E1612" t="s">
        <v>130</v>
      </c>
    </row>
    <row r="1613" spans="3:5">
      <c r="C1613">
        <v>11.52</v>
      </c>
      <c r="D1613" s="17">
        <v>41981</v>
      </c>
      <c r="E1613" t="s">
        <v>620</v>
      </c>
    </row>
    <row r="1614" spans="3:5">
      <c r="C1614">
        <v>11.52</v>
      </c>
      <c r="D1614" s="17">
        <v>42050</v>
      </c>
      <c r="E1614" t="s">
        <v>139</v>
      </c>
    </row>
    <row r="1615" spans="3:5">
      <c r="C1615">
        <v>11.52</v>
      </c>
      <c r="D1615" s="17">
        <v>42201</v>
      </c>
      <c r="E1615" t="s">
        <v>886</v>
      </c>
    </row>
    <row r="1616" spans="3:5">
      <c r="C1616">
        <v>11.52</v>
      </c>
      <c r="D1616" s="17">
        <v>42328</v>
      </c>
      <c r="E1616" t="s">
        <v>1532</v>
      </c>
    </row>
    <row r="1617" spans="3:5">
      <c r="C1617">
        <v>11.52</v>
      </c>
      <c r="D1617" s="17">
        <v>42656</v>
      </c>
      <c r="E1617" t="s">
        <v>1139</v>
      </c>
    </row>
    <row r="1618" spans="3:5">
      <c r="C1618">
        <v>11.52</v>
      </c>
      <c r="D1618" s="17">
        <v>42755</v>
      </c>
      <c r="E1618" t="s">
        <v>130</v>
      </c>
    </row>
    <row r="1619" spans="3:5">
      <c r="C1619">
        <v>11.52</v>
      </c>
      <c r="D1619" s="17">
        <v>42800</v>
      </c>
      <c r="E1619" t="s">
        <v>324</v>
      </c>
    </row>
    <row r="1620" spans="3:5">
      <c r="C1620">
        <v>11.52</v>
      </c>
      <c r="D1620" s="17">
        <v>43062</v>
      </c>
      <c r="E1620" t="s">
        <v>130</v>
      </c>
    </row>
    <row r="1621" spans="3:5">
      <c r="C1621">
        <v>11.520000000000001</v>
      </c>
      <c r="D1621" s="17">
        <v>42982</v>
      </c>
      <c r="E1621" t="s">
        <v>1141</v>
      </c>
    </row>
    <row r="1622" spans="3:5">
      <c r="C1622">
        <v>11.520000000000001</v>
      </c>
      <c r="D1622" s="17">
        <v>43049</v>
      </c>
      <c r="E1622" t="s">
        <v>1401</v>
      </c>
    </row>
    <row r="1623" spans="3:5">
      <c r="C1623">
        <v>11.54</v>
      </c>
      <c r="D1623" s="17">
        <v>42846</v>
      </c>
      <c r="E1623" t="s">
        <v>573</v>
      </c>
    </row>
    <row r="1624" spans="3:5">
      <c r="C1624">
        <v>11.54</v>
      </c>
      <c r="D1624" s="17">
        <v>42915</v>
      </c>
      <c r="E1624" t="s">
        <v>374</v>
      </c>
    </row>
    <row r="1625" spans="3:5">
      <c r="C1625">
        <v>11.54</v>
      </c>
      <c r="D1625" s="17">
        <v>42947</v>
      </c>
      <c r="E1625" t="s">
        <v>1028</v>
      </c>
    </row>
    <row r="1626" spans="3:5">
      <c r="C1626">
        <v>11.54</v>
      </c>
      <c r="D1626" s="17">
        <v>42980</v>
      </c>
      <c r="E1626" t="s">
        <v>1120</v>
      </c>
    </row>
    <row r="1627" spans="3:5">
      <c r="C1627">
        <v>11.56</v>
      </c>
      <c r="D1627" s="17">
        <v>41873</v>
      </c>
      <c r="E1627" t="s">
        <v>1255</v>
      </c>
    </row>
    <row r="1628" spans="3:5">
      <c r="C1628">
        <v>11.56</v>
      </c>
      <c r="D1628" s="17">
        <v>42000</v>
      </c>
      <c r="E1628" t="s">
        <v>1784</v>
      </c>
    </row>
    <row r="1629" spans="3:5">
      <c r="C1629">
        <v>11.56</v>
      </c>
      <c r="D1629" s="17">
        <v>42300</v>
      </c>
      <c r="E1629" t="s">
        <v>408</v>
      </c>
    </row>
    <row r="1630" spans="3:5">
      <c r="C1630">
        <v>11.56</v>
      </c>
      <c r="D1630" s="17">
        <v>42608</v>
      </c>
      <c r="E1630" t="s">
        <v>959</v>
      </c>
    </row>
    <row r="1631" spans="3:5">
      <c r="C1631">
        <v>11.56</v>
      </c>
      <c r="D1631" s="17">
        <v>42698</v>
      </c>
      <c r="E1631" t="s">
        <v>408</v>
      </c>
    </row>
    <row r="1632" spans="3:5">
      <c r="C1632">
        <v>11.56</v>
      </c>
      <c r="D1632" s="17">
        <v>42726</v>
      </c>
      <c r="E1632" t="s">
        <v>1575</v>
      </c>
    </row>
    <row r="1633" spans="3:5">
      <c r="C1633">
        <v>11.56</v>
      </c>
      <c r="D1633" s="17">
        <v>42896</v>
      </c>
      <c r="E1633" t="s">
        <v>822</v>
      </c>
    </row>
    <row r="1634" spans="3:5">
      <c r="C1634">
        <v>11.56</v>
      </c>
      <c r="D1634" s="17">
        <v>42992</v>
      </c>
      <c r="E1634" t="s">
        <v>1193</v>
      </c>
    </row>
    <row r="1635" spans="3:5">
      <c r="C1635">
        <v>11.56</v>
      </c>
      <c r="D1635" s="17">
        <v>43031</v>
      </c>
      <c r="E1635" t="s">
        <v>1344</v>
      </c>
    </row>
    <row r="1636" spans="3:5">
      <c r="C1636">
        <v>11.56</v>
      </c>
      <c r="D1636" s="17">
        <v>43051</v>
      </c>
      <c r="E1636" t="s">
        <v>1255</v>
      </c>
    </row>
    <row r="1637" spans="3:5">
      <c r="C1637">
        <v>11.568000000000001</v>
      </c>
      <c r="D1637" s="17">
        <v>42647</v>
      </c>
      <c r="E1637" t="s">
        <v>1356</v>
      </c>
    </row>
    <row r="1638" spans="3:5">
      <c r="C1638">
        <v>11.568000000000001</v>
      </c>
      <c r="D1638" s="17">
        <v>42905</v>
      </c>
      <c r="E1638" t="s">
        <v>68</v>
      </c>
    </row>
    <row r="1639" spans="3:5">
      <c r="C1639">
        <v>11.610000000000003</v>
      </c>
      <c r="D1639" s="17">
        <v>42330</v>
      </c>
      <c r="E1639" t="s">
        <v>204</v>
      </c>
    </row>
    <row r="1640" spans="3:5">
      <c r="C1640">
        <v>11.62</v>
      </c>
      <c r="D1640" s="17">
        <v>41747</v>
      </c>
      <c r="E1640" t="s">
        <v>1471</v>
      </c>
    </row>
    <row r="1641" spans="3:5">
      <c r="C1641">
        <v>11.632</v>
      </c>
      <c r="D1641" s="17">
        <v>42565</v>
      </c>
      <c r="E1641" t="s">
        <v>1108</v>
      </c>
    </row>
    <row r="1642" spans="3:5">
      <c r="C1642">
        <v>11.64</v>
      </c>
      <c r="D1642" s="17">
        <v>41946</v>
      </c>
      <c r="E1642" t="s">
        <v>1112</v>
      </c>
    </row>
    <row r="1643" spans="3:5">
      <c r="C1643">
        <v>11.645999999999997</v>
      </c>
      <c r="D1643" s="17">
        <v>43008</v>
      </c>
      <c r="E1643" t="s">
        <v>54</v>
      </c>
    </row>
    <row r="1644" spans="3:5">
      <c r="C1644">
        <v>11.647999999999998</v>
      </c>
      <c r="D1644" s="17">
        <v>42705</v>
      </c>
      <c r="E1644" t="s">
        <v>300</v>
      </c>
    </row>
    <row r="1645" spans="3:5">
      <c r="C1645">
        <v>11.648000000000001</v>
      </c>
      <c r="D1645" s="17">
        <v>41810</v>
      </c>
      <c r="E1645" t="s">
        <v>1744</v>
      </c>
    </row>
    <row r="1646" spans="3:5">
      <c r="C1646">
        <v>11.648000000000001</v>
      </c>
      <c r="D1646" s="17">
        <v>42385</v>
      </c>
      <c r="E1646" t="s">
        <v>931</v>
      </c>
    </row>
    <row r="1647" spans="3:5">
      <c r="C1647">
        <v>11.648000000000001</v>
      </c>
      <c r="D1647" s="17">
        <v>42573</v>
      </c>
      <c r="E1647" t="s">
        <v>566</v>
      </c>
    </row>
    <row r="1648" spans="3:5">
      <c r="C1648">
        <v>11.648000000000001</v>
      </c>
      <c r="D1648" s="17">
        <v>42722</v>
      </c>
      <c r="E1648" t="s">
        <v>1579</v>
      </c>
    </row>
    <row r="1649" spans="3:5">
      <c r="C1649">
        <v>11.648000000000001</v>
      </c>
      <c r="D1649" s="17">
        <v>43021</v>
      </c>
      <c r="E1649" t="s">
        <v>1225</v>
      </c>
    </row>
    <row r="1650" spans="3:5">
      <c r="C1650">
        <v>11.65</v>
      </c>
      <c r="D1650" s="17">
        <v>42316</v>
      </c>
      <c r="E1650" t="s">
        <v>306</v>
      </c>
    </row>
    <row r="1651" spans="3:5">
      <c r="C1651">
        <v>11.664000000000001</v>
      </c>
      <c r="D1651" s="17">
        <v>42848</v>
      </c>
      <c r="E1651" t="s">
        <v>589</v>
      </c>
    </row>
    <row r="1652" spans="3:5">
      <c r="C1652">
        <v>11.67</v>
      </c>
      <c r="D1652" s="17">
        <v>42527</v>
      </c>
      <c r="E1652" t="s">
        <v>774</v>
      </c>
    </row>
    <row r="1653" spans="3:5">
      <c r="C1653">
        <v>11.67</v>
      </c>
      <c r="D1653" s="17">
        <v>42672</v>
      </c>
      <c r="E1653" t="s">
        <v>1184</v>
      </c>
    </row>
    <row r="1654" spans="3:5">
      <c r="C1654">
        <v>11.672000000000001</v>
      </c>
      <c r="D1654" s="17">
        <v>42170</v>
      </c>
      <c r="E1654" t="s">
        <v>1814</v>
      </c>
    </row>
    <row r="1655" spans="3:5">
      <c r="C1655">
        <v>11.673000000000002</v>
      </c>
      <c r="D1655" s="17">
        <v>43042</v>
      </c>
      <c r="E1655" t="s">
        <v>1042</v>
      </c>
    </row>
    <row r="1656" spans="3:5">
      <c r="C1656">
        <v>11.673000000000002</v>
      </c>
      <c r="D1656" s="17">
        <v>43063</v>
      </c>
      <c r="E1656" t="s">
        <v>1042</v>
      </c>
    </row>
    <row r="1657" spans="3:5">
      <c r="C1657">
        <v>11.68</v>
      </c>
      <c r="D1657" s="17">
        <v>42265</v>
      </c>
      <c r="E1657" t="s">
        <v>196</v>
      </c>
    </row>
    <row r="1658" spans="3:5">
      <c r="C1658">
        <v>11.68</v>
      </c>
      <c r="D1658" s="17">
        <v>42609</v>
      </c>
      <c r="E1658" t="s">
        <v>74</v>
      </c>
    </row>
    <row r="1659" spans="3:5">
      <c r="C1659">
        <v>11.68</v>
      </c>
      <c r="D1659" s="17">
        <v>42618</v>
      </c>
      <c r="E1659" t="s">
        <v>1433</v>
      </c>
    </row>
    <row r="1660" spans="3:5">
      <c r="C1660">
        <v>11.68</v>
      </c>
      <c r="D1660" s="17">
        <v>42673</v>
      </c>
      <c r="E1660" t="s">
        <v>167</v>
      </c>
    </row>
    <row r="1661" spans="3:5">
      <c r="C1661">
        <v>11.68</v>
      </c>
      <c r="D1661" s="17">
        <v>42915</v>
      </c>
      <c r="E1661" t="s">
        <v>904</v>
      </c>
    </row>
    <row r="1662" spans="3:5">
      <c r="C1662">
        <v>11.68</v>
      </c>
      <c r="D1662" s="17">
        <v>42939</v>
      </c>
      <c r="E1662" t="s">
        <v>196</v>
      </c>
    </row>
    <row r="1663" spans="3:5">
      <c r="C1663">
        <v>11.68</v>
      </c>
      <c r="D1663" s="17">
        <v>42954</v>
      </c>
      <c r="E1663" t="s">
        <v>196</v>
      </c>
    </row>
    <row r="1664" spans="3:5">
      <c r="C1664">
        <v>11.68</v>
      </c>
      <c r="D1664" s="17">
        <v>43023</v>
      </c>
      <c r="E1664" t="s">
        <v>1304</v>
      </c>
    </row>
    <row r="1665" spans="3:5">
      <c r="C1665">
        <v>11.68</v>
      </c>
      <c r="D1665" s="17">
        <v>43032</v>
      </c>
      <c r="E1665" t="s">
        <v>74</v>
      </c>
    </row>
    <row r="1666" spans="3:5">
      <c r="C1666">
        <v>11.688000000000001</v>
      </c>
      <c r="D1666" s="17">
        <v>42525</v>
      </c>
      <c r="E1666" t="s">
        <v>491</v>
      </c>
    </row>
    <row r="1667" spans="3:5">
      <c r="C1667">
        <v>11.696</v>
      </c>
      <c r="D1667" s="17">
        <v>42329</v>
      </c>
      <c r="E1667" t="s">
        <v>679</v>
      </c>
    </row>
    <row r="1668" spans="3:5">
      <c r="C1668">
        <v>11.696</v>
      </c>
      <c r="D1668" s="17">
        <v>42358</v>
      </c>
      <c r="E1668" t="s">
        <v>382</v>
      </c>
    </row>
    <row r="1669" spans="3:5">
      <c r="C1669">
        <v>11.696</v>
      </c>
      <c r="D1669" s="17">
        <v>42980</v>
      </c>
      <c r="E1669" t="s">
        <v>1128</v>
      </c>
    </row>
    <row r="1670" spans="3:5">
      <c r="C1670">
        <v>11.736000000000001</v>
      </c>
      <c r="D1670" s="17">
        <v>42101</v>
      </c>
      <c r="E1670" t="s">
        <v>841</v>
      </c>
    </row>
    <row r="1671" spans="3:5">
      <c r="C1671">
        <v>11.744</v>
      </c>
      <c r="D1671" s="17">
        <v>42672</v>
      </c>
      <c r="E1671" t="s">
        <v>375</v>
      </c>
    </row>
    <row r="1672" spans="3:5">
      <c r="C1672">
        <v>11.76</v>
      </c>
      <c r="D1672" s="17">
        <v>41995</v>
      </c>
      <c r="E1672" t="s">
        <v>1452</v>
      </c>
    </row>
    <row r="1673" spans="3:5">
      <c r="C1673">
        <v>11.76</v>
      </c>
      <c r="D1673" s="17">
        <v>42156</v>
      </c>
      <c r="E1673" t="s">
        <v>248</v>
      </c>
    </row>
    <row r="1674" spans="3:5">
      <c r="C1674">
        <v>11.76</v>
      </c>
      <c r="D1674" s="17">
        <v>42320</v>
      </c>
      <c r="E1674" t="s">
        <v>1535</v>
      </c>
    </row>
    <row r="1675" spans="3:5">
      <c r="C1675">
        <v>11.76</v>
      </c>
      <c r="D1675" s="17">
        <v>42633</v>
      </c>
      <c r="E1675" t="s">
        <v>1220</v>
      </c>
    </row>
    <row r="1676" spans="3:5">
      <c r="C1676">
        <v>11.76</v>
      </c>
      <c r="D1676" s="17">
        <v>42783</v>
      </c>
      <c r="E1676" t="s">
        <v>248</v>
      </c>
    </row>
    <row r="1677" spans="3:5">
      <c r="C1677">
        <v>11.76</v>
      </c>
      <c r="D1677" s="17">
        <v>43008</v>
      </c>
      <c r="E1677" t="s">
        <v>248</v>
      </c>
    </row>
    <row r="1678" spans="3:5">
      <c r="C1678">
        <v>11.76</v>
      </c>
      <c r="D1678" s="17">
        <v>43041</v>
      </c>
      <c r="E1678" t="s">
        <v>248</v>
      </c>
    </row>
    <row r="1679" spans="3:5">
      <c r="C1679">
        <v>11.76</v>
      </c>
      <c r="D1679" s="17">
        <v>43060</v>
      </c>
      <c r="E1679" t="s">
        <v>1452</v>
      </c>
    </row>
    <row r="1680" spans="3:5">
      <c r="C1680">
        <v>11.76</v>
      </c>
      <c r="D1680" s="17">
        <v>43073</v>
      </c>
      <c r="E1680" t="s">
        <v>248</v>
      </c>
    </row>
    <row r="1681" spans="3:5">
      <c r="C1681">
        <v>11.760000000000002</v>
      </c>
      <c r="D1681" s="17">
        <v>42848</v>
      </c>
      <c r="E1681" t="s">
        <v>583</v>
      </c>
    </row>
    <row r="1682" spans="3:5">
      <c r="C1682">
        <v>11.784000000000001</v>
      </c>
      <c r="D1682" s="17">
        <v>41643</v>
      </c>
      <c r="E1682" t="s">
        <v>874</v>
      </c>
    </row>
    <row r="1683" spans="3:5">
      <c r="C1683">
        <v>11.784000000000001</v>
      </c>
      <c r="D1683" s="17">
        <v>42190</v>
      </c>
      <c r="E1683" t="s">
        <v>874</v>
      </c>
    </row>
    <row r="1684" spans="3:5">
      <c r="C1684">
        <v>11.784000000000001</v>
      </c>
      <c r="D1684" s="17">
        <v>42586</v>
      </c>
      <c r="E1684" t="s">
        <v>55</v>
      </c>
    </row>
    <row r="1685" spans="3:5">
      <c r="C1685">
        <v>11.784000000000001</v>
      </c>
      <c r="D1685" s="17">
        <v>42995</v>
      </c>
      <c r="E1685" t="s">
        <v>521</v>
      </c>
    </row>
    <row r="1686" spans="3:5">
      <c r="C1686">
        <v>11.784000000000001</v>
      </c>
      <c r="D1686" s="17">
        <v>42998</v>
      </c>
      <c r="E1686" t="s">
        <v>55</v>
      </c>
    </row>
    <row r="1687" spans="3:5">
      <c r="C1687">
        <v>11.8</v>
      </c>
      <c r="D1687" s="17">
        <v>42300</v>
      </c>
      <c r="E1687" t="s">
        <v>637</v>
      </c>
    </row>
    <row r="1688" spans="3:5">
      <c r="C1688">
        <v>11.808</v>
      </c>
      <c r="D1688" s="17">
        <v>41717</v>
      </c>
      <c r="E1688" t="s">
        <v>674</v>
      </c>
    </row>
    <row r="1689" spans="3:5">
      <c r="C1689">
        <v>11.808</v>
      </c>
      <c r="D1689" s="17">
        <v>42198</v>
      </c>
      <c r="E1689" t="s">
        <v>1526</v>
      </c>
    </row>
    <row r="1690" spans="3:5">
      <c r="C1690">
        <v>11.808</v>
      </c>
      <c r="D1690" s="17">
        <v>42279</v>
      </c>
      <c r="E1690" t="s">
        <v>151</v>
      </c>
    </row>
    <row r="1691" spans="3:5">
      <c r="C1691">
        <v>11.808</v>
      </c>
      <c r="D1691" s="17">
        <v>42982</v>
      </c>
      <c r="E1691" t="s">
        <v>151</v>
      </c>
    </row>
    <row r="1692" spans="3:5">
      <c r="C1692">
        <v>11.808</v>
      </c>
      <c r="D1692" s="17">
        <v>43010</v>
      </c>
      <c r="E1692" t="s">
        <v>416</v>
      </c>
    </row>
    <row r="1693" spans="3:5">
      <c r="C1693">
        <v>11.808</v>
      </c>
      <c r="D1693" s="17">
        <v>43086</v>
      </c>
      <c r="E1693" t="s">
        <v>1526</v>
      </c>
    </row>
    <row r="1694" spans="3:5">
      <c r="C1694">
        <v>11.808000000000002</v>
      </c>
      <c r="D1694" s="17">
        <v>41961</v>
      </c>
      <c r="E1694" t="s">
        <v>151</v>
      </c>
    </row>
    <row r="1695" spans="3:5">
      <c r="C1695">
        <v>11.82</v>
      </c>
      <c r="D1695" s="17">
        <v>42316</v>
      </c>
      <c r="E1695" t="s">
        <v>1822</v>
      </c>
    </row>
    <row r="1696" spans="3:5">
      <c r="C1696">
        <v>11.824</v>
      </c>
      <c r="D1696" s="17">
        <v>42300</v>
      </c>
      <c r="E1696" t="s">
        <v>1713</v>
      </c>
    </row>
    <row r="1697" spans="3:5">
      <c r="C1697">
        <v>11.84</v>
      </c>
      <c r="D1697" s="17">
        <v>42761</v>
      </c>
      <c r="E1697" t="s">
        <v>164</v>
      </c>
    </row>
    <row r="1698" spans="3:5">
      <c r="C1698">
        <v>11.840000000000002</v>
      </c>
      <c r="D1698" s="17">
        <v>42679</v>
      </c>
      <c r="E1698" t="s">
        <v>843</v>
      </c>
    </row>
    <row r="1699" spans="3:5">
      <c r="C1699">
        <v>11.840000000000002</v>
      </c>
      <c r="D1699" s="17">
        <v>42726</v>
      </c>
      <c r="E1699" t="s">
        <v>608</v>
      </c>
    </row>
    <row r="1700" spans="3:5">
      <c r="C1700">
        <v>11.850000000000001</v>
      </c>
      <c r="D1700" s="17">
        <v>41936</v>
      </c>
      <c r="E1700" t="s">
        <v>312</v>
      </c>
    </row>
    <row r="1701" spans="3:5">
      <c r="C1701">
        <v>11.88</v>
      </c>
      <c r="D1701" s="17">
        <v>41764</v>
      </c>
      <c r="E1701" t="s">
        <v>531</v>
      </c>
    </row>
    <row r="1702" spans="3:5">
      <c r="C1702">
        <v>11.88</v>
      </c>
      <c r="D1702" s="17">
        <v>42372</v>
      </c>
      <c r="E1702" t="s">
        <v>531</v>
      </c>
    </row>
    <row r="1703" spans="3:5">
      <c r="C1703">
        <v>11.880000000000003</v>
      </c>
      <c r="D1703" s="17">
        <v>42591</v>
      </c>
      <c r="E1703" t="s">
        <v>698</v>
      </c>
    </row>
    <row r="1704" spans="3:5">
      <c r="C1704">
        <v>11.91</v>
      </c>
      <c r="D1704" s="17">
        <v>41999</v>
      </c>
      <c r="E1704" t="s">
        <v>1712</v>
      </c>
    </row>
    <row r="1705" spans="3:5">
      <c r="C1705">
        <v>11.94</v>
      </c>
      <c r="D1705" s="17">
        <v>42821</v>
      </c>
      <c r="E1705" t="s">
        <v>448</v>
      </c>
    </row>
    <row r="1706" spans="3:5">
      <c r="C1706">
        <v>11.952000000000002</v>
      </c>
      <c r="D1706" s="17">
        <v>41939</v>
      </c>
      <c r="E1706" t="s">
        <v>296</v>
      </c>
    </row>
    <row r="1707" spans="3:5">
      <c r="C1707">
        <v>11.952000000000002</v>
      </c>
      <c r="D1707" s="17">
        <v>42173</v>
      </c>
      <c r="E1707" t="s">
        <v>1845</v>
      </c>
    </row>
    <row r="1708" spans="3:5">
      <c r="C1708">
        <v>11.952000000000002</v>
      </c>
      <c r="D1708" s="17">
        <v>42187</v>
      </c>
      <c r="E1708" t="s">
        <v>296</v>
      </c>
    </row>
    <row r="1709" spans="3:5">
      <c r="C1709">
        <v>11.952000000000002</v>
      </c>
      <c r="D1709" s="17">
        <v>42310</v>
      </c>
      <c r="E1709" t="s">
        <v>554</v>
      </c>
    </row>
    <row r="1710" spans="3:5">
      <c r="C1710">
        <v>11.952000000000002</v>
      </c>
      <c r="D1710" s="17">
        <v>42632</v>
      </c>
      <c r="E1710" t="s">
        <v>554</v>
      </c>
    </row>
    <row r="1711" spans="3:5">
      <c r="C1711">
        <v>11.952000000000002</v>
      </c>
      <c r="D1711" s="17">
        <v>42636</v>
      </c>
      <c r="E1711" t="s">
        <v>1171</v>
      </c>
    </row>
    <row r="1712" spans="3:5">
      <c r="C1712">
        <v>11.952000000000002</v>
      </c>
      <c r="D1712" s="17">
        <v>42709</v>
      </c>
      <c r="E1712" t="s">
        <v>1412</v>
      </c>
    </row>
    <row r="1713" spans="3:5">
      <c r="C1713">
        <v>11.952000000000002</v>
      </c>
      <c r="D1713" s="17">
        <v>42855</v>
      </c>
      <c r="E1713" t="s">
        <v>490</v>
      </c>
    </row>
    <row r="1714" spans="3:5">
      <c r="C1714">
        <v>11.952000000000002</v>
      </c>
      <c r="D1714" s="17">
        <v>42954</v>
      </c>
      <c r="E1714" t="s">
        <v>554</v>
      </c>
    </row>
    <row r="1715" spans="3:5">
      <c r="C1715">
        <v>11.96</v>
      </c>
      <c r="D1715" s="17">
        <v>41840</v>
      </c>
      <c r="E1715" t="s">
        <v>1676</v>
      </c>
    </row>
    <row r="1716" spans="3:5">
      <c r="C1716">
        <v>11.96</v>
      </c>
      <c r="D1716" s="17">
        <v>41955</v>
      </c>
      <c r="E1716" t="s">
        <v>1839</v>
      </c>
    </row>
    <row r="1717" spans="3:5">
      <c r="C1717">
        <v>11.96</v>
      </c>
      <c r="D1717" s="17">
        <v>42082</v>
      </c>
      <c r="E1717" t="s">
        <v>1839</v>
      </c>
    </row>
    <row r="1718" spans="3:5">
      <c r="C1718">
        <v>11.96</v>
      </c>
      <c r="D1718" s="17">
        <v>42111</v>
      </c>
      <c r="E1718" t="s">
        <v>236</v>
      </c>
    </row>
    <row r="1719" spans="3:5">
      <c r="C1719">
        <v>11.96</v>
      </c>
      <c r="D1719" s="17">
        <v>42227</v>
      </c>
      <c r="E1719" t="s">
        <v>857</v>
      </c>
    </row>
    <row r="1720" spans="3:5">
      <c r="C1720">
        <v>11.96</v>
      </c>
      <c r="D1720" s="17">
        <v>42500</v>
      </c>
      <c r="E1720" t="s">
        <v>1676</v>
      </c>
    </row>
    <row r="1721" spans="3:5">
      <c r="C1721">
        <v>11.96</v>
      </c>
      <c r="D1721" s="17">
        <v>42614</v>
      </c>
      <c r="E1721" t="s">
        <v>1642</v>
      </c>
    </row>
    <row r="1722" spans="3:5">
      <c r="C1722">
        <v>11.96</v>
      </c>
      <c r="D1722" s="17">
        <v>42757</v>
      </c>
      <c r="E1722" t="s">
        <v>147</v>
      </c>
    </row>
    <row r="1723" spans="3:5">
      <c r="C1723">
        <v>11.96</v>
      </c>
      <c r="D1723" s="17">
        <v>42889</v>
      </c>
      <c r="E1723" t="s">
        <v>220</v>
      </c>
    </row>
    <row r="1724" spans="3:5">
      <c r="C1724">
        <v>11.976000000000003</v>
      </c>
      <c r="D1724" s="17">
        <v>42649</v>
      </c>
      <c r="E1724" t="s">
        <v>706</v>
      </c>
    </row>
    <row r="1725" spans="3:5">
      <c r="C1725">
        <v>11.979999999999997</v>
      </c>
      <c r="D1725" s="17">
        <v>41922</v>
      </c>
      <c r="E1725" t="s">
        <v>1071</v>
      </c>
    </row>
    <row r="1726" spans="3:5">
      <c r="C1726">
        <v>11.992000000000001</v>
      </c>
      <c r="D1726" s="17">
        <v>42449</v>
      </c>
      <c r="E1726" t="s">
        <v>953</v>
      </c>
    </row>
    <row r="1727" spans="3:5">
      <c r="C1727">
        <v>12</v>
      </c>
      <c r="D1727" s="17">
        <v>42269</v>
      </c>
      <c r="E1727" t="s">
        <v>116</v>
      </c>
    </row>
    <row r="1728" spans="3:5">
      <c r="C1728">
        <v>12.030000000000001</v>
      </c>
      <c r="D1728" s="17">
        <v>42842</v>
      </c>
      <c r="E1728" t="s">
        <v>552</v>
      </c>
    </row>
    <row r="1729" spans="3:5">
      <c r="C1729">
        <v>12.032</v>
      </c>
      <c r="D1729" s="17">
        <v>42239</v>
      </c>
      <c r="E1729" t="s">
        <v>74</v>
      </c>
    </row>
    <row r="1730" spans="3:5">
      <c r="C1730">
        <v>12.059999999999999</v>
      </c>
      <c r="D1730" s="17">
        <v>42882</v>
      </c>
      <c r="E1730" t="s">
        <v>761</v>
      </c>
    </row>
    <row r="1731" spans="3:5">
      <c r="C1731">
        <v>12.07</v>
      </c>
      <c r="D1731" s="17">
        <v>43000</v>
      </c>
      <c r="E1731" t="s">
        <v>585</v>
      </c>
    </row>
    <row r="1732" spans="3:5">
      <c r="C1732">
        <v>12.096000000000002</v>
      </c>
      <c r="D1732" s="17">
        <v>41967</v>
      </c>
      <c r="E1732" t="s">
        <v>1524</v>
      </c>
    </row>
    <row r="1733" spans="3:5">
      <c r="C1733">
        <v>12.12</v>
      </c>
      <c r="D1733" s="17">
        <v>42749</v>
      </c>
      <c r="E1733" t="s">
        <v>99</v>
      </c>
    </row>
    <row r="1734" spans="3:5">
      <c r="C1734">
        <v>12.127999999999997</v>
      </c>
      <c r="D1734" s="17">
        <v>42764</v>
      </c>
      <c r="E1734" t="s">
        <v>174</v>
      </c>
    </row>
    <row r="1735" spans="3:5">
      <c r="C1735">
        <v>12.132000000000001</v>
      </c>
      <c r="D1735" s="17">
        <v>42336</v>
      </c>
      <c r="E1735" t="s">
        <v>1751</v>
      </c>
    </row>
    <row r="1736" spans="3:5">
      <c r="C1736">
        <v>12.144</v>
      </c>
      <c r="D1736" s="17">
        <v>42038</v>
      </c>
      <c r="E1736" t="s">
        <v>791</v>
      </c>
    </row>
    <row r="1737" spans="3:5">
      <c r="C1737">
        <v>12.160000000000002</v>
      </c>
      <c r="D1737" s="17">
        <v>43071</v>
      </c>
      <c r="E1737" t="s">
        <v>67</v>
      </c>
    </row>
    <row r="1738" spans="3:5">
      <c r="C1738">
        <v>12.175999999999998</v>
      </c>
      <c r="D1738" s="17">
        <v>42122</v>
      </c>
      <c r="E1738" t="s">
        <v>808</v>
      </c>
    </row>
    <row r="1739" spans="3:5">
      <c r="C1739">
        <v>12.175999999999998</v>
      </c>
      <c r="D1739" s="17">
        <v>42894</v>
      </c>
      <c r="E1739" t="s">
        <v>808</v>
      </c>
    </row>
    <row r="1740" spans="3:5">
      <c r="C1740">
        <v>12.176000000000002</v>
      </c>
      <c r="D1740" s="17">
        <v>42125</v>
      </c>
      <c r="E1740" t="s">
        <v>808</v>
      </c>
    </row>
    <row r="1741" spans="3:5">
      <c r="C1741">
        <v>12.18</v>
      </c>
      <c r="D1741" s="17">
        <v>41763</v>
      </c>
      <c r="E1741" t="s">
        <v>1090</v>
      </c>
    </row>
    <row r="1742" spans="3:5">
      <c r="C1742">
        <v>12.192</v>
      </c>
      <c r="D1742" s="17">
        <v>42617</v>
      </c>
      <c r="E1742" t="s">
        <v>1118</v>
      </c>
    </row>
    <row r="1743" spans="3:5">
      <c r="C1743">
        <v>12.192</v>
      </c>
      <c r="D1743" s="17">
        <v>42696</v>
      </c>
      <c r="E1743" t="s">
        <v>378</v>
      </c>
    </row>
    <row r="1744" spans="3:5">
      <c r="C1744">
        <v>12.192</v>
      </c>
      <c r="D1744" s="17">
        <v>42980</v>
      </c>
      <c r="E1744" t="s">
        <v>1118</v>
      </c>
    </row>
    <row r="1745" spans="3:5">
      <c r="C1745">
        <v>12.201000000000001</v>
      </c>
      <c r="D1745" s="17">
        <v>42636</v>
      </c>
      <c r="E1745" t="s">
        <v>206</v>
      </c>
    </row>
    <row r="1746" spans="3:5">
      <c r="C1746">
        <v>12.22</v>
      </c>
      <c r="D1746" s="17">
        <v>42618</v>
      </c>
      <c r="E1746" t="s">
        <v>1252</v>
      </c>
    </row>
    <row r="1747" spans="3:5">
      <c r="C1747">
        <v>12.221999999999998</v>
      </c>
      <c r="D1747" s="17">
        <v>42796</v>
      </c>
      <c r="E1747" t="s">
        <v>134</v>
      </c>
    </row>
    <row r="1748" spans="3:5">
      <c r="C1748">
        <v>12.224</v>
      </c>
      <c r="D1748" s="17">
        <v>42150</v>
      </c>
      <c r="E1748" t="s">
        <v>1076</v>
      </c>
    </row>
    <row r="1749" spans="3:5">
      <c r="C1749">
        <v>12.224</v>
      </c>
      <c r="D1749" s="17">
        <v>42343</v>
      </c>
      <c r="E1749" t="s">
        <v>1076</v>
      </c>
    </row>
    <row r="1750" spans="3:5">
      <c r="C1750">
        <v>12.224</v>
      </c>
      <c r="D1750" s="17">
        <v>42903</v>
      </c>
      <c r="E1750" t="s">
        <v>860</v>
      </c>
    </row>
    <row r="1751" spans="3:5">
      <c r="C1751">
        <v>12.224</v>
      </c>
      <c r="D1751" s="17">
        <v>43051</v>
      </c>
      <c r="E1751" t="s">
        <v>89</v>
      </c>
    </row>
    <row r="1752" spans="3:5">
      <c r="C1752">
        <v>12.24</v>
      </c>
      <c r="D1752" s="17">
        <v>42317</v>
      </c>
      <c r="E1752" t="s">
        <v>124</v>
      </c>
    </row>
    <row r="1753" spans="3:5">
      <c r="C1753">
        <v>12.263999999999999</v>
      </c>
      <c r="D1753" s="17">
        <v>43092</v>
      </c>
      <c r="E1753" t="s">
        <v>529</v>
      </c>
    </row>
    <row r="1754" spans="3:5">
      <c r="C1754">
        <v>12.28</v>
      </c>
      <c r="D1754" s="17">
        <v>42754</v>
      </c>
      <c r="E1754" t="s">
        <v>122</v>
      </c>
    </row>
    <row r="1755" spans="3:5">
      <c r="C1755">
        <v>12.294</v>
      </c>
      <c r="D1755" s="17">
        <v>42805</v>
      </c>
      <c r="E1755" t="s">
        <v>348</v>
      </c>
    </row>
    <row r="1756" spans="3:5">
      <c r="C1756">
        <v>12.294</v>
      </c>
      <c r="D1756" s="17">
        <v>42999</v>
      </c>
      <c r="E1756" t="s">
        <v>348</v>
      </c>
    </row>
    <row r="1757" spans="3:5">
      <c r="C1757">
        <v>12.3</v>
      </c>
      <c r="D1757" s="17">
        <v>43093</v>
      </c>
      <c r="E1757" t="s">
        <v>1545</v>
      </c>
    </row>
    <row r="1758" spans="3:5">
      <c r="C1758">
        <v>12.32</v>
      </c>
      <c r="D1758" s="17">
        <v>42630</v>
      </c>
      <c r="E1758" t="s">
        <v>1038</v>
      </c>
    </row>
    <row r="1759" spans="3:5">
      <c r="C1759">
        <v>12.320000000000002</v>
      </c>
      <c r="D1759" s="17">
        <v>42835</v>
      </c>
      <c r="E1759" t="s">
        <v>463</v>
      </c>
    </row>
    <row r="1760" spans="3:5">
      <c r="C1760">
        <v>12.35</v>
      </c>
      <c r="D1760" s="17">
        <v>41862</v>
      </c>
      <c r="E1760" t="s">
        <v>1288</v>
      </c>
    </row>
    <row r="1761" spans="3:5">
      <c r="C1761">
        <v>12.350000000000001</v>
      </c>
      <c r="D1761" s="17">
        <v>41672</v>
      </c>
      <c r="E1761" t="s">
        <v>74</v>
      </c>
    </row>
    <row r="1762" spans="3:5">
      <c r="C1762">
        <v>12.383999999999997</v>
      </c>
      <c r="D1762" s="17">
        <v>41876</v>
      </c>
      <c r="E1762" t="s">
        <v>738</v>
      </c>
    </row>
    <row r="1763" spans="3:5">
      <c r="C1763">
        <v>12.39</v>
      </c>
      <c r="D1763" s="17">
        <v>41943</v>
      </c>
      <c r="E1763" t="s">
        <v>545</v>
      </c>
    </row>
    <row r="1764" spans="3:5">
      <c r="C1764">
        <v>12.39</v>
      </c>
      <c r="D1764" s="17">
        <v>41950</v>
      </c>
      <c r="E1764" t="s">
        <v>277</v>
      </c>
    </row>
    <row r="1765" spans="3:5">
      <c r="C1765">
        <v>12.39</v>
      </c>
      <c r="D1765" s="17">
        <v>41986</v>
      </c>
      <c r="E1765" t="s">
        <v>277</v>
      </c>
    </row>
    <row r="1766" spans="3:5">
      <c r="C1766">
        <v>12.39</v>
      </c>
      <c r="D1766" s="17">
        <v>42153</v>
      </c>
      <c r="E1766" t="s">
        <v>1034</v>
      </c>
    </row>
    <row r="1767" spans="3:5">
      <c r="C1767">
        <v>12.39</v>
      </c>
      <c r="D1767" s="17">
        <v>42194</v>
      </c>
      <c r="E1767" t="s">
        <v>449</v>
      </c>
    </row>
    <row r="1768" spans="3:5">
      <c r="C1768">
        <v>12.39</v>
      </c>
      <c r="D1768" s="17">
        <v>42664</v>
      </c>
      <c r="E1768" t="s">
        <v>602</v>
      </c>
    </row>
    <row r="1769" spans="3:5">
      <c r="C1769">
        <v>12.39</v>
      </c>
      <c r="D1769" s="17">
        <v>42674</v>
      </c>
      <c r="E1769" t="s">
        <v>1559</v>
      </c>
    </row>
    <row r="1770" spans="3:5">
      <c r="C1770">
        <v>12.39</v>
      </c>
      <c r="D1770" s="17">
        <v>42852</v>
      </c>
      <c r="E1770" t="s">
        <v>602</v>
      </c>
    </row>
    <row r="1771" spans="3:5">
      <c r="C1771">
        <v>12.39</v>
      </c>
      <c r="D1771" s="17">
        <v>43042</v>
      </c>
      <c r="E1771" t="s">
        <v>1034</v>
      </c>
    </row>
    <row r="1772" spans="3:5">
      <c r="C1772">
        <v>12.419999999999998</v>
      </c>
      <c r="D1772" s="17">
        <v>41665</v>
      </c>
      <c r="E1772" t="s">
        <v>1368</v>
      </c>
    </row>
    <row r="1773" spans="3:5">
      <c r="C1773">
        <v>12.419999999999998</v>
      </c>
      <c r="D1773" s="17">
        <v>42568</v>
      </c>
      <c r="E1773" t="s">
        <v>1368</v>
      </c>
    </row>
    <row r="1774" spans="3:5">
      <c r="C1774">
        <v>12.419999999999998</v>
      </c>
      <c r="D1774" s="17">
        <v>42671</v>
      </c>
      <c r="E1774" t="s">
        <v>1205</v>
      </c>
    </row>
    <row r="1775" spans="3:5">
      <c r="C1775">
        <v>12.419999999999998</v>
      </c>
      <c r="D1775" s="17">
        <v>42993</v>
      </c>
      <c r="E1775" t="s">
        <v>1205</v>
      </c>
    </row>
    <row r="1776" spans="3:5">
      <c r="C1776">
        <v>12.419999999999998</v>
      </c>
      <c r="D1776" s="17">
        <v>43055</v>
      </c>
      <c r="E1776" t="s">
        <v>1368</v>
      </c>
    </row>
    <row r="1777" spans="3:5">
      <c r="C1777">
        <v>12.448</v>
      </c>
      <c r="D1777" s="17">
        <v>41960</v>
      </c>
      <c r="E1777" t="s">
        <v>291</v>
      </c>
    </row>
    <row r="1778" spans="3:5">
      <c r="C1778">
        <v>12.461999999999996</v>
      </c>
      <c r="D1778" s="17">
        <v>41797</v>
      </c>
      <c r="E1778" t="s">
        <v>133</v>
      </c>
    </row>
    <row r="1779" spans="3:5">
      <c r="C1779">
        <v>12.48</v>
      </c>
      <c r="D1779" s="17">
        <v>42547</v>
      </c>
      <c r="E1779" t="s">
        <v>274</v>
      </c>
    </row>
    <row r="1780" spans="3:5">
      <c r="C1780">
        <v>12.48</v>
      </c>
      <c r="D1780" s="17">
        <v>42890</v>
      </c>
      <c r="E1780" t="s">
        <v>274</v>
      </c>
    </row>
    <row r="1781" spans="3:5">
      <c r="C1781">
        <v>12.53</v>
      </c>
      <c r="D1781" s="17">
        <v>43098</v>
      </c>
      <c r="E1781" t="s">
        <v>592</v>
      </c>
    </row>
    <row r="1782" spans="3:5">
      <c r="C1782">
        <v>12.536000000000001</v>
      </c>
      <c r="D1782" s="17">
        <v>42275</v>
      </c>
      <c r="E1782" t="s">
        <v>427</v>
      </c>
    </row>
    <row r="1783" spans="3:5">
      <c r="C1783">
        <v>12.54</v>
      </c>
      <c r="D1783" s="17">
        <v>41985</v>
      </c>
      <c r="E1783" t="s">
        <v>1186</v>
      </c>
    </row>
    <row r="1784" spans="3:5">
      <c r="C1784">
        <v>12.544</v>
      </c>
      <c r="D1784" s="17">
        <v>42584</v>
      </c>
      <c r="E1784" t="s">
        <v>583</v>
      </c>
    </row>
    <row r="1785" spans="3:5">
      <c r="C1785">
        <v>12.544000000000002</v>
      </c>
      <c r="D1785" s="17">
        <v>42532</v>
      </c>
      <c r="E1785" t="s">
        <v>877</v>
      </c>
    </row>
    <row r="1786" spans="3:5">
      <c r="C1786">
        <v>12.56</v>
      </c>
      <c r="D1786" s="17">
        <v>42174</v>
      </c>
      <c r="E1786" t="s">
        <v>753</v>
      </c>
    </row>
    <row r="1787" spans="3:5">
      <c r="C1787">
        <v>12.56</v>
      </c>
      <c r="D1787" s="17">
        <v>42289</v>
      </c>
      <c r="E1787" t="s">
        <v>1361</v>
      </c>
    </row>
    <row r="1788" spans="3:5">
      <c r="C1788">
        <v>12.56</v>
      </c>
      <c r="D1788" s="17">
        <v>42492</v>
      </c>
      <c r="E1788" t="s">
        <v>753</v>
      </c>
    </row>
    <row r="1789" spans="3:5">
      <c r="C1789">
        <v>12.576000000000001</v>
      </c>
      <c r="D1789" s="17">
        <v>42110</v>
      </c>
      <c r="E1789" t="s">
        <v>74</v>
      </c>
    </row>
    <row r="1790" spans="3:5">
      <c r="C1790">
        <v>12.585000000000003</v>
      </c>
      <c r="D1790" s="17">
        <v>42992</v>
      </c>
      <c r="E1790" t="s">
        <v>1189</v>
      </c>
    </row>
    <row r="1791" spans="3:5">
      <c r="C1791">
        <v>12.587999999999997</v>
      </c>
      <c r="D1791" s="17">
        <v>42679</v>
      </c>
      <c r="E1791" t="s">
        <v>567</v>
      </c>
    </row>
    <row r="1792" spans="3:5">
      <c r="C1792">
        <v>12.6</v>
      </c>
      <c r="D1792" s="17">
        <v>41755</v>
      </c>
      <c r="E1792" t="s">
        <v>1057</v>
      </c>
    </row>
    <row r="1793" spans="3:5">
      <c r="C1793">
        <v>12.6</v>
      </c>
      <c r="D1793" s="17">
        <v>42259</v>
      </c>
      <c r="E1793" t="s">
        <v>1489</v>
      </c>
    </row>
    <row r="1794" spans="3:5">
      <c r="C1794">
        <v>12.6</v>
      </c>
      <c r="D1794" s="17">
        <v>42272</v>
      </c>
      <c r="E1794" t="s">
        <v>1572</v>
      </c>
    </row>
    <row r="1795" spans="3:5">
      <c r="C1795">
        <v>12.6</v>
      </c>
      <c r="D1795" s="17">
        <v>42343</v>
      </c>
      <c r="E1795" t="s">
        <v>1714</v>
      </c>
    </row>
    <row r="1796" spans="3:5">
      <c r="C1796">
        <v>12.600000000000001</v>
      </c>
      <c r="D1796" s="17">
        <v>42363</v>
      </c>
      <c r="E1796" t="s">
        <v>301</v>
      </c>
    </row>
    <row r="1797" spans="3:5">
      <c r="C1797">
        <v>12.624000000000001</v>
      </c>
      <c r="D1797" s="17">
        <v>41688</v>
      </c>
      <c r="E1797" t="s">
        <v>1234</v>
      </c>
    </row>
    <row r="1798" spans="3:5">
      <c r="C1798">
        <v>12.624000000000001</v>
      </c>
      <c r="D1798" s="17">
        <v>41972</v>
      </c>
      <c r="E1798" t="s">
        <v>74</v>
      </c>
    </row>
    <row r="1799" spans="3:5">
      <c r="C1799">
        <v>12.624000000000001</v>
      </c>
      <c r="D1799" s="17">
        <v>42997</v>
      </c>
      <c r="E1799" t="s">
        <v>1234</v>
      </c>
    </row>
    <row r="1800" spans="3:5">
      <c r="C1800">
        <v>12.645000000000001</v>
      </c>
      <c r="D1800" s="17">
        <v>41729</v>
      </c>
      <c r="E1800" t="s">
        <v>1067</v>
      </c>
    </row>
    <row r="1801" spans="3:5">
      <c r="C1801">
        <v>12.67</v>
      </c>
      <c r="D1801" s="17">
        <v>41868</v>
      </c>
      <c r="E1801" t="s">
        <v>593</v>
      </c>
    </row>
    <row r="1802" spans="3:5">
      <c r="C1802">
        <v>12.672000000000001</v>
      </c>
      <c r="D1802" s="17">
        <v>41875</v>
      </c>
      <c r="E1802" t="s">
        <v>1000</v>
      </c>
    </row>
    <row r="1803" spans="3:5">
      <c r="C1803">
        <v>12.672000000000001</v>
      </c>
      <c r="D1803" s="17">
        <v>42365</v>
      </c>
      <c r="E1803" t="s">
        <v>805</v>
      </c>
    </row>
    <row r="1804" spans="3:5">
      <c r="C1804">
        <v>12.672000000000001</v>
      </c>
      <c r="D1804" s="17">
        <v>42492</v>
      </c>
      <c r="E1804" t="s">
        <v>805</v>
      </c>
    </row>
    <row r="1805" spans="3:5">
      <c r="C1805">
        <v>12.672000000000001</v>
      </c>
      <c r="D1805" s="17">
        <v>42603</v>
      </c>
      <c r="E1805" t="s">
        <v>698</v>
      </c>
    </row>
    <row r="1806" spans="3:5">
      <c r="C1806">
        <v>12.672000000000001</v>
      </c>
      <c r="D1806" s="17">
        <v>42702</v>
      </c>
      <c r="E1806" t="s">
        <v>534</v>
      </c>
    </row>
    <row r="1807" spans="3:5">
      <c r="C1807">
        <v>12.672000000000001</v>
      </c>
      <c r="D1807" s="17">
        <v>42974</v>
      </c>
      <c r="E1807" t="s">
        <v>1102</v>
      </c>
    </row>
    <row r="1808" spans="3:5">
      <c r="C1808">
        <v>12.672000000000001</v>
      </c>
      <c r="D1808" s="17">
        <v>43087</v>
      </c>
      <c r="E1808" t="s">
        <v>722</v>
      </c>
    </row>
    <row r="1809" spans="3:5">
      <c r="C1809">
        <v>12.7</v>
      </c>
      <c r="D1809" s="17">
        <v>42516</v>
      </c>
      <c r="E1809" t="s">
        <v>105</v>
      </c>
    </row>
    <row r="1810" spans="3:5">
      <c r="C1810">
        <v>12.7</v>
      </c>
      <c r="D1810" s="17">
        <v>42750</v>
      </c>
      <c r="E1810" t="s">
        <v>105</v>
      </c>
    </row>
    <row r="1811" spans="3:5">
      <c r="C1811">
        <v>12.72</v>
      </c>
      <c r="D1811" s="17">
        <v>41957</v>
      </c>
      <c r="E1811" t="s">
        <v>856</v>
      </c>
    </row>
    <row r="1812" spans="3:5">
      <c r="C1812">
        <v>12.72</v>
      </c>
      <c r="D1812" s="17">
        <v>43002</v>
      </c>
      <c r="E1812" t="s">
        <v>1261</v>
      </c>
    </row>
    <row r="1813" spans="3:5">
      <c r="C1813">
        <v>12.736000000000001</v>
      </c>
      <c r="D1813" s="17">
        <v>42736</v>
      </c>
      <c r="E1813" t="s">
        <v>53</v>
      </c>
    </row>
    <row r="1814" spans="3:5">
      <c r="C1814">
        <v>12.74</v>
      </c>
      <c r="D1814" s="17">
        <v>42765</v>
      </c>
      <c r="E1814" t="s">
        <v>189</v>
      </c>
    </row>
    <row r="1815" spans="3:5">
      <c r="C1815">
        <v>12.76</v>
      </c>
      <c r="D1815" s="17">
        <v>42098</v>
      </c>
      <c r="E1815" t="s">
        <v>979</v>
      </c>
    </row>
    <row r="1816" spans="3:5">
      <c r="C1816">
        <v>12.76</v>
      </c>
      <c r="D1816" s="17">
        <v>42616</v>
      </c>
      <c r="E1816" t="s">
        <v>979</v>
      </c>
    </row>
    <row r="1817" spans="3:5">
      <c r="C1817">
        <v>12.768000000000001</v>
      </c>
      <c r="D1817" s="17">
        <v>41914</v>
      </c>
      <c r="E1817" t="s">
        <v>270</v>
      </c>
    </row>
    <row r="1818" spans="3:5">
      <c r="C1818">
        <v>12.768000000000001</v>
      </c>
      <c r="D1818" s="17">
        <v>42657</v>
      </c>
      <c r="E1818" t="s">
        <v>292</v>
      </c>
    </row>
    <row r="1819" spans="3:5">
      <c r="C1819">
        <v>12.768000000000001</v>
      </c>
      <c r="D1819" s="17">
        <v>42818</v>
      </c>
      <c r="E1819" t="s">
        <v>430</v>
      </c>
    </row>
    <row r="1820" spans="3:5">
      <c r="C1820">
        <v>12.78</v>
      </c>
      <c r="D1820" s="17">
        <v>41645</v>
      </c>
      <c r="E1820" t="s">
        <v>842</v>
      </c>
    </row>
    <row r="1821" spans="3:5">
      <c r="C1821">
        <v>12.78</v>
      </c>
      <c r="D1821" s="17">
        <v>42614</v>
      </c>
      <c r="E1821" t="s">
        <v>1338</v>
      </c>
    </row>
    <row r="1822" spans="3:5">
      <c r="C1822">
        <v>12.816000000000001</v>
      </c>
      <c r="D1822" s="17">
        <v>42568</v>
      </c>
      <c r="E1822" t="s">
        <v>1730</v>
      </c>
    </row>
    <row r="1823" spans="3:5">
      <c r="C1823">
        <v>12.816000000000001</v>
      </c>
      <c r="D1823" s="17">
        <v>43017</v>
      </c>
      <c r="E1823" t="s">
        <v>411</v>
      </c>
    </row>
    <row r="1824" spans="3:5">
      <c r="C1824">
        <v>12.828000000000001</v>
      </c>
      <c r="D1824" s="17">
        <v>42237</v>
      </c>
      <c r="E1824" t="s">
        <v>110</v>
      </c>
    </row>
    <row r="1825" spans="3:5">
      <c r="C1825">
        <v>12.828000000000001</v>
      </c>
      <c r="D1825" s="17">
        <v>42349</v>
      </c>
      <c r="E1825" t="s">
        <v>110</v>
      </c>
    </row>
    <row r="1826" spans="3:5">
      <c r="C1826">
        <v>12.832000000000001</v>
      </c>
      <c r="D1826" s="17">
        <v>42104</v>
      </c>
      <c r="E1826" t="s">
        <v>552</v>
      </c>
    </row>
    <row r="1827" spans="3:5">
      <c r="C1827">
        <v>12.84</v>
      </c>
      <c r="D1827" s="17">
        <v>41953</v>
      </c>
      <c r="E1827" t="s">
        <v>1093</v>
      </c>
    </row>
    <row r="1828" spans="3:5">
      <c r="C1828">
        <v>12.84</v>
      </c>
      <c r="D1828" s="17">
        <v>42000</v>
      </c>
      <c r="E1828" t="s">
        <v>668</v>
      </c>
    </row>
    <row r="1829" spans="3:5">
      <c r="C1829">
        <v>12.84</v>
      </c>
      <c r="D1829" s="17">
        <v>42136</v>
      </c>
      <c r="E1829" t="s">
        <v>1061</v>
      </c>
    </row>
    <row r="1830" spans="3:5">
      <c r="C1830">
        <v>12.84</v>
      </c>
      <c r="D1830" s="17">
        <v>42476</v>
      </c>
      <c r="E1830" t="s">
        <v>605</v>
      </c>
    </row>
    <row r="1831" spans="3:5">
      <c r="C1831">
        <v>12.84</v>
      </c>
      <c r="D1831" s="17">
        <v>42785</v>
      </c>
      <c r="E1831" t="s">
        <v>261</v>
      </c>
    </row>
    <row r="1832" spans="3:5">
      <c r="C1832">
        <v>12.84</v>
      </c>
      <c r="D1832" s="17">
        <v>43065</v>
      </c>
      <c r="E1832" t="s">
        <v>106</v>
      </c>
    </row>
    <row r="1833" spans="3:5">
      <c r="C1833">
        <v>12.843000000000002</v>
      </c>
      <c r="D1833" s="17">
        <v>42084</v>
      </c>
      <c r="E1833" t="s">
        <v>1576</v>
      </c>
    </row>
    <row r="1834" spans="3:5">
      <c r="C1834">
        <v>12.863999999999995</v>
      </c>
      <c r="D1834" s="17">
        <v>42958</v>
      </c>
      <c r="E1834" t="s">
        <v>761</v>
      </c>
    </row>
    <row r="1835" spans="3:5">
      <c r="C1835">
        <v>12.88</v>
      </c>
      <c r="D1835" s="17">
        <v>42107</v>
      </c>
      <c r="E1835" t="s">
        <v>689</v>
      </c>
    </row>
    <row r="1836" spans="3:5">
      <c r="C1836">
        <v>12.9</v>
      </c>
      <c r="D1836" s="17">
        <v>42681</v>
      </c>
      <c r="E1836" t="s">
        <v>924</v>
      </c>
    </row>
    <row r="1837" spans="3:5">
      <c r="C1837">
        <v>12.912000000000001</v>
      </c>
      <c r="D1837" s="17">
        <v>41969</v>
      </c>
      <c r="E1837" t="s">
        <v>1319</v>
      </c>
    </row>
    <row r="1838" spans="3:5">
      <c r="C1838">
        <v>12.94</v>
      </c>
      <c r="D1838" s="17">
        <v>41905</v>
      </c>
      <c r="E1838" t="s">
        <v>54</v>
      </c>
    </row>
    <row r="1839" spans="3:5">
      <c r="C1839">
        <v>12.957000000000001</v>
      </c>
      <c r="D1839" s="17">
        <v>42712</v>
      </c>
      <c r="E1839" t="s">
        <v>714</v>
      </c>
    </row>
    <row r="1840" spans="3:5">
      <c r="C1840">
        <v>12.96</v>
      </c>
      <c r="D1840" s="17">
        <v>41690</v>
      </c>
      <c r="E1840" t="s">
        <v>1592</v>
      </c>
    </row>
    <row r="1841" spans="3:5">
      <c r="C1841">
        <v>12.96</v>
      </c>
      <c r="D1841" s="17">
        <v>41715</v>
      </c>
      <c r="E1841" t="s">
        <v>1750</v>
      </c>
    </row>
    <row r="1842" spans="3:5">
      <c r="C1842">
        <v>12.96</v>
      </c>
      <c r="D1842" s="17">
        <v>41733</v>
      </c>
      <c r="E1842" t="s">
        <v>928</v>
      </c>
    </row>
    <row r="1843" spans="3:5">
      <c r="C1843">
        <v>12.96</v>
      </c>
      <c r="D1843" s="17">
        <v>41734</v>
      </c>
      <c r="E1843" t="s">
        <v>1750</v>
      </c>
    </row>
    <row r="1844" spans="3:5">
      <c r="C1844">
        <v>12.96</v>
      </c>
      <c r="D1844" s="17">
        <v>41782</v>
      </c>
      <c r="E1844" t="s">
        <v>970</v>
      </c>
    </row>
    <row r="1845" spans="3:5">
      <c r="C1845">
        <v>12.96</v>
      </c>
      <c r="D1845" s="17">
        <v>41889</v>
      </c>
      <c r="E1845" t="s">
        <v>1048</v>
      </c>
    </row>
    <row r="1846" spans="3:5">
      <c r="C1846">
        <v>12.96</v>
      </c>
      <c r="D1846" s="17">
        <v>41963</v>
      </c>
      <c r="E1846" t="s">
        <v>329</v>
      </c>
    </row>
    <row r="1847" spans="3:5">
      <c r="C1847">
        <v>12.96</v>
      </c>
      <c r="D1847" s="17">
        <v>41964</v>
      </c>
      <c r="E1847" t="s">
        <v>1436</v>
      </c>
    </row>
    <row r="1848" spans="3:5">
      <c r="C1848">
        <v>12.96</v>
      </c>
      <c r="D1848" s="17">
        <v>42035</v>
      </c>
      <c r="E1848" t="s">
        <v>970</v>
      </c>
    </row>
    <row r="1849" spans="3:5">
      <c r="C1849">
        <v>12.96</v>
      </c>
      <c r="D1849" s="17">
        <v>42042</v>
      </c>
      <c r="E1849" t="s">
        <v>1750</v>
      </c>
    </row>
    <row r="1850" spans="3:5">
      <c r="C1850">
        <v>12.96</v>
      </c>
      <c r="D1850" s="17">
        <v>42114</v>
      </c>
      <c r="E1850" t="s">
        <v>209</v>
      </c>
    </row>
    <row r="1851" spans="3:5">
      <c r="C1851">
        <v>12.96</v>
      </c>
      <c r="D1851" s="17">
        <v>42164</v>
      </c>
      <c r="E1851" t="s">
        <v>1504</v>
      </c>
    </row>
    <row r="1852" spans="3:5">
      <c r="C1852">
        <v>12.96</v>
      </c>
      <c r="D1852" s="17">
        <v>42210</v>
      </c>
      <c r="E1852" t="s">
        <v>1230</v>
      </c>
    </row>
    <row r="1853" spans="3:5">
      <c r="C1853">
        <v>12.96</v>
      </c>
      <c r="D1853" s="17">
        <v>42261</v>
      </c>
      <c r="E1853" t="s">
        <v>35</v>
      </c>
    </row>
    <row r="1854" spans="3:5">
      <c r="C1854">
        <v>12.96</v>
      </c>
      <c r="D1854" s="17">
        <v>42262</v>
      </c>
      <c r="E1854" t="s">
        <v>540</v>
      </c>
    </row>
    <row r="1855" spans="3:5">
      <c r="C1855">
        <v>12.96</v>
      </c>
      <c r="D1855" s="17">
        <v>42274</v>
      </c>
      <c r="E1855" t="s">
        <v>918</v>
      </c>
    </row>
    <row r="1856" spans="3:5">
      <c r="C1856">
        <v>12.96</v>
      </c>
      <c r="D1856" s="17">
        <v>42345</v>
      </c>
      <c r="E1856" t="s">
        <v>902</v>
      </c>
    </row>
    <row r="1857" spans="3:5">
      <c r="C1857">
        <v>12.96</v>
      </c>
      <c r="D1857" s="17">
        <v>42351</v>
      </c>
      <c r="E1857" t="s">
        <v>1145</v>
      </c>
    </row>
    <row r="1858" spans="3:5">
      <c r="C1858">
        <v>12.96</v>
      </c>
      <c r="D1858" s="17">
        <v>42362</v>
      </c>
      <c r="E1858" t="s">
        <v>540</v>
      </c>
    </row>
    <row r="1859" spans="3:5">
      <c r="C1859">
        <v>12.96</v>
      </c>
      <c r="D1859" s="17">
        <v>42391</v>
      </c>
      <c r="E1859" t="s">
        <v>902</v>
      </c>
    </row>
    <row r="1860" spans="3:5">
      <c r="C1860">
        <v>12.96</v>
      </c>
      <c r="D1860" s="17">
        <v>42437</v>
      </c>
      <c r="E1860" t="s">
        <v>363</v>
      </c>
    </row>
    <row r="1861" spans="3:5">
      <c r="C1861">
        <v>12.96</v>
      </c>
      <c r="D1861" s="17">
        <v>42441</v>
      </c>
      <c r="E1861" t="s">
        <v>902</v>
      </c>
    </row>
    <row r="1862" spans="3:5">
      <c r="C1862">
        <v>12.96</v>
      </c>
      <c r="D1862" s="17">
        <v>42468</v>
      </c>
      <c r="E1862" t="s">
        <v>90</v>
      </c>
    </row>
    <row r="1863" spans="3:5">
      <c r="C1863">
        <v>12.96</v>
      </c>
      <c r="D1863" s="17">
        <v>42470</v>
      </c>
      <c r="E1863" t="s">
        <v>803</v>
      </c>
    </row>
    <row r="1864" spans="3:5">
      <c r="C1864">
        <v>12.96</v>
      </c>
      <c r="D1864" s="17">
        <v>42527</v>
      </c>
      <c r="E1864" t="s">
        <v>357</v>
      </c>
    </row>
    <row r="1865" spans="3:5">
      <c r="C1865">
        <v>12.96</v>
      </c>
      <c r="D1865" s="17">
        <v>42533</v>
      </c>
      <c r="E1865" t="s">
        <v>1230</v>
      </c>
    </row>
    <row r="1866" spans="3:5">
      <c r="C1866">
        <v>12.96</v>
      </c>
      <c r="D1866" s="17">
        <v>42552</v>
      </c>
      <c r="E1866" t="s">
        <v>1464</v>
      </c>
    </row>
    <row r="1867" spans="3:5">
      <c r="C1867">
        <v>12.96</v>
      </c>
      <c r="D1867" s="17">
        <v>42554</v>
      </c>
      <c r="E1867" t="s">
        <v>1073</v>
      </c>
    </row>
    <row r="1868" spans="3:5">
      <c r="C1868">
        <v>12.96</v>
      </c>
      <c r="D1868" s="17">
        <v>42558</v>
      </c>
      <c r="E1868" t="s">
        <v>918</v>
      </c>
    </row>
    <row r="1869" spans="3:5">
      <c r="C1869">
        <v>12.96</v>
      </c>
      <c r="D1869" s="17">
        <v>42559</v>
      </c>
      <c r="E1869" t="s">
        <v>1145</v>
      </c>
    </row>
    <row r="1870" spans="3:5">
      <c r="C1870">
        <v>12.96</v>
      </c>
      <c r="D1870" s="17">
        <v>42603</v>
      </c>
      <c r="E1870" t="s">
        <v>180</v>
      </c>
    </row>
    <row r="1871" spans="3:5">
      <c r="C1871">
        <v>12.96</v>
      </c>
      <c r="D1871" s="17">
        <v>42629</v>
      </c>
      <c r="E1871" t="s">
        <v>928</v>
      </c>
    </row>
    <row r="1872" spans="3:5">
      <c r="C1872">
        <v>12.96</v>
      </c>
      <c r="D1872" s="17">
        <v>42639</v>
      </c>
      <c r="E1872" t="s">
        <v>65</v>
      </c>
    </row>
    <row r="1873" spans="3:5">
      <c r="C1873">
        <v>12.96</v>
      </c>
      <c r="D1873" s="17">
        <v>42658</v>
      </c>
      <c r="E1873" t="s">
        <v>970</v>
      </c>
    </row>
    <row r="1874" spans="3:5">
      <c r="C1874">
        <v>12.96</v>
      </c>
      <c r="D1874" s="17">
        <v>42681</v>
      </c>
      <c r="E1874" t="s">
        <v>81</v>
      </c>
    </row>
    <row r="1875" spans="3:5">
      <c r="C1875">
        <v>12.96</v>
      </c>
      <c r="D1875" s="17">
        <v>42695</v>
      </c>
      <c r="E1875" t="s">
        <v>458</v>
      </c>
    </row>
    <row r="1876" spans="3:5">
      <c r="C1876">
        <v>12.96</v>
      </c>
      <c r="D1876" s="17">
        <v>42764</v>
      </c>
      <c r="E1876" t="s">
        <v>180</v>
      </c>
    </row>
    <row r="1877" spans="3:5">
      <c r="C1877">
        <v>12.96</v>
      </c>
      <c r="D1877" s="17">
        <v>42822</v>
      </c>
      <c r="E1877" t="s">
        <v>458</v>
      </c>
    </row>
    <row r="1878" spans="3:5">
      <c r="C1878">
        <v>12.96</v>
      </c>
      <c r="D1878" s="17">
        <v>42834</v>
      </c>
      <c r="E1878" t="s">
        <v>152</v>
      </c>
    </row>
    <row r="1879" spans="3:5">
      <c r="C1879">
        <v>12.96</v>
      </c>
      <c r="D1879" s="17">
        <v>42881</v>
      </c>
      <c r="E1879" t="s">
        <v>756</v>
      </c>
    </row>
    <row r="1880" spans="3:5">
      <c r="C1880">
        <v>12.96</v>
      </c>
      <c r="D1880" s="17">
        <v>42924</v>
      </c>
      <c r="E1880" t="s">
        <v>732</v>
      </c>
    </row>
    <row r="1881" spans="3:5">
      <c r="C1881">
        <v>12.96</v>
      </c>
      <c r="D1881" s="17">
        <v>42931</v>
      </c>
      <c r="E1881" t="s">
        <v>970</v>
      </c>
    </row>
    <row r="1882" spans="3:5">
      <c r="C1882">
        <v>12.96</v>
      </c>
      <c r="D1882" s="17">
        <v>42943</v>
      </c>
      <c r="E1882" t="s">
        <v>803</v>
      </c>
    </row>
    <row r="1883" spans="3:5">
      <c r="C1883">
        <v>12.96</v>
      </c>
      <c r="D1883" s="17">
        <v>42982</v>
      </c>
      <c r="E1883" t="s">
        <v>1137</v>
      </c>
    </row>
    <row r="1884" spans="3:5">
      <c r="C1884">
        <v>12.96</v>
      </c>
      <c r="D1884" s="17">
        <v>42989</v>
      </c>
      <c r="E1884" t="s">
        <v>1178</v>
      </c>
    </row>
    <row r="1885" spans="3:5">
      <c r="C1885">
        <v>12.96</v>
      </c>
      <c r="D1885" s="17">
        <v>42995</v>
      </c>
      <c r="E1885" t="s">
        <v>1213</v>
      </c>
    </row>
    <row r="1886" spans="3:5">
      <c r="C1886">
        <v>12.96</v>
      </c>
      <c r="D1886" s="17">
        <v>43000</v>
      </c>
      <c r="E1886" t="s">
        <v>1250</v>
      </c>
    </row>
    <row r="1887" spans="3:5">
      <c r="C1887">
        <v>12.96</v>
      </c>
      <c r="D1887" s="17">
        <v>43001</v>
      </c>
      <c r="E1887" t="s">
        <v>555</v>
      </c>
    </row>
    <row r="1888" spans="3:5">
      <c r="C1888">
        <v>12.96</v>
      </c>
      <c r="D1888" s="17">
        <v>43025</v>
      </c>
      <c r="E1888" t="s">
        <v>1325</v>
      </c>
    </row>
    <row r="1889" spans="3:5">
      <c r="C1889">
        <v>12.96</v>
      </c>
      <c r="D1889" s="17">
        <v>43044</v>
      </c>
      <c r="E1889" t="s">
        <v>1178</v>
      </c>
    </row>
    <row r="1890" spans="3:5">
      <c r="C1890">
        <v>12.96</v>
      </c>
      <c r="D1890" s="17">
        <v>43044</v>
      </c>
      <c r="E1890" t="s">
        <v>1382</v>
      </c>
    </row>
    <row r="1891" spans="3:5">
      <c r="C1891">
        <v>12.96</v>
      </c>
      <c r="D1891" s="17">
        <v>43063</v>
      </c>
      <c r="E1891" t="s">
        <v>369</v>
      </c>
    </row>
    <row r="1892" spans="3:5">
      <c r="C1892">
        <v>12.96</v>
      </c>
      <c r="D1892" s="17">
        <v>43078</v>
      </c>
      <c r="E1892" t="s">
        <v>1514</v>
      </c>
    </row>
    <row r="1893" spans="3:5">
      <c r="C1893">
        <v>12.96</v>
      </c>
      <c r="D1893" s="17">
        <v>43079</v>
      </c>
      <c r="E1893" t="s">
        <v>555</v>
      </c>
    </row>
    <row r="1894" spans="3:5">
      <c r="C1894">
        <v>12.96</v>
      </c>
      <c r="D1894" s="17">
        <v>43082</v>
      </c>
      <c r="E1894" t="s">
        <v>458</v>
      </c>
    </row>
    <row r="1895" spans="3:5">
      <c r="C1895">
        <v>12.96</v>
      </c>
      <c r="D1895" s="17">
        <v>43087</v>
      </c>
      <c r="E1895" t="s">
        <v>1178</v>
      </c>
    </row>
    <row r="1896" spans="3:5">
      <c r="C1896">
        <v>12.98</v>
      </c>
      <c r="D1896" s="17">
        <v>42980</v>
      </c>
      <c r="E1896" t="s">
        <v>396</v>
      </c>
    </row>
    <row r="1897" spans="3:5">
      <c r="C1897">
        <v>12.984000000000002</v>
      </c>
      <c r="D1897" s="17">
        <v>42003</v>
      </c>
      <c r="E1897" t="s">
        <v>685</v>
      </c>
    </row>
    <row r="1898" spans="3:5">
      <c r="C1898">
        <v>12.99</v>
      </c>
      <c r="D1898" s="17">
        <v>42421</v>
      </c>
      <c r="E1898" t="s">
        <v>549</v>
      </c>
    </row>
    <row r="1899" spans="3:5">
      <c r="C1899">
        <v>12.99</v>
      </c>
      <c r="D1899" s="17">
        <v>42461</v>
      </c>
      <c r="E1899" t="s">
        <v>1503</v>
      </c>
    </row>
    <row r="1900" spans="3:5">
      <c r="C1900">
        <v>12.99</v>
      </c>
      <c r="D1900" s="17">
        <v>43073</v>
      </c>
      <c r="E1900" t="s">
        <v>1499</v>
      </c>
    </row>
    <row r="1901" spans="3:5">
      <c r="C1901">
        <v>12.991999999999996</v>
      </c>
      <c r="D1901" s="17">
        <v>42775</v>
      </c>
      <c r="E1901" t="s">
        <v>223</v>
      </c>
    </row>
    <row r="1902" spans="3:5">
      <c r="C1902">
        <v>12.991999999999999</v>
      </c>
      <c r="D1902" s="17">
        <v>42434</v>
      </c>
      <c r="E1902" t="s">
        <v>422</v>
      </c>
    </row>
    <row r="1903" spans="3:5">
      <c r="C1903">
        <v>13</v>
      </c>
      <c r="D1903" s="17">
        <v>41896</v>
      </c>
      <c r="E1903" t="s">
        <v>1881</v>
      </c>
    </row>
    <row r="1904" spans="3:5">
      <c r="C1904">
        <v>13.005000000000003</v>
      </c>
      <c r="D1904" s="17">
        <v>43078</v>
      </c>
      <c r="E1904" t="s">
        <v>219</v>
      </c>
    </row>
    <row r="1905" spans="3:5">
      <c r="C1905">
        <v>13.020000000000001</v>
      </c>
      <c r="D1905" s="17">
        <v>42815</v>
      </c>
      <c r="E1905" t="s">
        <v>415</v>
      </c>
    </row>
    <row r="1906" spans="3:5">
      <c r="C1906">
        <v>13.023000000000001</v>
      </c>
      <c r="D1906" s="17">
        <v>43094</v>
      </c>
      <c r="E1906" t="s">
        <v>550</v>
      </c>
    </row>
    <row r="1907" spans="3:5">
      <c r="C1907">
        <v>13.04</v>
      </c>
      <c r="D1907" s="17">
        <v>41904</v>
      </c>
      <c r="E1907" t="s">
        <v>1443</v>
      </c>
    </row>
    <row r="1908" spans="3:5">
      <c r="C1908">
        <v>13.040000000000001</v>
      </c>
      <c r="D1908" s="17">
        <v>43058</v>
      </c>
      <c r="E1908" t="s">
        <v>1443</v>
      </c>
    </row>
    <row r="1909" spans="3:5">
      <c r="C1909">
        <v>13.049999999999999</v>
      </c>
      <c r="D1909" s="17">
        <v>42152</v>
      </c>
      <c r="E1909" t="s">
        <v>483</v>
      </c>
    </row>
    <row r="1910" spans="3:5">
      <c r="C1910">
        <v>13.049999999999999</v>
      </c>
      <c r="D1910" s="17">
        <v>43023</v>
      </c>
      <c r="E1910" t="s">
        <v>178</v>
      </c>
    </row>
    <row r="1911" spans="3:5">
      <c r="C1911">
        <v>13.08</v>
      </c>
      <c r="D1911" s="17">
        <v>42492</v>
      </c>
      <c r="E1911" t="s">
        <v>1686</v>
      </c>
    </row>
    <row r="1912" spans="3:5">
      <c r="C1912">
        <v>13.08</v>
      </c>
      <c r="D1912" s="17">
        <v>42631</v>
      </c>
      <c r="E1912" t="s">
        <v>1686</v>
      </c>
    </row>
    <row r="1913" spans="3:5">
      <c r="C1913">
        <v>13.092000000000002</v>
      </c>
      <c r="D1913" s="17">
        <v>42260</v>
      </c>
      <c r="E1913" t="s">
        <v>343</v>
      </c>
    </row>
    <row r="1914" spans="3:5">
      <c r="C1914">
        <v>13.092000000000002</v>
      </c>
      <c r="D1914" s="17">
        <v>42804</v>
      </c>
      <c r="E1914" t="s">
        <v>343</v>
      </c>
    </row>
    <row r="1915" spans="3:5">
      <c r="C1915">
        <v>13.11</v>
      </c>
      <c r="D1915" s="17">
        <v>42089</v>
      </c>
      <c r="E1915" t="s">
        <v>266</v>
      </c>
    </row>
    <row r="1916" spans="3:5">
      <c r="C1916">
        <v>13.11</v>
      </c>
      <c r="D1916" s="17">
        <v>42786</v>
      </c>
      <c r="E1916" t="s">
        <v>266</v>
      </c>
    </row>
    <row r="1917" spans="3:5">
      <c r="C1917">
        <v>13.12</v>
      </c>
      <c r="D1917" s="17">
        <v>41747</v>
      </c>
      <c r="E1917" t="s">
        <v>265</v>
      </c>
    </row>
    <row r="1918" spans="3:5">
      <c r="C1918">
        <v>13.12</v>
      </c>
      <c r="D1918" s="17">
        <v>41840</v>
      </c>
      <c r="E1918" t="s">
        <v>149</v>
      </c>
    </row>
    <row r="1919" spans="3:5">
      <c r="C1919">
        <v>13.12</v>
      </c>
      <c r="D1919" s="17">
        <v>41971</v>
      </c>
      <c r="E1919" t="s">
        <v>943</v>
      </c>
    </row>
    <row r="1920" spans="3:5">
      <c r="C1920">
        <v>13.12</v>
      </c>
      <c r="D1920" s="17">
        <v>42331</v>
      </c>
      <c r="E1920" t="s">
        <v>1134</v>
      </c>
    </row>
    <row r="1921" spans="3:5">
      <c r="C1921">
        <v>13.12</v>
      </c>
      <c r="D1921" s="17">
        <v>42924</v>
      </c>
      <c r="E1921" t="s">
        <v>943</v>
      </c>
    </row>
    <row r="1922" spans="3:5">
      <c r="C1922">
        <v>13.120000000000001</v>
      </c>
      <c r="D1922" s="17">
        <v>42028</v>
      </c>
      <c r="E1922" t="s">
        <v>943</v>
      </c>
    </row>
    <row r="1923" spans="3:5">
      <c r="C1923">
        <v>13.120000000000001</v>
      </c>
      <c r="D1923" s="17">
        <v>42333</v>
      </c>
      <c r="E1923" t="s">
        <v>963</v>
      </c>
    </row>
    <row r="1924" spans="3:5">
      <c r="C1924">
        <v>13.120000000000001</v>
      </c>
      <c r="D1924" s="17">
        <v>42349</v>
      </c>
      <c r="E1924" t="s">
        <v>1799</v>
      </c>
    </row>
    <row r="1925" spans="3:5">
      <c r="C1925">
        <v>13.120000000000001</v>
      </c>
      <c r="D1925" s="17">
        <v>42355</v>
      </c>
      <c r="E1925" t="s">
        <v>875</v>
      </c>
    </row>
    <row r="1926" spans="3:5">
      <c r="C1926">
        <v>13.120000000000001</v>
      </c>
      <c r="D1926" s="17">
        <v>42930</v>
      </c>
      <c r="E1926" t="s">
        <v>943</v>
      </c>
    </row>
    <row r="1927" spans="3:5">
      <c r="C1927">
        <v>13.120000000000001</v>
      </c>
      <c r="D1927" s="17">
        <v>42982</v>
      </c>
      <c r="E1927" t="s">
        <v>1134</v>
      </c>
    </row>
    <row r="1928" spans="3:5">
      <c r="C1928">
        <v>13.128</v>
      </c>
      <c r="D1928" s="17">
        <v>41896</v>
      </c>
      <c r="E1928" t="s">
        <v>1479</v>
      </c>
    </row>
    <row r="1929" spans="3:5">
      <c r="C1929">
        <v>13.128</v>
      </c>
      <c r="D1929" s="17">
        <v>42898</v>
      </c>
      <c r="E1929" t="s">
        <v>834</v>
      </c>
    </row>
    <row r="1930" spans="3:5">
      <c r="C1930">
        <v>13.128</v>
      </c>
      <c r="D1930" s="17">
        <v>42939</v>
      </c>
      <c r="E1930" t="s">
        <v>834</v>
      </c>
    </row>
    <row r="1931" spans="3:5">
      <c r="C1931">
        <v>13.139999999999997</v>
      </c>
      <c r="D1931" s="17">
        <v>42610</v>
      </c>
      <c r="E1931" t="s">
        <v>1433</v>
      </c>
    </row>
    <row r="1932" spans="3:5">
      <c r="C1932">
        <v>13.16</v>
      </c>
      <c r="D1932" s="17">
        <v>41889</v>
      </c>
      <c r="E1932" t="s">
        <v>752</v>
      </c>
    </row>
    <row r="1933" spans="3:5">
      <c r="C1933">
        <v>13.168000000000001</v>
      </c>
      <c r="D1933" s="17">
        <v>42009</v>
      </c>
      <c r="E1933" t="s">
        <v>156</v>
      </c>
    </row>
    <row r="1934" spans="3:5">
      <c r="C1934">
        <v>13.183999999999997</v>
      </c>
      <c r="D1934" s="17">
        <v>42499</v>
      </c>
      <c r="E1934" t="s">
        <v>879</v>
      </c>
    </row>
    <row r="1935" spans="3:5">
      <c r="C1935">
        <v>13.184000000000001</v>
      </c>
      <c r="D1935" s="17">
        <v>41855</v>
      </c>
      <c r="E1935" t="s">
        <v>879</v>
      </c>
    </row>
    <row r="1936" spans="3:5">
      <c r="C1936">
        <v>13.194000000000001</v>
      </c>
      <c r="D1936" s="17">
        <v>41948</v>
      </c>
      <c r="E1936" t="s">
        <v>626</v>
      </c>
    </row>
    <row r="1937" spans="3:5">
      <c r="C1937">
        <v>13.208000000000002</v>
      </c>
      <c r="D1937" s="17">
        <v>42472</v>
      </c>
      <c r="E1937" t="s">
        <v>1332</v>
      </c>
    </row>
    <row r="1938" spans="3:5">
      <c r="C1938">
        <v>13.216000000000001</v>
      </c>
      <c r="D1938" s="17">
        <v>42636</v>
      </c>
      <c r="E1938" t="s">
        <v>277</v>
      </c>
    </row>
    <row r="1939" spans="3:5">
      <c r="C1939">
        <v>13.216000000000001</v>
      </c>
      <c r="D1939" s="17">
        <v>42684</v>
      </c>
      <c r="E1939" t="s">
        <v>277</v>
      </c>
    </row>
    <row r="1940" spans="3:5">
      <c r="C1940">
        <v>13.216000000000001</v>
      </c>
      <c r="D1940" s="17">
        <v>42874</v>
      </c>
      <c r="E1940" t="s">
        <v>728</v>
      </c>
    </row>
    <row r="1941" spans="3:5">
      <c r="C1941">
        <v>13.23</v>
      </c>
      <c r="D1941" s="17">
        <v>43086</v>
      </c>
      <c r="E1941" t="s">
        <v>454</v>
      </c>
    </row>
    <row r="1942" spans="3:5">
      <c r="C1942">
        <v>13.247999999999999</v>
      </c>
      <c r="D1942" s="17">
        <v>43077</v>
      </c>
      <c r="E1942" t="s">
        <v>1205</v>
      </c>
    </row>
    <row r="1943" spans="3:5">
      <c r="C1943">
        <v>13.247999999999999</v>
      </c>
      <c r="D1943" s="17">
        <v>43096</v>
      </c>
      <c r="E1943" t="s">
        <v>1205</v>
      </c>
    </row>
    <row r="1944" spans="3:5">
      <c r="C1944">
        <v>13.272000000000002</v>
      </c>
      <c r="D1944" s="17">
        <v>41673</v>
      </c>
      <c r="E1944" t="s">
        <v>646</v>
      </c>
    </row>
    <row r="1945" spans="3:5">
      <c r="C1945">
        <v>13.272000000000002</v>
      </c>
      <c r="D1945" s="17">
        <v>43045</v>
      </c>
      <c r="E1945" t="s">
        <v>646</v>
      </c>
    </row>
    <row r="1946" spans="3:5">
      <c r="C1946">
        <v>13.28</v>
      </c>
      <c r="D1946" s="17">
        <v>41875</v>
      </c>
      <c r="E1946" t="s">
        <v>1273</v>
      </c>
    </row>
    <row r="1947" spans="3:5">
      <c r="C1947">
        <v>13.28</v>
      </c>
      <c r="D1947" s="17">
        <v>42635</v>
      </c>
      <c r="E1947" t="s">
        <v>1273</v>
      </c>
    </row>
    <row r="1948" spans="3:5">
      <c r="C1948">
        <v>13.343999999999998</v>
      </c>
      <c r="D1948" s="17">
        <v>42982</v>
      </c>
      <c r="E1948" t="s">
        <v>299</v>
      </c>
    </row>
    <row r="1949" spans="3:5">
      <c r="C1949">
        <v>13.343999999999998</v>
      </c>
      <c r="D1949" s="17">
        <v>43072</v>
      </c>
      <c r="E1949" t="s">
        <v>1106</v>
      </c>
    </row>
    <row r="1950" spans="3:5">
      <c r="C1950">
        <v>13.344000000000001</v>
      </c>
      <c r="D1950" s="17">
        <v>42574</v>
      </c>
      <c r="E1950" t="s">
        <v>234</v>
      </c>
    </row>
    <row r="1951" spans="3:5">
      <c r="C1951">
        <v>13.36</v>
      </c>
      <c r="D1951" s="17">
        <v>41796</v>
      </c>
      <c r="E1951" t="s">
        <v>1020</v>
      </c>
    </row>
    <row r="1952" spans="3:5">
      <c r="C1952">
        <v>13.36</v>
      </c>
      <c r="D1952" s="17">
        <v>41878</v>
      </c>
      <c r="E1952" t="s">
        <v>423</v>
      </c>
    </row>
    <row r="1953" spans="3:5">
      <c r="C1953">
        <v>13.36</v>
      </c>
      <c r="D1953" s="17">
        <v>41880</v>
      </c>
      <c r="E1953" t="s">
        <v>1662</v>
      </c>
    </row>
    <row r="1954" spans="3:5">
      <c r="C1954">
        <v>13.36</v>
      </c>
      <c r="D1954" s="17">
        <v>42050</v>
      </c>
      <c r="E1954" t="s">
        <v>1456</v>
      </c>
    </row>
    <row r="1955" spans="3:5">
      <c r="C1955">
        <v>13.36</v>
      </c>
      <c r="D1955" s="17">
        <v>42700</v>
      </c>
      <c r="E1955" t="s">
        <v>1456</v>
      </c>
    </row>
    <row r="1956" spans="3:5">
      <c r="C1956">
        <v>13.36</v>
      </c>
      <c r="D1956" s="17">
        <v>42710</v>
      </c>
      <c r="E1956" t="s">
        <v>462</v>
      </c>
    </row>
    <row r="1957" spans="3:5">
      <c r="C1957">
        <v>13.36</v>
      </c>
      <c r="D1957" s="17">
        <v>42936</v>
      </c>
      <c r="E1957" t="s">
        <v>462</v>
      </c>
    </row>
    <row r="1958" spans="3:5">
      <c r="C1958">
        <v>13.36</v>
      </c>
      <c r="D1958" s="17">
        <v>43028</v>
      </c>
      <c r="E1958" t="s">
        <v>888</v>
      </c>
    </row>
    <row r="1959" spans="3:5">
      <c r="C1959">
        <v>13.36</v>
      </c>
      <c r="D1959" s="17">
        <v>43058</v>
      </c>
      <c r="E1959" t="s">
        <v>423</v>
      </c>
    </row>
    <row r="1960" spans="3:5">
      <c r="C1960">
        <v>13.36</v>
      </c>
      <c r="D1960" s="17">
        <v>43085</v>
      </c>
      <c r="E1960" t="s">
        <v>423</v>
      </c>
    </row>
    <row r="1961" spans="3:5">
      <c r="C1961">
        <v>13.360000000000001</v>
      </c>
      <c r="D1961" s="17">
        <v>43088</v>
      </c>
      <c r="E1961" t="s">
        <v>1455</v>
      </c>
    </row>
    <row r="1962" spans="3:5">
      <c r="C1962">
        <v>13.375999999999999</v>
      </c>
      <c r="D1962" s="17">
        <v>42710</v>
      </c>
      <c r="E1962" t="s">
        <v>93</v>
      </c>
    </row>
    <row r="1963" spans="3:5">
      <c r="C1963">
        <v>13.38</v>
      </c>
      <c r="D1963" s="17">
        <v>42517</v>
      </c>
      <c r="E1963" t="s">
        <v>899</v>
      </c>
    </row>
    <row r="1964" spans="3:5">
      <c r="C1964">
        <v>13.392000000000001</v>
      </c>
      <c r="D1964" s="17">
        <v>41785</v>
      </c>
      <c r="E1964" t="s">
        <v>1494</v>
      </c>
    </row>
    <row r="1965" spans="3:5">
      <c r="C1965">
        <v>13.392000000000001</v>
      </c>
      <c r="D1965" s="17">
        <v>42450</v>
      </c>
      <c r="E1965" t="s">
        <v>1233</v>
      </c>
    </row>
    <row r="1966" spans="3:5">
      <c r="C1966">
        <v>13.392000000000001</v>
      </c>
      <c r="D1966" s="17">
        <v>42923</v>
      </c>
      <c r="E1966" t="s">
        <v>707</v>
      </c>
    </row>
    <row r="1967" spans="3:5">
      <c r="C1967">
        <v>13.392000000000001</v>
      </c>
      <c r="D1967" s="17">
        <v>43000</v>
      </c>
      <c r="E1967" t="s">
        <v>79</v>
      </c>
    </row>
    <row r="1968" spans="3:5">
      <c r="C1968">
        <v>13.392000000000001</v>
      </c>
      <c r="D1968" s="17">
        <v>43073</v>
      </c>
      <c r="E1968" t="s">
        <v>1494</v>
      </c>
    </row>
    <row r="1969" spans="3:5">
      <c r="C1969">
        <v>13.392000000000003</v>
      </c>
      <c r="D1969" s="17">
        <v>42504</v>
      </c>
      <c r="E1969" t="s">
        <v>1685</v>
      </c>
    </row>
    <row r="1970" spans="3:5">
      <c r="C1970">
        <v>13.4</v>
      </c>
      <c r="D1970" s="17">
        <v>42709</v>
      </c>
      <c r="E1970" t="s">
        <v>1599</v>
      </c>
    </row>
    <row r="1971" spans="3:5">
      <c r="C1971">
        <v>13.428000000000003</v>
      </c>
      <c r="D1971" s="17">
        <v>42963</v>
      </c>
      <c r="E1971" t="s">
        <v>749</v>
      </c>
    </row>
    <row r="1972" spans="3:5">
      <c r="C1972">
        <v>13.440000000000001</v>
      </c>
      <c r="D1972" s="17">
        <v>41931</v>
      </c>
      <c r="E1972" t="s">
        <v>967</v>
      </c>
    </row>
    <row r="1973" spans="3:5">
      <c r="C1973">
        <v>13.455999999999998</v>
      </c>
      <c r="D1973" s="17">
        <v>43022</v>
      </c>
      <c r="E1973" t="s">
        <v>298</v>
      </c>
    </row>
    <row r="1974" spans="3:5">
      <c r="C1974">
        <v>13.467999999999998</v>
      </c>
      <c r="D1974" s="17">
        <v>42825</v>
      </c>
      <c r="E1974" t="s">
        <v>473</v>
      </c>
    </row>
    <row r="1975" spans="3:5">
      <c r="C1975">
        <v>13.48</v>
      </c>
      <c r="D1975" s="17">
        <v>42458</v>
      </c>
      <c r="E1975" t="s">
        <v>1771</v>
      </c>
    </row>
    <row r="1976" spans="3:5">
      <c r="C1976">
        <v>13.48</v>
      </c>
      <c r="D1976" s="17">
        <v>42764</v>
      </c>
      <c r="E1976" t="s">
        <v>95</v>
      </c>
    </row>
    <row r="1977" spans="3:5">
      <c r="C1977">
        <v>13.48</v>
      </c>
      <c r="D1977" s="17">
        <v>42985</v>
      </c>
      <c r="E1977" t="s">
        <v>1151</v>
      </c>
    </row>
    <row r="1978" spans="3:5">
      <c r="C1978">
        <v>13.48</v>
      </c>
      <c r="D1978" s="17">
        <v>43092</v>
      </c>
      <c r="E1978" t="s">
        <v>1540</v>
      </c>
    </row>
    <row r="1979" spans="3:5">
      <c r="C1979">
        <v>13.488</v>
      </c>
      <c r="D1979" s="17">
        <v>42721</v>
      </c>
      <c r="E1979" t="s">
        <v>1067</v>
      </c>
    </row>
    <row r="1980" spans="3:5">
      <c r="C1980">
        <v>13.493999999999998</v>
      </c>
      <c r="D1980" s="17">
        <v>41834</v>
      </c>
      <c r="E1980" t="s">
        <v>1728</v>
      </c>
    </row>
    <row r="1981" spans="3:5">
      <c r="C1981">
        <v>13.52</v>
      </c>
      <c r="D1981" s="17">
        <v>42309</v>
      </c>
      <c r="E1981" t="s">
        <v>1156</v>
      </c>
    </row>
    <row r="1982" spans="3:5">
      <c r="C1982">
        <v>13.52</v>
      </c>
      <c r="D1982" s="17">
        <v>42715</v>
      </c>
      <c r="E1982" t="s">
        <v>1491</v>
      </c>
    </row>
    <row r="1983" spans="3:5">
      <c r="C1983">
        <v>13.56</v>
      </c>
      <c r="D1983" s="17">
        <v>42929</v>
      </c>
      <c r="E1983" t="s">
        <v>120</v>
      </c>
    </row>
    <row r="1984" spans="3:5">
      <c r="C1984">
        <v>13.568000000000001</v>
      </c>
      <c r="D1984" s="17">
        <v>42470</v>
      </c>
      <c r="E1984" t="s">
        <v>1261</v>
      </c>
    </row>
    <row r="1985" spans="3:5">
      <c r="C1985">
        <v>13.584000000000001</v>
      </c>
      <c r="D1985" s="17">
        <v>43080</v>
      </c>
      <c r="E1985" t="s">
        <v>597</v>
      </c>
    </row>
    <row r="1986" spans="3:5">
      <c r="C1986">
        <v>13.591999999999999</v>
      </c>
      <c r="D1986" s="17">
        <v>42885</v>
      </c>
      <c r="E1986" t="s">
        <v>778</v>
      </c>
    </row>
    <row r="1987" spans="3:5">
      <c r="C1987">
        <v>13.591999999999999</v>
      </c>
      <c r="D1987" s="17">
        <v>43072</v>
      </c>
      <c r="E1987" t="s">
        <v>778</v>
      </c>
    </row>
    <row r="1988" spans="3:5">
      <c r="C1988">
        <v>13.616</v>
      </c>
      <c r="D1988" s="17">
        <v>42547</v>
      </c>
      <c r="E1988" t="s">
        <v>1737</v>
      </c>
    </row>
    <row r="1989" spans="3:5">
      <c r="C1989">
        <v>13.620000000000001</v>
      </c>
      <c r="D1989" s="17">
        <v>41789</v>
      </c>
      <c r="E1989" t="s">
        <v>891</v>
      </c>
    </row>
    <row r="1990" spans="3:5">
      <c r="C1990">
        <v>13.632</v>
      </c>
      <c r="D1990" s="17">
        <v>42173</v>
      </c>
      <c r="E1990" t="s">
        <v>842</v>
      </c>
    </row>
    <row r="1991" spans="3:5">
      <c r="C1991">
        <v>13.68</v>
      </c>
      <c r="D1991" s="17">
        <v>42636</v>
      </c>
      <c r="E1991" t="s">
        <v>1682</v>
      </c>
    </row>
    <row r="1992" spans="3:5">
      <c r="C1992">
        <v>13.698000000000002</v>
      </c>
      <c r="D1992" s="17">
        <v>41937</v>
      </c>
      <c r="E1992" t="s">
        <v>808</v>
      </c>
    </row>
    <row r="1993" spans="3:5">
      <c r="C1993">
        <v>13.71</v>
      </c>
      <c r="D1993" s="17">
        <v>42988</v>
      </c>
      <c r="E1993" t="s">
        <v>1170</v>
      </c>
    </row>
    <row r="1994" spans="3:5">
      <c r="C1994">
        <v>13.710000000000003</v>
      </c>
      <c r="D1994" s="17">
        <v>42841</v>
      </c>
      <c r="E1994" t="s">
        <v>399</v>
      </c>
    </row>
    <row r="1995" spans="3:5">
      <c r="C1995">
        <v>13.712000000000002</v>
      </c>
      <c r="D1995" s="17">
        <v>42734</v>
      </c>
      <c r="E1995" t="s">
        <v>176</v>
      </c>
    </row>
    <row r="1996" spans="3:5">
      <c r="C1996">
        <v>13.719999999999999</v>
      </c>
      <c r="D1996" s="17">
        <v>43031</v>
      </c>
      <c r="E1996" t="s">
        <v>146</v>
      </c>
    </row>
    <row r="1997" spans="3:5">
      <c r="C1997">
        <v>13.747999999999998</v>
      </c>
      <c r="D1997" s="17">
        <v>42736</v>
      </c>
      <c r="E1997" t="s">
        <v>55</v>
      </c>
    </row>
    <row r="1998" spans="3:5">
      <c r="C1998">
        <v>13.76</v>
      </c>
      <c r="D1998" s="17">
        <v>42704</v>
      </c>
      <c r="E1998" t="s">
        <v>623</v>
      </c>
    </row>
    <row r="1999" spans="3:5">
      <c r="C1999">
        <v>13.76</v>
      </c>
      <c r="D1999" s="17">
        <v>42952</v>
      </c>
      <c r="E1999" t="s">
        <v>623</v>
      </c>
    </row>
    <row r="2000" spans="3:5">
      <c r="C2000">
        <v>13.76</v>
      </c>
      <c r="D2000" s="17">
        <v>42954</v>
      </c>
      <c r="E2000" t="s">
        <v>984</v>
      </c>
    </row>
    <row r="2001" spans="3:5">
      <c r="C2001">
        <v>13.76</v>
      </c>
      <c r="D2001" s="17">
        <v>42998</v>
      </c>
      <c r="E2001" t="s">
        <v>623</v>
      </c>
    </row>
    <row r="2002" spans="3:5">
      <c r="C2002">
        <v>13.761999999999997</v>
      </c>
      <c r="D2002" s="17">
        <v>43063</v>
      </c>
      <c r="E2002" t="s">
        <v>1022</v>
      </c>
    </row>
    <row r="2003" spans="3:5">
      <c r="C2003">
        <v>13.775999999999996</v>
      </c>
      <c r="D2003" s="17">
        <v>42811</v>
      </c>
      <c r="E2003" t="s">
        <v>385</v>
      </c>
    </row>
    <row r="2004" spans="3:5">
      <c r="C2004">
        <v>13.776000000000002</v>
      </c>
      <c r="D2004" s="17">
        <v>42505</v>
      </c>
      <c r="E2004" t="s">
        <v>1072</v>
      </c>
    </row>
    <row r="2005" spans="3:5">
      <c r="C2005">
        <v>13.839999999999998</v>
      </c>
      <c r="D2005" s="17">
        <v>43092</v>
      </c>
      <c r="E2005" t="s">
        <v>1260</v>
      </c>
    </row>
    <row r="2006" spans="3:5">
      <c r="C2006">
        <v>13.847999999999999</v>
      </c>
      <c r="D2006" s="17">
        <v>42127</v>
      </c>
      <c r="E2006" t="s">
        <v>374</v>
      </c>
    </row>
    <row r="2007" spans="3:5">
      <c r="C2007">
        <v>13.86</v>
      </c>
      <c r="D2007" s="17">
        <v>42710</v>
      </c>
      <c r="E2007" t="s">
        <v>1596</v>
      </c>
    </row>
    <row r="2008" spans="3:5">
      <c r="C2008">
        <v>13.872000000000002</v>
      </c>
      <c r="D2008" s="17">
        <v>42839</v>
      </c>
      <c r="E2008" t="s">
        <v>408</v>
      </c>
    </row>
    <row r="2009" spans="3:5">
      <c r="C2009">
        <v>13.872000000000002</v>
      </c>
      <c r="D2009" s="17">
        <v>42883</v>
      </c>
      <c r="E2009" t="s">
        <v>226</v>
      </c>
    </row>
    <row r="2010" spans="3:5">
      <c r="C2010">
        <v>13.872000000000002</v>
      </c>
      <c r="D2010" s="17">
        <v>42912</v>
      </c>
      <c r="E2010" t="s">
        <v>822</v>
      </c>
    </row>
    <row r="2011" spans="3:5">
      <c r="C2011">
        <v>13.88</v>
      </c>
      <c r="D2011" s="17">
        <v>41981</v>
      </c>
      <c r="E2011" t="s">
        <v>1059</v>
      </c>
    </row>
    <row r="2012" spans="3:5">
      <c r="C2012">
        <v>13.89</v>
      </c>
      <c r="D2012" s="17">
        <v>41734</v>
      </c>
      <c r="E2012" t="s">
        <v>1363</v>
      </c>
    </row>
    <row r="2013" spans="3:5">
      <c r="C2013">
        <v>13.89</v>
      </c>
      <c r="D2013" s="17">
        <v>42640</v>
      </c>
      <c r="E2013" t="s">
        <v>1363</v>
      </c>
    </row>
    <row r="2014" spans="3:5">
      <c r="C2014">
        <v>13.896000000000001</v>
      </c>
      <c r="D2014" s="17">
        <v>42855</v>
      </c>
      <c r="E2014" t="s">
        <v>297</v>
      </c>
    </row>
    <row r="2015" spans="3:5">
      <c r="C2015">
        <v>13.899999999999999</v>
      </c>
      <c r="D2015" s="17">
        <v>42339</v>
      </c>
      <c r="E2015" t="s">
        <v>394</v>
      </c>
    </row>
    <row r="2016" spans="3:5">
      <c r="C2016">
        <v>13.899999999999999</v>
      </c>
      <c r="D2016" s="17">
        <v>42437</v>
      </c>
      <c r="E2016" t="s">
        <v>394</v>
      </c>
    </row>
    <row r="2017" spans="3:5">
      <c r="C2017">
        <v>13.899999999999999</v>
      </c>
      <c r="D2017" s="17">
        <v>42716</v>
      </c>
      <c r="E2017" t="s">
        <v>746</v>
      </c>
    </row>
    <row r="2018" spans="3:5">
      <c r="C2018">
        <v>13.899999999999999</v>
      </c>
      <c r="D2018" s="17">
        <v>42812</v>
      </c>
      <c r="E2018" t="s">
        <v>394</v>
      </c>
    </row>
    <row r="2019" spans="3:5">
      <c r="C2019">
        <v>13.899999999999999</v>
      </c>
      <c r="D2019" s="17">
        <v>43045</v>
      </c>
      <c r="E2019" t="s">
        <v>175</v>
      </c>
    </row>
    <row r="2020" spans="3:5">
      <c r="C2020">
        <v>13.904</v>
      </c>
      <c r="D2020" s="17">
        <v>41838</v>
      </c>
      <c r="E2020" t="s">
        <v>421</v>
      </c>
    </row>
    <row r="2021" spans="3:5">
      <c r="C2021">
        <v>13.904</v>
      </c>
      <c r="D2021" s="17">
        <v>42850</v>
      </c>
      <c r="E2021" t="s">
        <v>421</v>
      </c>
    </row>
    <row r="2022" spans="3:5">
      <c r="C2022">
        <v>13.904</v>
      </c>
      <c r="D2022" s="17">
        <v>43038</v>
      </c>
      <c r="E2022" t="s">
        <v>786</v>
      </c>
    </row>
    <row r="2023" spans="3:5">
      <c r="C2023">
        <v>13.904</v>
      </c>
      <c r="D2023" s="17">
        <v>43056</v>
      </c>
      <c r="E2023" t="s">
        <v>421</v>
      </c>
    </row>
    <row r="2024" spans="3:5">
      <c r="C2024">
        <v>13.904</v>
      </c>
      <c r="D2024" s="17">
        <v>43099</v>
      </c>
      <c r="E2024" t="s">
        <v>421</v>
      </c>
    </row>
    <row r="2025" spans="3:5">
      <c r="C2025">
        <v>13.919999999999998</v>
      </c>
      <c r="D2025" s="17">
        <v>41819</v>
      </c>
      <c r="E2025" t="s">
        <v>569</v>
      </c>
    </row>
    <row r="2026" spans="3:5">
      <c r="C2026">
        <v>13.919999999999998</v>
      </c>
      <c r="D2026" s="17">
        <v>42939</v>
      </c>
      <c r="E2026" t="s">
        <v>1003</v>
      </c>
    </row>
    <row r="2027" spans="3:5">
      <c r="C2027">
        <v>13.919999999999998</v>
      </c>
      <c r="D2027" s="17">
        <v>42964</v>
      </c>
      <c r="E2027" t="s">
        <v>569</v>
      </c>
    </row>
    <row r="2028" spans="3:5">
      <c r="C2028">
        <v>13.943999999999999</v>
      </c>
      <c r="D2028" s="17">
        <v>42119</v>
      </c>
      <c r="E2028" t="s">
        <v>206</v>
      </c>
    </row>
    <row r="2029" spans="3:5">
      <c r="C2029">
        <v>13.96</v>
      </c>
      <c r="D2029" s="17">
        <v>41794</v>
      </c>
      <c r="E2029" t="s">
        <v>736</v>
      </c>
    </row>
    <row r="2030" spans="3:5">
      <c r="C2030">
        <v>13.96</v>
      </c>
      <c r="D2030" s="17">
        <v>42191</v>
      </c>
      <c r="E2030" t="s">
        <v>736</v>
      </c>
    </row>
    <row r="2031" spans="3:5">
      <c r="C2031">
        <v>13.96</v>
      </c>
      <c r="D2031" s="17">
        <v>42254</v>
      </c>
      <c r="E2031" t="s">
        <v>890</v>
      </c>
    </row>
    <row r="2032" spans="3:5">
      <c r="C2032">
        <v>13.96</v>
      </c>
      <c r="D2032" s="17">
        <v>43097</v>
      </c>
      <c r="E2032" t="s">
        <v>1110</v>
      </c>
    </row>
    <row r="2033" spans="3:5">
      <c r="C2033">
        <v>13.97</v>
      </c>
      <c r="D2033" s="17">
        <v>41997</v>
      </c>
      <c r="E2033" t="s">
        <v>951</v>
      </c>
    </row>
    <row r="2034" spans="3:5">
      <c r="C2034">
        <v>13.98</v>
      </c>
      <c r="D2034" s="17">
        <v>41659</v>
      </c>
      <c r="E2034" t="s">
        <v>71</v>
      </c>
    </row>
    <row r="2035" spans="3:5">
      <c r="C2035">
        <v>13.98</v>
      </c>
      <c r="D2035" s="17">
        <v>42317</v>
      </c>
      <c r="E2035" t="s">
        <v>935</v>
      </c>
    </row>
    <row r="2036" spans="3:5">
      <c r="C2036">
        <v>13.98</v>
      </c>
      <c r="D2036" s="17">
        <v>42328</v>
      </c>
      <c r="E2036" t="s">
        <v>935</v>
      </c>
    </row>
    <row r="2037" spans="3:5">
      <c r="C2037">
        <v>13.98</v>
      </c>
      <c r="D2037" s="17">
        <v>42332</v>
      </c>
      <c r="E2037" t="s">
        <v>1249</v>
      </c>
    </row>
    <row r="2038" spans="3:5">
      <c r="C2038">
        <v>13.98</v>
      </c>
      <c r="D2038" s="17">
        <v>42688</v>
      </c>
      <c r="E2038" t="s">
        <v>1637</v>
      </c>
    </row>
    <row r="2039" spans="3:5">
      <c r="C2039">
        <v>13.98</v>
      </c>
      <c r="D2039" s="17">
        <v>43086</v>
      </c>
      <c r="E2039" t="s">
        <v>866</v>
      </c>
    </row>
    <row r="2040" spans="3:5">
      <c r="C2040">
        <v>13.984000000000002</v>
      </c>
      <c r="D2040" s="17">
        <v>41796</v>
      </c>
      <c r="E2040" t="s">
        <v>1165</v>
      </c>
    </row>
    <row r="2041" spans="3:5">
      <c r="C2041">
        <v>14</v>
      </c>
      <c r="D2041" s="17">
        <v>42653</v>
      </c>
      <c r="E2041" t="s">
        <v>758</v>
      </c>
    </row>
    <row r="2042" spans="3:5">
      <c r="C2042">
        <v>14.015999999999996</v>
      </c>
      <c r="D2042" s="17">
        <v>41979</v>
      </c>
      <c r="E2042" t="s">
        <v>1429</v>
      </c>
    </row>
    <row r="2043" spans="3:5">
      <c r="C2043">
        <v>14.015999999999998</v>
      </c>
      <c r="D2043" s="17">
        <v>42762</v>
      </c>
      <c r="E2043" t="s">
        <v>167</v>
      </c>
    </row>
    <row r="2044" spans="3:5">
      <c r="C2044">
        <v>14.015999999999998</v>
      </c>
      <c r="D2044" s="17">
        <v>42902</v>
      </c>
      <c r="E2044" t="s">
        <v>196</v>
      </c>
    </row>
    <row r="2045" spans="3:5">
      <c r="C2045">
        <v>14.016</v>
      </c>
      <c r="D2045" s="17">
        <v>43051</v>
      </c>
      <c r="E2045" t="s">
        <v>537</v>
      </c>
    </row>
    <row r="2046" spans="3:5">
      <c r="C2046">
        <v>14.03</v>
      </c>
      <c r="D2046" s="17">
        <v>42733</v>
      </c>
      <c r="E2046" t="s">
        <v>859</v>
      </c>
    </row>
    <row r="2047" spans="3:5">
      <c r="C2047">
        <v>14.03</v>
      </c>
      <c r="D2047" s="17">
        <v>42903</v>
      </c>
      <c r="E2047" t="s">
        <v>859</v>
      </c>
    </row>
    <row r="2048" spans="3:5">
      <c r="C2048">
        <v>14.04</v>
      </c>
      <c r="D2048" s="17">
        <v>41863</v>
      </c>
      <c r="E2048" t="s">
        <v>136</v>
      </c>
    </row>
    <row r="2049" spans="3:5">
      <c r="C2049">
        <v>14.04</v>
      </c>
      <c r="D2049" s="17">
        <v>42362</v>
      </c>
      <c r="E2049" t="s">
        <v>779</v>
      </c>
    </row>
    <row r="2050" spans="3:5">
      <c r="C2050">
        <v>14.04</v>
      </c>
      <c r="D2050" s="17">
        <v>42698</v>
      </c>
      <c r="E2050" t="s">
        <v>779</v>
      </c>
    </row>
    <row r="2051" spans="3:5">
      <c r="C2051">
        <v>14.069999999999999</v>
      </c>
      <c r="D2051" s="17">
        <v>42565</v>
      </c>
      <c r="E2051" t="s">
        <v>1533</v>
      </c>
    </row>
    <row r="2052" spans="3:5">
      <c r="C2052">
        <v>14.088000000000001</v>
      </c>
      <c r="D2052" s="17">
        <v>42141</v>
      </c>
      <c r="E2052" t="s">
        <v>631</v>
      </c>
    </row>
    <row r="2053" spans="3:5">
      <c r="C2053">
        <v>14.111999999999997</v>
      </c>
      <c r="D2053" s="17">
        <v>42085</v>
      </c>
      <c r="E2053" t="s">
        <v>583</v>
      </c>
    </row>
    <row r="2054" spans="3:5">
      <c r="C2054">
        <v>14.111999999999998</v>
      </c>
      <c r="D2054" s="17">
        <v>42685</v>
      </c>
      <c r="E2054" t="s">
        <v>1452</v>
      </c>
    </row>
    <row r="2055" spans="3:5">
      <c r="C2055">
        <v>14.129999999999999</v>
      </c>
      <c r="D2055" s="17">
        <v>42896</v>
      </c>
      <c r="E2055" t="s">
        <v>770</v>
      </c>
    </row>
    <row r="2056" spans="3:5">
      <c r="C2056">
        <v>14.135999999999999</v>
      </c>
      <c r="D2056" s="17">
        <v>42987</v>
      </c>
      <c r="E2056" t="s">
        <v>771</v>
      </c>
    </row>
    <row r="2057" spans="3:5">
      <c r="C2057">
        <v>14.136000000000003</v>
      </c>
      <c r="D2057" s="17">
        <v>42621</v>
      </c>
      <c r="E2057" t="s">
        <v>564</v>
      </c>
    </row>
    <row r="2058" spans="3:5">
      <c r="C2058">
        <v>14.16</v>
      </c>
      <c r="D2058" s="17">
        <v>42565</v>
      </c>
      <c r="E2058" t="s">
        <v>961</v>
      </c>
    </row>
    <row r="2059" spans="3:5">
      <c r="C2059">
        <v>14.16</v>
      </c>
      <c r="D2059" s="17">
        <v>42609</v>
      </c>
      <c r="E2059" t="s">
        <v>1708</v>
      </c>
    </row>
    <row r="2060" spans="3:5">
      <c r="C2060">
        <v>14.190000000000001</v>
      </c>
      <c r="D2060" s="17">
        <v>41895</v>
      </c>
      <c r="E2060" t="s">
        <v>715</v>
      </c>
    </row>
    <row r="2061" spans="3:5">
      <c r="C2061">
        <v>14.2</v>
      </c>
      <c r="D2061" s="17">
        <v>42552</v>
      </c>
      <c r="E2061" t="s">
        <v>1267</v>
      </c>
    </row>
    <row r="2062" spans="3:5">
      <c r="C2062">
        <v>14.2</v>
      </c>
      <c r="D2062" s="17">
        <v>42989</v>
      </c>
      <c r="E2062" t="s">
        <v>1185</v>
      </c>
    </row>
    <row r="2063" spans="3:5">
      <c r="C2063">
        <v>14.200000000000001</v>
      </c>
      <c r="D2063" s="17">
        <v>43079</v>
      </c>
      <c r="E2063" t="s">
        <v>441</v>
      </c>
    </row>
    <row r="2064" spans="3:5">
      <c r="C2064">
        <v>14.224000000000002</v>
      </c>
      <c r="D2064" s="17">
        <v>42916</v>
      </c>
      <c r="E2064" t="s">
        <v>915</v>
      </c>
    </row>
    <row r="2065" spans="3:5">
      <c r="C2065">
        <v>14.256000000000002</v>
      </c>
      <c r="D2065" s="17">
        <v>42623</v>
      </c>
      <c r="E2065" t="s">
        <v>531</v>
      </c>
    </row>
    <row r="2066" spans="3:5">
      <c r="C2066">
        <v>14.272</v>
      </c>
      <c r="D2066" s="17">
        <v>42391</v>
      </c>
      <c r="E2066" t="s">
        <v>1687</v>
      </c>
    </row>
    <row r="2067" spans="3:5">
      <c r="C2067">
        <v>14.28</v>
      </c>
      <c r="D2067" s="17">
        <v>42671</v>
      </c>
      <c r="E2067" t="s">
        <v>1384</v>
      </c>
    </row>
    <row r="2068" spans="3:5">
      <c r="C2068">
        <v>14.28</v>
      </c>
      <c r="D2068" s="17">
        <v>43002</v>
      </c>
      <c r="E2068" t="s">
        <v>235</v>
      </c>
    </row>
    <row r="2069" spans="3:5">
      <c r="C2069">
        <v>14.280000000000001</v>
      </c>
      <c r="D2069" s="17">
        <v>42308</v>
      </c>
      <c r="E2069" t="s">
        <v>124</v>
      </c>
    </row>
    <row r="2070" spans="3:5">
      <c r="C2070">
        <v>14.301000000000002</v>
      </c>
      <c r="D2070" s="17">
        <v>41946</v>
      </c>
      <c r="E2070" t="s">
        <v>1374</v>
      </c>
    </row>
    <row r="2071" spans="3:5">
      <c r="C2071">
        <v>14.301000000000002</v>
      </c>
      <c r="D2071" s="17">
        <v>42303</v>
      </c>
      <c r="E2071" t="s">
        <v>1374</v>
      </c>
    </row>
    <row r="2072" spans="3:5">
      <c r="C2072">
        <v>14.303999999999998</v>
      </c>
      <c r="D2072" s="17">
        <v>41829</v>
      </c>
      <c r="E2072" t="s">
        <v>280</v>
      </c>
    </row>
    <row r="2073" spans="3:5">
      <c r="C2073">
        <v>14.303999999999998</v>
      </c>
      <c r="D2073" s="17">
        <v>42034</v>
      </c>
      <c r="E2073" t="s">
        <v>1778</v>
      </c>
    </row>
    <row r="2074" spans="3:5">
      <c r="C2074">
        <v>14.320000000000002</v>
      </c>
      <c r="D2074" s="17">
        <v>41848</v>
      </c>
      <c r="E2074" t="s">
        <v>1211</v>
      </c>
    </row>
    <row r="2075" spans="3:5">
      <c r="C2075">
        <v>14.336000000000002</v>
      </c>
      <c r="D2075" s="17">
        <v>42974</v>
      </c>
      <c r="E2075" t="s">
        <v>388</v>
      </c>
    </row>
    <row r="2076" spans="3:5">
      <c r="C2076">
        <v>14.352000000000002</v>
      </c>
      <c r="D2076" s="17">
        <v>41829</v>
      </c>
      <c r="E2076" t="s">
        <v>1266</v>
      </c>
    </row>
    <row r="2077" spans="3:5">
      <c r="C2077">
        <v>14.352000000000002</v>
      </c>
      <c r="D2077" s="17">
        <v>41928</v>
      </c>
      <c r="E2077" t="s">
        <v>1872</v>
      </c>
    </row>
    <row r="2078" spans="3:5">
      <c r="C2078">
        <v>14.352000000000002</v>
      </c>
      <c r="D2078" s="17">
        <v>42002</v>
      </c>
      <c r="E2078" t="s">
        <v>1630</v>
      </c>
    </row>
    <row r="2079" spans="3:5">
      <c r="C2079">
        <v>14.352000000000002</v>
      </c>
      <c r="D2079" s="17">
        <v>42049</v>
      </c>
      <c r="E2079" t="s">
        <v>1642</v>
      </c>
    </row>
    <row r="2080" spans="3:5">
      <c r="C2080">
        <v>14.352000000000002</v>
      </c>
      <c r="D2080" s="17">
        <v>42461</v>
      </c>
      <c r="E2080" t="s">
        <v>1630</v>
      </c>
    </row>
    <row r="2081" spans="3:5">
      <c r="C2081">
        <v>14.352000000000002</v>
      </c>
      <c r="D2081" s="17">
        <v>42495</v>
      </c>
      <c r="E2081" t="s">
        <v>1676</v>
      </c>
    </row>
    <row r="2082" spans="3:5">
      <c r="C2082">
        <v>14.352000000000002</v>
      </c>
      <c r="D2082" s="17">
        <v>42516</v>
      </c>
      <c r="E2082" t="s">
        <v>1608</v>
      </c>
    </row>
    <row r="2083" spans="3:5">
      <c r="C2083">
        <v>14.352000000000002</v>
      </c>
      <c r="D2083" s="17">
        <v>42693</v>
      </c>
      <c r="E2083" t="s">
        <v>1630</v>
      </c>
    </row>
    <row r="2084" spans="3:5">
      <c r="C2084">
        <v>14.352000000000002</v>
      </c>
      <c r="D2084" s="17">
        <v>43001</v>
      </c>
      <c r="E2084" t="s">
        <v>1253</v>
      </c>
    </row>
    <row r="2085" spans="3:5">
      <c r="C2085">
        <v>14.352000000000002</v>
      </c>
      <c r="D2085" s="17">
        <v>43006</v>
      </c>
      <c r="E2085" t="s">
        <v>844</v>
      </c>
    </row>
    <row r="2086" spans="3:5">
      <c r="C2086">
        <v>14.352000000000002</v>
      </c>
      <c r="D2086" s="17">
        <v>43028</v>
      </c>
      <c r="E2086" t="s">
        <v>147</v>
      </c>
    </row>
    <row r="2087" spans="3:5">
      <c r="C2087">
        <v>14.368000000000002</v>
      </c>
      <c r="D2087" s="17">
        <v>42248</v>
      </c>
      <c r="E2087" t="s">
        <v>353</v>
      </c>
    </row>
    <row r="2088" spans="3:5">
      <c r="C2088">
        <v>14.368000000000002</v>
      </c>
      <c r="D2088" s="17">
        <v>42358</v>
      </c>
      <c r="E2088" t="s">
        <v>1626</v>
      </c>
    </row>
    <row r="2089" spans="3:5">
      <c r="C2089">
        <v>14.368000000000002</v>
      </c>
      <c r="D2089" s="17">
        <v>42404</v>
      </c>
      <c r="E2089" t="s">
        <v>1626</v>
      </c>
    </row>
    <row r="2090" spans="3:5">
      <c r="C2090">
        <v>14.368000000000002</v>
      </c>
      <c r="D2090" s="17">
        <v>42697</v>
      </c>
      <c r="E2090" t="s">
        <v>1626</v>
      </c>
    </row>
    <row r="2091" spans="3:5">
      <c r="C2091">
        <v>14.376000000000001</v>
      </c>
      <c r="D2091" s="17">
        <v>43093</v>
      </c>
      <c r="E2091" t="s">
        <v>673</v>
      </c>
    </row>
    <row r="2092" spans="3:5">
      <c r="C2092">
        <v>14.399999999999999</v>
      </c>
      <c r="D2092" s="17">
        <v>41719</v>
      </c>
      <c r="E2092" t="s">
        <v>620</v>
      </c>
    </row>
    <row r="2093" spans="3:5">
      <c r="C2093">
        <v>14.399999999999999</v>
      </c>
      <c r="D2093" s="17">
        <v>41831</v>
      </c>
      <c r="E2093" t="s">
        <v>1218</v>
      </c>
    </row>
    <row r="2094" spans="3:5">
      <c r="C2094">
        <v>14.399999999999999</v>
      </c>
      <c r="D2094" s="17">
        <v>41885</v>
      </c>
      <c r="E2094" t="s">
        <v>1218</v>
      </c>
    </row>
    <row r="2095" spans="3:5">
      <c r="C2095">
        <v>14.399999999999999</v>
      </c>
      <c r="D2095" s="17">
        <v>42626</v>
      </c>
      <c r="E2095" t="s">
        <v>324</v>
      </c>
    </row>
    <row r="2096" spans="3:5">
      <c r="C2096">
        <v>14.399999999999999</v>
      </c>
      <c r="D2096" s="17">
        <v>42756</v>
      </c>
      <c r="E2096" t="s">
        <v>139</v>
      </c>
    </row>
    <row r="2097" spans="3:5">
      <c r="C2097">
        <v>14.399999999999999</v>
      </c>
      <c r="D2097" s="17">
        <v>42995</v>
      </c>
      <c r="E2097" t="s">
        <v>1218</v>
      </c>
    </row>
    <row r="2098" spans="3:5">
      <c r="C2098">
        <v>14.427000000000003</v>
      </c>
      <c r="D2098" s="17">
        <v>42694</v>
      </c>
      <c r="E2098" t="s">
        <v>59</v>
      </c>
    </row>
    <row r="2099" spans="3:5">
      <c r="C2099">
        <v>14.432</v>
      </c>
      <c r="D2099" s="17">
        <v>42202</v>
      </c>
      <c r="E2099" t="s">
        <v>1450</v>
      </c>
    </row>
    <row r="2100" spans="3:5">
      <c r="C2100">
        <v>14.450000000000001</v>
      </c>
      <c r="D2100" s="17">
        <v>41916</v>
      </c>
      <c r="E2100" t="s">
        <v>822</v>
      </c>
    </row>
    <row r="2101" spans="3:5">
      <c r="C2101">
        <v>14.46</v>
      </c>
      <c r="D2101" s="17">
        <v>42272</v>
      </c>
      <c r="E2101" t="s">
        <v>1548</v>
      </c>
    </row>
    <row r="2102" spans="3:5">
      <c r="C2102">
        <v>14.479999999999997</v>
      </c>
      <c r="D2102" s="17">
        <v>41961</v>
      </c>
      <c r="E2102" t="s">
        <v>551</v>
      </c>
    </row>
    <row r="2103" spans="3:5">
      <c r="C2103">
        <v>14.480000000000002</v>
      </c>
      <c r="D2103" s="17">
        <v>41915</v>
      </c>
      <c r="E2103" t="s">
        <v>1096</v>
      </c>
    </row>
    <row r="2104" spans="3:5">
      <c r="C2104">
        <v>14.496000000000002</v>
      </c>
      <c r="D2104" s="17">
        <v>42082</v>
      </c>
      <c r="E2104" t="s">
        <v>1377</v>
      </c>
    </row>
    <row r="2105" spans="3:5">
      <c r="C2105">
        <v>14.52</v>
      </c>
      <c r="D2105" s="17">
        <v>41803</v>
      </c>
      <c r="E2105" t="s">
        <v>127</v>
      </c>
    </row>
    <row r="2106" spans="3:5">
      <c r="C2106">
        <v>14.52</v>
      </c>
      <c r="D2106" s="17">
        <v>42706</v>
      </c>
      <c r="E2106" t="s">
        <v>1606</v>
      </c>
    </row>
    <row r="2107" spans="3:5">
      <c r="C2107">
        <v>14.56</v>
      </c>
      <c r="D2107" s="17">
        <v>41678</v>
      </c>
      <c r="E2107" t="s">
        <v>1807</v>
      </c>
    </row>
    <row r="2108" spans="3:5">
      <c r="C2108">
        <v>14.56</v>
      </c>
      <c r="D2108" s="17">
        <v>41897</v>
      </c>
      <c r="E2108" t="s">
        <v>566</v>
      </c>
    </row>
    <row r="2109" spans="3:5">
      <c r="C2109">
        <v>14.56</v>
      </c>
      <c r="D2109" s="17">
        <v>42538</v>
      </c>
      <c r="E2109" t="s">
        <v>1744</v>
      </c>
    </row>
    <row r="2110" spans="3:5">
      <c r="C2110">
        <v>14.56</v>
      </c>
      <c r="D2110" s="17">
        <v>42873</v>
      </c>
      <c r="E2110" t="s">
        <v>566</v>
      </c>
    </row>
    <row r="2111" spans="3:5">
      <c r="C2111">
        <v>14.560000000000002</v>
      </c>
      <c r="D2111" s="17">
        <v>42845</v>
      </c>
      <c r="E2111" t="s">
        <v>566</v>
      </c>
    </row>
    <row r="2112" spans="3:5">
      <c r="C2112">
        <v>14.576000000000001</v>
      </c>
      <c r="D2112" s="17">
        <v>41907</v>
      </c>
      <c r="E2112" t="s">
        <v>645</v>
      </c>
    </row>
    <row r="2113" spans="3:5">
      <c r="C2113">
        <v>14.576000000000001</v>
      </c>
      <c r="D2113" s="17">
        <v>42271</v>
      </c>
      <c r="E2113" t="s">
        <v>645</v>
      </c>
    </row>
    <row r="2114" spans="3:5">
      <c r="C2114">
        <v>14.592000000000002</v>
      </c>
      <c r="D2114" s="17">
        <v>42136</v>
      </c>
      <c r="E2114" t="s">
        <v>1404</v>
      </c>
    </row>
    <row r="2115" spans="3:5">
      <c r="C2115">
        <v>14.592000000000002</v>
      </c>
      <c r="D2115" s="17">
        <v>42839</v>
      </c>
      <c r="E2115" t="s">
        <v>535</v>
      </c>
    </row>
    <row r="2116" spans="3:5">
      <c r="C2116">
        <v>14.6</v>
      </c>
      <c r="D2116" s="17">
        <v>42268</v>
      </c>
      <c r="E2116" t="s">
        <v>1433</v>
      </c>
    </row>
    <row r="2117" spans="3:5">
      <c r="C2117">
        <v>14.62</v>
      </c>
      <c r="D2117" s="17">
        <v>41784</v>
      </c>
      <c r="E2117" t="s">
        <v>1582</v>
      </c>
    </row>
    <row r="2118" spans="3:5">
      <c r="C2118">
        <v>14.62</v>
      </c>
      <c r="D2118" s="17">
        <v>41825</v>
      </c>
      <c r="E2118" t="s">
        <v>1740</v>
      </c>
    </row>
    <row r="2119" spans="3:5">
      <c r="C2119">
        <v>14.62</v>
      </c>
      <c r="D2119" s="17">
        <v>41992</v>
      </c>
      <c r="E2119" t="s">
        <v>1740</v>
      </c>
    </row>
    <row r="2120" spans="3:5">
      <c r="C2120">
        <v>14.62</v>
      </c>
      <c r="D2120" s="17">
        <v>42027</v>
      </c>
      <c r="E2120" t="s">
        <v>1357</v>
      </c>
    </row>
    <row r="2121" spans="3:5">
      <c r="C2121">
        <v>14.62</v>
      </c>
      <c r="D2121" s="17">
        <v>42082</v>
      </c>
      <c r="E2121" t="s">
        <v>679</v>
      </c>
    </row>
    <row r="2122" spans="3:5">
      <c r="C2122">
        <v>14.62</v>
      </c>
      <c r="D2122" s="17">
        <v>42507</v>
      </c>
      <c r="E2122" t="s">
        <v>1128</v>
      </c>
    </row>
    <row r="2123" spans="3:5">
      <c r="C2123">
        <v>14.62</v>
      </c>
      <c r="D2123" s="17">
        <v>42532</v>
      </c>
      <c r="E2123" t="s">
        <v>382</v>
      </c>
    </row>
    <row r="2124" spans="3:5">
      <c r="C2124">
        <v>14.62</v>
      </c>
      <c r="D2124" s="17">
        <v>42533</v>
      </c>
      <c r="E2124" t="s">
        <v>679</v>
      </c>
    </row>
    <row r="2125" spans="3:5">
      <c r="C2125">
        <v>14.62</v>
      </c>
      <c r="D2125" s="17">
        <v>42681</v>
      </c>
      <c r="E2125" t="s">
        <v>382</v>
      </c>
    </row>
    <row r="2126" spans="3:5">
      <c r="C2126">
        <v>14.62</v>
      </c>
      <c r="D2126" s="17">
        <v>42694</v>
      </c>
      <c r="E2126" t="s">
        <v>1128</v>
      </c>
    </row>
    <row r="2127" spans="3:5">
      <c r="C2127">
        <v>14.62</v>
      </c>
      <c r="D2127" s="17">
        <v>42718</v>
      </c>
      <c r="E2127" t="s">
        <v>1582</v>
      </c>
    </row>
    <row r="2128" spans="3:5">
      <c r="C2128">
        <v>14.62</v>
      </c>
      <c r="D2128" s="17">
        <v>42936</v>
      </c>
      <c r="E2128" t="s">
        <v>382</v>
      </c>
    </row>
    <row r="2129" spans="3:5">
      <c r="C2129">
        <v>14.624000000000002</v>
      </c>
      <c r="D2129" s="17">
        <v>42622</v>
      </c>
      <c r="E2129" t="s">
        <v>183</v>
      </c>
    </row>
    <row r="2130" spans="3:5">
      <c r="C2130">
        <v>14.624000000000002</v>
      </c>
      <c r="D2130" s="17">
        <v>42813</v>
      </c>
      <c r="E2130" t="s">
        <v>399</v>
      </c>
    </row>
    <row r="2131" spans="3:5">
      <c r="C2131">
        <v>14.624000000000002</v>
      </c>
      <c r="D2131" s="17">
        <v>43072</v>
      </c>
      <c r="E2131" t="s">
        <v>399</v>
      </c>
    </row>
    <row r="2132" spans="3:5">
      <c r="C2132">
        <v>14.669999999999998</v>
      </c>
      <c r="D2132" s="17">
        <v>41966</v>
      </c>
      <c r="E2132" t="s">
        <v>572</v>
      </c>
    </row>
    <row r="2133" spans="3:5">
      <c r="C2133">
        <v>14.669999999999998</v>
      </c>
      <c r="D2133" s="17">
        <v>41971</v>
      </c>
      <c r="E2133" t="s">
        <v>841</v>
      </c>
    </row>
    <row r="2134" spans="3:5">
      <c r="C2134">
        <v>14.669999999999998</v>
      </c>
      <c r="D2134" s="17">
        <v>42104</v>
      </c>
      <c r="E2134" t="s">
        <v>541</v>
      </c>
    </row>
    <row r="2135" spans="3:5">
      <c r="C2135">
        <v>14.7</v>
      </c>
      <c r="D2135" s="17">
        <v>42332</v>
      </c>
      <c r="E2135" t="s">
        <v>492</v>
      </c>
    </row>
    <row r="2136" spans="3:5">
      <c r="C2136">
        <v>14.7</v>
      </c>
      <c r="D2136" s="17">
        <v>42520</v>
      </c>
      <c r="E2136" t="s">
        <v>1220</v>
      </c>
    </row>
    <row r="2137" spans="3:5">
      <c r="C2137">
        <v>14.7</v>
      </c>
      <c r="D2137" s="17">
        <v>42547</v>
      </c>
      <c r="E2137" t="s">
        <v>492</v>
      </c>
    </row>
    <row r="2138" spans="3:5">
      <c r="C2138">
        <v>14.7</v>
      </c>
      <c r="D2138" s="17">
        <v>42684</v>
      </c>
      <c r="E2138" t="s">
        <v>190</v>
      </c>
    </row>
    <row r="2139" spans="3:5">
      <c r="C2139">
        <v>14.7</v>
      </c>
      <c r="D2139" s="17">
        <v>42869</v>
      </c>
      <c r="E2139" t="s">
        <v>492</v>
      </c>
    </row>
    <row r="2140" spans="3:5">
      <c r="C2140">
        <v>14.700000000000001</v>
      </c>
      <c r="D2140" s="17">
        <v>42896</v>
      </c>
      <c r="E2140" t="s">
        <v>824</v>
      </c>
    </row>
    <row r="2141" spans="3:5">
      <c r="C2141">
        <v>14.720000000000002</v>
      </c>
      <c r="D2141" s="17">
        <v>42684</v>
      </c>
      <c r="E2141" t="s">
        <v>292</v>
      </c>
    </row>
    <row r="2142" spans="3:5">
      <c r="C2142">
        <v>14.73</v>
      </c>
      <c r="D2142" s="17">
        <v>41659</v>
      </c>
      <c r="E2142" t="s">
        <v>1223</v>
      </c>
    </row>
    <row r="2143" spans="3:5">
      <c r="C2143">
        <v>14.73</v>
      </c>
      <c r="D2143" s="17">
        <v>42149</v>
      </c>
      <c r="E2143" t="s">
        <v>1223</v>
      </c>
    </row>
    <row r="2144" spans="3:5">
      <c r="C2144">
        <v>14.73</v>
      </c>
      <c r="D2144" s="17">
        <v>42334</v>
      </c>
      <c r="E2144" t="s">
        <v>55</v>
      </c>
    </row>
    <row r="2145" spans="3:5">
      <c r="C2145">
        <v>14.73</v>
      </c>
      <c r="D2145" s="17">
        <v>42405</v>
      </c>
      <c r="E2145" t="s">
        <v>874</v>
      </c>
    </row>
    <row r="2146" spans="3:5">
      <c r="C2146">
        <v>14.73</v>
      </c>
      <c r="D2146" s="17">
        <v>42512</v>
      </c>
      <c r="E2146" t="s">
        <v>258</v>
      </c>
    </row>
    <row r="2147" spans="3:5">
      <c r="C2147">
        <v>14.73</v>
      </c>
      <c r="D2147" s="17">
        <v>43023</v>
      </c>
      <c r="E2147" t="s">
        <v>599</v>
      </c>
    </row>
    <row r="2148" spans="3:5">
      <c r="C2148">
        <v>14.75</v>
      </c>
      <c r="D2148" s="17">
        <v>42308</v>
      </c>
      <c r="E2148" t="s">
        <v>637</v>
      </c>
    </row>
    <row r="2149" spans="3:5">
      <c r="C2149">
        <v>14.76</v>
      </c>
      <c r="D2149" s="17">
        <v>41943</v>
      </c>
      <c r="E2149" t="s">
        <v>416</v>
      </c>
    </row>
    <row r="2150" spans="3:5">
      <c r="C2150">
        <v>14.76</v>
      </c>
      <c r="D2150" s="17">
        <v>42221</v>
      </c>
      <c r="E2150" t="s">
        <v>416</v>
      </c>
    </row>
    <row r="2151" spans="3:5">
      <c r="C2151">
        <v>14.76</v>
      </c>
      <c r="D2151" s="17">
        <v>42369</v>
      </c>
      <c r="E2151" t="s">
        <v>416</v>
      </c>
    </row>
    <row r="2152" spans="3:5">
      <c r="C2152">
        <v>14.76</v>
      </c>
      <c r="D2152" s="17">
        <v>42616</v>
      </c>
      <c r="E2152" t="s">
        <v>416</v>
      </c>
    </row>
    <row r="2153" spans="3:5">
      <c r="C2153">
        <v>14.76</v>
      </c>
      <c r="D2153" s="17">
        <v>42621</v>
      </c>
      <c r="E2153" t="s">
        <v>1318</v>
      </c>
    </row>
    <row r="2154" spans="3:5">
      <c r="C2154">
        <v>14.76</v>
      </c>
      <c r="D2154" s="17">
        <v>42719</v>
      </c>
      <c r="E2154" t="s">
        <v>416</v>
      </c>
    </row>
    <row r="2155" spans="3:5">
      <c r="C2155">
        <v>14.76</v>
      </c>
      <c r="D2155" s="17">
        <v>42960</v>
      </c>
      <c r="E2155" t="s">
        <v>413</v>
      </c>
    </row>
    <row r="2156" spans="3:5">
      <c r="C2156">
        <v>14.76</v>
      </c>
      <c r="D2156" s="17">
        <v>43034</v>
      </c>
      <c r="E2156" t="s">
        <v>557</v>
      </c>
    </row>
    <row r="2157" spans="3:5">
      <c r="C2157">
        <v>14.76</v>
      </c>
      <c r="D2157" s="17">
        <v>43079</v>
      </c>
      <c r="E2157" t="s">
        <v>416</v>
      </c>
    </row>
    <row r="2158" spans="3:5">
      <c r="C2158">
        <v>14.78</v>
      </c>
      <c r="D2158" s="17">
        <v>42602</v>
      </c>
      <c r="E2158" t="s">
        <v>1713</v>
      </c>
    </row>
    <row r="2159" spans="3:5">
      <c r="C2159">
        <v>14.8</v>
      </c>
      <c r="D2159" s="17">
        <v>42715</v>
      </c>
      <c r="E2159" t="s">
        <v>608</v>
      </c>
    </row>
    <row r="2160" spans="3:5">
      <c r="C2160">
        <v>14.82</v>
      </c>
      <c r="D2160" s="17">
        <v>42630</v>
      </c>
      <c r="E2160" t="s">
        <v>187</v>
      </c>
    </row>
    <row r="2161" spans="3:5">
      <c r="C2161">
        <v>14.82</v>
      </c>
      <c r="D2161" s="17">
        <v>42681</v>
      </c>
      <c r="E2161" t="s">
        <v>187</v>
      </c>
    </row>
    <row r="2162" spans="3:5">
      <c r="C2162">
        <v>14.82</v>
      </c>
      <c r="D2162" s="17">
        <v>42982</v>
      </c>
      <c r="E2162" t="s">
        <v>74</v>
      </c>
    </row>
    <row r="2163" spans="3:5">
      <c r="C2163">
        <v>14.832000000000003</v>
      </c>
      <c r="D2163" s="17">
        <v>42344</v>
      </c>
      <c r="E2163" t="s">
        <v>879</v>
      </c>
    </row>
    <row r="2164" spans="3:5">
      <c r="C2164">
        <v>14.850000000000001</v>
      </c>
      <c r="D2164" s="17">
        <v>42099</v>
      </c>
      <c r="E2164" t="s">
        <v>787</v>
      </c>
    </row>
    <row r="2165" spans="3:5">
      <c r="C2165">
        <v>14.850000000000001</v>
      </c>
      <c r="D2165" s="17">
        <v>43097</v>
      </c>
      <c r="E2165" t="s">
        <v>787</v>
      </c>
    </row>
    <row r="2166" spans="3:5">
      <c r="C2166">
        <v>14.88</v>
      </c>
      <c r="D2166" s="17">
        <v>41723</v>
      </c>
      <c r="E2166" t="s">
        <v>360</v>
      </c>
    </row>
    <row r="2167" spans="3:5">
      <c r="C2167">
        <v>14.88</v>
      </c>
      <c r="D2167" s="17">
        <v>42621</v>
      </c>
      <c r="E2167" t="s">
        <v>360</v>
      </c>
    </row>
    <row r="2168" spans="3:5">
      <c r="C2168">
        <v>14.88</v>
      </c>
      <c r="D2168" s="17">
        <v>42988</v>
      </c>
      <c r="E2168" t="s">
        <v>360</v>
      </c>
    </row>
    <row r="2169" spans="3:5">
      <c r="C2169">
        <v>14.89</v>
      </c>
      <c r="D2169" s="17">
        <v>42943</v>
      </c>
      <c r="E2169" t="s">
        <v>262</v>
      </c>
    </row>
    <row r="2170" spans="3:5">
      <c r="C2170">
        <v>14.9</v>
      </c>
      <c r="D2170" s="17">
        <v>41924</v>
      </c>
      <c r="E2170" t="s">
        <v>179</v>
      </c>
    </row>
    <row r="2171" spans="3:5">
      <c r="C2171">
        <v>14.9</v>
      </c>
      <c r="D2171" s="17">
        <v>42264</v>
      </c>
      <c r="E2171" t="s">
        <v>1334</v>
      </c>
    </row>
    <row r="2172" spans="3:5">
      <c r="C2172">
        <v>14.9</v>
      </c>
      <c r="D2172" s="17">
        <v>42439</v>
      </c>
      <c r="E2172" t="s">
        <v>1778</v>
      </c>
    </row>
    <row r="2173" spans="3:5">
      <c r="C2173">
        <v>14.9</v>
      </c>
      <c r="D2173" s="17">
        <v>42547</v>
      </c>
      <c r="E2173" t="s">
        <v>1334</v>
      </c>
    </row>
    <row r="2174" spans="3:5">
      <c r="C2174">
        <v>14.9</v>
      </c>
      <c r="D2174" s="17">
        <v>43013</v>
      </c>
      <c r="E2174" t="s">
        <v>74</v>
      </c>
    </row>
    <row r="2175" spans="3:5">
      <c r="C2175">
        <v>14.91</v>
      </c>
      <c r="D2175" s="17">
        <v>42240</v>
      </c>
      <c r="E2175" t="s">
        <v>182</v>
      </c>
    </row>
    <row r="2176" spans="3:5">
      <c r="C2176">
        <v>14.91</v>
      </c>
      <c r="D2176" s="17">
        <v>42271</v>
      </c>
      <c r="E2176" t="s">
        <v>182</v>
      </c>
    </row>
    <row r="2177" spans="3:5">
      <c r="C2177">
        <v>14.91</v>
      </c>
      <c r="D2177" s="17">
        <v>42764</v>
      </c>
      <c r="E2177" t="s">
        <v>182</v>
      </c>
    </row>
    <row r="2178" spans="3:5">
      <c r="C2178">
        <v>14.940000000000001</v>
      </c>
      <c r="D2178" s="17">
        <v>41681</v>
      </c>
      <c r="E2178" t="s">
        <v>1412</v>
      </c>
    </row>
    <row r="2179" spans="3:5">
      <c r="C2179">
        <v>14.940000000000001</v>
      </c>
      <c r="D2179" s="17">
        <v>41709</v>
      </c>
      <c r="E2179" t="s">
        <v>1849</v>
      </c>
    </row>
    <row r="2180" spans="3:5">
      <c r="C2180">
        <v>14.940000000000001</v>
      </c>
      <c r="D2180" s="17">
        <v>41884</v>
      </c>
      <c r="E2180" t="s">
        <v>296</v>
      </c>
    </row>
    <row r="2181" spans="3:5">
      <c r="C2181">
        <v>14.940000000000001</v>
      </c>
      <c r="D2181" s="17">
        <v>41897</v>
      </c>
      <c r="E2181" t="s">
        <v>296</v>
      </c>
    </row>
    <row r="2182" spans="3:5">
      <c r="C2182">
        <v>14.940000000000001</v>
      </c>
      <c r="D2182" s="17">
        <v>41969</v>
      </c>
      <c r="E2182" t="s">
        <v>1171</v>
      </c>
    </row>
    <row r="2183" spans="3:5">
      <c r="C2183">
        <v>14.940000000000001</v>
      </c>
      <c r="D2183" s="17">
        <v>42004</v>
      </c>
      <c r="E2183" t="s">
        <v>1171</v>
      </c>
    </row>
    <row r="2184" spans="3:5">
      <c r="C2184">
        <v>14.940000000000001</v>
      </c>
      <c r="D2184" s="17">
        <v>42257</v>
      </c>
      <c r="E2184" t="s">
        <v>1312</v>
      </c>
    </row>
    <row r="2185" spans="3:5">
      <c r="C2185">
        <v>14.940000000000001</v>
      </c>
      <c r="D2185" s="17">
        <v>42330</v>
      </c>
      <c r="E2185" t="s">
        <v>1171</v>
      </c>
    </row>
    <row r="2186" spans="3:5">
      <c r="C2186">
        <v>14.940000000000001</v>
      </c>
      <c r="D2186" s="17">
        <v>42344</v>
      </c>
      <c r="E2186" t="s">
        <v>1412</v>
      </c>
    </row>
    <row r="2187" spans="3:5">
      <c r="C2187">
        <v>14.940000000000001</v>
      </c>
      <c r="D2187" s="17">
        <v>42525</v>
      </c>
      <c r="E2187" t="s">
        <v>296</v>
      </c>
    </row>
    <row r="2188" spans="3:5">
      <c r="C2188">
        <v>14.940000000000001</v>
      </c>
      <c r="D2188" s="17">
        <v>42526</v>
      </c>
      <c r="E2188" t="s">
        <v>1580</v>
      </c>
    </row>
    <row r="2189" spans="3:5">
      <c r="C2189">
        <v>14.940000000000001</v>
      </c>
      <c r="D2189" s="17">
        <v>42687</v>
      </c>
      <c r="E2189" t="s">
        <v>490</v>
      </c>
    </row>
    <row r="2190" spans="3:5">
      <c r="C2190">
        <v>14.940000000000001</v>
      </c>
      <c r="D2190" s="17">
        <v>42827</v>
      </c>
      <c r="E2190" t="s">
        <v>490</v>
      </c>
    </row>
    <row r="2191" spans="3:5">
      <c r="C2191">
        <v>14.940000000000001</v>
      </c>
      <c r="D2191" s="17">
        <v>42868</v>
      </c>
      <c r="E2191" t="s">
        <v>682</v>
      </c>
    </row>
    <row r="2192" spans="3:5">
      <c r="C2192">
        <v>14.940000000000001</v>
      </c>
      <c r="D2192" s="17">
        <v>42937</v>
      </c>
      <c r="E2192" t="s">
        <v>554</v>
      </c>
    </row>
    <row r="2193" spans="3:5">
      <c r="C2193">
        <v>14.940000000000001</v>
      </c>
      <c r="D2193" s="17">
        <v>43042</v>
      </c>
      <c r="E2193" t="s">
        <v>1371</v>
      </c>
    </row>
    <row r="2194" spans="3:5">
      <c r="C2194">
        <v>14.940000000000001</v>
      </c>
      <c r="D2194" s="17">
        <v>43078</v>
      </c>
      <c r="E2194" t="s">
        <v>296</v>
      </c>
    </row>
    <row r="2195" spans="3:5">
      <c r="C2195">
        <v>14.952000000000002</v>
      </c>
      <c r="D2195" s="17">
        <v>42271</v>
      </c>
      <c r="E2195" t="s">
        <v>315</v>
      </c>
    </row>
    <row r="2196" spans="3:5">
      <c r="C2196">
        <v>14.952000000000002</v>
      </c>
      <c r="D2196" s="17">
        <v>43080</v>
      </c>
      <c r="E2196" t="s">
        <v>177</v>
      </c>
    </row>
    <row r="2197" spans="3:5">
      <c r="C2197">
        <v>14.952000000000004</v>
      </c>
      <c r="D2197" s="17">
        <v>42049</v>
      </c>
      <c r="E2197" t="s">
        <v>1105</v>
      </c>
    </row>
    <row r="2198" spans="3:5">
      <c r="C2198">
        <v>14.952000000000004</v>
      </c>
      <c r="D2198" s="17">
        <v>42520</v>
      </c>
      <c r="E2198" t="s">
        <v>1105</v>
      </c>
    </row>
    <row r="2199" spans="3:5">
      <c r="C2199">
        <v>14.96</v>
      </c>
      <c r="D2199" s="17">
        <v>42681</v>
      </c>
      <c r="E2199" t="s">
        <v>260</v>
      </c>
    </row>
    <row r="2200" spans="3:5">
      <c r="C2200">
        <v>14.97</v>
      </c>
      <c r="D2200" s="17">
        <v>41890</v>
      </c>
      <c r="E2200" t="s">
        <v>1664</v>
      </c>
    </row>
    <row r="2201" spans="3:5">
      <c r="C2201">
        <v>14.97</v>
      </c>
      <c r="D2201" s="17">
        <v>42605</v>
      </c>
      <c r="E2201" t="s">
        <v>1664</v>
      </c>
    </row>
    <row r="2202" spans="3:5">
      <c r="C2202">
        <v>14.976000000000001</v>
      </c>
      <c r="D2202" s="17">
        <v>42800</v>
      </c>
      <c r="E2202" t="s">
        <v>322</v>
      </c>
    </row>
    <row r="2203" spans="3:5">
      <c r="C2203">
        <v>14.976000000000003</v>
      </c>
      <c r="D2203" s="17">
        <v>43074</v>
      </c>
      <c r="E2203" t="s">
        <v>70</v>
      </c>
    </row>
    <row r="2204" spans="3:5">
      <c r="C2204">
        <v>14.98</v>
      </c>
      <c r="D2204" s="17">
        <v>42071</v>
      </c>
      <c r="E2204" t="s">
        <v>1856</v>
      </c>
    </row>
    <row r="2205" spans="3:5">
      <c r="C2205">
        <v>14.98</v>
      </c>
      <c r="D2205" s="17">
        <v>42448</v>
      </c>
      <c r="E2205" t="s">
        <v>1774</v>
      </c>
    </row>
    <row r="2206" spans="3:5">
      <c r="C2206">
        <v>14.98</v>
      </c>
      <c r="D2206" s="17">
        <v>42944</v>
      </c>
      <c r="E2206" t="s">
        <v>1014</v>
      </c>
    </row>
    <row r="2207" spans="3:5">
      <c r="C2207">
        <v>14.99</v>
      </c>
      <c r="D2207" s="17">
        <v>42782</v>
      </c>
      <c r="E2207" t="s">
        <v>240</v>
      </c>
    </row>
    <row r="2208" spans="3:5">
      <c r="C2208">
        <v>15</v>
      </c>
      <c r="D2208" s="17">
        <v>41676</v>
      </c>
      <c r="E2208" t="s">
        <v>1024</v>
      </c>
    </row>
    <row r="2209" spans="3:5">
      <c r="C2209">
        <v>15</v>
      </c>
      <c r="D2209" s="17">
        <v>41978</v>
      </c>
      <c r="E2209" t="s">
        <v>629</v>
      </c>
    </row>
    <row r="2210" spans="3:5">
      <c r="C2210">
        <v>15.008000000000003</v>
      </c>
      <c r="D2210" s="17">
        <v>42280</v>
      </c>
      <c r="E2210" t="s">
        <v>98</v>
      </c>
    </row>
    <row r="2211" spans="3:5">
      <c r="C2211">
        <v>15.008000000000003</v>
      </c>
      <c r="D2211" s="17">
        <v>42622</v>
      </c>
      <c r="E2211" t="s">
        <v>445</v>
      </c>
    </row>
    <row r="2212" spans="3:5">
      <c r="C2212">
        <v>15.008000000000003</v>
      </c>
      <c r="D2212" s="17">
        <v>42821</v>
      </c>
      <c r="E2212" t="s">
        <v>445</v>
      </c>
    </row>
    <row r="2213" spans="3:5">
      <c r="C2213">
        <v>15.02</v>
      </c>
      <c r="D2213" s="17">
        <v>42080</v>
      </c>
      <c r="E2213" t="s">
        <v>705</v>
      </c>
    </row>
    <row r="2214" spans="3:5">
      <c r="C2214">
        <v>15.072000000000001</v>
      </c>
      <c r="D2214" s="17">
        <v>41915</v>
      </c>
      <c r="E2214" t="s">
        <v>1876</v>
      </c>
    </row>
    <row r="2215" spans="3:5">
      <c r="C2215">
        <v>15.072000000000003</v>
      </c>
      <c r="D2215" s="17">
        <v>42980</v>
      </c>
      <c r="E2215" t="s">
        <v>789</v>
      </c>
    </row>
    <row r="2216" spans="3:5">
      <c r="C2216">
        <v>15.079999999999998</v>
      </c>
      <c r="D2216" s="17">
        <v>42274</v>
      </c>
      <c r="E2216" t="s">
        <v>990</v>
      </c>
    </row>
    <row r="2217" spans="3:5">
      <c r="C2217">
        <v>15.120000000000001</v>
      </c>
      <c r="D2217" s="17">
        <v>41701</v>
      </c>
      <c r="E2217" t="s">
        <v>1057</v>
      </c>
    </row>
    <row r="2218" spans="3:5">
      <c r="C2218">
        <v>15.120000000000001</v>
      </c>
      <c r="D2218" s="17">
        <v>42757</v>
      </c>
      <c r="E2218" t="s">
        <v>74</v>
      </c>
    </row>
    <row r="2219" spans="3:5">
      <c r="C2219">
        <v>15.120000000000001</v>
      </c>
      <c r="D2219" s="17">
        <v>42834</v>
      </c>
      <c r="E2219" t="s">
        <v>513</v>
      </c>
    </row>
    <row r="2220" spans="3:5">
      <c r="C2220">
        <v>15.136000000000003</v>
      </c>
      <c r="D2220" s="17">
        <v>42625</v>
      </c>
      <c r="E2220" t="s">
        <v>715</v>
      </c>
    </row>
    <row r="2221" spans="3:5">
      <c r="C2221">
        <v>15.14</v>
      </c>
      <c r="D2221" s="17">
        <v>43078</v>
      </c>
      <c r="E2221" t="s">
        <v>797</v>
      </c>
    </row>
    <row r="2222" spans="3:5">
      <c r="C2222">
        <v>15.168000000000001</v>
      </c>
      <c r="D2222" s="17">
        <v>42378</v>
      </c>
      <c r="E2222" t="s">
        <v>584</v>
      </c>
    </row>
    <row r="2223" spans="3:5">
      <c r="C2223">
        <v>15.176</v>
      </c>
      <c r="D2223" s="17">
        <v>42678</v>
      </c>
      <c r="E2223" t="s">
        <v>181</v>
      </c>
    </row>
    <row r="2224" spans="3:5">
      <c r="C2224">
        <v>15.18</v>
      </c>
      <c r="D2224" s="17">
        <v>41925</v>
      </c>
      <c r="E2224" t="s">
        <v>791</v>
      </c>
    </row>
    <row r="2225" spans="3:5">
      <c r="C2225">
        <v>15.192</v>
      </c>
      <c r="D2225" s="17">
        <v>42939</v>
      </c>
      <c r="E2225" t="s">
        <v>781</v>
      </c>
    </row>
    <row r="2226" spans="3:5">
      <c r="C2226">
        <v>15.216000000000001</v>
      </c>
      <c r="D2226" s="17">
        <v>41894</v>
      </c>
      <c r="E2226" t="s">
        <v>379</v>
      </c>
    </row>
    <row r="2227" spans="3:5">
      <c r="C2227">
        <v>15.223999999999997</v>
      </c>
      <c r="D2227" s="17">
        <v>42736</v>
      </c>
      <c r="E2227" t="s">
        <v>56</v>
      </c>
    </row>
    <row r="2228" spans="3:5">
      <c r="C2228">
        <v>15.223999999999997</v>
      </c>
      <c r="D2228" s="17">
        <v>43010</v>
      </c>
      <c r="E2228" t="s">
        <v>56</v>
      </c>
    </row>
    <row r="2229" spans="3:5">
      <c r="C2229">
        <v>15.231999999999999</v>
      </c>
      <c r="D2229" s="17">
        <v>42505</v>
      </c>
      <c r="E2229" t="s">
        <v>833</v>
      </c>
    </row>
    <row r="2230" spans="3:5">
      <c r="C2230">
        <v>15.231999999999999</v>
      </c>
      <c r="D2230" s="17">
        <v>42625</v>
      </c>
      <c r="E2230" t="s">
        <v>1336</v>
      </c>
    </row>
    <row r="2231" spans="3:5">
      <c r="C2231">
        <v>15.231999999999999</v>
      </c>
      <c r="D2231" s="17">
        <v>42691</v>
      </c>
      <c r="E2231" t="s">
        <v>833</v>
      </c>
    </row>
    <row r="2232" spans="3:5">
      <c r="C2232">
        <v>15.24</v>
      </c>
      <c r="D2232" s="17">
        <v>41912</v>
      </c>
      <c r="E2232" t="s">
        <v>1196</v>
      </c>
    </row>
    <row r="2233" spans="3:5">
      <c r="C2233">
        <v>15.24</v>
      </c>
      <c r="D2233" s="17">
        <v>41975</v>
      </c>
      <c r="E2233" t="s">
        <v>1118</v>
      </c>
    </row>
    <row r="2234" spans="3:5">
      <c r="C2234">
        <v>15.24</v>
      </c>
      <c r="D2234" s="17">
        <v>42271</v>
      </c>
      <c r="E2234" t="s">
        <v>254</v>
      </c>
    </row>
    <row r="2235" spans="3:5">
      <c r="C2235">
        <v>15.24</v>
      </c>
      <c r="D2235" s="17">
        <v>42352</v>
      </c>
      <c r="E2235" t="s">
        <v>1226</v>
      </c>
    </row>
    <row r="2236" spans="3:5">
      <c r="C2236">
        <v>15.24</v>
      </c>
      <c r="D2236" s="17">
        <v>42590</v>
      </c>
      <c r="E2236" t="s">
        <v>1706</v>
      </c>
    </row>
    <row r="2237" spans="3:5">
      <c r="C2237">
        <v>15.24</v>
      </c>
      <c r="D2237" s="17">
        <v>43086</v>
      </c>
      <c r="E2237" t="s">
        <v>378</v>
      </c>
    </row>
    <row r="2238" spans="3:5">
      <c r="C2238">
        <v>15.25</v>
      </c>
      <c r="D2238" s="17">
        <v>42798</v>
      </c>
      <c r="E2238" t="s">
        <v>307</v>
      </c>
    </row>
    <row r="2239" spans="3:5">
      <c r="C2239">
        <v>15.260000000000002</v>
      </c>
      <c r="D2239" s="17">
        <v>42677</v>
      </c>
      <c r="E2239" t="s">
        <v>558</v>
      </c>
    </row>
    <row r="2240" spans="3:5">
      <c r="C2240">
        <v>15.260000000000002</v>
      </c>
      <c r="D2240" s="17">
        <v>42715</v>
      </c>
      <c r="E2240" t="s">
        <v>1240</v>
      </c>
    </row>
    <row r="2241" spans="3:5">
      <c r="C2241">
        <v>15.28</v>
      </c>
      <c r="D2241" s="17">
        <v>41793</v>
      </c>
      <c r="E2241" t="s">
        <v>1076</v>
      </c>
    </row>
    <row r="2242" spans="3:5">
      <c r="C2242">
        <v>15.28</v>
      </c>
      <c r="D2242" s="17">
        <v>41922</v>
      </c>
      <c r="E2242" t="s">
        <v>89</v>
      </c>
    </row>
    <row r="2243" spans="3:5">
      <c r="C2243">
        <v>15.28</v>
      </c>
      <c r="D2243" s="17">
        <v>42251</v>
      </c>
      <c r="E2243" t="s">
        <v>1076</v>
      </c>
    </row>
    <row r="2244" spans="3:5">
      <c r="C2244">
        <v>15.28</v>
      </c>
      <c r="D2244" s="17">
        <v>42968</v>
      </c>
      <c r="E2244" t="s">
        <v>1076</v>
      </c>
    </row>
    <row r="2245" spans="3:5">
      <c r="C2245">
        <v>15.28</v>
      </c>
      <c r="D2245" s="17">
        <v>43045</v>
      </c>
      <c r="E2245" t="s">
        <v>89</v>
      </c>
    </row>
    <row r="2246" spans="3:5">
      <c r="C2246">
        <v>15.28</v>
      </c>
      <c r="D2246" s="17">
        <v>43053</v>
      </c>
      <c r="E2246" t="s">
        <v>1076</v>
      </c>
    </row>
    <row r="2247" spans="3:5">
      <c r="C2247">
        <v>15.36</v>
      </c>
      <c r="D2247" s="17">
        <v>41914</v>
      </c>
      <c r="E2247" t="s">
        <v>1766</v>
      </c>
    </row>
    <row r="2248" spans="3:5">
      <c r="C2248">
        <v>15.36</v>
      </c>
      <c r="D2248" s="17">
        <v>41918</v>
      </c>
      <c r="E2248" t="s">
        <v>1401</v>
      </c>
    </row>
    <row r="2249" spans="3:5">
      <c r="C2249">
        <v>15.384</v>
      </c>
      <c r="D2249" s="17">
        <v>41927</v>
      </c>
      <c r="E2249" t="s">
        <v>244</v>
      </c>
    </row>
    <row r="2250" spans="3:5">
      <c r="C2250">
        <v>15.4</v>
      </c>
      <c r="D2250" s="17">
        <v>42953</v>
      </c>
      <c r="E2250" t="s">
        <v>1037</v>
      </c>
    </row>
    <row r="2251" spans="3:5">
      <c r="C2251">
        <v>15.42</v>
      </c>
      <c r="D2251" s="17">
        <v>42181</v>
      </c>
      <c r="E2251" t="s">
        <v>1160</v>
      </c>
    </row>
    <row r="2252" spans="3:5">
      <c r="C2252">
        <v>15.42</v>
      </c>
      <c r="D2252" s="17">
        <v>42724</v>
      </c>
      <c r="E2252" t="s">
        <v>185</v>
      </c>
    </row>
    <row r="2253" spans="3:5">
      <c r="C2253">
        <v>15.424000000000001</v>
      </c>
      <c r="D2253" s="17">
        <v>42510</v>
      </c>
      <c r="E2253" t="s">
        <v>68</v>
      </c>
    </row>
    <row r="2254" spans="3:5">
      <c r="C2254">
        <v>15.469999999999999</v>
      </c>
      <c r="D2254" s="17">
        <v>42761</v>
      </c>
      <c r="E2254" t="s">
        <v>161</v>
      </c>
    </row>
    <row r="2255" spans="3:5">
      <c r="C2255">
        <v>15.48</v>
      </c>
      <c r="D2255" s="17">
        <v>42189</v>
      </c>
      <c r="E2255" t="s">
        <v>1293</v>
      </c>
    </row>
    <row r="2256" spans="3:5">
      <c r="C2256">
        <v>15.48</v>
      </c>
      <c r="D2256" s="17">
        <v>42481</v>
      </c>
      <c r="E2256" t="s">
        <v>1293</v>
      </c>
    </row>
    <row r="2257" spans="3:5">
      <c r="C2257">
        <v>15.48</v>
      </c>
      <c r="D2257" s="17">
        <v>42610</v>
      </c>
      <c r="E2257" t="s">
        <v>924</v>
      </c>
    </row>
    <row r="2258" spans="3:5">
      <c r="C2258">
        <v>15.488</v>
      </c>
      <c r="D2258" s="17">
        <v>42307</v>
      </c>
      <c r="E2258" t="s">
        <v>1606</v>
      </c>
    </row>
    <row r="2259" spans="3:5">
      <c r="C2259">
        <v>15.51</v>
      </c>
      <c r="D2259" s="17">
        <v>42274</v>
      </c>
      <c r="E2259" t="s">
        <v>1541</v>
      </c>
    </row>
    <row r="2260" spans="3:5">
      <c r="C2260">
        <v>15.51</v>
      </c>
      <c r="D2260" s="17">
        <v>42999</v>
      </c>
      <c r="E2260" t="s">
        <v>1245</v>
      </c>
    </row>
    <row r="2261" spans="3:5">
      <c r="C2261">
        <v>15.51</v>
      </c>
      <c r="D2261" s="17">
        <v>43002</v>
      </c>
      <c r="E2261" t="s">
        <v>1245</v>
      </c>
    </row>
    <row r="2262" spans="3:5">
      <c r="C2262">
        <v>15.52</v>
      </c>
      <c r="D2262" s="17">
        <v>41845</v>
      </c>
      <c r="E2262" t="s">
        <v>1112</v>
      </c>
    </row>
    <row r="2263" spans="3:5">
      <c r="C2263">
        <v>15.52</v>
      </c>
      <c r="D2263" s="17">
        <v>42350</v>
      </c>
      <c r="E2263" t="s">
        <v>395</v>
      </c>
    </row>
    <row r="2264" spans="3:5">
      <c r="C2264">
        <v>15.528</v>
      </c>
      <c r="D2264" s="17">
        <v>42708</v>
      </c>
      <c r="E2264" t="s">
        <v>54</v>
      </c>
    </row>
    <row r="2265" spans="3:5">
      <c r="C2265">
        <v>15.528</v>
      </c>
      <c r="D2265" s="17">
        <v>42855</v>
      </c>
      <c r="E2265" t="s">
        <v>127</v>
      </c>
    </row>
    <row r="2266" spans="3:5">
      <c r="C2266">
        <v>15.54</v>
      </c>
      <c r="D2266" s="17">
        <v>42596</v>
      </c>
      <c r="E2266" t="s">
        <v>1264</v>
      </c>
    </row>
    <row r="2267" spans="3:5">
      <c r="C2267">
        <v>15.552000000000003</v>
      </c>
      <c r="D2267" s="17">
        <v>41702</v>
      </c>
      <c r="E2267" t="s">
        <v>732</v>
      </c>
    </row>
    <row r="2268" spans="3:5">
      <c r="C2268">
        <v>15.552000000000003</v>
      </c>
      <c r="D2268" s="17">
        <v>41715</v>
      </c>
      <c r="E2268" t="s">
        <v>540</v>
      </c>
    </row>
    <row r="2269" spans="3:5">
      <c r="C2269">
        <v>15.552000000000003</v>
      </c>
      <c r="D2269" s="17">
        <v>41810</v>
      </c>
      <c r="E2269" t="s">
        <v>209</v>
      </c>
    </row>
    <row r="2270" spans="3:5">
      <c r="C2270">
        <v>15.552000000000003</v>
      </c>
      <c r="D2270" s="17">
        <v>41860</v>
      </c>
      <c r="E2270" t="s">
        <v>1355</v>
      </c>
    </row>
    <row r="2271" spans="3:5">
      <c r="C2271">
        <v>15.552000000000003</v>
      </c>
      <c r="D2271" s="17">
        <v>41868</v>
      </c>
      <c r="E2271" t="s">
        <v>838</v>
      </c>
    </row>
    <row r="2272" spans="3:5">
      <c r="C2272">
        <v>15.552000000000003</v>
      </c>
      <c r="D2272" s="17">
        <v>41874</v>
      </c>
      <c r="E2272" t="s">
        <v>1694</v>
      </c>
    </row>
    <row r="2273" spans="3:5">
      <c r="C2273">
        <v>15.552000000000003</v>
      </c>
      <c r="D2273" s="17">
        <v>41891</v>
      </c>
      <c r="E2273" t="s">
        <v>1464</v>
      </c>
    </row>
    <row r="2274" spans="3:5">
      <c r="C2274">
        <v>15.552000000000003</v>
      </c>
      <c r="D2274" s="17">
        <v>41895</v>
      </c>
      <c r="E2274" t="s">
        <v>1882</v>
      </c>
    </row>
    <row r="2275" spans="3:5">
      <c r="C2275">
        <v>15.552000000000003</v>
      </c>
      <c r="D2275" s="17">
        <v>41912</v>
      </c>
      <c r="E2275" t="s">
        <v>1101</v>
      </c>
    </row>
    <row r="2276" spans="3:5">
      <c r="C2276">
        <v>15.552000000000003</v>
      </c>
      <c r="D2276" s="17">
        <v>41969</v>
      </c>
      <c r="E2276" t="s">
        <v>209</v>
      </c>
    </row>
    <row r="2277" spans="3:5">
      <c r="C2277">
        <v>15.552000000000003</v>
      </c>
      <c r="D2277" s="17">
        <v>41992</v>
      </c>
      <c r="E2277" t="s">
        <v>1652</v>
      </c>
    </row>
    <row r="2278" spans="3:5">
      <c r="C2278">
        <v>15.552000000000003</v>
      </c>
      <c r="D2278" s="17">
        <v>42091</v>
      </c>
      <c r="E2278" t="s">
        <v>970</v>
      </c>
    </row>
    <row r="2279" spans="3:5">
      <c r="C2279">
        <v>15.552000000000003</v>
      </c>
      <c r="D2279" s="17">
        <v>42112</v>
      </c>
      <c r="E2279" t="s">
        <v>1762</v>
      </c>
    </row>
    <row r="2280" spans="3:5">
      <c r="C2280">
        <v>15.552000000000003</v>
      </c>
      <c r="D2280" s="17">
        <v>42183</v>
      </c>
      <c r="E2280" t="s">
        <v>970</v>
      </c>
    </row>
    <row r="2281" spans="3:5">
      <c r="C2281">
        <v>15.552000000000003</v>
      </c>
      <c r="D2281" s="17">
        <v>42187</v>
      </c>
      <c r="E2281" t="s">
        <v>1750</v>
      </c>
    </row>
    <row r="2282" spans="3:5">
      <c r="C2282">
        <v>15.552000000000003</v>
      </c>
      <c r="D2282" s="17">
        <v>42262</v>
      </c>
      <c r="E2282" t="s">
        <v>1355</v>
      </c>
    </row>
    <row r="2283" spans="3:5">
      <c r="C2283">
        <v>15.552000000000003</v>
      </c>
      <c r="D2283" s="17">
        <v>42301</v>
      </c>
      <c r="E2283" t="s">
        <v>970</v>
      </c>
    </row>
    <row r="2284" spans="3:5">
      <c r="C2284">
        <v>15.552000000000003</v>
      </c>
      <c r="D2284" s="17">
        <v>42320</v>
      </c>
      <c r="E2284" t="s">
        <v>1750</v>
      </c>
    </row>
    <row r="2285" spans="3:5">
      <c r="C2285">
        <v>15.552000000000003</v>
      </c>
      <c r="D2285" s="17">
        <v>42380</v>
      </c>
      <c r="E2285" t="s">
        <v>209</v>
      </c>
    </row>
    <row r="2286" spans="3:5">
      <c r="C2286">
        <v>15.552000000000003</v>
      </c>
      <c r="D2286" s="17">
        <v>42400</v>
      </c>
      <c r="E2286" t="s">
        <v>1762</v>
      </c>
    </row>
    <row r="2287" spans="3:5">
      <c r="C2287">
        <v>15.552000000000003</v>
      </c>
      <c r="D2287" s="17">
        <v>42484</v>
      </c>
      <c r="E2287" t="s">
        <v>918</v>
      </c>
    </row>
    <row r="2288" spans="3:5">
      <c r="C2288">
        <v>15.552000000000003</v>
      </c>
      <c r="D2288" s="17">
        <v>42533</v>
      </c>
      <c r="E2288" t="s">
        <v>458</v>
      </c>
    </row>
    <row r="2289" spans="3:5">
      <c r="C2289">
        <v>15.552000000000003</v>
      </c>
      <c r="D2289" s="17">
        <v>42541</v>
      </c>
      <c r="E2289" t="s">
        <v>1382</v>
      </c>
    </row>
    <row r="2290" spans="3:5">
      <c r="C2290">
        <v>15.552000000000003</v>
      </c>
      <c r="D2290" s="17">
        <v>42596</v>
      </c>
      <c r="E2290" t="s">
        <v>1073</v>
      </c>
    </row>
    <row r="2291" spans="3:5">
      <c r="C2291">
        <v>15.552000000000003</v>
      </c>
      <c r="D2291" s="17">
        <v>42667</v>
      </c>
      <c r="E2291" t="s">
        <v>1150</v>
      </c>
    </row>
    <row r="2292" spans="3:5">
      <c r="C2292">
        <v>15.552000000000003</v>
      </c>
      <c r="D2292" s="17">
        <v>42807</v>
      </c>
      <c r="E2292" t="s">
        <v>363</v>
      </c>
    </row>
    <row r="2293" spans="3:5">
      <c r="C2293">
        <v>15.552000000000003</v>
      </c>
      <c r="D2293" s="17">
        <v>42840</v>
      </c>
      <c r="E2293" t="s">
        <v>540</v>
      </c>
    </row>
    <row r="2294" spans="3:5">
      <c r="C2294">
        <v>15.552000000000003</v>
      </c>
      <c r="D2294" s="17">
        <v>42870</v>
      </c>
      <c r="E2294" t="s">
        <v>699</v>
      </c>
    </row>
    <row r="2295" spans="3:5">
      <c r="C2295">
        <v>15.552000000000003</v>
      </c>
      <c r="D2295" s="17">
        <v>42883</v>
      </c>
      <c r="E2295" t="s">
        <v>357</v>
      </c>
    </row>
    <row r="2296" spans="3:5">
      <c r="C2296">
        <v>15.552000000000003</v>
      </c>
      <c r="D2296" s="17">
        <v>42889</v>
      </c>
      <c r="E2296" t="s">
        <v>793</v>
      </c>
    </row>
    <row r="2297" spans="3:5">
      <c r="C2297">
        <v>15.552000000000003</v>
      </c>
      <c r="D2297" s="17">
        <v>42921</v>
      </c>
      <c r="E2297" t="s">
        <v>458</v>
      </c>
    </row>
    <row r="2298" spans="3:5">
      <c r="C2298">
        <v>15.552000000000003</v>
      </c>
      <c r="D2298" s="17">
        <v>42923</v>
      </c>
      <c r="E2298" t="s">
        <v>933</v>
      </c>
    </row>
    <row r="2299" spans="3:5">
      <c r="C2299">
        <v>15.552000000000003</v>
      </c>
      <c r="D2299" s="17">
        <v>42983</v>
      </c>
      <c r="E2299" t="s">
        <v>1137</v>
      </c>
    </row>
    <row r="2300" spans="3:5">
      <c r="C2300">
        <v>15.552000000000003</v>
      </c>
      <c r="D2300" s="17">
        <v>42985</v>
      </c>
      <c r="E2300" t="s">
        <v>1150</v>
      </c>
    </row>
    <row r="2301" spans="3:5">
      <c r="C2301">
        <v>15.552000000000003</v>
      </c>
      <c r="D2301" s="17">
        <v>43007</v>
      </c>
      <c r="E2301" t="s">
        <v>803</v>
      </c>
    </row>
    <row r="2302" spans="3:5">
      <c r="C2302">
        <v>15.552000000000003</v>
      </c>
      <c r="D2302" s="17">
        <v>43011</v>
      </c>
      <c r="E2302" t="s">
        <v>1291</v>
      </c>
    </row>
    <row r="2303" spans="3:5">
      <c r="C2303">
        <v>15.552000000000003</v>
      </c>
      <c r="D2303" s="17">
        <v>43036</v>
      </c>
      <c r="E2303" t="s">
        <v>1355</v>
      </c>
    </row>
    <row r="2304" spans="3:5">
      <c r="C2304">
        <v>15.552000000000003</v>
      </c>
      <c r="D2304" s="17">
        <v>43067</v>
      </c>
      <c r="E2304" t="s">
        <v>1464</v>
      </c>
    </row>
    <row r="2305" spans="3:5">
      <c r="C2305">
        <v>15.552000000000003</v>
      </c>
      <c r="D2305" s="17">
        <v>43076</v>
      </c>
      <c r="E2305" t="s">
        <v>1504</v>
      </c>
    </row>
    <row r="2306" spans="3:5">
      <c r="C2306">
        <v>15.56</v>
      </c>
      <c r="D2306" s="17">
        <v>41794</v>
      </c>
      <c r="E2306" t="s">
        <v>1184</v>
      </c>
    </row>
    <row r="2307" spans="3:5">
      <c r="C2307">
        <v>15.56</v>
      </c>
      <c r="D2307" s="17">
        <v>41903</v>
      </c>
      <c r="E2307" t="s">
        <v>79</v>
      </c>
    </row>
    <row r="2308" spans="3:5">
      <c r="C2308">
        <v>15.56</v>
      </c>
      <c r="D2308" s="17">
        <v>42320</v>
      </c>
      <c r="E2308" t="s">
        <v>79</v>
      </c>
    </row>
    <row r="2309" spans="3:5">
      <c r="C2309">
        <v>15.570000000000004</v>
      </c>
      <c r="D2309" s="17">
        <v>42840</v>
      </c>
      <c r="E2309" t="s">
        <v>544</v>
      </c>
    </row>
    <row r="2310" spans="3:5">
      <c r="C2310">
        <v>15.570000000000004</v>
      </c>
      <c r="D2310" s="17">
        <v>43002</v>
      </c>
      <c r="E2310" t="s">
        <v>1260</v>
      </c>
    </row>
    <row r="2311" spans="3:5">
      <c r="C2311">
        <v>15.576000000000001</v>
      </c>
      <c r="D2311" s="17">
        <v>42569</v>
      </c>
      <c r="E2311" t="s">
        <v>1729</v>
      </c>
    </row>
    <row r="2312" spans="3:5">
      <c r="C2312">
        <v>15.58</v>
      </c>
      <c r="D2312" s="17">
        <v>42896</v>
      </c>
      <c r="E2312" t="s">
        <v>823</v>
      </c>
    </row>
    <row r="2313" spans="3:5">
      <c r="C2313">
        <v>15.587999999999999</v>
      </c>
      <c r="D2313" s="17">
        <v>42380</v>
      </c>
      <c r="E2313" t="s">
        <v>1503</v>
      </c>
    </row>
    <row r="2314" spans="3:5">
      <c r="C2314">
        <v>15.600000000000001</v>
      </c>
      <c r="D2314" s="17">
        <v>41824</v>
      </c>
      <c r="E2314" t="s">
        <v>70</v>
      </c>
    </row>
    <row r="2315" spans="3:5">
      <c r="C2315">
        <v>15.623999999999997</v>
      </c>
      <c r="D2315" s="17">
        <v>42639</v>
      </c>
      <c r="E2315" t="s">
        <v>319</v>
      </c>
    </row>
    <row r="2316" spans="3:5">
      <c r="C2316">
        <v>15.648</v>
      </c>
      <c r="D2316" s="17">
        <v>42646</v>
      </c>
      <c r="E2316" t="s">
        <v>79</v>
      </c>
    </row>
    <row r="2317" spans="3:5">
      <c r="C2317">
        <v>15.66</v>
      </c>
      <c r="D2317" s="17">
        <v>41975</v>
      </c>
      <c r="E2317" t="s">
        <v>964</v>
      </c>
    </row>
    <row r="2318" spans="3:5">
      <c r="C2318">
        <v>15.66</v>
      </c>
      <c r="D2318" s="17">
        <v>42737</v>
      </c>
      <c r="E2318" t="s">
        <v>58</v>
      </c>
    </row>
    <row r="2319" spans="3:5">
      <c r="C2319">
        <v>15.696000000000002</v>
      </c>
      <c r="D2319" s="17">
        <v>41944</v>
      </c>
      <c r="E2319" t="s">
        <v>1686</v>
      </c>
    </row>
    <row r="2320" spans="3:5">
      <c r="C2320">
        <v>15.696000000000002</v>
      </c>
      <c r="D2320" s="17">
        <v>41968</v>
      </c>
      <c r="E2320" t="s">
        <v>1628</v>
      </c>
    </row>
    <row r="2321" spans="3:5">
      <c r="C2321">
        <v>15.696000000000002</v>
      </c>
      <c r="D2321" s="17">
        <v>42346</v>
      </c>
      <c r="E2321" t="s">
        <v>1686</v>
      </c>
    </row>
    <row r="2322" spans="3:5">
      <c r="C2322">
        <v>15.696000000000002</v>
      </c>
      <c r="D2322" s="17">
        <v>42694</v>
      </c>
      <c r="E2322" t="s">
        <v>1628</v>
      </c>
    </row>
    <row r="2323" spans="3:5">
      <c r="C2323">
        <v>15.700000000000001</v>
      </c>
      <c r="D2323" s="17">
        <v>42320</v>
      </c>
      <c r="E2323" t="s">
        <v>622</v>
      </c>
    </row>
    <row r="2324" spans="3:5">
      <c r="C2324">
        <v>15.700000000000001</v>
      </c>
      <c r="D2324" s="17">
        <v>42857</v>
      </c>
      <c r="E2324" t="s">
        <v>622</v>
      </c>
    </row>
    <row r="2325" spans="3:5">
      <c r="C2325">
        <v>15.712000000000002</v>
      </c>
      <c r="D2325" s="17">
        <v>42262</v>
      </c>
      <c r="E2325" t="s">
        <v>1223</v>
      </c>
    </row>
    <row r="2326" spans="3:5">
      <c r="C2326">
        <v>15.712000000000002</v>
      </c>
      <c r="D2326" s="17">
        <v>42488</v>
      </c>
      <c r="E2326" t="s">
        <v>258</v>
      </c>
    </row>
    <row r="2327" spans="3:5">
      <c r="C2327">
        <v>15.712000000000002</v>
      </c>
      <c r="D2327" s="17">
        <v>42576</v>
      </c>
      <c r="E2327" t="s">
        <v>258</v>
      </c>
    </row>
    <row r="2328" spans="3:5">
      <c r="C2328">
        <v>15.712000000000002</v>
      </c>
      <c r="D2328" s="17">
        <v>42599</v>
      </c>
      <c r="E2328" t="s">
        <v>521</v>
      </c>
    </row>
    <row r="2329" spans="3:5">
      <c r="C2329">
        <v>15.75</v>
      </c>
      <c r="D2329" s="17">
        <v>42155</v>
      </c>
      <c r="E2329" t="s">
        <v>1262</v>
      </c>
    </row>
    <row r="2330" spans="3:5">
      <c r="C2330">
        <v>15.75</v>
      </c>
      <c r="D2330" s="17">
        <v>43002</v>
      </c>
      <c r="E2330" t="s">
        <v>1262</v>
      </c>
    </row>
    <row r="2331" spans="3:5">
      <c r="C2331">
        <v>15.76</v>
      </c>
      <c r="D2331" s="17">
        <v>42264</v>
      </c>
      <c r="E2331" t="s">
        <v>383</v>
      </c>
    </row>
    <row r="2332" spans="3:5">
      <c r="C2332">
        <v>15.76</v>
      </c>
      <c r="D2332" s="17">
        <v>42845</v>
      </c>
      <c r="E2332" t="s">
        <v>383</v>
      </c>
    </row>
    <row r="2333" spans="3:5">
      <c r="C2333">
        <v>15.78</v>
      </c>
      <c r="D2333" s="17">
        <v>41856</v>
      </c>
      <c r="E2333" t="s">
        <v>1234</v>
      </c>
    </row>
    <row r="2334" spans="3:5">
      <c r="C2334">
        <v>15.8</v>
      </c>
      <c r="D2334" s="17">
        <v>42194</v>
      </c>
      <c r="E2334" t="s">
        <v>312</v>
      </c>
    </row>
    <row r="2335" spans="3:5">
      <c r="C2335">
        <v>15.8</v>
      </c>
      <c r="D2335" s="17">
        <v>42697</v>
      </c>
      <c r="E2335" t="s">
        <v>312</v>
      </c>
    </row>
    <row r="2336" spans="3:5">
      <c r="C2336">
        <v>15.8</v>
      </c>
      <c r="D2336" s="17">
        <v>43013</v>
      </c>
      <c r="E2336" t="s">
        <v>1297</v>
      </c>
    </row>
    <row r="2337" spans="3:5">
      <c r="C2337">
        <v>15.808000000000002</v>
      </c>
      <c r="D2337" s="17">
        <v>42618</v>
      </c>
      <c r="E2337" t="s">
        <v>74</v>
      </c>
    </row>
    <row r="2338" spans="3:5">
      <c r="C2338">
        <v>15.84</v>
      </c>
      <c r="D2338" s="17">
        <v>41728</v>
      </c>
      <c r="E2338" t="s">
        <v>805</v>
      </c>
    </row>
    <row r="2339" spans="3:5">
      <c r="C2339">
        <v>15.84</v>
      </c>
      <c r="D2339" s="17">
        <v>41731</v>
      </c>
      <c r="E2339" t="s">
        <v>1842</v>
      </c>
    </row>
    <row r="2340" spans="3:5">
      <c r="C2340">
        <v>15.84</v>
      </c>
      <c r="D2340" s="17">
        <v>41953</v>
      </c>
      <c r="E2340" t="s">
        <v>533</v>
      </c>
    </row>
    <row r="2341" spans="3:5">
      <c r="C2341">
        <v>15.84</v>
      </c>
      <c r="D2341" s="17">
        <v>42924</v>
      </c>
      <c r="E2341" t="s">
        <v>224</v>
      </c>
    </row>
    <row r="2342" spans="3:5">
      <c r="C2342">
        <v>15.840000000000002</v>
      </c>
      <c r="D2342" s="17">
        <v>42271</v>
      </c>
      <c r="E2342" t="s">
        <v>1343</v>
      </c>
    </row>
    <row r="2343" spans="3:5">
      <c r="C2343">
        <v>15.840000000000002</v>
      </c>
      <c r="D2343" s="17">
        <v>43035</v>
      </c>
      <c r="E2343" t="s">
        <v>1343</v>
      </c>
    </row>
    <row r="2344" spans="3:5">
      <c r="C2344">
        <v>15.872</v>
      </c>
      <c r="D2344" s="17">
        <v>42656</v>
      </c>
      <c r="E2344" t="s">
        <v>1276</v>
      </c>
    </row>
    <row r="2345" spans="3:5">
      <c r="C2345">
        <v>15.872</v>
      </c>
      <c r="D2345" s="17">
        <v>42897</v>
      </c>
      <c r="E2345" t="s">
        <v>60</v>
      </c>
    </row>
    <row r="2346" spans="3:5">
      <c r="C2346">
        <v>15.88</v>
      </c>
      <c r="D2346" s="17">
        <v>42329</v>
      </c>
      <c r="E2346" t="s">
        <v>1712</v>
      </c>
    </row>
    <row r="2347" spans="3:5">
      <c r="C2347">
        <v>15.88</v>
      </c>
      <c r="D2347" s="17">
        <v>42605</v>
      </c>
      <c r="E2347" t="s">
        <v>1712</v>
      </c>
    </row>
    <row r="2348" spans="3:5">
      <c r="C2348">
        <v>15.92</v>
      </c>
      <c r="D2348" s="17">
        <v>42412</v>
      </c>
      <c r="E2348" t="s">
        <v>638</v>
      </c>
    </row>
    <row r="2349" spans="3:5">
      <c r="C2349">
        <v>15.92</v>
      </c>
      <c r="D2349" s="17">
        <v>42912</v>
      </c>
      <c r="E2349" t="s">
        <v>53</v>
      </c>
    </row>
    <row r="2350" spans="3:5">
      <c r="C2350">
        <v>15.92</v>
      </c>
      <c r="D2350" s="17">
        <v>43070</v>
      </c>
      <c r="E2350" t="s">
        <v>638</v>
      </c>
    </row>
    <row r="2351" spans="3:5">
      <c r="C2351">
        <v>15.92</v>
      </c>
      <c r="D2351" s="17">
        <v>43078</v>
      </c>
      <c r="E2351" t="s">
        <v>638</v>
      </c>
    </row>
    <row r="2352" spans="3:5">
      <c r="C2352">
        <v>15.92</v>
      </c>
      <c r="D2352" s="17">
        <v>43090</v>
      </c>
      <c r="E2352" t="s">
        <v>491</v>
      </c>
    </row>
    <row r="2353" spans="3:5">
      <c r="C2353">
        <v>15.920000000000002</v>
      </c>
      <c r="D2353" s="17">
        <v>42991</v>
      </c>
      <c r="E2353" t="s">
        <v>53</v>
      </c>
    </row>
    <row r="2354" spans="3:5">
      <c r="C2354">
        <v>15.920000000000002</v>
      </c>
      <c r="D2354" s="17">
        <v>43051</v>
      </c>
      <c r="E2354" t="s">
        <v>638</v>
      </c>
    </row>
    <row r="2355" spans="3:5">
      <c r="C2355">
        <v>15.920000000000002</v>
      </c>
      <c r="D2355" s="17">
        <v>43070</v>
      </c>
      <c r="E2355" t="s">
        <v>92</v>
      </c>
    </row>
    <row r="2356" spans="3:5">
      <c r="C2356">
        <v>15.936000000000002</v>
      </c>
      <c r="D2356" s="17">
        <v>41777</v>
      </c>
      <c r="E2356" t="s">
        <v>729</v>
      </c>
    </row>
    <row r="2357" spans="3:5">
      <c r="C2357">
        <v>15.936000000000002</v>
      </c>
      <c r="D2357" s="17">
        <v>41793</v>
      </c>
      <c r="E2357" t="s">
        <v>1371</v>
      </c>
    </row>
    <row r="2358" spans="3:5">
      <c r="C2358">
        <v>15.936000000000002</v>
      </c>
      <c r="D2358" s="17">
        <v>42131</v>
      </c>
      <c r="E2358" t="s">
        <v>1849</v>
      </c>
    </row>
    <row r="2359" spans="3:5">
      <c r="C2359">
        <v>15.936000000000002</v>
      </c>
      <c r="D2359" s="17">
        <v>42638</v>
      </c>
      <c r="E2359" t="s">
        <v>490</v>
      </c>
    </row>
    <row r="2360" spans="3:5">
      <c r="C2360">
        <v>15.936000000000002</v>
      </c>
      <c r="D2360" s="17">
        <v>42642</v>
      </c>
      <c r="E2360" t="s">
        <v>1412</v>
      </c>
    </row>
    <row r="2361" spans="3:5">
      <c r="C2361">
        <v>15.936000000000002</v>
      </c>
      <c r="D2361" s="17">
        <v>42722</v>
      </c>
      <c r="E2361" t="s">
        <v>1580</v>
      </c>
    </row>
    <row r="2362" spans="3:5">
      <c r="C2362">
        <v>15.936000000000002</v>
      </c>
      <c r="D2362" s="17">
        <v>43070</v>
      </c>
      <c r="E2362" t="s">
        <v>1412</v>
      </c>
    </row>
    <row r="2363" spans="3:5">
      <c r="C2363">
        <v>15.959999999999999</v>
      </c>
      <c r="D2363" s="17">
        <v>41856</v>
      </c>
      <c r="E2363" t="s">
        <v>1711</v>
      </c>
    </row>
    <row r="2364" spans="3:5">
      <c r="C2364">
        <v>15.96</v>
      </c>
      <c r="D2364" s="17">
        <v>41967</v>
      </c>
      <c r="E2364" t="s">
        <v>772</v>
      </c>
    </row>
    <row r="2365" spans="3:5">
      <c r="C2365">
        <v>15.96</v>
      </c>
      <c r="D2365" s="17">
        <v>42996</v>
      </c>
      <c r="E2365" t="s">
        <v>772</v>
      </c>
    </row>
    <row r="2366" spans="3:5">
      <c r="C2366">
        <v>15.968000000000002</v>
      </c>
      <c r="D2366" s="17">
        <v>41943</v>
      </c>
      <c r="E2366" t="s">
        <v>706</v>
      </c>
    </row>
    <row r="2367" spans="3:5">
      <c r="C2367">
        <v>15.984000000000002</v>
      </c>
      <c r="D2367" s="17">
        <v>42064</v>
      </c>
      <c r="E2367" t="s">
        <v>1438</v>
      </c>
    </row>
    <row r="2368" spans="3:5">
      <c r="C2368">
        <v>15.984000000000002</v>
      </c>
      <c r="D2368" s="17">
        <v>42085</v>
      </c>
      <c r="E2368" t="s">
        <v>1438</v>
      </c>
    </row>
    <row r="2369" spans="3:5">
      <c r="C2369">
        <v>15.984000000000002</v>
      </c>
      <c r="D2369" s="17">
        <v>42559</v>
      </c>
      <c r="E2369" t="s">
        <v>1515</v>
      </c>
    </row>
    <row r="2370" spans="3:5">
      <c r="C2370">
        <v>15.984000000000002</v>
      </c>
      <c r="D2370" s="17">
        <v>43028</v>
      </c>
      <c r="E2370" t="s">
        <v>691</v>
      </c>
    </row>
    <row r="2371" spans="3:5">
      <c r="C2371">
        <v>15.984000000000002</v>
      </c>
      <c r="D2371" s="17">
        <v>43078</v>
      </c>
      <c r="E2371" t="s">
        <v>1515</v>
      </c>
    </row>
    <row r="2372" spans="3:5">
      <c r="C2372">
        <v>15.991999999999999</v>
      </c>
      <c r="D2372" s="17">
        <v>41921</v>
      </c>
      <c r="E2372" t="s">
        <v>1426</v>
      </c>
    </row>
    <row r="2373" spans="3:5">
      <c r="C2373">
        <v>15.991999999999999</v>
      </c>
      <c r="D2373" s="17">
        <v>42653</v>
      </c>
      <c r="E2373" t="s">
        <v>1426</v>
      </c>
    </row>
    <row r="2374" spans="3:5">
      <c r="C2374">
        <v>15.991999999999999</v>
      </c>
      <c r="D2374" s="17">
        <v>43042</v>
      </c>
      <c r="E2374" t="s">
        <v>669</v>
      </c>
    </row>
    <row r="2375" spans="3:5">
      <c r="C2375">
        <v>15.991999999999999</v>
      </c>
      <c r="D2375" s="17">
        <v>43058</v>
      </c>
      <c r="E2375" t="s">
        <v>669</v>
      </c>
    </row>
    <row r="2376" spans="3:5">
      <c r="C2376">
        <v>16</v>
      </c>
      <c r="D2376" s="17">
        <v>41715</v>
      </c>
      <c r="E2376" t="s">
        <v>1878</v>
      </c>
    </row>
    <row r="2377" spans="3:5">
      <c r="C2377">
        <v>16</v>
      </c>
      <c r="D2377" s="17">
        <v>42137</v>
      </c>
      <c r="E2377" t="s">
        <v>629</v>
      </c>
    </row>
    <row r="2378" spans="3:5">
      <c r="C2378">
        <v>16</v>
      </c>
      <c r="D2378" s="17">
        <v>42980</v>
      </c>
      <c r="E2378" t="s">
        <v>629</v>
      </c>
    </row>
    <row r="2379" spans="3:5">
      <c r="C2379">
        <v>16.02</v>
      </c>
      <c r="D2379" s="17">
        <v>42297</v>
      </c>
      <c r="E2379" t="s">
        <v>775</v>
      </c>
    </row>
    <row r="2380" spans="3:5">
      <c r="C2380">
        <v>16.02</v>
      </c>
      <c r="D2380" s="17">
        <v>42819</v>
      </c>
      <c r="E2380" t="s">
        <v>127</v>
      </c>
    </row>
    <row r="2381" spans="3:5">
      <c r="C2381">
        <v>16.029999999999998</v>
      </c>
      <c r="D2381" s="17">
        <v>43044</v>
      </c>
      <c r="E2381" t="s">
        <v>59</v>
      </c>
    </row>
    <row r="2382" spans="3:5">
      <c r="C2382">
        <v>16.032</v>
      </c>
      <c r="D2382" s="17">
        <v>41832</v>
      </c>
      <c r="E2382" t="s">
        <v>77</v>
      </c>
    </row>
    <row r="2383" spans="3:5">
      <c r="C2383">
        <v>16.032</v>
      </c>
      <c r="D2383" s="17">
        <v>42062</v>
      </c>
      <c r="E2383" t="s">
        <v>888</v>
      </c>
    </row>
    <row r="2384" spans="3:5">
      <c r="C2384">
        <v>16.032</v>
      </c>
      <c r="D2384" s="17">
        <v>43095</v>
      </c>
      <c r="E2384" t="s">
        <v>1456</v>
      </c>
    </row>
    <row r="2385" spans="3:5">
      <c r="C2385">
        <v>16.056000000000001</v>
      </c>
      <c r="D2385" s="17">
        <v>42922</v>
      </c>
      <c r="E2385" t="s">
        <v>929</v>
      </c>
    </row>
    <row r="2386" spans="3:5">
      <c r="C2386">
        <v>16.056000000000001</v>
      </c>
      <c r="D2386" s="17">
        <v>43051</v>
      </c>
      <c r="E2386" t="s">
        <v>929</v>
      </c>
    </row>
    <row r="2387" spans="3:5">
      <c r="C2387">
        <v>16.059999999999999</v>
      </c>
      <c r="D2387" s="17">
        <v>42950</v>
      </c>
      <c r="E2387" t="s">
        <v>1033</v>
      </c>
    </row>
    <row r="2388" spans="3:5">
      <c r="C2388">
        <v>16.096</v>
      </c>
      <c r="D2388" s="17">
        <v>42934</v>
      </c>
      <c r="E2388" t="s">
        <v>978</v>
      </c>
    </row>
    <row r="2389" spans="3:5">
      <c r="C2389">
        <v>16.14</v>
      </c>
      <c r="D2389" s="17">
        <v>41766</v>
      </c>
      <c r="E2389" t="s">
        <v>1319</v>
      </c>
    </row>
    <row r="2390" spans="3:5">
      <c r="C2390">
        <v>16.146000000000004</v>
      </c>
      <c r="D2390" s="17">
        <v>42315</v>
      </c>
      <c r="E2390" t="s">
        <v>1630</v>
      </c>
    </row>
    <row r="2391" spans="3:5">
      <c r="C2391">
        <v>16.155999999999999</v>
      </c>
      <c r="D2391" s="17">
        <v>42666</v>
      </c>
      <c r="E2391" t="s">
        <v>1120</v>
      </c>
    </row>
    <row r="2392" spans="3:5">
      <c r="C2392">
        <v>16.176000000000002</v>
      </c>
      <c r="D2392" s="17">
        <v>41684</v>
      </c>
      <c r="E2392" t="s">
        <v>1771</v>
      </c>
    </row>
    <row r="2393" spans="3:5">
      <c r="C2393">
        <v>16.192</v>
      </c>
      <c r="D2393" s="17">
        <v>42427</v>
      </c>
      <c r="E2393" t="s">
        <v>1154</v>
      </c>
    </row>
    <row r="2394" spans="3:5">
      <c r="C2394">
        <v>16.192</v>
      </c>
      <c r="D2394" s="17">
        <v>43038</v>
      </c>
      <c r="E2394" t="s">
        <v>1064</v>
      </c>
    </row>
    <row r="2395" spans="3:5">
      <c r="C2395">
        <v>16.192</v>
      </c>
      <c r="D2395" s="17">
        <v>43072</v>
      </c>
      <c r="E2395" t="s">
        <v>1154</v>
      </c>
    </row>
    <row r="2396" spans="3:5">
      <c r="C2396">
        <v>16.200000000000003</v>
      </c>
      <c r="D2396" s="17">
        <v>42988</v>
      </c>
      <c r="E2396" t="s">
        <v>329</v>
      </c>
    </row>
    <row r="2397" spans="3:5">
      <c r="C2397">
        <v>16.224</v>
      </c>
      <c r="D2397" s="17">
        <v>41794</v>
      </c>
      <c r="E2397" t="s">
        <v>296</v>
      </c>
    </row>
    <row r="2398" spans="3:5">
      <c r="C2398">
        <v>16.23</v>
      </c>
      <c r="D2398" s="17">
        <v>41965</v>
      </c>
      <c r="E2398" t="s">
        <v>685</v>
      </c>
    </row>
    <row r="2399" spans="3:5">
      <c r="C2399">
        <v>16.239999999999998</v>
      </c>
      <c r="D2399" s="17">
        <v>42152</v>
      </c>
      <c r="E2399" t="s">
        <v>422</v>
      </c>
    </row>
    <row r="2400" spans="3:5">
      <c r="C2400">
        <v>16.256</v>
      </c>
      <c r="D2400" s="17">
        <v>42832</v>
      </c>
      <c r="E2400" t="s">
        <v>500</v>
      </c>
    </row>
    <row r="2401" spans="3:5">
      <c r="C2401">
        <v>16.269999999999996</v>
      </c>
      <c r="D2401" s="17">
        <v>42252</v>
      </c>
      <c r="E2401" t="s">
        <v>667</v>
      </c>
    </row>
    <row r="2402" spans="3:5">
      <c r="C2402">
        <v>16.272000000000002</v>
      </c>
      <c r="D2402" s="17">
        <v>41719</v>
      </c>
      <c r="E2402" t="s">
        <v>72</v>
      </c>
    </row>
    <row r="2403" spans="3:5">
      <c r="C2403">
        <v>16.272000000000002</v>
      </c>
      <c r="D2403" s="17">
        <v>43042</v>
      </c>
      <c r="E2403" t="s">
        <v>120</v>
      </c>
    </row>
    <row r="2404" spans="3:5">
      <c r="C2404">
        <v>16.28</v>
      </c>
      <c r="D2404" s="17">
        <v>41720</v>
      </c>
      <c r="E2404" t="s">
        <v>1197</v>
      </c>
    </row>
    <row r="2405" spans="3:5">
      <c r="C2405">
        <v>16.28</v>
      </c>
      <c r="D2405" s="17">
        <v>42993</v>
      </c>
      <c r="E2405" t="s">
        <v>1197</v>
      </c>
    </row>
    <row r="2406" spans="3:5">
      <c r="C2406">
        <v>16.34</v>
      </c>
      <c r="D2406" s="17">
        <v>42937</v>
      </c>
      <c r="E2406" t="s">
        <v>995</v>
      </c>
    </row>
    <row r="2407" spans="3:5">
      <c r="C2407">
        <v>16.36</v>
      </c>
      <c r="D2407" s="17">
        <v>41856</v>
      </c>
      <c r="E2407" t="s">
        <v>328</v>
      </c>
    </row>
    <row r="2408" spans="3:5">
      <c r="C2408">
        <v>16.38</v>
      </c>
      <c r="D2408" s="17">
        <v>43063</v>
      </c>
      <c r="E2408" t="s">
        <v>189</v>
      </c>
    </row>
    <row r="2409" spans="3:5">
      <c r="C2409">
        <v>16.391999999999996</v>
      </c>
      <c r="D2409" s="17">
        <v>42653</v>
      </c>
      <c r="E2409" t="s">
        <v>107</v>
      </c>
    </row>
    <row r="2410" spans="3:5">
      <c r="C2410">
        <v>16.399999999999999</v>
      </c>
      <c r="D2410" s="17">
        <v>41855</v>
      </c>
      <c r="E2410" t="s">
        <v>1702</v>
      </c>
    </row>
    <row r="2411" spans="3:5">
      <c r="C2411">
        <v>16.399999999999999</v>
      </c>
      <c r="D2411" s="17">
        <v>42274</v>
      </c>
      <c r="E2411" t="s">
        <v>530</v>
      </c>
    </row>
    <row r="2412" spans="3:5">
      <c r="C2412">
        <v>16.399999999999999</v>
      </c>
      <c r="D2412" s="17">
        <v>42355</v>
      </c>
      <c r="E2412" t="s">
        <v>1134</v>
      </c>
    </row>
    <row r="2413" spans="3:5">
      <c r="C2413">
        <v>16.399999999999999</v>
      </c>
      <c r="D2413" s="17">
        <v>42896</v>
      </c>
      <c r="E2413" t="s">
        <v>265</v>
      </c>
    </row>
    <row r="2414" spans="3:5">
      <c r="C2414">
        <v>16.448</v>
      </c>
      <c r="D2414" s="17">
        <v>41642</v>
      </c>
      <c r="E2414" t="s">
        <v>922</v>
      </c>
    </row>
    <row r="2415" spans="3:5">
      <c r="C2415">
        <v>16.448</v>
      </c>
      <c r="D2415" s="17">
        <v>42341</v>
      </c>
      <c r="E2415" t="s">
        <v>922</v>
      </c>
    </row>
    <row r="2416" spans="3:5">
      <c r="C2416">
        <v>16.45</v>
      </c>
      <c r="D2416" s="17">
        <v>42688</v>
      </c>
      <c r="E2416" t="s">
        <v>1625</v>
      </c>
    </row>
    <row r="2417" spans="3:5">
      <c r="C2417">
        <v>16.463999999999999</v>
      </c>
      <c r="D2417" s="17">
        <v>41975</v>
      </c>
      <c r="E2417" t="s">
        <v>1220</v>
      </c>
    </row>
    <row r="2418" spans="3:5">
      <c r="C2418">
        <v>16.463999999999999</v>
      </c>
      <c r="D2418" s="17">
        <v>42271</v>
      </c>
      <c r="E2418" t="s">
        <v>1535</v>
      </c>
    </row>
    <row r="2419" spans="3:5">
      <c r="C2419">
        <v>16.496000000000002</v>
      </c>
      <c r="D2419" s="17">
        <v>42420</v>
      </c>
      <c r="E2419" t="s">
        <v>1275</v>
      </c>
    </row>
    <row r="2420" spans="3:5">
      <c r="C2420">
        <v>16.52</v>
      </c>
      <c r="D2420" s="17">
        <v>42077</v>
      </c>
      <c r="E2420" t="s">
        <v>1034</v>
      </c>
    </row>
    <row r="2421" spans="3:5">
      <c r="C2421">
        <v>16.52</v>
      </c>
      <c r="D2421" s="17">
        <v>42238</v>
      </c>
      <c r="E2421" t="s">
        <v>602</v>
      </c>
    </row>
    <row r="2422" spans="3:5">
      <c r="C2422">
        <v>16.52</v>
      </c>
      <c r="D2422" s="17">
        <v>42384</v>
      </c>
      <c r="E2422" t="s">
        <v>1360</v>
      </c>
    </row>
    <row r="2423" spans="3:5">
      <c r="C2423">
        <v>16.520000000000003</v>
      </c>
      <c r="D2423" s="17">
        <v>41750</v>
      </c>
      <c r="E2423" t="s">
        <v>1247</v>
      </c>
    </row>
    <row r="2424" spans="3:5">
      <c r="C2424">
        <v>16.520000000000003</v>
      </c>
      <c r="D2424" s="17">
        <v>42329</v>
      </c>
      <c r="E2424" t="s">
        <v>397</v>
      </c>
    </row>
    <row r="2425" spans="3:5">
      <c r="C2425">
        <v>16.520000000000003</v>
      </c>
      <c r="D2425" s="17">
        <v>42635</v>
      </c>
      <c r="E2425" t="s">
        <v>1034</v>
      </c>
    </row>
    <row r="2426" spans="3:5">
      <c r="C2426">
        <v>16.520000000000003</v>
      </c>
      <c r="D2426" s="17">
        <v>42734</v>
      </c>
      <c r="E2426" t="s">
        <v>1559</v>
      </c>
    </row>
    <row r="2427" spans="3:5">
      <c r="C2427">
        <v>16.520000000000003</v>
      </c>
      <c r="D2427" s="17">
        <v>42841</v>
      </c>
      <c r="E2427" t="s">
        <v>545</v>
      </c>
    </row>
    <row r="2428" spans="3:5">
      <c r="C2428">
        <v>16.520000000000003</v>
      </c>
      <c r="D2428" s="17">
        <v>42950</v>
      </c>
      <c r="E2428" t="s">
        <v>1034</v>
      </c>
    </row>
    <row r="2429" spans="3:5">
      <c r="C2429">
        <v>16.559999999999999</v>
      </c>
      <c r="D2429" s="17">
        <v>42331</v>
      </c>
      <c r="E2429" t="s">
        <v>79</v>
      </c>
    </row>
    <row r="2430" spans="3:5">
      <c r="C2430">
        <v>16.559999999999999</v>
      </c>
      <c r="D2430" s="17">
        <v>42617</v>
      </c>
      <c r="E2430" t="s">
        <v>79</v>
      </c>
    </row>
    <row r="2431" spans="3:5">
      <c r="C2431">
        <v>16.559999999999999</v>
      </c>
      <c r="D2431" s="17">
        <v>42635</v>
      </c>
      <c r="E2431" t="s">
        <v>332</v>
      </c>
    </row>
    <row r="2432" spans="3:5">
      <c r="C2432">
        <v>16.559999999999999</v>
      </c>
      <c r="D2432" s="17">
        <v>42638</v>
      </c>
      <c r="E2432" t="s">
        <v>1205</v>
      </c>
    </row>
    <row r="2433" spans="3:5">
      <c r="C2433">
        <v>16.560000000000002</v>
      </c>
      <c r="D2433" s="17">
        <v>42712</v>
      </c>
      <c r="E2433" t="s">
        <v>1593</v>
      </c>
    </row>
    <row r="2434" spans="3:5">
      <c r="C2434">
        <v>16.59</v>
      </c>
      <c r="D2434" s="17">
        <v>42737</v>
      </c>
      <c r="E2434" t="s">
        <v>64</v>
      </c>
    </row>
    <row r="2435" spans="3:5">
      <c r="C2435">
        <v>16.656000000000002</v>
      </c>
      <c r="D2435" s="17">
        <v>41955</v>
      </c>
      <c r="E2435" t="s">
        <v>1059</v>
      </c>
    </row>
    <row r="2436" spans="3:5">
      <c r="C2436">
        <v>16.656000000000002</v>
      </c>
      <c r="D2436" s="17">
        <v>42514</v>
      </c>
      <c r="E2436" t="s">
        <v>1434</v>
      </c>
    </row>
    <row r="2437" spans="3:5">
      <c r="C2437">
        <v>16.68</v>
      </c>
      <c r="D2437" s="17">
        <v>41665</v>
      </c>
      <c r="E2437" t="s">
        <v>819</v>
      </c>
    </row>
    <row r="2438" spans="3:5">
      <c r="C2438">
        <v>16.68</v>
      </c>
      <c r="D2438" s="17">
        <v>42902</v>
      </c>
      <c r="E2438" t="s">
        <v>234</v>
      </c>
    </row>
    <row r="2439" spans="3:5">
      <c r="C2439">
        <v>16.68</v>
      </c>
      <c r="D2439" s="17">
        <v>42961</v>
      </c>
      <c r="E2439" t="s">
        <v>489</v>
      </c>
    </row>
    <row r="2440" spans="3:5">
      <c r="C2440">
        <v>16.68</v>
      </c>
      <c r="D2440" s="17">
        <v>43027</v>
      </c>
      <c r="E2440" t="s">
        <v>703</v>
      </c>
    </row>
    <row r="2441" spans="3:5">
      <c r="C2441">
        <v>16.687999999999999</v>
      </c>
      <c r="D2441" s="17">
        <v>42614</v>
      </c>
      <c r="E2441" t="s">
        <v>74</v>
      </c>
    </row>
    <row r="2442" spans="3:5">
      <c r="C2442">
        <v>16.704000000000001</v>
      </c>
      <c r="D2442" s="17">
        <v>41908</v>
      </c>
      <c r="E2442" t="s">
        <v>1519</v>
      </c>
    </row>
    <row r="2443" spans="3:5">
      <c r="C2443">
        <v>16.72</v>
      </c>
      <c r="D2443" s="17">
        <v>42495</v>
      </c>
      <c r="E2443" t="s">
        <v>1186</v>
      </c>
    </row>
    <row r="2444" spans="3:5">
      <c r="C2444">
        <v>16.72</v>
      </c>
      <c r="D2444" s="17">
        <v>43072</v>
      </c>
      <c r="E2444" t="s">
        <v>1186</v>
      </c>
    </row>
    <row r="2445" spans="3:5">
      <c r="C2445">
        <v>16.739999999999998</v>
      </c>
      <c r="D2445" s="17">
        <v>41840</v>
      </c>
      <c r="E2445" t="s">
        <v>339</v>
      </c>
    </row>
    <row r="2446" spans="3:5">
      <c r="C2446">
        <v>16.739999999999998</v>
      </c>
      <c r="D2446" s="17">
        <v>42443</v>
      </c>
      <c r="E2446" t="s">
        <v>339</v>
      </c>
    </row>
    <row r="2447" spans="3:5">
      <c r="C2447">
        <v>16.739999999999998</v>
      </c>
      <c r="D2447" s="17">
        <v>42705</v>
      </c>
      <c r="E2447" t="s">
        <v>339</v>
      </c>
    </row>
    <row r="2448" spans="3:5">
      <c r="C2448">
        <v>16.740000000000002</v>
      </c>
      <c r="D2448" s="17">
        <v>42533</v>
      </c>
      <c r="E2448" t="s">
        <v>1685</v>
      </c>
    </row>
    <row r="2449" spans="3:5">
      <c r="C2449">
        <v>16.740000000000002</v>
      </c>
      <c r="D2449" s="17">
        <v>42997</v>
      </c>
      <c r="E2449" t="s">
        <v>1233</v>
      </c>
    </row>
    <row r="2450" spans="3:5">
      <c r="C2450">
        <v>16.740000000000002</v>
      </c>
      <c r="D2450" s="17">
        <v>43058</v>
      </c>
      <c r="E2450" t="s">
        <v>79</v>
      </c>
    </row>
    <row r="2451" spans="3:5">
      <c r="C2451">
        <v>16.752000000000002</v>
      </c>
      <c r="D2451" s="17">
        <v>42686</v>
      </c>
      <c r="E2451" t="s">
        <v>1110</v>
      </c>
    </row>
    <row r="2452" spans="3:5">
      <c r="C2452">
        <v>16.768000000000001</v>
      </c>
      <c r="D2452" s="17">
        <v>42561</v>
      </c>
      <c r="E2452" t="s">
        <v>527</v>
      </c>
    </row>
    <row r="2453" spans="3:5">
      <c r="C2453">
        <v>16.768000000000001</v>
      </c>
      <c r="D2453" s="17">
        <v>42836</v>
      </c>
      <c r="E2453" t="s">
        <v>527</v>
      </c>
    </row>
    <row r="2454" spans="3:5">
      <c r="C2454">
        <v>16.776000000000003</v>
      </c>
      <c r="D2454" s="17">
        <v>42078</v>
      </c>
      <c r="E2454" t="s">
        <v>1637</v>
      </c>
    </row>
    <row r="2455" spans="3:5">
      <c r="C2455">
        <v>16.776000000000003</v>
      </c>
      <c r="D2455" s="17">
        <v>42089</v>
      </c>
      <c r="E2455" t="s">
        <v>1249</v>
      </c>
    </row>
    <row r="2456" spans="3:5">
      <c r="C2456">
        <v>16.776000000000003</v>
      </c>
      <c r="D2456" s="17">
        <v>42923</v>
      </c>
      <c r="E2456" t="s">
        <v>935</v>
      </c>
    </row>
    <row r="2457" spans="3:5">
      <c r="C2457">
        <v>16.78</v>
      </c>
      <c r="D2457" s="17">
        <v>41890</v>
      </c>
      <c r="E2457" t="s">
        <v>504</v>
      </c>
    </row>
    <row r="2458" spans="3:5">
      <c r="C2458">
        <v>16.783999999999995</v>
      </c>
      <c r="D2458" s="17">
        <v>41846</v>
      </c>
      <c r="E2458" t="s">
        <v>997</v>
      </c>
    </row>
    <row r="2459" spans="3:5">
      <c r="C2459">
        <v>16.784000000000002</v>
      </c>
      <c r="D2459" s="17">
        <v>42964</v>
      </c>
      <c r="E2459" t="s">
        <v>944</v>
      </c>
    </row>
    <row r="2460" spans="3:5">
      <c r="C2460">
        <v>16.784000000000002</v>
      </c>
      <c r="D2460" s="17">
        <v>42982</v>
      </c>
      <c r="E2460" t="s">
        <v>1058</v>
      </c>
    </row>
    <row r="2461" spans="3:5">
      <c r="C2461">
        <v>16.821000000000005</v>
      </c>
      <c r="D2461" s="17">
        <v>42449</v>
      </c>
      <c r="E2461" t="s">
        <v>177</v>
      </c>
    </row>
    <row r="2462" spans="3:5">
      <c r="C2462">
        <v>16.896000000000001</v>
      </c>
      <c r="D2462" s="17">
        <v>43058</v>
      </c>
      <c r="E2462" t="s">
        <v>1439</v>
      </c>
    </row>
    <row r="2463" spans="3:5">
      <c r="C2463">
        <v>16.899999999999999</v>
      </c>
      <c r="D2463" s="17">
        <v>42265</v>
      </c>
      <c r="E2463" t="s">
        <v>1491</v>
      </c>
    </row>
    <row r="2464" spans="3:5">
      <c r="C2464">
        <v>16.899999999999999</v>
      </c>
      <c r="D2464" s="17">
        <v>42342</v>
      </c>
      <c r="E2464" t="s">
        <v>1808</v>
      </c>
    </row>
    <row r="2465" spans="3:5">
      <c r="C2465">
        <v>16.899999999999999</v>
      </c>
      <c r="D2465" s="17">
        <v>42626</v>
      </c>
      <c r="E2465" t="s">
        <v>1491</v>
      </c>
    </row>
    <row r="2466" spans="3:5">
      <c r="C2466">
        <v>16.899999999999999</v>
      </c>
      <c r="D2466" s="17">
        <v>42985</v>
      </c>
      <c r="E2466" t="s">
        <v>1156</v>
      </c>
    </row>
    <row r="2467" spans="3:5">
      <c r="C2467">
        <v>16.91</v>
      </c>
      <c r="D2467" s="17">
        <v>42859</v>
      </c>
      <c r="E2467" t="s">
        <v>634</v>
      </c>
    </row>
    <row r="2468" spans="3:5">
      <c r="C2468">
        <v>16.95</v>
      </c>
      <c r="D2468" s="17">
        <v>43045</v>
      </c>
      <c r="E2468" t="s">
        <v>528</v>
      </c>
    </row>
    <row r="2469" spans="3:5">
      <c r="C2469">
        <v>16.98</v>
      </c>
      <c r="D2469" s="17">
        <v>42829</v>
      </c>
      <c r="E2469" t="s">
        <v>496</v>
      </c>
    </row>
    <row r="2470" spans="3:5">
      <c r="C2470">
        <v>16.989999999999998</v>
      </c>
      <c r="D2470" s="17">
        <v>41896</v>
      </c>
      <c r="E2470" t="s">
        <v>471</v>
      </c>
    </row>
    <row r="2471" spans="3:5">
      <c r="C2471">
        <v>16.989999999999998</v>
      </c>
      <c r="D2471" s="17">
        <v>42433</v>
      </c>
      <c r="E2471" t="s">
        <v>993</v>
      </c>
    </row>
    <row r="2472" spans="3:5">
      <c r="C2472">
        <v>17</v>
      </c>
      <c r="D2472" s="17">
        <v>42867</v>
      </c>
      <c r="E2472" t="s">
        <v>677</v>
      </c>
    </row>
    <row r="2473" spans="3:5">
      <c r="C2473">
        <v>17.024000000000001</v>
      </c>
      <c r="D2473" s="17">
        <v>42987</v>
      </c>
      <c r="E2473" t="s">
        <v>1162</v>
      </c>
    </row>
    <row r="2474" spans="3:5">
      <c r="C2474">
        <v>17.04</v>
      </c>
      <c r="D2474" s="17">
        <v>42455</v>
      </c>
      <c r="E2474" t="s">
        <v>1267</v>
      </c>
    </row>
    <row r="2475" spans="3:5">
      <c r="C2475">
        <v>17.04</v>
      </c>
      <c r="D2475" s="17">
        <v>42468</v>
      </c>
      <c r="E2475" t="s">
        <v>842</v>
      </c>
    </row>
    <row r="2476" spans="3:5">
      <c r="C2476">
        <v>17.04</v>
      </c>
      <c r="D2476" s="17">
        <v>42632</v>
      </c>
      <c r="E2476" t="s">
        <v>815</v>
      </c>
    </row>
    <row r="2477" spans="3:5">
      <c r="C2477">
        <v>17.04</v>
      </c>
      <c r="D2477" s="17">
        <v>43004</v>
      </c>
      <c r="E2477" t="s">
        <v>1267</v>
      </c>
    </row>
    <row r="2478" spans="3:5">
      <c r="C2478">
        <v>17.04</v>
      </c>
      <c r="D2478" s="17">
        <v>43014</v>
      </c>
      <c r="E2478" t="s">
        <v>815</v>
      </c>
    </row>
    <row r="2479" spans="3:5">
      <c r="C2479">
        <v>17.05</v>
      </c>
      <c r="D2479" s="17">
        <v>42666</v>
      </c>
      <c r="E2479" t="s">
        <v>1627</v>
      </c>
    </row>
    <row r="2480" spans="3:5">
      <c r="C2480">
        <v>17.088000000000001</v>
      </c>
      <c r="D2480" s="17">
        <v>41730</v>
      </c>
      <c r="E2480" t="s">
        <v>1730</v>
      </c>
    </row>
    <row r="2481" spans="3:5">
      <c r="C2481">
        <v>17.088000000000001</v>
      </c>
      <c r="D2481" s="17">
        <v>41969</v>
      </c>
      <c r="E2481" t="s">
        <v>411</v>
      </c>
    </row>
    <row r="2482" spans="3:5">
      <c r="C2482">
        <v>17.088000000000001</v>
      </c>
      <c r="D2482" s="17">
        <v>42338</v>
      </c>
      <c r="E2482" t="s">
        <v>836</v>
      </c>
    </row>
    <row r="2483" spans="3:5">
      <c r="C2483">
        <v>17.088000000000001</v>
      </c>
      <c r="D2483" s="17">
        <v>42633</v>
      </c>
      <c r="E2483" t="s">
        <v>836</v>
      </c>
    </row>
    <row r="2484" spans="3:5">
      <c r="C2484">
        <v>17.088000000000001</v>
      </c>
      <c r="D2484" s="17">
        <v>42898</v>
      </c>
      <c r="E2484" t="s">
        <v>836</v>
      </c>
    </row>
    <row r="2485" spans="3:5">
      <c r="C2485">
        <v>17.12</v>
      </c>
      <c r="D2485" s="17">
        <v>42271</v>
      </c>
      <c r="E2485" t="s">
        <v>106</v>
      </c>
    </row>
    <row r="2486" spans="3:5">
      <c r="C2486">
        <v>17.12</v>
      </c>
      <c r="D2486" s="17">
        <v>42330</v>
      </c>
      <c r="E2486" t="s">
        <v>605</v>
      </c>
    </row>
    <row r="2487" spans="3:5">
      <c r="C2487">
        <v>17.12</v>
      </c>
      <c r="D2487" s="17">
        <v>42358</v>
      </c>
      <c r="E2487" t="s">
        <v>296</v>
      </c>
    </row>
    <row r="2488" spans="3:5">
      <c r="C2488">
        <v>17.12</v>
      </c>
      <c r="D2488" s="17">
        <v>42360</v>
      </c>
      <c r="E2488" t="s">
        <v>1077</v>
      </c>
    </row>
    <row r="2489" spans="3:5">
      <c r="C2489">
        <v>17.12</v>
      </c>
      <c r="D2489" s="17">
        <v>42540</v>
      </c>
      <c r="E2489" t="s">
        <v>1743</v>
      </c>
    </row>
    <row r="2490" spans="3:5">
      <c r="C2490">
        <v>17.12</v>
      </c>
      <c r="D2490" s="17">
        <v>42968</v>
      </c>
      <c r="E2490" t="s">
        <v>1077</v>
      </c>
    </row>
    <row r="2491" spans="3:5">
      <c r="C2491">
        <v>17.12</v>
      </c>
      <c r="D2491" s="17">
        <v>42980</v>
      </c>
      <c r="E2491" t="s">
        <v>1061</v>
      </c>
    </row>
    <row r="2492" spans="3:5">
      <c r="C2492">
        <v>17.14</v>
      </c>
      <c r="D2492" s="17">
        <v>41796</v>
      </c>
      <c r="E2492" t="s">
        <v>176</v>
      </c>
    </row>
    <row r="2493" spans="3:5">
      <c r="C2493">
        <v>17.14</v>
      </c>
      <c r="D2493" s="17">
        <v>42292</v>
      </c>
      <c r="E2493" t="s">
        <v>675</v>
      </c>
    </row>
    <row r="2494" spans="3:5">
      <c r="C2494">
        <v>17.149999999999999</v>
      </c>
      <c r="D2494" s="17">
        <v>42718</v>
      </c>
      <c r="E2494" t="s">
        <v>146</v>
      </c>
    </row>
    <row r="2495" spans="3:5">
      <c r="C2495">
        <v>17.184000000000001</v>
      </c>
      <c r="D2495" s="17">
        <v>42731</v>
      </c>
      <c r="E2495" t="s">
        <v>1211</v>
      </c>
    </row>
    <row r="2496" spans="3:5">
      <c r="C2496">
        <v>17.216000000000001</v>
      </c>
      <c r="D2496" s="17">
        <v>42698</v>
      </c>
      <c r="E2496" t="s">
        <v>615</v>
      </c>
    </row>
    <row r="2497" spans="3:5">
      <c r="C2497">
        <v>17.22</v>
      </c>
      <c r="D2497" s="17">
        <v>42317</v>
      </c>
      <c r="E2497" t="s">
        <v>1072</v>
      </c>
    </row>
    <row r="2498" spans="3:5">
      <c r="C2498">
        <v>17.22</v>
      </c>
      <c r="D2498" s="17">
        <v>42967</v>
      </c>
      <c r="E2498" t="s">
        <v>981</v>
      </c>
    </row>
    <row r="2499" spans="3:5">
      <c r="C2499">
        <v>17.220000000000006</v>
      </c>
      <c r="D2499" s="17">
        <v>42615</v>
      </c>
      <c r="E2499" t="s">
        <v>385</v>
      </c>
    </row>
    <row r="2500" spans="3:5">
      <c r="C2500">
        <v>17.239999999999998</v>
      </c>
      <c r="D2500" s="17">
        <v>42873</v>
      </c>
      <c r="E2500" t="s">
        <v>158</v>
      </c>
    </row>
    <row r="2501" spans="3:5">
      <c r="C2501">
        <v>17.248000000000001</v>
      </c>
      <c r="D2501" s="17">
        <v>41674</v>
      </c>
      <c r="E2501" t="s">
        <v>783</v>
      </c>
    </row>
    <row r="2502" spans="3:5">
      <c r="C2502">
        <v>17.248000000000001</v>
      </c>
      <c r="D2502" s="17">
        <v>41971</v>
      </c>
      <c r="E2502" t="s">
        <v>783</v>
      </c>
    </row>
    <row r="2503" spans="3:5">
      <c r="C2503">
        <v>17.28</v>
      </c>
      <c r="D2503" s="17">
        <v>41994</v>
      </c>
      <c r="E2503" t="s">
        <v>620</v>
      </c>
    </row>
    <row r="2504" spans="3:5">
      <c r="C2504">
        <v>17.28</v>
      </c>
      <c r="D2504" s="17">
        <v>42693</v>
      </c>
      <c r="E2504" t="s">
        <v>1632</v>
      </c>
    </row>
    <row r="2505" spans="3:5">
      <c r="C2505">
        <v>17.28</v>
      </c>
      <c r="D2505" s="17">
        <v>43083</v>
      </c>
      <c r="E2505" t="s">
        <v>886</v>
      </c>
    </row>
    <row r="2506" spans="3:5">
      <c r="C2506">
        <v>17.3</v>
      </c>
      <c r="D2506" s="17">
        <v>42699</v>
      </c>
      <c r="E2506" t="s">
        <v>1260</v>
      </c>
    </row>
    <row r="2507" spans="3:5">
      <c r="C2507">
        <v>17.309999999999999</v>
      </c>
      <c r="D2507" s="17">
        <v>42705</v>
      </c>
      <c r="E2507" t="s">
        <v>1120</v>
      </c>
    </row>
    <row r="2508" spans="3:5">
      <c r="C2508">
        <v>17.309999999999999</v>
      </c>
      <c r="D2508" s="17">
        <v>43055</v>
      </c>
      <c r="E2508" t="s">
        <v>1120</v>
      </c>
    </row>
    <row r="2509" spans="3:5">
      <c r="C2509">
        <v>17.34</v>
      </c>
      <c r="D2509" s="17">
        <v>41877</v>
      </c>
      <c r="E2509" t="s">
        <v>1408</v>
      </c>
    </row>
    <row r="2510" spans="3:5">
      <c r="C2510">
        <v>17.34</v>
      </c>
      <c r="D2510" s="17">
        <v>42317</v>
      </c>
      <c r="E2510" t="s">
        <v>1408</v>
      </c>
    </row>
    <row r="2511" spans="3:5">
      <c r="C2511">
        <v>17.34</v>
      </c>
      <c r="D2511" s="17">
        <v>42363</v>
      </c>
      <c r="E2511" t="s">
        <v>1408</v>
      </c>
    </row>
    <row r="2512" spans="3:5">
      <c r="C2512">
        <v>17.34</v>
      </c>
      <c r="D2512" s="17">
        <v>42506</v>
      </c>
      <c r="E2512" t="s">
        <v>408</v>
      </c>
    </row>
    <row r="2513" spans="3:5">
      <c r="C2513">
        <v>17.34</v>
      </c>
      <c r="D2513" s="17">
        <v>42595</v>
      </c>
      <c r="E2513" t="s">
        <v>484</v>
      </c>
    </row>
    <row r="2514" spans="3:5">
      <c r="C2514">
        <v>17.38</v>
      </c>
      <c r="D2514" s="17">
        <v>42686</v>
      </c>
      <c r="E2514" t="s">
        <v>786</v>
      </c>
    </row>
    <row r="2515" spans="3:5">
      <c r="C2515">
        <v>17.38</v>
      </c>
      <c r="D2515" s="17">
        <v>42887</v>
      </c>
      <c r="E2515" t="s">
        <v>786</v>
      </c>
    </row>
    <row r="2516" spans="3:5">
      <c r="C2516">
        <v>17.43</v>
      </c>
      <c r="D2516" s="17">
        <v>42107</v>
      </c>
      <c r="E2516" t="s">
        <v>206</v>
      </c>
    </row>
    <row r="2517" spans="3:5">
      <c r="C2517">
        <v>17.430000000000003</v>
      </c>
      <c r="D2517" s="17">
        <v>42834</v>
      </c>
      <c r="E2517" t="s">
        <v>366</v>
      </c>
    </row>
    <row r="2518" spans="3:5">
      <c r="C2518">
        <v>17.440000000000001</v>
      </c>
      <c r="D2518" s="17">
        <v>42328</v>
      </c>
      <c r="E2518" t="s">
        <v>310</v>
      </c>
    </row>
    <row r="2519" spans="3:5">
      <c r="C2519">
        <v>17.450000000000003</v>
      </c>
      <c r="D2519" s="17">
        <v>42308</v>
      </c>
      <c r="E2519" t="s">
        <v>1110</v>
      </c>
    </row>
    <row r="2520" spans="3:5">
      <c r="C2520">
        <v>17.456</v>
      </c>
      <c r="D2520" s="17">
        <v>42399</v>
      </c>
      <c r="E2520" t="s">
        <v>343</v>
      </c>
    </row>
    <row r="2521" spans="3:5">
      <c r="C2521">
        <v>17.456</v>
      </c>
      <c r="D2521" s="17">
        <v>42811</v>
      </c>
      <c r="E2521" t="s">
        <v>343</v>
      </c>
    </row>
    <row r="2522" spans="3:5">
      <c r="C2522">
        <v>17.459999999999997</v>
      </c>
      <c r="D2522" s="17">
        <v>41786</v>
      </c>
      <c r="E2522" t="s">
        <v>1789</v>
      </c>
    </row>
    <row r="2523" spans="3:5">
      <c r="C2523">
        <v>17.46</v>
      </c>
      <c r="D2523" s="17">
        <v>41681</v>
      </c>
      <c r="E2523" t="s">
        <v>134</v>
      </c>
    </row>
    <row r="2524" spans="3:5">
      <c r="C2524">
        <v>17.46</v>
      </c>
      <c r="D2524" s="17">
        <v>41758</v>
      </c>
      <c r="E2524" t="s">
        <v>1290</v>
      </c>
    </row>
    <row r="2525" spans="3:5">
      <c r="C2525">
        <v>17.46</v>
      </c>
      <c r="D2525" s="17">
        <v>42440</v>
      </c>
      <c r="E2525" t="s">
        <v>134</v>
      </c>
    </row>
    <row r="2526" spans="3:5">
      <c r="C2526">
        <v>17.46</v>
      </c>
      <c r="D2526" s="17">
        <v>43010</v>
      </c>
      <c r="E2526" t="s">
        <v>1290</v>
      </c>
    </row>
    <row r="2527" spans="3:5">
      <c r="C2527">
        <v>17.472000000000001</v>
      </c>
      <c r="D2527" s="17">
        <v>41699</v>
      </c>
      <c r="E2527" t="s">
        <v>1579</v>
      </c>
    </row>
    <row r="2528" spans="3:5">
      <c r="C2528">
        <v>17.472000000000001</v>
      </c>
      <c r="D2528" s="17">
        <v>41770</v>
      </c>
      <c r="E2528" t="s">
        <v>1579</v>
      </c>
    </row>
    <row r="2529" spans="3:5">
      <c r="C2529">
        <v>17.472000000000001</v>
      </c>
      <c r="D2529" s="17">
        <v>41891</v>
      </c>
      <c r="E2529" t="s">
        <v>566</v>
      </c>
    </row>
    <row r="2530" spans="3:5">
      <c r="C2530">
        <v>17.472000000000001</v>
      </c>
      <c r="D2530" s="17">
        <v>41978</v>
      </c>
      <c r="E2530" t="s">
        <v>1579</v>
      </c>
    </row>
    <row r="2531" spans="3:5">
      <c r="C2531">
        <v>17.472000000000001</v>
      </c>
      <c r="D2531" s="17">
        <v>42923</v>
      </c>
      <c r="E2531" t="s">
        <v>931</v>
      </c>
    </row>
    <row r="2532" spans="3:5">
      <c r="C2532">
        <v>17.48</v>
      </c>
      <c r="D2532" s="17">
        <v>42009</v>
      </c>
      <c r="E2532" t="s">
        <v>1165</v>
      </c>
    </row>
    <row r="2533" spans="3:5">
      <c r="C2533">
        <v>17.48</v>
      </c>
      <c r="D2533" s="17">
        <v>42272</v>
      </c>
      <c r="E2533" t="s">
        <v>1165</v>
      </c>
    </row>
    <row r="2534" spans="3:5">
      <c r="C2534">
        <v>17.48</v>
      </c>
      <c r="D2534" s="17">
        <v>42338</v>
      </c>
      <c r="E2534" t="s">
        <v>1165</v>
      </c>
    </row>
    <row r="2535" spans="3:5">
      <c r="C2535">
        <v>17.48</v>
      </c>
      <c r="D2535" s="17">
        <v>42629</v>
      </c>
      <c r="E2535" t="s">
        <v>780</v>
      </c>
    </row>
    <row r="2536" spans="3:5">
      <c r="C2536">
        <v>17.48</v>
      </c>
      <c r="D2536" s="17">
        <v>42937</v>
      </c>
      <c r="E2536" t="s">
        <v>780</v>
      </c>
    </row>
    <row r="2537" spans="3:5">
      <c r="C2537">
        <v>17.48</v>
      </c>
      <c r="D2537" s="17">
        <v>42987</v>
      </c>
      <c r="E2537" t="s">
        <v>1165</v>
      </c>
    </row>
    <row r="2538" spans="3:5">
      <c r="C2538">
        <v>17.480000000000004</v>
      </c>
      <c r="D2538" s="17">
        <v>42887</v>
      </c>
      <c r="E2538" t="s">
        <v>780</v>
      </c>
    </row>
    <row r="2539" spans="3:5">
      <c r="C2539">
        <v>17.496000000000002</v>
      </c>
      <c r="D2539" s="17">
        <v>41846</v>
      </c>
      <c r="E2539" t="s">
        <v>1298</v>
      </c>
    </row>
    <row r="2540" spans="3:5">
      <c r="C2540">
        <v>17.496000000000002</v>
      </c>
      <c r="D2540" s="17">
        <v>42321</v>
      </c>
      <c r="E2540" t="s">
        <v>589</v>
      </c>
    </row>
    <row r="2541" spans="3:5">
      <c r="C2541">
        <v>17.52</v>
      </c>
      <c r="D2541" s="17">
        <v>42079</v>
      </c>
      <c r="E2541" t="s">
        <v>1304</v>
      </c>
    </row>
    <row r="2542" spans="3:5">
      <c r="C2542">
        <v>17.52</v>
      </c>
      <c r="D2542" s="17">
        <v>42237</v>
      </c>
      <c r="E2542" t="s">
        <v>196</v>
      </c>
    </row>
    <row r="2543" spans="3:5">
      <c r="C2543">
        <v>17.52</v>
      </c>
      <c r="D2543" s="17">
        <v>42894</v>
      </c>
      <c r="E2543" t="s">
        <v>810</v>
      </c>
    </row>
    <row r="2544" spans="3:5">
      <c r="C2544">
        <v>17.52</v>
      </c>
      <c r="D2544" s="17">
        <v>42947</v>
      </c>
      <c r="E2544" t="s">
        <v>537</v>
      </c>
    </row>
    <row r="2545" spans="3:5">
      <c r="C2545">
        <v>17.52</v>
      </c>
      <c r="D2545" s="17">
        <v>42959</v>
      </c>
      <c r="E2545" t="s">
        <v>167</v>
      </c>
    </row>
    <row r="2546" spans="3:5">
      <c r="C2546">
        <v>17.52</v>
      </c>
      <c r="D2546" s="17">
        <v>43070</v>
      </c>
      <c r="E2546" t="s">
        <v>537</v>
      </c>
    </row>
    <row r="2547" spans="3:5">
      <c r="C2547">
        <v>17.544</v>
      </c>
      <c r="D2547" s="17">
        <v>41852</v>
      </c>
      <c r="E2547" t="s">
        <v>679</v>
      </c>
    </row>
    <row r="2548" spans="3:5">
      <c r="C2548">
        <v>17.544</v>
      </c>
      <c r="D2548" s="17">
        <v>42960</v>
      </c>
      <c r="E2548" t="s">
        <v>382</v>
      </c>
    </row>
    <row r="2549" spans="3:5">
      <c r="C2549">
        <v>17.568000000000001</v>
      </c>
      <c r="D2549" s="17">
        <v>42082</v>
      </c>
      <c r="E2549" t="s">
        <v>1400</v>
      </c>
    </row>
    <row r="2550" spans="3:5">
      <c r="C2550">
        <v>17.568000000000001</v>
      </c>
      <c r="D2550" s="17">
        <v>42994</v>
      </c>
      <c r="E2550" t="s">
        <v>788</v>
      </c>
    </row>
    <row r="2551" spans="3:5">
      <c r="C2551">
        <v>17.584000000000003</v>
      </c>
      <c r="D2551" s="17">
        <v>42678</v>
      </c>
      <c r="E2551" t="s">
        <v>1651</v>
      </c>
    </row>
    <row r="2552" spans="3:5">
      <c r="C2552">
        <v>17.61</v>
      </c>
      <c r="D2552" s="17">
        <v>42626</v>
      </c>
      <c r="E2552" t="s">
        <v>631</v>
      </c>
    </row>
    <row r="2553" spans="3:5">
      <c r="C2553">
        <v>17.61</v>
      </c>
      <c r="D2553" s="17">
        <v>42859</v>
      </c>
      <c r="E2553" t="s">
        <v>631</v>
      </c>
    </row>
    <row r="2554" spans="3:5">
      <c r="C2554">
        <v>17.616000000000003</v>
      </c>
      <c r="D2554" s="17">
        <v>42671</v>
      </c>
      <c r="E2554" t="s">
        <v>375</v>
      </c>
    </row>
    <row r="2555" spans="3:5">
      <c r="C2555">
        <v>17.64</v>
      </c>
      <c r="D2555" s="17">
        <v>42092</v>
      </c>
      <c r="E2555" t="s">
        <v>454</v>
      </c>
    </row>
    <row r="2556" spans="3:5">
      <c r="C2556">
        <v>17.64</v>
      </c>
      <c r="D2556" s="17">
        <v>42455</v>
      </c>
      <c r="E2556" t="s">
        <v>248</v>
      </c>
    </row>
    <row r="2557" spans="3:5">
      <c r="C2557">
        <v>17.64</v>
      </c>
      <c r="D2557" s="17">
        <v>42626</v>
      </c>
      <c r="E2557" t="s">
        <v>248</v>
      </c>
    </row>
    <row r="2558" spans="3:5">
      <c r="C2558">
        <v>17.64</v>
      </c>
      <c r="D2558" s="17">
        <v>42821</v>
      </c>
      <c r="E2558" t="s">
        <v>454</v>
      </c>
    </row>
    <row r="2559" spans="3:5">
      <c r="C2559">
        <v>17.669999999999998</v>
      </c>
      <c r="D2559" s="17">
        <v>41943</v>
      </c>
      <c r="E2559" t="s">
        <v>771</v>
      </c>
    </row>
    <row r="2560" spans="3:5">
      <c r="C2560">
        <v>17.712</v>
      </c>
      <c r="D2560" s="17">
        <v>42541</v>
      </c>
      <c r="E2560" t="s">
        <v>1526</v>
      </c>
    </row>
    <row r="2561" spans="3:5">
      <c r="C2561">
        <v>17.712</v>
      </c>
      <c r="D2561" s="17">
        <v>42693</v>
      </c>
      <c r="E2561" t="s">
        <v>1526</v>
      </c>
    </row>
    <row r="2562" spans="3:5">
      <c r="C2562">
        <v>17.712</v>
      </c>
      <c r="D2562" s="17">
        <v>42987</v>
      </c>
      <c r="E2562" t="s">
        <v>674</v>
      </c>
    </row>
    <row r="2563" spans="3:5">
      <c r="C2563">
        <v>17.760000000000002</v>
      </c>
      <c r="D2563" s="17">
        <v>42730</v>
      </c>
      <c r="E2563" t="s">
        <v>1565</v>
      </c>
    </row>
    <row r="2564" spans="3:5">
      <c r="C2564">
        <v>17.760000000000002</v>
      </c>
      <c r="D2564" s="17">
        <v>42821</v>
      </c>
      <c r="E2564" t="s">
        <v>450</v>
      </c>
    </row>
    <row r="2565" spans="3:5">
      <c r="C2565">
        <v>17.760000000000002</v>
      </c>
      <c r="D2565" s="17">
        <v>42982</v>
      </c>
      <c r="E2565" t="s">
        <v>290</v>
      </c>
    </row>
    <row r="2566" spans="3:5">
      <c r="C2566">
        <v>17.856000000000002</v>
      </c>
      <c r="D2566" s="17">
        <v>41742</v>
      </c>
      <c r="E2566" t="s">
        <v>723</v>
      </c>
    </row>
    <row r="2567" spans="3:5">
      <c r="C2567">
        <v>17.856000000000002</v>
      </c>
      <c r="D2567" s="17">
        <v>41866</v>
      </c>
      <c r="E2567" t="s">
        <v>1685</v>
      </c>
    </row>
    <row r="2568" spans="3:5">
      <c r="C2568">
        <v>17.856000000000002</v>
      </c>
      <c r="D2568" s="17">
        <v>42700</v>
      </c>
      <c r="E2568" t="s">
        <v>1494</v>
      </c>
    </row>
    <row r="2569" spans="3:5">
      <c r="C2569">
        <v>17.856000000000002</v>
      </c>
      <c r="D2569" s="17">
        <v>43029</v>
      </c>
      <c r="E2569" t="s">
        <v>1233</v>
      </c>
    </row>
    <row r="2570" spans="3:5">
      <c r="C2570">
        <v>17.880000000000003</v>
      </c>
      <c r="D2570" s="17">
        <v>43002</v>
      </c>
      <c r="E2570" t="s">
        <v>1256</v>
      </c>
    </row>
    <row r="2571" spans="3:5">
      <c r="C2571">
        <v>17.880000000000003</v>
      </c>
      <c r="D2571" s="17">
        <v>43093</v>
      </c>
      <c r="E2571" t="s">
        <v>954</v>
      </c>
    </row>
    <row r="2572" spans="3:5">
      <c r="C2572">
        <v>17.899999999999999</v>
      </c>
      <c r="D2572" s="17">
        <v>41807</v>
      </c>
      <c r="E2572" t="s">
        <v>518</v>
      </c>
    </row>
    <row r="2573" spans="3:5">
      <c r="C2573">
        <v>17.899999999999999</v>
      </c>
      <c r="D2573" s="17">
        <v>42250</v>
      </c>
      <c r="E2573" t="s">
        <v>380</v>
      </c>
    </row>
    <row r="2574" spans="3:5">
      <c r="C2574">
        <v>17.899999999999999</v>
      </c>
      <c r="D2574" s="17">
        <v>42289</v>
      </c>
      <c r="E2574" t="s">
        <v>380</v>
      </c>
    </row>
    <row r="2575" spans="3:5">
      <c r="C2575">
        <v>17.899999999999999</v>
      </c>
      <c r="D2575" s="17">
        <v>42547</v>
      </c>
      <c r="E2575" t="s">
        <v>518</v>
      </c>
    </row>
    <row r="2576" spans="3:5">
      <c r="C2576">
        <v>17.899999999999999</v>
      </c>
      <c r="D2576" s="17">
        <v>42994</v>
      </c>
      <c r="E2576" t="s">
        <v>1211</v>
      </c>
    </row>
    <row r="2577" spans="3:5">
      <c r="C2577">
        <v>17.899999999999999</v>
      </c>
      <c r="D2577" s="17">
        <v>43020</v>
      </c>
      <c r="E2577" t="s">
        <v>1211</v>
      </c>
    </row>
    <row r="2578" spans="3:5">
      <c r="C2578">
        <v>17.903999999999996</v>
      </c>
      <c r="D2578" s="17">
        <v>41995</v>
      </c>
      <c r="E2578" t="s">
        <v>749</v>
      </c>
    </row>
    <row r="2579" spans="3:5">
      <c r="C2579">
        <v>17.904</v>
      </c>
      <c r="D2579" s="17">
        <v>41890</v>
      </c>
      <c r="E2579" t="s">
        <v>1864</v>
      </c>
    </row>
    <row r="2580" spans="3:5">
      <c r="C2580">
        <v>17.904000000000003</v>
      </c>
      <c r="D2580" s="17">
        <v>42649</v>
      </c>
      <c r="E2580" t="s">
        <v>749</v>
      </c>
    </row>
    <row r="2581" spans="3:5">
      <c r="C2581">
        <v>17.920000000000002</v>
      </c>
      <c r="D2581" s="17">
        <v>42468</v>
      </c>
      <c r="E2581" t="s">
        <v>1328</v>
      </c>
    </row>
    <row r="2582" spans="3:5">
      <c r="C2582">
        <v>17.920000000000002</v>
      </c>
      <c r="D2582" s="17">
        <v>42907</v>
      </c>
      <c r="E2582" t="s">
        <v>877</v>
      </c>
    </row>
    <row r="2583" spans="3:5">
      <c r="C2583">
        <v>17.920000000000002</v>
      </c>
      <c r="D2583" s="17">
        <v>43011</v>
      </c>
      <c r="E2583" t="s">
        <v>388</v>
      </c>
    </row>
    <row r="2584" spans="3:5">
      <c r="C2584">
        <v>17.940000000000001</v>
      </c>
      <c r="D2584" s="17">
        <v>41705</v>
      </c>
      <c r="E2584" t="s">
        <v>857</v>
      </c>
    </row>
    <row r="2585" spans="3:5">
      <c r="C2585">
        <v>17.940000000000001</v>
      </c>
      <c r="D2585" s="17">
        <v>41758</v>
      </c>
      <c r="E2585" t="s">
        <v>1872</v>
      </c>
    </row>
    <row r="2586" spans="3:5">
      <c r="C2586">
        <v>17.940000000000001</v>
      </c>
      <c r="D2586" s="17">
        <v>41780</v>
      </c>
      <c r="E2586" t="s">
        <v>844</v>
      </c>
    </row>
    <row r="2587" spans="3:5">
      <c r="C2587">
        <v>17.940000000000001</v>
      </c>
      <c r="D2587" s="17">
        <v>41834</v>
      </c>
      <c r="E2587" t="s">
        <v>1642</v>
      </c>
    </row>
    <row r="2588" spans="3:5">
      <c r="C2588">
        <v>17.940000000000001</v>
      </c>
      <c r="D2588" s="17">
        <v>42103</v>
      </c>
      <c r="E2588" t="s">
        <v>1716</v>
      </c>
    </row>
    <row r="2589" spans="3:5">
      <c r="C2589">
        <v>17.940000000000001</v>
      </c>
      <c r="D2589" s="17">
        <v>42139</v>
      </c>
      <c r="E2589" t="s">
        <v>1253</v>
      </c>
    </row>
    <row r="2590" spans="3:5">
      <c r="C2590">
        <v>17.940000000000001</v>
      </c>
      <c r="D2590" s="17">
        <v>42295</v>
      </c>
      <c r="E2590" t="s">
        <v>236</v>
      </c>
    </row>
    <row r="2591" spans="3:5">
      <c r="C2591">
        <v>17.940000000000001</v>
      </c>
      <c r="D2591" s="17">
        <v>42316</v>
      </c>
      <c r="E2591" t="s">
        <v>147</v>
      </c>
    </row>
    <row r="2592" spans="3:5">
      <c r="C2592">
        <v>17.940000000000001</v>
      </c>
      <c r="D2592" s="17">
        <v>42317</v>
      </c>
      <c r="E2592" t="s">
        <v>1716</v>
      </c>
    </row>
    <row r="2593" spans="3:5">
      <c r="C2593">
        <v>17.940000000000001</v>
      </c>
      <c r="D2593" s="17">
        <v>42331</v>
      </c>
      <c r="E2593" t="s">
        <v>1642</v>
      </c>
    </row>
    <row r="2594" spans="3:5">
      <c r="C2594">
        <v>17.940000000000001</v>
      </c>
      <c r="D2594" s="17">
        <v>42342</v>
      </c>
      <c r="E2594" t="s">
        <v>1253</v>
      </c>
    </row>
    <row r="2595" spans="3:5">
      <c r="C2595">
        <v>17.940000000000001</v>
      </c>
      <c r="D2595" s="17">
        <v>42363</v>
      </c>
      <c r="E2595" t="s">
        <v>147</v>
      </c>
    </row>
    <row r="2596" spans="3:5">
      <c r="C2596">
        <v>17.940000000000001</v>
      </c>
      <c r="D2596" s="17">
        <v>42438</v>
      </c>
      <c r="E2596" t="s">
        <v>1667</v>
      </c>
    </row>
    <row r="2597" spans="3:5">
      <c r="C2597">
        <v>17.940000000000001</v>
      </c>
      <c r="D2597" s="17">
        <v>42498</v>
      </c>
      <c r="E2597" t="s">
        <v>1756</v>
      </c>
    </row>
    <row r="2598" spans="3:5">
      <c r="C2598">
        <v>17.940000000000001</v>
      </c>
      <c r="D2598" s="17">
        <v>42508</v>
      </c>
      <c r="E2598" t="s">
        <v>1608</v>
      </c>
    </row>
    <row r="2599" spans="3:5">
      <c r="C2599">
        <v>17.940000000000001</v>
      </c>
      <c r="D2599" s="17">
        <v>42597</v>
      </c>
      <c r="E2599" t="s">
        <v>1716</v>
      </c>
    </row>
    <row r="2600" spans="3:5">
      <c r="C2600">
        <v>17.940000000000001</v>
      </c>
      <c r="D2600" s="17">
        <v>42640</v>
      </c>
      <c r="E2600" t="s">
        <v>1676</v>
      </c>
    </row>
    <row r="2601" spans="3:5">
      <c r="C2601">
        <v>17.940000000000001</v>
      </c>
      <c r="D2601" s="17">
        <v>42779</v>
      </c>
      <c r="E2601" t="s">
        <v>236</v>
      </c>
    </row>
    <row r="2602" spans="3:5">
      <c r="C2602">
        <v>17.940000000000001</v>
      </c>
      <c r="D2602" s="17">
        <v>42901</v>
      </c>
      <c r="E2602" t="s">
        <v>844</v>
      </c>
    </row>
    <row r="2603" spans="3:5">
      <c r="C2603">
        <v>17.940000000000001</v>
      </c>
      <c r="D2603" s="17">
        <v>43000</v>
      </c>
      <c r="E2603" t="s">
        <v>1251</v>
      </c>
    </row>
    <row r="2604" spans="3:5">
      <c r="C2604">
        <v>17.940000000000001</v>
      </c>
      <c r="D2604" s="17">
        <v>43080</v>
      </c>
      <c r="E2604" t="s">
        <v>1266</v>
      </c>
    </row>
    <row r="2605" spans="3:5">
      <c r="C2605">
        <v>17.96</v>
      </c>
      <c r="D2605" s="17">
        <v>41782</v>
      </c>
      <c r="E2605" t="s">
        <v>353</v>
      </c>
    </row>
    <row r="2606" spans="3:5">
      <c r="C2606">
        <v>17.96</v>
      </c>
      <c r="D2606" s="17">
        <v>41868</v>
      </c>
      <c r="E2606" t="s">
        <v>353</v>
      </c>
    </row>
    <row r="2607" spans="3:5">
      <c r="C2607">
        <v>17.97</v>
      </c>
      <c r="D2607" s="17">
        <v>42876</v>
      </c>
      <c r="E2607" t="s">
        <v>742</v>
      </c>
    </row>
    <row r="2608" spans="3:5">
      <c r="C2608">
        <v>18</v>
      </c>
      <c r="D2608" s="17">
        <v>42394</v>
      </c>
      <c r="E2608" t="s">
        <v>1141</v>
      </c>
    </row>
    <row r="2609" spans="3:5">
      <c r="C2609">
        <v>18</v>
      </c>
      <c r="D2609" s="17">
        <v>42994</v>
      </c>
      <c r="E2609" t="s">
        <v>1212</v>
      </c>
    </row>
    <row r="2610" spans="3:5">
      <c r="C2610">
        <v>18.060000000000002</v>
      </c>
      <c r="D2610" s="17">
        <v>41799</v>
      </c>
      <c r="E2610" t="s">
        <v>1140</v>
      </c>
    </row>
    <row r="2611" spans="3:5">
      <c r="C2611">
        <v>18.088000000000001</v>
      </c>
      <c r="D2611" s="17">
        <v>41741</v>
      </c>
      <c r="E2611" t="s">
        <v>1474</v>
      </c>
    </row>
    <row r="2612" spans="3:5">
      <c r="C2612">
        <v>18.088000000000001</v>
      </c>
      <c r="D2612" s="17">
        <v>42483</v>
      </c>
      <c r="E2612" t="s">
        <v>1474</v>
      </c>
    </row>
    <row r="2613" spans="3:5">
      <c r="C2613">
        <v>18.16</v>
      </c>
      <c r="D2613" s="17">
        <v>42660</v>
      </c>
      <c r="E2613" t="s">
        <v>410</v>
      </c>
    </row>
    <row r="2614" spans="3:5">
      <c r="C2614">
        <v>18.16</v>
      </c>
      <c r="D2614" s="17">
        <v>42761</v>
      </c>
      <c r="E2614" t="s">
        <v>163</v>
      </c>
    </row>
    <row r="2615" spans="3:5">
      <c r="C2615">
        <v>18.16</v>
      </c>
      <c r="D2615" s="17">
        <v>43045</v>
      </c>
      <c r="E2615" t="s">
        <v>163</v>
      </c>
    </row>
    <row r="2616" spans="3:5">
      <c r="C2616">
        <v>18.175999999999998</v>
      </c>
      <c r="D2616" s="17">
        <v>42329</v>
      </c>
      <c r="E2616" t="s">
        <v>1321</v>
      </c>
    </row>
    <row r="2617" spans="3:5">
      <c r="C2617">
        <v>18.175999999999998</v>
      </c>
      <c r="D2617" s="17">
        <v>43021</v>
      </c>
      <c r="E2617" t="s">
        <v>1313</v>
      </c>
    </row>
    <row r="2618" spans="3:5">
      <c r="C2618">
        <v>18.180000000000003</v>
      </c>
      <c r="D2618" s="17">
        <v>42997</v>
      </c>
      <c r="E2618" t="s">
        <v>1235</v>
      </c>
    </row>
    <row r="2619" spans="3:5">
      <c r="C2619">
        <v>18.192000000000004</v>
      </c>
      <c r="D2619" s="17">
        <v>42707</v>
      </c>
      <c r="E2619" t="s">
        <v>174</v>
      </c>
    </row>
    <row r="2620" spans="3:5">
      <c r="C2620">
        <v>18.2</v>
      </c>
      <c r="D2620" s="17">
        <v>42127</v>
      </c>
      <c r="E2620" t="s">
        <v>792</v>
      </c>
    </row>
    <row r="2621" spans="3:5">
      <c r="C2621">
        <v>18.239999999999995</v>
      </c>
      <c r="D2621" s="17">
        <v>41780</v>
      </c>
      <c r="E2621" t="s">
        <v>831</v>
      </c>
    </row>
    <row r="2622" spans="3:5">
      <c r="C2622">
        <v>18.240000000000002</v>
      </c>
      <c r="D2622" s="17">
        <v>41994</v>
      </c>
      <c r="E2622" t="s">
        <v>831</v>
      </c>
    </row>
    <row r="2623" spans="3:5">
      <c r="C2623">
        <v>18.240000000000002</v>
      </c>
      <c r="D2623" s="17">
        <v>42924</v>
      </c>
      <c r="E2623" t="s">
        <v>535</v>
      </c>
    </row>
    <row r="2624" spans="3:5">
      <c r="C2624">
        <v>18.240000000000002</v>
      </c>
      <c r="D2624" s="17">
        <v>43017</v>
      </c>
      <c r="E2624" t="s">
        <v>1307</v>
      </c>
    </row>
    <row r="2625" spans="3:5">
      <c r="C2625">
        <v>18.240000000000002</v>
      </c>
      <c r="D2625" s="17">
        <v>43041</v>
      </c>
      <c r="E2625" t="s">
        <v>74</v>
      </c>
    </row>
    <row r="2626" spans="3:5">
      <c r="C2626">
        <v>18.240000000000002</v>
      </c>
      <c r="D2626" s="17">
        <v>43050</v>
      </c>
      <c r="E2626" t="s">
        <v>1404</v>
      </c>
    </row>
    <row r="2627" spans="3:5">
      <c r="C2627">
        <v>18.240000000000002</v>
      </c>
      <c r="D2627" s="17">
        <v>43051</v>
      </c>
      <c r="E2627" t="s">
        <v>74</v>
      </c>
    </row>
    <row r="2628" spans="3:5">
      <c r="C2628">
        <v>18.240000000000002</v>
      </c>
      <c r="D2628" s="17">
        <v>43079</v>
      </c>
      <c r="E2628" t="s">
        <v>359</v>
      </c>
    </row>
    <row r="2629" spans="3:5">
      <c r="C2629">
        <v>18.264000000000003</v>
      </c>
      <c r="D2629" s="17">
        <v>41922</v>
      </c>
      <c r="E2629" t="s">
        <v>1129</v>
      </c>
    </row>
    <row r="2630" spans="3:5">
      <c r="C2630">
        <v>18.264000000000003</v>
      </c>
      <c r="D2630" s="17">
        <v>41999</v>
      </c>
      <c r="E2630" t="s">
        <v>517</v>
      </c>
    </row>
    <row r="2631" spans="3:5">
      <c r="C2631">
        <v>18.264000000000003</v>
      </c>
      <c r="D2631" s="17">
        <v>42163</v>
      </c>
      <c r="E2631" t="s">
        <v>1129</v>
      </c>
    </row>
    <row r="2632" spans="3:5">
      <c r="C2632">
        <v>18.272000000000002</v>
      </c>
      <c r="D2632" s="17">
        <v>42150</v>
      </c>
      <c r="E2632" t="s">
        <v>898</v>
      </c>
    </row>
    <row r="2633" spans="3:5">
      <c r="C2633">
        <v>18.28</v>
      </c>
      <c r="D2633" s="17">
        <v>41831</v>
      </c>
      <c r="E2633" t="s">
        <v>1170</v>
      </c>
    </row>
    <row r="2634" spans="3:5">
      <c r="C2634">
        <v>18.28</v>
      </c>
      <c r="D2634" s="17">
        <v>42765</v>
      </c>
      <c r="E2634" t="s">
        <v>183</v>
      </c>
    </row>
    <row r="2635" spans="3:5">
      <c r="C2635">
        <v>18.28</v>
      </c>
      <c r="D2635" s="17">
        <v>42847</v>
      </c>
      <c r="E2635" t="s">
        <v>577</v>
      </c>
    </row>
    <row r="2636" spans="3:5">
      <c r="C2636">
        <v>18.28</v>
      </c>
      <c r="D2636" s="17">
        <v>42869</v>
      </c>
      <c r="E2636" t="s">
        <v>577</v>
      </c>
    </row>
    <row r="2637" spans="3:5">
      <c r="C2637">
        <v>18.288</v>
      </c>
      <c r="D2637" s="17">
        <v>41755</v>
      </c>
      <c r="E2637" t="s">
        <v>254</v>
      </c>
    </row>
    <row r="2638" spans="3:5">
      <c r="C2638">
        <v>18.288</v>
      </c>
      <c r="D2638" s="17">
        <v>42897</v>
      </c>
      <c r="E2638" t="s">
        <v>227</v>
      </c>
    </row>
    <row r="2639" spans="3:5">
      <c r="C2639">
        <v>18.312000000000001</v>
      </c>
      <c r="D2639" s="17">
        <v>42162</v>
      </c>
      <c r="E2639" t="s">
        <v>1188</v>
      </c>
    </row>
    <row r="2640" spans="3:5">
      <c r="C2640">
        <v>18.312000000000001</v>
      </c>
      <c r="D2640" s="17">
        <v>42992</v>
      </c>
      <c r="E2640" t="s">
        <v>1188</v>
      </c>
    </row>
    <row r="2641" spans="3:5">
      <c r="C2641">
        <v>18.319999999999997</v>
      </c>
      <c r="D2641" s="17">
        <v>42878</v>
      </c>
      <c r="E2641" t="s">
        <v>748</v>
      </c>
    </row>
    <row r="2642" spans="3:5">
      <c r="C2642">
        <v>18.335999999999999</v>
      </c>
      <c r="D2642" s="17">
        <v>42749</v>
      </c>
      <c r="E2642" t="s">
        <v>89</v>
      </c>
    </row>
    <row r="2643" spans="3:5">
      <c r="C2643">
        <v>18.335999999999999</v>
      </c>
      <c r="D2643" s="17">
        <v>43050</v>
      </c>
      <c r="E2643" t="s">
        <v>878</v>
      </c>
    </row>
    <row r="2644" spans="3:5">
      <c r="C2644">
        <v>18.336000000000002</v>
      </c>
      <c r="D2644" s="17">
        <v>41672</v>
      </c>
      <c r="E2644" t="s">
        <v>598</v>
      </c>
    </row>
    <row r="2645" spans="3:5">
      <c r="C2645">
        <v>18.368000000000002</v>
      </c>
      <c r="D2645" s="17">
        <v>42782</v>
      </c>
      <c r="E2645" t="s">
        <v>241</v>
      </c>
    </row>
    <row r="2646" spans="3:5">
      <c r="C2646">
        <v>18.368000000000002</v>
      </c>
      <c r="D2646" s="17">
        <v>43042</v>
      </c>
      <c r="E2646" t="s">
        <v>1072</v>
      </c>
    </row>
    <row r="2647" spans="3:5">
      <c r="C2647">
        <v>18.391999999999999</v>
      </c>
      <c r="D2647" s="17">
        <v>42085</v>
      </c>
      <c r="E2647" t="s">
        <v>1135</v>
      </c>
    </row>
    <row r="2648" spans="3:5">
      <c r="C2648">
        <v>18.431999999999999</v>
      </c>
      <c r="D2648" s="17">
        <v>42356</v>
      </c>
      <c r="E2648" t="s">
        <v>1797</v>
      </c>
    </row>
    <row r="2649" spans="3:5">
      <c r="C2649">
        <v>18.432000000000002</v>
      </c>
      <c r="D2649" s="17">
        <v>42610</v>
      </c>
      <c r="E2649" t="s">
        <v>1401</v>
      </c>
    </row>
    <row r="2650" spans="3:5">
      <c r="C2650">
        <v>18.45</v>
      </c>
      <c r="D2650" s="17">
        <v>42544</v>
      </c>
      <c r="E2650" t="s">
        <v>1318</v>
      </c>
    </row>
    <row r="2651" spans="3:5">
      <c r="C2651">
        <v>18.45</v>
      </c>
      <c r="D2651" s="17">
        <v>43091</v>
      </c>
      <c r="E2651" t="s">
        <v>557</v>
      </c>
    </row>
    <row r="2652" spans="3:5">
      <c r="C2652">
        <v>18.463999999999999</v>
      </c>
      <c r="D2652" s="17">
        <v>41905</v>
      </c>
      <c r="E2652" t="s">
        <v>374</v>
      </c>
    </row>
    <row r="2653" spans="3:5">
      <c r="C2653">
        <v>18.463999999999999</v>
      </c>
      <c r="D2653" s="17">
        <v>42535</v>
      </c>
      <c r="E2653" t="s">
        <v>573</v>
      </c>
    </row>
    <row r="2654" spans="3:5">
      <c r="C2654">
        <v>18.48</v>
      </c>
      <c r="D2654" s="17">
        <v>42693</v>
      </c>
      <c r="E2654" t="s">
        <v>392</v>
      </c>
    </row>
    <row r="2655" spans="3:5">
      <c r="C2655">
        <v>18.496000000000002</v>
      </c>
      <c r="D2655" s="17">
        <v>42199</v>
      </c>
      <c r="E2655" t="s">
        <v>1255</v>
      </c>
    </row>
    <row r="2656" spans="3:5">
      <c r="C2656">
        <v>18.496000000000002</v>
      </c>
      <c r="D2656" s="17">
        <v>42521</v>
      </c>
      <c r="E2656" t="s">
        <v>1255</v>
      </c>
    </row>
    <row r="2657" spans="3:5">
      <c r="C2657">
        <v>18.496000000000002</v>
      </c>
      <c r="D2657" s="17">
        <v>42569</v>
      </c>
      <c r="E2657" t="s">
        <v>408</v>
      </c>
    </row>
    <row r="2658" spans="3:5">
      <c r="C2658">
        <v>18.496000000000002</v>
      </c>
      <c r="D2658" s="17">
        <v>42694</v>
      </c>
      <c r="E2658" t="s">
        <v>822</v>
      </c>
    </row>
    <row r="2659" spans="3:5">
      <c r="C2659">
        <v>18.504000000000001</v>
      </c>
      <c r="D2659" s="17">
        <v>41799</v>
      </c>
      <c r="E2659" t="s">
        <v>185</v>
      </c>
    </row>
    <row r="2660" spans="3:5">
      <c r="C2660">
        <v>18.527999999999995</v>
      </c>
      <c r="D2660" s="17">
        <v>42499</v>
      </c>
      <c r="E2660" t="s">
        <v>297</v>
      </c>
    </row>
    <row r="2661" spans="3:5">
      <c r="C2661">
        <v>18.528000000000002</v>
      </c>
      <c r="D2661" s="17">
        <v>42041</v>
      </c>
      <c r="E2661" t="s">
        <v>1175</v>
      </c>
    </row>
    <row r="2662" spans="3:5">
      <c r="C2662">
        <v>18.528000000000002</v>
      </c>
      <c r="D2662" s="17">
        <v>42796</v>
      </c>
      <c r="E2662" t="s">
        <v>297</v>
      </c>
    </row>
    <row r="2663" spans="3:5">
      <c r="C2663">
        <v>18.528000000000002</v>
      </c>
      <c r="D2663" s="17">
        <v>43024</v>
      </c>
      <c r="E2663" t="s">
        <v>1175</v>
      </c>
    </row>
    <row r="2664" spans="3:5">
      <c r="C2664">
        <v>18.54</v>
      </c>
      <c r="D2664" s="17">
        <v>42265</v>
      </c>
      <c r="E2664" t="s">
        <v>854</v>
      </c>
    </row>
    <row r="2665" spans="3:5">
      <c r="C2665">
        <v>18.54</v>
      </c>
      <c r="D2665" s="17">
        <v>42339</v>
      </c>
      <c r="E2665" t="s">
        <v>854</v>
      </c>
    </row>
    <row r="2666" spans="3:5">
      <c r="C2666">
        <v>18.54</v>
      </c>
      <c r="D2666" s="17">
        <v>42714</v>
      </c>
      <c r="E2666" t="s">
        <v>854</v>
      </c>
    </row>
    <row r="2667" spans="3:5">
      <c r="C2667">
        <v>18.54</v>
      </c>
      <c r="D2667" s="17">
        <v>42902</v>
      </c>
      <c r="E2667" t="s">
        <v>854</v>
      </c>
    </row>
    <row r="2668" spans="3:5">
      <c r="C2668">
        <v>18.544</v>
      </c>
      <c r="D2668" s="17">
        <v>43051</v>
      </c>
      <c r="E2668" t="s">
        <v>389</v>
      </c>
    </row>
    <row r="2669" spans="3:5">
      <c r="C2669">
        <v>18.559999999999999</v>
      </c>
      <c r="D2669" s="17">
        <v>42421</v>
      </c>
      <c r="E2669" t="s">
        <v>569</v>
      </c>
    </row>
    <row r="2670" spans="3:5">
      <c r="C2670">
        <v>18.588000000000005</v>
      </c>
      <c r="D2670" s="17">
        <v>41655</v>
      </c>
      <c r="E2670" t="s">
        <v>612</v>
      </c>
    </row>
    <row r="2671" spans="3:5">
      <c r="C2671">
        <v>18.588000000000005</v>
      </c>
      <c r="D2671" s="17">
        <v>42138</v>
      </c>
      <c r="E2671" t="s">
        <v>612</v>
      </c>
    </row>
    <row r="2672" spans="3:5">
      <c r="C2672">
        <v>18.62</v>
      </c>
      <c r="D2672" s="17">
        <v>41703</v>
      </c>
      <c r="E2672" t="s">
        <v>744</v>
      </c>
    </row>
    <row r="2673" spans="3:5">
      <c r="C2673">
        <v>18.624000000000002</v>
      </c>
      <c r="D2673" s="17">
        <v>42477</v>
      </c>
      <c r="E2673" t="s">
        <v>404</v>
      </c>
    </row>
    <row r="2674" spans="3:5">
      <c r="C2674">
        <v>18.648000000000003</v>
      </c>
      <c r="D2674" s="17">
        <v>41895</v>
      </c>
      <c r="E2674" t="s">
        <v>450</v>
      </c>
    </row>
    <row r="2675" spans="3:5">
      <c r="C2675">
        <v>18.656000000000002</v>
      </c>
      <c r="D2675" s="17">
        <v>42453</v>
      </c>
      <c r="E2675" t="s">
        <v>1591</v>
      </c>
    </row>
    <row r="2676" spans="3:5">
      <c r="C2676">
        <v>18.656000000000002</v>
      </c>
      <c r="D2676" s="17">
        <v>42572</v>
      </c>
      <c r="E2676" t="s">
        <v>1232</v>
      </c>
    </row>
    <row r="2677" spans="3:5">
      <c r="C2677">
        <v>18.687999999999999</v>
      </c>
      <c r="D2677" s="17">
        <v>42722</v>
      </c>
      <c r="E2677" t="s">
        <v>167</v>
      </c>
    </row>
    <row r="2678" spans="3:5">
      <c r="C2678">
        <v>18.687999999999999</v>
      </c>
      <c r="D2678" s="17">
        <v>42848</v>
      </c>
      <c r="E2678" t="s">
        <v>79</v>
      </c>
    </row>
    <row r="2679" spans="3:5">
      <c r="C2679">
        <v>18.687999999999999</v>
      </c>
      <c r="D2679" s="17">
        <v>43064</v>
      </c>
      <c r="E2679" t="s">
        <v>1304</v>
      </c>
    </row>
    <row r="2680" spans="3:5">
      <c r="C2680">
        <v>18.689999999999998</v>
      </c>
      <c r="D2680" s="17">
        <v>42402</v>
      </c>
      <c r="E2680" t="s">
        <v>775</v>
      </c>
    </row>
    <row r="2681" spans="3:5">
      <c r="C2681">
        <v>18.689999999999998</v>
      </c>
      <c r="D2681" s="17">
        <v>42615</v>
      </c>
      <c r="E2681" t="s">
        <v>642</v>
      </c>
    </row>
    <row r="2682" spans="3:5">
      <c r="C2682">
        <v>18.689999999999998</v>
      </c>
      <c r="D2682" s="17">
        <v>42710</v>
      </c>
      <c r="E2682" t="s">
        <v>642</v>
      </c>
    </row>
    <row r="2683" spans="3:5">
      <c r="C2683">
        <v>18.690000000000001</v>
      </c>
      <c r="D2683" s="17">
        <v>42799</v>
      </c>
      <c r="E2683" t="s">
        <v>315</v>
      </c>
    </row>
    <row r="2684" spans="3:5">
      <c r="C2684">
        <v>18.693000000000001</v>
      </c>
      <c r="D2684" s="17">
        <v>42716</v>
      </c>
      <c r="E2684" t="s">
        <v>133</v>
      </c>
    </row>
    <row r="2685" spans="3:5">
      <c r="C2685">
        <v>18.7</v>
      </c>
      <c r="D2685" s="17">
        <v>43058</v>
      </c>
      <c r="E2685" t="s">
        <v>1440</v>
      </c>
    </row>
    <row r="2686" spans="3:5">
      <c r="C2686">
        <v>18.704000000000001</v>
      </c>
      <c r="D2686" s="17">
        <v>43087</v>
      </c>
      <c r="E2686" t="s">
        <v>1060</v>
      </c>
    </row>
    <row r="2687" spans="3:5">
      <c r="C2687">
        <v>18.72</v>
      </c>
      <c r="D2687" s="17">
        <v>42730</v>
      </c>
      <c r="E2687" t="s">
        <v>202</v>
      </c>
    </row>
    <row r="2688" spans="3:5">
      <c r="C2688">
        <v>18.72</v>
      </c>
      <c r="D2688" s="17">
        <v>42756</v>
      </c>
      <c r="E2688" t="s">
        <v>136</v>
      </c>
    </row>
    <row r="2689" spans="3:5">
      <c r="C2689">
        <v>18.72</v>
      </c>
      <c r="D2689" s="17">
        <v>42980</v>
      </c>
      <c r="E2689" t="s">
        <v>136</v>
      </c>
    </row>
    <row r="2690" spans="3:5">
      <c r="C2690">
        <v>18.75</v>
      </c>
      <c r="D2690" s="17">
        <v>41724</v>
      </c>
      <c r="E2690" t="s">
        <v>1359</v>
      </c>
    </row>
    <row r="2691" spans="3:5">
      <c r="C2691">
        <v>18.75</v>
      </c>
      <c r="D2691" s="17">
        <v>41931</v>
      </c>
      <c r="E2691" t="s">
        <v>1024</v>
      </c>
    </row>
    <row r="2692" spans="3:5">
      <c r="C2692">
        <v>18.75</v>
      </c>
      <c r="D2692" s="17">
        <v>42811</v>
      </c>
      <c r="E2692" t="s">
        <v>377</v>
      </c>
    </row>
    <row r="2693" spans="3:5">
      <c r="C2693">
        <v>18.760000000000002</v>
      </c>
      <c r="D2693" s="17">
        <v>42749</v>
      </c>
      <c r="E2693" t="s">
        <v>98</v>
      </c>
    </row>
    <row r="2694" spans="3:5">
      <c r="C2694">
        <v>18.760000000000002</v>
      </c>
      <c r="D2694" s="17">
        <v>42988</v>
      </c>
      <c r="E2694" t="s">
        <v>470</v>
      </c>
    </row>
    <row r="2695" spans="3:5">
      <c r="C2695">
        <v>18.84</v>
      </c>
      <c r="D2695" s="17">
        <v>41699</v>
      </c>
      <c r="E2695" t="s">
        <v>770</v>
      </c>
    </row>
    <row r="2696" spans="3:5">
      <c r="C2696">
        <v>18.84</v>
      </c>
      <c r="D2696" s="17">
        <v>42405</v>
      </c>
      <c r="E2696" t="s">
        <v>1785</v>
      </c>
    </row>
    <row r="2697" spans="3:5">
      <c r="C2697">
        <v>18.84</v>
      </c>
      <c r="D2697" s="17">
        <v>42722</v>
      </c>
      <c r="E2697" t="s">
        <v>753</v>
      </c>
    </row>
    <row r="2698" spans="3:5">
      <c r="C2698">
        <v>18.84</v>
      </c>
      <c r="D2698" s="17">
        <v>42880</v>
      </c>
      <c r="E2698" t="s">
        <v>753</v>
      </c>
    </row>
    <row r="2699" spans="3:5">
      <c r="C2699">
        <v>18.84</v>
      </c>
      <c r="D2699" s="17">
        <v>42926</v>
      </c>
      <c r="E2699" t="s">
        <v>950</v>
      </c>
    </row>
    <row r="2700" spans="3:5">
      <c r="C2700">
        <v>18.84</v>
      </c>
      <c r="D2700" s="17">
        <v>42930</v>
      </c>
      <c r="E2700" t="s">
        <v>789</v>
      </c>
    </row>
    <row r="2701" spans="3:5">
      <c r="C2701">
        <v>18.84</v>
      </c>
      <c r="D2701" s="17">
        <v>43066</v>
      </c>
      <c r="E2701" t="s">
        <v>753</v>
      </c>
    </row>
    <row r="2702" spans="3:5">
      <c r="C2702">
        <v>18.864000000000001</v>
      </c>
      <c r="D2702" s="17">
        <v>42083</v>
      </c>
      <c r="E2702" t="s">
        <v>74</v>
      </c>
    </row>
    <row r="2703" spans="3:5">
      <c r="C2703">
        <v>18.882000000000005</v>
      </c>
      <c r="D2703" s="17">
        <v>42597</v>
      </c>
      <c r="E2703" t="s">
        <v>567</v>
      </c>
    </row>
    <row r="2704" spans="3:5">
      <c r="C2704">
        <v>18.899999999999999</v>
      </c>
      <c r="D2704" s="17">
        <v>41733</v>
      </c>
      <c r="E2704" t="s">
        <v>1121</v>
      </c>
    </row>
    <row r="2705" spans="3:5">
      <c r="C2705">
        <v>18.899999999999999</v>
      </c>
      <c r="D2705" s="17">
        <v>41911</v>
      </c>
      <c r="E2705" t="s">
        <v>513</v>
      </c>
    </row>
    <row r="2706" spans="3:5">
      <c r="C2706">
        <v>18.899999999999999</v>
      </c>
      <c r="D2706" s="17">
        <v>42004</v>
      </c>
      <c r="E2706" t="s">
        <v>1683</v>
      </c>
    </row>
    <row r="2707" spans="3:5">
      <c r="C2707">
        <v>18.899999999999999</v>
      </c>
      <c r="D2707" s="17">
        <v>42324</v>
      </c>
      <c r="E2707" t="s">
        <v>1683</v>
      </c>
    </row>
    <row r="2708" spans="3:5">
      <c r="C2708">
        <v>18.899999999999999</v>
      </c>
      <c r="D2708" s="17">
        <v>42534</v>
      </c>
      <c r="E2708" t="s">
        <v>1683</v>
      </c>
    </row>
    <row r="2709" spans="3:5">
      <c r="C2709">
        <v>18.899999999999999</v>
      </c>
      <c r="D2709" s="17">
        <v>42579</v>
      </c>
      <c r="E2709" t="s">
        <v>1057</v>
      </c>
    </row>
    <row r="2710" spans="3:5">
      <c r="C2710">
        <v>18.899999999999999</v>
      </c>
      <c r="D2710" s="17">
        <v>42636</v>
      </c>
      <c r="E2710" t="s">
        <v>1683</v>
      </c>
    </row>
    <row r="2711" spans="3:5">
      <c r="C2711">
        <v>18.899999999999999</v>
      </c>
      <c r="D2711" s="17">
        <v>42980</v>
      </c>
      <c r="E2711" t="s">
        <v>1121</v>
      </c>
    </row>
    <row r="2712" spans="3:5">
      <c r="C2712">
        <v>18.920000000000002</v>
      </c>
      <c r="D2712" s="17">
        <v>42724</v>
      </c>
      <c r="E2712" t="s">
        <v>715</v>
      </c>
    </row>
    <row r="2713" spans="3:5">
      <c r="C2713">
        <v>18.936</v>
      </c>
      <c r="D2713" s="17">
        <v>41716</v>
      </c>
      <c r="E2713" t="s">
        <v>74</v>
      </c>
    </row>
    <row r="2714" spans="3:5">
      <c r="C2714">
        <v>18.936</v>
      </c>
      <c r="D2714" s="17">
        <v>42492</v>
      </c>
      <c r="E2714" t="s">
        <v>1234</v>
      </c>
    </row>
    <row r="2715" spans="3:5">
      <c r="C2715">
        <v>18.936</v>
      </c>
      <c r="D2715" s="17">
        <v>43015</v>
      </c>
      <c r="E2715" t="s">
        <v>74</v>
      </c>
    </row>
    <row r="2716" spans="3:5">
      <c r="C2716">
        <v>18.940000000000001</v>
      </c>
      <c r="D2716" s="17">
        <v>41925</v>
      </c>
      <c r="E2716" t="s">
        <v>526</v>
      </c>
    </row>
    <row r="2717" spans="3:5">
      <c r="C2717">
        <v>18.96</v>
      </c>
      <c r="D2717" s="17">
        <v>42635</v>
      </c>
      <c r="E2717" t="s">
        <v>584</v>
      </c>
    </row>
    <row r="2718" spans="3:5">
      <c r="C2718">
        <v>18.96</v>
      </c>
      <c r="D2718" s="17">
        <v>42749</v>
      </c>
      <c r="E2718" t="s">
        <v>102</v>
      </c>
    </row>
    <row r="2719" spans="3:5">
      <c r="C2719">
        <v>18.96</v>
      </c>
      <c r="D2719" s="17">
        <v>43085</v>
      </c>
      <c r="E2719" t="s">
        <v>584</v>
      </c>
    </row>
    <row r="2720" spans="3:5">
      <c r="C2720">
        <v>18.96</v>
      </c>
      <c r="D2720" s="17">
        <v>43087</v>
      </c>
      <c r="E2720" t="s">
        <v>102</v>
      </c>
    </row>
    <row r="2721" spans="3:5">
      <c r="C2721">
        <v>18.97</v>
      </c>
      <c r="D2721" s="17">
        <v>42642</v>
      </c>
      <c r="E2721" t="s">
        <v>181</v>
      </c>
    </row>
    <row r="2722" spans="3:5">
      <c r="C2722">
        <v>18.98</v>
      </c>
      <c r="D2722" s="17">
        <v>43017</v>
      </c>
      <c r="E2722" t="s">
        <v>1306</v>
      </c>
    </row>
    <row r="2723" spans="3:5">
      <c r="C2723">
        <v>19</v>
      </c>
      <c r="D2723" s="17">
        <v>42190</v>
      </c>
      <c r="E2723" t="s">
        <v>1307</v>
      </c>
    </row>
    <row r="2724" spans="3:5">
      <c r="C2724">
        <v>19.008000000000003</v>
      </c>
      <c r="D2724" s="17">
        <v>41737</v>
      </c>
      <c r="E2724" t="s">
        <v>726</v>
      </c>
    </row>
    <row r="2725" spans="3:5">
      <c r="C2725">
        <v>19.008000000000003</v>
      </c>
      <c r="D2725" s="17">
        <v>43063</v>
      </c>
      <c r="E2725" t="s">
        <v>698</v>
      </c>
    </row>
    <row r="2726" spans="3:5">
      <c r="C2726">
        <v>19.04</v>
      </c>
      <c r="D2726" s="17">
        <v>42898</v>
      </c>
      <c r="E2726" t="s">
        <v>833</v>
      </c>
    </row>
    <row r="2727" spans="3:5">
      <c r="C2727">
        <v>19.040000000000003</v>
      </c>
      <c r="D2727" s="17">
        <v>42713</v>
      </c>
      <c r="E2727" t="s">
        <v>1142</v>
      </c>
    </row>
    <row r="2728" spans="3:5">
      <c r="C2728">
        <v>19.040000000000003</v>
      </c>
      <c r="D2728" s="17">
        <v>42982</v>
      </c>
      <c r="E2728" t="s">
        <v>1142</v>
      </c>
    </row>
    <row r="2729" spans="3:5">
      <c r="C2729">
        <v>19.049999999999997</v>
      </c>
      <c r="D2729" s="17">
        <v>42850</v>
      </c>
      <c r="E2729" t="s">
        <v>105</v>
      </c>
    </row>
    <row r="2730" spans="3:5">
      <c r="C2730">
        <v>19.049999999999997</v>
      </c>
      <c r="D2730" s="17">
        <v>42992</v>
      </c>
      <c r="E2730" t="s">
        <v>105</v>
      </c>
    </row>
    <row r="2731" spans="3:5">
      <c r="C2731">
        <v>19.05</v>
      </c>
      <c r="D2731" s="17">
        <v>41659</v>
      </c>
      <c r="E2731" t="s">
        <v>378</v>
      </c>
    </row>
    <row r="2732" spans="3:5">
      <c r="C2732">
        <v>19.096</v>
      </c>
      <c r="D2732" s="17">
        <v>42694</v>
      </c>
      <c r="E2732" t="s">
        <v>1627</v>
      </c>
    </row>
    <row r="2733" spans="3:5">
      <c r="C2733">
        <v>19.103999999999999</v>
      </c>
      <c r="D2733" s="17">
        <v>43079</v>
      </c>
      <c r="E2733" t="s">
        <v>491</v>
      </c>
    </row>
    <row r="2734" spans="3:5">
      <c r="C2734">
        <v>19.136000000000003</v>
      </c>
      <c r="D2734" s="17">
        <v>41926</v>
      </c>
      <c r="E2734" t="s">
        <v>236</v>
      </c>
    </row>
    <row r="2735" spans="3:5">
      <c r="C2735">
        <v>19.136000000000003</v>
      </c>
      <c r="D2735" s="17">
        <v>42499</v>
      </c>
      <c r="E2735" t="s">
        <v>1224</v>
      </c>
    </row>
    <row r="2736" spans="3:5">
      <c r="C2736">
        <v>19.136000000000003</v>
      </c>
      <c r="D2736" s="17">
        <v>42652</v>
      </c>
      <c r="E2736" t="s">
        <v>220</v>
      </c>
    </row>
    <row r="2737" spans="3:5">
      <c r="C2737">
        <v>19.14</v>
      </c>
      <c r="D2737" s="17">
        <v>42168</v>
      </c>
      <c r="E2737" t="s">
        <v>1680</v>
      </c>
    </row>
    <row r="2738" spans="3:5">
      <c r="C2738">
        <v>19.152000000000001</v>
      </c>
      <c r="D2738" s="17">
        <v>42223</v>
      </c>
      <c r="E2738" t="s">
        <v>1558</v>
      </c>
    </row>
    <row r="2739" spans="3:5">
      <c r="C2739">
        <v>19.152000000000001</v>
      </c>
      <c r="D2739" s="17">
        <v>43014</v>
      </c>
      <c r="E2739" t="s">
        <v>127</v>
      </c>
    </row>
    <row r="2740" spans="3:5">
      <c r="C2740">
        <v>19.168000000000003</v>
      </c>
      <c r="D2740" s="17">
        <v>42867</v>
      </c>
      <c r="E2740" t="s">
        <v>673</v>
      </c>
    </row>
    <row r="2741" spans="3:5">
      <c r="C2741">
        <v>19.194000000000003</v>
      </c>
      <c r="D2741" s="17">
        <v>42147</v>
      </c>
      <c r="E2741" t="s">
        <v>183</v>
      </c>
    </row>
    <row r="2742" spans="3:5">
      <c r="C2742">
        <v>19.242000000000001</v>
      </c>
      <c r="D2742" s="17">
        <v>41945</v>
      </c>
      <c r="E2742" t="s">
        <v>110</v>
      </c>
    </row>
    <row r="2743" spans="3:5">
      <c r="C2743">
        <v>19.295999999999999</v>
      </c>
      <c r="D2743" s="17">
        <v>41943</v>
      </c>
      <c r="E2743" t="s">
        <v>761</v>
      </c>
    </row>
    <row r="2744" spans="3:5">
      <c r="C2744">
        <v>19.295999999999999</v>
      </c>
      <c r="D2744" s="17">
        <v>42559</v>
      </c>
      <c r="E2744" t="s">
        <v>761</v>
      </c>
    </row>
    <row r="2745" spans="3:5">
      <c r="C2745">
        <v>19.295999999999999</v>
      </c>
      <c r="D2745" s="17">
        <v>42663</v>
      </c>
      <c r="E2745" t="s">
        <v>761</v>
      </c>
    </row>
    <row r="2746" spans="3:5">
      <c r="C2746">
        <v>19.3</v>
      </c>
      <c r="D2746" s="17">
        <v>41659</v>
      </c>
      <c r="E2746" t="s">
        <v>1855</v>
      </c>
    </row>
    <row r="2747" spans="3:5">
      <c r="C2747">
        <v>19.3</v>
      </c>
      <c r="D2747" s="17">
        <v>41969</v>
      </c>
      <c r="E2747" t="s">
        <v>1855</v>
      </c>
    </row>
    <row r="2748" spans="3:5">
      <c r="C2748">
        <v>19.312000000000001</v>
      </c>
      <c r="D2748" s="17">
        <v>42583</v>
      </c>
      <c r="E2748" t="s">
        <v>585</v>
      </c>
    </row>
    <row r="2749" spans="3:5">
      <c r="C2749">
        <v>19.350000000000001</v>
      </c>
      <c r="D2749" s="17">
        <v>41903</v>
      </c>
      <c r="E2749" t="s">
        <v>924</v>
      </c>
    </row>
    <row r="2750" spans="3:5">
      <c r="C2750">
        <v>19.36</v>
      </c>
      <c r="D2750" s="17">
        <v>41659</v>
      </c>
      <c r="E2750" t="s">
        <v>1507</v>
      </c>
    </row>
    <row r="2751" spans="3:5">
      <c r="C2751">
        <v>19.36</v>
      </c>
      <c r="D2751" s="17">
        <v>42515</v>
      </c>
      <c r="E2751" t="s">
        <v>1507</v>
      </c>
    </row>
    <row r="2752" spans="3:5">
      <c r="C2752">
        <v>19.399999999999999</v>
      </c>
      <c r="D2752" s="17">
        <v>42812</v>
      </c>
      <c r="E2752" t="s">
        <v>395</v>
      </c>
    </row>
    <row r="2753" spans="3:5">
      <c r="C2753">
        <v>19.431999999999995</v>
      </c>
      <c r="D2753" s="17">
        <v>41993</v>
      </c>
      <c r="E2753" t="s">
        <v>653</v>
      </c>
    </row>
    <row r="2754" spans="3:5">
      <c r="C2754">
        <v>19.440000000000001</v>
      </c>
      <c r="D2754" s="17">
        <v>41645</v>
      </c>
      <c r="E2754" t="s">
        <v>555</v>
      </c>
    </row>
    <row r="2755" spans="3:5">
      <c r="C2755">
        <v>19.440000000000001</v>
      </c>
      <c r="D2755" s="17">
        <v>41665</v>
      </c>
      <c r="E2755" t="s">
        <v>1150</v>
      </c>
    </row>
    <row r="2756" spans="3:5">
      <c r="C2756">
        <v>19.440000000000001</v>
      </c>
      <c r="D2756" s="17">
        <v>41692</v>
      </c>
      <c r="E2756" t="s">
        <v>1137</v>
      </c>
    </row>
    <row r="2757" spans="3:5">
      <c r="C2757">
        <v>19.440000000000001</v>
      </c>
      <c r="D2757" s="17">
        <v>41733</v>
      </c>
      <c r="E2757" t="s">
        <v>1187</v>
      </c>
    </row>
    <row r="2758" spans="3:5">
      <c r="C2758">
        <v>19.440000000000001</v>
      </c>
      <c r="D2758" s="17">
        <v>41735</v>
      </c>
      <c r="E2758" t="s">
        <v>1436</v>
      </c>
    </row>
    <row r="2759" spans="3:5">
      <c r="C2759">
        <v>19.440000000000001</v>
      </c>
      <c r="D2759" s="17">
        <v>41825</v>
      </c>
      <c r="E2759" t="s">
        <v>1504</v>
      </c>
    </row>
    <row r="2760" spans="3:5">
      <c r="C2760">
        <v>19.440000000000001</v>
      </c>
      <c r="D2760" s="17">
        <v>41874</v>
      </c>
      <c r="E2760" t="s">
        <v>363</v>
      </c>
    </row>
    <row r="2761" spans="3:5">
      <c r="C2761">
        <v>19.440000000000001</v>
      </c>
      <c r="D2761" s="17">
        <v>41908</v>
      </c>
      <c r="E2761" t="s">
        <v>1101</v>
      </c>
    </row>
    <row r="2762" spans="3:5">
      <c r="C2762">
        <v>19.440000000000001</v>
      </c>
      <c r="D2762" s="17">
        <v>41947</v>
      </c>
      <c r="E2762" t="s">
        <v>1048</v>
      </c>
    </row>
    <row r="2763" spans="3:5">
      <c r="C2763">
        <v>19.440000000000001</v>
      </c>
      <c r="D2763" s="17">
        <v>42050</v>
      </c>
      <c r="E2763" t="s">
        <v>1457</v>
      </c>
    </row>
    <row r="2764" spans="3:5">
      <c r="C2764">
        <v>19.440000000000001</v>
      </c>
      <c r="D2764" s="17">
        <v>42071</v>
      </c>
      <c r="E2764" t="s">
        <v>180</v>
      </c>
    </row>
    <row r="2765" spans="3:5">
      <c r="C2765">
        <v>19.440000000000001</v>
      </c>
      <c r="D2765" s="17">
        <v>42077</v>
      </c>
      <c r="E2765" t="s">
        <v>1657</v>
      </c>
    </row>
    <row r="2766" spans="3:5">
      <c r="C2766">
        <v>19.440000000000001</v>
      </c>
      <c r="D2766" s="17">
        <v>42132</v>
      </c>
      <c r="E2766" t="s">
        <v>1592</v>
      </c>
    </row>
    <row r="2767" spans="3:5">
      <c r="C2767">
        <v>19.440000000000001</v>
      </c>
      <c r="D2767" s="17">
        <v>42187</v>
      </c>
      <c r="E2767" t="s">
        <v>1187</v>
      </c>
    </row>
    <row r="2768" spans="3:5">
      <c r="C2768">
        <v>19.440000000000001</v>
      </c>
      <c r="D2768" s="17">
        <v>42216</v>
      </c>
      <c r="E2768" t="s">
        <v>152</v>
      </c>
    </row>
    <row r="2769" spans="3:5">
      <c r="C2769">
        <v>19.440000000000001</v>
      </c>
      <c r="D2769" s="17">
        <v>42279</v>
      </c>
      <c r="E2769" t="s">
        <v>1382</v>
      </c>
    </row>
    <row r="2770" spans="3:5">
      <c r="C2770">
        <v>19.440000000000001</v>
      </c>
      <c r="D2770" s="17">
        <v>42332</v>
      </c>
      <c r="E2770" t="s">
        <v>555</v>
      </c>
    </row>
    <row r="2771" spans="3:5">
      <c r="C2771">
        <v>19.440000000000001</v>
      </c>
      <c r="D2771" s="17">
        <v>42339</v>
      </c>
      <c r="E2771" t="s">
        <v>543</v>
      </c>
    </row>
    <row r="2772" spans="3:5">
      <c r="C2772">
        <v>19.440000000000001</v>
      </c>
      <c r="D2772" s="17">
        <v>42351</v>
      </c>
      <c r="E2772" t="s">
        <v>610</v>
      </c>
    </row>
    <row r="2773" spans="3:5">
      <c r="C2773">
        <v>19.440000000000001</v>
      </c>
      <c r="D2773" s="17">
        <v>42472</v>
      </c>
      <c r="E2773" t="s">
        <v>793</v>
      </c>
    </row>
    <row r="2774" spans="3:5">
      <c r="C2774">
        <v>19.440000000000001</v>
      </c>
      <c r="D2774" s="17">
        <v>42491</v>
      </c>
      <c r="E2774" t="s">
        <v>1762</v>
      </c>
    </row>
    <row r="2775" spans="3:5">
      <c r="C2775">
        <v>19.440000000000001</v>
      </c>
      <c r="D2775" s="17">
        <v>42516</v>
      </c>
      <c r="E2775" t="s">
        <v>1005</v>
      </c>
    </row>
    <row r="2776" spans="3:5">
      <c r="C2776">
        <v>19.440000000000001</v>
      </c>
      <c r="D2776" s="17">
        <v>42604</v>
      </c>
      <c r="E2776" t="s">
        <v>1382</v>
      </c>
    </row>
    <row r="2777" spans="3:5">
      <c r="C2777">
        <v>19.440000000000001</v>
      </c>
      <c r="D2777" s="17">
        <v>42677</v>
      </c>
      <c r="E2777" t="s">
        <v>1457</v>
      </c>
    </row>
    <row r="2778" spans="3:5">
      <c r="C2778">
        <v>19.440000000000001</v>
      </c>
      <c r="D2778" s="17">
        <v>42710</v>
      </c>
      <c r="E2778" t="s">
        <v>933</v>
      </c>
    </row>
    <row r="2779" spans="3:5">
      <c r="C2779">
        <v>19.440000000000001</v>
      </c>
      <c r="D2779" s="17">
        <v>42719</v>
      </c>
      <c r="E2779" t="s">
        <v>1325</v>
      </c>
    </row>
    <row r="2780" spans="3:5">
      <c r="C2780">
        <v>19.440000000000001</v>
      </c>
      <c r="D2780" s="17">
        <v>42898</v>
      </c>
      <c r="E2780" t="s">
        <v>838</v>
      </c>
    </row>
    <row r="2781" spans="3:5">
      <c r="C2781">
        <v>19.440000000000001</v>
      </c>
      <c r="D2781" s="17">
        <v>42902</v>
      </c>
      <c r="E2781" t="s">
        <v>855</v>
      </c>
    </row>
    <row r="2782" spans="3:5">
      <c r="C2782">
        <v>19.440000000000001</v>
      </c>
      <c r="D2782" s="17">
        <v>42913</v>
      </c>
      <c r="E2782" t="s">
        <v>180</v>
      </c>
    </row>
    <row r="2783" spans="3:5">
      <c r="C2783">
        <v>19.440000000000001</v>
      </c>
      <c r="D2783" s="17">
        <v>42966</v>
      </c>
      <c r="E2783" t="s">
        <v>1073</v>
      </c>
    </row>
    <row r="2784" spans="3:5">
      <c r="C2784">
        <v>19.440000000000001</v>
      </c>
      <c r="D2784" s="17">
        <v>42989</v>
      </c>
      <c r="E2784" t="s">
        <v>555</v>
      </c>
    </row>
    <row r="2785" spans="3:5">
      <c r="C2785">
        <v>19.440000000000001</v>
      </c>
      <c r="D2785" s="17">
        <v>42989</v>
      </c>
      <c r="E2785" t="s">
        <v>153</v>
      </c>
    </row>
    <row r="2786" spans="3:5">
      <c r="C2786">
        <v>19.440000000000001</v>
      </c>
      <c r="D2786" s="17">
        <v>42996</v>
      </c>
      <c r="E2786" t="s">
        <v>838</v>
      </c>
    </row>
    <row r="2787" spans="3:5">
      <c r="C2787">
        <v>19.440000000000001</v>
      </c>
      <c r="D2787" s="17">
        <v>43009</v>
      </c>
      <c r="E2787" t="s">
        <v>610</v>
      </c>
    </row>
    <row r="2788" spans="3:5">
      <c r="C2788">
        <v>19.440000000000001</v>
      </c>
      <c r="D2788" s="17">
        <v>43041</v>
      </c>
      <c r="E2788" t="s">
        <v>1137</v>
      </c>
    </row>
    <row r="2789" spans="3:5">
      <c r="C2789">
        <v>19.440000000000001</v>
      </c>
      <c r="D2789" s="17">
        <v>43050</v>
      </c>
      <c r="E2789" t="s">
        <v>756</v>
      </c>
    </row>
    <row r="2790" spans="3:5">
      <c r="C2790">
        <v>19.440000000000001</v>
      </c>
      <c r="D2790" s="17">
        <v>43070</v>
      </c>
      <c r="E2790" t="s">
        <v>369</v>
      </c>
    </row>
    <row r="2791" spans="3:5">
      <c r="C2791">
        <v>19.440000000000001</v>
      </c>
      <c r="D2791" s="17">
        <v>43077</v>
      </c>
      <c r="E2791" t="s">
        <v>1178</v>
      </c>
    </row>
    <row r="2792" spans="3:5">
      <c r="C2792">
        <v>19.440000000000001</v>
      </c>
      <c r="D2792" s="17">
        <v>43093</v>
      </c>
      <c r="E2792" t="s">
        <v>369</v>
      </c>
    </row>
    <row r="2793" spans="3:5">
      <c r="C2793">
        <v>19.456000000000003</v>
      </c>
      <c r="D2793" s="17">
        <v>41697</v>
      </c>
      <c r="E2793" t="s">
        <v>535</v>
      </c>
    </row>
    <row r="2794" spans="3:5">
      <c r="C2794">
        <v>19.456000000000003</v>
      </c>
      <c r="D2794" s="17">
        <v>41701</v>
      </c>
      <c r="E2794" t="s">
        <v>535</v>
      </c>
    </row>
    <row r="2795" spans="3:5">
      <c r="C2795">
        <v>19.456000000000003</v>
      </c>
      <c r="D2795" s="17">
        <v>42615</v>
      </c>
      <c r="E2795" t="s">
        <v>535</v>
      </c>
    </row>
    <row r="2796" spans="3:5">
      <c r="C2796">
        <v>19.456000000000003</v>
      </c>
      <c r="D2796" s="17">
        <v>42807</v>
      </c>
      <c r="E2796" t="s">
        <v>359</v>
      </c>
    </row>
    <row r="2797" spans="3:5">
      <c r="C2797">
        <v>19.459999999999997</v>
      </c>
      <c r="D2797" s="17">
        <v>42328</v>
      </c>
      <c r="E2797" t="s">
        <v>746</v>
      </c>
    </row>
    <row r="2798" spans="3:5">
      <c r="C2798">
        <v>19.459999999999997</v>
      </c>
      <c r="D2798" s="17">
        <v>42713</v>
      </c>
      <c r="E2798" t="s">
        <v>489</v>
      </c>
    </row>
    <row r="2799" spans="3:5">
      <c r="C2799">
        <v>19.52</v>
      </c>
      <c r="D2799" s="17">
        <v>41825</v>
      </c>
      <c r="E2799" t="s">
        <v>472</v>
      </c>
    </row>
    <row r="2800" spans="3:5">
      <c r="C2800">
        <v>19.52</v>
      </c>
      <c r="D2800" s="17">
        <v>42916</v>
      </c>
      <c r="E2800" t="s">
        <v>472</v>
      </c>
    </row>
    <row r="2801" spans="3:5">
      <c r="C2801">
        <v>19.536000000000001</v>
      </c>
      <c r="D2801" s="17">
        <v>41644</v>
      </c>
      <c r="E2801" t="s">
        <v>1197</v>
      </c>
    </row>
    <row r="2802" spans="3:5">
      <c r="C2802">
        <v>19.54</v>
      </c>
      <c r="D2802" s="17">
        <v>42687</v>
      </c>
      <c r="E2802" t="s">
        <v>974</v>
      </c>
    </row>
    <row r="2803" spans="3:5">
      <c r="C2803">
        <v>19.559999999999999</v>
      </c>
      <c r="D2803" s="17">
        <v>42085</v>
      </c>
      <c r="E2803" t="s">
        <v>1760</v>
      </c>
    </row>
    <row r="2804" spans="3:5">
      <c r="C2804">
        <v>19.559999999999999</v>
      </c>
      <c r="D2804" s="17">
        <v>42901</v>
      </c>
      <c r="E2804" t="s">
        <v>841</v>
      </c>
    </row>
    <row r="2805" spans="3:5">
      <c r="C2805">
        <v>19.567999999999998</v>
      </c>
      <c r="D2805" s="17">
        <v>42113</v>
      </c>
      <c r="E2805" t="s">
        <v>1056</v>
      </c>
    </row>
    <row r="2806" spans="3:5">
      <c r="C2806">
        <v>19.600000000000001</v>
      </c>
      <c r="D2806" s="17">
        <v>43098</v>
      </c>
      <c r="E2806" t="s">
        <v>1554</v>
      </c>
    </row>
    <row r="2807" spans="3:5">
      <c r="C2807">
        <v>19.608000000000001</v>
      </c>
      <c r="D2807" s="17">
        <v>43056</v>
      </c>
      <c r="E2807" t="s">
        <v>995</v>
      </c>
    </row>
    <row r="2808" spans="3:5">
      <c r="C2808">
        <v>19.648</v>
      </c>
      <c r="D2808" s="17">
        <v>42583</v>
      </c>
      <c r="E2808" t="s">
        <v>296</v>
      </c>
    </row>
    <row r="2809" spans="3:5">
      <c r="C2809">
        <v>19.648</v>
      </c>
      <c r="D2809" s="17">
        <v>42692</v>
      </c>
      <c r="E2809" t="s">
        <v>122</v>
      </c>
    </row>
    <row r="2810" spans="3:5">
      <c r="C2810">
        <v>19.649999999999999</v>
      </c>
      <c r="D2810" s="17">
        <v>41811</v>
      </c>
      <c r="E2810" t="s">
        <v>1012</v>
      </c>
    </row>
    <row r="2811" spans="3:5">
      <c r="C2811">
        <v>19.649999999999999</v>
      </c>
      <c r="D2811" s="17">
        <v>42328</v>
      </c>
      <c r="E2811" t="s">
        <v>1012</v>
      </c>
    </row>
    <row r="2812" spans="3:5">
      <c r="C2812">
        <v>19.68</v>
      </c>
      <c r="D2812" s="17">
        <v>41715</v>
      </c>
      <c r="E2812" t="s">
        <v>875</v>
      </c>
    </row>
    <row r="2813" spans="3:5">
      <c r="C2813">
        <v>19.68</v>
      </c>
      <c r="D2813" s="17">
        <v>41842</v>
      </c>
      <c r="E2813" t="s">
        <v>943</v>
      </c>
    </row>
    <row r="2814" spans="3:5">
      <c r="C2814">
        <v>19.68</v>
      </c>
      <c r="D2814" s="17">
        <v>42758</v>
      </c>
      <c r="E2814" t="s">
        <v>151</v>
      </c>
    </row>
    <row r="2815" spans="3:5">
      <c r="C2815">
        <v>19.68</v>
      </c>
      <c r="D2815" s="17">
        <v>42810</v>
      </c>
      <c r="E2815" t="s">
        <v>151</v>
      </c>
    </row>
    <row r="2816" spans="3:5">
      <c r="C2816">
        <v>19.68</v>
      </c>
      <c r="D2816" s="17">
        <v>42937</v>
      </c>
      <c r="E2816" t="s">
        <v>875</v>
      </c>
    </row>
    <row r="2817" spans="3:5">
      <c r="C2817">
        <v>19.728000000000002</v>
      </c>
      <c r="D2817" s="17">
        <v>43071</v>
      </c>
      <c r="E2817" t="s">
        <v>1353</v>
      </c>
    </row>
    <row r="2818" spans="3:5">
      <c r="C2818">
        <v>19.75</v>
      </c>
      <c r="D2818" s="17">
        <v>42329</v>
      </c>
      <c r="E2818" t="s">
        <v>1297</v>
      </c>
    </row>
    <row r="2819" spans="3:5">
      <c r="C2819">
        <v>19.752000000000002</v>
      </c>
      <c r="D2819" s="17">
        <v>41852</v>
      </c>
      <c r="E2819" t="s">
        <v>156</v>
      </c>
    </row>
    <row r="2820" spans="3:5">
      <c r="C2820">
        <v>19.760000000000002</v>
      </c>
      <c r="D2820" s="17">
        <v>42985</v>
      </c>
      <c r="E2820" t="s">
        <v>187</v>
      </c>
    </row>
    <row r="2821" spans="3:5">
      <c r="C2821">
        <v>19.760000000000002</v>
      </c>
      <c r="D2821" s="17">
        <v>43010</v>
      </c>
      <c r="E2821" t="s">
        <v>1288</v>
      </c>
    </row>
    <row r="2822" spans="3:5">
      <c r="C2822">
        <v>19.760000000000002</v>
      </c>
      <c r="D2822" s="17">
        <v>43057</v>
      </c>
      <c r="E2822" t="s">
        <v>187</v>
      </c>
    </row>
    <row r="2823" spans="3:5">
      <c r="C2823">
        <v>19.776000000000003</v>
      </c>
      <c r="D2823" s="17">
        <v>42362</v>
      </c>
      <c r="E2823" t="s">
        <v>879</v>
      </c>
    </row>
    <row r="2824" spans="3:5">
      <c r="C2824">
        <v>19.8</v>
      </c>
      <c r="D2824" s="17">
        <v>42124</v>
      </c>
      <c r="E2824" t="s">
        <v>787</v>
      </c>
    </row>
    <row r="2825" spans="3:5">
      <c r="C2825">
        <v>19.824000000000002</v>
      </c>
      <c r="D2825" s="17">
        <v>42313</v>
      </c>
      <c r="E2825" t="s">
        <v>1034</v>
      </c>
    </row>
    <row r="2826" spans="3:5">
      <c r="C2826">
        <v>19.824000000000002</v>
      </c>
      <c r="D2826" s="17">
        <v>42813</v>
      </c>
      <c r="E2826" t="s">
        <v>277</v>
      </c>
    </row>
    <row r="2827" spans="3:5">
      <c r="C2827">
        <v>19.829999999999998</v>
      </c>
      <c r="D2827" s="17">
        <v>42820</v>
      </c>
      <c r="E2827" t="s">
        <v>439</v>
      </c>
    </row>
    <row r="2828" spans="3:5">
      <c r="C2828">
        <v>19.86</v>
      </c>
      <c r="D2828" s="17">
        <v>41889</v>
      </c>
      <c r="E2828" t="s">
        <v>1509</v>
      </c>
    </row>
    <row r="2829" spans="3:5">
      <c r="C2829">
        <v>19.872</v>
      </c>
      <c r="D2829" s="17">
        <v>42365</v>
      </c>
      <c r="E2829" t="s">
        <v>79</v>
      </c>
    </row>
    <row r="2830" spans="3:5">
      <c r="C2830">
        <v>19.89</v>
      </c>
      <c r="D2830" s="17">
        <v>42729</v>
      </c>
      <c r="E2830" t="s">
        <v>1531</v>
      </c>
    </row>
    <row r="2831" spans="3:5">
      <c r="C2831">
        <v>19.899999999999999</v>
      </c>
      <c r="D2831" s="17">
        <v>41652</v>
      </c>
      <c r="E2831" t="s">
        <v>883</v>
      </c>
    </row>
    <row r="2832" spans="3:5">
      <c r="C2832">
        <v>19.899999999999999</v>
      </c>
      <c r="D2832" s="17">
        <v>41884</v>
      </c>
      <c r="E2832" t="s">
        <v>1605</v>
      </c>
    </row>
    <row r="2833" spans="3:5">
      <c r="C2833">
        <v>19.899999999999999</v>
      </c>
      <c r="D2833" s="17">
        <v>42289</v>
      </c>
      <c r="E2833" t="s">
        <v>883</v>
      </c>
    </row>
    <row r="2834" spans="3:5">
      <c r="C2834">
        <v>19.899999999999999</v>
      </c>
      <c r="D2834" s="17">
        <v>43038</v>
      </c>
      <c r="E2834" t="s">
        <v>883</v>
      </c>
    </row>
    <row r="2835" spans="3:5">
      <c r="C2835">
        <v>19.919999999999998</v>
      </c>
      <c r="D2835" s="17">
        <v>42092</v>
      </c>
      <c r="E2835" t="s">
        <v>1273</v>
      </c>
    </row>
    <row r="2836" spans="3:5">
      <c r="C2836">
        <v>19.920000000000002</v>
      </c>
      <c r="D2836" s="17">
        <v>41821</v>
      </c>
      <c r="E2836" t="s">
        <v>554</v>
      </c>
    </row>
    <row r="2837" spans="3:5">
      <c r="C2837">
        <v>19.920000000000002</v>
      </c>
      <c r="D2837" s="17">
        <v>41840</v>
      </c>
      <c r="E2837" t="s">
        <v>1195</v>
      </c>
    </row>
    <row r="2838" spans="3:5">
      <c r="C2838">
        <v>19.920000000000002</v>
      </c>
      <c r="D2838" s="17">
        <v>42265</v>
      </c>
      <c r="E2838" t="s">
        <v>1832</v>
      </c>
    </row>
    <row r="2839" spans="3:5">
      <c r="C2839">
        <v>19.920000000000002</v>
      </c>
      <c r="D2839" s="17">
        <v>42337</v>
      </c>
      <c r="E2839" t="s">
        <v>296</v>
      </c>
    </row>
    <row r="2840" spans="3:5">
      <c r="C2840">
        <v>19.920000000000002</v>
      </c>
      <c r="D2840" s="17">
        <v>42344</v>
      </c>
      <c r="E2840" t="s">
        <v>1171</v>
      </c>
    </row>
    <row r="2841" spans="3:5">
      <c r="C2841">
        <v>19.920000000000002</v>
      </c>
      <c r="D2841" s="17">
        <v>42688</v>
      </c>
      <c r="E2841" t="s">
        <v>222</v>
      </c>
    </row>
    <row r="2842" spans="3:5">
      <c r="C2842">
        <v>19.936000000000003</v>
      </c>
      <c r="D2842" s="17">
        <v>42362</v>
      </c>
      <c r="E2842" t="s">
        <v>315</v>
      </c>
    </row>
    <row r="2843" spans="3:5">
      <c r="C2843">
        <v>19.936000000000003</v>
      </c>
      <c r="D2843" s="17">
        <v>43013</v>
      </c>
      <c r="E2843" t="s">
        <v>315</v>
      </c>
    </row>
    <row r="2844" spans="3:5">
      <c r="C2844">
        <v>19.936000000000003</v>
      </c>
      <c r="D2844" s="17">
        <v>43079</v>
      </c>
      <c r="E2844" t="s">
        <v>315</v>
      </c>
    </row>
    <row r="2845" spans="3:5">
      <c r="C2845">
        <v>19.96</v>
      </c>
      <c r="D2845" s="17">
        <v>42322</v>
      </c>
      <c r="E2845" t="s">
        <v>706</v>
      </c>
    </row>
    <row r="2846" spans="3:5">
      <c r="C2846">
        <v>19.96</v>
      </c>
      <c r="D2846" s="17">
        <v>42664</v>
      </c>
      <c r="E2846" t="s">
        <v>1578</v>
      </c>
    </row>
    <row r="2847" spans="3:5">
      <c r="C2847">
        <v>19.968000000000004</v>
      </c>
      <c r="D2847" s="17">
        <v>42559</v>
      </c>
      <c r="E2847" t="s">
        <v>683</v>
      </c>
    </row>
    <row r="2848" spans="3:5">
      <c r="C2848">
        <v>19.98</v>
      </c>
      <c r="D2848" s="17">
        <v>41758</v>
      </c>
      <c r="E2848" t="s">
        <v>1438</v>
      </c>
    </row>
    <row r="2849" spans="3:5">
      <c r="C2849">
        <v>19.98</v>
      </c>
      <c r="D2849" s="17">
        <v>42308</v>
      </c>
      <c r="E2849" t="s">
        <v>121</v>
      </c>
    </row>
    <row r="2850" spans="3:5">
      <c r="C2850">
        <v>19.98</v>
      </c>
      <c r="D2850" s="17">
        <v>42441</v>
      </c>
      <c r="E2850" t="s">
        <v>1678</v>
      </c>
    </row>
    <row r="2851" spans="3:5">
      <c r="C2851">
        <v>19.98</v>
      </c>
      <c r="D2851" s="17">
        <v>42544</v>
      </c>
      <c r="E2851" t="s">
        <v>1333</v>
      </c>
    </row>
    <row r="2852" spans="3:5">
      <c r="C2852">
        <v>19.98</v>
      </c>
      <c r="D2852" s="17">
        <v>42686</v>
      </c>
      <c r="E2852" t="s">
        <v>1640</v>
      </c>
    </row>
    <row r="2853" spans="3:5">
      <c r="C2853">
        <v>19.98</v>
      </c>
      <c r="D2853" s="17">
        <v>43012</v>
      </c>
      <c r="E2853" t="s">
        <v>700</v>
      </c>
    </row>
    <row r="2854" spans="3:5">
      <c r="C2854">
        <v>19.989999999999998</v>
      </c>
      <c r="D2854" s="17">
        <v>42258</v>
      </c>
      <c r="E2854" t="s">
        <v>576</v>
      </c>
    </row>
    <row r="2855" spans="3:5">
      <c r="C2855">
        <v>19.989999999999998</v>
      </c>
      <c r="D2855" s="17">
        <v>42979</v>
      </c>
      <c r="E2855" t="s">
        <v>576</v>
      </c>
    </row>
    <row r="2856" spans="3:5">
      <c r="C2856">
        <v>19.989999999999998</v>
      </c>
      <c r="D2856" s="17">
        <v>43034</v>
      </c>
      <c r="E2856" t="s">
        <v>576</v>
      </c>
    </row>
    <row r="2857" spans="3:5">
      <c r="C2857">
        <v>20</v>
      </c>
      <c r="D2857" s="17">
        <v>42677</v>
      </c>
      <c r="E2857" t="s">
        <v>629</v>
      </c>
    </row>
    <row r="2858" spans="3:5">
      <c r="C2858">
        <v>20.015999999999998</v>
      </c>
      <c r="D2858" s="17">
        <v>41813</v>
      </c>
      <c r="E2858" t="s">
        <v>394</v>
      </c>
    </row>
    <row r="2859" spans="3:5">
      <c r="C2859">
        <v>20.016000000000002</v>
      </c>
      <c r="D2859" s="17">
        <v>41717</v>
      </c>
      <c r="E2859" t="s">
        <v>1366</v>
      </c>
    </row>
    <row r="2860" spans="3:5">
      <c r="C2860">
        <v>20.016000000000002</v>
      </c>
      <c r="D2860" s="17">
        <v>42567</v>
      </c>
      <c r="E2860" t="s">
        <v>1086</v>
      </c>
    </row>
    <row r="2861" spans="3:5">
      <c r="C2861">
        <v>20.04</v>
      </c>
      <c r="D2861" s="17">
        <v>41948</v>
      </c>
      <c r="E2861" t="s">
        <v>1455</v>
      </c>
    </row>
    <row r="2862" spans="3:5">
      <c r="C2862">
        <v>20.04</v>
      </c>
      <c r="D2862" s="17">
        <v>42006</v>
      </c>
      <c r="E2862" t="s">
        <v>1456</v>
      </c>
    </row>
    <row r="2863" spans="3:5">
      <c r="C2863">
        <v>20.04</v>
      </c>
      <c r="D2863" s="17">
        <v>42272</v>
      </c>
      <c r="E2863" t="s">
        <v>641</v>
      </c>
    </row>
    <row r="2864" spans="3:5">
      <c r="C2864">
        <v>20.04</v>
      </c>
      <c r="D2864" s="17">
        <v>42468</v>
      </c>
      <c r="E2864" t="s">
        <v>641</v>
      </c>
    </row>
    <row r="2865" spans="3:5">
      <c r="C2865">
        <v>20.04</v>
      </c>
      <c r="D2865" s="17">
        <v>42656</v>
      </c>
      <c r="E2865" t="s">
        <v>77</v>
      </c>
    </row>
    <row r="2866" spans="3:5">
      <c r="C2866">
        <v>20.04</v>
      </c>
      <c r="D2866" s="17">
        <v>42817</v>
      </c>
      <c r="E2866" t="s">
        <v>423</v>
      </c>
    </row>
    <row r="2867" spans="3:5">
      <c r="C2867">
        <v>20.04</v>
      </c>
      <c r="D2867" s="17">
        <v>42822</v>
      </c>
      <c r="E2867" t="s">
        <v>462</v>
      </c>
    </row>
    <row r="2868" spans="3:5">
      <c r="C2868">
        <v>20.064</v>
      </c>
      <c r="D2868" s="17">
        <v>41931</v>
      </c>
      <c r="E2868" t="s">
        <v>93</v>
      </c>
    </row>
    <row r="2869" spans="3:5">
      <c r="C2869">
        <v>20.07</v>
      </c>
      <c r="D2869" s="17">
        <v>42913</v>
      </c>
      <c r="E2869" t="s">
        <v>899</v>
      </c>
    </row>
    <row r="2870" spans="3:5">
      <c r="C2870">
        <v>20.096000000000004</v>
      </c>
      <c r="D2870" s="17">
        <v>42941</v>
      </c>
      <c r="E2870" t="s">
        <v>753</v>
      </c>
    </row>
    <row r="2871" spans="3:5">
      <c r="C2871">
        <v>20.100000000000001</v>
      </c>
      <c r="D2871" s="17">
        <v>42630</v>
      </c>
      <c r="E2871" t="s">
        <v>1689</v>
      </c>
    </row>
    <row r="2872" spans="3:5">
      <c r="C2872">
        <v>20.103999999999999</v>
      </c>
      <c r="D2872" s="17">
        <v>42184</v>
      </c>
      <c r="E2872" t="s">
        <v>556</v>
      </c>
    </row>
    <row r="2873" spans="3:5">
      <c r="C2873">
        <v>20.103999999999999</v>
      </c>
      <c r="D2873" s="17">
        <v>42241</v>
      </c>
      <c r="E2873" t="s">
        <v>556</v>
      </c>
    </row>
    <row r="2874" spans="3:5">
      <c r="C2874">
        <v>20.12</v>
      </c>
      <c r="D2874" s="17">
        <v>41871</v>
      </c>
      <c r="E2874" t="s">
        <v>978</v>
      </c>
    </row>
    <row r="2875" spans="3:5">
      <c r="C2875">
        <v>20.136000000000003</v>
      </c>
      <c r="D2875" s="17">
        <v>43041</v>
      </c>
      <c r="E2875" t="s">
        <v>504</v>
      </c>
    </row>
    <row r="2876" spans="3:5">
      <c r="C2876">
        <v>20.16</v>
      </c>
      <c r="D2876" s="17">
        <v>41896</v>
      </c>
      <c r="E2876" t="s">
        <v>1683</v>
      </c>
    </row>
    <row r="2877" spans="3:5">
      <c r="C2877">
        <v>20.16</v>
      </c>
      <c r="D2877" s="17">
        <v>42658</v>
      </c>
      <c r="E2877" t="s">
        <v>324</v>
      </c>
    </row>
    <row r="2878" spans="3:5">
      <c r="C2878">
        <v>20.16</v>
      </c>
      <c r="D2878" s="17">
        <v>42731</v>
      </c>
      <c r="E2878" t="s">
        <v>130</v>
      </c>
    </row>
    <row r="2879" spans="3:5">
      <c r="C2879">
        <v>20.16</v>
      </c>
      <c r="D2879" s="17">
        <v>42999</v>
      </c>
      <c r="E2879" t="s">
        <v>139</v>
      </c>
    </row>
    <row r="2880" spans="3:5">
      <c r="C2880">
        <v>20.23</v>
      </c>
      <c r="D2880" s="17">
        <v>42941</v>
      </c>
      <c r="E2880" t="s">
        <v>477</v>
      </c>
    </row>
    <row r="2881" spans="3:5">
      <c r="C2881">
        <v>20.231999999999999</v>
      </c>
      <c r="D2881" s="17">
        <v>41902</v>
      </c>
      <c r="E2881" t="s">
        <v>1067</v>
      </c>
    </row>
    <row r="2882" spans="3:5">
      <c r="C2882">
        <v>20.232000000000003</v>
      </c>
      <c r="D2882" s="17">
        <v>43057</v>
      </c>
      <c r="E2882" t="s">
        <v>1067</v>
      </c>
    </row>
    <row r="2883" spans="3:5">
      <c r="C2883">
        <v>20.239999999999998</v>
      </c>
      <c r="D2883" s="17">
        <v>42150</v>
      </c>
      <c r="E2883" t="s">
        <v>1064</v>
      </c>
    </row>
    <row r="2884" spans="3:5">
      <c r="C2884">
        <v>20.239999999999998</v>
      </c>
      <c r="D2884" s="17">
        <v>42456</v>
      </c>
      <c r="E2884" t="s">
        <v>1154</v>
      </c>
    </row>
    <row r="2885" spans="3:5">
      <c r="C2885">
        <v>20.32</v>
      </c>
      <c r="D2885" s="17">
        <v>41690</v>
      </c>
      <c r="E2885" t="s">
        <v>1196</v>
      </c>
    </row>
    <row r="2886" spans="3:5">
      <c r="C2886">
        <v>20.32</v>
      </c>
      <c r="D2886" s="17">
        <v>42356</v>
      </c>
      <c r="E2886" t="s">
        <v>1196</v>
      </c>
    </row>
    <row r="2887" spans="3:5">
      <c r="C2887">
        <v>20.32</v>
      </c>
      <c r="D2887" s="17">
        <v>42448</v>
      </c>
      <c r="E2887" t="s">
        <v>1196</v>
      </c>
    </row>
    <row r="2888" spans="3:5">
      <c r="C2888">
        <v>20.32</v>
      </c>
      <c r="D2888" s="17">
        <v>42996</v>
      </c>
      <c r="E2888" t="s">
        <v>1226</v>
      </c>
    </row>
    <row r="2889" spans="3:5">
      <c r="C2889">
        <v>20.34</v>
      </c>
      <c r="D2889" s="17">
        <v>41997</v>
      </c>
      <c r="E2889" t="s">
        <v>72</v>
      </c>
    </row>
    <row r="2890" spans="3:5">
      <c r="C2890">
        <v>20.34</v>
      </c>
      <c r="D2890" s="17">
        <v>42851</v>
      </c>
      <c r="E2890" t="s">
        <v>120</v>
      </c>
    </row>
    <row r="2891" spans="3:5">
      <c r="C2891">
        <v>20.368000000000002</v>
      </c>
      <c r="D2891" s="17">
        <v>42684</v>
      </c>
      <c r="E2891" t="s">
        <v>457</v>
      </c>
    </row>
    <row r="2892" spans="3:5">
      <c r="C2892">
        <v>20.37</v>
      </c>
      <c r="D2892" s="17">
        <v>43070</v>
      </c>
      <c r="E2892" t="s">
        <v>1472</v>
      </c>
    </row>
    <row r="2893" spans="3:5">
      <c r="C2893">
        <v>20.387999999999995</v>
      </c>
      <c r="D2893" s="17">
        <v>41982</v>
      </c>
      <c r="E2893" t="s">
        <v>287</v>
      </c>
    </row>
    <row r="2894" spans="3:5">
      <c r="C2894">
        <v>20.416</v>
      </c>
      <c r="D2894" s="17">
        <v>42628</v>
      </c>
      <c r="E2894" t="s">
        <v>1680</v>
      </c>
    </row>
    <row r="2895" spans="3:5">
      <c r="C2895">
        <v>20.439999999999998</v>
      </c>
      <c r="D2895" s="17">
        <v>42579</v>
      </c>
      <c r="E2895" t="s">
        <v>74</v>
      </c>
    </row>
    <row r="2896" spans="3:5">
      <c r="C2896">
        <v>20.46</v>
      </c>
      <c r="D2896" s="17">
        <v>41958</v>
      </c>
      <c r="E2896" t="s">
        <v>907</v>
      </c>
    </row>
    <row r="2897" spans="3:5">
      <c r="C2897">
        <v>20.544000000000004</v>
      </c>
      <c r="D2897" s="17">
        <v>42989</v>
      </c>
      <c r="E2897" t="s">
        <v>668</v>
      </c>
    </row>
    <row r="2898" spans="3:5">
      <c r="C2898">
        <v>20.544000000000004</v>
      </c>
      <c r="D2898" s="17">
        <v>42994</v>
      </c>
      <c r="E2898" t="s">
        <v>668</v>
      </c>
    </row>
    <row r="2899" spans="3:5">
      <c r="C2899">
        <v>20.56</v>
      </c>
      <c r="D2899" s="17">
        <v>41889</v>
      </c>
      <c r="E2899" t="s">
        <v>922</v>
      </c>
    </row>
    <row r="2900" spans="3:5">
      <c r="C2900">
        <v>20.568000000000001</v>
      </c>
      <c r="D2900" s="17">
        <v>42713</v>
      </c>
      <c r="E2900" t="s">
        <v>176</v>
      </c>
    </row>
    <row r="2901" spans="3:5">
      <c r="C2901">
        <v>20.58</v>
      </c>
      <c r="D2901" s="17">
        <v>42686</v>
      </c>
      <c r="E2901" t="s">
        <v>1452</v>
      </c>
    </row>
    <row r="2902" spans="3:5">
      <c r="C2902">
        <v>20.608000000000004</v>
      </c>
      <c r="D2902" s="17">
        <v>42653</v>
      </c>
      <c r="E2902" t="s">
        <v>689</v>
      </c>
    </row>
    <row r="2903" spans="3:5">
      <c r="C2903">
        <v>20.62</v>
      </c>
      <c r="D2903" s="17">
        <v>42576</v>
      </c>
      <c r="E2903" t="s">
        <v>1275</v>
      </c>
    </row>
    <row r="2904" spans="3:5">
      <c r="C2904">
        <v>20.64</v>
      </c>
      <c r="D2904" s="17">
        <v>43011</v>
      </c>
      <c r="E2904" t="s">
        <v>1293</v>
      </c>
    </row>
    <row r="2905" spans="3:5">
      <c r="C2905">
        <v>20.65</v>
      </c>
      <c r="D2905" s="17">
        <v>41705</v>
      </c>
      <c r="E2905" t="s">
        <v>602</v>
      </c>
    </row>
    <row r="2906" spans="3:5">
      <c r="C2906">
        <v>20.65</v>
      </c>
      <c r="D2906" s="17">
        <v>41768</v>
      </c>
      <c r="E2906" t="s">
        <v>397</v>
      </c>
    </row>
    <row r="2907" spans="3:5">
      <c r="C2907">
        <v>20.65</v>
      </c>
      <c r="D2907" s="17">
        <v>42391</v>
      </c>
      <c r="E2907" t="s">
        <v>1034</v>
      </c>
    </row>
    <row r="2908" spans="3:5">
      <c r="C2908">
        <v>20.664000000000001</v>
      </c>
      <c r="D2908" s="17">
        <v>43008</v>
      </c>
      <c r="E2908" t="s">
        <v>1279</v>
      </c>
    </row>
    <row r="2909" spans="3:5">
      <c r="C2909">
        <v>20.7</v>
      </c>
      <c r="D2909" s="17">
        <v>42259</v>
      </c>
      <c r="E2909" t="s">
        <v>1315</v>
      </c>
    </row>
    <row r="2910" spans="3:5">
      <c r="C2910">
        <v>20.7</v>
      </c>
      <c r="D2910" s="17">
        <v>42461</v>
      </c>
      <c r="E2910" t="s">
        <v>230</v>
      </c>
    </row>
    <row r="2911" spans="3:5">
      <c r="C2911">
        <v>20.7</v>
      </c>
      <c r="D2911" s="17">
        <v>42531</v>
      </c>
      <c r="E2911" t="s">
        <v>230</v>
      </c>
    </row>
    <row r="2912" spans="3:5">
      <c r="C2912">
        <v>20.7</v>
      </c>
      <c r="D2912" s="17">
        <v>42777</v>
      </c>
      <c r="E2912" t="s">
        <v>230</v>
      </c>
    </row>
    <row r="2913" spans="3:5">
      <c r="C2913">
        <v>20.7</v>
      </c>
      <c r="D2913" s="17">
        <v>42802</v>
      </c>
      <c r="E2913" t="s">
        <v>332</v>
      </c>
    </row>
    <row r="2914" spans="3:5">
      <c r="C2914">
        <v>20.7</v>
      </c>
      <c r="D2914" s="17">
        <v>43003</v>
      </c>
      <c r="E2914" t="s">
        <v>332</v>
      </c>
    </row>
    <row r="2915" spans="3:5">
      <c r="C2915">
        <v>20.700000000000003</v>
      </c>
      <c r="D2915" s="17">
        <v>42625</v>
      </c>
      <c r="E2915" t="s">
        <v>1593</v>
      </c>
    </row>
    <row r="2916" spans="3:5">
      <c r="C2916">
        <v>20.704000000000001</v>
      </c>
      <c r="D2916" s="17">
        <v>42625</v>
      </c>
      <c r="E2916" t="s">
        <v>54</v>
      </c>
    </row>
    <row r="2917" spans="3:5">
      <c r="C2917">
        <v>20.72</v>
      </c>
      <c r="D2917" s="17">
        <v>43099</v>
      </c>
      <c r="E2917" t="s">
        <v>1557</v>
      </c>
    </row>
    <row r="2918" spans="3:5">
      <c r="C2918">
        <v>20.724000000000004</v>
      </c>
      <c r="D2918" s="17">
        <v>42485</v>
      </c>
      <c r="E2918" t="s">
        <v>474</v>
      </c>
    </row>
    <row r="2919" spans="3:5">
      <c r="C2919">
        <v>20.724000000000004</v>
      </c>
      <c r="D2919" s="17">
        <v>43063</v>
      </c>
      <c r="E2919" t="s">
        <v>1063</v>
      </c>
    </row>
    <row r="2920" spans="3:5">
      <c r="C2920">
        <v>20.736000000000004</v>
      </c>
      <c r="D2920" s="17">
        <v>41957</v>
      </c>
      <c r="E2920" t="s">
        <v>976</v>
      </c>
    </row>
    <row r="2921" spans="3:5">
      <c r="C2921">
        <v>20.736000000000004</v>
      </c>
      <c r="D2921" s="17">
        <v>42167</v>
      </c>
      <c r="E2921" t="s">
        <v>180</v>
      </c>
    </row>
    <row r="2922" spans="3:5">
      <c r="C2922">
        <v>20.736000000000004</v>
      </c>
      <c r="D2922" s="17">
        <v>42173</v>
      </c>
      <c r="E2922" t="s">
        <v>1355</v>
      </c>
    </row>
    <row r="2923" spans="3:5">
      <c r="C2923">
        <v>20.736000000000004</v>
      </c>
      <c r="D2923" s="17">
        <v>42281</v>
      </c>
      <c r="E2923" t="s">
        <v>1514</v>
      </c>
    </row>
    <row r="2924" spans="3:5">
      <c r="C2924">
        <v>20.736000000000004</v>
      </c>
      <c r="D2924" s="17">
        <v>42356</v>
      </c>
      <c r="E2924" t="s">
        <v>918</v>
      </c>
    </row>
    <row r="2925" spans="3:5">
      <c r="C2925">
        <v>20.736000000000004</v>
      </c>
      <c r="D2925" s="17">
        <v>42449</v>
      </c>
      <c r="E2925" t="s">
        <v>555</v>
      </c>
    </row>
    <row r="2926" spans="3:5">
      <c r="C2926">
        <v>20.736000000000004</v>
      </c>
      <c r="D2926" s="17">
        <v>42624</v>
      </c>
      <c r="E2926" t="s">
        <v>1694</v>
      </c>
    </row>
    <row r="2927" spans="3:5">
      <c r="C2927">
        <v>20.736000000000004</v>
      </c>
      <c r="D2927" s="17">
        <v>42840</v>
      </c>
      <c r="E2927" t="s">
        <v>543</v>
      </c>
    </row>
    <row r="2928" spans="3:5">
      <c r="C2928">
        <v>20.736000000000004</v>
      </c>
      <c r="D2928" s="17">
        <v>42842</v>
      </c>
      <c r="E2928" t="s">
        <v>555</v>
      </c>
    </row>
    <row r="2929" spans="3:5">
      <c r="C2929">
        <v>20.736000000000004</v>
      </c>
      <c r="D2929" s="17">
        <v>42846</v>
      </c>
      <c r="E2929" t="s">
        <v>357</v>
      </c>
    </row>
    <row r="2930" spans="3:5">
      <c r="C2930">
        <v>20.736000000000004</v>
      </c>
      <c r="D2930" s="17">
        <v>42891</v>
      </c>
      <c r="E2930" t="s">
        <v>803</v>
      </c>
    </row>
    <row r="2931" spans="3:5">
      <c r="C2931">
        <v>20.736000000000004</v>
      </c>
      <c r="D2931" s="17">
        <v>42941</v>
      </c>
      <c r="E2931" t="s">
        <v>933</v>
      </c>
    </row>
    <row r="2932" spans="3:5">
      <c r="C2932">
        <v>20.736000000000004</v>
      </c>
      <c r="D2932" s="17">
        <v>42959</v>
      </c>
      <c r="E2932" t="s">
        <v>1048</v>
      </c>
    </row>
    <row r="2933" spans="3:5">
      <c r="C2933">
        <v>20.736000000000004</v>
      </c>
      <c r="D2933" s="17">
        <v>42986</v>
      </c>
      <c r="E2933" t="s">
        <v>1159</v>
      </c>
    </row>
    <row r="2934" spans="3:5">
      <c r="C2934">
        <v>20.736000000000004</v>
      </c>
      <c r="D2934" s="17">
        <v>42994</v>
      </c>
      <c r="E2934" t="s">
        <v>1209</v>
      </c>
    </row>
    <row r="2935" spans="3:5">
      <c r="C2935">
        <v>20.736000000000004</v>
      </c>
      <c r="D2935" s="17">
        <v>43001</v>
      </c>
      <c r="E2935" t="s">
        <v>1101</v>
      </c>
    </row>
    <row r="2936" spans="3:5">
      <c r="C2936">
        <v>20.736000000000004</v>
      </c>
      <c r="D2936" s="17">
        <v>43010</v>
      </c>
      <c r="E2936" t="s">
        <v>1178</v>
      </c>
    </row>
    <row r="2937" spans="3:5">
      <c r="C2937">
        <v>20.736000000000004</v>
      </c>
      <c r="D2937" s="17">
        <v>43038</v>
      </c>
      <c r="E2937" t="s">
        <v>1209</v>
      </c>
    </row>
    <row r="2938" spans="3:5">
      <c r="C2938">
        <v>20.736000000000004</v>
      </c>
      <c r="D2938" s="17">
        <v>43057</v>
      </c>
      <c r="E2938" t="s">
        <v>976</v>
      </c>
    </row>
    <row r="2939" spans="3:5">
      <c r="C2939">
        <v>20.767999999999997</v>
      </c>
      <c r="D2939" s="17">
        <v>42145</v>
      </c>
      <c r="E2939" t="s">
        <v>396</v>
      </c>
    </row>
    <row r="2940" spans="3:5">
      <c r="C2940">
        <v>20.768000000000001</v>
      </c>
      <c r="D2940" s="17">
        <v>42868</v>
      </c>
      <c r="E2940" t="s">
        <v>396</v>
      </c>
    </row>
    <row r="2941" spans="3:5">
      <c r="C2941">
        <v>20.784000000000002</v>
      </c>
      <c r="D2941" s="17">
        <v>41779</v>
      </c>
      <c r="E2941" t="s">
        <v>549</v>
      </c>
    </row>
    <row r="2942" spans="3:5">
      <c r="C2942">
        <v>20.784000000000002</v>
      </c>
      <c r="D2942" s="17">
        <v>42568</v>
      </c>
      <c r="E2942" t="s">
        <v>1503</v>
      </c>
    </row>
    <row r="2943" spans="3:5">
      <c r="C2943">
        <v>20.8</v>
      </c>
      <c r="D2943" s="17">
        <v>42044</v>
      </c>
      <c r="E2943" t="s">
        <v>426</v>
      </c>
    </row>
    <row r="2944" spans="3:5">
      <c r="C2944">
        <v>20.808</v>
      </c>
      <c r="D2944" s="17">
        <v>42826</v>
      </c>
      <c r="E2944" t="s">
        <v>484</v>
      </c>
    </row>
    <row r="2945" spans="3:5">
      <c r="C2945">
        <v>20.808000000000003</v>
      </c>
      <c r="D2945" s="17">
        <v>41903</v>
      </c>
      <c r="E2945" t="s">
        <v>1784</v>
      </c>
    </row>
    <row r="2946" spans="3:5">
      <c r="C2946">
        <v>20.82</v>
      </c>
      <c r="D2946" s="17">
        <v>42696</v>
      </c>
      <c r="E2946" t="s">
        <v>1434</v>
      </c>
    </row>
    <row r="2947" spans="3:5">
      <c r="C2947">
        <v>20.856000000000002</v>
      </c>
      <c r="D2947" s="17">
        <v>41876</v>
      </c>
      <c r="E2947" t="s">
        <v>421</v>
      </c>
    </row>
    <row r="2948" spans="3:5">
      <c r="C2948">
        <v>20.86</v>
      </c>
      <c r="D2948" s="17">
        <v>41757</v>
      </c>
      <c r="E2948" t="s">
        <v>595</v>
      </c>
    </row>
    <row r="2949" spans="3:5">
      <c r="C2949">
        <v>20.86</v>
      </c>
      <c r="D2949" s="17">
        <v>42663</v>
      </c>
      <c r="E2949" t="s">
        <v>1334</v>
      </c>
    </row>
    <row r="2950" spans="3:5">
      <c r="C2950">
        <v>20.88</v>
      </c>
      <c r="D2950" s="17">
        <v>41839</v>
      </c>
      <c r="E2950" t="s">
        <v>58</v>
      </c>
    </row>
    <row r="2951" spans="3:5">
      <c r="C2951">
        <v>20.88</v>
      </c>
      <c r="D2951" s="17">
        <v>41860</v>
      </c>
      <c r="E2951" t="s">
        <v>483</v>
      </c>
    </row>
    <row r="2952" spans="3:5">
      <c r="C2952">
        <v>20.9</v>
      </c>
      <c r="D2952" s="17">
        <v>43067</v>
      </c>
      <c r="E2952" t="s">
        <v>1186</v>
      </c>
    </row>
    <row r="2953" spans="3:5">
      <c r="C2953">
        <v>20.928000000000001</v>
      </c>
      <c r="D2953" s="17">
        <v>41911</v>
      </c>
      <c r="E2953" t="s">
        <v>1686</v>
      </c>
    </row>
    <row r="2954" spans="3:5">
      <c r="C2954">
        <v>20.928000000000001</v>
      </c>
      <c r="D2954" s="17">
        <v>43028</v>
      </c>
      <c r="E2954" t="s">
        <v>730</v>
      </c>
    </row>
    <row r="2955" spans="3:5">
      <c r="C2955">
        <v>20.936000000000003</v>
      </c>
      <c r="D2955" s="17">
        <v>42576</v>
      </c>
      <c r="E2955" t="s">
        <v>1476</v>
      </c>
    </row>
    <row r="2956" spans="3:5">
      <c r="C2956">
        <v>20.94</v>
      </c>
      <c r="D2956" s="17">
        <v>41856</v>
      </c>
      <c r="E2956" t="s">
        <v>1589</v>
      </c>
    </row>
    <row r="2957" spans="3:5">
      <c r="C2957">
        <v>20.94</v>
      </c>
      <c r="D2957" s="17">
        <v>42209</v>
      </c>
      <c r="E2957" t="s">
        <v>111</v>
      </c>
    </row>
    <row r="2958" spans="3:5">
      <c r="C2958">
        <v>20.94</v>
      </c>
      <c r="D2958" s="17">
        <v>43074</v>
      </c>
      <c r="E2958" t="s">
        <v>111</v>
      </c>
    </row>
    <row r="2959" spans="3:5">
      <c r="C2959">
        <v>20.952000000000002</v>
      </c>
      <c r="D2959" s="17">
        <v>42586</v>
      </c>
      <c r="E2959" t="s">
        <v>134</v>
      </c>
    </row>
    <row r="2960" spans="3:5">
      <c r="C2960">
        <v>20.96</v>
      </c>
      <c r="D2960" s="17">
        <v>42180</v>
      </c>
      <c r="E2960" t="s">
        <v>127</v>
      </c>
    </row>
    <row r="2961" spans="3:5">
      <c r="C2961">
        <v>20.96</v>
      </c>
      <c r="D2961" s="17">
        <v>42247</v>
      </c>
      <c r="E2961" t="s">
        <v>1012</v>
      </c>
    </row>
    <row r="2962" spans="3:5">
      <c r="C2962">
        <v>20.97</v>
      </c>
      <c r="D2962" s="17">
        <v>42547</v>
      </c>
      <c r="E2962" t="s">
        <v>935</v>
      </c>
    </row>
    <row r="2963" spans="3:5">
      <c r="C2963">
        <v>20.992000000000001</v>
      </c>
      <c r="D2963" s="17">
        <v>42836</v>
      </c>
      <c r="E2963" t="s">
        <v>530</v>
      </c>
    </row>
    <row r="2964" spans="3:5">
      <c r="C2964">
        <v>21</v>
      </c>
      <c r="D2964" s="17">
        <v>43094</v>
      </c>
      <c r="E2964" t="s">
        <v>758</v>
      </c>
    </row>
    <row r="2965" spans="3:5">
      <c r="C2965">
        <v>21.071999999999999</v>
      </c>
      <c r="D2965" s="17">
        <v>42436</v>
      </c>
      <c r="E2965" t="s">
        <v>1707</v>
      </c>
    </row>
    <row r="2966" spans="3:5">
      <c r="C2966">
        <v>21.12</v>
      </c>
      <c r="D2966" s="17">
        <v>42002</v>
      </c>
      <c r="E2966" t="s">
        <v>1102</v>
      </c>
    </row>
    <row r="2967" spans="3:5">
      <c r="C2967">
        <v>21.12</v>
      </c>
      <c r="D2967" s="17">
        <v>42193</v>
      </c>
      <c r="E2967" t="s">
        <v>1842</v>
      </c>
    </row>
    <row r="2968" spans="3:5">
      <c r="C2968">
        <v>21.12</v>
      </c>
      <c r="D2968" s="17">
        <v>42729</v>
      </c>
      <c r="E2968" t="s">
        <v>224</v>
      </c>
    </row>
    <row r="2969" spans="3:5">
      <c r="C2969">
        <v>21.12</v>
      </c>
      <c r="D2969" s="17">
        <v>42775</v>
      </c>
      <c r="E2969" t="s">
        <v>224</v>
      </c>
    </row>
    <row r="2970" spans="3:5">
      <c r="C2970">
        <v>21.167999999999999</v>
      </c>
      <c r="D2970" s="17">
        <v>41782</v>
      </c>
      <c r="E2970" t="s">
        <v>1535</v>
      </c>
    </row>
    <row r="2971" spans="3:5">
      <c r="C2971">
        <v>21.184000000000001</v>
      </c>
      <c r="D2971" s="17">
        <v>41908</v>
      </c>
      <c r="E2971" t="s">
        <v>459</v>
      </c>
    </row>
    <row r="2972" spans="3:5">
      <c r="C2972">
        <v>21.184000000000001</v>
      </c>
      <c r="D2972" s="17">
        <v>42986</v>
      </c>
      <c r="E2972" t="s">
        <v>459</v>
      </c>
    </row>
    <row r="2973" spans="3:5">
      <c r="C2973">
        <v>21.2</v>
      </c>
      <c r="D2973" s="17">
        <v>41853</v>
      </c>
      <c r="E2973" t="s">
        <v>1549</v>
      </c>
    </row>
    <row r="2974" spans="3:5">
      <c r="C2974">
        <v>21.204000000000004</v>
      </c>
      <c r="D2974" s="17">
        <v>42618</v>
      </c>
      <c r="E2974" t="s">
        <v>564</v>
      </c>
    </row>
    <row r="2975" spans="3:5">
      <c r="C2975">
        <v>21.209999999999997</v>
      </c>
      <c r="D2975" s="17">
        <v>42720</v>
      </c>
      <c r="E2975" t="s">
        <v>99</v>
      </c>
    </row>
    <row r="2976" spans="3:5">
      <c r="C2976">
        <v>21.240000000000002</v>
      </c>
      <c r="D2976" s="17">
        <v>41884</v>
      </c>
      <c r="E2976" t="s">
        <v>745</v>
      </c>
    </row>
    <row r="2977" spans="3:5">
      <c r="C2977">
        <v>21.240000000000002</v>
      </c>
      <c r="D2977" s="17">
        <v>42149</v>
      </c>
      <c r="E2977" t="s">
        <v>745</v>
      </c>
    </row>
    <row r="2978" spans="3:5">
      <c r="C2978">
        <v>21.240000000000002</v>
      </c>
      <c r="D2978" s="17">
        <v>42860</v>
      </c>
      <c r="E2978" t="s">
        <v>637</v>
      </c>
    </row>
    <row r="2979" spans="3:5">
      <c r="C2979">
        <v>21.248000000000001</v>
      </c>
      <c r="D2979" s="17">
        <v>43007</v>
      </c>
      <c r="E2979" t="s">
        <v>1273</v>
      </c>
    </row>
    <row r="2980" spans="3:5">
      <c r="C2980">
        <v>21.299999999999997</v>
      </c>
      <c r="D2980" s="17">
        <v>42115</v>
      </c>
      <c r="E2980" t="s">
        <v>1267</v>
      </c>
    </row>
    <row r="2981" spans="3:5">
      <c r="C2981">
        <v>21.299999999999997</v>
      </c>
      <c r="D2981" s="17">
        <v>42605</v>
      </c>
      <c r="E2981" t="s">
        <v>842</v>
      </c>
    </row>
    <row r="2982" spans="3:5">
      <c r="C2982">
        <v>21.312000000000005</v>
      </c>
      <c r="D2982" s="17">
        <v>41820</v>
      </c>
      <c r="E2982" t="s">
        <v>74</v>
      </c>
    </row>
    <row r="2983" spans="3:5">
      <c r="C2983">
        <v>21.312000000000005</v>
      </c>
      <c r="D2983" s="17">
        <v>43093</v>
      </c>
      <c r="E2983" t="s">
        <v>450</v>
      </c>
    </row>
    <row r="2984" spans="3:5">
      <c r="C2984">
        <v>21.335999999999999</v>
      </c>
      <c r="D2984" s="17">
        <v>42777</v>
      </c>
      <c r="E2984" t="s">
        <v>227</v>
      </c>
    </row>
    <row r="2985" spans="3:5">
      <c r="C2985">
        <v>21.34</v>
      </c>
      <c r="D2985" s="17">
        <v>42119</v>
      </c>
      <c r="E2985" t="s">
        <v>316</v>
      </c>
    </row>
    <row r="2986" spans="3:5">
      <c r="C2986">
        <v>21.36</v>
      </c>
      <c r="D2986" s="17">
        <v>41685</v>
      </c>
      <c r="E2986" t="s">
        <v>411</v>
      </c>
    </row>
    <row r="2987" spans="3:5">
      <c r="C2987">
        <v>21.36</v>
      </c>
      <c r="D2987" s="17">
        <v>41712</v>
      </c>
      <c r="E2987" t="s">
        <v>98</v>
      </c>
    </row>
    <row r="2988" spans="3:5">
      <c r="C2988">
        <v>21.36</v>
      </c>
      <c r="D2988" s="17">
        <v>41854</v>
      </c>
      <c r="E2988" t="s">
        <v>98</v>
      </c>
    </row>
    <row r="2989" spans="3:5">
      <c r="C2989">
        <v>21.36</v>
      </c>
      <c r="D2989" s="17">
        <v>42255</v>
      </c>
      <c r="E2989" t="s">
        <v>775</v>
      </c>
    </row>
    <row r="2990" spans="3:5">
      <c r="C2990">
        <v>21.36</v>
      </c>
      <c r="D2990" s="17">
        <v>42345</v>
      </c>
      <c r="E2990" t="s">
        <v>411</v>
      </c>
    </row>
    <row r="2991" spans="3:5">
      <c r="C2991">
        <v>21.376000000000001</v>
      </c>
      <c r="D2991" s="17">
        <v>41716</v>
      </c>
      <c r="E2991" t="s">
        <v>77</v>
      </c>
    </row>
    <row r="2992" spans="3:5">
      <c r="C2992">
        <v>21.379999999999995</v>
      </c>
      <c r="D2992" s="17">
        <v>42965</v>
      </c>
      <c r="E2992" t="s">
        <v>110</v>
      </c>
    </row>
    <row r="2993" spans="3:5">
      <c r="C2993">
        <v>21.39</v>
      </c>
      <c r="D2993" s="17">
        <v>41924</v>
      </c>
      <c r="E2993" t="s">
        <v>562</v>
      </c>
    </row>
    <row r="2994" spans="3:5">
      <c r="C2994">
        <v>21.391999999999992</v>
      </c>
      <c r="D2994" s="17">
        <v>42915</v>
      </c>
      <c r="E2994" t="s">
        <v>908</v>
      </c>
    </row>
    <row r="2995" spans="3:5">
      <c r="C2995">
        <v>21.400000000000002</v>
      </c>
      <c r="D2995" s="17">
        <v>41755</v>
      </c>
      <c r="E2995" t="s">
        <v>106</v>
      </c>
    </row>
    <row r="2996" spans="3:5">
      <c r="C2996">
        <v>21.400000000000002</v>
      </c>
      <c r="D2996" s="17">
        <v>41811</v>
      </c>
      <c r="E2996" t="s">
        <v>605</v>
      </c>
    </row>
    <row r="2997" spans="3:5">
      <c r="C2997">
        <v>21.400000000000002</v>
      </c>
      <c r="D2997" s="17">
        <v>41944</v>
      </c>
      <c r="E2997" t="s">
        <v>296</v>
      </c>
    </row>
    <row r="2998" spans="3:5">
      <c r="C2998">
        <v>21.400000000000002</v>
      </c>
      <c r="D2998" s="17">
        <v>42239</v>
      </c>
      <c r="E2998" t="s">
        <v>1061</v>
      </c>
    </row>
    <row r="2999" spans="3:5">
      <c r="C2999">
        <v>21.400000000000002</v>
      </c>
      <c r="D2999" s="17">
        <v>42509</v>
      </c>
      <c r="E2999" t="s">
        <v>605</v>
      </c>
    </row>
    <row r="3000" spans="3:5">
      <c r="C3000">
        <v>21.400000000000002</v>
      </c>
      <c r="D3000" s="17">
        <v>42628</v>
      </c>
      <c r="E3000" t="s">
        <v>1239</v>
      </c>
    </row>
    <row r="3001" spans="3:5">
      <c r="C3001">
        <v>21.400000000000002</v>
      </c>
      <c r="D3001" s="17">
        <v>42750</v>
      </c>
      <c r="E3001" t="s">
        <v>106</v>
      </c>
    </row>
    <row r="3002" spans="3:5">
      <c r="C3002">
        <v>21.44</v>
      </c>
      <c r="D3002" s="17">
        <v>42637</v>
      </c>
      <c r="E3002" t="s">
        <v>1599</v>
      </c>
    </row>
    <row r="3003" spans="3:5">
      <c r="C3003">
        <v>21.456</v>
      </c>
      <c r="D3003" s="17">
        <v>42768</v>
      </c>
      <c r="E3003" t="s">
        <v>74</v>
      </c>
    </row>
    <row r="3004" spans="3:5">
      <c r="C3004">
        <v>21.48</v>
      </c>
      <c r="D3004" s="17">
        <v>42337</v>
      </c>
      <c r="E3004" t="s">
        <v>380</v>
      </c>
    </row>
    <row r="3005" spans="3:5">
      <c r="C3005">
        <v>21.48</v>
      </c>
      <c r="D3005" s="17">
        <v>42576</v>
      </c>
      <c r="E3005" t="s">
        <v>518</v>
      </c>
    </row>
    <row r="3006" spans="3:5">
      <c r="C3006">
        <v>21.48</v>
      </c>
      <c r="D3006" s="17">
        <v>42718</v>
      </c>
      <c r="E3006" t="s">
        <v>1211</v>
      </c>
    </row>
    <row r="3007" spans="3:5">
      <c r="C3007">
        <v>21.488</v>
      </c>
      <c r="D3007" s="17">
        <v>42324</v>
      </c>
      <c r="E3007" t="s">
        <v>381</v>
      </c>
    </row>
    <row r="3008" spans="3:5">
      <c r="C3008">
        <v>21.5</v>
      </c>
      <c r="D3008" s="17">
        <v>42875</v>
      </c>
      <c r="E3008" t="s">
        <v>734</v>
      </c>
    </row>
    <row r="3009" spans="3:5">
      <c r="C3009">
        <v>21.552000000000003</v>
      </c>
      <c r="D3009" s="17">
        <v>42526</v>
      </c>
      <c r="E3009" t="s">
        <v>353</v>
      </c>
    </row>
    <row r="3010" spans="3:5">
      <c r="C3010">
        <v>21.560000000000002</v>
      </c>
      <c r="D3010" s="17">
        <v>41762</v>
      </c>
      <c r="E3010" t="s">
        <v>1038</v>
      </c>
    </row>
    <row r="3011" spans="3:5">
      <c r="C3011">
        <v>21.560000000000002</v>
      </c>
      <c r="D3011" s="17">
        <v>42362</v>
      </c>
      <c r="E3011" t="s">
        <v>676</v>
      </c>
    </row>
    <row r="3012" spans="3:5">
      <c r="C3012">
        <v>21.560000000000002</v>
      </c>
      <c r="D3012" s="17">
        <v>42365</v>
      </c>
      <c r="E3012" t="s">
        <v>309</v>
      </c>
    </row>
    <row r="3013" spans="3:5">
      <c r="C3013">
        <v>21.560000000000002</v>
      </c>
      <c r="D3013" s="17">
        <v>42822</v>
      </c>
      <c r="E3013" t="s">
        <v>463</v>
      </c>
    </row>
    <row r="3014" spans="3:5">
      <c r="C3014">
        <v>21.568000000000001</v>
      </c>
      <c r="D3014" s="17">
        <v>42695</v>
      </c>
      <c r="E3014" t="s">
        <v>95</v>
      </c>
    </row>
    <row r="3015" spans="3:5">
      <c r="C3015">
        <v>21.594000000000005</v>
      </c>
      <c r="D3015" s="17">
        <v>42842</v>
      </c>
      <c r="E3015" t="s">
        <v>553</v>
      </c>
    </row>
    <row r="3016" spans="3:5">
      <c r="C3016">
        <v>21.6</v>
      </c>
      <c r="D3016" s="17">
        <v>43074</v>
      </c>
      <c r="E3016" t="s">
        <v>1141</v>
      </c>
    </row>
    <row r="3017" spans="3:5">
      <c r="C3017">
        <v>21.696000000000002</v>
      </c>
      <c r="D3017" s="17">
        <v>42754</v>
      </c>
      <c r="E3017" t="s">
        <v>120</v>
      </c>
    </row>
    <row r="3018" spans="3:5">
      <c r="C3018">
        <v>21.72</v>
      </c>
      <c r="D3018" s="17">
        <v>41902</v>
      </c>
      <c r="E3018" t="s">
        <v>1348</v>
      </c>
    </row>
    <row r="3019" spans="3:5">
      <c r="C3019">
        <v>21.720000000000002</v>
      </c>
      <c r="D3019" s="17">
        <v>41954</v>
      </c>
      <c r="E3019" t="s">
        <v>1348</v>
      </c>
    </row>
    <row r="3020" spans="3:5">
      <c r="C3020">
        <v>21.728000000000002</v>
      </c>
      <c r="D3020" s="17">
        <v>41892</v>
      </c>
      <c r="E3020" t="s">
        <v>395</v>
      </c>
    </row>
    <row r="3021" spans="3:5">
      <c r="C3021">
        <v>21.728000000000002</v>
      </c>
      <c r="D3021" s="17">
        <v>42237</v>
      </c>
      <c r="E3021" t="s">
        <v>1472</v>
      </c>
    </row>
    <row r="3022" spans="3:5">
      <c r="C3022">
        <v>21.744</v>
      </c>
      <c r="D3022" s="17">
        <v>42749</v>
      </c>
      <c r="E3022" t="s">
        <v>85</v>
      </c>
    </row>
    <row r="3023" spans="3:5">
      <c r="C3023">
        <v>21.744000000000003</v>
      </c>
      <c r="D3023" s="17">
        <v>42910</v>
      </c>
      <c r="E3023" t="s">
        <v>881</v>
      </c>
    </row>
    <row r="3024" spans="3:5">
      <c r="C3024">
        <v>21.78</v>
      </c>
      <c r="D3024" s="17">
        <v>42541</v>
      </c>
      <c r="E3024" t="s">
        <v>213</v>
      </c>
    </row>
    <row r="3025" spans="3:5">
      <c r="C3025">
        <v>21.792000000000002</v>
      </c>
      <c r="D3025" s="17">
        <v>43046</v>
      </c>
      <c r="E3025" t="s">
        <v>1374</v>
      </c>
    </row>
    <row r="3026" spans="3:5">
      <c r="C3026">
        <v>21.8</v>
      </c>
      <c r="D3026" s="17">
        <v>42541</v>
      </c>
      <c r="E3026" t="s">
        <v>1342</v>
      </c>
    </row>
    <row r="3027" spans="3:5">
      <c r="C3027">
        <v>21.8</v>
      </c>
      <c r="D3027" s="17">
        <v>42675</v>
      </c>
      <c r="E3027" t="s">
        <v>1342</v>
      </c>
    </row>
    <row r="3028" spans="3:5">
      <c r="C3028">
        <v>21.81</v>
      </c>
      <c r="D3028" s="17">
        <v>42975</v>
      </c>
      <c r="E3028" t="s">
        <v>1108</v>
      </c>
    </row>
    <row r="3029" spans="3:5">
      <c r="C3029">
        <v>21.84</v>
      </c>
      <c r="D3029" s="17">
        <v>41824</v>
      </c>
      <c r="E3029" t="s">
        <v>1658</v>
      </c>
    </row>
    <row r="3030" spans="3:5">
      <c r="C3030">
        <v>21.84</v>
      </c>
      <c r="D3030" s="17">
        <v>41966</v>
      </c>
      <c r="E3030" t="s">
        <v>1520</v>
      </c>
    </row>
    <row r="3031" spans="3:5">
      <c r="C3031">
        <v>21.864000000000001</v>
      </c>
      <c r="D3031" s="17">
        <v>41889</v>
      </c>
      <c r="E3031" t="s">
        <v>645</v>
      </c>
    </row>
    <row r="3032" spans="3:5">
      <c r="C3032">
        <v>21.88</v>
      </c>
      <c r="D3032" s="17">
        <v>42614</v>
      </c>
      <c r="E3032" t="s">
        <v>1364</v>
      </c>
    </row>
    <row r="3033" spans="3:5">
      <c r="C3033">
        <v>21.880000000000003</v>
      </c>
      <c r="D3033" s="17">
        <v>42443</v>
      </c>
      <c r="E3033" t="s">
        <v>1479</v>
      </c>
    </row>
    <row r="3034" spans="3:5">
      <c r="C3034">
        <v>21.9</v>
      </c>
      <c r="D3034" s="17">
        <v>43029</v>
      </c>
      <c r="E3034" t="s">
        <v>537</v>
      </c>
    </row>
    <row r="3035" spans="3:5">
      <c r="C3035">
        <v>21.92</v>
      </c>
      <c r="D3035" s="17">
        <v>42707</v>
      </c>
      <c r="E3035" t="s">
        <v>1353</v>
      </c>
    </row>
    <row r="3036" spans="3:5">
      <c r="C3036">
        <v>21.93</v>
      </c>
      <c r="D3036" s="17">
        <v>42112</v>
      </c>
      <c r="E3036" t="s">
        <v>382</v>
      </c>
    </row>
    <row r="3037" spans="3:5">
      <c r="C3037">
        <v>21.93</v>
      </c>
      <c r="D3037" s="17">
        <v>42544</v>
      </c>
      <c r="E3037" t="s">
        <v>1740</v>
      </c>
    </row>
    <row r="3038" spans="3:5">
      <c r="C3038">
        <v>21.93</v>
      </c>
      <c r="D3038" s="17">
        <v>42568</v>
      </c>
      <c r="E3038" t="s">
        <v>1582</v>
      </c>
    </row>
    <row r="3039" spans="3:5">
      <c r="C3039">
        <v>21.93</v>
      </c>
      <c r="D3039" s="17">
        <v>43036</v>
      </c>
      <c r="E3039" t="s">
        <v>1128</v>
      </c>
    </row>
    <row r="3040" spans="3:5">
      <c r="C3040">
        <v>21.936000000000003</v>
      </c>
      <c r="D3040" s="17">
        <v>41947</v>
      </c>
      <c r="E3040" t="s">
        <v>183</v>
      </c>
    </row>
    <row r="3041" spans="3:5">
      <c r="C3041">
        <v>21.936000000000003</v>
      </c>
      <c r="D3041" s="17">
        <v>42264</v>
      </c>
      <c r="E3041" t="s">
        <v>340</v>
      </c>
    </row>
    <row r="3042" spans="3:5">
      <c r="C3042">
        <v>21.96</v>
      </c>
      <c r="D3042" s="17">
        <v>42674</v>
      </c>
      <c r="E3042" t="s">
        <v>582</v>
      </c>
    </row>
    <row r="3043" spans="3:5">
      <c r="C3043">
        <v>21.96</v>
      </c>
      <c r="D3043" s="17">
        <v>43000</v>
      </c>
      <c r="E3043" t="s">
        <v>582</v>
      </c>
    </row>
    <row r="3044" spans="3:5">
      <c r="C3044">
        <v>21.96</v>
      </c>
      <c r="D3044" s="17">
        <v>43058</v>
      </c>
      <c r="E3044" t="s">
        <v>1400</v>
      </c>
    </row>
    <row r="3045" spans="3:5">
      <c r="C3045">
        <v>21.968000000000004</v>
      </c>
      <c r="D3045" s="17">
        <v>42136</v>
      </c>
      <c r="E3045" t="s">
        <v>1335</v>
      </c>
    </row>
    <row r="3046" spans="3:5">
      <c r="C3046">
        <v>21.98</v>
      </c>
      <c r="D3046" s="17">
        <v>41961</v>
      </c>
      <c r="E3046" t="s">
        <v>622</v>
      </c>
    </row>
    <row r="3047" spans="3:5">
      <c r="C3047">
        <v>21.98</v>
      </c>
      <c r="D3047" s="17">
        <v>42225</v>
      </c>
      <c r="E3047" t="s">
        <v>812</v>
      </c>
    </row>
    <row r="3048" spans="3:5">
      <c r="C3048">
        <v>21.98</v>
      </c>
      <c r="D3048" s="17">
        <v>42259</v>
      </c>
      <c r="E3048" t="s">
        <v>1698</v>
      </c>
    </row>
    <row r="3049" spans="3:5">
      <c r="C3049">
        <v>21.983999999999995</v>
      </c>
      <c r="D3049" s="17">
        <v>43010</v>
      </c>
      <c r="E3049" t="s">
        <v>748</v>
      </c>
    </row>
    <row r="3050" spans="3:5">
      <c r="C3050">
        <v>21.989999999999995</v>
      </c>
      <c r="D3050" s="17">
        <v>43053</v>
      </c>
      <c r="E3050" t="s">
        <v>626</v>
      </c>
    </row>
    <row r="3051" spans="3:5">
      <c r="C3051">
        <v>21.99</v>
      </c>
      <c r="D3051" s="17">
        <v>42105</v>
      </c>
      <c r="E3051" t="s">
        <v>355</v>
      </c>
    </row>
    <row r="3052" spans="3:5">
      <c r="C3052">
        <v>22</v>
      </c>
      <c r="D3052" s="17">
        <v>42611</v>
      </c>
      <c r="E3052" t="s">
        <v>1016</v>
      </c>
    </row>
    <row r="3053" spans="3:5">
      <c r="C3053">
        <v>22</v>
      </c>
      <c r="D3053" s="17">
        <v>42945</v>
      </c>
      <c r="E3053" t="s">
        <v>1016</v>
      </c>
    </row>
    <row r="3054" spans="3:5">
      <c r="C3054">
        <v>22</v>
      </c>
      <c r="D3054" s="17">
        <v>43052</v>
      </c>
      <c r="E3054" t="s">
        <v>1016</v>
      </c>
    </row>
    <row r="3055" spans="3:5">
      <c r="C3055">
        <v>22</v>
      </c>
      <c r="D3055" s="17">
        <v>43059</v>
      </c>
      <c r="E3055" t="s">
        <v>1447</v>
      </c>
    </row>
    <row r="3056" spans="3:5">
      <c r="C3056">
        <v>22.05</v>
      </c>
      <c r="D3056" s="17">
        <v>42527</v>
      </c>
      <c r="E3056" t="s">
        <v>1714</v>
      </c>
    </row>
    <row r="3057" spans="3:5">
      <c r="C3057">
        <v>22.05</v>
      </c>
      <c r="D3057" s="17">
        <v>42618</v>
      </c>
      <c r="E3057" t="s">
        <v>1489</v>
      </c>
    </row>
    <row r="3058" spans="3:5">
      <c r="C3058">
        <v>22.14</v>
      </c>
      <c r="D3058" s="17">
        <v>42328</v>
      </c>
      <c r="E3058" t="s">
        <v>416</v>
      </c>
    </row>
    <row r="3059" spans="3:5">
      <c r="C3059">
        <v>22.14</v>
      </c>
      <c r="D3059" s="17">
        <v>42547</v>
      </c>
      <c r="E3059" t="s">
        <v>416</v>
      </c>
    </row>
    <row r="3060" spans="3:5">
      <c r="C3060">
        <v>22.14</v>
      </c>
      <c r="D3060" s="17">
        <v>42815</v>
      </c>
      <c r="E3060" t="s">
        <v>416</v>
      </c>
    </row>
    <row r="3061" spans="3:5">
      <c r="C3061">
        <v>22.18</v>
      </c>
      <c r="D3061" s="17">
        <v>42989</v>
      </c>
      <c r="E3061" t="s">
        <v>1179</v>
      </c>
    </row>
    <row r="3062" spans="3:5">
      <c r="C3062">
        <v>22.200000000000003</v>
      </c>
      <c r="D3062" s="17">
        <v>41791</v>
      </c>
      <c r="E3062" t="s">
        <v>608</v>
      </c>
    </row>
    <row r="3063" spans="3:5">
      <c r="C3063">
        <v>22.200000000000003</v>
      </c>
      <c r="D3063" s="17">
        <v>42155</v>
      </c>
      <c r="E3063" t="s">
        <v>608</v>
      </c>
    </row>
    <row r="3064" spans="3:5">
      <c r="C3064">
        <v>22.200000000000003</v>
      </c>
      <c r="D3064" s="17">
        <v>42364</v>
      </c>
      <c r="E3064" t="s">
        <v>74</v>
      </c>
    </row>
    <row r="3065" spans="3:5">
      <c r="C3065">
        <v>22.200000000000003</v>
      </c>
      <c r="D3065" s="17">
        <v>42769</v>
      </c>
      <c r="E3065" t="s">
        <v>211</v>
      </c>
    </row>
    <row r="3066" spans="3:5">
      <c r="C3066">
        <v>22.23</v>
      </c>
      <c r="D3066" s="17">
        <v>42786</v>
      </c>
      <c r="E3066" t="s">
        <v>263</v>
      </c>
    </row>
    <row r="3067" spans="3:5">
      <c r="C3067">
        <v>22.23</v>
      </c>
      <c r="D3067" s="17">
        <v>42916</v>
      </c>
      <c r="E3067" t="s">
        <v>913</v>
      </c>
    </row>
    <row r="3068" spans="3:5">
      <c r="C3068">
        <v>22.240000000000002</v>
      </c>
      <c r="D3068" s="17">
        <v>41924</v>
      </c>
      <c r="E3068" t="s">
        <v>1277</v>
      </c>
    </row>
    <row r="3069" spans="3:5">
      <c r="C3069">
        <v>22.248000000000001</v>
      </c>
      <c r="D3069" s="17">
        <v>42684</v>
      </c>
      <c r="E3069" t="s">
        <v>854</v>
      </c>
    </row>
    <row r="3070" spans="3:5">
      <c r="C3070">
        <v>22.288</v>
      </c>
      <c r="D3070" s="17">
        <v>41832</v>
      </c>
      <c r="E3070" t="s">
        <v>53</v>
      </c>
    </row>
    <row r="3071" spans="3:5">
      <c r="C3071">
        <v>22.288</v>
      </c>
      <c r="D3071" s="17">
        <v>42128</v>
      </c>
      <c r="E3071" t="s">
        <v>491</v>
      </c>
    </row>
    <row r="3072" spans="3:5">
      <c r="C3072">
        <v>22.32</v>
      </c>
      <c r="D3072" s="17">
        <v>41769</v>
      </c>
      <c r="E3072" t="s">
        <v>1494</v>
      </c>
    </row>
    <row r="3073" spans="3:5">
      <c r="C3073">
        <v>22.32</v>
      </c>
      <c r="D3073" s="17">
        <v>42567</v>
      </c>
      <c r="E3073" t="s">
        <v>360</v>
      </c>
    </row>
    <row r="3074" spans="3:5">
      <c r="C3074">
        <v>22.32</v>
      </c>
      <c r="D3074" s="17">
        <v>42595</v>
      </c>
      <c r="E3074" t="s">
        <v>1685</v>
      </c>
    </row>
    <row r="3075" spans="3:5">
      <c r="C3075">
        <v>22.336000000000002</v>
      </c>
      <c r="D3075" s="17">
        <v>41752</v>
      </c>
      <c r="E3075" t="s">
        <v>736</v>
      </c>
    </row>
    <row r="3076" spans="3:5">
      <c r="C3076">
        <v>22.344000000000001</v>
      </c>
      <c r="D3076" s="17">
        <v>42877</v>
      </c>
      <c r="E3076" t="s">
        <v>744</v>
      </c>
    </row>
    <row r="3077" spans="3:5">
      <c r="C3077">
        <v>22.368000000000002</v>
      </c>
      <c r="D3077" s="17">
        <v>42149</v>
      </c>
      <c r="E3077" t="s">
        <v>866</v>
      </c>
    </row>
    <row r="3078" spans="3:5">
      <c r="C3078">
        <v>22.368000000000002</v>
      </c>
      <c r="D3078" s="17">
        <v>42288</v>
      </c>
      <c r="E3078" t="s">
        <v>71</v>
      </c>
    </row>
    <row r="3079" spans="3:5">
      <c r="C3079">
        <v>22.368000000000002</v>
      </c>
      <c r="D3079" s="17">
        <v>42350</v>
      </c>
      <c r="E3079" t="s">
        <v>935</v>
      </c>
    </row>
    <row r="3080" spans="3:5">
      <c r="C3080">
        <v>22.38</v>
      </c>
      <c r="D3080" s="17">
        <v>41708</v>
      </c>
      <c r="E3080" t="s">
        <v>1864</v>
      </c>
    </row>
    <row r="3081" spans="3:5">
      <c r="C3081">
        <v>22.38</v>
      </c>
      <c r="D3081" s="17">
        <v>42094</v>
      </c>
      <c r="E3081" t="s">
        <v>1603</v>
      </c>
    </row>
    <row r="3082" spans="3:5">
      <c r="C3082">
        <v>22.385999999999996</v>
      </c>
      <c r="D3082" s="17">
        <v>42444</v>
      </c>
      <c r="E3082" t="s">
        <v>1216</v>
      </c>
    </row>
    <row r="3083" spans="3:5">
      <c r="C3083">
        <v>22.424000000000003</v>
      </c>
      <c r="D3083" s="17">
        <v>43077</v>
      </c>
      <c r="E3083" t="s">
        <v>1286</v>
      </c>
    </row>
    <row r="3084" spans="3:5">
      <c r="C3084">
        <v>22.428000000000004</v>
      </c>
      <c r="D3084" s="17">
        <v>41944</v>
      </c>
      <c r="E3084" t="s">
        <v>1105</v>
      </c>
    </row>
    <row r="3085" spans="3:5">
      <c r="C3085">
        <v>22.428000000000004</v>
      </c>
      <c r="D3085" s="17">
        <v>42624</v>
      </c>
      <c r="E3085" t="s">
        <v>1105</v>
      </c>
    </row>
    <row r="3086" spans="3:5">
      <c r="C3086">
        <v>22.450000000000003</v>
      </c>
      <c r="D3086" s="17">
        <v>42278</v>
      </c>
      <c r="E3086" t="s">
        <v>353</v>
      </c>
    </row>
    <row r="3087" spans="3:5">
      <c r="C3087">
        <v>22.48</v>
      </c>
      <c r="D3087" s="17">
        <v>42453</v>
      </c>
      <c r="E3087" t="s">
        <v>1542</v>
      </c>
    </row>
    <row r="3088" spans="3:5">
      <c r="C3088">
        <v>22.5</v>
      </c>
      <c r="D3088" s="17">
        <v>41962</v>
      </c>
      <c r="E3088" t="s">
        <v>1024</v>
      </c>
    </row>
    <row r="3089" spans="3:5">
      <c r="C3089">
        <v>22.5</v>
      </c>
      <c r="D3089" s="17">
        <v>42538</v>
      </c>
      <c r="E3089" t="s">
        <v>377</v>
      </c>
    </row>
    <row r="3090" spans="3:5">
      <c r="C3090">
        <v>22.512000000000004</v>
      </c>
      <c r="D3090" s="17">
        <v>42365</v>
      </c>
      <c r="E3090" t="s">
        <v>98</v>
      </c>
    </row>
    <row r="3091" spans="3:5">
      <c r="C3091">
        <v>22.512000000000004</v>
      </c>
      <c r="D3091" s="17">
        <v>42994</v>
      </c>
      <c r="E3091" t="s">
        <v>445</v>
      </c>
    </row>
    <row r="3092" spans="3:5">
      <c r="C3092">
        <v>22.549999999999997</v>
      </c>
      <c r="D3092" s="17">
        <v>41992</v>
      </c>
      <c r="E3092" t="s">
        <v>1450</v>
      </c>
    </row>
    <row r="3093" spans="3:5">
      <c r="C3093">
        <v>22.58</v>
      </c>
      <c r="D3093" s="17">
        <v>41950</v>
      </c>
      <c r="E3093" t="s">
        <v>687</v>
      </c>
    </row>
    <row r="3094" spans="3:5">
      <c r="C3094">
        <v>22.58</v>
      </c>
      <c r="D3094" s="17">
        <v>42101</v>
      </c>
      <c r="E3094" t="s">
        <v>687</v>
      </c>
    </row>
    <row r="3095" spans="3:5">
      <c r="C3095">
        <v>22.58</v>
      </c>
      <c r="D3095" s="17">
        <v>42869</v>
      </c>
      <c r="E3095" t="s">
        <v>687</v>
      </c>
    </row>
    <row r="3096" spans="3:5">
      <c r="C3096">
        <v>22.58</v>
      </c>
      <c r="D3096" s="17">
        <v>43011</v>
      </c>
      <c r="E3096" t="s">
        <v>687</v>
      </c>
    </row>
    <row r="3097" spans="3:5">
      <c r="C3097">
        <v>22.608000000000001</v>
      </c>
      <c r="D3097" s="17">
        <v>42490</v>
      </c>
      <c r="E3097" t="s">
        <v>78</v>
      </c>
    </row>
    <row r="3098" spans="3:5">
      <c r="C3098">
        <v>22.608000000000001</v>
      </c>
      <c r="D3098" s="17">
        <v>42507</v>
      </c>
      <c r="E3098" t="s">
        <v>78</v>
      </c>
    </row>
    <row r="3099" spans="3:5">
      <c r="C3099">
        <v>22.608000000000001</v>
      </c>
      <c r="D3099" s="17">
        <v>42605</v>
      </c>
      <c r="E3099" t="s">
        <v>78</v>
      </c>
    </row>
    <row r="3100" spans="3:5">
      <c r="C3100">
        <v>22.608000000000001</v>
      </c>
      <c r="D3100" s="17">
        <v>42873</v>
      </c>
      <c r="E3100" t="s">
        <v>78</v>
      </c>
    </row>
    <row r="3101" spans="3:5">
      <c r="C3101">
        <v>22.620000000000005</v>
      </c>
      <c r="D3101" s="17">
        <v>42520</v>
      </c>
      <c r="E3101" t="s">
        <v>990</v>
      </c>
    </row>
    <row r="3102" spans="3:5">
      <c r="C3102">
        <v>22.638000000000002</v>
      </c>
      <c r="D3102" s="17">
        <v>43010</v>
      </c>
      <c r="E3102" t="s">
        <v>783</v>
      </c>
    </row>
    <row r="3103" spans="3:5">
      <c r="C3103">
        <v>22.66</v>
      </c>
      <c r="D3103" s="17">
        <v>41895</v>
      </c>
      <c r="E3103" t="s">
        <v>237</v>
      </c>
    </row>
    <row r="3104" spans="3:5">
      <c r="C3104">
        <v>22.68</v>
      </c>
      <c r="D3104" s="17">
        <v>42343</v>
      </c>
      <c r="E3104" t="s">
        <v>100</v>
      </c>
    </row>
    <row r="3105" spans="3:5">
      <c r="C3105">
        <v>22.704000000000001</v>
      </c>
      <c r="D3105" s="17">
        <v>42657</v>
      </c>
      <c r="E3105" t="s">
        <v>587</v>
      </c>
    </row>
    <row r="3106" spans="3:5">
      <c r="C3106">
        <v>22.704000000000004</v>
      </c>
      <c r="D3106" s="17">
        <v>42362</v>
      </c>
      <c r="E3106" t="s">
        <v>1748</v>
      </c>
    </row>
    <row r="3107" spans="3:5">
      <c r="C3107">
        <v>22.72</v>
      </c>
      <c r="D3107" s="17">
        <v>41878</v>
      </c>
      <c r="E3107" t="s">
        <v>1267</v>
      </c>
    </row>
    <row r="3108" spans="3:5">
      <c r="C3108">
        <v>22.72</v>
      </c>
      <c r="D3108" s="17">
        <v>42060</v>
      </c>
      <c r="E3108" t="s">
        <v>815</v>
      </c>
    </row>
    <row r="3109" spans="3:5">
      <c r="C3109">
        <v>22.72</v>
      </c>
      <c r="D3109" s="17">
        <v>42479</v>
      </c>
      <c r="E3109" t="s">
        <v>815</v>
      </c>
    </row>
    <row r="3110" spans="3:5">
      <c r="C3110">
        <v>22.72</v>
      </c>
      <c r="D3110" s="17">
        <v>42518</v>
      </c>
      <c r="E3110" t="s">
        <v>1267</v>
      </c>
    </row>
    <row r="3111" spans="3:5">
      <c r="C3111">
        <v>22.72</v>
      </c>
      <c r="D3111" s="17">
        <v>42617</v>
      </c>
      <c r="E3111" t="s">
        <v>897</v>
      </c>
    </row>
    <row r="3112" spans="3:5">
      <c r="C3112">
        <v>22.72</v>
      </c>
      <c r="D3112" s="17">
        <v>42996</v>
      </c>
      <c r="E3112" t="s">
        <v>815</v>
      </c>
    </row>
    <row r="3113" spans="3:5">
      <c r="C3113">
        <v>22.72</v>
      </c>
      <c r="D3113" s="17">
        <v>43023</v>
      </c>
      <c r="E3113" t="s">
        <v>1321</v>
      </c>
    </row>
    <row r="3114" spans="3:5">
      <c r="C3114">
        <v>22.740000000000002</v>
      </c>
      <c r="D3114" s="17">
        <v>42121</v>
      </c>
      <c r="E3114" t="s">
        <v>127</v>
      </c>
    </row>
    <row r="3115" spans="3:5">
      <c r="C3115">
        <v>22.75</v>
      </c>
      <c r="D3115" s="17">
        <v>42519</v>
      </c>
      <c r="E3115" t="s">
        <v>800</v>
      </c>
    </row>
    <row r="3116" spans="3:5">
      <c r="C3116">
        <v>22.75</v>
      </c>
      <c r="D3116" s="17">
        <v>43080</v>
      </c>
      <c r="E3116" t="s">
        <v>792</v>
      </c>
    </row>
    <row r="3117" spans="3:5">
      <c r="C3117">
        <v>22.752000000000002</v>
      </c>
      <c r="D3117" s="17">
        <v>42686</v>
      </c>
      <c r="E3117" t="s">
        <v>102</v>
      </c>
    </row>
    <row r="3118" spans="3:5">
      <c r="C3118">
        <v>22.752000000000002</v>
      </c>
      <c r="D3118" s="17">
        <v>42968</v>
      </c>
      <c r="E3118" t="s">
        <v>102</v>
      </c>
    </row>
    <row r="3119" spans="3:5">
      <c r="C3119">
        <v>22.77</v>
      </c>
      <c r="D3119" s="17">
        <v>43084</v>
      </c>
      <c r="E3119" t="s">
        <v>1522</v>
      </c>
    </row>
    <row r="3120" spans="3:5">
      <c r="C3120">
        <v>22.776000000000003</v>
      </c>
      <c r="D3120" s="17">
        <v>41694</v>
      </c>
      <c r="E3120" t="s">
        <v>1306</v>
      </c>
    </row>
    <row r="3121" spans="3:5">
      <c r="C3121">
        <v>22.784000000000002</v>
      </c>
      <c r="D3121" s="17">
        <v>42726</v>
      </c>
      <c r="E3121" t="s">
        <v>1574</v>
      </c>
    </row>
    <row r="3122" spans="3:5">
      <c r="C3122">
        <v>22.830000000000002</v>
      </c>
      <c r="D3122" s="17">
        <v>41840</v>
      </c>
      <c r="E3122" t="s">
        <v>517</v>
      </c>
    </row>
    <row r="3123" spans="3:5">
      <c r="C3123">
        <v>22.830000000000002</v>
      </c>
      <c r="D3123" s="17">
        <v>43084</v>
      </c>
      <c r="E3123" t="s">
        <v>517</v>
      </c>
    </row>
    <row r="3124" spans="3:5">
      <c r="C3124">
        <v>22.847999999999999</v>
      </c>
      <c r="D3124" s="17">
        <v>42189</v>
      </c>
      <c r="E3124" t="s">
        <v>1384</v>
      </c>
    </row>
    <row r="3125" spans="3:5">
      <c r="C3125">
        <v>22.847999999999999</v>
      </c>
      <c r="D3125" s="17">
        <v>43051</v>
      </c>
      <c r="E3125" t="s">
        <v>1336</v>
      </c>
    </row>
    <row r="3126" spans="3:5">
      <c r="C3126">
        <v>22.911000000000005</v>
      </c>
      <c r="D3126" s="17">
        <v>42615</v>
      </c>
      <c r="E3126" t="s">
        <v>343</v>
      </c>
    </row>
    <row r="3127" spans="3:5">
      <c r="C3127">
        <v>22.919999999999998</v>
      </c>
      <c r="D3127" s="17">
        <v>42091</v>
      </c>
      <c r="E3127" t="s">
        <v>1076</v>
      </c>
    </row>
    <row r="3128" spans="3:5">
      <c r="C3128">
        <v>22.919999999999998</v>
      </c>
      <c r="D3128" s="17">
        <v>42664</v>
      </c>
      <c r="E3128" t="s">
        <v>860</v>
      </c>
    </row>
    <row r="3129" spans="3:5">
      <c r="C3129">
        <v>22.919999999999998</v>
      </c>
      <c r="D3129" s="17">
        <v>42705</v>
      </c>
      <c r="E3129" t="s">
        <v>89</v>
      </c>
    </row>
    <row r="3130" spans="3:5">
      <c r="C3130">
        <v>22.92</v>
      </c>
      <c r="D3130" s="17">
        <v>41926</v>
      </c>
      <c r="E3130" t="s">
        <v>1084</v>
      </c>
    </row>
    <row r="3131" spans="3:5">
      <c r="C3131">
        <v>22.92</v>
      </c>
      <c r="D3131" s="17">
        <v>42979</v>
      </c>
      <c r="E3131" t="s">
        <v>1084</v>
      </c>
    </row>
    <row r="3132" spans="3:5">
      <c r="C3132">
        <v>22.959999999999997</v>
      </c>
      <c r="D3132" s="17">
        <v>41659</v>
      </c>
      <c r="E3132" t="s">
        <v>265</v>
      </c>
    </row>
    <row r="3133" spans="3:5">
      <c r="C3133">
        <v>22.959999999999997</v>
      </c>
      <c r="D3133" s="17">
        <v>41734</v>
      </c>
      <c r="E3133" t="s">
        <v>943</v>
      </c>
    </row>
    <row r="3134" spans="3:5">
      <c r="C3134">
        <v>22.959999999999997</v>
      </c>
      <c r="D3134" s="17">
        <v>41734</v>
      </c>
      <c r="E3134" t="s">
        <v>530</v>
      </c>
    </row>
    <row r="3135" spans="3:5">
      <c r="C3135">
        <v>22.959999999999997</v>
      </c>
      <c r="D3135" s="17">
        <v>42858</v>
      </c>
      <c r="E3135" t="s">
        <v>625</v>
      </c>
    </row>
    <row r="3136" spans="3:5">
      <c r="C3136">
        <v>22.959999999999997</v>
      </c>
      <c r="D3136" s="17">
        <v>43058</v>
      </c>
      <c r="E3136" t="s">
        <v>963</v>
      </c>
    </row>
    <row r="3137" spans="3:5">
      <c r="C3137">
        <v>22.96</v>
      </c>
      <c r="D3137" s="17">
        <v>41862</v>
      </c>
      <c r="E3137" t="s">
        <v>241</v>
      </c>
    </row>
    <row r="3138" spans="3:5">
      <c r="C3138">
        <v>22.96</v>
      </c>
      <c r="D3138" s="17">
        <v>41925</v>
      </c>
      <c r="E3138" t="s">
        <v>1851</v>
      </c>
    </row>
    <row r="3139" spans="3:5">
      <c r="C3139">
        <v>22.96</v>
      </c>
      <c r="D3139" s="17">
        <v>42266</v>
      </c>
      <c r="E3139" t="s">
        <v>1281</v>
      </c>
    </row>
    <row r="3140" spans="3:5">
      <c r="C3140">
        <v>22.98</v>
      </c>
      <c r="D3140" s="17">
        <v>41954</v>
      </c>
      <c r="E3140" t="s">
        <v>1587</v>
      </c>
    </row>
    <row r="3141" spans="3:5">
      <c r="C3141">
        <v>23</v>
      </c>
      <c r="D3141" s="17">
        <v>42349</v>
      </c>
      <c r="E3141" t="s">
        <v>640</v>
      </c>
    </row>
    <row r="3142" spans="3:5">
      <c r="C3142">
        <v>23.04</v>
      </c>
      <c r="D3142" s="17">
        <v>42221</v>
      </c>
      <c r="E3142" t="s">
        <v>1766</v>
      </c>
    </row>
    <row r="3143" spans="3:5">
      <c r="C3143">
        <v>23.04</v>
      </c>
      <c r="D3143" s="17">
        <v>42705</v>
      </c>
      <c r="E3143" t="s">
        <v>1139</v>
      </c>
    </row>
    <row r="3144" spans="3:5">
      <c r="C3144">
        <v>23.04</v>
      </c>
      <c r="D3144" s="17">
        <v>42842</v>
      </c>
      <c r="E3144" t="s">
        <v>387</v>
      </c>
    </row>
    <row r="3145" spans="3:5">
      <c r="C3145">
        <v>23.076000000000001</v>
      </c>
      <c r="D3145" s="17">
        <v>42376</v>
      </c>
      <c r="E3145" t="s">
        <v>244</v>
      </c>
    </row>
    <row r="3146" spans="3:5">
      <c r="C3146">
        <v>23.08</v>
      </c>
      <c r="D3146" s="17">
        <v>42881</v>
      </c>
      <c r="E3146" t="s">
        <v>573</v>
      </c>
    </row>
    <row r="3147" spans="3:5">
      <c r="C3147">
        <v>23.1</v>
      </c>
      <c r="D3147" s="17">
        <v>41799</v>
      </c>
      <c r="E3147" t="s">
        <v>392</v>
      </c>
    </row>
    <row r="3148" spans="3:5">
      <c r="C3148">
        <v>23.1</v>
      </c>
      <c r="D3148" s="17">
        <v>42819</v>
      </c>
      <c r="E3148" t="s">
        <v>437</v>
      </c>
    </row>
    <row r="3149" spans="3:5">
      <c r="C3149">
        <v>23.1</v>
      </c>
      <c r="D3149" s="17">
        <v>42980</v>
      </c>
      <c r="E3149" t="s">
        <v>1119</v>
      </c>
    </row>
    <row r="3150" spans="3:5">
      <c r="C3150">
        <v>23.12</v>
      </c>
      <c r="D3150" s="17">
        <v>42718</v>
      </c>
      <c r="E3150" t="s">
        <v>219</v>
      </c>
    </row>
    <row r="3151" spans="3:5">
      <c r="C3151">
        <v>23.12</v>
      </c>
      <c r="D3151" s="17">
        <v>42776</v>
      </c>
      <c r="E3151" t="s">
        <v>226</v>
      </c>
    </row>
    <row r="3152" spans="3:5">
      <c r="C3152">
        <v>23.12</v>
      </c>
      <c r="D3152" s="17">
        <v>42792</v>
      </c>
      <c r="E3152" t="s">
        <v>286</v>
      </c>
    </row>
    <row r="3153" spans="3:5">
      <c r="C3153">
        <v>23.120000000000005</v>
      </c>
      <c r="D3153" s="17">
        <v>42533</v>
      </c>
      <c r="E3153" t="s">
        <v>1408</v>
      </c>
    </row>
    <row r="3154" spans="3:5">
      <c r="C3154">
        <v>23.120000000000005</v>
      </c>
      <c r="D3154" s="17">
        <v>43051</v>
      </c>
      <c r="E3154" t="s">
        <v>1408</v>
      </c>
    </row>
    <row r="3155" spans="3:5">
      <c r="C3155">
        <v>23.128</v>
      </c>
      <c r="D3155" s="17">
        <v>43091</v>
      </c>
      <c r="E3155" t="s">
        <v>545</v>
      </c>
    </row>
    <row r="3156" spans="3:5">
      <c r="C3156">
        <v>23.136000000000003</v>
      </c>
      <c r="D3156" s="17">
        <v>42211</v>
      </c>
      <c r="E3156" t="s">
        <v>1548</v>
      </c>
    </row>
    <row r="3157" spans="3:5">
      <c r="C3157">
        <v>23.16</v>
      </c>
      <c r="D3157" s="17">
        <v>42860</v>
      </c>
      <c r="E3157" t="s">
        <v>636</v>
      </c>
    </row>
    <row r="3158" spans="3:5">
      <c r="C3158">
        <v>23.160000000000004</v>
      </c>
      <c r="D3158" s="17">
        <v>42442</v>
      </c>
      <c r="E3158" t="s">
        <v>297</v>
      </c>
    </row>
    <row r="3159" spans="3:5">
      <c r="C3159">
        <v>23.168000000000003</v>
      </c>
      <c r="D3159" s="17">
        <v>42924</v>
      </c>
      <c r="E3159" t="s">
        <v>551</v>
      </c>
    </row>
    <row r="3160" spans="3:5">
      <c r="C3160">
        <v>23.18</v>
      </c>
      <c r="D3160" s="17">
        <v>42965</v>
      </c>
      <c r="E3160" t="s">
        <v>389</v>
      </c>
    </row>
    <row r="3161" spans="3:5">
      <c r="C3161">
        <v>23.2</v>
      </c>
      <c r="D3161" s="17">
        <v>42470</v>
      </c>
      <c r="E3161" t="s">
        <v>569</v>
      </c>
    </row>
    <row r="3162" spans="3:5">
      <c r="C3162">
        <v>23.2</v>
      </c>
      <c r="D3162" s="17">
        <v>42664</v>
      </c>
      <c r="E3162" t="s">
        <v>1003</v>
      </c>
    </row>
    <row r="3163" spans="3:5">
      <c r="C3163">
        <v>23.200000000000003</v>
      </c>
      <c r="D3163" s="17">
        <v>42271</v>
      </c>
      <c r="E3163" t="s">
        <v>1372</v>
      </c>
    </row>
    <row r="3164" spans="3:5">
      <c r="C3164">
        <v>23.24</v>
      </c>
      <c r="D3164" s="17">
        <v>42855</v>
      </c>
      <c r="E3164" t="s">
        <v>206</v>
      </c>
    </row>
    <row r="3165" spans="3:5">
      <c r="C3165">
        <v>23.32</v>
      </c>
      <c r="D3165" s="17">
        <v>42715</v>
      </c>
      <c r="E3165" t="s">
        <v>1232</v>
      </c>
    </row>
    <row r="3166" spans="3:5">
      <c r="C3166">
        <v>23.32</v>
      </c>
      <c r="D3166" s="17">
        <v>42997</v>
      </c>
      <c r="E3166" t="s">
        <v>1232</v>
      </c>
    </row>
    <row r="3167" spans="3:5">
      <c r="C3167">
        <v>23.34</v>
      </c>
      <c r="D3167" s="17">
        <v>41659</v>
      </c>
      <c r="E3167" t="s">
        <v>79</v>
      </c>
    </row>
    <row r="3168" spans="3:5">
      <c r="C3168">
        <v>23.34</v>
      </c>
      <c r="D3168" s="17">
        <v>42590</v>
      </c>
      <c r="E3168" t="s">
        <v>1673</v>
      </c>
    </row>
    <row r="3169" spans="3:5">
      <c r="C3169">
        <v>23.34</v>
      </c>
      <c r="D3169" s="17">
        <v>43007</v>
      </c>
      <c r="E3169" t="s">
        <v>79</v>
      </c>
    </row>
    <row r="3170" spans="3:5">
      <c r="C3170">
        <v>23.344000000000001</v>
      </c>
      <c r="D3170" s="17">
        <v>42329</v>
      </c>
      <c r="E3170" t="s">
        <v>1814</v>
      </c>
    </row>
    <row r="3171" spans="3:5">
      <c r="C3171">
        <v>23.36</v>
      </c>
      <c r="D3171" s="17">
        <v>42400</v>
      </c>
      <c r="E3171" t="s">
        <v>79</v>
      </c>
    </row>
    <row r="3172" spans="3:5">
      <c r="C3172">
        <v>23.36</v>
      </c>
      <c r="D3172" s="17">
        <v>42964</v>
      </c>
      <c r="E3172" t="s">
        <v>79</v>
      </c>
    </row>
    <row r="3173" spans="3:5">
      <c r="C3173">
        <v>23.36</v>
      </c>
      <c r="D3173" s="17">
        <v>43055</v>
      </c>
      <c r="E3173" t="s">
        <v>904</v>
      </c>
    </row>
    <row r="3174" spans="3:5">
      <c r="C3174">
        <v>23.36</v>
      </c>
      <c r="D3174" s="17">
        <v>43080</v>
      </c>
      <c r="E3174" t="s">
        <v>1433</v>
      </c>
    </row>
    <row r="3175" spans="3:5">
      <c r="C3175">
        <v>23.376000000000001</v>
      </c>
      <c r="D3175" s="17">
        <v>43072</v>
      </c>
      <c r="E3175" t="s">
        <v>491</v>
      </c>
    </row>
    <row r="3176" spans="3:5">
      <c r="C3176">
        <v>23.472000000000001</v>
      </c>
      <c r="D3176" s="17">
        <v>41920</v>
      </c>
      <c r="E3176" t="s">
        <v>109</v>
      </c>
    </row>
    <row r="3177" spans="3:5">
      <c r="C3177">
        <v>23.472000000000001</v>
      </c>
      <c r="D3177" s="17">
        <v>41966</v>
      </c>
      <c r="E3177" t="s">
        <v>79</v>
      </c>
    </row>
    <row r="3178" spans="3:5">
      <c r="C3178">
        <v>23.472000000000001</v>
      </c>
      <c r="D3178" s="17">
        <v>41985</v>
      </c>
      <c r="E3178" t="s">
        <v>79</v>
      </c>
    </row>
    <row r="3179" spans="3:5">
      <c r="C3179">
        <v>23.472000000000001</v>
      </c>
      <c r="D3179" s="17">
        <v>42618</v>
      </c>
      <c r="E3179" t="s">
        <v>79</v>
      </c>
    </row>
    <row r="3180" spans="3:5">
      <c r="C3180">
        <v>23.480000000000004</v>
      </c>
      <c r="D3180" s="17">
        <v>42735</v>
      </c>
      <c r="E3180" t="s">
        <v>631</v>
      </c>
    </row>
    <row r="3181" spans="3:5">
      <c r="C3181">
        <v>23.52</v>
      </c>
      <c r="D3181" s="17">
        <v>42093</v>
      </c>
      <c r="E3181" t="s">
        <v>248</v>
      </c>
    </row>
    <row r="3182" spans="3:5">
      <c r="C3182">
        <v>23.55</v>
      </c>
      <c r="D3182" s="17">
        <v>42884</v>
      </c>
      <c r="E3182" t="s">
        <v>770</v>
      </c>
    </row>
    <row r="3183" spans="3:5">
      <c r="C3183">
        <v>23.56</v>
      </c>
      <c r="D3183" s="17">
        <v>42482</v>
      </c>
      <c r="E3183" t="s">
        <v>771</v>
      </c>
    </row>
    <row r="3184" spans="3:5">
      <c r="C3184">
        <v>23.616</v>
      </c>
      <c r="D3184" s="17">
        <v>42531</v>
      </c>
      <c r="E3184" t="s">
        <v>1437</v>
      </c>
    </row>
    <row r="3185" spans="3:5">
      <c r="C3185">
        <v>23.616</v>
      </c>
      <c r="D3185" s="17">
        <v>42696</v>
      </c>
      <c r="E3185" t="s">
        <v>149</v>
      </c>
    </row>
    <row r="3186" spans="3:5">
      <c r="C3186">
        <v>23.64</v>
      </c>
      <c r="D3186" s="17">
        <v>42315</v>
      </c>
      <c r="E3186" t="s">
        <v>383</v>
      </c>
    </row>
    <row r="3187" spans="3:5">
      <c r="C3187">
        <v>23.65</v>
      </c>
      <c r="D3187" s="17">
        <v>42688</v>
      </c>
      <c r="E3187" t="s">
        <v>603</v>
      </c>
    </row>
    <row r="3188" spans="3:5">
      <c r="C3188">
        <v>23.66</v>
      </c>
      <c r="D3188" s="17">
        <v>42338</v>
      </c>
      <c r="E3188" t="s">
        <v>1156</v>
      </c>
    </row>
    <row r="3189" spans="3:5">
      <c r="C3189">
        <v>23.669999999999998</v>
      </c>
      <c r="D3189" s="17">
        <v>42615</v>
      </c>
      <c r="E3189" t="s">
        <v>1234</v>
      </c>
    </row>
    <row r="3190" spans="3:5">
      <c r="C3190">
        <v>23.680000000000003</v>
      </c>
      <c r="D3190" s="17">
        <v>41966</v>
      </c>
      <c r="E3190" t="s">
        <v>817</v>
      </c>
    </row>
    <row r="3191" spans="3:5">
      <c r="C3191">
        <v>23.680000000000003</v>
      </c>
      <c r="D3191" s="17">
        <v>42006</v>
      </c>
      <c r="E3191" t="s">
        <v>644</v>
      </c>
    </row>
    <row r="3192" spans="3:5">
      <c r="C3192">
        <v>23.680000000000003</v>
      </c>
      <c r="D3192" s="17">
        <v>42731</v>
      </c>
      <c r="E3192" t="s">
        <v>290</v>
      </c>
    </row>
    <row r="3193" spans="3:5">
      <c r="C3193">
        <v>23.680000000000003</v>
      </c>
      <c r="D3193" s="17">
        <v>42855</v>
      </c>
      <c r="E3193" t="s">
        <v>608</v>
      </c>
    </row>
    <row r="3194" spans="3:5">
      <c r="C3194">
        <v>23.680000000000003</v>
      </c>
      <c r="D3194" s="17">
        <v>43027</v>
      </c>
      <c r="E3194" t="s">
        <v>290</v>
      </c>
    </row>
    <row r="3195" spans="3:5">
      <c r="C3195">
        <v>23.680000000000003</v>
      </c>
      <c r="D3195" s="17">
        <v>43043</v>
      </c>
      <c r="E3195" t="s">
        <v>817</v>
      </c>
    </row>
    <row r="3196" spans="3:5">
      <c r="C3196">
        <v>23.688000000000002</v>
      </c>
      <c r="D3196" s="17">
        <v>42558</v>
      </c>
      <c r="E3196" t="s">
        <v>1625</v>
      </c>
    </row>
    <row r="3197" spans="3:5">
      <c r="C3197">
        <v>23.696000000000002</v>
      </c>
      <c r="D3197" s="17">
        <v>42127</v>
      </c>
      <c r="E3197" t="s">
        <v>1539</v>
      </c>
    </row>
    <row r="3198" spans="3:5">
      <c r="C3198">
        <v>23.696000000000002</v>
      </c>
      <c r="D3198" s="17">
        <v>42574</v>
      </c>
      <c r="E3198" t="s">
        <v>1539</v>
      </c>
    </row>
    <row r="3199" spans="3:5">
      <c r="C3199">
        <v>23.744</v>
      </c>
      <c r="D3199" s="17">
        <v>41883</v>
      </c>
      <c r="E3199" t="s">
        <v>1767</v>
      </c>
    </row>
    <row r="3200" spans="3:5">
      <c r="C3200">
        <v>23.76</v>
      </c>
      <c r="D3200" s="17">
        <v>42894</v>
      </c>
      <c r="E3200" t="s">
        <v>194</v>
      </c>
    </row>
    <row r="3201" spans="3:5">
      <c r="C3201">
        <v>23.832000000000001</v>
      </c>
      <c r="D3201" s="17">
        <v>42122</v>
      </c>
      <c r="E3201" t="s">
        <v>1509</v>
      </c>
    </row>
    <row r="3202" spans="3:5">
      <c r="C3202">
        <v>23.832000000000001</v>
      </c>
      <c r="D3202" s="17">
        <v>42812</v>
      </c>
      <c r="E3202" t="s">
        <v>391</v>
      </c>
    </row>
    <row r="3203" spans="3:5">
      <c r="C3203">
        <v>23.832000000000001</v>
      </c>
      <c r="D3203" s="17">
        <v>42997</v>
      </c>
      <c r="E3203" t="s">
        <v>391</v>
      </c>
    </row>
    <row r="3204" spans="3:5">
      <c r="C3204">
        <v>23.84</v>
      </c>
      <c r="D3204" s="17">
        <v>42099</v>
      </c>
      <c r="E3204" t="s">
        <v>403</v>
      </c>
    </row>
    <row r="3205" spans="3:5">
      <c r="C3205">
        <v>23.840000000000003</v>
      </c>
      <c r="D3205" s="17">
        <v>41832</v>
      </c>
      <c r="E3205" t="s">
        <v>1256</v>
      </c>
    </row>
    <row r="3206" spans="3:5">
      <c r="C3206">
        <v>23.849999999999998</v>
      </c>
      <c r="D3206" s="17">
        <v>43041</v>
      </c>
      <c r="E3206" t="s">
        <v>481</v>
      </c>
    </row>
    <row r="3207" spans="3:5">
      <c r="C3207">
        <v>23.88</v>
      </c>
      <c r="D3207" s="17">
        <v>41968</v>
      </c>
      <c r="E3207" t="s">
        <v>491</v>
      </c>
    </row>
    <row r="3208" spans="3:5">
      <c r="C3208">
        <v>23.88</v>
      </c>
      <c r="D3208" s="17">
        <v>42800</v>
      </c>
      <c r="E3208" t="s">
        <v>53</v>
      </c>
    </row>
    <row r="3209" spans="3:5">
      <c r="C3209">
        <v>23.88</v>
      </c>
      <c r="D3209" s="17">
        <v>42943</v>
      </c>
      <c r="E3209" t="s">
        <v>491</v>
      </c>
    </row>
    <row r="3210" spans="3:5">
      <c r="C3210">
        <v>23.88</v>
      </c>
      <c r="D3210" s="17">
        <v>43090</v>
      </c>
      <c r="E3210" t="s">
        <v>92</v>
      </c>
    </row>
    <row r="3211" spans="3:5">
      <c r="C3211">
        <v>23.904000000000003</v>
      </c>
      <c r="D3211" s="17">
        <v>42099</v>
      </c>
      <c r="E3211" t="s">
        <v>490</v>
      </c>
    </row>
    <row r="3212" spans="3:5">
      <c r="C3212">
        <v>23.911999999999995</v>
      </c>
      <c r="D3212" s="17">
        <v>42331</v>
      </c>
      <c r="E3212" t="s">
        <v>515</v>
      </c>
    </row>
    <row r="3213" spans="3:5">
      <c r="C3213">
        <v>23.92</v>
      </c>
      <c r="D3213" s="17">
        <v>41829</v>
      </c>
      <c r="E3213" t="s">
        <v>1716</v>
      </c>
    </row>
    <row r="3214" spans="3:5">
      <c r="C3214">
        <v>23.92</v>
      </c>
      <c r="D3214" s="17">
        <v>42000</v>
      </c>
      <c r="E3214" t="s">
        <v>1772</v>
      </c>
    </row>
    <row r="3215" spans="3:5">
      <c r="C3215">
        <v>23.92</v>
      </c>
      <c r="D3215" s="17">
        <v>42068</v>
      </c>
      <c r="E3215" t="s">
        <v>1224</v>
      </c>
    </row>
    <row r="3216" spans="3:5">
      <c r="C3216">
        <v>23.92</v>
      </c>
      <c r="D3216" s="17">
        <v>42237</v>
      </c>
      <c r="E3216" t="s">
        <v>1839</v>
      </c>
    </row>
    <row r="3217" spans="3:5">
      <c r="C3217">
        <v>23.92</v>
      </c>
      <c r="D3217" s="17">
        <v>42268</v>
      </c>
      <c r="E3217" t="s">
        <v>1667</v>
      </c>
    </row>
    <row r="3218" spans="3:5">
      <c r="C3218">
        <v>23.92</v>
      </c>
      <c r="D3218" s="17">
        <v>42286</v>
      </c>
      <c r="E3218" t="s">
        <v>1266</v>
      </c>
    </row>
    <row r="3219" spans="3:5">
      <c r="C3219">
        <v>23.92</v>
      </c>
      <c r="D3219" s="17">
        <v>42705</v>
      </c>
      <c r="E3219" t="s">
        <v>1608</v>
      </c>
    </row>
    <row r="3220" spans="3:5">
      <c r="C3220">
        <v>23.92</v>
      </c>
      <c r="D3220" s="17">
        <v>42902</v>
      </c>
      <c r="E3220" t="s">
        <v>857</v>
      </c>
    </row>
    <row r="3221" spans="3:5">
      <c r="C3221">
        <v>23.92</v>
      </c>
      <c r="D3221" s="17">
        <v>43073</v>
      </c>
      <c r="E3221" t="s">
        <v>1495</v>
      </c>
    </row>
    <row r="3222" spans="3:5">
      <c r="C3222">
        <v>23.952000000000002</v>
      </c>
      <c r="D3222" s="17">
        <v>42482</v>
      </c>
      <c r="E3222" t="s">
        <v>1664</v>
      </c>
    </row>
    <row r="3223" spans="3:5">
      <c r="C3223">
        <v>23.968000000000004</v>
      </c>
      <c r="D3223" s="17">
        <v>41954</v>
      </c>
      <c r="E3223" t="s">
        <v>1774</v>
      </c>
    </row>
    <row r="3224" spans="3:5">
      <c r="C3224">
        <v>23.968000000000004</v>
      </c>
      <c r="D3224" s="17">
        <v>42613</v>
      </c>
      <c r="E3224" t="s">
        <v>1014</v>
      </c>
    </row>
    <row r="3225" spans="3:5">
      <c r="C3225">
        <v>23.968000000000004</v>
      </c>
      <c r="D3225" s="17">
        <v>43059</v>
      </c>
      <c r="E3225" t="s">
        <v>1077</v>
      </c>
    </row>
    <row r="3226" spans="3:5">
      <c r="C3226">
        <v>23.975999999999999</v>
      </c>
      <c r="D3226" s="17">
        <v>42652</v>
      </c>
      <c r="E3226" t="s">
        <v>482</v>
      </c>
    </row>
    <row r="3227" spans="3:5">
      <c r="C3227">
        <v>23.976000000000003</v>
      </c>
      <c r="D3227" s="17">
        <v>41876</v>
      </c>
      <c r="E3227" t="s">
        <v>1515</v>
      </c>
    </row>
    <row r="3228" spans="3:5">
      <c r="C3228">
        <v>23.976000000000003</v>
      </c>
      <c r="D3228" s="17">
        <v>41979</v>
      </c>
      <c r="E3228" t="s">
        <v>118</v>
      </c>
    </row>
    <row r="3229" spans="3:5">
      <c r="C3229">
        <v>23.976000000000003</v>
      </c>
      <c r="D3229" s="17">
        <v>42002</v>
      </c>
      <c r="E3229" t="s">
        <v>482</v>
      </c>
    </row>
    <row r="3230" spans="3:5">
      <c r="C3230">
        <v>23.976000000000003</v>
      </c>
      <c r="D3230" s="17">
        <v>42826</v>
      </c>
      <c r="E3230" t="s">
        <v>482</v>
      </c>
    </row>
    <row r="3231" spans="3:5">
      <c r="C3231">
        <v>23.976000000000003</v>
      </c>
      <c r="D3231" s="17">
        <v>42895</v>
      </c>
      <c r="E3231" t="s">
        <v>118</v>
      </c>
    </row>
    <row r="3232" spans="3:5">
      <c r="C3232">
        <v>23.987999999999996</v>
      </c>
      <c r="D3232" s="17">
        <v>41834</v>
      </c>
      <c r="E3232" t="s">
        <v>1426</v>
      </c>
    </row>
    <row r="3233" spans="3:5">
      <c r="C3233">
        <v>23.987999999999996</v>
      </c>
      <c r="D3233" s="17">
        <v>42614</v>
      </c>
      <c r="E3233" t="s">
        <v>198</v>
      </c>
    </row>
    <row r="3234" spans="3:5">
      <c r="C3234">
        <v>23.987999999999996</v>
      </c>
      <c r="D3234" s="17">
        <v>42679</v>
      </c>
      <c r="E3234" t="s">
        <v>1317</v>
      </c>
    </row>
    <row r="3235" spans="3:5">
      <c r="C3235">
        <v>23.99</v>
      </c>
      <c r="D3235" s="17">
        <v>41997</v>
      </c>
      <c r="E3235" t="s">
        <v>321</v>
      </c>
    </row>
    <row r="3236" spans="3:5">
      <c r="C3236">
        <v>23.99</v>
      </c>
      <c r="D3236" s="17">
        <v>42083</v>
      </c>
      <c r="E3236" t="s">
        <v>1354</v>
      </c>
    </row>
    <row r="3237" spans="3:5">
      <c r="C3237">
        <v>23.99</v>
      </c>
      <c r="D3237" s="17">
        <v>42919</v>
      </c>
      <c r="E3237" t="s">
        <v>321</v>
      </c>
    </row>
    <row r="3238" spans="3:5">
      <c r="C3238">
        <v>23.991999999999994</v>
      </c>
      <c r="D3238" s="17">
        <v>43029</v>
      </c>
      <c r="E3238" t="s">
        <v>968</v>
      </c>
    </row>
    <row r="3239" spans="3:5">
      <c r="C3239">
        <v>24</v>
      </c>
      <c r="D3239" s="17">
        <v>42280</v>
      </c>
      <c r="E3239" t="s">
        <v>751</v>
      </c>
    </row>
    <row r="3240" spans="3:5">
      <c r="C3240">
        <v>24</v>
      </c>
      <c r="D3240" s="17">
        <v>42919</v>
      </c>
      <c r="E3240" t="s">
        <v>751</v>
      </c>
    </row>
    <row r="3241" spans="3:5">
      <c r="C3241">
        <v>24</v>
      </c>
      <c r="D3241" s="17">
        <v>43036</v>
      </c>
      <c r="E3241" t="s">
        <v>751</v>
      </c>
    </row>
    <row r="3242" spans="3:5">
      <c r="C3242">
        <v>24.032</v>
      </c>
      <c r="D3242" s="17">
        <v>42696</v>
      </c>
      <c r="E3242" t="s">
        <v>705</v>
      </c>
    </row>
    <row r="3243" spans="3:5">
      <c r="C3243">
        <v>24.048000000000002</v>
      </c>
      <c r="D3243" s="17">
        <v>43062</v>
      </c>
      <c r="E3243" t="s">
        <v>1455</v>
      </c>
    </row>
    <row r="3244" spans="3:5">
      <c r="C3244">
        <v>24.1</v>
      </c>
      <c r="D3244" s="17">
        <v>42305</v>
      </c>
      <c r="E3244" t="s">
        <v>1356</v>
      </c>
    </row>
    <row r="3245" spans="3:5">
      <c r="C3245">
        <v>24.1</v>
      </c>
      <c r="D3245" s="17">
        <v>42567</v>
      </c>
      <c r="E3245" t="s">
        <v>68</v>
      </c>
    </row>
    <row r="3246" spans="3:5">
      <c r="C3246">
        <v>24.1</v>
      </c>
      <c r="D3246" s="17">
        <v>42614</v>
      </c>
      <c r="E3246" t="s">
        <v>68</v>
      </c>
    </row>
    <row r="3247" spans="3:5">
      <c r="C3247">
        <v>24.1</v>
      </c>
      <c r="D3247" s="17">
        <v>42677</v>
      </c>
      <c r="E3247" t="s">
        <v>1356</v>
      </c>
    </row>
    <row r="3248" spans="3:5">
      <c r="C3248">
        <v>24.14</v>
      </c>
      <c r="D3248" s="17">
        <v>42848</v>
      </c>
      <c r="E3248" t="s">
        <v>585</v>
      </c>
    </row>
    <row r="3249" spans="3:5">
      <c r="C3249">
        <v>24.18</v>
      </c>
      <c r="D3249" s="17">
        <v>42988</v>
      </c>
      <c r="E3249" t="s">
        <v>1172</v>
      </c>
    </row>
    <row r="3250" spans="3:5">
      <c r="C3250">
        <v>24.192</v>
      </c>
      <c r="D3250" s="17">
        <v>42328</v>
      </c>
      <c r="E3250" t="s">
        <v>1202</v>
      </c>
    </row>
    <row r="3251" spans="3:5">
      <c r="C3251">
        <v>24.2</v>
      </c>
      <c r="D3251" s="17">
        <v>42755</v>
      </c>
      <c r="E3251" t="s">
        <v>127</v>
      </c>
    </row>
    <row r="3252" spans="3:5">
      <c r="C3252">
        <v>24.224000000000004</v>
      </c>
      <c r="D3252" s="17">
        <v>42638</v>
      </c>
      <c r="E3252" t="s">
        <v>797</v>
      </c>
    </row>
    <row r="3253" spans="3:5">
      <c r="C3253">
        <v>24.27</v>
      </c>
      <c r="D3253" s="17">
        <v>42617</v>
      </c>
      <c r="E3253" t="s">
        <v>1181</v>
      </c>
    </row>
    <row r="3254" spans="3:5">
      <c r="C3254">
        <v>24.288</v>
      </c>
      <c r="D3254" s="17">
        <v>42274</v>
      </c>
      <c r="E3254" t="s">
        <v>1064</v>
      </c>
    </row>
    <row r="3255" spans="3:5">
      <c r="C3255">
        <v>24.3</v>
      </c>
      <c r="D3255" s="17">
        <v>42124</v>
      </c>
      <c r="E3255" t="s">
        <v>589</v>
      </c>
    </row>
    <row r="3256" spans="3:5">
      <c r="C3256">
        <v>24.32</v>
      </c>
      <c r="D3256" s="17">
        <v>42262</v>
      </c>
      <c r="E3256" t="s">
        <v>67</v>
      </c>
    </row>
    <row r="3257" spans="3:5">
      <c r="C3257">
        <v>24.320000000000004</v>
      </c>
      <c r="D3257" s="17">
        <v>42960</v>
      </c>
      <c r="E3257" t="s">
        <v>74</v>
      </c>
    </row>
    <row r="3258" spans="3:5">
      <c r="C3258">
        <v>24.320000000000004</v>
      </c>
      <c r="D3258" s="17">
        <v>43085</v>
      </c>
      <c r="E3258" t="s">
        <v>1404</v>
      </c>
    </row>
    <row r="3259" spans="3:5">
      <c r="C3259">
        <v>24.368000000000002</v>
      </c>
      <c r="D3259" s="17">
        <v>43027</v>
      </c>
      <c r="E3259" t="s">
        <v>1329</v>
      </c>
    </row>
    <row r="3260" spans="3:5">
      <c r="C3260">
        <v>24.4</v>
      </c>
      <c r="D3260" s="17">
        <v>42265</v>
      </c>
      <c r="E3260" t="s">
        <v>472</v>
      </c>
    </row>
    <row r="3261" spans="3:5">
      <c r="C3261">
        <v>24.400000000000002</v>
      </c>
      <c r="D3261" s="17">
        <v>42315</v>
      </c>
      <c r="E3261" t="s">
        <v>307</v>
      </c>
    </row>
    <row r="3262" spans="3:5">
      <c r="C3262">
        <v>24.424000000000003</v>
      </c>
      <c r="D3262" s="17">
        <v>41932</v>
      </c>
      <c r="E3262" t="s">
        <v>330</v>
      </c>
    </row>
    <row r="3263" spans="3:5">
      <c r="C3263">
        <v>24.424000000000003</v>
      </c>
      <c r="D3263" s="17">
        <v>42271</v>
      </c>
      <c r="E3263" t="s">
        <v>330</v>
      </c>
    </row>
    <row r="3264" spans="3:5">
      <c r="C3264">
        <v>24.448</v>
      </c>
      <c r="D3264" s="17">
        <v>42267</v>
      </c>
      <c r="E3264" t="s">
        <v>1634</v>
      </c>
    </row>
    <row r="3265" spans="3:5">
      <c r="C3265">
        <v>24.448</v>
      </c>
      <c r="D3265" s="17">
        <v>42350</v>
      </c>
      <c r="E3265" t="s">
        <v>1634</v>
      </c>
    </row>
    <row r="3266" spans="3:5">
      <c r="C3266">
        <v>24.448</v>
      </c>
      <c r="D3266" s="17">
        <v>42981</v>
      </c>
      <c r="E3266" t="s">
        <v>89</v>
      </c>
    </row>
    <row r="3267" spans="3:5">
      <c r="C3267">
        <v>24.448</v>
      </c>
      <c r="D3267" s="17">
        <v>43003</v>
      </c>
      <c r="E3267" t="s">
        <v>1076</v>
      </c>
    </row>
    <row r="3268" spans="3:5">
      <c r="C3268">
        <v>24.448</v>
      </c>
      <c r="D3268" s="17">
        <v>43072</v>
      </c>
      <c r="E3268" t="s">
        <v>860</v>
      </c>
    </row>
    <row r="3269" spans="3:5">
      <c r="C3269">
        <v>24.472000000000001</v>
      </c>
      <c r="D3269" s="17">
        <v>42889</v>
      </c>
      <c r="E3269" t="s">
        <v>780</v>
      </c>
    </row>
    <row r="3270" spans="3:5">
      <c r="C3270">
        <v>24.55</v>
      </c>
      <c r="D3270" s="17">
        <v>43028</v>
      </c>
      <c r="E3270" t="s">
        <v>599</v>
      </c>
    </row>
    <row r="3271" spans="3:5">
      <c r="C3271">
        <v>24.56</v>
      </c>
      <c r="D3271" s="17">
        <v>41764</v>
      </c>
      <c r="E3271" t="s">
        <v>1424</v>
      </c>
    </row>
    <row r="3272" spans="3:5">
      <c r="C3272">
        <v>24.56</v>
      </c>
      <c r="D3272" s="17">
        <v>41978</v>
      </c>
      <c r="E3272" t="s">
        <v>1451</v>
      </c>
    </row>
    <row r="3273" spans="3:5">
      <c r="C3273">
        <v>24.56</v>
      </c>
      <c r="D3273" s="17">
        <v>42002</v>
      </c>
      <c r="E3273" t="s">
        <v>1451</v>
      </c>
    </row>
    <row r="3274" spans="3:5">
      <c r="C3274">
        <v>24.56</v>
      </c>
      <c r="D3274" s="17">
        <v>42167</v>
      </c>
      <c r="E3274" t="s">
        <v>1451</v>
      </c>
    </row>
    <row r="3275" spans="3:5">
      <c r="C3275">
        <v>24.56</v>
      </c>
      <c r="D3275" s="17">
        <v>42297</v>
      </c>
      <c r="E3275" t="s">
        <v>296</v>
      </c>
    </row>
    <row r="3276" spans="3:5">
      <c r="C3276">
        <v>24.56</v>
      </c>
      <c r="D3276" s="17">
        <v>42614</v>
      </c>
      <c r="E3276" t="s">
        <v>122</v>
      </c>
    </row>
    <row r="3277" spans="3:5">
      <c r="C3277">
        <v>24.56</v>
      </c>
      <c r="D3277" s="17">
        <v>42905</v>
      </c>
      <c r="E3277" t="s">
        <v>873</v>
      </c>
    </row>
    <row r="3278" spans="3:5">
      <c r="C3278">
        <v>24.56</v>
      </c>
      <c r="D3278" s="17">
        <v>42919</v>
      </c>
      <c r="E3278" t="s">
        <v>122</v>
      </c>
    </row>
    <row r="3279" spans="3:5">
      <c r="C3279">
        <v>24.56</v>
      </c>
      <c r="D3279" s="17">
        <v>42924</v>
      </c>
      <c r="E3279" t="s">
        <v>296</v>
      </c>
    </row>
    <row r="3280" spans="3:5">
      <c r="C3280">
        <v>24.56</v>
      </c>
      <c r="D3280" s="17">
        <v>42954</v>
      </c>
      <c r="E3280" t="s">
        <v>122</v>
      </c>
    </row>
    <row r="3281" spans="3:5">
      <c r="C3281">
        <v>24.587999999999994</v>
      </c>
      <c r="D3281" s="17">
        <v>41796</v>
      </c>
      <c r="E3281" t="s">
        <v>348</v>
      </c>
    </row>
    <row r="3282" spans="3:5">
      <c r="C3282">
        <v>24.587999999999994</v>
      </c>
      <c r="D3282" s="17">
        <v>42329</v>
      </c>
      <c r="E3282" t="s">
        <v>1815</v>
      </c>
    </row>
    <row r="3283" spans="3:5">
      <c r="C3283">
        <v>24.588000000000001</v>
      </c>
      <c r="D3283" s="17">
        <v>42145</v>
      </c>
      <c r="E3283" t="s">
        <v>107</v>
      </c>
    </row>
    <row r="3284" spans="3:5">
      <c r="C3284">
        <v>24.64</v>
      </c>
      <c r="D3284" s="17">
        <v>42258</v>
      </c>
      <c r="E3284" t="s">
        <v>1726</v>
      </c>
    </row>
    <row r="3285" spans="3:5">
      <c r="C3285">
        <v>24.64</v>
      </c>
      <c r="D3285" s="17">
        <v>42953</v>
      </c>
      <c r="E3285" t="s">
        <v>1038</v>
      </c>
    </row>
    <row r="3286" spans="3:5">
      <c r="C3286">
        <v>24.672000000000001</v>
      </c>
      <c r="D3286" s="17">
        <v>41968</v>
      </c>
      <c r="E3286" t="s">
        <v>1736</v>
      </c>
    </row>
    <row r="3287" spans="3:5">
      <c r="C3287">
        <v>24.672000000000001</v>
      </c>
      <c r="D3287" s="17">
        <v>42262</v>
      </c>
      <c r="E3287" t="s">
        <v>1160</v>
      </c>
    </row>
    <row r="3288" spans="3:5">
      <c r="C3288">
        <v>24.672000000000001</v>
      </c>
      <c r="D3288" s="17">
        <v>42971</v>
      </c>
      <c r="E3288" t="s">
        <v>185</v>
      </c>
    </row>
    <row r="3289" spans="3:5">
      <c r="C3289">
        <v>24.700000000000003</v>
      </c>
      <c r="D3289" s="17">
        <v>42468</v>
      </c>
      <c r="E3289" t="s">
        <v>187</v>
      </c>
    </row>
    <row r="3290" spans="3:5">
      <c r="C3290">
        <v>24.700000000000003</v>
      </c>
      <c r="D3290" s="17">
        <v>42579</v>
      </c>
      <c r="E3290" t="s">
        <v>1288</v>
      </c>
    </row>
    <row r="3291" spans="3:5">
      <c r="C3291">
        <v>24.704000000000001</v>
      </c>
      <c r="D3291" s="17">
        <v>42706</v>
      </c>
      <c r="E3291" t="s">
        <v>297</v>
      </c>
    </row>
    <row r="3292" spans="3:5">
      <c r="C3292">
        <v>24.75</v>
      </c>
      <c r="D3292" s="17">
        <v>42568</v>
      </c>
      <c r="E3292" t="s">
        <v>804</v>
      </c>
    </row>
    <row r="3293" spans="3:5">
      <c r="C3293">
        <v>24.78</v>
      </c>
      <c r="D3293" s="17">
        <v>42168</v>
      </c>
      <c r="E3293" t="s">
        <v>1559</v>
      </c>
    </row>
    <row r="3294" spans="3:5">
      <c r="C3294">
        <v>24.784000000000002</v>
      </c>
      <c r="D3294" s="17">
        <v>42698</v>
      </c>
      <c r="E3294" t="s">
        <v>1089</v>
      </c>
    </row>
    <row r="3295" spans="3:5">
      <c r="C3295">
        <v>24.784000000000002</v>
      </c>
      <c r="D3295" s="17">
        <v>42869</v>
      </c>
      <c r="E3295" t="s">
        <v>94</v>
      </c>
    </row>
    <row r="3296" spans="3:5">
      <c r="C3296">
        <v>24.816000000000003</v>
      </c>
      <c r="D3296" s="17">
        <v>41978</v>
      </c>
      <c r="E3296" t="s">
        <v>384</v>
      </c>
    </row>
    <row r="3297" spans="3:5">
      <c r="C3297">
        <v>24.816000000000003</v>
      </c>
      <c r="D3297" s="17">
        <v>42366</v>
      </c>
      <c r="E3297" t="s">
        <v>1245</v>
      </c>
    </row>
    <row r="3298" spans="3:5">
      <c r="C3298">
        <v>24.816000000000003</v>
      </c>
      <c r="D3298" s="17">
        <v>43074</v>
      </c>
      <c r="E3298" t="s">
        <v>1502</v>
      </c>
    </row>
    <row r="3299" spans="3:5">
      <c r="C3299">
        <v>24.816000000000003</v>
      </c>
      <c r="D3299" s="17">
        <v>43086</v>
      </c>
      <c r="E3299" t="s">
        <v>1502</v>
      </c>
    </row>
    <row r="3300" spans="3:5">
      <c r="C3300">
        <v>24.839999999999996</v>
      </c>
      <c r="D3300" s="17">
        <v>43021</v>
      </c>
      <c r="E3300" t="s">
        <v>1315</v>
      </c>
    </row>
    <row r="3301" spans="3:5">
      <c r="C3301">
        <v>24.849999999999998</v>
      </c>
      <c r="D3301" s="17">
        <v>42379</v>
      </c>
      <c r="E3301" t="s">
        <v>182</v>
      </c>
    </row>
    <row r="3302" spans="3:5">
      <c r="C3302">
        <v>24.849999999999998</v>
      </c>
      <c r="D3302" s="17">
        <v>42727</v>
      </c>
      <c r="E3302" t="s">
        <v>1185</v>
      </c>
    </row>
    <row r="3303" spans="3:5">
      <c r="C3303">
        <v>24.88</v>
      </c>
      <c r="D3303" s="17">
        <v>42687</v>
      </c>
      <c r="E3303" t="s">
        <v>1314</v>
      </c>
    </row>
    <row r="3304" spans="3:5">
      <c r="C3304">
        <v>24.896000000000001</v>
      </c>
      <c r="D3304" s="17">
        <v>41811</v>
      </c>
      <c r="E3304" t="s">
        <v>79</v>
      </c>
    </row>
    <row r="3305" spans="3:5">
      <c r="C3305">
        <v>24.896000000000001</v>
      </c>
      <c r="D3305" s="17">
        <v>41958</v>
      </c>
      <c r="E3305" t="s">
        <v>291</v>
      </c>
    </row>
    <row r="3306" spans="3:5">
      <c r="C3306">
        <v>24.900000000000002</v>
      </c>
      <c r="D3306" s="17">
        <v>41722</v>
      </c>
      <c r="E3306" t="s">
        <v>1798</v>
      </c>
    </row>
    <row r="3307" spans="3:5">
      <c r="C3307">
        <v>24.900000000000002</v>
      </c>
      <c r="D3307" s="17">
        <v>42002</v>
      </c>
      <c r="E3307" t="s">
        <v>222</v>
      </c>
    </row>
    <row r="3308" spans="3:5">
      <c r="C3308">
        <v>24.900000000000002</v>
      </c>
      <c r="D3308" s="17">
        <v>42656</v>
      </c>
      <c r="E3308" t="s">
        <v>1580</v>
      </c>
    </row>
    <row r="3309" spans="3:5">
      <c r="C3309">
        <v>24.900000000000002</v>
      </c>
      <c r="D3309" s="17">
        <v>42988</v>
      </c>
      <c r="E3309" t="s">
        <v>1171</v>
      </c>
    </row>
    <row r="3310" spans="3:5">
      <c r="C3310">
        <v>24.96</v>
      </c>
      <c r="D3310" s="17">
        <v>42184</v>
      </c>
      <c r="E3310" t="s">
        <v>274</v>
      </c>
    </row>
    <row r="3311" spans="3:5">
      <c r="C3311">
        <v>24.96</v>
      </c>
      <c r="D3311" s="17">
        <v>42515</v>
      </c>
      <c r="E3311" t="s">
        <v>1679</v>
      </c>
    </row>
    <row r="3312" spans="3:5">
      <c r="C3312">
        <v>24.96</v>
      </c>
      <c r="D3312" s="17">
        <v>42656</v>
      </c>
      <c r="E3312" t="s">
        <v>1670</v>
      </c>
    </row>
    <row r="3313" spans="3:5">
      <c r="C3313">
        <v>25.02</v>
      </c>
      <c r="D3313" s="17">
        <v>42779</v>
      </c>
      <c r="E3313" t="s">
        <v>234</v>
      </c>
    </row>
    <row r="3314" spans="3:5">
      <c r="C3314">
        <v>25.02</v>
      </c>
      <c r="D3314" s="17">
        <v>43041</v>
      </c>
      <c r="E3314" t="s">
        <v>1366</v>
      </c>
    </row>
    <row r="3315" spans="3:5">
      <c r="C3315">
        <v>25.031999999999996</v>
      </c>
      <c r="D3315" s="17">
        <v>42260</v>
      </c>
      <c r="E3315" t="s">
        <v>595</v>
      </c>
    </row>
    <row r="3316" spans="3:5">
      <c r="C3316">
        <v>25.031999999999996</v>
      </c>
      <c r="D3316" s="17">
        <v>42264</v>
      </c>
      <c r="E3316" t="s">
        <v>595</v>
      </c>
    </row>
    <row r="3317" spans="3:5">
      <c r="C3317">
        <v>25.031999999999996</v>
      </c>
      <c r="D3317" s="17">
        <v>42670</v>
      </c>
      <c r="E3317" t="s">
        <v>595</v>
      </c>
    </row>
    <row r="3318" spans="3:5">
      <c r="C3318">
        <v>25.06</v>
      </c>
      <c r="D3318" s="17">
        <v>41972</v>
      </c>
      <c r="E3318" t="s">
        <v>942</v>
      </c>
    </row>
    <row r="3319" spans="3:5">
      <c r="C3319">
        <v>25.06</v>
      </c>
      <c r="D3319" s="17">
        <v>42223</v>
      </c>
      <c r="E3319" t="s">
        <v>666</v>
      </c>
    </row>
    <row r="3320" spans="3:5">
      <c r="C3320">
        <v>25.06</v>
      </c>
      <c r="D3320" s="17">
        <v>42474</v>
      </c>
      <c r="E3320" t="s">
        <v>592</v>
      </c>
    </row>
    <row r="3321" spans="3:5">
      <c r="C3321">
        <v>25.06</v>
      </c>
      <c r="D3321" s="17">
        <v>42618</v>
      </c>
      <c r="E3321" t="s">
        <v>666</v>
      </c>
    </row>
    <row r="3322" spans="3:5">
      <c r="C3322">
        <v>25.06</v>
      </c>
      <c r="D3322" s="17">
        <v>42799</v>
      </c>
      <c r="E3322" t="s">
        <v>311</v>
      </c>
    </row>
    <row r="3323" spans="3:5">
      <c r="C3323">
        <v>25.060000000000002</v>
      </c>
      <c r="D3323" s="17">
        <v>43058</v>
      </c>
      <c r="E3323" t="s">
        <v>518</v>
      </c>
    </row>
    <row r="3324" spans="3:5">
      <c r="C3324">
        <v>25.08</v>
      </c>
      <c r="D3324" s="17">
        <v>42342</v>
      </c>
      <c r="E3324" t="s">
        <v>1186</v>
      </c>
    </row>
    <row r="3325" spans="3:5">
      <c r="C3325">
        <v>25.11</v>
      </c>
      <c r="D3325" s="17">
        <v>42827</v>
      </c>
      <c r="E3325" t="s">
        <v>339</v>
      </c>
    </row>
    <row r="3326" spans="3:5">
      <c r="C3326">
        <v>25.12</v>
      </c>
      <c r="D3326" s="17">
        <v>42498</v>
      </c>
      <c r="E3326" t="s">
        <v>476</v>
      </c>
    </row>
    <row r="3327" spans="3:5">
      <c r="C3327">
        <v>25.120000000000005</v>
      </c>
      <c r="D3327" s="17">
        <v>43040</v>
      </c>
      <c r="E3327" t="s">
        <v>1361</v>
      </c>
    </row>
    <row r="3328" spans="3:5">
      <c r="C3328">
        <v>25.128000000000004</v>
      </c>
      <c r="D3328" s="17">
        <v>41955</v>
      </c>
      <c r="E3328" t="s">
        <v>1843</v>
      </c>
    </row>
    <row r="3329" spans="3:5">
      <c r="C3329">
        <v>25.16</v>
      </c>
      <c r="D3329" s="17">
        <v>41688</v>
      </c>
      <c r="E3329" t="s">
        <v>872</v>
      </c>
    </row>
    <row r="3330" spans="3:5">
      <c r="C3330">
        <v>25.16</v>
      </c>
      <c r="D3330" s="17">
        <v>42915</v>
      </c>
      <c r="E3330" t="s">
        <v>171</v>
      </c>
    </row>
    <row r="3331" spans="3:5">
      <c r="C3331">
        <v>25.16</v>
      </c>
      <c r="D3331" s="17">
        <v>42968</v>
      </c>
      <c r="E3331" t="s">
        <v>171</v>
      </c>
    </row>
    <row r="3332" spans="3:5">
      <c r="C3332">
        <v>25.16</v>
      </c>
      <c r="D3332" s="17">
        <v>42985</v>
      </c>
      <c r="E3332" t="s">
        <v>872</v>
      </c>
    </row>
    <row r="3333" spans="3:5">
      <c r="C3333">
        <v>25.164000000000001</v>
      </c>
      <c r="D3333" s="17">
        <v>41811</v>
      </c>
      <c r="E3333" t="s">
        <v>1146</v>
      </c>
    </row>
    <row r="3334" spans="3:5">
      <c r="C3334">
        <v>25.176000000000002</v>
      </c>
      <c r="D3334" s="17">
        <v>42517</v>
      </c>
      <c r="E3334" t="s">
        <v>944</v>
      </c>
    </row>
    <row r="3335" spans="3:5">
      <c r="C3335">
        <v>25.176000000000005</v>
      </c>
      <c r="D3335" s="17">
        <v>42210</v>
      </c>
      <c r="E3335" t="s">
        <v>997</v>
      </c>
    </row>
    <row r="3336" spans="3:5">
      <c r="C3336">
        <v>25.2</v>
      </c>
      <c r="D3336" s="17">
        <v>42605</v>
      </c>
      <c r="E3336" t="s">
        <v>1572</v>
      </c>
    </row>
    <row r="3337" spans="3:5">
      <c r="C3337">
        <v>25.248000000000001</v>
      </c>
      <c r="D3337" s="17">
        <v>41660</v>
      </c>
      <c r="E3337" t="s">
        <v>1614</v>
      </c>
    </row>
    <row r="3338" spans="3:5">
      <c r="C3338">
        <v>25.248000000000001</v>
      </c>
      <c r="D3338" s="17">
        <v>42663</v>
      </c>
      <c r="E3338" t="s">
        <v>74</v>
      </c>
    </row>
    <row r="3339" spans="3:5">
      <c r="C3339">
        <v>25.299999999999997</v>
      </c>
      <c r="D3339" s="17">
        <v>41881</v>
      </c>
      <c r="E3339" t="s">
        <v>791</v>
      </c>
    </row>
    <row r="3340" spans="3:5">
      <c r="C3340">
        <v>25.299999999999997</v>
      </c>
      <c r="D3340" s="17">
        <v>42476</v>
      </c>
      <c r="E3340" t="s">
        <v>791</v>
      </c>
    </row>
    <row r="3341" spans="3:5">
      <c r="C3341">
        <v>25.32</v>
      </c>
      <c r="D3341" s="17">
        <v>41701</v>
      </c>
      <c r="E3341" t="s">
        <v>781</v>
      </c>
    </row>
    <row r="3342" spans="3:5">
      <c r="C3342">
        <v>25.32</v>
      </c>
      <c r="D3342" s="17">
        <v>42601</v>
      </c>
      <c r="E3342" t="s">
        <v>781</v>
      </c>
    </row>
    <row r="3343" spans="3:5">
      <c r="C3343">
        <v>25.344000000000001</v>
      </c>
      <c r="D3343" s="17">
        <v>42196</v>
      </c>
      <c r="E3343" t="s">
        <v>224</v>
      </c>
    </row>
    <row r="3344" spans="3:5">
      <c r="C3344">
        <v>25.344000000000001</v>
      </c>
      <c r="D3344" s="17">
        <v>42313</v>
      </c>
      <c r="E3344" t="s">
        <v>1000</v>
      </c>
    </row>
    <row r="3345" spans="3:5">
      <c r="C3345">
        <v>25.344000000000001</v>
      </c>
      <c r="D3345" s="17">
        <v>42733</v>
      </c>
      <c r="E3345" t="s">
        <v>1166</v>
      </c>
    </row>
    <row r="3346" spans="3:5">
      <c r="C3346">
        <v>25.344000000000001</v>
      </c>
      <c r="D3346" s="17">
        <v>42888</v>
      </c>
      <c r="E3346" t="s">
        <v>533</v>
      </c>
    </row>
    <row r="3347" spans="3:5">
      <c r="C3347">
        <v>25.344000000000001</v>
      </c>
      <c r="D3347" s="17">
        <v>42888</v>
      </c>
      <c r="E3347" t="s">
        <v>726</v>
      </c>
    </row>
    <row r="3348" spans="3:5">
      <c r="C3348">
        <v>25.344000000000001</v>
      </c>
      <c r="D3348" s="17">
        <v>42975</v>
      </c>
      <c r="E3348" t="s">
        <v>533</v>
      </c>
    </row>
    <row r="3349" spans="3:5">
      <c r="C3349">
        <v>25.344000000000001</v>
      </c>
      <c r="D3349" s="17">
        <v>43067</v>
      </c>
      <c r="E3349" t="s">
        <v>533</v>
      </c>
    </row>
    <row r="3350" spans="3:5">
      <c r="C3350">
        <v>25.349999999999998</v>
      </c>
      <c r="D3350" s="17">
        <v>42432</v>
      </c>
      <c r="E3350" t="s">
        <v>1491</v>
      </c>
    </row>
    <row r="3351" spans="3:5">
      <c r="C3351">
        <v>25.349999999999998</v>
      </c>
      <c r="D3351" s="17">
        <v>42698</v>
      </c>
      <c r="E3351" t="s">
        <v>1491</v>
      </c>
    </row>
    <row r="3352" spans="3:5">
      <c r="C3352">
        <v>25.4</v>
      </c>
      <c r="D3352" s="17">
        <v>42555</v>
      </c>
      <c r="E3352" t="s">
        <v>1196</v>
      </c>
    </row>
    <row r="3353" spans="3:5">
      <c r="C3353">
        <v>25.4</v>
      </c>
      <c r="D3353" s="17">
        <v>42555</v>
      </c>
      <c r="E3353" t="s">
        <v>1196</v>
      </c>
    </row>
    <row r="3354" spans="3:5">
      <c r="C3354">
        <v>25.424000000000003</v>
      </c>
      <c r="D3354" s="17">
        <v>42269</v>
      </c>
      <c r="E3354" t="s">
        <v>1394</v>
      </c>
    </row>
    <row r="3355" spans="3:5">
      <c r="C3355">
        <v>25.44</v>
      </c>
      <c r="D3355" s="17">
        <v>41723</v>
      </c>
      <c r="E3355" t="s">
        <v>1261</v>
      </c>
    </row>
    <row r="3356" spans="3:5">
      <c r="C3356">
        <v>25.44</v>
      </c>
      <c r="D3356" s="17">
        <v>42632</v>
      </c>
      <c r="E3356" t="s">
        <v>856</v>
      </c>
    </row>
    <row r="3357" spans="3:5">
      <c r="C3357">
        <v>25.472000000000001</v>
      </c>
      <c r="D3357" s="17">
        <v>42828</v>
      </c>
      <c r="E3357" t="s">
        <v>491</v>
      </c>
    </row>
    <row r="3358" spans="3:5">
      <c r="C3358">
        <v>25.488</v>
      </c>
      <c r="D3358" s="17">
        <v>42100</v>
      </c>
      <c r="E3358" t="s">
        <v>1803</v>
      </c>
    </row>
    <row r="3359" spans="3:5">
      <c r="C3359">
        <v>25.488</v>
      </c>
      <c r="D3359" s="17">
        <v>42348</v>
      </c>
      <c r="E3359" t="s">
        <v>1803</v>
      </c>
    </row>
    <row r="3360" spans="3:5">
      <c r="C3360">
        <v>25.488</v>
      </c>
      <c r="D3360" s="17">
        <v>42357</v>
      </c>
      <c r="E3360" t="s">
        <v>1700</v>
      </c>
    </row>
    <row r="3361" spans="3:5">
      <c r="C3361">
        <v>25.5</v>
      </c>
      <c r="D3361" s="17">
        <v>41875</v>
      </c>
      <c r="E3361" t="s">
        <v>677</v>
      </c>
    </row>
    <row r="3362" spans="3:5">
      <c r="C3362">
        <v>25.5</v>
      </c>
      <c r="D3362" s="17">
        <v>43050</v>
      </c>
      <c r="E3362" t="s">
        <v>677</v>
      </c>
    </row>
    <row r="3363" spans="3:5">
      <c r="C3363">
        <v>25.560000000000002</v>
      </c>
      <c r="D3363" s="17">
        <v>42982</v>
      </c>
      <c r="E3363" t="s">
        <v>138</v>
      </c>
    </row>
    <row r="3364" spans="3:5">
      <c r="C3364">
        <v>25.584000000000003</v>
      </c>
      <c r="D3364" s="17">
        <v>41789</v>
      </c>
      <c r="E3364" t="s">
        <v>1216</v>
      </c>
    </row>
    <row r="3365" spans="3:5">
      <c r="C3365">
        <v>25.584000000000003</v>
      </c>
      <c r="D3365" s="17">
        <v>42726</v>
      </c>
      <c r="E3365" t="s">
        <v>1216</v>
      </c>
    </row>
    <row r="3366" spans="3:5">
      <c r="C3366">
        <v>25.584000000000003</v>
      </c>
      <c r="D3366" s="17">
        <v>42995</v>
      </c>
      <c r="E3366" t="s">
        <v>1216</v>
      </c>
    </row>
    <row r="3367" spans="3:5">
      <c r="C3367">
        <v>25.632000000000001</v>
      </c>
      <c r="D3367" s="17">
        <v>42632</v>
      </c>
      <c r="E3367" t="s">
        <v>373</v>
      </c>
    </row>
    <row r="3368" spans="3:5">
      <c r="C3368">
        <v>25.679999999999993</v>
      </c>
      <c r="D3368" s="17">
        <v>41876</v>
      </c>
      <c r="E3368" t="s">
        <v>628</v>
      </c>
    </row>
    <row r="3369" spans="3:5">
      <c r="C3369">
        <v>25.68</v>
      </c>
      <c r="D3369" s="17">
        <v>42136</v>
      </c>
      <c r="E3369" t="s">
        <v>436</v>
      </c>
    </row>
    <row r="3370" spans="3:5">
      <c r="C3370">
        <v>25.68</v>
      </c>
      <c r="D3370" s="17">
        <v>42817</v>
      </c>
      <c r="E3370" t="s">
        <v>419</v>
      </c>
    </row>
    <row r="3371" spans="3:5">
      <c r="C3371">
        <v>25.695999999999998</v>
      </c>
      <c r="D3371" s="17">
        <v>42972</v>
      </c>
      <c r="E3371" t="s">
        <v>1033</v>
      </c>
    </row>
    <row r="3372" spans="3:5">
      <c r="C3372">
        <v>25.71</v>
      </c>
      <c r="D3372" s="17">
        <v>41846</v>
      </c>
      <c r="E3372" t="s">
        <v>675</v>
      </c>
    </row>
    <row r="3373" spans="3:5">
      <c r="C3373">
        <v>25.71</v>
      </c>
      <c r="D3373" s="17">
        <v>42419</v>
      </c>
      <c r="E3373" t="s">
        <v>176</v>
      </c>
    </row>
    <row r="3374" spans="3:5">
      <c r="C3374">
        <v>25.71</v>
      </c>
      <c r="D3374" s="17">
        <v>43083</v>
      </c>
      <c r="E3374" t="s">
        <v>176</v>
      </c>
    </row>
    <row r="3375" spans="3:5">
      <c r="C3375">
        <v>25.76</v>
      </c>
      <c r="D3375" s="17">
        <v>42350</v>
      </c>
      <c r="E3375" t="s">
        <v>292</v>
      </c>
    </row>
    <row r="3376" spans="3:5">
      <c r="C3376">
        <v>25.76</v>
      </c>
      <c r="D3376" s="17">
        <v>42881</v>
      </c>
      <c r="E3376" t="s">
        <v>689</v>
      </c>
    </row>
    <row r="3377" spans="3:5">
      <c r="C3377">
        <v>25.78</v>
      </c>
      <c r="D3377" s="17">
        <v>41925</v>
      </c>
      <c r="E3377" t="s">
        <v>865</v>
      </c>
    </row>
    <row r="3378" spans="3:5">
      <c r="C3378">
        <v>25.824000000000002</v>
      </c>
      <c r="D3378" s="17">
        <v>42332</v>
      </c>
      <c r="E3378" t="s">
        <v>1319</v>
      </c>
    </row>
    <row r="3379" spans="3:5">
      <c r="C3379">
        <v>25.824000000000002</v>
      </c>
      <c r="D3379" s="17">
        <v>43001</v>
      </c>
      <c r="E3379" t="s">
        <v>615</v>
      </c>
    </row>
    <row r="3380" spans="3:5">
      <c r="C3380">
        <v>25.83</v>
      </c>
      <c r="D3380" s="17">
        <v>42544</v>
      </c>
      <c r="E3380" t="s">
        <v>1437</v>
      </c>
    </row>
    <row r="3381" spans="3:5">
      <c r="C3381">
        <v>25.83</v>
      </c>
      <c r="D3381" s="17">
        <v>43069</v>
      </c>
      <c r="E3381" t="s">
        <v>1470</v>
      </c>
    </row>
    <row r="3382" spans="3:5">
      <c r="C3382">
        <v>25.86</v>
      </c>
      <c r="D3382" s="17">
        <v>42239</v>
      </c>
      <c r="E3382" t="s">
        <v>158</v>
      </c>
    </row>
    <row r="3383" spans="3:5">
      <c r="C3383">
        <v>25.86</v>
      </c>
      <c r="D3383" s="17">
        <v>42759</v>
      </c>
      <c r="E3383" t="s">
        <v>158</v>
      </c>
    </row>
    <row r="3384" spans="3:5">
      <c r="C3384">
        <v>25.9</v>
      </c>
      <c r="D3384" s="17">
        <v>42261</v>
      </c>
      <c r="E3384" t="s">
        <v>739</v>
      </c>
    </row>
    <row r="3385" spans="3:5">
      <c r="C3385">
        <v>25.9</v>
      </c>
      <c r="D3385" s="17">
        <v>43097</v>
      </c>
      <c r="E3385" t="s">
        <v>739</v>
      </c>
    </row>
    <row r="3386" spans="3:5">
      <c r="C3386">
        <v>25.919999999999998</v>
      </c>
      <c r="D3386" s="17">
        <v>42642</v>
      </c>
      <c r="E3386" t="s">
        <v>1139</v>
      </c>
    </row>
    <row r="3387" spans="3:5">
      <c r="C3387">
        <v>25.92</v>
      </c>
      <c r="D3387" s="17">
        <v>41791</v>
      </c>
      <c r="E3387" t="s">
        <v>1159</v>
      </c>
    </row>
    <row r="3388" spans="3:5">
      <c r="C3388">
        <v>25.92</v>
      </c>
      <c r="D3388" s="17">
        <v>41874</v>
      </c>
      <c r="E3388" t="s">
        <v>1762</v>
      </c>
    </row>
    <row r="3389" spans="3:5">
      <c r="C3389">
        <v>25.92</v>
      </c>
      <c r="D3389" s="17">
        <v>41876</v>
      </c>
      <c r="E3389" t="s">
        <v>81</v>
      </c>
    </row>
    <row r="3390" spans="3:5">
      <c r="C3390">
        <v>25.92</v>
      </c>
      <c r="D3390" s="17">
        <v>41963</v>
      </c>
      <c r="E3390" t="s">
        <v>1048</v>
      </c>
    </row>
    <row r="3391" spans="3:5">
      <c r="C3391">
        <v>25.92</v>
      </c>
      <c r="D3391" s="17">
        <v>41967</v>
      </c>
      <c r="E3391" t="s">
        <v>1137</v>
      </c>
    </row>
    <row r="3392" spans="3:5">
      <c r="C3392">
        <v>25.92</v>
      </c>
      <c r="D3392" s="17">
        <v>41976</v>
      </c>
      <c r="E3392" t="s">
        <v>369</v>
      </c>
    </row>
    <row r="3393" spans="3:5">
      <c r="C3393">
        <v>25.92</v>
      </c>
      <c r="D3393" s="17">
        <v>41983</v>
      </c>
      <c r="E3393" t="s">
        <v>90</v>
      </c>
    </row>
    <row r="3394" spans="3:5">
      <c r="C3394">
        <v>25.92</v>
      </c>
      <c r="D3394" s="17">
        <v>42101</v>
      </c>
      <c r="E3394" t="s">
        <v>153</v>
      </c>
    </row>
    <row r="3395" spans="3:5">
      <c r="C3395">
        <v>25.92</v>
      </c>
      <c r="D3395" s="17">
        <v>42274</v>
      </c>
      <c r="E3395" t="s">
        <v>1178</v>
      </c>
    </row>
    <row r="3396" spans="3:5">
      <c r="C3396">
        <v>25.92</v>
      </c>
      <c r="D3396" s="17">
        <v>42338</v>
      </c>
      <c r="E3396" t="s">
        <v>180</v>
      </c>
    </row>
    <row r="3397" spans="3:5">
      <c r="C3397">
        <v>25.92</v>
      </c>
      <c r="D3397" s="17">
        <v>42348</v>
      </c>
      <c r="E3397" t="s">
        <v>756</v>
      </c>
    </row>
    <row r="3398" spans="3:5">
      <c r="C3398">
        <v>25.92</v>
      </c>
      <c r="D3398" s="17">
        <v>42468</v>
      </c>
      <c r="E3398" t="s">
        <v>363</v>
      </c>
    </row>
    <row r="3399" spans="3:5">
      <c r="C3399">
        <v>25.92</v>
      </c>
      <c r="D3399" s="17">
        <v>42627</v>
      </c>
      <c r="E3399" t="s">
        <v>1691</v>
      </c>
    </row>
    <row r="3400" spans="3:5">
      <c r="C3400">
        <v>25.92</v>
      </c>
      <c r="D3400" s="17">
        <v>42701</v>
      </c>
      <c r="E3400" t="s">
        <v>855</v>
      </c>
    </row>
    <row r="3401" spans="3:5">
      <c r="C3401">
        <v>25.92</v>
      </c>
      <c r="D3401" s="17">
        <v>42706</v>
      </c>
      <c r="E3401" t="s">
        <v>153</v>
      </c>
    </row>
    <row r="3402" spans="3:5">
      <c r="C3402">
        <v>25.92</v>
      </c>
      <c r="D3402" s="17">
        <v>42758</v>
      </c>
      <c r="E3402" t="s">
        <v>152</v>
      </c>
    </row>
    <row r="3403" spans="3:5">
      <c r="C3403">
        <v>25.92</v>
      </c>
      <c r="D3403" s="17">
        <v>42801</v>
      </c>
      <c r="E3403" t="s">
        <v>329</v>
      </c>
    </row>
    <row r="3404" spans="3:5">
      <c r="C3404">
        <v>25.92</v>
      </c>
      <c r="D3404" s="17">
        <v>42858</v>
      </c>
      <c r="E3404" t="s">
        <v>209</v>
      </c>
    </row>
    <row r="3405" spans="3:5">
      <c r="C3405">
        <v>25.92</v>
      </c>
      <c r="D3405" s="17">
        <v>42875</v>
      </c>
      <c r="E3405" t="s">
        <v>732</v>
      </c>
    </row>
    <row r="3406" spans="3:5">
      <c r="C3406">
        <v>25.92</v>
      </c>
      <c r="D3406" s="17">
        <v>42917</v>
      </c>
      <c r="E3406" t="s">
        <v>918</v>
      </c>
    </row>
    <row r="3407" spans="3:5">
      <c r="C3407">
        <v>25.92</v>
      </c>
      <c r="D3407" s="17">
        <v>42958</v>
      </c>
      <c r="E3407" t="s">
        <v>918</v>
      </c>
    </row>
    <row r="3408" spans="3:5">
      <c r="C3408">
        <v>25.92</v>
      </c>
      <c r="D3408" s="17">
        <v>42967</v>
      </c>
      <c r="E3408" t="s">
        <v>838</v>
      </c>
    </row>
    <row r="3409" spans="3:5">
      <c r="C3409">
        <v>25.92</v>
      </c>
      <c r="D3409" s="17">
        <v>42996</v>
      </c>
      <c r="E3409" t="s">
        <v>180</v>
      </c>
    </row>
    <row r="3410" spans="3:5">
      <c r="C3410">
        <v>25.92</v>
      </c>
      <c r="D3410" s="17">
        <v>43021</v>
      </c>
      <c r="E3410" t="s">
        <v>1209</v>
      </c>
    </row>
    <row r="3411" spans="3:5">
      <c r="C3411">
        <v>25.920000000000005</v>
      </c>
      <c r="D3411" s="17">
        <v>41820</v>
      </c>
      <c r="E3411" t="s">
        <v>555</v>
      </c>
    </row>
    <row r="3412" spans="3:5">
      <c r="C3412">
        <v>25.920000000000005</v>
      </c>
      <c r="D3412" s="17">
        <v>41950</v>
      </c>
      <c r="E3412" t="s">
        <v>1504</v>
      </c>
    </row>
    <row r="3413" spans="3:5">
      <c r="C3413">
        <v>25.920000000000005</v>
      </c>
      <c r="D3413" s="17">
        <v>41993</v>
      </c>
      <c r="E3413" t="s">
        <v>1005</v>
      </c>
    </row>
    <row r="3414" spans="3:5">
      <c r="C3414">
        <v>25.920000000000005</v>
      </c>
      <c r="D3414" s="17">
        <v>42162</v>
      </c>
      <c r="E3414" t="s">
        <v>1073</v>
      </c>
    </row>
    <row r="3415" spans="3:5">
      <c r="C3415">
        <v>25.920000000000005</v>
      </c>
      <c r="D3415" s="17">
        <v>42376</v>
      </c>
      <c r="E3415" t="s">
        <v>152</v>
      </c>
    </row>
    <row r="3416" spans="3:5">
      <c r="C3416">
        <v>25.920000000000005</v>
      </c>
      <c r="D3416" s="17">
        <v>42525</v>
      </c>
      <c r="E3416" t="s">
        <v>1750</v>
      </c>
    </row>
    <row r="3417" spans="3:5">
      <c r="C3417">
        <v>25.920000000000005</v>
      </c>
      <c r="D3417" s="17">
        <v>42618</v>
      </c>
      <c r="E3417" t="s">
        <v>1382</v>
      </c>
    </row>
    <row r="3418" spans="3:5">
      <c r="C3418">
        <v>25.920000000000005</v>
      </c>
      <c r="D3418" s="17">
        <v>42882</v>
      </c>
      <c r="E3418" t="s">
        <v>209</v>
      </c>
    </row>
    <row r="3419" spans="3:5">
      <c r="C3419">
        <v>25.920000000000005</v>
      </c>
      <c r="D3419" s="17">
        <v>42884</v>
      </c>
      <c r="E3419" t="s">
        <v>767</v>
      </c>
    </row>
    <row r="3420" spans="3:5">
      <c r="C3420">
        <v>25.920000000000005</v>
      </c>
      <c r="D3420" s="17">
        <v>42987</v>
      </c>
      <c r="E3420" t="s">
        <v>732</v>
      </c>
    </row>
    <row r="3421" spans="3:5">
      <c r="C3421">
        <v>25.920000000000005</v>
      </c>
      <c r="D3421" s="17">
        <v>43091</v>
      </c>
      <c r="E3421" t="s">
        <v>90</v>
      </c>
    </row>
    <row r="3422" spans="3:5">
      <c r="C3422">
        <v>25.96</v>
      </c>
      <c r="D3422" s="17">
        <v>41903</v>
      </c>
      <c r="E3422" t="s">
        <v>396</v>
      </c>
    </row>
    <row r="3423" spans="3:5">
      <c r="C3423">
        <v>25.98</v>
      </c>
      <c r="D3423" s="17">
        <v>42479</v>
      </c>
      <c r="E3423" t="s">
        <v>1556</v>
      </c>
    </row>
    <row r="3424" spans="3:5">
      <c r="C3424">
        <v>25.98</v>
      </c>
      <c r="D3424" s="17">
        <v>42841</v>
      </c>
      <c r="E3424" t="s">
        <v>549</v>
      </c>
    </row>
    <row r="3425" spans="3:5">
      <c r="C3425">
        <v>25.98</v>
      </c>
      <c r="D3425" s="17">
        <v>42985</v>
      </c>
      <c r="E3425" t="s">
        <v>840</v>
      </c>
    </row>
    <row r="3426" spans="3:5">
      <c r="C3426">
        <v>25.983999999999998</v>
      </c>
      <c r="D3426" s="17">
        <v>41840</v>
      </c>
      <c r="E3426" t="s">
        <v>1410</v>
      </c>
    </row>
    <row r="3427" spans="3:5">
      <c r="C3427">
        <v>25.983999999999998</v>
      </c>
      <c r="D3427" s="17">
        <v>41946</v>
      </c>
      <c r="E3427" t="s">
        <v>422</v>
      </c>
    </row>
    <row r="3428" spans="3:5">
      <c r="C3428">
        <v>25.983999999999998</v>
      </c>
      <c r="D3428" s="17">
        <v>42237</v>
      </c>
      <c r="E3428" t="s">
        <v>588</v>
      </c>
    </row>
    <row r="3429" spans="3:5">
      <c r="C3429">
        <v>25.99</v>
      </c>
      <c r="D3429" s="17">
        <v>42118</v>
      </c>
      <c r="E3429" t="s">
        <v>989</v>
      </c>
    </row>
    <row r="3430" spans="3:5">
      <c r="C3430">
        <v>25.99</v>
      </c>
      <c r="D3430" s="17">
        <v>42268</v>
      </c>
      <c r="E3430" t="s">
        <v>989</v>
      </c>
    </row>
    <row r="3431" spans="3:5">
      <c r="C3431">
        <v>25.99</v>
      </c>
      <c r="D3431" s="17">
        <v>42937</v>
      </c>
      <c r="E3431" t="s">
        <v>989</v>
      </c>
    </row>
    <row r="3432" spans="3:5">
      <c r="C3432">
        <v>26</v>
      </c>
      <c r="D3432" s="17">
        <v>42240</v>
      </c>
      <c r="E3432" t="s">
        <v>426</v>
      </c>
    </row>
    <row r="3433" spans="3:5">
      <c r="C3433">
        <v>26</v>
      </c>
      <c r="D3433" s="17">
        <v>42818</v>
      </c>
      <c r="E3433" t="s">
        <v>426</v>
      </c>
    </row>
    <row r="3434" spans="3:5">
      <c r="C3434">
        <v>26.01</v>
      </c>
      <c r="D3434" s="17">
        <v>42399</v>
      </c>
      <c r="E3434" t="s">
        <v>822</v>
      </c>
    </row>
    <row r="3435" spans="3:5">
      <c r="C3435">
        <v>26.032</v>
      </c>
      <c r="D3435" s="17">
        <v>42866</v>
      </c>
      <c r="E3435" t="s">
        <v>667</v>
      </c>
    </row>
    <row r="3436" spans="3:5">
      <c r="C3436">
        <v>26.045999999999992</v>
      </c>
      <c r="D3436" s="17">
        <v>41950</v>
      </c>
      <c r="E3436" t="s">
        <v>550</v>
      </c>
    </row>
    <row r="3437" spans="3:5">
      <c r="C3437">
        <v>26.045999999999992</v>
      </c>
      <c r="D3437" s="17">
        <v>42841</v>
      </c>
      <c r="E3437" t="s">
        <v>550</v>
      </c>
    </row>
    <row r="3438" spans="3:5">
      <c r="C3438">
        <v>26.064000000000007</v>
      </c>
      <c r="D3438" s="17">
        <v>42343</v>
      </c>
      <c r="E3438" t="s">
        <v>551</v>
      </c>
    </row>
    <row r="3439" spans="3:5">
      <c r="C3439">
        <v>26.136000000000003</v>
      </c>
      <c r="D3439" s="17">
        <v>41761</v>
      </c>
      <c r="E3439" t="s">
        <v>213</v>
      </c>
    </row>
    <row r="3440" spans="3:5">
      <c r="C3440">
        <v>26.16</v>
      </c>
      <c r="D3440" s="17">
        <v>42874</v>
      </c>
      <c r="E3440" t="s">
        <v>730</v>
      </c>
    </row>
    <row r="3441" spans="3:5">
      <c r="C3441">
        <v>26.160000000000004</v>
      </c>
      <c r="D3441" s="17">
        <v>41717</v>
      </c>
      <c r="E3441" t="s">
        <v>310</v>
      </c>
    </row>
    <row r="3442" spans="3:5">
      <c r="C3442">
        <v>26.160000000000004</v>
      </c>
      <c r="D3442" s="17">
        <v>43091</v>
      </c>
      <c r="E3442" t="s">
        <v>310</v>
      </c>
    </row>
    <row r="3443" spans="3:5">
      <c r="C3443">
        <v>26.176000000000002</v>
      </c>
      <c r="D3443" s="17">
        <v>42496</v>
      </c>
      <c r="E3443" t="s">
        <v>328</v>
      </c>
    </row>
    <row r="3444" spans="3:5">
      <c r="C3444">
        <v>26.176000000000002</v>
      </c>
      <c r="D3444" s="17">
        <v>43036</v>
      </c>
      <c r="E3444" t="s">
        <v>328</v>
      </c>
    </row>
    <row r="3445" spans="3:5">
      <c r="C3445">
        <v>26.18</v>
      </c>
      <c r="D3445" s="17">
        <v>42315</v>
      </c>
      <c r="E3445" t="s">
        <v>260</v>
      </c>
    </row>
    <row r="3446" spans="3:5">
      <c r="C3446">
        <v>26.2</v>
      </c>
      <c r="D3446" s="17">
        <v>41891</v>
      </c>
      <c r="E3446" t="s">
        <v>1701</v>
      </c>
    </row>
    <row r="3447" spans="3:5">
      <c r="C3447">
        <v>26.2</v>
      </c>
      <c r="D3447" s="17">
        <v>42943</v>
      </c>
      <c r="E3447" t="s">
        <v>1012</v>
      </c>
    </row>
    <row r="3448" spans="3:5">
      <c r="C3448">
        <v>26.22</v>
      </c>
      <c r="D3448" s="17">
        <v>42317</v>
      </c>
      <c r="E3448" t="s">
        <v>1165</v>
      </c>
    </row>
    <row r="3449" spans="3:5">
      <c r="C3449">
        <v>26.25</v>
      </c>
      <c r="D3449" s="17">
        <v>42946</v>
      </c>
      <c r="E3449" t="s">
        <v>1024</v>
      </c>
    </row>
    <row r="3450" spans="3:5">
      <c r="C3450">
        <v>26.25</v>
      </c>
      <c r="D3450" s="17">
        <v>43083</v>
      </c>
      <c r="E3450" t="s">
        <v>758</v>
      </c>
    </row>
    <row r="3451" spans="3:5">
      <c r="C3451">
        <v>26.336000000000002</v>
      </c>
      <c r="D3451" s="17">
        <v>42391</v>
      </c>
      <c r="E3451" t="s">
        <v>156</v>
      </c>
    </row>
    <row r="3452" spans="3:5">
      <c r="C3452">
        <v>26.352000000000004</v>
      </c>
      <c r="D3452" s="17">
        <v>42604</v>
      </c>
      <c r="E3452" t="s">
        <v>1400</v>
      </c>
    </row>
    <row r="3453" spans="3:5">
      <c r="C3453">
        <v>26.352000000000004</v>
      </c>
      <c r="D3453" s="17">
        <v>43049</v>
      </c>
      <c r="E3453" t="s">
        <v>1400</v>
      </c>
    </row>
    <row r="3454" spans="3:5">
      <c r="C3454">
        <v>26.376000000000001</v>
      </c>
      <c r="D3454" s="17">
        <v>42016</v>
      </c>
      <c r="E3454" t="s">
        <v>1103</v>
      </c>
    </row>
    <row r="3455" spans="3:5">
      <c r="C3455">
        <v>26.38</v>
      </c>
      <c r="D3455" s="17">
        <v>42430</v>
      </c>
      <c r="E3455" t="s">
        <v>296</v>
      </c>
    </row>
    <row r="3456" spans="3:5">
      <c r="C3456">
        <v>26.38</v>
      </c>
      <c r="D3456" s="17">
        <v>42800</v>
      </c>
      <c r="E3456" t="s">
        <v>320</v>
      </c>
    </row>
    <row r="3457" spans="3:5">
      <c r="C3457">
        <v>26.38</v>
      </c>
      <c r="D3457" s="17">
        <v>43045</v>
      </c>
      <c r="E3457" t="s">
        <v>296</v>
      </c>
    </row>
    <row r="3458" spans="3:5">
      <c r="C3458">
        <v>26.388000000000002</v>
      </c>
      <c r="D3458" s="17">
        <v>42858</v>
      </c>
      <c r="E3458" t="s">
        <v>626</v>
      </c>
    </row>
    <row r="3459" spans="3:5">
      <c r="C3459">
        <v>26.400000000000002</v>
      </c>
      <c r="D3459" s="17">
        <v>42205</v>
      </c>
      <c r="E3459" t="s">
        <v>1102</v>
      </c>
    </row>
    <row r="3460" spans="3:5">
      <c r="C3460">
        <v>26.400000000000002</v>
      </c>
      <c r="D3460" s="17">
        <v>42255</v>
      </c>
      <c r="E3460" t="s">
        <v>1274</v>
      </c>
    </row>
    <row r="3461" spans="3:5">
      <c r="C3461">
        <v>26.400000000000002</v>
      </c>
      <c r="D3461" s="17">
        <v>42348</v>
      </c>
      <c r="E3461" t="s">
        <v>1166</v>
      </c>
    </row>
    <row r="3462" spans="3:5">
      <c r="C3462">
        <v>26.400000000000002</v>
      </c>
      <c r="D3462" s="17">
        <v>42614</v>
      </c>
      <c r="E3462" t="s">
        <v>1000</v>
      </c>
    </row>
    <row r="3463" spans="3:5">
      <c r="C3463">
        <v>26.400000000000002</v>
      </c>
      <c r="D3463" s="17">
        <v>42892</v>
      </c>
      <c r="E3463" t="s">
        <v>805</v>
      </c>
    </row>
    <row r="3464" spans="3:5">
      <c r="C3464">
        <v>26.400000000000002</v>
      </c>
      <c r="D3464" s="17">
        <v>43031</v>
      </c>
      <c r="E3464" t="s">
        <v>533</v>
      </c>
    </row>
    <row r="3465" spans="3:5">
      <c r="C3465">
        <v>26.400000000000002</v>
      </c>
      <c r="D3465" s="17">
        <v>43042</v>
      </c>
      <c r="E3465" t="s">
        <v>1373</v>
      </c>
    </row>
    <row r="3466" spans="3:5">
      <c r="C3466">
        <v>26.400000000000002</v>
      </c>
      <c r="D3466" s="17">
        <v>43045</v>
      </c>
      <c r="E3466" t="s">
        <v>1166</v>
      </c>
    </row>
    <row r="3467" spans="3:5">
      <c r="C3467">
        <v>26.405999999999992</v>
      </c>
      <c r="D3467" s="17">
        <v>42493</v>
      </c>
      <c r="E3467" t="s">
        <v>432</v>
      </c>
    </row>
    <row r="3468" spans="3:5">
      <c r="C3468">
        <v>26.423999999999999</v>
      </c>
      <c r="D3468" s="17">
        <v>42049</v>
      </c>
      <c r="E3468" t="s">
        <v>635</v>
      </c>
    </row>
    <row r="3469" spans="3:5">
      <c r="C3469">
        <v>26.432000000000002</v>
      </c>
      <c r="D3469" s="17">
        <v>42980</v>
      </c>
      <c r="E3469" t="s">
        <v>277</v>
      </c>
    </row>
    <row r="3470" spans="3:5">
      <c r="C3470">
        <v>26.46</v>
      </c>
      <c r="D3470" s="17">
        <v>41978</v>
      </c>
      <c r="E3470" t="s">
        <v>492</v>
      </c>
    </row>
    <row r="3471" spans="3:5">
      <c r="C3471">
        <v>26.48</v>
      </c>
      <c r="D3471" s="17">
        <v>42822</v>
      </c>
      <c r="E3471" t="s">
        <v>459</v>
      </c>
    </row>
    <row r="3472" spans="3:5">
      <c r="C3472">
        <v>26.49</v>
      </c>
      <c r="D3472" s="17">
        <v>42730</v>
      </c>
      <c r="E3472" t="s">
        <v>1481</v>
      </c>
    </row>
    <row r="3473" spans="3:5">
      <c r="C3473">
        <v>26.549999999999997</v>
      </c>
      <c r="D3473" s="17">
        <v>42931</v>
      </c>
      <c r="E3473" t="s">
        <v>961</v>
      </c>
    </row>
    <row r="3474" spans="3:5">
      <c r="C3474">
        <v>26.55</v>
      </c>
      <c r="D3474" s="17">
        <v>42520</v>
      </c>
      <c r="E3474" t="s">
        <v>637</v>
      </c>
    </row>
    <row r="3475" spans="3:5">
      <c r="C3475">
        <v>26.632000000000001</v>
      </c>
      <c r="D3475" s="17">
        <v>41842</v>
      </c>
      <c r="E3475" t="s">
        <v>249</v>
      </c>
    </row>
    <row r="3476" spans="3:5">
      <c r="C3476">
        <v>26.64</v>
      </c>
      <c r="D3476" s="17">
        <v>42862</v>
      </c>
      <c r="E3476" t="s">
        <v>651</v>
      </c>
    </row>
    <row r="3477" spans="3:5">
      <c r="C3477">
        <v>26.7</v>
      </c>
      <c r="D3477" s="17">
        <v>41734</v>
      </c>
      <c r="E3477" t="s">
        <v>1804</v>
      </c>
    </row>
    <row r="3478" spans="3:5">
      <c r="C3478">
        <v>26.7</v>
      </c>
      <c r="D3478" s="17">
        <v>41853</v>
      </c>
      <c r="E3478" t="s">
        <v>1818</v>
      </c>
    </row>
    <row r="3479" spans="3:5">
      <c r="C3479">
        <v>26.72</v>
      </c>
      <c r="D3479" s="17">
        <v>42805</v>
      </c>
      <c r="E3479" t="s">
        <v>351</v>
      </c>
    </row>
    <row r="3480" spans="3:5">
      <c r="C3480">
        <v>26.72</v>
      </c>
      <c r="D3480" s="17">
        <v>42822</v>
      </c>
      <c r="E3480" t="s">
        <v>461</v>
      </c>
    </row>
    <row r="3481" spans="3:5">
      <c r="C3481">
        <v>26.720000000000002</v>
      </c>
      <c r="D3481" s="17">
        <v>41731</v>
      </c>
      <c r="E3481" t="s">
        <v>423</v>
      </c>
    </row>
    <row r="3482" spans="3:5">
      <c r="C3482">
        <v>26.720000000000002</v>
      </c>
      <c r="D3482" s="17">
        <v>42975</v>
      </c>
      <c r="E3482" t="s">
        <v>1107</v>
      </c>
    </row>
    <row r="3483" spans="3:5">
      <c r="C3483">
        <v>26.720000000000002</v>
      </c>
      <c r="D3483" s="17">
        <v>43051</v>
      </c>
      <c r="E3483" t="s">
        <v>461</v>
      </c>
    </row>
    <row r="3484" spans="3:5">
      <c r="C3484">
        <v>26.76</v>
      </c>
      <c r="D3484" s="17">
        <v>41968</v>
      </c>
      <c r="E3484" t="s">
        <v>899</v>
      </c>
    </row>
    <row r="3485" spans="3:5">
      <c r="C3485">
        <v>26.8</v>
      </c>
      <c r="D3485" s="17">
        <v>42128</v>
      </c>
      <c r="E3485" t="s">
        <v>1599</v>
      </c>
    </row>
    <row r="3486" spans="3:5">
      <c r="C3486">
        <v>26.849999999999998</v>
      </c>
      <c r="D3486" s="17">
        <v>42439</v>
      </c>
      <c r="E3486" t="s">
        <v>380</v>
      </c>
    </row>
    <row r="3487" spans="3:5">
      <c r="C3487">
        <v>26.849999999999998</v>
      </c>
      <c r="D3487" s="17">
        <v>42527</v>
      </c>
      <c r="E3487" t="s">
        <v>380</v>
      </c>
    </row>
    <row r="3488" spans="3:5">
      <c r="C3488">
        <v>26.86</v>
      </c>
      <c r="D3488" s="17">
        <v>42716</v>
      </c>
      <c r="E3488" t="s">
        <v>1257</v>
      </c>
    </row>
    <row r="3489" spans="3:5">
      <c r="C3489">
        <v>26.880000000000003</v>
      </c>
      <c r="D3489" s="17">
        <v>42058</v>
      </c>
      <c r="E3489" t="s">
        <v>388</v>
      </c>
    </row>
    <row r="3490" spans="3:5">
      <c r="C3490">
        <v>26.880000000000003</v>
      </c>
      <c r="D3490" s="17">
        <v>42512</v>
      </c>
      <c r="E3490" t="s">
        <v>1328</v>
      </c>
    </row>
    <row r="3491" spans="3:5">
      <c r="C3491">
        <v>26.880000000000003</v>
      </c>
      <c r="D3491" s="17">
        <v>42797</v>
      </c>
      <c r="E3491" t="s">
        <v>301</v>
      </c>
    </row>
    <row r="3492" spans="3:5">
      <c r="C3492">
        <v>26.9</v>
      </c>
      <c r="D3492" s="17">
        <v>42279</v>
      </c>
      <c r="E3492" t="s">
        <v>1319</v>
      </c>
    </row>
    <row r="3493" spans="3:5">
      <c r="C3493">
        <v>26.94</v>
      </c>
      <c r="D3493" s="17">
        <v>42516</v>
      </c>
      <c r="E3493" t="s">
        <v>1626</v>
      </c>
    </row>
    <row r="3494" spans="3:5">
      <c r="C3494">
        <v>26.96</v>
      </c>
      <c r="D3494" s="17">
        <v>42281</v>
      </c>
      <c r="E3494" t="s">
        <v>95</v>
      </c>
    </row>
    <row r="3495" spans="3:5">
      <c r="C3495">
        <v>26.96</v>
      </c>
      <c r="D3495" s="17">
        <v>42527</v>
      </c>
      <c r="E3495" t="s">
        <v>1151</v>
      </c>
    </row>
    <row r="3496" spans="3:5">
      <c r="C3496">
        <v>26.975999999999999</v>
      </c>
      <c r="D3496" s="17">
        <v>42145</v>
      </c>
      <c r="E3496" t="s">
        <v>1067</v>
      </c>
    </row>
    <row r="3497" spans="3:5">
      <c r="C3497">
        <v>26.975999999999999</v>
      </c>
      <c r="D3497" s="17">
        <v>42681</v>
      </c>
      <c r="E3497" t="s">
        <v>1067</v>
      </c>
    </row>
    <row r="3498" spans="3:5">
      <c r="C3498">
        <v>26.981999999999999</v>
      </c>
      <c r="D3498" s="17">
        <v>42240</v>
      </c>
      <c r="E3498" t="s">
        <v>240</v>
      </c>
    </row>
    <row r="3499" spans="3:5">
      <c r="C3499">
        <v>27.018000000000008</v>
      </c>
      <c r="D3499" s="17">
        <v>42507</v>
      </c>
      <c r="E3499" t="s">
        <v>1052</v>
      </c>
    </row>
    <row r="3500" spans="3:5">
      <c r="C3500">
        <v>27.056000000000001</v>
      </c>
      <c r="D3500" s="17">
        <v>42331</v>
      </c>
      <c r="E3500" t="s">
        <v>634</v>
      </c>
    </row>
    <row r="3501" spans="3:5">
      <c r="C3501">
        <v>27.096</v>
      </c>
      <c r="D3501" s="17">
        <v>41757</v>
      </c>
      <c r="E3501" t="s">
        <v>687</v>
      </c>
    </row>
    <row r="3502" spans="3:5">
      <c r="C3502">
        <v>27.12</v>
      </c>
      <c r="D3502" s="17">
        <v>42807</v>
      </c>
      <c r="E3502" t="s">
        <v>120</v>
      </c>
    </row>
    <row r="3503" spans="3:5">
      <c r="C3503">
        <v>27.12</v>
      </c>
      <c r="D3503" s="17">
        <v>42836</v>
      </c>
      <c r="E3503" t="s">
        <v>528</v>
      </c>
    </row>
    <row r="3504" spans="3:5">
      <c r="C3504">
        <v>27.15</v>
      </c>
      <c r="D3504" s="17">
        <v>43077</v>
      </c>
      <c r="E3504" t="s">
        <v>1348</v>
      </c>
    </row>
    <row r="3505" spans="3:5">
      <c r="C3505">
        <v>27.168000000000003</v>
      </c>
      <c r="D3505" s="17">
        <v>42330</v>
      </c>
      <c r="E3505" t="s">
        <v>1813</v>
      </c>
    </row>
    <row r="3506" spans="3:5">
      <c r="C3506">
        <v>27.168000000000003</v>
      </c>
      <c r="D3506" s="17">
        <v>42362</v>
      </c>
      <c r="E3506" t="s">
        <v>597</v>
      </c>
    </row>
    <row r="3507" spans="3:5">
      <c r="C3507">
        <v>27.168000000000003</v>
      </c>
      <c r="D3507" s="17">
        <v>43097</v>
      </c>
      <c r="E3507" t="s">
        <v>597</v>
      </c>
    </row>
    <row r="3508" spans="3:5">
      <c r="C3508">
        <v>27.18</v>
      </c>
      <c r="D3508" s="17">
        <v>42259</v>
      </c>
      <c r="E3508" t="s">
        <v>85</v>
      </c>
    </row>
    <row r="3509" spans="3:5">
      <c r="C3509">
        <v>27.18</v>
      </c>
      <c r="D3509" s="17">
        <v>43000</v>
      </c>
      <c r="E3509" t="s">
        <v>881</v>
      </c>
    </row>
    <row r="3510" spans="3:5">
      <c r="C3510">
        <v>27.183999999999997</v>
      </c>
      <c r="D3510" s="17">
        <v>43035</v>
      </c>
      <c r="E3510" t="s">
        <v>471</v>
      </c>
    </row>
    <row r="3511" spans="3:5">
      <c r="C3511">
        <v>27.192</v>
      </c>
      <c r="D3511" s="17">
        <v>42882</v>
      </c>
      <c r="E3511" t="s">
        <v>760</v>
      </c>
    </row>
    <row r="3512" spans="3:5">
      <c r="C3512">
        <v>27.200000000000003</v>
      </c>
      <c r="D3512" s="17">
        <v>42313</v>
      </c>
      <c r="E3512" t="s">
        <v>677</v>
      </c>
    </row>
    <row r="3513" spans="3:5">
      <c r="C3513">
        <v>27.216000000000001</v>
      </c>
      <c r="D3513" s="17">
        <v>42171</v>
      </c>
      <c r="E3513" t="s">
        <v>100</v>
      </c>
    </row>
    <row r="3514" spans="3:5">
      <c r="C3514">
        <v>27.216000000000001</v>
      </c>
      <c r="D3514" s="17">
        <v>42222</v>
      </c>
      <c r="E3514" t="s">
        <v>100</v>
      </c>
    </row>
    <row r="3515" spans="3:5">
      <c r="C3515">
        <v>27.240000000000002</v>
      </c>
      <c r="D3515" s="17">
        <v>42642</v>
      </c>
      <c r="E3515" t="s">
        <v>1374</v>
      </c>
    </row>
    <row r="3516" spans="3:5">
      <c r="C3516">
        <v>27.240000000000002</v>
      </c>
      <c r="D3516" s="17">
        <v>42677</v>
      </c>
      <c r="E3516" t="s">
        <v>410</v>
      </c>
    </row>
    <row r="3517" spans="3:5">
      <c r="C3517">
        <v>27.240000000000002</v>
      </c>
      <c r="D3517" s="17">
        <v>43078</v>
      </c>
      <c r="E3517" t="s">
        <v>163</v>
      </c>
    </row>
    <row r="3518" spans="3:5">
      <c r="C3518">
        <v>27.263999999999999</v>
      </c>
      <c r="D3518" s="17">
        <v>42650</v>
      </c>
      <c r="E3518" t="s">
        <v>138</v>
      </c>
    </row>
    <row r="3519" spans="3:5">
      <c r="C3519">
        <v>27.312000000000001</v>
      </c>
      <c r="D3519" s="17">
        <v>42359</v>
      </c>
      <c r="E3519" t="s">
        <v>1631</v>
      </c>
    </row>
    <row r="3520" spans="3:5">
      <c r="C3520">
        <v>27.36</v>
      </c>
      <c r="D3520" s="17">
        <v>41889</v>
      </c>
      <c r="E3520" t="s">
        <v>1765</v>
      </c>
    </row>
    <row r="3521" spans="3:5">
      <c r="C3521">
        <v>27.36</v>
      </c>
      <c r="D3521" s="17">
        <v>42348</v>
      </c>
      <c r="E3521" t="s">
        <v>67</v>
      </c>
    </row>
    <row r="3522" spans="3:5">
      <c r="C3522">
        <v>27.360000000000003</v>
      </c>
      <c r="D3522" s="17">
        <v>41840</v>
      </c>
      <c r="E3522" t="s">
        <v>831</v>
      </c>
    </row>
    <row r="3523" spans="3:5">
      <c r="C3523">
        <v>27.360000000000003</v>
      </c>
      <c r="D3523" s="17">
        <v>43010</v>
      </c>
      <c r="E3523" t="s">
        <v>831</v>
      </c>
    </row>
    <row r="3524" spans="3:5">
      <c r="C3524">
        <v>27.384</v>
      </c>
      <c r="D3524" s="17">
        <v>42493</v>
      </c>
      <c r="E3524" t="s">
        <v>1760</v>
      </c>
    </row>
    <row r="3525" spans="3:5">
      <c r="C3525">
        <v>27.395999999999997</v>
      </c>
      <c r="D3525" s="17">
        <v>43022</v>
      </c>
      <c r="E3525" t="s">
        <v>808</v>
      </c>
    </row>
    <row r="3526" spans="3:5">
      <c r="C3526">
        <v>27.396000000000004</v>
      </c>
      <c r="D3526" s="17">
        <v>42580</v>
      </c>
      <c r="E3526" t="s">
        <v>1129</v>
      </c>
    </row>
    <row r="3527" spans="3:5">
      <c r="C3527">
        <v>27.414000000000001</v>
      </c>
      <c r="D3527" s="17">
        <v>42254</v>
      </c>
      <c r="E3527" t="s">
        <v>1329</v>
      </c>
    </row>
    <row r="3528" spans="3:5">
      <c r="C3528">
        <v>27.42</v>
      </c>
      <c r="D3528" s="17">
        <v>42178</v>
      </c>
      <c r="E3528" t="s">
        <v>577</v>
      </c>
    </row>
    <row r="3529" spans="3:5">
      <c r="C3529">
        <v>27.42</v>
      </c>
      <c r="D3529" s="17">
        <v>42573</v>
      </c>
      <c r="E3529" t="s">
        <v>577</v>
      </c>
    </row>
    <row r="3530" spans="3:5">
      <c r="C3530">
        <v>27.42</v>
      </c>
      <c r="D3530" s="17">
        <v>43060</v>
      </c>
      <c r="E3530" t="s">
        <v>340</v>
      </c>
    </row>
    <row r="3531" spans="3:5">
      <c r="C3531">
        <v>27.439999999999998</v>
      </c>
      <c r="D3531" s="17">
        <v>42888</v>
      </c>
      <c r="E3531" t="s">
        <v>146</v>
      </c>
    </row>
    <row r="3532" spans="3:5">
      <c r="C3532">
        <v>27.439999999999998</v>
      </c>
      <c r="D3532" s="17">
        <v>42976</v>
      </c>
      <c r="E3532" t="s">
        <v>146</v>
      </c>
    </row>
    <row r="3533" spans="3:5">
      <c r="C3533">
        <v>27.46</v>
      </c>
      <c r="D3533" s="17">
        <v>41763</v>
      </c>
      <c r="E3533" t="s">
        <v>765</v>
      </c>
    </row>
    <row r="3534" spans="3:5">
      <c r="C3534">
        <v>27.46</v>
      </c>
      <c r="D3534" s="17">
        <v>42883</v>
      </c>
      <c r="E3534" t="s">
        <v>765</v>
      </c>
    </row>
    <row r="3535" spans="3:5">
      <c r="C3535">
        <v>27.46</v>
      </c>
      <c r="D3535" s="17">
        <v>43065</v>
      </c>
      <c r="E3535" t="s">
        <v>765</v>
      </c>
    </row>
    <row r="3536" spans="3:5">
      <c r="C3536">
        <v>27.46</v>
      </c>
      <c r="D3536" s="17">
        <v>43092</v>
      </c>
      <c r="E3536" t="s">
        <v>765</v>
      </c>
    </row>
    <row r="3537" spans="3:5">
      <c r="C3537">
        <v>27.496000000000002</v>
      </c>
      <c r="D3537" s="17">
        <v>42813</v>
      </c>
      <c r="E3537" t="s">
        <v>55</v>
      </c>
    </row>
    <row r="3538" spans="3:5">
      <c r="C3538">
        <v>27.52</v>
      </c>
      <c r="D3538" s="17">
        <v>43077</v>
      </c>
      <c r="E3538" t="s">
        <v>623</v>
      </c>
    </row>
    <row r="3539" spans="3:5">
      <c r="C3539">
        <v>27.552000000000003</v>
      </c>
      <c r="D3539" s="17">
        <v>41999</v>
      </c>
      <c r="E3539" t="s">
        <v>241</v>
      </c>
    </row>
    <row r="3540" spans="3:5">
      <c r="C3540">
        <v>27.552000000000003</v>
      </c>
      <c r="D3540" s="17">
        <v>42127</v>
      </c>
      <c r="E3540" t="s">
        <v>1851</v>
      </c>
    </row>
    <row r="3541" spans="3:5">
      <c r="C3541">
        <v>27.58</v>
      </c>
      <c r="D3541" s="17">
        <v>43059</v>
      </c>
      <c r="E3541" t="s">
        <v>1370</v>
      </c>
    </row>
    <row r="3542" spans="3:5">
      <c r="C3542">
        <v>27.6</v>
      </c>
      <c r="D3542" s="17">
        <v>41787</v>
      </c>
      <c r="E3542" t="s">
        <v>1593</v>
      </c>
    </row>
    <row r="3543" spans="3:5">
      <c r="C3543">
        <v>27.680000000000003</v>
      </c>
      <c r="D3543" s="17">
        <v>42681</v>
      </c>
      <c r="E3543" t="s">
        <v>1260</v>
      </c>
    </row>
    <row r="3544" spans="3:5">
      <c r="C3544">
        <v>27.695999999999998</v>
      </c>
      <c r="D3544" s="17">
        <v>42295</v>
      </c>
      <c r="E3544" t="s">
        <v>573</v>
      </c>
    </row>
    <row r="3545" spans="3:5">
      <c r="C3545">
        <v>27.695999999999998</v>
      </c>
      <c r="D3545" s="17">
        <v>42349</v>
      </c>
      <c r="E3545" t="s">
        <v>1028</v>
      </c>
    </row>
    <row r="3546" spans="3:5">
      <c r="C3546">
        <v>27.72</v>
      </c>
      <c r="D3546" s="17">
        <v>42506</v>
      </c>
      <c r="E3546" t="s">
        <v>1038</v>
      </c>
    </row>
    <row r="3547" spans="3:5">
      <c r="C3547">
        <v>27.72</v>
      </c>
      <c r="D3547" s="17">
        <v>42654</v>
      </c>
      <c r="E3547" t="s">
        <v>437</v>
      </c>
    </row>
    <row r="3548" spans="3:5">
      <c r="C3548">
        <v>27.72</v>
      </c>
      <c r="D3548" s="17">
        <v>43000</v>
      </c>
      <c r="E3548" t="s">
        <v>326</v>
      </c>
    </row>
    <row r="3549" spans="3:5">
      <c r="C3549">
        <v>27.744000000000003</v>
      </c>
      <c r="D3549" s="17">
        <v>42887</v>
      </c>
      <c r="E3549" t="s">
        <v>286</v>
      </c>
    </row>
    <row r="3550" spans="3:5">
      <c r="C3550">
        <v>27.76</v>
      </c>
      <c r="D3550" s="17">
        <v>43063</v>
      </c>
      <c r="E3550" t="s">
        <v>1434</v>
      </c>
    </row>
    <row r="3551" spans="3:5">
      <c r="C3551">
        <v>27.78</v>
      </c>
      <c r="D3551" s="17">
        <v>43041</v>
      </c>
      <c r="E3551" t="s">
        <v>1363</v>
      </c>
    </row>
    <row r="3552" spans="3:5">
      <c r="C3552">
        <v>27.792000000000002</v>
      </c>
      <c r="D3552" s="17">
        <v>42733</v>
      </c>
      <c r="E3552" t="s">
        <v>636</v>
      </c>
    </row>
    <row r="3553" spans="3:5">
      <c r="C3553">
        <v>27.81</v>
      </c>
      <c r="D3553" s="17">
        <v>42464</v>
      </c>
      <c r="E3553" t="s">
        <v>854</v>
      </c>
    </row>
    <row r="3554" spans="3:5">
      <c r="C3554">
        <v>27.816000000000003</v>
      </c>
      <c r="D3554" s="17">
        <v>42812</v>
      </c>
      <c r="E3554" t="s">
        <v>389</v>
      </c>
    </row>
    <row r="3555" spans="3:5">
      <c r="C3555">
        <v>27.86</v>
      </c>
      <c r="D3555" s="17">
        <v>42499</v>
      </c>
      <c r="E3555" t="s">
        <v>883</v>
      </c>
    </row>
    <row r="3556" spans="3:5">
      <c r="C3556">
        <v>27.88</v>
      </c>
      <c r="D3556" s="17">
        <v>42694</v>
      </c>
      <c r="E3556" t="s">
        <v>1043</v>
      </c>
    </row>
    <row r="3557" spans="3:5">
      <c r="C3557">
        <v>27.882000000000005</v>
      </c>
      <c r="D3557" s="17">
        <v>42728</v>
      </c>
      <c r="E3557" t="s">
        <v>612</v>
      </c>
    </row>
    <row r="3558" spans="3:5">
      <c r="C3558">
        <v>27.888000000000002</v>
      </c>
      <c r="D3558" s="17">
        <v>41981</v>
      </c>
      <c r="E3558" t="s">
        <v>490</v>
      </c>
    </row>
    <row r="3559" spans="3:5">
      <c r="C3559">
        <v>27.888000000000002</v>
      </c>
      <c r="D3559" s="17">
        <v>42874</v>
      </c>
      <c r="E3559" t="s">
        <v>729</v>
      </c>
    </row>
    <row r="3560" spans="3:5">
      <c r="C3560">
        <v>27.9</v>
      </c>
      <c r="D3560" s="17">
        <v>42316</v>
      </c>
      <c r="E3560" t="s">
        <v>723</v>
      </c>
    </row>
    <row r="3561" spans="3:5">
      <c r="C3561">
        <v>27.92</v>
      </c>
      <c r="D3561" s="17">
        <v>42086</v>
      </c>
      <c r="E3561" t="s">
        <v>890</v>
      </c>
    </row>
    <row r="3562" spans="3:5">
      <c r="C3562">
        <v>27.92</v>
      </c>
      <c r="D3562" s="17">
        <v>42555</v>
      </c>
      <c r="E3562" t="s">
        <v>890</v>
      </c>
    </row>
    <row r="3563" spans="3:5">
      <c r="C3563">
        <v>27.92</v>
      </c>
      <c r="D3563" s="17">
        <v>42751</v>
      </c>
      <c r="E3563" t="s">
        <v>111</v>
      </c>
    </row>
    <row r="3564" spans="3:5">
      <c r="C3564">
        <v>27.93</v>
      </c>
      <c r="D3564" s="17">
        <v>42611</v>
      </c>
      <c r="E3564" t="s">
        <v>744</v>
      </c>
    </row>
    <row r="3565" spans="3:5">
      <c r="C3565">
        <v>27.93</v>
      </c>
      <c r="D3565" s="17">
        <v>42632</v>
      </c>
      <c r="E3565" t="s">
        <v>744</v>
      </c>
    </row>
    <row r="3566" spans="3:5">
      <c r="C3566">
        <v>27.93</v>
      </c>
      <c r="D3566" s="17">
        <v>43051</v>
      </c>
      <c r="E3566" t="s">
        <v>744</v>
      </c>
    </row>
    <row r="3567" spans="3:5">
      <c r="C3567">
        <v>27.936000000000003</v>
      </c>
      <c r="D3567" s="17">
        <v>41724</v>
      </c>
      <c r="E3567" t="s">
        <v>134</v>
      </c>
    </row>
    <row r="3568" spans="3:5">
      <c r="C3568">
        <v>27.936000000000003</v>
      </c>
      <c r="D3568" s="17">
        <v>42756</v>
      </c>
      <c r="E3568" t="s">
        <v>134</v>
      </c>
    </row>
    <row r="3569" spans="3:5">
      <c r="C3569">
        <v>27.96</v>
      </c>
      <c r="D3569" s="17">
        <v>42437</v>
      </c>
      <c r="E3569" t="s">
        <v>1249</v>
      </c>
    </row>
    <row r="3570" spans="3:5">
      <c r="C3570">
        <v>27.96</v>
      </c>
      <c r="D3570" s="17">
        <v>42733</v>
      </c>
      <c r="E3570" t="s">
        <v>866</v>
      </c>
    </row>
    <row r="3571" spans="3:5">
      <c r="C3571">
        <v>27.968000000000004</v>
      </c>
      <c r="D3571" s="17">
        <v>42003</v>
      </c>
      <c r="E3571" t="s">
        <v>678</v>
      </c>
    </row>
    <row r="3572" spans="3:5">
      <c r="C3572">
        <v>27.968000000000004</v>
      </c>
      <c r="D3572" s="17">
        <v>43007</v>
      </c>
      <c r="E3572" t="s">
        <v>1165</v>
      </c>
    </row>
    <row r="3573" spans="3:5">
      <c r="C3573">
        <v>27.992000000000004</v>
      </c>
      <c r="D3573" s="17">
        <v>43062</v>
      </c>
      <c r="E3573" t="s">
        <v>1454</v>
      </c>
    </row>
    <row r="3574" spans="3:5">
      <c r="C3574">
        <v>28</v>
      </c>
      <c r="D3574" s="17">
        <v>42636</v>
      </c>
      <c r="E3574" t="s">
        <v>758</v>
      </c>
    </row>
    <row r="3575" spans="3:5">
      <c r="C3575">
        <v>28.031999999999996</v>
      </c>
      <c r="D3575" s="17">
        <v>42782</v>
      </c>
      <c r="E3575" t="s">
        <v>167</v>
      </c>
    </row>
    <row r="3576" spans="3:5">
      <c r="C3576">
        <v>28.048000000000002</v>
      </c>
      <c r="D3576" s="17">
        <v>42603</v>
      </c>
      <c r="E3576" t="s">
        <v>580</v>
      </c>
    </row>
    <row r="3577" spans="3:5">
      <c r="C3577">
        <v>28.08</v>
      </c>
      <c r="D3577" s="17">
        <v>42853</v>
      </c>
      <c r="E3577" t="s">
        <v>202</v>
      </c>
    </row>
    <row r="3578" spans="3:5">
      <c r="C3578">
        <v>28.14</v>
      </c>
      <c r="D3578" s="17">
        <v>42685</v>
      </c>
      <c r="E3578" t="s">
        <v>98</v>
      </c>
    </row>
    <row r="3579" spans="3:5">
      <c r="C3579">
        <v>28.14</v>
      </c>
      <c r="D3579" s="17">
        <v>42842</v>
      </c>
      <c r="E3579" t="s">
        <v>470</v>
      </c>
    </row>
    <row r="3580" spans="3:5">
      <c r="C3580">
        <v>28.16</v>
      </c>
      <c r="D3580" s="17">
        <v>43086</v>
      </c>
      <c r="E3580" t="s">
        <v>1309</v>
      </c>
    </row>
    <row r="3581" spans="3:5">
      <c r="C3581">
        <v>28.272000000000006</v>
      </c>
      <c r="D3581" s="17">
        <v>43045</v>
      </c>
      <c r="E3581" t="s">
        <v>564</v>
      </c>
    </row>
    <row r="3582" spans="3:5">
      <c r="C3582">
        <v>28.28</v>
      </c>
      <c r="D3582" s="17">
        <v>42442</v>
      </c>
      <c r="E3582" t="s">
        <v>1327</v>
      </c>
    </row>
    <row r="3583" spans="3:5">
      <c r="C3583">
        <v>28.349999999999998</v>
      </c>
      <c r="D3583" s="17">
        <v>43077</v>
      </c>
      <c r="E3583" t="s">
        <v>1262</v>
      </c>
    </row>
    <row r="3584" spans="3:5">
      <c r="C3584">
        <v>28.352</v>
      </c>
      <c r="D3584" s="17">
        <v>42644</v>
      </c>
      <c r="E3584" t="s">
        <v>296</v>
      </c>
    </row>
    <row r="3585" spans="3:5">
      <c r="C3585">
        <v>28.4</v>
      </c>
      <c r="D3585" s="17">
        <v>42038</v>
      </c>
      <c r="E3585" t="s">
        <v>1444</v>
      </c>
    </row>
    <row r="3586" spans="3:5">
      <c r="C3586">
        <v>28.4</v>
      </c>
      <c r="D3586" s="17">
        <v>42223</v>
      </c>
      <c r="E3586" t="s">
        <v>1267</v>
      </c>
    </row>
    <row r="3587" spans="3:5">
      <c r="C3587">
        <v>28.4</v>
      </c>
      <c r="D3587" s="17">
        <v>42690</v>
      </c>
      <c r="E3587" t="s">
        <v>79</v>
      </c>
    </row>
    <row r="3588" spans="3:5">
      <c r="C3588">
        <v>28.4</v>
      </c>
      <c r="D3588" s="17">
        <v>42826</v>
      </c>
      <c r="E3588" t="s">
        <v>79</v>
      </c>
    </row>
    <row r="3589" spans="3:5">
      <c r="C3589">
        <v>28.4</v>
      </c>
      <c r="D3589" s="17">
        <v>42912</v>
      </c>
      <c r="E3589" t="s">
        <v>897</v>
      </c>
    </row>
    <row r="3590" spans="3:5">
      <c r="C3590">
        <v>28.4</v>
      </c>
      <c r="D3590" s="17">
        <v>42974</v>
      </c>
      <c r="E3590" t="s">
        <v>897</v>
      </c>
    </row>
    <row r="3591" spans="3:5">
      <c r="C3591">
        <v>28.4</v>
      </c>
      <c r="D3591" s="17">
        <v>43062</v>
      </c>
      <c r="E3591" t="s">
        <v>1444</v>
      </c>
    </row>
    <row r="3592" spans="3:5">
      <c r="C3592">
        <v>28.400000000000002</v>
      </c>
      <c r="D3592" s="17">
        <v>43029</v>
      </c>
      <c r="E3592" t="s">
        <v>441</v>
      </c>
    </row>
    <row r="3593" spans="3:5">
      <c r="C3593">
        <v>28.44</v>
      </c>
      <c r="D3593" s="17">
        <v>42342</v>
      </c>
      <c r="E3593" t="s">
        <v>584</v>
      </c>
    </row>
    <row r="3594" spans="3:5">
      <c r="C3594">
        <v>28.44</v>
      </c>
      <c r="D3594" s="17">
        <v>42618</v>
      </c>
      <c r="E3594" t="s">
        <v>312</v>
      </c>
    </row>
    <row r="3595" spans="3:5">
      <c r="C3595">
        <v>28.484999999999999</v>
      </c>
      <c r="D3595" s="17">
        <v>42482</v>
      </c>
      <c r="E3595" t="s">
        <v>709</v>
      </c>
    </row>
    <row r="3596" spans="3:5">
      <c r="C3596">
        <v>28.672000000000004</v>
      </c>
      <c r="D3596" s="17">
        <v>43092</v>
      </c>
      <c r="E3596" t="s">
        <v>967</v>
      </c>
    </row>
    <row r="3597" spans="3:5">
      <c r="C3597">
        <v>28.68</v>
      </c>
      <c r="D3597" s="17">
        <v>42722</v>
      </c>
      <c r="E3597" t="s">
        <v>1485</v>
      </c>
    </row>
    <row r="3598" spans="3:5">
      <c r="C3598">
        <v>28.728000000000002</v>
      </c>
      <c r="D3598" s="17">
        <v>43059</v>
      </c>
      <c r="E3598" t="s">
        <v>127</v>
      </c>
    </row>
    <row r="3599" spans="3:5">
      <c r="C3599">
        <v>28.752000000000002</v>
      </c>
      <c r="D3599" s="17">
        <v>42171</v>
      </c>
      <c r="E3599" t="s">
        <v>79</v>
      </c>
    </row>
    <row r="3600" spans="3:5">
      <c r="C3600">
        <v>28.752000000000002</v>
      </c>
      <c r="D3600" s="17">
        <v>42252</v>
      </c>
      <c r="E3600" t="s">
        <v>673</v>
      </c>
    </row>
    <row r="3601" spans="3:5">
      <c r="C3601">
        <v>28.752000000000002</v>
      </c>
      <c r="D3601" s="17">
        <v>42673</v>
      </c>
      <c r="E3601" t="s">
        <v>1071</v>
      </c>
    </row>
    <row r="3602" spans="3:5">
      <c r="C3602">
        <v>28.752000000000006</v>
      </c>
      <c r="D3602" s="17">
        <v>42664</v>
      </c>
      <c r="E3602" t="s">
        <v>1071</v>
      </c>
    </row>
    <row r="3603" spans="3:5">
      <c r="C3603">
        <v>28.782000000000004</v>
      </c>
      <c r="D3603" s="17">
        <v>43072</v>
      </c>
      <c r="E3603" t="s">
        <v>1216</v>
      </c>
    </row>
    <row r="3604" spans="3:5">
      <c r="C3604">
        <v>28.783999999999999</v>
      </c>
      <c r="D3604" s="17">
        <v>41724</v>
      </c>
      <c r="E3604" t="s">
        <v>154</v>
      </c>
    </row>
    <row r="3605" spans="3:5">
      <c r="C3605">
        <v>28.792000000000002</v>
      </c>
      <c r="D3605" s="17">
        <v>43049</v>
      </c>
      <c r="E3605" t="s">
        <v>553</v>
      </c>
    </row>
    <row r="3606" spans="3:5">
      <c r="C3606">
        <v>28.799999999999997</v>
      </c>
      <c r="D3606" s="17">
        <v>42476</v>
      </c>
      <c r="E3606" t="s">
        <v>1766</v>
      </c>
    </row>
    <row r="3607" spans="3:5">
      <c r="C3607">
        <v>28.8</v>
      </c>
      <c r="D3607" s="17">
        <v>41905</v>
      </c>
      <c r="E3607" t="s">
        <v>1878</v>
      </c>
    </row>
    <row r="3608" spans="3:5">
      <c r="C3608">
        <v>28.84</v>
      </c>
      <c r="D3608" s="17">
        <v>42282</v>
      </c>
      <c r="E3608" t="s">
        <v>1392</v>
      </c>
    </row>
    <row r="3609" spans="3:5">
      <c r="C3609">
        <v>28.849999999999998</v>
      </c>
      <c r="D3609" s="17">
        <v>42649</v>
      </c>
      <c r="E3609" t="s">
        <v>374</v>
      </c>
    </row>
    <row r="3610" spans="3:5">
      <c r="C3610">
        <v>28.854000000000006</v>
      </c>
      <c r="D3610" s="17">
        <v>42737</v>
      </c>
      <c r="E3610" t="s">
        <v>59</v>
      </c>
    </row>
    <row r="3611" spans="3:5">
      <c r="C3611">
        <v>28.900000000000002</v>
      </c>
      <c r="D3611" s="17">
        <v>42259</v>
      </c>
      <c r="E3611" t="s">
        <v>226</v>
      </c>
    </row>
    <row r="3612" spans="3:5">
      <c r="C3612">
        <v>28.900000000000002</v>
      </c>
      <c r="D3612" s="17">
        <v>42365</v>
      </c>
      <c r="E3612" t="s">
        <v>959</v>
      </c>
    </row>
    <row r="3613" spans="3:5">
      <c r="C3613">
        <v>28.91</v>
      </c>
      <c r="D3613" s="17">
        <v>42156</v>
      </c>
      <c r="E3613" t="s">
        <v>728</v>
      </c>
    </row>
    <row r="3614" spans="3:5">
      <c r="C3614">
        <v>28.91</v>
      </c>
      <c r="D3614" s="17">
        <v>42813</v>
      </c>
      <c r="E3614" t="s">
        <v>397</v>
      </c>
    </row>
    <row r="3615" spans="3:5">
      <c r="C3615">
        <v>28.91</v>
      </c>
      <c r="D3615" s="17">
        <v>42924</v>
      </c>
      <c r="E3615" t="s">
        <v>545</v>
      </c>
    </row>
    <row r="3616" spans="3:5">
      <c r="C3616">
        <v>28.99</v>
      </c>
      <c r="D3616" s="17">
        <v>41734</v>
      </c>
      <c r="E3616" t="s">
        <v>1248</v>
      </c>
    </row>
    <row r="3617" spans="3:5">
      <c r="C3617">
        <v>29</v>
      </c>
      <c r="D3617" s="17">
        <v>41962</v>
      </c>
      <c r="E3617" t="s">
        <v>1372</v>
      </c>
    </row>
    <row r="3618" spans="3:5">
      <c r="C3618">
        <v>29</v>
      </c>
      <c r="D3618" s="17">
        <v>42565</v>
      </c>
      <c r="E3618" t="s">
        <v>1372</v>
      </c>
    </row>
    <row r="3619" spans="3:5">
      <c r="C3619">
        <v>29</v>
      </c>
      <c r="D3619" s="17">
        <v>42609</v>
      </c>
      <c r="E3619" t="s">
        <v>569</v>
      </c>
    </row>
    <row r="3620" spans="3:5">
      <c r="C3620">
        <v>29.04</v>
      </c>
      <c r="D3620" s="17">
        <v>42027</v>
      </c>
      <c r="E3620" t="s">
        <v>1507</v>
      </c>
    </row>
    <row r="3621" spans="3:5">
      <c r="C3621">
        <v>29.049999999999997</v>
      </c>
      <c r="D3621" s="17">
        <v>42477</v>
      </c>
      <c r="E3621" t="s">
        <v>1471</v>
      </c>
    </row>
    <row r="3622" spans="3:5">
      <c r="C3622">
        <v>29.12</v>
      </c>
      <c r="D3622" s="17">
        <v>41878</v>
      </c>
      <c r="E3622" t="s">
        <v>566</v>
      </c>
    </row>
    <row r="3623" spans="3:5">
      <c r="C3623">
        <v>29.12</v>
      </c>
      <c r="D3623" s="17">
        <v>41959</v>
      </c>
      <c r="E3623" t="s">
        <v>931</v>
      </c>
    </row>
    <row r="3624" spans="3:5">
      <c r="C3624">
        <v>29.120000000000005</v>
      </c>
      <c r="D3624" s="17">
        <v>42679</v>
      </c>
      <c r="E3624" t="s">
        <v>1647</v>
      </c>
    </row>
    <row r="3625" spans="3:5">
      <c r="C3625">
        <v>29.16</v>
      </c>
      <c r="D3625" s="17">
        <v>42166</v>
      </c>
      <c r="E3625" t="s">
        <v>1298</v>
      </c>
    </row>
    <row r="3626" spans="3:5">
      <c r="C3626">
        <v>29.160000000000004</v>
      </c>
      <c r="D3626" s="17">
        <v>42286</v>
      </c>
      <c r="E3626" t="s">
        <v>247</v>
      </c>
    </row>
    <row r="3627" spans="3:5">
      <c r="C3627">
        <v>29.160000000000004</v>
      </c>
      <c r="D3627" s="17">
        <v>42783</v>
      </c>
      <c r="E3627" t="s">
        <v>247</v>
      </c>
    </row>
    <row r="3628" spans="3:5">
      <c r="C3628">
        <v>29.2</v>
      </c>
      <c r="D3628" s="17">
        <v>42351</v>
      </c>
      <c r="E3628" t="s">
        <v>1433</v>
      </c>
    </row>
    <row r="3629" spans="3:5">
      <c r="C3629">
        <v>29.2</v>
      </c>
      <c r="D3629" s="17">
        <v>42573</v>
      </c>
      <c r="E3629" t="s">
        <v>1304</v>
      </c>
    </row>
    <row r="3630" spans="3:5">
      <c r="C3630">
        <v>29.22</v>
      </c>
      <c r="D3630" s="17">
        <v>42318</v>
      </c>
      <c r="E3630" t="s">
        <v>491</v>
      </c>
    </row>
    <row r="3631" spans="3:5">
      <c r="C3631">
        <v>29.22</v>
      </c>
      <c r="D3631" s="17">
        <v>42352</v>
      </c>
      <c r="E3631" t="s">
        <v>491</v>
      </c>
    </row>
    <row r="3632" spans="3:5">
      <c r="C3632">
        <v>29.24</v>
      </c>
      <c r="D3632" s="17">
        <v>41916</v>
      </c>
      <c r="E3632" t="s">
        <v>1128</v>
      </c>
    </row>
    <row r="3633" spans="3:5">
      <c r="C3633">
        <v>29.24</v>
      </c>
      <c r="D3633" s="17">
        <v>42615</v>
      </c>
      <c r="E3633" t="s">
        <v>679</v>
      </c>
    </row>
    <row r="3634" spans="3:5">
      <c r="C3634">
        <v>29.24</v>
      </c>
      <c r="D3634" s="17">
        <v>42985</v>
      </c>
      <c r="E3634" t="s">
        <v>1128</v>
      </c>
    </row>
    <row r="3635" spans="3:5">
      <c r="C3635">
        <v>29.29</v>
      </c>
      <c r="D3635" s="17">
        <v>42535</v>
      </c>
      <c r="E3635" t="s">
        <v>1501</v>
      </c>
    </row>
    <row r="3636" spans="3:5">
      <c r="C3636">
        <v>29.304000000000002</v>
      </c>
      <c r="D3636" s="17">
        <v>42083</v>
      </c>
      <c r="E3636" t="s">
        <v>1638</v>
      </c>
    </row>
    <row r="3637" spans="3:5">
      <c r="C3637">
        <v>29.311999999999994</v>
      </c>
      <c r="D3637" s="17">
        <v>43092</v>
      </c>
      <c r="E3637" t="s">
        <v>748</v>
      </c>
    </row>
    <row r="3638" spans="3:5">
      <c r="C3638">
        <v>29.32</v>
      </c>
      <c r="D3638" s="17">
        <v>41784</v>
      </c>
      <c r="E3638" t="s">
        <v>1860</v>
      </c>
    </row>
    <row r="3639" spans="3:5">
      <c r="C3639">
        <v>29.328000000000003</v>
      </c>
      <c r="D3639" s="17">
        <v>43001</v>
      </c>
      <c r="E3639" t="s">
        <v>1252</v>
      </c>
    </row>
    <row r="3640" spans="3:5">
      <c r="C3640">
        <v>29.339999999999996</v>
      </c>
      <c r="D3640" s="17">
        <v>42068</v>
      </c>
      <c r="E3640" t="s">
        <v>79</v>
      </c>
    </row>
    <row r="3641" spans="3:5">
      <c r="C3641">
        <v>29.339999999999996</v>
      </c>
      <c r="D3641" s="17">
        <v>42441</v>
      </c>
      <c r="E3641" t="s">
        <v>79</v>
      </c>
    </row>
    <row r="3642" spans="3:5">
      <c r="C3642">
        <v>29.339999999999996</v>
      </c>
      <c r="D3642" s="17">
        <v>42605</v>
      </c>
      <c r="E3642" t="s">
        <v>841</v>
      </c>
    </row>
    <row r="3643" spans="3:5">
      <c r="C3643">
        <v>29.339999999999996</v>
      </c>
      <c r="D3643" s="17">
        <v>43087</v>
      </c>
      <c r="E3643" t="s">
        <v>109</v>
      </c>
    </row>
    <row r="3644" spans="3:5">
      <c r="C3644">
        <v>29.36</v>
      </c>
      <c r="D3644" s="17">
        <v>43078</v>
      </c>
      <c r="E3644" t="s">
        <v>375</v>
      </c>
    </row>
    <row r="3645" spans="3:5">
      <c r="C3645">
        <v>29.371999999999993</v>
      </c>
      <c r="D3645" s="17">
        <v>42310</v>
      </c>
      <c r="E3645" t="s">
        <v>997</v>
      </c>
    </row>
    <row r="3646" spans="3:5">
      <c r="C3646">
        <v>29.402999999999999</v>
      </c>
      <c r="D3646" s="17">
        <v>42286</v>
      </c>
      <c r="E3646" t="s">
        <v>213</v>
      </c>
    </row>
    <row r="3647" spans="3:5">
      <c r="C3647">
        <v>29.46</v>
      </c>
      <c r="D3647" s="17">
        <v>41989</v>
      </c>
      <c r="E3647" t="s">
        <v>1223</v>
      </c>
    </row>
    <row r="3648" spans="3:5">
      <c r="C3648">
        <v>29.46</v>
      </c>
      <c r="D3648" s="17">
        <v>42658</v>
      </c>
      <c r="E3648" t="s">
        <v>874</v>
      </c>
    </row>
    <row r="3649" spans="3:5">
      <c r="C3649">
        <v>29.472000000000001</v>
      </c>
      <c r="D3649" s="17">
        <v>42488</v>
      </c>
      <c r="E3649" t="s">
        <v>122</v>
      </c>
    </row>
    <row r="3650" spans="3:5">
      <c r="C3650">
        <v>29.472000000000001</v>
      </c>
      <c r="D3650" s="17">
        <v>43027</v>
      </c>
      <c r="E3650" t="s">
        <v>296</v>
      </c>
    </row>
    <row r="3651" spans="3:5">
      <c r="C3651">
        <v>29.52</v>
      </c>
      <c r="D3651" s="17">
        <v>42355</v>
      </c>
      <c r="E3651" t="s">
        <v>1526</v>
      </c>
    </row>
    <row r="3652" spans="3:5">
      <c r="C3652">
        <v>29.52</v>
      </c>
      <c r="D3652" s="17">
        <v>42614</v>
      </c>
      <c r="E3652" t="s">
        <v>1526</v>
      </c>
    </row>
    <row r="3653" spans="3:5">
      <c r="C3653">
        <v>29.56</v>
      </c>
      <c r="D3653" s="17">
        <v>42478</v>
      </c>
      <c r="E3653" t="s">
        <v>1713</v>
      </c>
    </row>
    <row r="3654" spans="3:5">
      <c r="C3654">
        <v>29.592000000000002</v>
      </c>
      <c r="D3654" s="17">
        <v>42870</v>
      </c>
      <c r="E3654" t="s">
        <v>229</v>
      </c>
    </row>
    <row r="3655" spans="3:5">
      <c r="C3655">
        <v>29.6</v>
      </c>
      <c r="D3655" s="17">
        <v>41730</v>
      </c>
      <c r="E3655" t="s">
        <v>843</v>
      </c>
    </row>
    <row r="3656" spans="3:5">
      <c r="C3656">
        <v>29.6</v>
      </c>
      <c r="D3656" s="17">
        <v>42638</v>
      </c>
      <c r="E3656" t="s">
        <v>817</v>
      </c>
    </row>
    <row r="3657" spans="3:5">
      <c r="C3657">
        <v>29.6</v>
      </c>
      <c r="D3657" s="17">
        <v>42792</v>
      </c>
      <c r="E3657" t="s">
        <v>290</v>
      </c>
    </row>
    <row r="3658" spans="3:5">
      <c r="C3658">
        <v>29.6</v>
      </c>
      <c r="D3658" s="17">
        <v>42896</v>
      </c>
      <c r="E3658" t="s">
        <v>817</v>
      </c>
    </row>
    <row r="3659" spans="3:5">
      <c r="C3659">
        <v>29.600000000000005</v>
      </c>
      <c r="D3659" s="17">
        <v>42010</v>
      </c>
      <c r="E3659" t="s">
        <v>290</v>
      </c>
    </row>
    <row r="3660" spans="3:5">
      <c r="C3660">
        <v>29.61</v>
      </c>
      <c r="D3660" s="17">
        <v>42565</v>
      </c>
      <c r="E3660" t="s">
        <v>752</v>
      </c>
    </row>
    <row r="3661" spans="3:5">
      <c r="C3661">
        <v>29.664000000000001</v>
      </c>
      <c r="D3661" s="17">
        <v>42958</v>
      </c>
      <c r="E3661" t="s">
        <v>854</v>
      </c>
    </row>
    <row r="3662" spans="3:5">
      <c r="C3662">
        <v>29.68</v>
      </c>
      <c r="D3662" s="17">
        <v>42004</v>
      </c>
      <c r="E3662" t="s">
        <v>1261</v>
      </c>
    </row>
    <row r="3663" spans="3:5">
      <c r="C3663">
        <v>29.700000000000003</v>
      </c>
      <c r="D3663" s="17">
        <v>41659</v>
      </c>
      <c r="E3663" t="s">
        <v>531</v>
      </c>
    </row>
    <row r="3664" spans="3:5">
      <c r="C3664">
        <v>29.700000000000003</v>
      </c>
      <c r="D3664" s="17">
        <v>42308</v>
      </c>
      <c r="E3664" t="s">
        <v>194</v>
      </c>
    </row>
    <row r="3665" spans="3:5">
      <c r="C3665">
        <v>29.700000000000003</v>
      </c>
      <c r="D3665" s="17">
        <v>42825</v>
      </c>
      <c r="E3665" t="s">
        <v>194</v>
      </c>
    </row>
    <row r="3666" spans="3:5">
      <c r="C3666">
        <v>29.700000000000003</v>
      </c>
      <c r="D3666" s="17">
        <v>42837</v>
      </c>
      <c r="E3666" t="s">
        <v>531</v>
      </c>
    </row>
    <row r="3667" spans="3:5">
      <c r="C3667">
        <v>29.718000000000007</v>
      </c>
      <c r="D3667" s="17">
        <v>42541</v>
      </c>
      <c r="E3667" t="s">
        <v>1332</v>
      </c>
    </row>
    <row r="3668" spans="3:5">
      <c r="C3668">
        <v>29.74</v>
      </c>
      <c r="D3668" s="17">
        <v>42684</v>
      </c>
      <c r="E3668" t="s">
        <v>1222</v>
      </c>
    </row>
    <row r="3669" spans="3:5">
      <c r="C3669">
        <v>29.760000000000005</v>
      </c>
      <c r="D3669" s="17">
        <v>42807</v>
      </c>
      <c r="E3669" t="s">
        <v>360</v>
      </c>
    </row>
    <row r="3670" spans="3:5">
      <c r="C3670">
        <v>29.78</v>
      </c>
      <c r="D3670" s="17">
        <v>42825</v>
      </c>
      <c r="E3670" t="s">
        <v>262</v>
      </c>
    </row>
    <row r="3671" spans="3:5">
      <c r="C3671">
        <v>29.79</v>
      </c>
      <c r="D3671" s="17">
        <v>42226</v>
      </c>
      <c r="E3671" t="s">
        <v>391</v>
      </c>
    </row>
    <row r="3672" spans="3:5">
      <c r="C3672">
        <v>29.79</v>
      </c>
      <c r="D3672" s="17">
        <v>42335</v>
      </c>
      <c r="E3672" t="s">
        <v>391</v>
      </c>
    </row>
    <row r="3673" spans="3:5">
      <c r="C3673">
        <v>29.79</v>
      </c>
      <c r="D3673" s="17">
        <v>43077</v>
      </c>
      <c r="E3673" t="s">
        <v>1509</v>
      </c>
    </row>
    <row r="3674" spans="3:5">
      <c r="C3674">
        <v>29.800000000000004</v>
      </c>
      <c r="D3674" s="17">
        <v>42308</v>
      </c>
      <c r="E3674" t="s">
        <v>954</v>
      </c>
    </row>
    <row r="3675" spans="3:5">
      <c r="C3675">
        <v>29.800000000000004</v>
      </c>
      <c r="D3675" s="17">
        <v>42458</v>
      </c>
      <c r="E3675" t="s">
        <v>954</v>
      </c>
    </row>
    <row r="3676" spans="3:5">
      <c r="C3676">
        <v>29.800000000000004</v>
      </c>
      <c r="D3676" s="17">
        <v>42927</v>
      </c>
      <c r="E3676" t="s">
        <v>954</v>
      </c>
    </row>
    <row r="3677" spans="3:5">
      <c r="C3677">
        <v>29.808</v>
      </c>
      <c r="D3677" s="17">
        <v>41880</v>
      </c>
      <c r="E3677" t="s">
        <v>1886</v>
      </c>
    </row>
    <row r="3678" spans="3:5">
      <c r="C3678">
        <v>29.84</v>
      </c>
      <c r="D3678" s="17">
        <v>42168</v>
      </c>
      <c r="E3678" t="s">
        <v>749</v>
      </c>
    </row>
    <row r="3679" spans="3:5">
      <c r="C3679">
        <v>29.84</v>
      </c>
      <c r="D3679" s="17">
        <v>42880</v>
      </c>
      <c r="E3679" t="s">
        <v>749</v>
      </c>
    </row>
    <row r="3680" spans="3:5">
      <c r="C3680">
        <v>29.900000000000002</v>
      </c>
      <c r="D3680" s="17">
        <v>42041</v>
      </c>
      <c r="E3680" t="s">
        <v>1756</v>
      </c>
    </row>
    <row r="3681" spans="3:5">
      <c r="C3681">
        <v>29.900000000000002</v>
      </c>
      <c r="D3681" s="17">
        <v>42167</v>
      </c>
      <c r="E3681" t="s">
        <v>1716</v>
      </c>
    </row>
    <row r="3682" spans="3:5">
      <c r="C3682">
        <v>29.900000000000002</v>
      </c>
      <c r="D3682" s="17">
        <v>42357</v>
      </c>
      <c r="E3682" t="s">
        <v>236</v>
      </c>
    </row>
    <row r="3683" spans="3:5">
      <c r="C3683">
        <v>29.900000000000002</v>
      </c>
      <c r="D3683" s="17">
        <v>42639</v>
      </c>
      <c r="E3683" t="s">
        <v>1608</v>
      </c>
    </row>
    <row r="3684" spans="3:5">
      <c r="C3684">
        <v>29.900000000000002</v>
      </c>
      <c r="D3684" s="17">
        <v>42639</v>
      </c>
      <c r="E3684" t="s">
        <v>147</v>
      </c>
    </row>
    <row r="3685" spans="3:5">
      <c r="C3685">
        <v>29.900000000000002</v>
      </c>
      <c r="D3685" s="17">
        <v>42772</v>
      </c>
      <c r="E3685" t="s">
        <v>220</v>
      </c>
    </row>
    <row r="3686" spans="3:5">
      <c r="C3686">
        <v>29.925000000000001</v>
      </c>
      <c r="D3686" s="17">
        <v>41899</v>
      </c>
      <c r="E3686" t="s">
        <v>1880</v>
      </c>
    </row>
    <row r="3687" spans="3:5">
      <c r="C3687">
        <v>29.931999999999992</v>
      </c>
      <c r="D3687" s="17">
        <v>41834</v>
      </c>
      <c r="E3687" t="s">
        <v>110</v>
      </c>
    </row>
    <row r="3688" spans="3:5">
      <c r="C3688">
        <v>29.940000000000005</v>
      </c>
      <c r="D3688" s="17">
        <v>41978</v>
      </c>
      <c r="E3688" t="s">
        <v>1322</v>
      </c>
    </row>
    <row r="3689" spans="3:5">
      <c r="C3689">
        <v>29.950000000000003</v>
      </c>
      <c r="D3689" s="17">
        <v>42992</v>
      </c>
      <c r="E3689" t="s">
        <v>742</v>
      </c>
    </row>
    <row r="3690" spans="3:5">
      <c r="C3690">
        <v>29.950000000000003</v>
      </c>
      <c r="D3690" s="17">
        <v>43085</v>
      </c>
      <c r="E3690" t="s">
        <v>742</v>
      </c>
    </row>
    <row r="3691" spans="3:5">
      <c r="C3691">
        <v>29.96</v>
      </c>
      <c r="D3691" s="17">
        <v>42321</v>
      </c>
      <c r="E3691" t="s">
        <v>386</v>
      </c>
    </row>
    <row r="3692" spans="3:5">
      <c r="C3692">
        <v>29.97</v>
      </c>
      <c r="D3692" s="17">
        <v>42196</v>
      </c>
      <c r="E3692" t="s">
        <v>1640</v>
      </c>
    </row>
    <row r="3693" spans="3:5">
      <c r="C3693">
        <v>29.97</v>
      </c>
      <c r="D3693" s="17">
        <v>42212</v>
      </c>
      <c r="E3693" t="s">
        <v>482</v>
      </c>
    </row>
    <row r="3694" spans="3:5">
      <c r="C3694">
        <v>29.97</v>
      </c>
      <c r="D3694" s="17">
        <v>42626</v>
      </c>
      <c r="E3694" t="s">
        <v>482</v>
      </c>
    </row>
    <row r="3695" spans="3:5">
      <c r="C3695">
        <v>29.97</v>
      </c>
      <c r="D3695" s="17">
        <v>42938</v>
      </c>
      <c r="E3695" t="s">
        <v>927</v>
      </c>
    </row>
    <row r="3696" spans="3:5">
      <c r="C3696">
        <v>29.98</v>
      </c>
      <c r="D3696" s="17">
        <v>42707</v>
      </c>
      <c r="E3696" t="s">
        <v>1568</v>
      </c>
    </row>
    <row r="3697" spans="3:5">
      <c r="C3697">
        <v>29.99</v>
      </c>
      <c r="D3697" s="17">
        <v>41966</v>
      </c>
      <c r="E3697" t="s">
        <v>694</v>
      </c>
    </row>
    <row r="3698" spans="3:5">
      <c r="C3698">
        <v>29.99</v>
      </c>
      <c r="D3698" s="17">
        <v>42055</v>
      </c>
      <c r="E3698" t="s">
        <v>168</v>
      </c>
    </row>
    <row r="3699" spans="3:5">
      <c r="C3699">
        <v>29.99</v>
      </c>
      <c r="D3699" s="17">
        <v>42386</v>
      </c>
      <c r="E3699" t="s">
        <v>108</v>
      </c>
    </row>
    <row r="3700" spans="3:5">
      <c r="C3700">
        <v>30</v>
      </c>
      <c r="D3700" s="17">
        <v>42468</v>
      </c>
      <c r="E3700" t="s">
        <v>629</v>
      </c>
    </row>
    <row r="3701" spans="3:5">
      <c r="C3701">
        <v>30</v>
      </c>
      <c r="D3701" s="17">
        <v>42538</v>
      </c>
      <c r="E3701" t="s">
        <v>751</v>
      </c>
    </row>
    <row r="3702" spans="3:5">
      <c r="C3702">
        <v>30</v>
      </c>
      <c r="D3702" s="17">
        <v>43038</v>
      </c>
      <c r="E3702" t="s">
        <v>1359</v>
      </c>
    </row>
    <row r="3703" spans="3:5">
      <c r="C3703">
        <v>30.016000000000005</v>
      </c>
      <c r="D3703" s="17">
        <v>42000</v>
      </c>
      <c r="E3703" t="s">
        <v>98</v>
      </c>
    </row>
    <row r="3704" spans="3:5">
      <c r="C3704">
        <v>30.072000000000003</v>
      </c>
      <c r="D3704" s="17">
        <v>41655</v>
      </c>
      <c r="E3704" t="s">
        <v>1466</v>
      </c>
    </row>
    <row r="3705" spans="3:5">
      <c r="C3705">
        <v>30.080000000000002</v>
      </c>
      <c r="D3705" s="17">
        <v>42233</v>
      </c>
      <c r="E3705" t="s">
        <v>1169</v>
      </c>
    </row>
    <row r="3706" spans="3:5">
      <c r="C3706">
        <v>30.080000000000002</v>
      </c>
      <c r="D3706" s="17">
        <v>42372</v>
      </c>
      <c r="E3706" t="s">
        <v>1169</v>
      </c>
    </row>
    <row r="3707" spans="3:5">
      <c r="C3707">
        <v>30.144000000000002</v>
      </c>
      <c r="D3707" s="17">
        <v>42461</v>
      </c>
      <c r="E3707" t="s">
        <v>1490</v>
      </c>
    </row>
    <row r="3708" spans="3:5">
      <c r="C3708">
        <v>30.144000000000002</v>
      </c>
      <c r="D3708" s="17">
        <v>42783</v>
      </c>
      <c r="E3708" t="s">
        <v>78</v>
      </c>
    </row>
    <row r="3709" spans="3:5">
      <c r="C3709">
        <v>30.18</v>
      </c>
      <c r="D3709" s="17">
        <v>41950</v>
      </c>
      <c r="E3709" t="s">
        <v>978</v>
      </c>
    </row>
    <row r="3710" spans="3:5">
      <c r="C3710">
        <v>30.18</v>
      </c>
      <c r="D3710" s="17">
        <v>42523</v>
      </c>
      <c r="E3710" t="s">
        <v>978</v>
      </c>
    </row>
    <row r="3711" spans="3:5">
      <c r="C3711">
        <v>30.192</v>
      </c>
      <c r="D3711" s="17">
        <v>42504</v>
      </c>
      <c r="E3711" t="s">
        <v>872</v>
      </c>
    </row>
    <row r="3712" spans="3:5">
      <c r="C3712">
        <v>30.28</v>
      </c>
      <c r="D3712" s="17">
        <v>41899</v>
      </c>
      <c r="E3712" t="s">
        <v>797</v>
      </c>
    </row>
    <row r="3713" spans="3:5">
      <c r="C3713">
        <v>30.32</v>
      </c>
      <c r="D3713" s="17">
        <v>42927</v>
      </c>
      <c r="E3713" t="s">
        <v>127</v>
      </c>
    </row>
    <row r="3714" spans="3:5">
      <c r="C3714">
        <v>30.336000000000002</v>
      </c>
      <c r="D3714" s="17">
        <v>42440</v>
      </c>
      <c r="E3714" t="s">
        <v>102</v>
      </c>
    </row>
    <row r="3715" spans="3:5">
      <c r="C3715">
        <v>30.336000000000006</v>
      </c>
      <c r="D3715" s="17">
        <v>42890</v>
      </c>
      <c r="E3715" t="s">
        <v>802</v>
      </c>
    </row>
    <row r="3716" spans="3:5">
      <c r="C3716">
        <v>30.344000000000001</v>
      </c>
      <c r="D3716" s="17">
        <v>42488</v>
      </c>
      <c r="E3716" t="s">
        <v>1011</v>
      </c>
    </row>
    <row r="3717" spans="3:5">
      <c r="C3717">
        <v>30.345000000000006</v>
      </c>
      <c r="D3717" s="17">
        <v>42695</v>
      </c>
      <c r="E3717" t="s">
        <v>1575</v>
      </c>
    </row>
    <row r="3718" spans="3:5">
      <c r="C3718">
        <v>30.352</v>
      </c>
      <c r="D3718" s="17">
        <v>42407</v>
      </c>
      <c r="E3718" t="s">
        <v>238</v>
      </c>
    </row>
    <row r="3719" spans="3:5">
      <c r="C3719">
        <v>30.36</v>
      </c>
      <c r="D3719" s="17">
        <v>41997</v>
      </c>
      <c r="E3719" t="s">
        <v>1522</v>
      </c>
    </row>
    <row r="3720" spans="3:5">
      <c r="C3720">
        <v>30.36</v>
      </c>
      <c r="D3720" s="17">
        <v>42687</v>
      </c>
      <c r="E3720" t="s">
        <v>1522</v>
      </c>
    </row>
    <row r="3721" spans="3:5">
      <c r="C3721">
        <v>30.384</v>
      </c>
      <c r="D3721" s="17">
        <v>42982</v>
      </c>
      <c r="E3721" t="s">
        <v>1006</v>
      </c>
    </row>
    <row r="3722" spans="3:5">
      <c r="C3722">
        <v>30.4</v>
      </c>
      <c r="D3722" s="17">
        <v>41972</v>
      </c>
      <c r="E3722" t="s">
        <v>74</v>
      </c>
    </row>
    <row r="3723" spans="3:5">
      <c r="C3723">
        <v>30.4</v>
      </c>
      <c r="D3723" s="17">
        <v>42647</v>
      </c>
      <c r="E3723" t="s">
        <v>831</v>
      </c>
    </row>
    <row r="3724" spans="3:5">
      <c r="C3724">
        <v>30.44</v>
      </c>
      <c r="D3724" s="17">
        <v>41715</v>
      </c>
      <c r="E3724" t="s">
        <v>808</v>
      </c>
    </row>
    <row r="3725" spans="3:5">
      <c r="C3725">
        <v>30.44</v>
      </c>
      <c r="D3725" s="17">
        <v>42070</v>
      </c>
      <c r="E3725" t="s">
        <v>808</v>
      </c>
    </row>
    <row r="3726" spans="3:5">
      <c r="C3726">
        <v>30.44</v>
      </c>
      <c r="D3726" s="17">
        <v>42159</v>
      </c>
      <c r="E3726" t="s">
        <v>517</v>
      </c>
    </row>
    <row r="3727" spans="3:5">
      <c r="C3727">
        <v>30.48</v>
      </c>
      <c r="D3727" s="17">
        <v>41954</v>
      </c>
      <c r="E3727" t="s">
        <v>500</v>
      </c>
    </row>
    <row r="3728" spans="3:5">
      <c r="C3728">
        <v>30.48</v>
      </c>
      <c r="D3728" s="17">
        <v>42461</v>
      </c>
      <c r="E3728" t="s">
        <v>500</v>
      </c>
    </row>
    <row r="3729" spans="3:5">
      <c r="C3729">
        <v>30.48</v>
      </c>
      <c r="D3729" s="17">
        <v>42614</v>
      </c>
      <c r="E3729" t="s">
        <v>105</v>
      </c>
    </row>
    <row r="3730" spans="3:5">
      <c r="C3730">
        <v>30.527999999999999</v>
      </c>
      <c r="D3730" s="17">
        <v>42507</v>
      </c>
      <c r="E3730" t="s">
        <v>481</v>
      </c>
    </row>
    <row r="3731" spans="3:5">
      <c r="C3731">
        <v>30.53</v>
      </c>
      <c r="D3731" s="17">
        <v>42552</v>
      </c>
      <c r="E3731" t="s">
        <v>1590</v>
      </c>
    </row>
    <row r="3732" spans="3:5">
      <c r="C3732">
        <v>30.559999999999992</v>
      </c>
      <c r="D3732" s="17">
        <v>43051</v>
      </c>
      <c r="E3732" t="s">
        <v>598</v>
      </c>
    </row>
    <row r="3733" spans="3:5">
      <c r="C3733">
        <v>30.56</v>
      </c>
      <c r="D3733" s="17">
        <v>42441</v>
      </c>
      <c r="E3733" t="s">
        <v>1076</v>
      </c>
    </row>
    <row r="3734" spans="3:5">
      <c r="C3734">
        <v>30.56</v>
      </c>
      <c r="D3734" s="17">
        <v>42855</v>
      </c>
      <c r="E3734" t="s">
        <v>89</v>
      </c>
    </row>
    <row r="3735" spans="3:5">
      <c r="C3735">
        <v>30.56</v>
      </c>
      <c r="D3735" s="17">
        <v>43027</v>
      </c>
      <c r="E3735" t="s">
        <v>48</v>
      </c>
    </row>
    <row r="3736" spans="3:5">
      <c r="C3736">
        <v>30.560000000000002</v>
      </c>
      <c r="D3736" s="17">
        <v>43045</v>
      </c>
      <c r="E3736" t="s">
        <v>48</v>
      </c>
    </row>
    <row r="3737" spans="3:5">
      <c r="C3737">
        <v>30.576000000000001</v>
      </c>
      <c r="D3737" s="17">
        <v>42815</v>
      </c>
      <c r="E3737" t="s">
        <v>414</v>
      </c>
    </row>
    <row r="3738" spans="3:5">
      <c r="C3738">
        <v>30.672000000000001</v>
      </c>
      <c r="D3738" s="17">
        <v>41982</v>
      </c>
      <c r="E3738" t="s">
        <v>1338</v>
      </c>
    </row>
    <row r="3739" spans="3:5">
      <c r="C3739">
        <v>30.69</v>
      </c>
      <c r="D3739" s="17">
        <v>42915</v>
      </c>
      <c r="E3739" t="s">
        <v>907</v>
      </c>
    </row>
    <row r="3740" spans="3:5">
      <c r="C3740">
        <v>30.768000000000001</v>
      </c>
      <c r="D3740" s="17">
        <v>41716</v>
      </c>
      <c r="E3740" t="s">
        <v>244</v>
      </c>
    </row>
    <row r="3741" spans="3:5">
      <c r="C3741">
        <v>30.8</v>
      </c>
      <c r="D3741" s="17">
        <v>42565</v>
      </c>
      <c r="E3741" t="s">
        <v>1726</v>
      </c>
    </row>
    <row r="3742" spans="3:5">
      <c r="C3742">
        <v>30.816000000000003</v>
      </c>
      <c r="D3742" s="17">
        <v>41891</v>
      </c>
      <c r="E3742" t="s">
        <v>261</v>
      </c>
    </row>
    <row r="3743" spans="3:5">
      <c r="C3743">
        <v>30.816000000000003</v>
      </c>
      <c r="D3743" s="17">
        <v>42591</v>
      </c>
      <c r="E3743" t="s">
        <v>1093</v>
      </c>
    </row>
    <row r="3744" spans="3:5">
      <c r="C3744">
        <v>30.816000000000003</v>
      </c>
      <c r="D3744" s="17">
        <v>42706</v>
      </c>
      <c r="E3744" t="s">
        <v>1061</v>
      </c>
    </row>
    <row r="3745" spans="3:5">
      <c r="C3745">
        <v>30.828000000000007</v>
      </c>
      <c r="D3745" s="17">
        <v>42377</v>
      </c>
      <c r="E3745" t="s">
        <v>375</v>
      </c>
    </row>
    <row r="3746" spans="3:5">
      <c r="C3746">
        <v>30.839999999999996</v>
      </c>
      <c r="D3746" s="17">
        <v>42552</v>
      </c>
      <c r="E3746" t="s">
        <v>1736</v>
      </c>
    </row>
    <row r="3747" spans="3:5">
      <c r="C3747">
        <v>30.84</v>
      </c>
      <c r="D3747" s="17">
        <v>42286</v>
      </c>
      <c r="E3747" t="s">
        <v>1160</v>
      </c>
    </row>
    <row r="3748" spans="3:5">
      <c r="C3748">
        <v>30.84</v>
      </c>
      <c r="D3748" s="17">
        <v>42533</v>
      </c>
      <c r="E3748" t="s">
        <v>185</v>
      </c>
    </row>
    <row r="3749" spans="3:5">
      <c r="C3749">
        <v>30.84</v>
      </c>
      <c r="D3749" s="17">
        <v>42803</v>
      </c>
      <c r="E3749" t="s">
        <v>185</v>
      </c>
    </row>
    <row r="3750" spans="3:5">
      <c r="C3750">
        <v>30.87</v>
      </c>
      <c r="D3750" s="17">
        <v>42621</v>
      </c>
      <c r="E3750" t="s">
        <v>454</v>
      </c>
    </row>
    <row r="3751" spans="3:5">
      <c r="C3751">
        <v>30.88</v>
      </c>
      <c r="D3751" s="17">
        <v>42807</v>
      </c>
      <c r="E3751" t="s">
        <v>297</v>
      </c>
    </row>
    <row r="3752" spans="3:5">
      <c r="C3752">
        <v>30.880000000000003</v>
      </c>
      <c r="D3752" s="17">
        <v>42075</v>
      </c>
      <c r="E3752" t="s">
        <v>1855</v>
      </c>
    </row>
    <row r="3753" spans="3:5">
      <c r="C3753">
        <v>30.93</v>
      </c>
      <c r="D3753" s="17">
        <v>42813</v>
      </c>
      <c r="E3753" t="s">
        <v>401</v>
      </c>
    </row>
    <row r="3754" spans="3:5">
      <c r="C3754">
        <v>30.959999999999994</v>
      </c>
      <c r="D3754" s="17">
        <v>41866</v>
      </c>
      <c r="E3754" t="s">
        <v>204</v>
      </c>
    </row>
    <row r="3755" spans="3:5">
      <c r="C3755">
        <v>30.96</v>
      </c>
      <c r="D3755" s="17">
        <v>42616</v>
      </c>
      <c r="E3755" t="s">
        <v>924</v>
      </c>
    </row>
    <row r="3756" spans="3:5">
      <c r="C3756">
        <v>30.96</v>
      </c>
      <c r="D3756" s="17">
        <v>42919</v>
      </c>
      <c r="E3756" t="s">
        <v>924</v>
      </c>
    </row>
    <row r="3757" spans="3:5">
      <c r="C3757">
        <v>30.960000000000004</v>
      </c>
      <c r="D3757" s="17">
        <v>42768</v>
      </c>
      <c r="E3757" t="s">
        <v>204</v>
      </c>
    </row>
    <row r="3758" spans="3:5">
      <c r="C3758">
        <v>30.975999999999999</v>
      </c>
      <c r="D3758" s="17">
        <v>42644</v>
      </c>
      <c r="E3758" t="s">
        <v>127</v>
      </c>
    </row>
    <row r="3759" spans="3:5">
      <c r="C3759">
        <v>30.98</v>
      </c>
      <c r="D3759" s="17">
        <v>41902</v>
      </c>
      <c r="E3759" t="s">
        <v>1613</v>
      </c>
    </row>
    <row r="3760" spans="3:5">
      <c r="C3760">
        <v>30.98</v>
      </c>
      <c r="D3760" s="17">
        <v>42715</v>
      </c>
      <c r="E3760" t="s">
        <v>1089</v>
      </c>
    </row>
    <row r="3761" spans="3:5">
      <c r="C3761">
        <v>30.991999999999997</v>
      </c>
      <c r="D3761" s="17">
        <v>41742</v>
      </c>
      <c r="E3761" t="s">
        <v>74</v>
      </c>
    </row>
    <row r="3762" spans="3:5">
      <c r="C3762">
        <v>31.007999999999999</v>
      </c>
      <c r="D3762" s="17">
        <v>42608</v>
      </c>
      <c r="E3762" t="s">
        <v>1669</v>
      </c>
    </row>
    <row r="3763" spans="3:5">
      <c r="C3763">
        <v>31.02</v>
      </c>
      <c r="D3763" s="17">
        <v>42464</v>
      </c>
      <c r="E3763" t="s">
        <v>384</v>
      </c>
    </row>
    <row r="3764" spans="3:5">
      <c r="C3764">
        <v>31.049999999999997</v>
      </c>
      <c r="D3764" s="17">
        <v>41993</v>
      </c>
      <c r="E3764" t="s">
        <v>1315</v>
      </c>
    </row>
    <row r="3765" spans="3:5">
      <c r="C3765">
        <v>31.049999999999997</v>
      </c>
      <c r="D3765" s="17">
        <v>42258</v>
      </c>
      <c r="E3765" t="s">
        <v>1387</v>
      </c>
    </row>
    <row r="3766" spans="3:5">
      <c r="C3766">
        <v>31.049999999999997</v>
      </c>
      <c r="D3766" s="17">
        <v>42287</v>
      </c>
      <c r="E3766" t="s">
        <v>1387</v>
      </c>
    </row>
    <row r="3767" spans="3:5">
      <c r="C3767">
        <v>31.08</v>
      </c>
      <c r="D3767" s="17">
        <v>42327</v>
      </c>
      <c r="E3767" t="s">
        <v>672</v>
      </c>
    </row>
    <row r="3768" spans="3:5">
      <c r="C3768">
        <v>31.08</v>
      </c>
      <c r="D3768" s="17">
        <v>43002</v>
      </c>
      <c r="E3768" t="s">
        <v>1264</v>
      </c>
    </row>
    <row r="3769" spans="3:5">
      <c r="C3769">
        <v>31.086000000000006</v>
      </c>
      <c r="D3769" s="17">
        <v>41818</v>
      </c>
      <c r="E3769" t="s">
        <v>1063</v>
      </c>
    </row>
    <row r="3770" spans="3:5">
      <c r="C3770">
        <v>31.086000000000006</v>
      </c>
      <c r="D3770" s="17">
        <v>42448</v>
      </c>
      <c r="E3770" t="s">
        <v>474</v>
      </c>
    </row>
    <row r="3771" spans="3:5">
      <c r="C3771">
        <v>31.104000000000006</v>
      </c>
      <c r="D3771" s="17">
        <v>41863</v>
      </c>
      <c r="E3771" t="s">
        <v>1652</v>
      </c>
    </row>
    <row r="3772" spans="3:5">
      <c r="C3772">
        <v>31.104000000000006</v>
      </c>
      <c r="D3772" s="17">
        <v>41874</v>
      </c>
      <c r="E3772" t="s">
        <v>90</v>
      </c>
    </row>
    <row r="3773" spans="3:5">
      <c r="C3773">
        <v>31.104000000000006</v>
      </c>
      <c r="D3773" s="17">
        <v>41883</v>
      </c>
      <c r="E3773" t="s">
        <v>933</v>
      </c>
    </row>
    <row r="3774" spans="3:5">
      <c r="C3774">
        <v>31.104000000000006</v>
      </c>
      <c r="D3774" s="17">
        <v>42107</v>
      </c>
      <c r="E3774" t="s">
        <v>1464</v>
      </c>
    </row>
    <row r="3775" spans="3:5">
      <c r="C3775">
        <v>31.104000000000006</v>
      </c>
      <c r="D3775" s="17">
        <v>42180</v>
      </c>
      <c r="E3775" t="s">
        <v>1436</v>
      </c>
    </row>
    <row r="3776" spans="3:5">
      <c r="C3776">
        <v>31.104000000000006</v>
      </c>
      <c r="D3776" s="17">
        <v>42273</v>
      </c>
      <c r="E3776" t="s">
        <v>933</v>
      </c>
    </row>
    <row r="3777" spans="3:5">
      <c r="C3777">
        <v>31.104000000000006</v>
      </c>
      <c r="D3777" s="17">
        <v>42504</v>
      </c>
      <c r="E3777" t="s">
        <v>81</v>
      </c>
    </row>
    <row r="3778" spans="3:5">
      <c r="C3778">
        <v>31.104000000000006</v>
      </c>
      <c r="D3778" s="17">
        <v>42684</v>
      </c>
      <c r="E3778" t="s">
        <v>803</v>
      </c>
    </row>
    <row r="3779" spans="3:5">
      <c r="C3779">
        <v>31.104000000000006</v>
      </c>
      <c r="D3779" s="17">
        <v>42906</v>
      </c>
      <c r="E3779" t="s">
        <v>838</v>
      </c>
    </row>
    <row r="3780" spans="3:5">
      <c r="C3780">
        <v>31.104000000000006</v>
      </c>
      <c r="D3780" s="17">
        <v>42921</v>
      </c>
      <c r="E3780" t="s">
        <v>928</v>
      </c>
    </row>
    <row r="3781" spans="3:5">
      <c r="C3781">
        <v>31.104000000000006</v>
      </c>
      <c r="D3781" s="17">
        <v>42987</v>
      </c>
      <c r="E3781" t="s">
        <v>767</v>
      </c>
    </row>
    <row r="3782" spans="3:5">
      <c r="C3782">
        <v>31.104000000000006</v>
      </c>
      <c r="D3782" s="17">
        <v>43045</v>
      </c>
      <c r="E3782" t="s">
        <v>1137</v>
      </c>
    </row>
    <row r="3783" spans="3:5">
      <c r="C3783">
        <v>31.12</v>
      </c>
      <c r="D3783" s="17">
        <v>41645</v>
      </c>
      <c r="E3783" t="s">
        <v>1673</v>
      </c>
    </row>
    <row r="3784" spans="3:5">
      <c r="C3784">
        <v>31.12</v>
      </c>
      <c r="D3784" s="17">
        <v>42263</v>
      </c>
      <c r="E3784" t="s">
        <v>79</v>
      </c>
    </row>
    <row r="3785" spans="3:5">
      <c r="C3785">
        <v>31.128000000000004</v>
      </c>
      <c r="D3785" s="17">
        <v>42954</v>
      </c>
      <c r="E3785" t="s">
        <v>1042</v>
      </c>
    </row>
    <row r="3786" spans="3:5">
      <c r="C3786">
        <v>31.152000000000001</v>
      </c>
      <c r="D3786" s="17">
        <v>43070</v>
      </c>
      <c r="E3786" t="s">
        <v>396</v>
      </c>
    </row>
    <row r="3787" spans="3:5">
      <c r="C3787">
        <v>31.155000000000005</v>
      </c>
      <c r="D3787" s="17">
        <v>42908</v>
      </c>
      <c r="E3787" t="s">
        <v>133</v>
      </c>
    </row>
    <row r="3788" spans="3:5">
      <c r="C3788">
        <v>31.16</v>
      </c>
      <c r="D3788" s="17">
        <v>43091</v>
      </c>
      <c r="E3788" t="s">
        <v>823</v>
      </c>
    </row>
    <row r="3789" spans="3:5">
      <c r="C3789">
        <v>31.168000000000003</v>
      </c>
      <c r="D3789" s="17">
        <v>42901</v>
      </c>
      <c r="E3789" t="s">
        <v>491</v>
      </c>
    </row>
    <row r="3790" spans="3:5">
      <c r="C3790">
        <v>31.176000000000002</v>
      </c>
      <c r="D3790" s="17">
        <v>42232</v>
      </c>
      <c r="E3790" t="s">
        <v>549</v>
      </c>
    </row>
    <row r="3791" spans="3:5">
      <c r="C3791">
        <v>31.176000000000002</v>
      </c>
      <c r="D3791" s="17">
        <v>43074</v>
      </c>
      <c r="E3791" t="s">
        <v>1503</v>
      </c>
    </row>
    <row r="3792" spans="3:5">
      <c r="C3792">
        <v>31.200000000000003</v>
      </c>
      <c r="D3792" s="17">
        <v>41648</v>
      </c>
      <c r="E3792" t="s">
        <v>426</v>
      </c>
    </row>
    <row r="3793" spans="3:5">
      <c r="C3793">
        <v>31.248000000000005</v>
      </c>
      <c r="D3793" s="17">
        <v>42421</v>
      </c>
      <c r="E3793" t="s">
        <v>1685</v>
      </c>
    </row>
    <row r="3794" spans="3:5">
      <c r="C3794">
        <v>31.32</v>
      </c>
      <c r="D3794" s="17">
        <v>42726</v>
      </c>
      <c r="E3794" t="s">
        <v>58</v>
      </c>
    </row>
    <row r="3795" spans="3:5">
      <c r="C3795">
        <v>31.36</v>
      </c>
      <c r="D3795" s="17">
        <v>42393</v>
      </c>
      <c r="E3795" t="s">
        <v>583</v>
      </c>
    </row>
    <row r="3796" spans="3:5">
      <c r="C3796">
        <v>31.4</v>
      </c>
      <c r="D3796" s="17">
        <v>42457</v>
      </c>
      <c r="E3796" t="s">
        <v>476</v>
      </c>
    </row>
    <row r="3797" spans="3:5">
      <c r="C3797">
        <v>31.400000000000002</v>
      </c>
      <c r="D3797" s="17">
        <v>42124</v>
      </c>
      <c r="E3797" t="s">
        <v>789</v>
      </c>
    </row>
    <row r="3798" spans="3:5">
      <c r="C3798">
        <v>31.400000000000002</v>
      </c>
      <c r="D3798" s="17">
        <v>42665</v>
      </c>
      <c r="E3798" t="s">
        <v>753</v>
      </c>
    </row>
    <row r="3799" spans="3:5">
      <c r="C3799">
        <v>31.44</v>
      </c>
      <c r="D3799" s="17">
        <v>42250</v>
      </c>
      <c r="E3799" t="s">
        <v>527</v>
      </c>
    </row>
    <row r="3800" spans="3:5">
      <c r="C3800">
        <v>31.44</v>
      </c>
      <c r="D3800" s="17">
        <v>42882</v>
      </c>
      <c r="E3800" t="s">
        <v>127</v>
      </c>
    </row>
    <row r="3801" spans="3:5">
      <c r="C3801">
        <v>31.44</v>
      </c>
      <c r="D3801" s="17">
        <v>42960</v>
      </c>
      <c r="E3801" t="s">
        <v>527</v>
      </c>
    </row>
    <row r="3802" spans="3:5">
      <c r="C3802">
        <v>31.44</v>
      </c>
      <c r="D3802" s="17">
        <v>43001</v>
      </c>
      <c r="E3802" t="s">
        <v>527</v>
      </c>
    </row>
    <row r="3803" spans="3:5">
      <c r="C3803">
        <v>31.44</v>
      </c>
      <c r="D3803" s="17">
        <v>43082</v>
      </c>
      <c r="E3803" t="s">
        <v>527</v>
      </c>
    </row>
    <row r="3804" spans="3:5">
      <c r="C3804">
        <v>31.5</v>
      </c>
      <c r="D3804" s="17">
        <v>42141</v>
      </c>
      <c r="E3804" t="s">
        <v>1262</v>
      </c>
    </row>
    <row r="3805" spans="3:5">
      <c r="C3805">
        <v>31.5</v>
      </c>
      <c r="D3805" s="17">
        <v>43027</v>
      </c>
      <c r="E3805" t="s">
        <v>1121</v>
      </c>
    </row>
    <row r="3806" spans="3:5">
      <c r="C3806">
        <v>31.504000000000005</v>
      </c>
      <c r="D3806" s="17">
        <v>42316</v>
      </c>
      <c r="E3806" t="s">
        <v>518</v>
      </c>
    </row>
    <row r="3807" spans="3:5">
      <c r="C3807">
        <v>31.504000000000005</v>
      </c>
      <c r="D3807" s="17">
        <v>42685</v>
      </c>
      <c r="E3807" t="s">
        <v>162</v>
      </c>
    </row>
    <row r="3808" spans="3:5">
      <c r="C3808">
        <v>31.56</v>
      </c>
      <c r="D3808" s="17">
        <v>42086</v>
      </c>
      <c r="E3808" t="s">
        <v>74</v>
      </c>
    </row>
    <row r="3809" spans="3:5">
      <c r="C3809">
        <v>31.56</v>
      </c>
      <c r="D3809" s="17">
        <v>42229</v>
      </c>
      <c r="E3809" t="s">
        <v>1614</v>
      </c>
    </row>
    <row r="3810" spans="3:5">
      <c r="C3810">
        <v>31.56</v>
      </c>
      <c r="D3810" s="17">
        <v>42482</v>
      </c>
      <c r="E3810" t="s">
        <v>1614</v>
      </c>
    </row>
    <row r="3811" spans="3:5">
      <c r="C3811">
        <v>31.56</v>
      </c>
      <c r="D3811" s="17">
        <v>42701</v>
      </c>
      <c r="E3811" t="s">
        <v>1614</v>
      </c>
    </row>
    <row r="3812" spans="3:5">
      <c r="C3812">
        <v>31.560000000000002</v>
      </c>
      <c r="D3812" s="17">
        <v>42461</v>
      </c>
      <c r="E3812" t="s">
        <v>74</v>
      </c>
    </row>
    <row r="3813" spans="3:5">
      <c r="C3813">
        <v>31.68</v>
      </c>
      <c r="D3813" s="17">
        <v>41944</v>
      </c>
      <c r="E3813" t="s">
        <v>224</v>
      </c>
    </row>
    <row r="3814" spans="3:5">
      <c r="C3814">
        <v>31.68</v>
      </c>
      <c r="D3814" s="17">
        <v>41959</v>
      </c>
      <c r="E3814" t="s">
        <v>1720</v>
      </c>
    </row>
    <row r="3815" spans="3:5">
      <c r="C3815">
        <v>31.680000000000003</v>
      </c>
      <c r="D3815" s="17">
        <v>42239</v>
      </c>
      <c r="E3815" t="s">
        <v>194</v>
      </c>
    </row>
    <row r="3816" spans="3:5">
      <c r="C3816">
        <v>31.680000000000003</v>
      </c>
      <c r="D3816" s="17">
        <v>42765</v>
      </c>
      <c r="E3816" t="s">
        <v>194</v>
      </c>
    </row>
    <row r="3817" spans="3:5">
      <c r="C3817">
        <v>31.680000000000003</v>
      </c>
      <c r="D3817" s="17">
        <v>43030</v>
      </c>
      <c r="E3817" t="s">
        <v>1343</v>
      </c>
    </row>
    <row r="3818" spans="3:5">
      <c r="C3818">
        <v>31.744</v>
      </c>
      <c r="D3818" s="17">
        <v>42617</v>
      </c>
      <c r="E3818" t="s">
        <v>949</v>
      </c>
    </row>
    <row r="3819" spans="3:5">
      <c r="C3819">
        <v>31.744</v>
      </c>
      <c r="D3819" s="17">
        <v>42737</v>
      </c>
      <c r="E3819" t="s">
        <v>60</v>
      </c>
    </row>
    <row r="3820" spans="3:5">
      <c r="C3820">
        <v>31.744</v>
      </c>
      <c r="D3820" s="17">
        <v>42993</v>
      </c>
      <c r="E3820" t="s">
        <v>949</v>
      </c>
    </row>
    <row r="3821" spans="3:5">
      <c r="C3821">
        <v>31.744</v>
      </c>
      <c r="D3821" s="17">
        <v>43094</v>
      </c>
      <c r="E3821" t="s">
        <v>294</v>
      </c>
    </row>
    <row r="3822" spans="3:5">
      <c r="C3822">
        <v>31.776</v>
      </c>
      <c r="D3822" s="17">
        <v>43058</v>
      </c>
      <c r="E3822" t="s">
        <v>391</v>
      </c>
    </row>
    <row r="3823" spans="3:5">
      <c r="C3823">
        <v>31.776000000000003</v>
      </c>
      <c r="D3823" s="17">
        <v>41915</v>
      </c>
      <c r="E3823" t="s">
        <v>418</v>
      </c>
    </row>
    <row r="3824" spans="3:5">
      <c r="C3824">
        <v>31.799999999999997</v>
      </c>
      <c r="D3824" s="17">
        <v>43094</v>
      </c>
      <c r="E3824" t="s">
        <v>1549</v>
      </c>
    </row>
    <row r="3825" spans="3:5">
      <c r="C3825">
        <v>31.84</v>
      </c>
      <c r="D3825" s="17">
        <v>41780</v>
      </c>
      <c r="E3825" t="s">
        <v>883</v>
      </c>
    </row>
    <row r="3826" spans="3:5">
      <c r="C3826">
        <v>31.86</v>
      </c>
      <c r="D3826" s="17">
        <v>42409</v>
      </c>
      <c r="E3826" t="s">
        <v>1700</v>
      </c>
    </row>
    <row r="3827" spans="3:5">
      <c r="C3827">
        <v>31.86</v>
      </c>
      <c r="D3827" s="17">
        <v>42619</v>
      </c>
      <c r="E3827" t="s">
        <v>1700</v>
      </c>
    </row>
    <row r="3828" spans="3:5">
      <c r="C3828">
        <v>31.872000000000003</v>
      </c>
      <c r="D3828" s="17">
        <v>42993</v>
      </c>
      <c r="E3828" t="s">
        <v>1195</v>
      </c>
    </row>
    <row r="3829" spans="3:5">
      <c r="C3829">
        <v>31.92</v>
      </c>
      <c r="D3829" s="17">
        <v>41923</v>
      </c>
      <c r="E3829" t="s">
        <v>430</v>
      </c>
    </row>
    <row r="3830" spans="3:5">
      <c r="C3830">
        <v>31.92</v>
      </c>
      <c r="D3830" s="17">
        <v>42068</v>
      </c>
      <c r="E3830" t="s">
        <v>338</v>
      </c>
    </row>
    <row r="3831" spans="3:5">
      <c r="C3831">
        <v>31.92</v>
      </c>
      <c r="D3831" s="17">
        <v>42960</v>
      </c>
      <c r="E3831" t="s">
        <v>292</v>
      </c>
    </row>
    <row r="3832" spans="3:5">
      <c r="C3832">
        <v>31.92</v>
      </c>
      <c r="D3832" s="17">
        <v>43077</v>
      </c>
      <c r="E3832" t="s">
        <v>430</v>
      </c>
    </row>
    <row r="3833" spans="3:5">
      <c r="C3833">
        <v>31.95</v>
      </c>
      <c r="D3833" s="17">
        <v>42288</v>
      </c>
      <c r="E3833" t="s">
        <v>1002</v>
      </c>
    </row>
    <row r="3834" spans="3:5">
      <c r="C3834">
        <v>31.96</v>
      </c>
      <c r="D3834" s="17">
        <v>42693</v>
      </c>
      <c r="E3834" t="s">
        <v>1149</v>
      </c>
    </row>
    <row r="3835" spans="3:5">
      <c r="C3835">
        <v>31.96</v>
      </c>
      <c r="D3835" s="17">
        <v>42705</v>
      </c>
      <c r="E3835" t="s">
        <v>1149</v>
      </c>
    </row>
    <row r="3836" spans="3:5">
      <c r="C3836">
        <v>31.968000000000004</v>
      </c>
      <c r="D3836" s="17">
        <v>42754</v>
      </c>
      <c r="E3836" t="s">
        <v>118</v>
      </c>
    </row>
    <row r="3837" spans="3:5">
      <c r="C3837">
        <v>31.968000000000004</v>
      </c>
      <c r="D3837" s="17">
        <v>43058</v>
      </c>
      <c r="E3837" t="s">
        <v>1438</v>
      </c>
    </row>
    <row r="3838" spans="3:5">
      <c r="C3838">
        <v>31.983999999999998</v>
      </c>
      <c r="D3838" s="17">
        <v>41834</v>
      </c>
      <c r="E3838" t="s">
        <v>945</v>
      </c>
    </row>
    <row r="3839" spans="3:5">
      <c r="C3839">
        <v>31.983999999999998</v>
      </c>
      <c r="D3839" s="17">
        <v>41887</v>
      </c>
      <c r="E3839" t="s">
        <v>669</v>
      </c>
    </row>
    <row r="3840" spans="3:5">
      <c r="C3840">
        <v>31.983999999999998</v>
      </c>
      <c r="D3840" s="17">
        <v>42460</v>
      </c>
      <c r="E3840" t="s">
        <v>1389</v>
      </c>
    </row>
    <row r="3841" spans="3:5">
      <c r="C3841">
        <v>31.983999999999998</v>
      </c>
      <c r="D3841" s="17">
        <v>42525</v>
      </c>
      <c r="E3841" t="s">
        <v>1419</v>
      </c>
    </row>
    <row r="3842" spans="3:5">
      <c r="C3842">
        <v>31.983999999999998</v>
      </c>
      <c r="D3842" s="17">
        <v>42603</v>
      </c>
      <c r="E3842" t="s">
        <v>1317</v>
      </c>
    </row>
    <row r="3843" spans="3:5">
      <c r="C3843">
        <v>31.983999999999998</v>
      </c>
      <c r="D3843" s="17">
        <v>42686</v>
      </c>
      <c r="E3843" t="s">
        <v>1617</v>
      </c>
    </row>
    <row r="3844" spans="3:5">
      <c r="C3844">
        <v>31.983999999999998</v>
      </c>
      <c r="D3844" s="17">
        <v>42890</v>
      </c>
      <c r="E3844" t="s">
        <v>669</v>
      </c>
    </row>
    <row r="3845" spans="3:5">
      <c r="C3845">
        <v>31.983999999999998</v>
      </c>
      <c r="D3845" s="17">
        <v>42960</v>
      </c>
      <c r="E3845" t="s">
        <v>1054</v>
      </c>
    </row>
    <row r="3846" spans="3:5">
      <c r="C3846">
        <v>31.983999999999998</v>
      </c>
      <c r="D3846" s="17">
        <v>43021</v>
      </c>
      <c r="E3846" t="s">
        <v>1317</v>
      </c>
    </row>
    <row r="3847" spans="3:5">
      <c r="C3847">
        <v>31.992000000000004</v>
      </c>
      <c r="D3847" s="17">
        <v>42786</v>
      </c>
      <c r="E3847" t="s">
        <v>268</v>
      </c>
    </row>
    <row r="3848" spans="3:5">
      <c r="C3848">
        <v>32.04</v>
      </c>
      <c r="D3848" s="17">
        <v>42328</v>
      </c>
      <c r="E3848" t="s">
        <v>836</v>
      </c>
    </row>
    <row r="3849" spans="3:5">
      <c r="C3849">
        <v>32.04</v>
      </c>
      <c r="D3849" s="17">
        <v>42499</v>
      </c>
      <c r="E3849" t="s">
        <v>115</v>
      </c>
    </row>
    <row r="3850" spans="3:5">
      <c r="C3850">
        <v>32.059999999999995</v>
      </c>
      <c r="D3850" s="17">
        <v>42315</v>
      </c>
      <c r="E3850" t="s">
        <v>59</v>
      </c>
    </row>
    <row r="3851" spans="3:5">
      <c r="C3851">
        <v>32.06</v>
      </c>
      <c r="D3851" s="17">
        <v>41889</v>
      </c>
      <c r="E3851" t="s">
        <v>59</v>
      </c>
    </row>
    <row r="3852" spans="3:5">
      <c r="C3852">
        <v>32.064</v>
      </c>
      <c r="D3852" s="17">
        <v>41890</v>
      </c>
      <c r="E3852" t="s">
        <v>1020</v>
      </c>
    </row>
    <row r="3853" spans="3:5">
      <c r="C3853">
        <v>32.064</v>
      </c>
      <c r="D3853" s="17">
        <v>42521</v>
      </c>
      <c r="E3853" t="s">
        <v>351</v>
      </c>
    </row>
    <row r="3854" spans="3:5">
      <c r="C3854">
        <v>32.064</v>
      </c>
      <c r="D3854" s="17">
        <v>42674</v>
      </c>
      <c r="E3854" t="s">
        <v>423</v>
      </c>
    </row>
    <row r="3855" spans="3:5">
      <c r="C3855">
        <v>32.07</v>
      </c>
      <c r="D3855" s="17">
        <v>42280</v>
      </c>
      <c r="E3855" t="s">
        <v>110</v>
      </c>
    </row>
    <row r="3856" spans="3:5">
      <c r="C3856">
        <v>32.088000000000001</v>
      </c>
      <c r="D3856" s="17">
        <v>42968</v>
      </c>
      <c r="E3856" t="s">
        <v>1084</v>
      </c>
    </row>
    <row r="3857" spans="3:5">
      <c r="C3857">
        <v>32.129999999999995</v>
      </c>
      <c r="D3857" s="17">
        <v>42482</v>
      </c>
      <c r="E3857" t="s">
        <v>235</v>
      </c>
    </row>
    <row r="3858" spans="3:5">
      <c r="C3858">
        <v>32.191999999999993</v>
      </c>
      <c r="D3858" s="17">
        <v>42096</v>
      </c>
      <c r="E3858" t="s">
        <v>412</v>
      </c>
    </row>
    <row r="3859" spans="3:5">
      <c r="C3859">
        <v>32.231999999999999</v>
      </c>
      <c r="D3859" s="17">
        <v>42820</v>
      </c>
      <c r="E3859" t="s">
        <v>381</v>
      </c>
    </row>
    <row r="3860" spans="3:5">
      <c r="C3860">
        <v>32.339999999999996</v>
      </c>
      <c r="D3860" s="17">
        <v>42008</v>
      </c>
      <c r="E3860" t="s">
        <v>783</v>
      </c>
    </row>
    <row r="3861" spans="3:5">
      <c r="C3861">
        <v>32.340000000000003</v>
      </c>
      <c r="D3861" s="17">
        <v>41658</v>
      </c>
      <c r="E3861" t="s">
        <v>783</v>
      </c>
    </row>
    <row r="3862" spans="3:5">
      <c r="C3862">
        <v>32.35</v>
      </c>
      <c r="D3862" s="17">
        <v>42765</v>
      </c>
      <c r="E3862" t="s">
        <v>54</v>
      </c>
    </row>
    <row r="3863" spans="3:5">
      <c r="C3863">
        <v>32.36</v>
      </c>
      <c r="D3863" s="17">
        <v>42989</v>
      </c>
      <c r="E3863" t="s">
        <v>1181</v>
      </c>
    </row>
    <row r="3864" spans="3:5">
      <c r="C3864">
        <v>32.368000000000002</v>
      </c>
      <c r="D3864" s="17">
        <v>42149</v>
      </c>
      <c r="E3864" t="s">
        <v>1408</v>
      </c>
    </row>
    <row r="3865" spans="3:5">
      <c r="C3865">
        <v>32.381999999999998</v>
      </c>
      <c r="D3865" s="17">
        <v>41889</v>
      </c>
      <c r="E3865" t="s">
        <v>276</v>
      </c>
    </row>
    <row r="3866" spans="3:5">
      <c r="C3866">
        <v>32.400000000000006</v>
      </c>
      <c r="D3866" s="17">
        <v>41741</v>
      </c>
      <c r="E3866" t="s">
        <v>1145</v>
      </c>
    </row>
    <row r="3867" spans="3:5">
      <c r="C3867">
        <v>32.400000000000006</v>
      </c>
      <c r="D3867" s="17">
        <v>41820</v>
      </c>
      <c r="E3867" t="s">
        <v>732</v>
      </c>
    </row>
    <row r="3868" spans="3:5">
      <c r="C3868">
        <v>32.400000000000006</v>
      </c>
      <c r="D3868" s="17">
        <v>41829</v>
      </c>
      <c r="E3868" t="s">
        <v>540</v>
      </c>
    </row>
    <row r="3869" spans="3:5">
      <c r="C3869">
        <v>32.400000000000006</v>
      </c>
      <c r="D3869" s="17">
        <v>41905</v>
      </c>
      <c r="E3869" t="s">
        <v>1101</v>
      </c>
    </row>
    <row r="3870" spans="3:5">
      <c r="C3870">
        <v>32.400000000000006</v>
      </c>
      <c r="D3870" s="17">
        <v>41957</v>
      </c>
      <c r="E3870" t="s">
        <v>153</v>
      </c>
    </row>
    <row r="3871" spans="3:5">
      <c r="C3871">
        <v>32.400000000000006</v>
      </c>
      <c r="D3871" s="17">
        <v>42153</v>
      </c>
      <c r="E3871" t="s">
        <v>519</v>
      </c>
    </row>
    <row r="3872" spans="3:5">
      <c r="C3872">
        <v>32.400000000000006</v>
      </c>
      <c r="D3872" s="17">
        <v>42166</v>
      </c>
      <c r="E3872" t="s">
        <v>610</v>
      </c>
    </row>
    <row r="3873" spans="3:5">
      <c r="C3873">
        <v>32.400000000000006</v>
      </c>
      <c r="D3873" s="17">
        <v>42168</v>
      </c>
      <c r="E3873" t="s">
        <v>1592</v>
      </c>
    </row>
    <row r="3874" spans="3:5">
      <c r="C3874">
        <v>32.400000000000006</v>
      </c>
      <c r="D3874" s="17">
        <v>42264</v>
      </c>
      <c r="E3874" t="s">
        <v>933</v>
      </c>
    </row>
    <row r="3875" spans="3:5">
      <c r="C3875">
        <v>32.400000000000006</v>
      </c>
      <c r="D3875" s="17">
        <v>42269</v>
      </c>
      <c r="E3875" t="s">
        <v>369</v>
      </c>
    </row>
    <row r="3876" spans="3:5">
      <c r="C3876">
        <v>32.400000000000006</v>
      </c>
      <c r="D3876" s="17">
        <v>42325</v>
      </c>
      <c r="E3876" t="s">
        <v>838</v>
      </c>
    </row>
    <row r="3877" spans="3:5">
      <c r="C3877">
        <v>32.400000000000006</v>
      </c>
      <c r="D3877" s="17">
        <v>42339</v>
      </c>
      <c r="E3877" t="s">
        <v>1250</v>
      </c>
    </row>
    <row r="3878" spans="3:5">
      <c r="C3878">
        <v>32.400000000000006</v>
      </c>
      <c r="D3878" s="17">
        <v>42350</v>
      </c>
      <c r="E3878" t="s">
        <v>767</v>
      </c>
    </row>
    <row r="3879" spans="3:5">
      <c r="C3879">
        <v>32.400000000000006</v>
      </c>
      <c r="D3879" s="17">
        <v>42528</v>
      </c>
      <c r="E3879" t="s">
        <v>918</v>
      </c>
    </row>
    <row r="3880" spans="3:5">
      <c r="C3880">
        <v>32.400000000000006</v>
      </c>
      <c r="D3880" s="17">
        <v>42531</v>
      </c>
      <c r="E3880" t="s">
        <v>918</v>
      </c>
    </row>
    <row r="3881" spans="3:5">
      <c r="C3881">
        <v>32.400000000000006</v>
      </c>
      <c r="D3881" s="17">
        <v>42538</v>
      </c>
      <c r="E3881" t="s">
        <v>1681</v>
      </c>
    </row>
    <row r="3882" spans="3:5">
      <c r="C3882">
        <v>32.400000000000006</v>
      </c>
      <c r="D3882" s="17">
        <v>42573</v>
      </c>
      <c r="E3882" t="s">
        <v>153</v>
      </c>
    </row>
    <row r="3883" spans="3:5">
      <c r="C3883">
        <v>32.400000000000006</v>
      </c>
      <c r="D3883" s="17">
        <v>42593</v>
      </c>
      <c r="E3883" t="s">
        <v>1382</v>
      </c>
    </row>
    <row r="3884" spans="3:5">
      <c r="C3884">
        <v>32.400000000000006</v>
      </c>
      <c r="D3884" s="17">
        <v>42598</v>
      </c>
      <c r="E3884" t="s">
        <v>90</v>
      </c>
    </row>
    <row r="3885" spans="3:5">
      <c r="C3885">
        <v>32.400000000000006</v>
      </c>
      <c r="D3885" s="17">
        <v>42671</v>
      </c>
      <c r="E3885" t="s">
        <v>1657</v>
      </c>
    </row>
    <row r="3886" spans="3:5">
      <c r="C3886">
        <v>32.400000000000006</v>
      </c>
      <c r="D3886" s="17">
        <v>42684</v>
      </c>
      <c r="E3886" t="s">
        <v>1178</v>
      </c>
    </row>
    <row r="3887" spans="3:5">
      <c r="C3887">
        <v>32.400000000000006</v>
      </c>
      <c r="D3887" s="17">
        <v>42695</v>
      </c>
      <c r="E3887" t="s">
        <v>610</v>
      </c>
    </row>
    <row r="3888" spans="3:5">
      <c r="C3888">
        <v>32.400000000000006</v>
      </c>
      <c r="D3888" s="17">
        <v>42748</v>
      </c>
      <c r="E3888" t="s">
        <v>81</v>
      </c>
    </row>
    <row r="3889" spans="3:5">
      <c r="C3889">
        <v>32.400000000000006</v>
      </c>
      <c r="D3889" s="17">
        <v>42859</v>
      </c>
      <c r="E3889" t="s">
        <v>81</v>
      </c>
    </row>
    <row r="3890" spans="3:5">
      <c r="C3890">
        <v>32.400000000000006</v>
      </c>
      <c r="D3890" s="17">
        <v>42906</v>
      </c>
      <c r="E3890" t="s">
        <v>357</v>
      </c>
    </row>
    <row r="3891" spans="3:5">
      <c r="C3891">
        <v>32.400000000000006</v>
      </c>
      <c r="D3891" s="17">
        <v>42933</v>
      </c>
      <c r="E3891" t="s">
        <v>976</v>
      </c>
    </row>
    <row r="3892" spans="3:5">
      <c r="C3892">
        <v>32.400000000000006</v>
      </c>
      <c r="D3892" s="17">
        <v>42997</v>
      </c>
      <c r="E3892" t="s">
        <v>1230</v>
      </c>
    </row>
    <row r="3893" spans="3:5">
      <c r="C3893">
        <v>32.400000000000006</v>
      </c>
      <c r="D3893" s="17">
        <v>43087</v>
      </c>
      <c r="E3893" t="s">
        <v>1145</v>
      </c>
    </row>
    <row r="3894" spans="3:5">
      <c r="C3894">
        <v>32.432000000000002</v>
      </c>
      <c r="D3894" s="17">
        <v>41824</v>
      </c>
      <c r="E3894" t="s">
        <v>659</v>
      </c>
    </row>
    <row r="3895" spans="3:5">
      <c r="C3895">
        <v>32.448</v>
      </c>
      <c r="D3895" s="17">
        <v>42858</v>
      </c>
      <c r="E3895" t="s">
        <v>440</v>
      </c>
    </row>
    <row r="3896" spans="3:5">
      <c r="C3896">
        <v>32.479999999999997</v>
      </c>
      <c r="D3896" s="17">
        <v>42645</v>
      </c>
      <c r="E3896" t="s">
        <v>422</v>
      </c>
    </row>
    <row r="3897" spans="3:5">
      <c r="C3897">
        <v>32.479999999999997</v>
      </c>
      <c r="D3897" s="17">
        <v>42817</v>
      </c>
      <c r="E3897" t="s">
        <v>422</v>
      </c>
    </row>
    <row r="3898" spans="3:5">
      <c r="C3898">
        <v>32.54</v>
      </c>
      <c r="D3898" s="17">
        <v>42446</v>
      </c>
      <c r="E3898" t="s">
        <v>667</v>
      </c>
    </row>
    <row r="3899" spans="3:5">
      <c r="C3899">
        <v>32.54</v>
      </c>
      <c r="D3899" s="17">
        <v>42456</v>
      </c>
      <c r="E3899" t="s">
        <v>667</v>
      </c>
    </row>
    <row r="3900" spans="3:5">
      <c r="C3900">
        <v>32.544000000000004</v>
      </c>
      <c r="D3900" s="17">
        <v>42702</v>
      </c>
      <c r="E3900" t="s">
        <v>72</v>
      </c>
    </row>
    <row r="3901" spans="3:5">
      <c r="C3901">
        <v>32.544000000000004</v>
      </c>
      <c r="D3901" s="17">
        <v>42841</v>
      </c>
      <c r="E3901" t="s">
        <v>72</v>
      </c>
    </row>
    <row r="3902" spans="3:5">
      <c r="C3902">
        <v>32.56</v>
      </c>
      <c r="D3902" s="17">
        <v>43086</v>
      </c>
      <c r="E3902" t="s">
        <v>464</v>
      </c>
    </row>
    <row r="3903" spans="3:5">
      <c r="C3903">
        <v>32.591999999999999</v>
      </c>
      <c r="D3903" s="17">
        <v>41992</v>
      </c>
      <c r="E3903" t="s">
        <v>1143</v>
      </c>
    </row>
    <row r="3904" spans="3:5">
      <c r="C3904">
        <v>32.67</v>
      </c>
      <c r="D3904" s="17">
        <v>41715</v>
      </c>
      <c r="E3904" t="s">
        <v>213</v>
      </c>
    </row>
    <row r="3905" spans="3:5">
      <c r="C3905">
        <v>32.67</v>
      </c>
      <c r="D3905" s="17">
        <v>42770</v>
      </c>
      <c r="E3905" t="s">
        <v>213</v>
      </c>
    </row>
    <row r="3906" spans="3:5">
      <c r="C3906">
        <v>32.700000000000003</v>
      </c>
      <c r="D3906" s="17">
        <v>43027</v>
      </c>
      <c r="E3906" t="s">
        <v>310</v>
      </c>
    </row>
    <row r="3907" spans="3:5">
      <c r="C3907">
        <v>32.700000000000003</v>
      </c>
      <c r="D3907" s="17">
        <v>43030</v>
      </c>
      <c r="E3907" t="s">
        <v>1342</v>
      </c>
    </row>
    <row r="3908" spans="3:5">
      <c r="C3908">
        <v>32.712000000000003</v>
      </c>
      <c r="D3908" s="17">
        <v>42546</v>
      </c>
      <c r="E3908" t="s">
        <v>769</v>
      </c>
    </row>
    <row r="3909" spans="3:5">
      <c r="C3909">
        <v>32.75</v>
      </c>
      <c r="D3909" s="17">
        <v>42344</v>
      </c>
      <c r="E3909" t="s">
        <v>1012</v>
      </c>
    </row>
    <row r="3910" spans="3:5">
      <c r="C3910">
        <v>32.76</v>
      </c>
      <c r="D3910" s="17">
        <v>41819</v>
      </c>
      <c r="E3910" t="s">
        <v>779</v>
      </c>
    </row>
    <row r="3911" spans="3:5">
      <c r="C3911">
        <v>32.776000000000003</v>
      </c>
      <c r="D3911" s="17">
        <v>43006</v>
      </c>
      <c r="E3911" t="s">
        <v>1268</v>
      </c>
    </row>
    <row r="3912" spans="3:5">
      <c r="C3912">
        <v>32.776000000000003</v>
      </c>
      <c r="D3912" s="17">
        <v>43071</v>
      </c>
      <c r="E3912" t="s">
        <v>1484</v>
      </c>
    </row>
    <row r="3913" spans="3:5">
      <c r="C3913">
        <v>32.783999999999992</v>
      </c>
      <c r="D3913" s="17">
        <v>42187</v>
      </c>
      <c r="E3913" t="s">
        <v>1488</v>
      </c>
    </row>
    <row r="3914" spans="3:5">
      <c r="C3914">
        <v>32.783999999999992</v>
      </c>
      <c r="D3914" s="17">
        <v>42750</v>
      </c>
      <c r="E3914" t="s">
        <v>107</v>
      </c>
    </row>
    <row r="3915" spans="3:5">
      <c r="C3915">
        <v>32.792000000000002</v>
      </c>
      <c r="D3915" s="17">
        <v>42520</v>
      </c>
      <c r="E3915" t="s">
        <v>825</v>
      </c>
    </row>
    <row r="3916" spans="3:5">
      <c r="C3916">
        <v>32.896000000000001</v>
      </c>
      <c r="D3916" s="17">
        <v>41694</v>
      </c>
      <c r="E3916" t="s">
        <v>922</v>
      </c>
    </row>
    <row r="3917" spans="3:5">
      <c r="C3917">
        <v>32.896000000000001</v>
      </c>
      <c r="D3917" s="17">
        <v>41908</v>
      </c>
      <c r="E3917" t="s">
        <v>922</v>
      </c>
    </row>
    <row r="3918" spans="3:5">
      <c r="C3918">
        <v>32.896000000000001</v>
      </c>
      <c r="D3918" s="17">
        <v>42919</v>
      </c>
      <c r="E3918" t="s">
        <v>922</v>
      </c>
    </row>
    <row r="3919" spans="3:5">
      <c r="C3919">
        <v>32.94</v>
      </c>
      <c r="D3919" s="17">
        <v>42243</v>
      </c>
      <c r="E3919" t="s">
        <v>582</v>
      </c>
    </row>
    <row r="3920" spans="3:5">
      <c r="C3920">
        <v>32.952000000000005</v>
      </c>
      <c r="D3920" s="17">
        <v>41719</v>
      </c>
      <c r="E3920" t="s">
        <v>765</v>
      </c>
    </row>
    <row r="3921" spans="3:5">
      <c r="C3921">
        <v>32.952000000000005</v>
      </c>
      <c r="D3921" s="17">
        <v>42000</v>
      </c>
      <c r="E3921" t="s">
        <v>765</v>
      </c>
    </row>
    <row r="3922" spans="3:5">
      <c r="C3922">
        <v>32.96</v>
      </c>
      <c r="D3922" s="17">
        <v>41709</v>
      </c>
      <c r="E3922" t="s">
        <v>1828</v>
      </c>
    </row>
    <row r="3923" spans="3:5">
      <c r="C3923">
        <v>32.96</v>
      </c>
      <c r="D3923" s="17">
        <v>42035</v>
      </c>
      <c r="E3923" t="s">
        <v>879</v>
      </c>
    </row>
    <row r="3924" spans="3:5">
      <c r="C3924">
        <v>32.97</v>
      </c>
      <c r="D3924" s="17">
        <v>41890</v>
      </c>
      <c r="E3924" t="s">
        <v>1698</v>
      </c>
    </row>
    <row r="3925" spans="3:5">
      <c r="C3925">
        <v>32.984999999999999</v>
      </c>
      <c r="D3925" s="17">
        <v>42330</v>
      </c>
      <c r="E3925" t="s">
        <v>1717</v>
      </c>
    </row>
    <row r="3926" spans="3:5">
      <c r="C3926">
        <v>33</v>
      </c>
      <c r="D3926" s="17">
        <v>42608</v>
      </c>
      <c r="E3926" t="s">
        <v>1016</v>
      </c>
    </row>
    <row r="3927" spans="3:5">
      <c r="C3927">
        <v>33.020000000000003</v>
      </c>
      <c r="D3927" s="17">
        <v>42173</v>
      </c>
      <c r="E3927" t="s">
        <v>1332</v>
      </c>
    </row>
    <row r="3928" spans="3:5">
      <c r="C3928">
        <v>33.024000000000001</v>
      </c>
      <c r="D3928" s="17">
        <v>42621</v>
      </c>
      <c r="E3928" t="s">
        <v>738</v>
      </c>
    </row>
    <row r="3929" spans="3:5">
      <c r="C3929">
        <v>33.04</v>
      </c>
      <c r="D3929" s="17">
        <v>43000</v>
      </c>
      <c r="E3929" t="s">
        <v>1247</v>
      </c>
    </row>
    <row r="3930" spans="3:5">
      <c r="C3930">
        <v>33.088000000000001</v>
      </c>
      <c r="D3930" s="17">
        <v>41712</v>
      </c>
      <c r="E3930" t="s">
        <v>1502</v>
      </c>
    </row>
    <row r="3931" spans="3:5">
      <c r="C3931">
        <v>33.11</v>
      </c>
      <c r="D3931" s="17">
        <v>41735</v>
      </c>
      <c r="E3931" t="s">
        <v>715</v>
      </c>
    </row>
    <row r="3932" spans="3:5">
      <c r="C3932">
        <v>33.11</v>
      </c>
      <c r="D3932" s="17">
        <v>42305</v>
      </c>
      <c r="E3932" t="s">
        <v>715</v>
      </c>
    </row>
    <row r="3933" spans="3:5">
      <c r="C3933">
        <v>33.119999999999997</v>
      </c>
      <c r="D3933" s="17">
        <v>42852</v>
      </c>
      <c r="E3933" t="s">
        <v>332</v>
      </c>
    </row>
    <row r="3934" spans="3:5">
      <c r="C3934">
        <v>33.18</v>
      </c>
      <c r="D3934" s="17">
        <v>42968</v>
      </c>
      <c r="E3934" t="s">
        <v>64</v>
      </c>
    </row>
    <row r="3935" spans="3:5">
      <c r="C3935">
        <v>33.264000000000003</v>
      </c>
      <c r="D3935" s="17">
        <v>43097</v>
      </c>
      <c r="E3935" t="s">
        <v>531</v>
      </c>
    </row>
    <row r="3936" spans="3:5">
      <c r="C3936">
        <v>33.279999999999994</v>
      </c>
      <c r="D3936" s="17">
        <v>42141</v>
      </c>
      <c r="E3936" t="s">
        <v>683</v>
      </c>
    </row>
    <row r="3937" spans="3:5">
      <c r="C3937">
        <v>33.28</v>
      </c>
      <c r="D3937" s="17">
        <v>41779</v>
      </c>
      <c r="E3937" t="s">
        <v>1890</v>
      </c>
    </row>
    <row r="3938" spans="3:5">
      <c r="C3938">
        <v>33.282000000000004</v>
      </c>
      <c r="D3938" s="17">
        <v>43034</v>
      </c>
      <c r="E3938" t="s">
        <v>661</v>
      </c>
    </row>
    <row r="3939" spans="3:5">
      <c r="C3939">
        <v>33.29</v>
      </c>
      <c r="D3939" s="17">
        <v>42002</v>
      </c>
      <c r="E3939" t="s">
        <v>249</v>
      </c>
    </row>
    <row r="3940" spans="3:5">
      <c r="C3940">
        <v>33.29</v>
      </c>
      <c r="D3940" s="17">
        <v>43055</v>
      </c>
      <c r="E3940" t="s">
        <v>249</v>
      </c>
    </row>
    <row r="3941" spans="3:5">
      <c r="C3941">
        <v>33.29</v>
      </c>
      <c r="D3941" s="17">
        <v>43063</v>
      </c>
      <c r="E3941" t="s">
        <v>249</v>
      </c>
    </row>
    <row r="3942" spans="3:5">
      <c r="C3942">
        <v>33.36</v>
      </c>
      <c r="D3942" s="17">
        <v>42082</v>
      </c>
      <c r="E3942" t="s">
        <v>234</v>
      </c>
    </row>
    <row r="3943" spans="3:5">
      <c r="C3943">
        <v>33.36</v>
      </c>
      <c r="D3943" s="17">
        <v>42086</v>
      </c>
      <c r="E3943" t="s">
        <v>819</v>
      </c>
    </row>
    <row r="3944" spans="3:5">
      <c r="C3944">
        <v>33.36</v>
      </c>
      <c r="D3944" s="17">
        <v>42704</v>
      </c>
      <c r="E3944" t="s">
        <v>819</v>
      </c>
    </row>
    <row r="3945" spans="3:5">
      <c r="C3945">
        <v>33.375999999999998</v>
      </c>
      <c r="D3945" s="17">
        <v>43085</v>
      </c>
      <c r="E3945" t="s">
        <v>595</v>
      </c>
    </row>
    <row r="3946" spans="3:5">
      <c r="C3946">
        <v>33.4</v>
      </c>
      <c r="D3946" s="17">
        <v>42091</v>
      </c>
      <c r="E3946" t="s">
        <v>462</v>
      </c>
    </row>
    <row r="3947" spans="3:5">
      <c r="C3947">
        <v>33.4</v>
      </c>
      <c r="D3947" s="17">
        <v>42306</v>
      </c>
      <c r="E3947" t="s">
        <v>423</v>
      </c>
    </row>
    <row r="3948" spans="3:5">
      <c r="C3948">
        <v>33.4</v>
      </c>
      <c r="D3948" s="17">
        <v>42630</v>
      </c>
      <c r="E3948" t="s">
        <v>1020</v>
      </c>
    </row>
    <row r="3949" spans="3:5">
      <c r="C3949">
        <v>33.4</v>
      </c>
      <c r="D3949" s="17">
        <v>42728</v>
      </c>
      <c r="E3949" t="s">
        <v>423</v>
      </c>
    </row>
    <row r="3950" spans="3:5">
      <c r="C3950">
        <v>33.44</v>
      </c>
      <c r="D3950" s="17">
        <v>42603</v>
      </c>
      <c r="E3950" t="s">
        <v>93</v>
      </c>
    </row>
    <row r="3951" spans="3:5">
      <c r="C3951">
        <v>33.450000000000003</v>
      </c>
      <c r="D3951" s="17">
        <v>43078</v>
      </c>
      <c r="E3951" t="s">
        <v>899</v>
      </c>
    </row>
    <row r="3952" spans="3:5">
      <c r="C3952">
        <v>33.479999999999997</v>
      </c>
      <c r="D3952" s="17">
        <v>42670</v>
      </c>
      <c r="E3952" t="s">
        <v>664</v>
      </c>
    </row>
    <row r="3953" spans="3:5">
      <c r="C3953">
        <v>33.479999999999997</v>
      </c>
      <c r="D3953" s="17">
        <v>42716</v>
      </c>
      <c r="E3953" t="s">
        <v>339</v>
      </c>
    </row>
    <row r="3954" spans="3:5">
      <c r="C3954">
        <v>33.479999999999997</v>
      </c>
      <c r="D3954" s="17">
        <v>42945</v>
      </c>
      <c r="E3954" t="s">
        <v>1021</v>
      </c>
    </row>
    <row r="3955" spans="3:5">
      <c r="C3955">
        <v>33.488000000000007</v>
      </c>
      <c r="D3955" s="17">
        <v>41731</v>
      </c>
      <c r="E3955" t="s">
        <v>220</v>
      </c>
    </row>
    <row r="3956" spans="3:5">
      <c r="C3956">
        <v>33.488000000000007</v>
      </c>
      <c r="D3956" s="17">
        <v>42221</v>
      </c>
      <c r="E3956" t="s">
        <v>1716</v>
      </c>
    </row>
    <row r="3957" spans="3:5">
      <c r="C3957">
        <v>33.488000000000007</v>
      </c>
      <c r="D3957" s="17">
        <v>42475</v>
      </c>
      <c r="E3957" t="s">
        <v>525</v>
      </c>
    </row>
    <row r="3958" spans="3:5">
      <c r="C3958">
        <v>33.488000000000007</v>
      </c>
      <c r="D3958" s="17">
        <v>42559</v>
      </c>
      <c r="E3958" t="s">
        <v>1716</v>
      </c>
    </row>
    <row r="3959" spans="3:5">
      <c r="C3959">
        <v>33.520000000000003</v>
      </c>
      <c r="D3959" s="17">
        <v>42698</v>
      </c>
      <c r="E3959" t="s">
        <v>1537</v>
      </c>
    </row>
    <row r="3960" spans="3:5">
      <c r="C3960">
        <v>33.528000000000006</v>
      </c>
      <c r="D3960" s="17">
        <v>42467</v>
      </c>
      <c r="E3960" t="s">
        <v>951</v>
      </c>
    </row>
    <row r="3961" spans="3:5">
      <c r="C3961">
        <v>33.552</v>
      </c>
      <c r="D3961" s="17">
        <v>41898</v>
      </c>
      <c r="E3961" t="s">
        <v>1146</v>
      </c>
    </row>
    <row r="3962" spans="3:5">
      <c r="C3962">
        <v>33.567999999999991</v>
      </c>
      <c r="D3962" s="17">
        <v>43065</v>
      </c>
      <c r="E3962" t="s">
        <v>997</v>
      </c>
    </row>
    <row r="3963" spans="3:5">
      <c r="C3963">
        <v>33.568000000000005</v>
      </c>
      <c r="D3963" s="17">
        <v>42068</v>
      </c>
      <c r="E3963" t="s">
        <v>944</v>
      </c>
    </row>
    <row r="3964" spans="3:5">
      <c r="C3964">
        <v>33.568000000000005</v>
      </c>
      <c r="D3964" s="17">
        <v>42271</v>
      </c>
      <c r="E3964" t="s">
        <v>1035</v>
      </c>
    </row>
    <row r="3965" spans="3:5">
      <c r="C3965">
        <v>33.568000000000005</v>
      </c>
      <c r="D3965" s="17">
        <v>42360</v>
      </c>
      <c r="E3965" t="s">
        <v>1035</v>
      </c>
    </row>
    <row r="3966" spans="3:5">
      <c r="C3966">
        <v>33.568000000000005</v>
      </c>
      <c r="D3966" s="17">
        <v>42534</v>
      </c>
      <c r="E3966" t="s">
        <v>567</v>
      </c>
    </row>
    <row r="3967" spans="3:5">
      <c r="C3967">
        <v>33.568000000000005</v>
      </c>
      <c r="D3967" s="17">
        <v>42549</v>
      </c>
      <c r="E3967" t="s">
        <v>997</v>
      </c>
    </row>
    <row r="3968" spans="3:5">
      <c r="C3968">
        <v>33.568000000000005</v>
      </c>
      <c r="D3968" s="17">
        <v>42729</v>
      </c>
      <c r="E3968" t="s">
        <v>997</v>
      </c>
    </row>
    <row r="3969" spans="3:5">
      <c r="C3969">
        <v>33.57</v>
      </c>
      <c r="D3969" s="17">
        <v>41717</v>
      </c>
      <c r="E3969" t="s">
        <v>141</v>
      </c>
    </row>
    <row r="3970" spans="3:5">
      <c r="C3970">
        <v>33.61999999999999</v>
      </c>
      <c r="D3970" s="17">
        <v>42825</v>
      </c>
      <c r="E3970" t="s">
        <v>475</v>
      </c>
    </row>
    <row r="3971" spans="3:5">
      <c r="C3971">
        <v>33.630000000000003</v>
      </c>
      <c r="D3971" s="17">
        <v>42330</v>
      </c>
      <c r="E3971" t="s">
        <v>1418</v>
      </c>
    </row>
    <row r="3972" spans="3:5">
      <c r="C3972">
        <v>33.630000000000003</v>
      </c>
      <c r="D3972" s="17">
        <v>42707</v>
      </c>
      <c r="E3972" t="s">
        <v>1418</v>
      </c>
    </row>
    <row r="3973" spans="3:5">
      <c r="C3973">
        <v>33.72</v>
      </c>
      <c r="D3973" s="17">
        <v>43078</v>
      </c>
      <c r="E3973" t="s">
        <v>1067</v>
      </c>
    </row>
    <row r="3974" spans="3:5">
      <c r="C3974">
        <v>33.74</v>
      </c>
      <c r="D3974" s="17">
        <v>42741</v>
      </c>
      <c r="E3974" t="s">
        <v>68</v>
      </c>
    </row>
    <row r="3975" spans="3:5">
      <c r="C3975">
        <v>33.75</v>
      </c>
      <c r="D3975" s="17">
        <v>42700</v>
      </c>
      <c r="E3975" t="s">
        <v>1615</v>
      </c>
    </row>
    <row r="3976" spans="3:5">
      <c r="C3976">
        <v>33.792000000000002</v>
      </c>
      <c r="D3976" s="17">
        <v>41907</v>
      </c>
      <c r="E3976" t="s">
        <v>1720</v>
      </c>
    </row>
    <row r="3977" spans="3:5">
      <c r="C3977">
        <v>33.799999999999997</v>
      </c>
      <c r="D3977" s="17">
        <v>42569</v>
      </c>
      <c r="E3977" t="s">
        <v>1491</v>
      </c>
    </row>
    <row r="3978" spans="3:5">
      <c r="C3978">
        <v>33.82</v>
      </c>
      <c r="D3978" s="17">
        <v>42080</v>
      </c>
      <c r="E3978" t="s">
        <v>634</v>
      </c>
    </row>
    <row r="3979" spans="3:5">
      <c r="C3979">
        <v>33.869999999999997</v>
      </c>
      <c r="D3979" s="17">
        <v>42706</v>
      </c>
      <c r="E3979" t="s">
        <v>687</v>
      </c>
    </row>
    <row r="3980" spans="3:5">
      <c r="C3980">
        <v>33.9</v>
      </c>
      <c r="D3980" s="17">
        <v>41735</v>
      </c>
      <c r="E3980" t="s">
        <v>528</v>
      </c>
    </row>
    <row r="3981" spans="3:5">
      <c r="C3981">
        <v>33.9</v>
      </c>
      <c r="D3981" s="17">
        <v>42724</v>
      </c>
      <c r="E3981" t="s">
        <v>120</v>
      </c>
    </row>
    <row r="3982" spans="3:5">
      <c r="C3982">
        <v>33.9</v>
      </c>
      <c r="D3982" s="17">
        <v>42730</v>
      </c>
      <c r="E3982" t="s">
        <v>120</v>
      </c>
    </row>
    <row r="3983" spans="3:5">
      <c r="C3983">
        <v>33.92</v>
      </c>
      <c r="D3983" s="17">
        <v>42709</v>
      </c>
      <c r="E3983" t="s">
        <v>1261</v>
      </c>
    </row>
    <row r="3984" spans="3:5">
      <c r="C3984">
        <v>33.930000000000007</v>
      </c>
      <c r="D3984" s="17">
        <v>42937</v>
      </c>
      <c r="E3984" t="s">
        <v>990</v>
      </c>
    </row>
    <row r="3985" spans="3:5">
      <c r="C3985">
        <v>33.94</v>
      </c>
      <c r="D3985" s="17">
        <v>43038</v>
      </c>
      <c r="E3985" t="s">
        <v>1282</v>
      </c>
    </row>
    <row r="3986" spans="3:5">
      <c r="C3986">
        <v>33.96</v>
      </c>
      <c r="D3986" s="17">
        <v>42322</v>
      </c>
      <c r="E3986" t="s">
        <v>496</v>
      </c>
    </row>
    <row r="3987" spans="3:5">
      <c r="C3987">
        <v>33.96</v>
      </c>
      <c r="D3987" s="17">
        <v>42645</v>
      </c>
      <c r="E3987" t="s">
        <v>597</v>
      </c>
    </row>
    <row r="3988" spans="3:5">
      <c r="C3988">
        <v>33.99</v>
      </c>
      <c r="D3988" s="17">
        <v>42988</v>
      </c>
      <c r="E3988" t="s">
        <v>237</v>
      </c>
    </row>
    <row r="3989" spans="3:5">
      <c r="C3989">
        <v>34.019999999999996</v>
      </c>
      <c r="D3989" s="17">
        <v>42347</v>
      </c>
      <c r="E3989" t="s">
        <v>100</v>
      </c>
    </row>
    <row r="3990" spans="3:5">
      <c r="C3990">
        <v>34.019999999999996</v>
      </c>
      <c r="D3990" s="17">
        <v>43089</v>
      </c>
      <c r="E3990" t="s">
        <v>100</v>
      </c>
    </row>
    <row r="3991" spans="3:5">
      <c r="C3991">
        <v>34.049999999999997</v>
      </c>
      <c r="D3991" s="17">
        <v>42712</v>
      </c>
      <c r="E3991" t="s">
        <v>163</v>
      </c>
    </row>
    <row r="3992" spans="3:5">
      <c r="C3992">
        <v>34.049999999999997</v>
      </c>
      <c r="D3992" s="17">
        <v>42995</v>
      </c>
      <c r="E3992" t="s">
        <v>163</v>
      </c>
    </row>
    <row r="3993" spans="3:5">
      <c r="C3993">
        <v>34.08</v>
      </c>
      <c r="D3993" s="17">
        <v>41943</v>
      </c>
      <c r="E3993" t="s">
        <v>138</v>
      </c>
    </row>
    <row r="3994" spans="3:5">
      <c r="C3994">
        <v>34.08</v>
      </c>
      <c r="D3994" s="17">
        <v>43064</v>
      </c>
      <c r="E3994" t="s">
        <v>815</v>
      </c>
    </row>
    <row r="3995" spans="3:5">
      <c r="C3995">
        <v>34.175999999999995</v>
      </c>
      <c r="D3995" s="17">
        <v>41966</v>
      </c>
      <c r="E3995" t="s">
        <v>1299</v>
      </c>
    </row>
    <row r="3996" spans="3:5">
      <c r="C3996">
        <v>34.200000000000003</v>
      </c>
      <c r="D3996" s="17">
        <v>41778</v>
      </c>
      <c r="E3996" t="s">
        <v>1682</v>
      </c>
    </row>
    <row r="3997" spans="3:5">
      <c r="C3997">
        <v>34.236000000000004</v>
      </c>
      <c r="D3997" s="17">
        <v>43010</v>
      </c>
      <c r="E3997" t="s">
        <v>1287</v>
      </c>
    </row>
    <row r="3998" spans="3:5">
      <c r="C3998">
        <v>34.239999999999988</v>
      </c>
      <c r="D3998" s="17">
        <v>42867</v>
      </c>
      <c r="E3998" t="s">
        <v>628</v>
      </c>
    </row>
    <row r="3999" spans="3:5">
      <c r="C3999">
        <v>34.24</v>
      </c>
      <c r="D3999" s="17">
        <v>41674</v>
      </c>
      <c r="E3999" t="s">
        <v>1743</v>
      </c>
    </row>
    <row r="4000" spans="3:5">
      <c r="C4000">
        <v>34.24</v>
      </c>
      <c r="D4000" s="17">
        <v>42621</v>
      </c>
      <c r="E4000" t="s">
        <v>386</v>
      </c>
    </row>
    <row r="4001" spans="3:5">
      <c r="C4001">
        <v>34.24</v>
      </c>
      <c r="D4001" s="17">
        <v>43053</v>
      </c>
      <c r="E4001" t="s">
        <v>106</v>
      </c>
    </row>
    <row r="4002" spans="3:5">
      <c r="C4002">
        <v>34.248000000000005</v>
      </c>
      <c r="D4002" s="17">
        <v>42352</v>
      </c>
      <c r="E4002" t="s">
        <v>1576</v>
      </c>
    </row>
    <row r="4003" spans="3:5">
      <c r="C4003">
        <v>34.248000000000005</v>
      </c>
      <c r="D4003" s="17">
        <v>42723</v>
      </c>
      <c r="E4003" t="s">
        <v>1576</v>
      </c>
    </row>
    <row r="4004" spans="3:5">
      <c r="C4004">
        <v>34.271999999999998</v>
      </c>
      <c r="D4004" s="17">
        <v>41936</v>
      </c>
      <c r="E4004" t="s">
        <v>1384</v>
      </c>
    </row>
    <row r="4005" spans="3:5">
      <c r="C4005">
        <v>34.360000000000007</v>
      </c>
      <c r="D4005" s="17">
        <v>42807</v>
      </c>
      <c r="E4005" t="s">
        <v>364</v>
      </c>
    </row>
    <row r="4006" spans="3:5">
      <c r="C4006">
        <v>34.370000000000005</v>
      </c>
      <c r="D4006" s="17">
        <v>42645</v>
      </c>
      <c r="E4006" t="s">
        <v>521</v>
      </c>
    </row>
    <row r="4007" spans="3:5">
      <c r="C4007">
        <v>34.384</v>
      </c>
      <c r="D4007" s="17">
        <v>42750</v>
      </c>
      <c r="E4007" t="s">
        <v>103</v>
      </c>
    </row>
    <row r="4008" spans="3:5">
      <c r="C4008">
        <v>34.4</v>
      </c>
      <c r="D4008" s="17">
        <v>42468</v>
      </c>
      <c r="E4008" t="s">
        <v>623</v>
      </c>
    </row>
    <row r="4009" spans="3:5">
      <c r="C4009">
        <v>34.4</v>
      </c>
      <c r="D4009" s="17">
        <v>42857</v>
      </c>
      <c r="E4009" t="s">
        <v>623</v>
      </c>
    </row>
    <row r="4010" spans="3:5">
      <c r="C4010">
        <v>34.44</v>
      </c>
      <c r="D4010" s="17">
        <v>41960</v>
      </c>
      <c r="E4010" t="s">
        <v>1754</v>
      </c>
    </row>
    <row r="4011" spans="3:5">
      <c r="C4011">
        <v>34.44</v>
      </c>
      <c r="D4011" s="17">
        <v>42273</v>
      </c>
      <c r="E4011" t="s">
        <v>241</v>
      </c>
    </row>
    <row r="4012" spans="3:5">
      <c r="C4012">
        <v>34.44</v>
      </c>
      <c r="D4012" s="17">
        <v>42296</v>
      </c>
      <c r="E4012" t="s">
        <v>1754</v>
      </c>
    </row>
    <row r="4013" spans="3:5">
      <c r="C4013">
        <v>34.479999999999997</v>
      </c>
      <c r="D4013" s="17">
        <v>42996</v>
      </c>
      <c r="E4013" t="s">
        <v>1227</v>
      </c>
    </row>
    <row r="4014" spans="3:5">
      <c r="C4014">
        <v>34.5</v>
      </c>
      <c r="D4014" s="17">
        <v>41905</v>
      </c>
      <c r="E4014" t="s">
        <v>640</v>
      </c>
    </row>
    <row r="4015" spans="3:5">
      <c r="C4015">
        <v>34.5</v>
      </c>
      <c r="D4015" s="17">
        <v>42860</v>
      </c>
      <c r="E4015" t="s">
        <v>640</v>
      </c>
    </row>
    <row r="4016" spans="3:5">
      <c r="C4016">
        <v>34.5</v>
      </c>
      <c r="D4016" s="17">
        <v>43079</v>
      </c>
      <c r="E4016" t="s">
        <v>640</v>
      </c>
    </row>
    <row r="4017" spans="3:5">
      <c r="C4017">
        <v>34.504000000000005</v>
      </c>
      <c r="D4017" s="17">
        <v>42324</v>
      </c>
      <c r="E4017" t="s">
        <v>49</v>
      </c>
    </row>
    <row r="4018" spans="3:5">
      <c r="C4018">
        <v>34.504000000000005</v>
      </c>
      <c r="D4018" s="17">
        <v>42989</v>
      </c>
      <c r="E4018" t="s">
        <v>200</v>
      </c>
    </row>
    <row r="4019" spans="3:5">
      <c r="C4019">
        <v>34.54</v>
      </c>
      <c r="D4019" s="17">
        <v>42825</v>
      </c>
      <c r="E4019" t="s">
        <v>474</v>
      </c>
    </row>
    <row r="4020" spans="3:5">
      <c r="C4020">
        <v>34.58</v>
      </c>
      <c r="D4020" s="17">
        <v>42376</v>
      </c>
      <c r="E4020" t="s">
        <v>1555</v>
      </c>
    </row>
    <row r="4021" spans="3:5">
      <c r="C4021">
        <v>34.58</v>
      </c>
      <c r="D4021" s="17">
        <v>43098</v>
      </c>
      <c r="E4021" t="s">
        <v>1555</v>
      </c>
    </row>
    <row r="4022" spans="3:5">
      <c r="C4022">
        <v>34.580000000000005</v>
      </c>
      <c r="D4022" s="17">
        <v>42765</v>
      </c>
      <c r="E4022" t="s">
        <v>187</v>
      </c>
    </row>
    <row r="4023" spans="3:5">
      <c r="C4023">
        <v>34.6</v>
      </c>
      <c r="D4023" s="17">
        <v>42173</v>
      </c>
      <c r="E4023" t="s">
        <v>1260</v>
      </c>
    </row>
    <row r="4024" spans="3:5">
      <c r="C4024">
        <v>34.650000000000006</v>
      </c>
      <c r="D4024" s="17">
        <v>42124</v>
      </c>
      <c r="E4024" t="s">
        <v>1119</v>
      </c>
    </row>
    <row r="4025" spans="3:5">
      <c r="C4025">
        <v>34.650000000000006</v>
      </c>
      <c r="D4025" s="17">
        <v>42701</v>
      </c>
      <c r="E4025" t="s">
        <v>1119</v>
      </c>
    </row>
    <row r="4026" spans="3:5">
      <c r="C4026">
        <v>34.650000000000006</v>
      </c>
      <c r="D4026" s="17">
        <v>43071</v>
      </c>
      <c r="E4026" t="s">
        <v>437</v>
      </c>
    </row>
    <row r="4027" spans="3:5">
      <c r="C4027">
        <v>34.655999999999999</v>
      </c>
      <c r="D4027" s="17">
        <v>41999</v>
      </c>
      <c r="E4027" t="s">
        <v>1633</v>
      </c>
    </row>
    <row r="4028" spans="3:5">
      <c r="C4028">
        <v>34.68</v>
      </c>
      <c r="D4028" s="17">
        <v>41982</v>
      </c>
      <c r="E4028" t="s">
        <v>1193</v>
      </c>
    </row>
    <row r="4029" spans="3:5">
      <c r="C4029">
        <v>34.68</v>
      </c>
      <c r="D4029" s="17">
        <v>42605</v>
      </c>
      <c r="E4029" t="s">
        <v>1408</v>
      </c>
    </row>
    <row r="4030" spans="3:5">
      <c r="C4030">
        <v>34.700000000000003</v>
      </c>
      <c r="D4030" s="17">
        <v>42656</v>
      </c>
      <c r="E4030" t="s">
        <v>1434</v>
      </c>
    </row>
    <row r="4031" spans="3:5">
      <c r="C4031">
        <v>34.700000000000003</v>
      </c>
      <c r="D4031" s="17">
        <v>43078</v>
      </c>
      <c r="E4031" t="s">
        <v>1434</v>
      </c>
    </row>
    <row r="4032" spans="3:5">
      <c r="C4032">
        <v>34.74</v>
      </c>
      <c r="D4032" s="17">
        <v>41963</v>
      </c>
      <c r="E4032" t="s">
        <v>636</v>
      </c>
    </row>
    <row r="4033" spans="3:5">
      <c r="C4033">
        <v>34.75</v>
      </c>
      <c r="D4033" s="17">
        <v>42873</v>
      </c>
      <c r="E4033" t="s">
        <v>703</v>
      </c>
    </row>
    <row r="4034" spans="3:5">
      <c r="C4034">
        <v>34.76</v>
      </c>
      <c r="D4034" s="17">
        <v>42205</v>
      </c>
      <c r="E4034" t="s">
        <v>201</v>
      </c>
    </row>
    <row r="4035" spans="3:5">
      <c r="C4035">
        <v>34.76</v>
      </c>
      <c r="D4035" s="17">
        <v>42817</v>
      </c>
      <c r="E4035" t="s">
        <v>421</v>
      </c>
    </row>
    <row r="4036" spans="3:5">
      <c r="C4036">
        <v>34.769999999999996</v>
      </c>
      <c r="D4036" s="17">
        <v>42004</v>
      </c>
      <c r="E4036" t="s">
        <v>389</v>
      </c>
    </row>
    <row r="4037" spans="3:5">
      <c r="C4037">
        <v>34.79</v>
      </c>
      <c r="D4037" s="17">
        <v>41771</v>
      </c>
      <c r="E4037" t="s">
        <v>182</v>
      </c>
    </row>
    <row r="4038" spans="3:5">
      <c r="C4038">
        <v>34.800000000000004</v>
      </c>
      <c r="D4038" s="17">
        <v>42190</v>
      </c>
      <c r="E4038" t="s">
        <v>1372</v>
      </c>
    </row>
    <row r="4039" spans="3:5">
      <c r="C4039">
        <v>34.848000000000006</v>
      </c>
      <c r="D4039" s="17">
        <v>42516</v>
      </c>
      <c r="E4039" t="s">
        <v>1015</v>
      </c>
    </row>
    <row r="4040" spans="3:5">
      <c r="C4040">
        <v>34.848000000000006</v>
      </c>
      <c r="D4040" s="17">
        <v>42945</v>
      </c>
      <c r="E4040" t="s">
        <v>1015</v>
      </c>
    </row>
    <row r="4041" spans="3:5">
      <c r="C4041">
        <v>34.86</v>
      </c>
      <c r="D4041" s="17">
        <v>41715</v>
      </c>
      <c r="E4041" t="s">
        <v>1895</v>
      </c>
    </row>
    <row r="4042" spans="3:5">
      <c r="C4042">
        <v>34.86</v>
      </c>
      <c r="D4042" s="17">
        <v>41945</v>
      </c>
      <c r="E4042" t="s">
        <v>490</v>
      </c>
    </row>
    <row r="4043" spans="3:5">
      <c r="C4043">
        <v>34.860000000000007</v>
      </c>
      <c r="D4043" s="17">
        <v>42421</v>
      </c>
      <c r="E4043" t="s">
        <v>366</v>
      </c>
    </row>
    <row r="4044" spans="3:5">
      <c r="C4044">
        <v>34.92</v>
      </c>
      <c r="D4044" s="17">
        <v>43050</v>
      </c>
      <c r="E4044" t="s">
        <v>1290</v>
      </c>
    </row>
    <row r="4045" spans="3:5">
      <c r="C4045">
        <v>34.944000000000003</v>
      </c>
      <c r="D4045" s="17">
        <v>42323</v>
      </c>
      <c r="E4045" t="s">
        <v>1647</v>
      </c>
    </row>
    <row r="4046" spans="3:5">
      <c r="C4046">
        <v>34.944000000000003</v>
      </c>
      <c r="D4046" s="17">
        <v>42720</v>
      </c>
      <c r="E4046" t="s">
        <v>300</v>
      </c>
    </row>
    <row r="4047" spans="3:5">
      <c r="C4047">
        <v>34.950000000000003</v>
      </c>
      <c r="D4047" s="17">
        <v>42701</v>
      </c>
      <c r="E4047" t="s">
        <v>1249</v>
      </c>
    </row>
    <row r="4048" spans="3:5">
      <c r="C4048">
        <v>34.950000000000003</v>
      </c>
      <c r="D4048" s="17">
        <v>43000</v>
      </c>
      <c r="E4048" t="s">
        <v>1249</v>
      </c>
    </row>
    <row r="4049" spans="3:5">
      <c r="C4049">
        <v>35</v>
      </c>
      <c r="D4049" s="17">
        <v>41806</v>
      </c>
      <c r="E4049" t="s">
        <v>1654</v>
      </c>
    </row>
    <row r="4050" spans="3:5">
      <c r="C4050">
        <v>35</v>
      </c>
      <c r="D4050" s="17">
        <v>42882</v>
      </c>
      <c r="E4050" t="s">
        <v>758</v>
      </c>
    </row>
    <row r="4051" spans="3:5">
      <c r="C4051">
        <v>35</v>
      </c>
      <c r="D4051" s="17">
        <v>42968</v>
      </c>
      <c r="E4051" t="s">
        <v>629</v>
      </c>
    </row>
    <row r="4052" spans="3:5">
      <c r="C4052">
        <v>35</v>
      </c>
      <c r="D4052" s="17">
        <v>43007</v>
      </c>
      <c r="E4052" t="s">
        <v>629</v>
      </c>
    </row>
    <row r="4053" spans="3:5">
      <c r="C4053">
        <v>35</v>
      </c>
      <c r="D4053" s="17">
        <v>43031</v>
      </c>
      <c r="E4053" t="s">
        <v>758</v>
      </c>
    </row>
    <row r="4054" spans="3:5">
      <c r="C4054">
        <v>35.008000000000003</v>
      </c>
      <c r="D4054" s="17">
        <v>42657</v>
      </c>
      <c r="E4054" t="s">
        <v>1364</v>
      </c>
    </row>
    <row r="4055" spans="3:5">
      <c r="C4055">
        <v>35.016000000000005</v>
      </c>
      <c r="D4055" s="17">
        <v>41987</v>
      </c>
      <c r="E4055" t="s">
        <v>1814</v>
      </c>
    </row>
    <row r="4056" spans="3:5">
      <c r="C4056">
        <v>35.04</v>
      </c>
      <c r="D4056" s="17">
        <v>41979</v>
      </c>
      <c r="E4056" t="s">
        <v>810</v>
      </c>
    </row>
    <row r="4057" spans="3:5">
      <c r="C4057">
        <v>35.04</v>
      </c>
      <c r="D4057" s="17">
        <v>43056</v>
      </c>
      <c r="E4057" t="s">
        <v>1429</v>
      </c>
    </row>
    <row r="4058" spans="3:5">
      <c r="C4058">
        <v>35.06</v>
      </c>
      <c r="D4058" s="17">
        <v>42125</v>
      </c>
      <c r="E4058" t="s">
        <v>580</v>
      </c>
    </row>
    <row r="4059" spans="3:5">
      <c r="C4059">
        <v>35.06</v>
      </c>
      <c r="D4059" s="17">
        <v>42586</v>
      </c>
      <c r="E4059" t="s">
        <v>580</v>
      </c>
    </row>
    <row r="4060" spans="3:5">
      <c r="C4060">
        <v>35.06</v>
      </c>
      <c r="D4060" s="17">
        <v>43038</v>
      </c>
      <c r="E4060" t="s">
        <v>580</v>
      </c>
    </row>
    <row r="4061" spans="3:5">
      <c r="C4061">
        <v>35.099999999999994</v>
      </c>
      <c r="D4061" s="17">
        <v>42714</v>
      </c>
      <c r="E4061" t="s">
        <v>202</v>
      </c>
    </row>
    <row r="4062" spans="3:5">
      <c r="C4062">
        <v>35.099999999999994</v>
      </c>
      <c r="D4062" s="17">
        <v>42885</v>
      </c>
      <c r="E4062" t="s">
        <v>779</v>
      </c>
    </row>
    <row r="4063" spans="3:5">
      <c r="C4063">
        <v>35.119999999999997</v>
      </c>
      <c r="D4063" s="17">
        <v>42271</v>
      </c>
      <c r="E4063" t="s">
        <v>1294</v>
      </c>
    </row>
    <row r="4064" spans="3:5">
      <c r="C4064">
        <v>35.119999999999997</v>
      </c>
      <c r="D4064" s="17">
        <v>42461</v>
      </c>
      <c r="E4064" t="s">
        <v>1707</v>
      </c>
    </row>
    <row r="4065" spans="3:5">
      <c r="C4065">
        <v>35.167999999999999</v>
      </c>
      <c r="D4065" s="17">
        <v>41979</v>
      </c>
      <c r="E4065" t="s">
        <v>812</v>
      </c>
    </row>
    <row r="4066" spans="3:5">
      <c r="C4066">
        <v>35.167999999999999</v>
      </c>
      <c r="D4066" s="17">
        <v>42476</v>
      </c>
      <c r="E4066" t="s">
        <v>1698</v>
      </c>
    </row>
    <row r="4067" spans="3:5">
      <c r="C4067">
        <v>35.167999999999999</v>
      </c>
      <c r="D4067" s="17">
        <v>42615</v>
      </c>
      <c r="E4067" t="s">
        <v>812</v>
      </c>
    </row>
    <row r="4068" spans="3:5">
      <c r="C4068">
        <v>35.167999999999999</v>
      </c>
      <c r="D4068" s="17">
        <v>42621</v>
      </c>
      <c r="E4068" t="s">
        <v>1698</v>
      </c>
    </row>
    <row r="4069" spans="3:5">
      <c r="C4069">
        <v>35.167999999999999</v>
      </c>
      <c r="D4069" s="17">
        <v>42894</v>
      </c>
      <c r="E4069" t="s">
        <v>812</v>
      </c>
    </row>
    <row r="4070" spans="3:5">
      <c r="C4070">
        <v>35.167999999999999</v>
      </c>
      <c r="D4070" s="17">
        <v>42975</v>
      </c>
      <c r="E4070" t="s">
        <v>1103</v>
      </c>
    </row>
    <row r="4071" spans="3:5">
      <c r="C4071">
        <v>35.168000000000006</v>
      </c>
      <c r="D4071" s="17">
        <v>41967</v>
      </c>
      <c r="E4071" t="s">
        <v>789</v>
      </c>
    </row>
    <row r="4072" spans="3:5">
      <c r="C4072">
        <v>35.168000000000006</v>
      </c>
      <c r="D4072" s="17">
        <v>42889</v>
      </c>
      <c r="E4072" t="s">
        <v>789</v>
      </c>
    </row>
    <row r="4073" spans="3:5">
      <c r="C4073">
        <v>35.183999999999997</v>
      </c>
      <c r="D4073" s="17">
        <v>43050</v>
      </c>
      <c r="E4073" t="s">
        <v>355</v>
      </c>
    </row>
    <row r="4074" spans="3:5">
      <c r="C4074">
        <v>35.200000000000003</v>
      </c>
      <c r="D4074" s="17">
        <v>43017</v>
      </c>
      <c r="E4074" t="s">
        <v>1309</v>
      </c>
    </row>
    <row r="4075" spans="3:5">
      <c r="C4075">
        <v>35.207999999999998</v>
      </c>
      <c r="D4075" s="17">
        <v>42108</v>
      </c>
      <c r="E4075" t="s">
        <v>432</v>
      </c>
    </row>
    <row r="4076" spans="3:5">
      <c r="C4076">
        <v>35.216000000000001</v>
      </c>
      <c r="D4076" s="17">
        <v>42574</v>
      </c>
      <c r="E4076" t="s">
        <v>827</v>
      </c>
    </row>
    <row r="4077" spans="3:5">
      <c r="C4077">
        <v>35.231999999999999</v>
      </c>
      <c r="D4077" s="17">
        <v>42685</v>
      </c>
      <c r="E4077" t="s">
        <v>375</v>
      </c>
    </row>
    <row r="4078" spans="3:5">
      <c r="C4078">
        <v>35.231999999999999</v>
      </c>
      <c r="D4078" s="17">
        <v>42706</v>
      </c>
      <c r="E4078" t="s">
        <v>375</v>
      </c>
    </row>
    <row r="4079" spans="3:5">
      <c r="C4079">
        <v>35.28</v>
      </c>
      <c r="D4079" s="17">
        <v>42159</v>
      </c>
      <c r="E4079" t="s">
        <v>1562</v>
      </c>
    </row>
    <row r="4080" spans="3:5">
      <c r="C4080">
        <v>35.28</v>
      </c>
      <c r="D4080" s="17">
        <v>42432</v>
      </c>
      <c r="E4080" t="s">
        <v>1562</v>
      </c>
    </row>
    <row r="4081" spans="3:5">
      <c r="C4081">
        <v>35.340000000000003</v>
      </c>
      <c r="D4081" s="17">
        <v>41899</v>
      </c>
      <c r="E4081" t="s">
        <v>564</v>
      </c>
    </row>
    <row r="4082" spans="3:5">
      <c r="C4082">
        <v>35.340000000000003</v>
      </c>
      <c r="D4082" s="17">
        <v>41947</v>
      </c>
      <c r="E4082" t="s">
        <v>564</v>
      </c>
    </row>
    <row r="4083" spans="3:5">
      <c r="C4083">
        <v>35.352000000000004</v>
      </c>
      <c r="D4083" s="17">
        <v>42469</v>
      </c>
      <c r="E4083" t="s">
        <v>521</v>
      </c>
    </row>
    <row r="4084" spans="3:5">
      <c r="C4084">
        <v>35.360000000000007</v>
      </c>
      <c r="D4084" s="17">
        <v>42309</v>
      </c>
      <c r="E4084" t="s">
        <v>777</v>
      </c>
    </row>
    <row r="4085" spans="3:5">
      <c r="C4085">
        <v>35.360000000000007</v>
      </c>
      <c r="D4085" s="17">
        <v>42885</v>
      </c>
      <c r="E4085" t="s">
        <v>777</v>
      </c>
    </row>
    <row r="4086" spans="3:5">
      <c r="C4086">
        <v>35.4</v>
      </c>
      <c r="D4086" s="17">
        <v>42628</v>
      </c>
      <c r="E4086" t="s">
        <v>745</v>
      </c>
    </row>
    <row r="4087" spans="3:5">
      <c r="C4087">
        <v>35.4</v>
      </c>
      <c r="D4087" s="17">
        <v>42639</v>
      </c>
      <c r="E4087" t="s">
        <v>745</v>
      </c>
    </row>
    <row r="4088" spans="3:5">
      <c r="C4088">
        <v>35.4</v>
      </c>
      <c r="D4088" s="17">
        <v>42997</v>
      </c>
      <c r="E4088" t="s">
        <v>745</v>
      </c>
    </row>
    <row r="4089" spans="3:5">
      <c r="C4089">
        <v>35.44</v>
      </c>
      <c r="D4089" s="17">
        <v>41764</v>
      </c>
      <c r="E4089" t="s">
        <v>296</v>
      </c>
    </row>
    <row r="4090" spans="3:5">
      <c r="C4090">
        <v>35.44</v>
      </c>
      <c r="D4090" s="17">
        <v>42656</v>
      </c>
      <c r="E4090" t="s">
        <v>702</v>
      </c>
    </row>
    <row r="4091" spans="3:5">
      <c r="C4091">
        <v>35.445</v>
      </c>
      <c r="D4091" s="17">
        <v>42729</v>
      </c>
      <c r="E4091" t="s">
        <v>1115</v>
      </c>
    </row>
    <row r="4092" spans="3:5">
      <c r="C4092">
        <v>35.448</v>
      </c>
      <c r="D4092" s="17">
        <v>42003</v>
      </c>
      <c r="E4092" t="s">
        <v>781</v>
      </c>
    </row>
    <row r="4093" spans="3:5">
      <c r="C4093">
        <v>35.479999999999997</v>
      </c>
      <c r="D4093" s="17">
        <v>43050</v>
      </c>
      <c r="E4093" t="s">
        <v>1405</v>
      </c>
    </row>
    <row r="4094" spans="3:5">
      <c r="C4094">
        <v>35.49</v>
      </c>
      <c r="D4094" s="17">
        <v>42280</v>
      </c>
      <c r="E4094" t="s">
        <v>1725</v>
      </c>
    </row>
    <row r="4095" spans="3:5">
      <c r="C4095">
        <v>35.520000000000003</v>
      </c>
      <c r="D4095" s="17">
        <v>42222</v>
      </c>
      <c r="E4095" t="s">
        <v>644</v>
      </c>
    </row>
    <row r="4096" spans="3:5">
      <c r="C4096">
        <v>35.520000000000003</v>
      </c>
      <c r="D4096" s="17">
        <v>42716</v>
      </c>
      <c r="E4096" t="s">
        <v>1565</v>
      </c>
    </row>
    <row r="4097" spans="3:5">
      <c r="C4097">
        <v>35.544000000000004</v>
      </c>
      <c r="D4097" s="17">
        <v>42053</v>
      </c>
      <c r="E4097" t="s">
        <v>999</v>
      </c>
    </row>
    <row r="4098" spans="3:5">
      <c r="C4098">
        <v>35.56</v>
      </c>
      <c r="D4098" s="17">
        <v>42635</v>
      </c>
      <c r="E4098" t="s">
        <v>1118</v>
      </c>
    </row>
    <row r="4099" spans="3:5">
      <c r="C4099">
        <v>35.56</v>
      </c>
      <c r="D4099" s="17">
        <v>42993</v>
      </c>
      <c r="E4099" t="s">
        <v>1196</v>
      </c>
    </row>
    <row r="4100" spans="3:5">
      <c r="C4100">
        <v>35.568000000000005</v>
      </c>
      <c r="D4100" s="17">
        <v>42680</v>
      </c>
      <c r="E4100" t="s">
        <v>263</v>
      </c>
    </row>
    <row r="4101" spans="3:5">
      <c r="C4101">
        <v>35.712000000000003</v>
      </c>
      <c r="D4101" s="17">
        <v>43061</v>
      </c>
      <c r="E4101" t="s">
        <v>723</v>
      </c>
    </row>
    <row r="4102" spans="3:5">
      <c r="C4102">
        <v>35.76</v>
      </c>
      <c r="D4102" s="17">
        <v>42237</v>
      </c>
      <c r="E4102" t="s">
        <v>179</v>
      </c>
    </row>
    <row r="4103" spans="3:5">
      <c r="C4103">
        <v>35.783999999999999</v>
      </c>
      <c r="D4103" s="17">
        <v>42756</v>
      </c>
      <c r="E4103" t="s">
        <v>138</v>
      </c>
    </row>
    <row r="4104" spans="3:5">
      <c r="C4104">
        <v>35.808</v>
      </c>
      <c r="D4104" s="17">
        <v>41961</v>
      </c>
      <c r="E4104" t="s">
        <v>1864</v>
      </c>
    </row>
    <row r="4105" spans="3:5">
      <c r="C4105">
        <v>35.808</v>
      </c>
      <c r="D4105" s="17">
        <v>42715</v>
      </c>
      <c r="E4105" t="s">
        <v>749</v>
      </c>
    </row>
    <row r="4106" spans="3:5">
      <c r="C4106">
        <v>35.82</v>
      </c>
      <c r="D4106" s="17">
        <v>42910</v>
      </c>
      <c r="E4106" t="s">
        <v>883</v>
      </c>
    </row>
    <row r="4107" spans="3:5">
      <c r="C4107">
        <v>35.856000000000002</v>
      </c>
      <c r="D4107" s="17">
        <v>41832</v>
      </c>
      <c r="E4107" t="s">
        <v>729</v>
      </c>
    </row>
    <row r="4108" spans="3:5">
      <c r="C4108">
        <v>35.880000000000003</v>
      </c>
      <c r="D4108" s="17">
        <v>41715</v>
      </c>
      <c r="E4108" t="s">
        <v>1872</v>
      </c>
    </row>
    <row r="4109" spans="3:5">
      <c r="C4109">
        <v>35.880000000000003</v>
      </c>
      <c r="D4109" s="17">
        <v>42051</v>
      </c>
      <c r="E4109" t="s">
        <v>1756</v>
      </c>
    </row>
    <row r="4110" spans="3:5">
      <c r="C4110">
        <v>35.880000000000003</v>
      </c>
      <c r="D4110" s="17">
        <v>42635</v>
      </c>
      <c r="E4110" t="s">
        <v>1266</v>
      </c>
    </row>
    <row r="4111" spans="3:5">
      <c r="C4111">
        <v>35.880000000000003</v>
      </c>
      <c r="D4111" s="17">
        <v>42664</v>
      </c>
      <c r="E4111" t="s">
        <v>1667</v>
      </c>
    </row>
    <row r="4112" spans="3:5">
      <c r="C4112">
        <v>35.880000000000003</v>
      </c>
      <c r="D4112" s="17">
        <v>43004</v>
      </c>
      <c r="E4112" t="s">
        <v>1266</v>
      </c>
    </row>
    <row r="4113" spans="3:5">
      <c r="C4113">
        <v>35.880000000000003</v>
      </c>
      <c r="D4113" s="17">
        <v>43031</v>
      </c>
      <c r="E4113" t="s">
        <v>1224</v>
      </c>
    </row>
    <row r="4114" spans="3:5">
      <c r="C4114">
        <v>35.880000000000003</v>
      </c>
      <c r="D4114" s="17">
        <v>43042</v>
      </c>
      <c r="E4114" t="s">
        <v>844</v>
      </c>
    </row>
    <row r="4115" spans="3:5">
      <c r="C4115">
        <v>35.89</v>
      </c>
      <c r="D4115" s="17">
        <v>42710</v>
      </c>
      <c r="E4115" t="s">
        <v>1228</v>
      </c>
    </row>
    <row r="4116" spans="3:5">
      <c r="C4116">
        <v>35.909999999999997</v>
      </c>
      <c r="D4116" s="17">
        <v>42804</v>
      </c>
      <c r="E4116" t="s">
        <v>338</v>
      </c>
    </row>
    <row r="4117" spans="3:5">
      <c r="C4117">
        <v>35.910000000000004</v>
      </c>
      <c r="D4117" s="17">
        <v>41770</v>
      </c>
      <c r="E4117" t="s">
        <v>484</v>
      </c>
    </row>
    <row r="4118" spans="3:5">
      <c r="C4118">
        <v>35.910000000000004</v>
      </c>
      <c r="D4118" s="17">
        <v>43093</v>
      </c>
      <c r="E4118" t="s">
        <v>484</v>
      </c>
    </row>
    <row r="4119" spans="3:5">
      <c r="C4119">
        <v>35.92</v>
      </c>
      <c r="D4119" s="17">
        <v>42509</v>
      </c>
      <c r="E4119" t="s">
        <v>1626</v>
      </c>
    </row>
    <row r="4120" spans="3:5">
      <c r="C4120">
        <v>35.952000000000005</v>
      </c>
      <c r="D4120" s="17">
        <v>42621</v>
      </c>
      <c r="E4120" t="s">
        <v>1014</v>
      </c>
    </row>
    <row r="4121" spans="3:5">
      <c r="C4121">
        <v>35.96</v>
      </c>
      <c r="D4121" s="17">
        <v>42271</v>
      </c>
      <c r="E4121" t="s">
        <v>957</v>
      </c>
    </row>
    <row r="4122" spans="3:5">
      <c r="C4122">
        <v>35.96</v>
      </c>
      <c r="D4122" s="17">
        <v>42967</v>
      </c>
      <c r="E4122" t="s">
        <v>1075</v>
      </c>
    </row>
    <row r="4123" spans="3:5">
      <c r="C4123">
        <v>35.97</v>
      </c>
      <c r="D4123" s="17">
        <v>42551</v>
      </c>
      <c r="E4123" t="s">
        <v>510</v>
      </c>
    </row>
    <row r="4124" spans="3:5">
      <c r="C4124">
        <v>35.97</v>
      </c>
      <c r="D4124" s="17">
        <v>42834</v>
      </c>
      <c r="E4124" t="s">
        <v>510</v>
      </c>
    </row>
    <row r="4125" spans="3:5">
      <c r="C4125">
        <v>35.979999999999997</v>
      </c>
      <c r="D4125" s="17">
        <v>41841</v>
      </c>
      <c r="E4125" t="s">
        <v>154</v>
      </c>
    </row>
    <row r="4126" spans="3:5">
      <c r="C4126">
        <v>35.984000000000002</v>
      </c>
      <c r="D4126" s="17">
        <v>42570</v>
      </c>
      <c r="E4126" t="s">
        <v>1728</v>
      </c>
    </row>
    <row r="4127" spans="3:5">
      <c r="C4127">
        <v>36</v>
      </c>
      <c r="D4127" s="17">
        <v>42685</v>
      </c>
      <c r="E4127" t="s">
        <v>1212</v>
      </c>
    </row>
    <row r="4128" spans="3:5">
      <c r="C4128">
        <v>36</v>
      </c>
      <c r="D4128" s="17">
        <v>43016</v>
      </c>
      <c r="E4128" t="s">
        <v>1212</v>
      </c>
    </row>
    <row r="4129" spans="3:5">
      <c r="C4129">
        <v>36.024000000000001</v>
      </c>
      <c r="D4129" s="17">
        <v>42960</v>
      </c>
      <c r="E4129" t="s">
        <v>1052</v>
      </c>
    </row>
    <row r="4130" spans="3:5">
      <c r="C4130">
        <v>36.048000000000002</v>
      </c>
      <c r="D4130" s="17">
        <v>42873</v>
      </c>
      <c r="E4130" t="s">
        <v>705</v>
      </c>
    </row>
    <row r="4131" spans="3:5">
      <c r="C4131">
        <v>36.112000000000002</v>
      </c>
      <c r="D4131" s="17">
        <v>42680</v>
      </c>
      <c r="E4131" t="s">
        <v>1560</v>
      </c>
    </row>
    <row r="4132" spans="3:5">
      <c r="C4132">
        <v>36.192</v>
      </c>
      <c r="D4132" s="17">
        <v>42704</v>
      </c>
      <c r="E4132" t="s">
        <v>1547</v>
      </c>
    </row>
    <row r="4133" spans="3:5">
      <c r="C4133">
        <v>36.24</v>
      </c>
      <c r="D4133" s="17">
        <v>42351</v>
      </c>
      <c r="E4133" t="s">
        <v>1675</v>
      </c>
    </row>
    <row r="4134" spans="3:5">
      <c r="C4134">
        <v>36.24</v>
      </c>
      <c r="D4134" s="17">
        <v>42422</v>
      </c>
      <c r="E4134" t="s">
        <v>1675</v>
      </c>
    </row>
    <row r="4135" spans="3:5">
      <c r="C4135">
        <v>36.24</v>
      </c>
      <c r="D4135" s="17">
        <v>42642</v>
      </c>
      <c r="E4135" t="s">
        <v>1675</v>
      </c>
    </row>
    <row r="4136" spans="3:5">
      <c r="C4136">
        <v>36.240000000000009</v>
      </c>
      <c r="D4136" s="17">
        <v>42483</v>
      </c>
      <c r="E4136" t="s">
        <v>881</v>
      </c>
    </row>
    <row r="4137" spans="3:5">
      <c r="C4137">
        <v>36.26</v>
      </c>
      <c r="D4137" s="17">
        <v>42166</v>
      </c>
      <c r="E4137" t="s">
        <v>473</v>
      </c>
    </row>
    <row r="4138" spans="3:5">
      <c r="C4138">
        <v>36.269999999999996</v>
      </c>
      <c r="D4138" s="17">
        <v>41903</v>
      </c>
      <c r="E4138" t="s">
        <v>1172</v>
      </c>
    </row>
    <row r="4139" spans="3:5">
      <c r="C4139">
        <v>36.269999999999996</v>
      </c>
      <c r="D4139" s="17">
        <v>42358</v>
      </c>
      <c r="E4139" t="s">
        <v>1172</v>
      </c>
    </row>
    <row r="4140" spans="3:5">
      <c r="C4140">
        <v>36.288000000000011</v>
      </c>
      <c r="D4140" s="17">
        <v>41955</v>
      </c>
      <c r="E4140" t="s">
        <v>933</v>
      </c>
    </row>
    <row r="4141" spans="3:5">
      <c r="C4141">
        <v>36.288000000000011</v>
      </c>
      <c r="D4141" s="17">
        <v>41974</v>
      </c>
      <c r="E4141" t="s">
        <v>369</v>
      </c>
    </row>
    <row r="4142" spans="3:5">
      <c r="C4142">
        <v>36.288000000000011</v>
      </c>
      <c r="D4142" s="17">
        <v>41989</v>
      </c>
      <c r="E4142" t="s">
        <v>1691</v>
      </c>
    </row>
    <row r="4143" spans="3:5">
      <c r="C4143">
        <v>36.288000000000011</v>
      </c>
      <c r="D4143" s="17">
        <v>42233</v>
      </c>
      <c r="E4143" t="s">
        <v>1355</v>
      </c>
    </row>
    <row r="4144" spans="3:5">
      <c r="C4144">
        <v>36.288000000000011</v>
      </c>
      <c r="D4144" s="17">
        <v>42300</v>
      </c>
      <c r="E4144" t="s">
        <v>152</v>
      </c>
    </row>
    <row r="4145" spans="3:5">
      <c r="C4145">
        <v>36.288000000000011</v>
      </c>
      <c r="D4145" s="17">
        <v>42749</v>
      </c>
      <c r="E4145" t="s">
        <v>90</v>
      </c>
    </row>
    <row r="4146" spans="3:5">
      <c r="C4146">
        <v>36.288000000000011</v>
      </c>
      <c r="D4146" s="17">
        <v>42948</v>
      </c>
      <c r="E4146" t="s">
        <v>1030</v>
      </c>
    </row>
    <row r="4147" spans="3:5">
      <c r="C4147">
        <v>36.288000000000011</v>
      </c>
      <c r="D4147" s="17">
        <v>43062</v>
      </c>
      <c r="E4147" t="s">
        <v>1457</v>
      </c>
    </row>
    <row r="4148" spans="3:5">
      <c r="C4148">
        <v>36.32</v>
      </c>
      <c r="D4148" s="17">
        <v>42874</v>
      </c>
      <c r="E4148" t="s">
        <v>724</v>
      </c>
    </row>
    <row r="4149" spans="3:5">
      <c r="C4149">
        <v>36.336000000000006</v>
      </c>
      <c r="D4149" s="17">
        <v>42250</v>
      </c>
      <c r="E4149" t="s">
        <v>797</v>
      </c>
    </row>
    <row r="4150" spans="3:5">
      <c r="C4150">
        <v>36.351999999999997</v>
      </c>
      <c r="D4150" s="17">
        <v>42895</v>
      </c>
      <c r="E4150" t="s">
        <v>815</v>
      </c>
    </row>
    <row r="4151" spans="3:5">
      <c r="C4151">
        <v>36.36</v>
      </c>
      <c r="D4151" s="17">
        <v>41933</v>
      </c>
      <c r="E4151" t="s">
        <v>1235</v>
      </c>
    </row>
    <row r="4152" spans="3:5">
      <c r="C4152">
        <v>36.4</v>
      </c>
      <c r="D4152" s="17">
        <v>41700</v>
      </c>
      <c r="E4152" t="s">
        <v>1744</v>
      </c>
    </row>
    <row r="4153" spans="3:5">
      <c r="C4153">
        <v>36.4</v>
      </c>
      <c r="D4153" s="17">
        <v>41925</v>
      </c>
      <c r="E4153" t="s">
        <v>1520</v>
      </c>
    </row>
    <row r="4154" spans="3:5">
      <c r="C4154">
        <v>36.4</v>
      </c>
      <c r="D4154" s="17">
        <v>42342</v>
      </c>
      <c r="E4154" t="s">
        <v>1807</v>
      </c>
    </row>
    <row r="4155" spans="3:5">
      <c r="C4155">
        <v>36.4</v>
      </c>
      <c r="D4155" s="17">
        <v>42402</v>
      </c>
      <c r="E4155" t="s">
        <v>800</v>
      </c>
    </row>
    <row r="4156" spans="3:5">
      <c r="C4156">
        <v>36.4</v>
      </c>
      <c r="D4156" s="17">
        <v>42565</v>
      </c>
      <c r="E4156" t="s">
        <v>1647</v>
      </c>
    </row>
    <row r="4157" spans="3:5">
      <c r="C4157">
        <v>36.44</v>
      </c>
      <c r="D4157" s="17">
        <v>41666</v>
      </c>
      <c r="E4157" t="s">
        <v>645</v>
      </c>
    </row>
    <row r="4158" spans="3:5">
      <c r="C4158">
        <v>36.44</v>
      </c>
      <c r="D4158" s="17">
        <v>42350</v>
      </c>
      <c r="E4158" t="s">
        <v>632</v>
      </c>
    </row>
    <row r="4159" spans="3:5">
      <c r="C4159">
        <v>36.44</v>
      </c>
      <c r="D4159" s="17">
        <v>43030</v>
      </c>
      <c r="E4159" t="s">
        <v>645</v>
      </c>
    </row>
    <row r="4160" spans="3:5">
      <c r="C4160">
        <v>36.480000000000004</v>
      </c>
      <c r="D4160" s="17">
        <v>42428</v>
      </c>
      <c r="E4160" t="s">
        <v>74</v>
      </c>
    </row>
    <row r="4161" spans="3:5">
      <c r="C4161">
        <v>36.51</v>
      </c>
      <c r="D4161" s="17">
        <v>42247</v>
      </c>
      <c r="E4161" t="s">
        <v>257</v>
      </c>
    </row>
    <row r="4162" spans="3:5">
      <c r="C4162">
        <v>36.544000000000004</v>
      </c>
      <c r="D4162" s="17">
        <v>41805</v>
      </c>
      <c r="E4162" t="s">
        <v>1850</v>
      </c>
    </row>
    <row r="4163" spans="3:5">
      <c r="C4163">
        <v>36.56</v>
      </c>
      <c r="D4163" s="17">
        <v>42542</v>
      </c>
      <c r="E4163" t="s">
        <v>399</v>
      </c>
    </row>
    <row r="4164" spans="3:5">
      <c r="C4164">
        <v>36.56</v>
      </c>
      <c r="D4164" s="17">
        <v>42845</v>
      </c>
      <c r="E4164" t="s">
        <v>183</v>
      </c>
    </row>
    <row r="4165" spans="3:5">
      <c r="C4165">
        <v>36.599999999999994</v>
      </c>
      <c r="D4165" s="17">
        <v>42325</v>
      </c>
      <c r="E4165" t="s">
        <v>472</v>
      </c>
    </row>
    <row r="4166" spans="3:5">
      <c r="C4166">
        <v>36.6</v>
      </c>
      <c r="D4166" s="17">
        <v>42432</v>
      </c>
      <c r="E4166" t="s">
        <v>307</v>
      </c>
    </row>
    <row r="4167" spans="3:5">
      <c r="C4167">
        <v>36.624000000000002</v>
      </c>
      <c r="D4167" s="17">
        <v>42168</v>
      </c>
      <c r="E4167" t="s">
        <v>1188</v>
      </c>
    </row>
    <row r="4168" spans="3:5">
      <c r="C4168">
        <v>36.624000000000002</v>
      </c>
      <c r="D4168" s="17">
        <v>42472</v>
      </c>
      <c r="E4168" t="s">
        <v>1188</v>
      </c>
    </row>
    <row r="4169" spans="3:5">
      <c r="C4169">
        <v>36.624000000000002</v>
      </c>
      <c r="D4169" s="17">
        <v>43071</v>
      </c>
      <c r="E4169" t="s">
        <v>1188</v>
      </c>
    </row>
    <row r="4170" spans="3:5">
      <c r="C4170">
        <v>36.630000000000003</v>
      </c>
      <c r="D4170" s="17">
        <v>41950</v>
      </c>
      <c r="E4170" t="s">
        <v>1638</v>
      </c>
    </row>
    <row r="4171" spans="3:5">
      <c r="C4171">
        <v>36.630000000000003</v>
      </c>
      <c r="D4171" s="17">
        <v>42136</v>
      </c>
      <c r="E4171" t="s">
        <v>1638</v>
      </c>
    </row>
    <row r="4172" spans="3:5">
      <c r="C4172">
        <v>36.630000000000003</v>
      </c>
      <c r="D4172" s="17">
        <v>42305</v>
      </c>
      <c r="E4172" t="s">
        <v>1638</v>
      </c>
    </row>
    <row r="4173" spans="3:5">
      <c r="C4173">
        <v>36.630000000000003</v>
      </c>
      <c r="D4173" s="17">
        <v>42687</v>
      </c>
      <c r="E4173" t="s">
        <v>1638</v>
      </c>
    </row>
    <row r="4174" spans="3:5">
      <c r="C4174">
        <v>36.671999999999997</v>
      </c>
      <c r="D4174" s="17">
        <v>42835</v>
      </c>
      <c r="E4174" t="s">
        <v>48</v>
      </c>
    </row>
    <row r="4175" spans="3:5">
      <c r="C4175">
        <v>36.672000000000004</v>
      </c>
      <c r="D4175" s="17">
        <v>43088</v>
      </c>
      <c r="E4175" t="s">
        <v>878</v>
      </c>
    </row>
    <row r="4176" spans="3:5">
      <c r="C4176">
        <v>36.738</v>
      </c>
      <c r="D4176" s="17">
        <v>41978</v>
      </c>
      <c r="E4176" t="s">
        <v>1692</v>
      </c>
    </row>
    <row r="4177" spans="3:5">
      <c r="C4177">
        <v>36.744</v>
      </c>
      <c r="D4177" s="17">
        <v>42467</v>
      </c>
      <c r="E4177" t="s">
        <v>1769</v>
      </c>
    </row>
    <row r="4178" spans="3:5">
      <c r="C4178">
        <v>36.783999999999999</v>
      </c>
      <c r="D4178" s="17">
        <v>42134</v>
      </c>
      <c r="E4178" t="s">
        <v>1449</v>
      </c>
    </row>
    <row r="4179" spans="3:5">
      <c r="C4179">
        <v>36.783999999999999</v>
      </c>
      <c r="D4179" s="17">
        <v>42275</v>
      </c>
      <c r="E4179" t="s">
        <v>713</v>
      </c>
    </row>
    <row r="4180" spans="3:5">
      <c r="C4180">
        <v>36.783999999999999</v>
      </c>
      <c r="D4180" s="17">
        <v>42341</v>
      </c>
      <c r="E4180" t="s">
        <v>1135</v>
      </c>
    </row>
    <row r="4181" spans="3:5">
      <c r="C4181">
        <v>36.792000000000002</v>
      </c>
      <c r="D4181" s="17">
        <v>42477</v>
      </c>
      <c r="E4181" t="s">
        <v>630</v>
      </c>
    </row>
    <row r="4182" spans="3:5">
      <c r="C4182">
        <v>36.792000000000002</v>
      </c>
      <c r="D4182" s="17">
        <v>42947</v>
      </c>
      <c r="E4182" t="s">
        <v>630</v>
      </c>
    </row>
    <row r="4183" spans="3:5">
      <c r="C4183">
        <v>36.839999999999996</v>
      </c>
      <c r="D4183" s="17">
        <v>41811</v>
      </c>
      <c r="E4183" t="s">
        <v>1451</v>
      </c>
    </row>
    <row r="4184" spans="3:5">
      <c r="C4184">
        <v>36.839999999999996</v>
      </c>
      <c r="D4184" s="17">
        <v>42051</v>
      </c>
      <c r="E4184" t="s">
        <v>122</v>
      </c>
    </row>
    <row r="4185" spans="3:5">
      <c r="C4185">
        <v>36.839999999999996</v>
      </c>
      <c r="D4185" s="17">
        <v>42252</v>
      </c>
      <c r="E4185" t="s">
        <v>122</v>
      </c>
    </row>
    <row r="4186" spans="3:5">
      <c r="C4186">
        <v>36.882000000000005</v>
      </c>
      <c r="D4186" s="17">
        <v>42321</v>
      </c>
      <c r="E4186" t="s">
        <v>348</v>
      </c>
    </row>
    <row r="4187" spans="3:5">
      <c r="C4187">
        <v>36.96</v>
      </c>
      <c r="D4187" s="17">
        <v>42342</v>
      </c>
      <c r="E4187" t="s">
        <v>392</v>
      </c>
    </row>
    <row r="4188" spans="3:5">
      <c r="C4188">
        <v>36.96</v>
      </c>
      <c r="D4188" s="17">
        <v>42947</v>
      </c>
      <c r="E4188" t="s">
        <v>224</v>
      </c>
    </row>
    <row r="4189" spans="3:5">
      <c r="C4189">
        <v>36.99</v>
      </c>
      <c r="D4189" s="17">
        <v>41964</v>
      </c>
      <c r="E4189" t="s">
        <v>229</v>
      </c>
    </row>
    <row r="4190" spans="3:5">
      <c r="C4190">
        <v>37</v>
      </c>
      <c r="D4190" s="17">
        <v>42322</v>
      </c>
      <c r="E4190" t="s">
        <v>290</v>
      </c>
    </row>
    <row r="4191" spans="3:5">
      <c r="C4191">
        <v>37.008000000000003</v>
      </c>
      <c r="D4191" s="17">
        <v>42974</v>
      </c>
      <c r="E4191" t="s">
        <v>185</v>
      </c>
    </row>
    <row r="4192" spans="3:5">
      <c r="C4192">
        <v>37.049999999999997</v>
      </c>
      <c r="D4192" s="17">
        <v>42513</v>
      </c>
      <c r="E4192" t="s">
        <v>1288</v>
      </c>
    </row>
    <row r="4193" spans="3:5">
      <c r="C4193">
        <v>37.055999999999997</v>
      </c>
      <c r="D4193" s="17">
        <v>42000</v>
      </c>
      <c r="E4193" t="s">
        <v>297</v>
      </c>
    </row>
    <row r="4194" spans="3:5">
      <c r="C4194">
        <v>37.056000000000004</v>
      </c>
      <c r="D4194" s="17">
        <v>42988</v>
      </c>
      <c r="E4194" t="s">
        <v>1175</v>
      </c>
    </row>
    <row r="4195" spans="3:5">
      <c r="C4195">
        <v>37.17</v>
      </c>
      <c r="D4195" s="17">
        <v>42576</v>
      </c>
      <c r="E4195" t="s">
        <v>545</v>
      </c>
    </row>
    <row r="4196" spans="3:5">
      <c r="C4196">
        <v>37.17</v>
      </c>
      <c r="D4196" s="17">
        <v>42700</v>
      </c>
      <c r="E4196" t="s">
        <v>1559</v>
      </c>
    </row>
    <row r="4197" spans="3:5">
      <c r="C4197">
        <v>37.200000000000003</v>
      </c>
      <c r="D4197" s="17">
        <v>42869</v>
      </c>
      <c r="E4197" t="s">
        <v>360</v>
      </c>
    </row>
    <row r="4198" spans="3:5">
      <c r="C4198">
        <v>37.207999999999998</v>
      </c>
      <c r="D4198" s="17">
        <v>43078</v>
      </c>
      <c r="E4198" t="s">
        <v>370</v>
      </c>
    </row>
    <row r="4199" spans="3:5">
      <c r="C4199">
        <v>37.224000000000004</v>
      </c>
      <c r="D4199" s="17">
        <v>42567</v>
      </c>
      <c r="E4199" t="s">
        <v>1541</v>
      </c>
    </row>
    <row r="4200" spans="3:5">
      <c r="C4200">
        <v>37.24</v>
      </c>
      <c r="D4200" s="17">
        <v>42968</v>
      </c>
      <c r="E4200" t="s">
        <v>744</v>
      </c>
    </row>
    <row r="4201" spans="3:5">
      <c r="C4201">
        <v>37.295999999999999</v>
      </c>
      <c r="D4201" s="17">
        <v>41959</v>
      </c>
      <c r="E4201" t="s">
        <v>651</v>
      </c>
    </row>
    <row r="4202" spans="3:5">
      <c r="C4202">
        <v>37.299999999999997</v>
      </c>
      <c r="D4202" s="17">
        <v>42684</v>
      </c>
      <c r="E4202" t="s">
        <v>1603</v>
      </c>
    </row>
    <row r="4203" spans="3:5">
      <c r="C4203">
        <v>37.312000000000005</v>
      </c>
      <c r="D4203" s="17">
        <v>42594</v>
      </c>
      <c r="E4203" t="s">
        <v>1232</v>
      </c>
    </row>
    <row r="4204" spans="3:5">
      <c r="C4204">
        <v>37.32</v>
      </c>
      <c r="D4204" s="17">
        <v>42125</v>
      </c>
      <c r="E4204" t="s">
        <v>1314</v>
      </c>
    </row>
    <row r="4205" spans="3:5">
      <c r="C4205">
        <v>37.32</v>
      </c>
      <c r="D4205" s="17">
        <v>43091</v>
      </c>
      <c r="E4205" t="s">
        <v>1314</v>
      </c>
    </row>
    <row r="4206" spans="3:5">
      <c r="C4206">
        <v>37.375999999999998</v>
      </c>
      <c r="D4206" s="17">
        <v>42286</v>
      </c>
      <c r="E4206" t="s">
        <v>1304</v>
      </c>
    </row>
    <row r="4207" spans="3:5">
      <c r="C4207">
        <v>37.375999999999998</v>
      </c>
      <c r="D4207" s="17">
        <v>42344</v>
      </c>
      <c r="E4207" t="s">
        <v>167</v>
      </c>
    </row>
    <row r="4208" spans="3:5">
      <c r="C4208">
        <v>37.392000000000003</v>
      </c>
      <c r="D4208" s="17">
        <v>43070</v>
      </c>
      <c r="E4208" t="s">
        <v>823</v>
      </c>
    </row>
    <row r="4209" spans="3:5">
      <c r="C4209">
        <v>37.4</v>
      </c>
      <c r="D4209" s="17">
        <v>41799</v>
      </c>
      <c r="E4209" t="s">
        <v>1440</v>
      </c>
    </row>
    <row r="4210" spans="3:5">
      <c r="C4210">
        <v>37.408000000000001</v>
      </c>
      <c r="D4210" s="17">
        <v>41652</v>
      </c>
      <c r="E4210" t="s">
        <v>641</v>
      </c>
    </row>
    <row r="4211" spans="3:5">
      <c r="C4211">
        <v>37.408000000000001</v>
      </c>
      <c r="D4211" s="17">
        <v>42733</v>
      </c>
      <c r="E4211" t="s">
        <v>423</v>
      </c>
    </row>
    <row r="4212" spans="3:5">
      <c r="C4212">
        <v>37.425000000000004</v>
      </c>
      <c r="D4212" s="17">
        <v>42671</v>
      </c>
      <c r="E4212" t="s">
        <v>1322</v>
      </c>
    </row>
    <row r="4213" spans="3:5">
      <c r="C4213">
        <v>37.44</v>
      </c>
      <c r="D4213" s="17">
        <v>42681</v>
      </c>
      <c r="E4213" t="s">
        <v>478</v>
      </c>
    </row>
    <row r="4214" spans="3:5">
      <c r="C4214">
        <v>37.44</v>
      </c>
      <c r="D4214" s="17">
        <v>42789</v>
      </c>
      <c r="E4214" t="s">
        <v>274</v>
      </c>
    </row>
    <row r="4215" spans="3:5">
      <c r="C4215">
        <v>37.44</v>
      </c>
      <c r="D4215" s="17">
        <v>42866</v>
      </c>
      <c r="E4215" t="s">
        <v>274</v>
      </c>
    </row>
    <row r="4216" spans="3:5">
      <c r="C4216">
        <v>37.463999999999999</v>
      </c>
      <c r="D4216" s="17">
        <v>42548</v>
      </c>
      <c r="E4216" t="s">
        <v>899</v>
      </c>
    </row>
    <row r="4217" spans="3:5">
      <c r="C4217">
        <v>37.520000000000003</v>
      </c>
      <c r="D4217" s="17">
        <v>42597</v>
      </c>
      <c r="E4217" t="s">
        <v>470</v>
      </c>
    </row>
    <row r="4218" spans="3:5">
      <c r="C4218">
        <v>37.520000000000003</v>
      </c>
      <c r="D4218" s="17">
        <v>42885</v>
      </c>
      <c r="E4218" t="s">
        <v>470</v>
      </c>
    </row>
    <row r="4219" spans="3:5">
      <c r="C4219">
        <v>37.52000000000001</v>
      </c>
      <c r="D4219" s="17">
        <v>42624</v>
      </c>
      <c r="E4219" t="s">
        <v>98</v>
      </c>
    </row>
    <row r="4220" spans="3:5">
      <c r="C4220">
        <v>37.589999999999996</v>
      </c>
      <c r="D4220" s="17">
        <v>42605</v>
      </c>
      <c r="E4220" t="s">
        <v>311</v>
      </c>
    </row>
    <row r="4221" spans="3:5">
      <c r="C4221">
        <v>37.589999999999996</v>
      </c>
      <c r="D4221" s="17">
        <v>42866</v>
      </c>
      <c r="E4221" t="s">
        <v>666</v>
      </c>
    </row>
    <row r="4222" spans="3:5">
      <c r="C4222">
        <v>37.6</v>
      </c>
      <c r="D4222" s="17">
        <v>42322</v>
      </c>
      <c r="E4222" t="s">
        <v>1169</v>
      </c>
    </row>
    <row r="4223" spans="3:5">
      <c r="C4223">
        <v>37.608000000000004</v>
      </c>
      <c r="D4223" s="17">
        <v>42908</v>
      </c>
      <c r="E4223" t="s">
        <v>427</v>
      </c>
    </row>
    <row r="4224" spans="3:5">
      <c r="C4224">
        <v>37.659999999999997</v>
      </c>
      <c r="D4224" s="17">
        <v>43022</v>
      </c>
      <c r="E4224" t="s">
        <v>1319</v>
      </c>
    </row>
    <row r="4225" spans="3:5">
      <c r="C4225">
        <v>37.68</v>
      </c>
      <c r="D4225" s="17">
        <v>42107</v>
      </c>
      <c r="E4225" t="s">
        <v>78</v>
      </c>
    </row>
    <row r="4226" spans="3:5">
      <c r="C4226">
        <v>37.68</v>
      </c>
      <c r="D4226" s="17">
        <v>42267</v>
      </c>
      <c r="E4226" t="s">
        <v>1361</v>
      </c>
    </row>
    <row r="4227" spans="3:5">
      <c r="C4227">
        <v>37.68</v>
      </c>
      <c r="D4227" s="17">
        <v>42573</v>
      </c>
      <c r="E4227" t="s">
        <v>1490</v>
      </c>
    </row>
    <row r="4228" spans="3:5">
      <c r="C4228">
        <v>37.68</v>
      </c>
      <c r="D4228" s="17">
        <v>42686</v>
      </c>
      <c r="E4228" t="s">
        <v>1490</v>
      </c>
    </row>
    <row r="4229" spans="3:5">
      <c r="C4229">
        <v>37.68</v>
      </c>
      <c r="D4229" s="17">
        <v>42747</v>
      </c>
      <c r="E4229" t="s">
        <v>78</v>
      </c>
    </row>
    <row r="4230" spans="3:5">
      <c r="C4230">
        <v>37.68</v>
      </c>
      <c r="D4230" s="17">
        <v>42985</v>
      </c>
      <c r="E4230" t="s">
        <v>476</v>
      </c>
    </row>
    <row r="4231" spans="3:5">
      <c r="C4231">
        <v>37.74</v>
      </c>
      <c r="D4231" s="17">
        <v>42547</v>
      </c>
      <c r="E4231" t="s">
        <v>171</v>
      </c>
    </row>
    <row r="4232" spans="3:5">
      <c r="C4232">
        <v>37.74</v>
      </c>
      <c r="D4232" s="17">
        <v>42763</v>
      </c>
      <c r="E4232" t="s">
        <v>171</v>
      </c>
    </row>
    <row r="4233" spans="3:5">
      <c r="C4233">
        <v>37.752000000000002</v>
      </c>
      <c r="D4233" s="17">
        <v>42941</v>
      </c>
      <c r="E4233" t="s">
        <v>73</v>
      </c>
    </row>
    <row r="4234" spans="3:5">
      <c r="C4234">
        <v>37.76</v>
      </c>
      <c r="D4234" s="17">
        <v>43057</v>
      </c>
      <c r="E4234" t="s">
        <v>1074</v>
      </c>
    </row>
    <row r="4235" spans="3:5">
      <c r="C4235">
        <v>37.76400000000001</v>
      </c>
      <c r="D4235" s="17">
        <v>42612</v>
      </c>
      <c r="E4235" t="s">
        <v>997</v>
      </c>
    </row>
    <row r="4236" spans="3:5">
      <c r="C4236">
        <v>37.839999999999996</v>
      </c>
      <c r="D4236" s="17">
        <v>41763</v>
      </c>
      <c r="E4236" t="s">
        <v>603</v>
      </c>
    </row>
    <row r="4237" spans="3:5">
      <c r="C4237">
        <v>37.880000000000003</v>
      </c>
      <c r="D4237" s="17">
        <v>42351</v>
      </c>
      <c r="E4237" t="s">
        <v>526</v>
      </c>
    </row>
    <row r="4238" spans="3:5">
      <c r="C4238">
        <v>37.896000000000001</v>
      </c>
      <c r="D4238" s="17">
        <v>42834</v>
      </c>
      <c r="E4238" t="s">
        <v>516</v>
      </c>
    </row>
    <row r="4239" spans="3:5">
      <c r="C4239">
        <v>37.909999999999997</v>
      </c>
      <c r="D4239" s="17">
        <v>42965</v>
      </c>
      <c r="E4239" t="s">
        <v>218</v>
      </c>
    </row>
    <row r="4240" spans="3:5">
      <c r="C4240">
        <v>37.93</v>
      </c>
      <c r="D4240" s="17">
        <v>43093</v>
      </c>
      <c r="E4240" t="s">
        <v>1011</v>
      </c>
    </row>
    <row r="4241" spans="3:5">
      <c r="C4241">
        <v>37.94</v>
      </c>
      <c r="D4241" s="17">
        <v>42132</v>
      </c>
      <c r="E4241" t="s">
        <v>238</v>
      </c>
    </row>
    <row r="4242" spans="3:5">
      <c r="C4242">
        <v>37.94</v>
      </c>
      <c r="D4242" s="17">
        <v>42330</v>
      </c>
      <c r="E4242" t="s">
        <v>181</v>
      </c>
    </row>
    <row r="4243" spans="3:5">
      <c r="C4243">
        <v>37.94</v>
      </c>
      <c r="D4243" s="17">
        <v>42467</v>
      </c>
      <c r="E4243" t="s">
        <v>828</v>
      </c>
    </row>
    <row r="4244" spans="3:5">
      <c r="C4244">
        <v>37.94</v>
      </c>
      <c r="D4244" s="17">
        <v>42656</v>
      </c>
      <c r="E4244" t="s">
        <v>1300</v>
      </c>
    </row>
    <row r="4245" spans="3:5">
      <c r="C4245">
        <v>37.94</v>
      </c>
      <c r="D4245" s="17">
        <v>42727</v>
      </c>
      <c r="E4245" t="s">
        <v>1300</v>
      </c>
    </row>
    <row r="4246" spans="3:5">
      <c r="C4246">
        <v>37.94</v>
      </c>
      <c r="D4246" s="17">
        <v>42782</v>
      </c>
      <c r="E4246" t="s">
        <v>238</v>
      </c>
    </row>
    <row r="4247" spans="3:5">
      <c r="C4247">
        <v>37.94</v>
      </c>
      <c r="D4247" s="17">
        <v>42897</v>
      </c>
      <c r="E4247" t="s">
        <v>828</v>
      </c>
    </row>
    <row r="4248" spans="3:5">
      <c r="C4248">
        <v>37.94</v>
      </c>
      <c r="D4248" s="17">
        <v>43014</v>
      </c>
      <c r="E4248" t="s">
        <v>1300</v>
      </c>
    </row>
    <row r="4249" spans="3:5">
      <c r="C4249">
        <v>38.016000000000005</v>
      </c>
      <c r="D4249" s="17">
        <v>42874</v>
      </c>
      <c r="E4249" t="s">
        <v>726</v>
      </c>
    </row>
    <row r="4250" spans="3:5">
      <c r="C4250">
        <v>38.04</v>
      </c>
      <c r="D4250" s="17">
        <v>43065</v>
      </c>
      <c r="E4250" t="s">
        <v>379</v>
      </c>
    </row>
    <row r="4251" spans="3:5">
      <c r="C4251">
        <v>38.08</v>
      </c>
      <c r="D4251" s="17">
        <v>42646</v>
      </c>
      <c r="E4251" t="s">
        <v>1336</v>
      </c>
    </row>
    <row r="4252" spans="3:5">
      <c r="C4252">
        <v>38.088000000000001</v>
      </c>
      <c r="D4252" s="17">
        <v>42546</v>
      </c>
      <c r="E4252" t="s">
        <v>1561</v>
      </c>
    </row>
    <row r="4253" spans="3:5">
      <c r="C4253">
        <v>38.088000000000001</v>
      </c>
      <c r="D4253" s="17">
        <v>42733</v>
      </c>
      <c r="E4253" t="s">
        <v>1561</v>
      </c>
    </row>
    <row r="4254" spans="3:5">
      <c r="C4254">
        <v>38.136000000000003</v>
      </c>
      <c r="D4254" s="17">
        <v>42689</v>
      </c>
      <c r="E4254" t="s">
        <v>1374</v>
      </c>
    </row>
    <row r="4255" spans="3:5">
      <c r="C4255">
        <v>38.160000000000004</v>
      </c>
      <c r="D4255" s="17">
        <v>43046</v>
      </c>
      <c r="E4255" t="s">
        <v>856</v>
      </c>
    </row>
    <row r="4256" spans="3:5">
      <c r="C4256">
        <v>38.190000000000012</v>
      </c>
      <c r="D4256" s="17">
        <v>42671</v>
      </c>
      <c r="E4256" t="s">
        <v>457</v>
      </c>
    </row>
    <row r="4257" spans="3:5">
      <c r="C4257">
        <v>38.22</v>
      </c>
      <c r="D4257" s="17">
        <v>42112</v>
      </c>
      <c r="E4257" t="s">
        <v>414</v>
      </c>
    </row>
    <row r="4258" spans="3:5">
      <c r="C4258">
        <v>38.24</v>
      </c>
      <c r="D4258" s="17">
        <v>42545</v>
      </c>
      <c r="E4258" t="s">
        <v>1485</v>
      </c>
    </row>
    <row r="4259" spans="3:5">
      <c r="C4259">
        <v>38.256</v>
      </c>
      <c r="D4259" s="17">
        <v>41899</v>
      </c>
      <c r="E4259" t="s">
        <v>1847</v>
      </c>
    </row>
    <row r="4260" spans="3:5">
      <c r="C4260">
        <v>38.272000000000006</v>
      </c>
      <c r="D4260" s="17">
        <v>41834</v>
      </c>
      <c r="E4260" t="s">
        <v>1224</v>
      </c>
    </row>
    <row r="4261" spans="3:5">
      <c r="C4261">
        <v>38.28</v>
      </c>
      <c r="D4261" s="17">
        <v>42296</v>
      </c>
      <c r="E4261" t="s">
        <v>1680</v>
      </c>
    </row>
    <row r="4262" spans="3:5">
      <c r="C4262">
        <v>38.29</v>
      </c>
      <c r="D4262" s="17">
        <v>42678</v>
      </c>
      <c r="E4262" t="s">
        <v>1479</v>
      </c>
    </row>
    <row r="4263" spans="3:5">
      <c r="C4263">
        <v>38.339999999999996</v>
      </c>
      <c r="D4263" s="17">
        <v>41859</v>
      </c>
      <c r="E4263" t="s">
        <v>1338</v>
      </c>
    </row>
    <row r="4264" spans="3:5">
      <c r="C4264">
        <v>38.339999999999996</v>
      </c>
      <c r="D4264" s="17">
        <v>42588</v>
      </c>
      <c r="E4264" t="s">
        <v>842</v>
      </c>
    </row>
    <row r="4265" spans="3:5">
      <c r="C4265">
        <v>38.376000000000005</v>
      </c>
      <c r="D4265" s="17">
        <v>42735</v>
      </c>
      <c r="E4265" t="s">
        <v>1216</v>
      </c>
    </row>
    <row r="4266" spans="3:5">
      <c r="C4266">
        <v>38.388000000000005</v>
      </c>
      <c r="D4266" s="17">
        <v>43049</v>
      </c>
      <c r="E4266" t="s">
        <v>183</v>
      </c>
    </row>
    <row r="4267" spans="3:5">
      <c r="C4267">
        <v>38.432000000000002</v>
      </c>
      <c r="D4267" s="17">
        <v>42695</v>
      </c>
      <c r="E4267" t="s">
        <v>1092</v>
      </c>
    </row>
    <row r="4268" spans="3:5">
      <c r="C4268">
        <v>38.520000000000003</v>
      </c>
      <c r="D4268" s="17">
        <v>41779</v>
      </c>
      <c r="E4268" t="s">
        <v>1892</v>
      </c>
    </row>
    <row r="4269" spans="3:5">
      <c r="C4269">
        <v>38.520000000000003</v>
      </c>
      <c r="D4269" s="17">
        <v>41903</v>
      </c>
      <c r="E4269" t="s">
        <v>885</v>
      </c>
    </row>
    <row r="4270" spans="3:5">
      <c r="C4270">
        <v>38.520000000000003</v>
      </c>
      <c r="D4270" s="17">
        <v>42164</v>
      </c>
      <c r="E4270" t="s">
        <v>628</v>
      </c>
    </row>
    <row r="4271" spans="3:5">
      <c r="C4271">
        <v>38.520000000000003</v>
      </c>
      <c r="D4271" s="17">
        <v>42998</v>
      </c>
      <c r="E4271" t="s">
        <v>1239</v>
      </c>
    </row>
    <row r="4272" spans="3:5">
      <c r="C4272">
        <v>38.6</v>
      </c>
      <c r="D4272" s="17">
        <v>41659</v>
      </c>
      <c r="E4272" t="s">
        <v>1855</v>
      </c>
    </row>
    <row r="4273" spans="3:5">
      <c r="C4273">
        <v>38.619999999999997</v>
      </c>
      <c r="D4273" s="17">
        <v>42993</v>
      </c>
      <c r="E4273" t="s">
        <v>1206</v>
      </c>
    </row>
    <row r="4274" spans="3:5">
      <c r="C4274">
        <v>38.71</v>
      </c>
      <c r="D4274" s="17">
        <v>43002</v>
      </c>
      <c r="E4274" t="s">
        <v>646</v>
      </c>
    </row>
    <row r="4275" spans="3:5">
      <c r="C4275">
        <v>38.784000000000006</v>
      </c>
      <c r="D4275" s="17">
        <v>42905</v>
      </c>
      <c r="E4275" t="s">
        <v>870</v>
      </c>
    </row>
    <row r="4276" spans="3:5">
      <c r="C4276">
        <v>38.82</v>
      </c>
      <c r="D4276" s="17">
        <v>43029</v>
      </c>
      <c r="E4276" t="s">
        <v>54</v>
      </c>
    </row>
    <row r="4277" spans="3:5">
      <c r="C4277">
        <v>38.82</v>
      </c>
      <c r="D4277" s="17">
        <v>43087</v>
      </c>
      <c r="E4277" t="s">
        <v>127</v>
      </c>
    </row>
    <row r="4278" spans="3:5">
      <c r="C4278">
        <v>38.86399999999999</v>
      </c>
      <c r="D4278" s="17">
        <v>42964</v>
      </c>
      <c r="E4278" t="s">
        <v>653</v>
      </c>
    </row>
    <row r="4279" spans="3:5">
      <c r="C4279">
        <v>38.864000000000004</v>
      </c>
      <c r="D4279" s="17">
        <v>43057</v>
      </c>
      <c r="E4279" t="s">
        <v>1434</v>
      </c>
    </row>
    <row r="4280" spans="3:5">
      <c r="C4280">
        <v>38.880000000000003</v>
      </c>
      <c r="D4280" s="17">
        <v>42198</v>
      </c>
      <c r="E4280" t="s">
        <v>90</v>
      </c>
    </row>
    <row r="4281" spans="3:5">
      <c r="C4281">
        <v>38.880000000000003</v>
      </c>
      <c r="D4281" s="17">
        <v>42258</v>
      </c>
      <c r="E4281" t="s">
        <v>1291</v>
      </c>
    </row>
    <row r="4282" spans="3:5">
      <c r="C4282">
        <v>38.880000000000003</v>
      </c>
      <c r="D4282" s="17">
        <v>42331</v>
      </c>
      <c r="E4282" t="s">
        <v>918</v>
      </c>
    </row>
    <row r="4283" spans="3:5">
      <c r="C4283">
        <v>38.880000000000003</v>
      </c>
      <c r="D4283" s="17">
        <v>42520</v>
      </c>
      <c r="E4283" t="s">
        <v>1230</v>
      </c>
    </row>
    <row r="4284" spans="3:5">
      <c r="C4284">
        <v>38.880000000000003</v>
      </c>
      <c r="D4284" s="17">
        <v>42541</v>
      </c>
      <c r="E4284" t="s">
        <v>1382</v>
      </c>
    </row>
    <row r="4285" spans="3:5">
      <c r="C4285">
        <v>38.880000000000003</v>
      </c>
      <c r="D4285" s="17">
        <v>42678</v>
      </c>
      <c r="E4285" t="s">
        <v>1652</v>
      </c>
    </row>
    <row r="4286" spans="3:5">
      <c r="C4286">
        <v>38.880000000000003</v>
      </c>
      <c r="D4286" s="17">
        <v>42722</v>
      </c>
      <c r="E4286" t="s">
        <v>1150</v>
      </c>
    </row>
    <row r="4287" spans="3:5">
      <c r="C4287">
        <v>38.880000000000003</v>
      </c>
      <c r="D4287" s="17">
        <v>42738</v>
      </c>
      <c r="E4287" t="s">
        <v>65</v>
      </c>
    </row>
    <row r="4288" spans="3:5">
      <c r="C4288">
        <v>38.880000000000003</v>
      </c>
      <c r="D4288" s="17">
        <v>42904</v>
      </c>
      <c r="E4288" t="s">
        <v>767</v>
      </c>
    </row>
    <row r="4289" spans="3:5">
      <c r="C4289">
        <v>38.880000000000003</v>
      </c>
      <c r="D4289" s="17">
        <v>43056</v>
      </c>
      <c r="E4289" t="s">
        <v>65</v>
      </c>
    </row>
    <row r="4290" spans="3:5">
      <c r="C4290">
        <v>38.880000000000003</v>
      </c>
      <c r="D4290" s="17">
        <v>43082</v>
      </c>
      <c r="E4290" t="s">
        <v>1178</v>
      </c>
    </row>
    <row r="4291" spans="3:5">
      <c r="C4291">
        <v>38.9</v>
      </c>
      <c r="D4291" s="17">
        <v>43074</v>
      </c>
      <c r="E4291" t="s">
        <v>291</v>
      </c>
    </row>
    <row r="4292" spans="3:5">
      <c r="C4292">
        <v>38.97</v>
      </c>
      <c r="D4292" s="17">
        <v>42335</v>
      </c>
      <c r="E4292" t="s">
        <v>1499</v>
      </c>
    </row>
    <row r="4293" spans="3:5">
      <c r="C4293">
        <v>38.97</v>
      </c>
      <c r="D4293" s="17">
        <v>43079</v>
      </c>
      <c r="E4293" t="s">
        <v>1503</v>
      </c>
    </row>
    <row r="4294" spans="3:5">
      <c r="C4294">
        <v>38.975999999999999</v>
      </c>
      <c r="D4294" s="17">
        <v>42002</v>
      </c>
      <c r="E4294" t="s">
        <v>588</v>
      </c>
    </row>
    <row r="4295" spans="3:5">
      <c r="C4295">
        <v>38.975999999999999</v>
      </c>
      <c r="D4295" s="17">
        <v>42190</v>
      </c>
      <c r="E4295" t="s">
        <v>422</v>
      </c>
    </row>
    <row r="4296" spans="3:5">
      <c r="C4296">
        <v>38.975999999999999</v>
      </c>
      <c r="D4296" s="17">
        <v>42684</v>
      </c>
      <c r="E4296" t="s">
        <v>422</v>
      </c>
    </row>
    <row r="4297" spans="3:5">
      <c r="C4297">
        <v>39</v>
      </c>
      <c r="D4297" s="17">
        <v>42343</v>
      </c>
      <c r="E4297" t="s">
        <v>426</v>
      </c>
    </row>
    <row r="4298" spans="3:5">
      <c r="C4298">
        <v>39</v>
      </c>
      <c r="D4298" s="17">
        <v>42694</v>
      </c>
      <c r="E4298" t="s">
        <v>792</v>
      </c>
    </row>
    <row r="4299" spans="3:5">
      <c r="C4299">
        <v>39.072000000000003</v>
      </c>
      <c r="D4299" s="17">
        <v>41745</v>
      </c>
      <c r="E4299" t="s">
        <v>1197</v>
      </c>
    </row>
    <row r="4300" spans="3:5">
      <c r="C4300">
        <v>39.072000000000003</v>
      </c>
      <c r="D4300" s="17">
        <v>41981</v>
      </c>
      <c r="E4300" t="s">
        <v>464</v>
      </c>
    </row>
    <row r="4301" spans="3:5">
      <c r="C4301">
        <v>39.072000000000003</v>
      </c>
      <c r="D4301" s="17">
        <v>43010</v>
      </c>
      <c r="E4301" t="s">
        <v>1289</v>
      </c>
    </row>
    <row r="4302" spans="3:5">
      <c r="C4302">
        <v>39.08</v>
      </c>
      <c r="D4302" s="17">
        <v>42933</v>
      </c>
      <c r="E4302" t="s">
        <v>974</v>
      </c>
    </row>
    <row r="4303" spans="3:5">
      <c r="C4303">
        <v>39.128</v>
      </c>
      <c r="D4303" s="17">
        <v>42003</v>
      </c>
      <c r="E4303" t="s">
        <v>948</v>
      </c>
    </row>
    <row r="4304" spans="3:5">
      <c r="C4304">
        <v>39.152000000000001</v>
      </c>
      <c r="D4304" s="17">
        <v>42657</v>
      </c>
      <c r="E4304" t="s">
        <v>199</v>
      </c>
    </row>
    <row r="4305" spans="3:5">
      <c r="C4305">
        <v>39.264000000000003</v>
      </c>
      <c r="D4305" s="17">
        <v>43083</v>
      </c>
      <c r="E4305" t="s">
        <v>328</v>
      </c>
    </row>
    <row r="4306" spans="3:5">
      <c r="C4306">
        <v>39.28</v>
      </c>
      <c r="D4306" s="17">
        <v>42851</v>
      </c>
      <c r="E4306" t="s">
        <v>599</v>
      </c>
    </row>
    <row r="4307" spans="3:5">
      <c r="C4307">
        <v>39.295999999999999</v>
      </c>
      <c r="D4307" s="17">
        <v>43060</v>
      </c>
      <c r="E4307" t="s">
        <v>1451</v>
      </c>
    </row>
    <row r="4308" spans="3:5">
      <c r="C4308">
        <v>39.311999999999998</v>
      </c>
      <c r="D4308" s="17">
        <v>43094</v>
      </c>
      <c r="E4308" t="s">
        <v>74</v>
      </c>
    </row>
    <row r="4309" spans="3:5">
      <c r="C4309">
        <v>39.479999999999997</v>
      </c>
      <c r="D4309" s="17">
        <v>41834</v>
      </c>
      <c r="E4309" t="s">
        <v>1677</v>
      </c>
    </row>
    <row r="4310" spans="3:5">
      <c r="C4310">
        <v>39.552000000000007</v>
      </c>
      <c r="D4310" s="17">
        <v>41806</v>
      </c>
      <c r="E4310" t="s">
        <v>879</v>
      </c>
    </row>
    <row r="4311" spans="3:5">
      <c r="C4311">
        <v>39.581999999999987</v>
      </c>
      <c r="D4311" s="17">
        <v>43094</v>
      </c>
      <c r="E4311" t="s">
        <v>626</v>
      </c>
    </row>
    <row r="4312" spans="3:5">
      <c r="C4312">
        <v>39.593999999999994</v>
      </c>
      <c r="D4312" s="17">
        <v>42929</v>
      </c>
      <c r="E4312" t="s">
        <v>955</v>
      </c>
    </row>
    <row r="4313" spans="3:5">
      <c r="C4313">
        <v>39.624000000000009</v>
      </c>
      <c r="D4313" s="17">
        <v>42623</v>
      </c>
      <c r="E4313" t="s">
        <v>1332</v>
      </c>
    </row>
    <row r="4314" spans="3:5">
      <c r="C4314">
        <v>39.624000000000009</v>
      </c>
      <c r="D4314" s="17">
        <v>43027</v>
      </c>
      <c r="E4314" t="s">
        <v>1332</v>
      </c>
    </row>
    <row r="4315" spans="3:5">
      <c r="C4315">
        <v>39.659999999999997</v>
      </c>
      <c r="D4315" s="17">
        <v>42224</v>
      </c>
      <c r="E4315" t="s">
        <v>439</v>
      </c>
    </row>
    <row r="4316" spans="3:5">
      <c r="C4316">
        <v>39.68</v>
      </c>
      <c r="D4316" s="17">
        <v>41741</v>
      </c>
      <c r="E4316" t="s">
        <v>949</v>
      </c>
    </row>
    <row r="4317" spans="3:5">
      <c r="C4317">
        <v>39.68</v>
      </c>
      <c r="D4317" s="17">
        <v>42397</v>
      </c>
      <c r="E4317" t="s">
        <v>327</v>
      </c>
    </row>
    <row r="4318" spans="3:5">
      <c r="C4318">
        <v>39.68</v>
      </c>
      <c r="D4318" s="17">
        <v>42446</v>
      </c>
      <c r="E4318" t="s">
        <v>327</v>
      </c>
    </row>
    <row r="4319" spans="3:5">
      <c r="C4319">
        <v>39.68</v>
      </c>
      <c r="D4319" s="17">
        <v>42679</v>
      </c>
      <c r="E4319" t="s">
        <v>949</v>
      </c>
    </row>
    <row r="4320" spans="3:5">
      <c r="C4320">
        <v>39.72</v>
      </c>
      <c r="D4320" s="17">
        <v>42694</v>
      </c>
      <c r="E4320" t="s">
        <v>1509</v>
      </c>
    </row>
    <row r="4321" spans="3:5">
      <c r="C4321">
        <v>39.76</v>
      </c>
      <c r="D4321" s="17">
        <v>42509</v>
      </c>
      <c r="E4321" t="s">
        <v>182</v>
      </c>
    </row>
    <row r="4322" spans="3:5">
      <c r="C4322">
        <v>39.76</v>
      </c>
      <c r="D4322" s="17">
        <v>42728</v>
      </c>
      <c r="E4322" t="s">
        <v>79</v>
      </c>
    </row>
    <row r="4323" spans="3:5">
      <c r="C4323">
        <v>39.808</v>
      </c>
      <c r="D4323" s="17">
        <v>42701</v>
      </c>
      <c r="E4323" t="s">
        <v>1314</v>
      </c>
    </row>
    <row r="4324" spans="3:5">
      <c r="C4324">
        <v>39.816000000000003</v>
      </c>
      <c r="D4324" s="17">
        <v>42950</v>
      </c>
      <c r="E4324" t="s">
        <v>64</v>
      </c>
    </row>
    <row r="4325" spans="3:5">
      <c r="C4325">
        <v>39.840000000000003</v>
      </c>
      <c r="D4325" s="17">
        <v>41953</v>
      </c>
      <c r="E4325" t="s">
        <v>1580</v>
      </c>
    </row>
    <row r="4326" spans="3:5">
      <c r="C4326">
        <v>39.872000000000007</v>
      </c>
      <c r="D4326" s="17">
        <v>42624</v>
      </c>
      <c r="E4326" t="s">
        <v>1105</v>
      </c>
    </row>
    <row r="4327" spans="3:5">
      <c r="C4327">
        <v>39.878999999999998</v>
      </c>
      <c r="D4327" s="17">
        <v>42316</v>
      </c>
      <c r="E4327" t="s">
        <v>709</v>
      </c>
    </row>
    <row r="4328" spans="3:5">
      <c r="C4328">
        <v>39.880000000000003</v>
      </c>
      <c r="D4328" s="17">
        <v>41953</v>
      </c>
      <c r="E4328" t="s">
        <v>604</v>
      </c>
    </row>
    <row r="4329" spans="3:5">
      <c r="C4329">
        <v>39.880000000000003</v>
      </c>
      <c r="D4329" s="17">
        <v>41981</v>
      </c>
      <c r="E4329" t="s">
        <v>604</v>
      </c>
    </row>
    <row r="4330" spans="3:5">
      <c r="C4330">
        <v>39.880000000000003</v>
      </c>
      <c r="D4330" s="17">
        <v>42696</v>
      </c>
      <c r="E4330" t="s">
        <v>604</v>
      </c>
    </row>
    <row r="4331" spans="3:5">
      <c r="C4331">
        <v>39.89</v>
      </c>
      <c r="D4331" s="17">
        <v>42887</v>
      </c>
      <c r="E4331" t="s">
        <v>520</v>
      </c>
    </row>
    <row r="4332" spans="3:5">
      <c r="C4332">
        <v>39.900000000000006</v>
      </c>
      <c r="D4332" s="17">
        <v>42008</v>
      </c>
      <c r="E4332" t="s">
        <v>772</v>
      </c>
    </row>
    <row r="4333" spans="3:5">
      <c r="C4333">
        <v>39.900000000000006</v>
      </c>
      <c r="D4333" s="17">
        <v>42990</v>
      </c>
      <c r="E4333" t="s">
        <v>772</v>
      </c>
    </row>
    <row r="4334" spans="3:5">
      <c r="C4334">
        <v>39.900000000000006</v>
      </c>
      <c r="D4334" s="17">
        <v>43003</v>
      </c>
      <c r="E4334" t="s">
        <v>430</v>
      </c>
    </row>
    <row r="4335" spans="3:5">
      <c r="C4335">
        <v>39.92</v>
      </c>
      <c r="D4335" s="17">
        <v>42195</v>
      </c>
      <c r="E4335" t="s">
        <v>1322</v>
      </c>
    </row>
    <row r="4336" spans="3:5">
      <c r="C4336">
        <v>39.92</v>
      </c>
      <c r="D4336" s="17">
        <v>42456</v>
      </c>
      <c r="E4336" t="s">
        <v>1578</v>
      </c>
    </row>
    <row r="4337" spans="3:5">
      <c r="C4337">
        <v>39.92</v>
      </c>
      <c r="D4337" s="17">
        <v>42665</v>
      </c>
      <c r="E4337" t="s">
        <v>1578</v>
      </c>
    </row>
    <row r="4338" spans="3:5">
      <c r="C4338">
        <v>39.92</v>
      </c>
      <c r="D4338" s="17">
        <v>42722</v>
      </c>
      <c r="E4338" t="s">
        <v>1578</v>
      </c>
    </row>
    <row r="4339" spans="3:5">
      <c r="C4339">
        <v>39.92</v>
      </c>
      <c r="D4339" s="17">
        <v>43013</v>
      </c>
      <c r="E4339" t="s">
        <v>706</v>
      </c>
    </row>
    <row r="4340" spans="3:5">
      <c r="C4340">
        <v>39.936000000000007</v>
      </c>
      <c r="D4340" s="17">
        <v>42535</v>
      </c>
      <c r="E4340" t="s">
        <v>683</v>
      </c>
    </row>
    <row r="4341" spans="3:5">
      <c r="C4341">
        <v>39.96</v>
      </c>
      <c r="D4341" s="17">
        <v>41769</v>
      </c>
      <c r="E4341" t="s">
        <v>973</v>
      </c>
    </row>
    <row r="4342" spans="3:5">
      <c r="C4342">
        <v>39.96</v>
      </c>
      <c r="D4342" s="17">
        <v>41789</v>
      </c>
      <c r="E4342" t="s">
        <v>532</v>
      </c>
    </row>
    <row r="4343" spans="3:5">
      <c r="C4343">
        <v>39.96</v>
      </c>
      <c r="D4343" s="17">
        <v>41854</v>
      </c>
      <c r="E4343" t="s">
        <v>1333</v>
      </c>
    </row>
    <row r="4344" spans="3:5">
      <c r="C4344">
        <v>39.96</v>
      </c>
      <c r="D4344" s="17">
        <v>42323</v>
      </c>
      <c r="E4344" t="s">
        <v>118</v>
      </c>
    </row>
    <row r="4345" spans="3:5">
      <c r="C4345">
        <v>39.96</v>
      </c>
      <c r="D4345" s="17">
        <v>42342</v>
      </c>
      <c r="E4345" t="s">
        <v>1438</v>
      </c>
    </row>
    <row r="4346" spans="3:5">
      <c r="C4346">
        <v>39.96</v>
      </c>
      <c r="D4346" s="17">
        <v>42837</v>
      </c>
      <c r="E4346" t="s">
        <v>532</v>
      </c>
    </row>
    <row r="4347" spans="3:5">
      <c r="C4347">
        <v>39.96</v>
      </c>
      <c r="D4347" s="17">
        <v>42870</v>
      </c>
      <c r="E4347" t="s">
        <v>700</v>
      </c>
    </row>
    <row r="4348" spans="3:5">
      <c r="C4348">
        <v>39.96</v>
      </c>
      <c r="D4348" s="17">
        <v>42985</v>
      </c>
      <c r="E4348" t="s">
        <v>121</v>
      </c>
    </row>
    <row r="4349" spans="3:5">
      <c r="C4349">
        <v>39.96</v>
      </c>
      <c r="D4349" s="17">
        <v>43028</v>
      </c>
      <c r="E4349" t="s">
        <v>1333</v>
      </c>
    </row>
    <row r="4350" spans="3:5">
      <c r="C4350">
        <v>39.960000000000008</v>
      </c>
      <c r="D4350" s="17">
        <v>41975</v>
      </c>
      <c r="E4350" t="s">
        <v>118</v>
      </c>
    </row>
    <row r="4351" spans="3:5">
      <c r="C4351">
        <v>39.960000000000008</v>
      </c>
      <c r="D4351" s="17">
        <v>42479</v>
      </c>
      <c r="E4351" t="s">
        <v>352</v>
      </c>
    </row>
    <row r="4352" spans="3:5">
      <c r="C4352">
        <v>39.960000000000008</v>
      </c>
      <c r="D4352" s="17">
        <v>43064</v>
      </c>
      <c r="E4352" t="s">
        <v>691</v>
      </c>
    </row>
    <row r="4353" spans="3:5">
      <c r="C4353">
        <v>39.979999999999997</v>
      </c>
      <c r="D4353" s="17">
        <v>42271</v>
      </c>
      <c r="E4353" t="s">
        <v>1465</v>
      </c>
    </row>
    <row r="4354" spans="3:5">
      <c r="C4354">
        <v>39.979999999999997</v>
      </c>
      <c r="D4354" s="17">
        <v>42421</v>
      </c>
      <c r="E4354" t="s">
        <v>1426</v>
      </c>
    </row>
    <row r="4355" spans="3:5">
      <c r="C4355">
        <v>39.979999999999997</v>
      </c>
      <c r="D4355" s="17">
        <v>42615</v>
      </c>
      <c r="E4355" t="s">
        <v>669</v>
      </c>
    </row>
    <row r="4356" spans="3:5">
      <c r="C4356">
        <v>39.979999999999997</v>
      </c>
      <c r="D4356" s="17">
        <v>42924</v>
      </c>
      <c r="E4356" t="s">
        <v>945</v>
      </c>
    </row>
    <row r="4357" spans="3:5">
      <c r="C4357">
        <v>39.979999999999997</v>
      </c>
      <c r="D4357" s="17">
        <v>43080</v>
      </c>
      <c r="E4357" t="s">
        <v>576</v>
      </c>
    </row>
    <row r="4358" spans="3:5">
      <c r="C4358">
        <v>39.984000000000002</v>
      </c>
      <c r="D4358" s="17">
        <v>43001</v>
      </c>
      <c r="E4358" t="s">
        <v>1254</v>
      </c>
    </row>
    <row r="4359" spans="3:5">
      <c r="C4359">
        <v>39.984000000000002</v>
      </c>
      <c r="D4359" s="17">
        <v>43020</v>
      </c>
      <c r="E4359" t="s">
        <v>559</v>
      </c>
    </row>
    <row r="4360" spans="3:5">
      <c r="C4360">
        <v>39.99</v>
      </c>
      <c r="D4360" s="17">
        <v>42600</v>
      </c>
      <c r="E4360" t="s">
        <v>1039</v>
      </c>
    </row>
    <row r="4361" spans="3:5">
      <c r="C4361">
        <v>39.99</v>
      </c>
      <c r="D4361" s="17">
        <v>42993</v>
      </c>
      <c r="E4361" t="s">
        <v>1039</v>
      </c>
    </row>
    <row r="4362" spans="3:5">
      <c r="C4362">
        <v>39.992000000000004</v>
      </c>
      <c r="D4362" s="17">
        <v>42439</v>
      </c>
      <c r="E4362" t="s">
        <v>173</v>
      </c>
    </row>
    <row r="4363" spans="3:5">
      <c r="C4363">
        <v>39.992000000000004</v>
      </c>
      <c r="D4363" s="17">
        <v>42821</v>
      </c>
      <c r="E4363" t="s">
        <v>455</v>
      </c>
    </row>
    <row r="4364" spans="3:5">
      <c r="C4364">
        <v>39.992000000000004</v>
      </c>
      <c r="D4364" s="17">
        <v>43071</v>
      </c>
      <c r="E4364" t="s">
        <v>1383</v>
      </c>
    </row>
    <row r="4365" spans="3:5">
      <c r="C4365">
        <v>40</v>
      </c>
      <c r="D4365" s="17">
        <v>42731</v>
      </c>
      <c r="E4365" t="s">
        <v>941</v>
      </c>
    </row>
    <row r="4366" spans="3:5">
      <c r="C4366">
        <v>40.032000000000004</v>
      </c>
      <c r="D4366" s="17">
        <v>42089</v>
      </c>
      <c r="E4366" t="s">
        <v>1086</v>
      </c>
    </row>
    <row r="4367" spans="3:5">
      <c r="C4367">
        <v>40.032000000000004</v>
      </c>
      <c r="D4367" s="17">
        <v>42896</v>
      </c>
      <c r="E4367" t="s">
        <v>819</v>
      </c>
    </row>
    <row r="4368" spans="3:5">
      <c r="C4368">
        <v>40.049999999999997</v>
      </c>
      <c r="D4368" s="17">
        <v>41990</v>
      </c>
      <c r="E4368" t="s">
        <v>1804</v>
      </c>
    </row>
    <row r="4369" spans="3:5">
      <c r="C4369">
        <v>40.08</v>
      </c>
      <c r="D4369" s="17">
        <v>41662</v>
      </c>
      <c r="E4369" t="s">
        <v>77</v>
      </c>
    </row>
    <row r="4370" spans="3:5">
      <c r="C4370">
        <v>40.08</v>
      </c>
      <c r="D4370" s="17">
        <v>42335</v>
      </c>
      <c r="E4370" t="s">
        <v>462</v>
      </c>
    </row>
    <row r="4371" spans="3:5">
      <c r="C4371">
        <v>40.08</v>
      </c>
      <c r="D4371" s="17">
        <v>42747</v>
      </c>
      <c r="E4371" t="s">
        <v>77</v>
      </c>
    </row>
    <row r="4372" spans="3:5">
      <c r="C4372">
        <v>40.096000000000004</v>
      </c>
      <c r="D4372" s="17">
        <v>41876</v>
      </c>
      <c r="E4372" t="s">
        <v>1211</v>
      </c>
    </row>
    <row r="4373" spans="3:5">
      <c r="C4373">
        <v>40.096000000000004</v>
      </c>
      <c r="D4373" s="17">
        <v>42044</v>
      </c>
      <c r="E4373" t="s">
        <v>1466</v>
      </c>
    </row>
    <row r="4374" spans="3:5">
      <c r="C4374">
        <v>40.14</v>
      </c>
      <c r="D4374" s="17">
        <v>42082</v>
      </c>
      <c r="E4374" t="s">
        <v>929</v>
      </c>
    </row>
    <row r="4375" spans="3:5">
      <c r="C4375">
        <v>40.176000000000002</v>
      </c>
      <c r="D4375" s="17">
        <v>41762</v>
      </c>
      <c r="E4375" t="s">
        <v>1021</v>
      </c>
    </row>
    <row r="4376" spans="3:5">
      <c r="C4376">
        <v>40.176000000000002</v>
      </c>
      <c r="D4376" s="17">
        <v>43000</v>
      </c>
      <c r="E4376" t="s">
        <v>1021</v>
      </c>
    </row>
    <row r="4377" spans="3:5">
      <c r="C4377">
        <v>40.199999999999996</v>
      </c>
      <c r="D4377" s="17">
        <v>41734</v>
      </c>
      <c r="E4377" t="s">
        <v>761</v>
      </c>
    </row>
    <row r="4378" spans="3:5">
      <c r="C4378">
        <v>40.199999999999996</v>
      </c>
      <c r="D4378" s="17">
        <v>43080</v>
      </c>
      <c r="E4378" t="s">
        <v>761</v>
      </c>
    </row>
    <row r="4379" spans="3:5">
      <c r="C4379">
        <v>40.200000000000003</v>
      </c>
      <c r="D4379" s="17">
        <v>42670</v>
      </c>
      <c r="E4379" t="s">
        <v>1599</v>
      </c>
    </row>
    <row r="4380" spans="3:5">
      <c r="C4380">
        <v>40.24</v>
      </c>
      <c r="D4380" s="17">
        <v>41899</v>
      </c>
      <c r="E4380" t="s">
        <v>978</v>
      </c>
    </row>
    <row r="4381" spans="3:5">
      <c r="C4381">
        <v>40.256</v>
      </c>
      <c r="D4381" s="17">
        <v>42170</v>
      </c>
      <c r="E4381" t="s">
        <v>872</v>
      </c>
    </row>
    <row r="4382" spans="3:5">
      <c r="C4382">
        <v>40.29</v>
      </c>
      <c r="D4382" s="17">
        <v>42967</v>
      </c>
      <c r="E4382" t="s">
        <v>381</v>
      </c>
    </row>
    <row r="4383" spans="3:5">
      <c r="C4383">
        <v>40.29</v>
      </c>
      <c r="D4383" s="17">
        <v>43002</v>
      </c>
      <c r="E4383" t="s">
        <v>1257</v>
      </c>
    </row>
    <row r="4384" spans="3:5">
      <c r="C4384">
        <v>40.299999999999997</v>
      </c>
      <c r="D4384" s="17">
        <v>42765</v>
      </c>
      <c r="E4384" t="s">
        <v>186</v>
      </c>
    </row>
    <row r="4385" spans="3:5">
      <c r="C4385">
        <v>40.410000000000004</v>
      </c>
      <c r="D4385" s="17">
        <v>42806</v>
      </c>
      <c r="E4385" t="s">
        <v>353</v>
      </c>
    </row>
    <row r="4386" spans="3:5">
      <c r="C4386">
        <v>40.44</v>
      </c>
      <c r="D4386" s="17">
        <v>42688</v>
      </c>
      <c r="E4386" t="s">
        <v>95</v>
      </c>
    </row>
    <row r="4387" spans="3:5">
      <c r="C4387">
        <v>40.46</v>
      </c>
      <c r="D4387" s="17">
        <v>42695</v>
      </c>
      <c r="E4387" t="s">
        <v>1193</v>
      </c>
    </row>
    <row r="4388" spans="3:5">
      <c r="C4388">
        <v>40.46</v>
      </c>
      <c r="D4388" s="17">
        <v>42706</v>
      </c>
      <c r="E4388" t="s">
        <v>226</v>
      </c>
    </row>
    <row r="4389" spans="3:5">
      <c r="C4389">
        <v>40.479999999999997</v>
      </c>
      <c r="D4389" s="17">
        <v>41722</v>
      </c>
      <c r="E4389" t="s">
        <v>1635</v>
      </c>
    </row>
    <row r="4390" spans="3:5">
      <c r="C4390">
        <v>40.479999999999997</v>
      </c>
      <c r="D4390" s="17">
        <v>42625</v>
      </c>
      <c r="E4390" t="s">
        <v>1635</v>
      </c>
    </row>
    <row r="4391" spans="3:5">
      <c r="C4391">
        <v>40.479999999999997</v>
      </c>
      <c r="D4391" s="17">
        <v>42965</v>
      </c>
      <c r="E4391" t="s">
        <v>1064</v>
      </c>
    </row>
    <row r="4392" spans="3:5">
      <c r="C4392">
        <v>40.479999999999997</v>
      </c>
      <c r="D4392" s="17">
        <v>43020</v>
      </c>
      <c r="E4392" t="s">
        <v>1154</v>
      </c>
    </row>
    <row r="4393" spans="3:5">
      <c r="C4393">
        <v>40.54</v>
      </c>
      <c r="D4393" s="17">
        <v>41969</v>
      </c>
      <c r="E4393" t="s">
        <v>659</v>
      </c>
    </row>
    <row r="4394" spans="3:5">
      <c r="C4394">
        <v>40.56</v>
      </c>
      <c r="D4394" s="17">
        <v>41894</v>
      </c>
      <c r="E4394" t="s">
        <v>1831</v>
      </c>
    </row>
    <row r="4395" spans="3:5">
      <c r="C4395">
        <v>40.56</v>
      </c>
      <c r="D4395" s="17">
        <v>42708</v>
      </c>
      <c r="E4395" t="s">
        <v>296</v>
      </c>
    </row>
    <row r="4396" spans="3:5">
      <c r="C4396">
        <v>40.635000000000012</v>
      </c>
      <c r="D4396" s="17">
        <v>42510</v>
      </c>
      <c r="E4396" t="s">
        <v>204</v>
      </c>
    </row>
    <row r="4397" spans="3:5">
      <c r="C4397">
        <v>40.669999999999995</v>
      </c>
      <c r="D4397" s="17">
        <v>42670</v>
      </c>
      <c r="E4397" t="s">
        <v>1471</v>
      </c>
    </row>
    <row r="4398" spans="3:5">
      <c r="C4398">
        <v>40.68</v>
      </c>
      <c r="D4398" s="17">
        <v>41904</v>
      </c>
      <c r="E4398" t="s">
        <v>72</v>
      </c>
    </row>
    <row r="4399" spans="3:5">
      <c r="C4399">
        <v>40.68</v>
      </c>
      <c r="D4399" s="17">
        <v>41988</v>
      </c>
      <c r="E4399" t="s">
        <v>97</v>
      </c>
    </row>
    <row r="4400" spans="3:5">
      <c r="C4400">
        <v>40.68</v>
      </c>
      <c r="D4400" s="17">
        <v>42713</v>
      </c>
      <c r="E4400" t="s">
        <v>97</v>
      </c>
    </row>
    <row r="4401" spans="3:5">
      <c r="C4401">
        <v>40.68</v>
      </c>
      <c r="D4401" s="17">
        <v>42980</v>
      </c>
      <c r="E4401" t="s">
        <v>528</v>
      </c>
    </row>
    <row r="4402" spans="3:5">
      <c r="C4402">
        <v>40.68</v>
      </c>
      <c r="D4402" s="17">
        <v>43016</v>
      </c>
      <c r="E4402" t="s">
        <v>72</v>
      </c>
    </row>
    <row r="4403" spans="3:5">
      <c r="C4403">
        <v>40.700000000000003</v>
      </c>
      <c r="D4403" s="17">
        <v>41843</v>
      </c>
      <c r="E4403" t="s">
        <v>1289</v>
      </c>
    </row>
    <row r="4404" spans="3:5">
      <c r="C4404">
        <v>40.700000000000003</v>
      </c>
      <c r="D4404" s="17">
        <v>42705</v>
      </c>
      <c r="E4404" t="s">
        <v>1289</v>
      </c>
    </row>
    <row r="4405" spans="3:5">
      <c r="C4405">
        <v>40.711999999999996</v>
      </c>
      <c r="D4405" s="17">
        <v>41950</v>
      </c>
      <c r="E4405" t="s">
        <v>1108</v>
      </c>
    </row>
    <row r="4406" spans="3:5">
      <c r="C4406">
        <v>40.736000000000004</v>
      </c>
      <c r="D4406" s="17">
        <v>43060</v>
      </c>
      <c r="E4406" t="s">
        <v>457</v>
      </c>
    </row>
    <row r="4407" spans="3:5">
      <c r="C4407">
        <v>40.74</v>
      </c>
      <c r="D4407" s="17">
        <v>42106</v>
      </c>
      <c r="E4407" t="s">
        <v>1143</v>
      </c>
    </row>
    <row r="4408" spans="3:5">
      <c r="C4408">
        <v>40.74</v>
      </c>
      <c r="D4408" s="17">
        <v>42538</v>
      </c>
      <c r="E4408" t="s">
        <v>1143</v>
      </c>
    </row>
    <row r="4409" spans="3:5">
      <c r="C4409">
        <v>40.74</v>
      </c>
      <c r="D4409" s="17">
        <v>42626</v>
      </c>
      <c r="E4409" t="s">
        <v>1143</v>
      </c>
    </row>
    <row r="4410" spans="3:5">
      <c r="C4410">
        <v>40.74</v>
      </c>
      <c r="D4410" s="17">
        <v>42672</v>
      </c>
      <c r="E4410" t="s">
        <v>1143</v>
      </c>
    </row>
    <row r="4411" spans="3:5">
      <c r="C4411">
        <v>40.74</v>
      </c>
      <c r="D4411" s="17">
        <v>42841</v>
      </c>
      <c r="E4411" t="s">
        <v>61</v>
      </c>
    </row>
    <row r="4412" spans="3:5">
      <c r="C4412">
        <v>40.752000000000002</v>
      </c>
      <c r="D4412" s="17">
        <v>42698</v>
      </c>
      <c r="E4412" t="s">
        <v>496</v>
      </c>
    </row>
    <row r="4413" spans="3:5">
      <c r="C4413">
        <v>40.775999999999996</v>
      </c>
      <c r="D4413" s="17">
        <v>41937</v>
      </c>
      <c r="E4413" t="s">
        <v>871</v>
      </c>
    </row>
    <row r="4414" spans="3:5">
      <c r="C4414">
        <v>40.775999999999996</v>
      </c>
      <c r="D4414" s="17">
        <v>42635</v>
      </c>
      <c r="E4414" t="s">
        <v>993</v>
      </c>
    </row>
    <row r="4415" spans="3:5">
      <c r="C4415">
        <v>40.775999999999996</v>
      </c>
      <c r="D4415" s="17">
        <v>43042</v>
      </c>
      <c r="E4415" t="s">
        <v>871</v>
      </c>
    </row>
    <row r="4416" spans="3:5">
      <c r="C4416">
        <v>40.783999999999999</v>
      </c>
      <c r="D4416" s="17">
        <v>42044</v>
      </c>
      <c r="E4416" t="s">
        <v>1848</v>
      </c>
    </row>
    <row r="4417" spans="3:5">
      <c r="C4417">
        <v>40.783999999999999</v>
      </c>
      <c r="D4417" s="17">
        <v>42241</v>
      </c>
      <c r="E4417" t="s">
        <v>971</v>
      </c>
    </row>
    <row r="4418" spans="3:5">
      <c r="C4418">
        <v>40.879999999999995</v>
      </c>
      <c r="D4418" s="17">
        <v>42642</v>
      </c>
      <c r="E4418" t="s">
        <v>904</v>
      </c>
    </row>
    <row r="4419" spans="3:5">
      <c r="C4419">
        <v>40.92</v>
      </c>
      <c r="D4419" s="17">
        <v>42325</v>
      </c>
      <c r="E4419" t="s">
        <v>907</v>
      </c>
    </row>
    <row r="4420" spans="3:5">
      <c r="C4420">
        <v>40.968000000000004</v>
      </c>
      <c r="D4420" s="17">
        <v>42693</v>
      </c>
      <c r="E4420" t="s">
        <v>1631</v>
      </c>
    </row>
    <row r="4421" spans="3:5">
      <c r="C4421">
        <v>40.97</v>
      </c>
      <c r="D4421" s="17">
        <v>41862</v>
      </c>
      <c r="E4421" t="s">
        <v>1484</v>
      </c>
    </row>
    <row r="4422" spans="3:5">
      <c r="C4422">
        <v>40.97999999999999</v>
      </c>
      <c r="D4422" s="17">
        <v>43094</v>
      </c>
      <c r="E4422" t="s">
        <v>107</v>
      </c>
    </row>
    <row r="4423" spans="3:5">
      <c r="C4423">
        <v>40.99</v>
      </c>
      <c r="D4423" s="17">
        <v>42472</v>
      </c>
      <c r="E4423" t="s">
        <v>720</v>
      </c>
    </row>
    <row r="4424" spans="3:5">
      <c r="C4424">
        <v>40.99</v>
      </c>
      <c r="D4424" s="17">
        <v>43014</v>
      </c>
      <c r="E4424" t="s">
        <v>210</v>
      </c>
    </row>
    <row r="4425" spans="3:5">
      <c r="C4425">
        <v>40.99</v>
      </c>
      <c r="D4425" s="17">
        <v>43040</v>
      </c>
      <c r="E4425" t="s">
        <v>210</v>
      </c>
    </row>
    <row r="4426" spans="3:5">
      <c r="C4426">
        <v>41.04</v>
      </c>
      <c r="D4426" s="17">
        <v>41769</v>
      </c>
      <c r="E4426" t="s">
        <v>1682</v>
      </c>
    </row>
    <row r="4427" spans="3:5">
      <c r="C4427">
        <v>41.22</v>
      </c>
      <c r="D4427" s="17">
        <v>42829</v>
      </c>
      <c r="E4427" t="s">
        <v>453</v>
      </c>
    </row>
    <row r="4428" spans="3:5">
      <c r="C4428">
        <v>41.240000000000009</v>
      </c>
      <c r="D4428" s="17">
        <v>42442</v>
      </c>
      <c r="E4428" t="s">
        <v>1275</v>
      </c>
    </row>
    <row r="4429" spans="3:5">
      <c r="C4429">
        <v>41.256000000000007</v>
      </c>
      <c r="D4429" s="17">
        <v>42907</v>
      </c>
      <c r="E4429" t="s">
        <v>878</v>
      </c>
    </row>
    <row r="4430" spans="3:5">
      <c r="C4430">
        <v>41.28</v>
      </c>
      <c r="D4430" s="17">
        <v>42348</v>
      </c>
      <c r="E4430" t="s">
        <v>623</v>
      </c>
    </row>
    <row r="4431" spans="3:5">
      <c r="C4431">
        <v>41.28</v>
      </c>
      <c r="D4431" s="17">
        <v>42875</v>
      </c>
      <c r="E4431" t="s">
        <v>738</v>
      </c>
    </row>
    <row r="4432" spans="3:5">
      <c r="C4432">
        <v>41.28</v>
      </c>
      <c r="D4432" s="17">
        <v>43058</v>
      </c>
      <c r="E4432" t="s">
        <v>984</v>
      </c>
    </row>
    <row r="4433" spans="3:5">
      <c r="C4433">
        <v>41.328000000000003</v>
      </c>
      <c r="D4433" s="17">
        <v>42458</v>
      </c>
      <c r="E4433" t="s">
        <v>1526</v>
      </c>
    </row>
    <row r="4434" spans="3:5">
      <c r="C4434">
        <v>41.36</v>
      </c>
      <c r="D4434" s="17">
        <v>42244</v>
      </c>
      <c r="E4434" t="s">
        <v>1502</v>
      </c>
    </row>
    <row r="4435" spans="3:5">
      <c r="C4435">
        <v>41.37</v>
      </c>
      <c r="D4435" s="17">
        <v>42516</v>
      </c>
      <c r="E4435" t="s">
        <v>1370</v>
      </c>
    </row>
    <row r="4436" spans="3:5">
      <c r="C4436">
        <v>41.37</v>
      </c>
      <c r="D4436" s="17">
        <v>43042</v>
      </c>
      <c r="E4436" t="s">
        <v>1370</v>
      </c>
    </row>
    <row r="4437" spans="3:5">
      <c r="C4437">
        <v>41.375999999999998</v>
      </c>
      <c r="D4437" s="17">
        <v>41908</v>
      </c>
      <c r="E4437" t="s">
        <v>158</v>
      </c>
    </row>
    <row r="4438" spans="3:5">
      <c r="C4438">
        <v>41.375999999999998</v>
      </c>
      <c r="D4438" s="17">
        <v>42125</v>
      </c>
      <c r="E4438" t="s">
        <v>1227</v>
      </c>
    </row>
    <row r="4439" spans="3:5">
      <c r="C4439">
        <v>41.4</v>
      </c>
      <c r="D4439" s="17">
        <v>41806</v>
      </c>
      <c r="E4439" t="s">
        <v>79</v>
      </c>
    </row>
    <row r="4440" spans="3:5">
      <c r="C4440">
        <v>41.4</v>
      </c>
      <c r="D4440" s="17">
        <v>41971</v>
      </c>
      <c r="E4440" t="s">
        <v>1315</v>
      </c>
    </row>
    <row r="4441" spans="3:5">
      <c r="C4441">
        <v>41.4</v>
      </c>
      <c r="D4441" s="17">
        <v>42226</v>
      </c>
      <c r="E4441" t="s">
        <v>1315</v>
      </c>
    </row>
    <row r="4442" spans="3:5">
      <c r="C4442">
        <v>41.4</v>
      </c>
      <c r="D4442" s="17">
        <v>42939</v>
      </c>
      <c r="E4442" t="s">
        <v>332</v>
      </c>
    </row>
    <row r="4443" spans="3:5">
      <c r="C4443">
        <v>41.4</v>
      </c>
      <c r="D4443" s="17">
        <v>43045</v>
      </c>
      <c r="E4443" t="s">
        <v>1387</v>
      </c>
    </row>
    <row r="4444" spans="3:5">
      <c r="C4444">
        <v>41.424000000000007</v>
      </c>
      <c r="D4444" s="17">
        <v>42112</v>
      </c>
      <c r="E4444" t="s">
        <v>581</v>
      </c>
    </row>
    <row r="4445" spans="3:5">
      <c r="C4445">
        <v>41.424000000000007</v>
      </c>
      <c r="D4445" s="17">
        <v>42947</v>
      </c>
      <c r="E4445" t="s">
        <v>581</v>
      </c>
    </row>
    <row r="4446" spans="3:5">
      <c r="C4446">
        <v>41.472000000000008</v>
      </c>
      <c r="D4446" s="17">
        <v>41818</v>
      </c>
      <c r="E4446" t="s">
        <v>1504</v>
      </c>
    </row>
    <row r="4447" spans="3:5">
      <c r="C4447">
        <v>41.472000000000008</v>
      </c>
      <c r="D4447" s="17">
        <v>42553</v>
      </c>
      <c r="E4447" t="s">
        <v>756</v>
      </c>
    </row>
    <row r="4448" spans="3:5">
      <c r="C4448">
        <v>41.472000000000008</v>
      </c>
      <c r="D4448" s="17">
        <v>42863</v>
      </c>
      <c r="E4448" t="s">
        <v>180</v>
      </c>
    </row>
    <row r="4449" spans="3:5">
      <c r="C4449">
        <v>41.472000000000008</v>
      </c>
      <c r="D4449" s="17">
        <v>43057</v>
      </c>
      <c r="E4449" t="s">
        <v>1436</v>
      </c>
    </row>
    <row r="4450" spans="3:5">
      <c r="C4450">
        <v>41.54</v>
      </c>
      <c r="D4450" s="17">
        <v>43078</v>
      </c>
      <c r="E4450" t="s">
        <v>133</v>
      </c>
    </row>
    <row r="4451" spans="3:5">
      <c r="C4451">
        <v>41.552</v>
      </c>
      <c r="D4451" s="17">
        <v>42355</v>
      </c>
      <c r="E4451" t="s">
        <v>1624</v>
      </c>
    </row>
    <row r="4452" spans="3:5">
      <c r="C4452">
        <v>41.567999999999991</v>
      </c>
      <c r="D4452" s="17">
        <v>42198</v>
      </c>
      <c r="E4452" t="s">
        <v>1199</v>
      </c>
    </row>
    <row r="4453" spans="3:5">
      <c r="C4453">
        <v>41.568000000000005</v>
      </c>
      <c r="D4453" s="17">
        <v>42153</v>
      </c>
      <c r="E4453" t="s">
        <v>1499</v>
      </c>
    </row>
    <row r="4454" spans="3:5">
      <c r="C4454">
        <v>41.568000000000005</v>
      </c>
      <c r="D4454" s="17">
        <v>42488</v>
      </c>
      <c r="E4454" t="s">
        <v>1310</v>
      </c>
    </row>
    <row r="4455" spans="3:5">
      <c r="C4455">
        <v>41.584000000000003</v>
      </c>
      <c r="D4455" s="17">
        <v>41834</v>
      </c>
      <c r="E4455" t="s">
        <v>989</v>
      </c>
    </row>
    <row r="4456" spans="3:5">
      <c r="C4456">
        <v>41.6</v>
      </c>
      <c r="D4456" s="17">
        <v>42496</v>
      </c>
      <c r="E4456" t="s">
        <v>1670</v>
      </c>
    </row>
    <row r="4457" spans="3:5">
      <c r="C4457">
        <v>41.6</v>
      </c>
      <c r="D4457" s="17">
        <v>43051</v>
      </c>
      <c r="E4457" t="s">
        <v>426</v>
      </c>
    </row>
    <row r="4458" spans="3:5">
      <c r="C4458">
        <v>41.7</v>
      </c>
      <c r="D4458" s="17">
        <v>42637</v>
      </c>
      <c r="E4458" t="s">
        <v>819</v>
      </c>
    </row>
    <row r="4459" spans="3:5">
      <c r="C4459">
        <v>41.72</v>
      </c>
      <c r="D4459" s="17">
        <v>42050</v>
      </c>
      <c r="E4459" t="s">
        <v>595</v>
      </c>
    </row>
    <row r="4460" spans="3:5">
      <c r="C4460">
        <v>41.72</v>
      </c>
      <c r="D4460" s="17">
        <v>42658</v>
      </c>
      <c r="E4460" t="s">
        <v>595</v>
      </c>
    </row>
    <row r="4461" spans="3:5">
      <c r="C4461">
        <v>41.720000000000006</v>
      </c>
      <c r="D4461" s="17">
        <v>42432</v>
      </c>
      <c r="E4461" t="s">
        <v>1256</v>
      </c>
    </row>
    <row r="4462" spans="3:5">
      <c r="C4462">
        <v>41.849999999999994</v>
      </c>
      <c r="D4462" s="17">
        <v>42644</v>
      </c>
      <c r="E4462" t="s">
        <v>339</v>
      </c>
    </row>
    <row r="4463" spans="3:5">
      <c r="C4463">
        <v>41.86</v>
      </c>
      <c r="D4463" s="17">
        <v>42344</v>
      </c>
      <c r="E4463" t="s">
        <v>236</v>
      </c>
    </row>
    <row r="4464" spans="3:5">
      <c r="C4464">
        <v>41.86</v>
      </c>
      <c r="D4464" s="17">
        <v>42565</v>
      </c>
      <c r="E4464" t="s">
        <v>1642</v>
      </c>
    </row>
    <row r="4465" spans="3:5">
      <c r="C4465">
        <v>41.86</v>
      </c>
      <c r="D4465" s="17">
        <v>42593</v>
      </c>
      <c r="E4465" t="s">
        <v>1630</v>
      </c>
    </row>
    <row r="4466" spans="3:5">
      <c r="C4466">
        <v>41.86</v>
      </c>
      <c r="D4466" s="17">
        <v>42684</v>
      </c>
      <c r="E4466" t="s">
        <v>1642</v>
      </c>
    </row>
    <row r="4467" spans="3:5">
      <c r="C4467">
        <v>41.86</v>
      </c>
      <c r="D4467" s="17">
        <v>42836</v>
      </c>
      <c r="E4467" t="s">
        <v>525</v>
      </c>
    </row>
    <row r="4468" spans="3:5">
      <c r="C4468">
        <v>41.86</v>
      </c>
      <c r="D4468" s="17">
        <v>43070</v>
      </c>
      <c r="E4468" t="s">
        <v>220</v>
      </c>
    </row>
    <row r="4469" spans="3:5">
      <c r="C4469">
        <v>41.88</v>
      </c>
      <c r="D4469" s="17">
        <v>41888</v>
      </c>
      <c r="E4469" t="s">
        <v>111</v>
      </c>
    </row>
    <row r="4470" spans="3:5">
      <c r="C4470">
        <v>41.88</v>
      </c>
      <c r="D4470" s="17">
        <v>42255</v>
      </c>
      <c r="E4470" t="s">
        <v>890</v>
      </c>
    </row>
    <row r="4471" spans="3:5">
      <c r="C4471">
        <v>41.9</v>
      </c>
      <c r="D4471" s="17">
        <v>42156</v>
      </c>
      <c r="E4471" t="s">
        <v>1537</v>
      </c>
    </row>
    <row r="4472" spans="3:5">
      <c r="C4472">
        <v>41.9</v>
      </c>
      <c r="D4472" s="17">
        <v>42181</v>
      </c>
      <c r="E4472" t="s">
        <v>965</v>
      </c>
    </row>
    <row r="4473" spans="3:5">
      <c r="C4473">
        <v>41.9</v>
      </c>
      <c r="D4473" s="17">
        <v>42931</v>
      </c>
      <c r="E4473" t="s">
        <v>965</v>
      </c>
    </row>
    <row r="4474" spans="3:5">
      <c r="C4474">
        <v>41.904000000000003</v>
      </c>
      <c r="D4474" s="17">
        <v>41829</v>
      </c>
      <c r="E4474" t="s">
        <v>134</v>
      </c>
    </row>
    <row r="4475" spans="3:5">
      <c r="C4475">
        <v>41.904000000000003</v>
      </c>
      <c r="D4475" s="17">
        <v>42443</v>
      </c>
      <c r="E4475" t="s">
        <v>134</v>
      </c>
    </row>
    <row r="4476" spans="3:5">
      <c r="C4476">
        <v>41.910000000000004</v>
      </c>
      <c r="D4476" s="17">
        <v>42926</v>
      </c>
      <c r="E4476" t="s">
        <v>951</v>
      </c>
    </row>
    <row r="4477" spans="3:5">
      <c r="C4477">
        <v>41.92</v>
      </c>
      <c r="D4477" s="17">
        <v>42619</v>
      </c>
      <c r="E4477" t="s">
        <v>1701</v>
      </c>
    </row>
    <row r="4478" spans="3:5">
      <c r="C4478">
        <v>41.92</v>
      </c>
      <c r="D4478" s="17">
        <v>42698</v>
      </c>
      <c r="E4478" t="s">
        <v>527</v>
      </c>
    </row>
    <row r="4479" spans="3:5">
      <c r="C4479">
        <v>41.94</v>
      </c>
      <c r="D4479" s="17">
        <v>41840</v>
      </c>
      <c r="E4479" t="s">
        <v>1870</v>
      </c>
    </row>
    <row r="4480" spans="3:5">
      <c r="C4480">
        <v>41.94</v>
      </c>
      <c r="D4480" s="17">
        <v>41945</v>
      </c>
      <c r="E4480" t="s">
        <v>1870</v>
      </c>
    </row>
    <row r="4481" spans="3:5">
      <c r="C4481">
        <v>41.95</v>
      </c>
      <c r="D4481" s="17">
        <v>42833</v>
      </c>
      <c r="E4481" t="s">
        <v>504</v>
      </c>
    </row>
    <row r="4482" spans="3:5">
      <c r="C4482">
        <v>41.957999999999998</v>
      </c>
      <c r="D4482" s="17">
        <v>42684</v>
      </c>
      <c r="E4482" t="s">
        <v>1438</v>
      </c>
    </row>
    <row r="4483" spans="3:5">
      <c r="C4483">
        <v>41.96</v>
      </c>
      <c r="D4483" s="17">
        <v>42225</v>
      </c>
      <c r="E4483" t="s">
        <v>243</v>
      </c>
    </row>
    <row r="4484" spans="3:5">
      <c r="C4484">
        <v>41.96</v>
      </c>
      <c r="D4484" s="17">
        <v>42265</v>
      </c>
      <c r="E4484" t="s">
        <v>1058</v>
      </c>
    </row>
    <row r="4485" spans="3:5">
      <c r="C4485">
        <v>41.96</v>
      </c>
      <c r="D4485" s="17">
        <v>42637</v>
      </c>
      <c r="E4485" t="s">
        <v>243</v>
      </c>
    </row>
    <row r="4486" spans="3:5">
      <c r="C4486">
        <v>41.96</v>
      </c>
      <c r="D4486" s="17">
        <v>42685</v>
      </c>
      <c r="E4486" t="s">
        <v>1292</v>
      </c>
    </row>
    <row r="4487" spans="3:5">
      <c r="C4487">
        <v>41.96</v>
      </c>
      <c r="D4487" s="17">
        <v>42726</v>
      </c>
      <c r="E4487" t="s">
        <v>1292</v>
      </c>
    </row>
    <row r="4488" spans="3:5">
      <c r="C4488">
        <v>41.96</v>
      </c>
      <c r="D4488" s="17">
        <v>43014</v>
      </c>
      <c r="E4488" t="s">
        <v>944</v>
      </c>
    </row>
    <row r="4489" spans="3:5">
      <c r="C4489">
        <v>41.96</v>
      </c>
      <c r="D4489" s="17">
        <v>43074</v>
      </c>
      <c r="E4489" t="s">
        <v>1292</v>
      </c>
    </row>
    <row r="4490" spans="3:5">
      <c r="C4490">
        <v>41.96</v>
      </c>
      <c r="D4490" s="17">
        <v>43094</v>
      </c>
      <c r="E4490" t="s">
        <v>1292</v>
      </c>
    </row>
    <row r="4491" spans="3:5">
      <c r="C4491">
        <v>41.988</v>
      </c>
      <c r="D4491" s="17">
        <v>42099</v>
      </c>
      <c r="E4491" t="s">
        <v>1454</v>
      </c>
    </row>
    <row r="4492" spans="3:5">
      <c r="C4492">
        <v>42.047999999999995</v>
      </c>
      <c r="D4492" s="17">
        <v>42100</v>
      </c>
      <c r="E4492" t="s">
        <v>167</v>
      </c>
    </row>
    <row r="4493" spans="3:5">
      <c r="C4493">
        <v>42.047999999999995</v>
      </c>
      <c r="D4493" s="17">
        <v>42850</v>
      </c>
      <c r="E4493" t="s">
        <v>167</v>
      </c>
    </row>
    <row r="4494" spans="3:5">
      <c r="C4494">
        <v>42.207999999999998</v>
      </c>
      <c r="D4494" s="17">
        <v>41979</v>
      </c>
      <c r="E4494" t="s">
        <v>1004</v>
      </c>
    </row>
    <row r="4495" spans="3:5">
      <c r="C4495">
        <v>42.24</v>
      </c>
      <c r="D4495" s="17">
        <v>42156</v>
      </c>
      <c r="E4495" t="s">
        <v>1274</v>
      </c>
    </row>
    <row r="4496" spans="3:5">
      <c r="C4496">
        <v>42.24</v>
      </c>
      <c r="D4496" s="17">
        <v>42163</v>
      </c>
      <c r="E4496" t="s">
        <v>1373</v>
      </c>
    </row>
    <row r="4497" spans="3:5">
      <c r="C4497">
        <v>42.28</v>
      </c>
      <c r="D4497" s="17">
        <v>42321</v>
      </c>
      <c r="E4497" t="s">
        <v>1377</v>
      </c>
    </row>
    <row r="4498" spans="3:5">
      <c r="C4498">
        <v>42.368000000000002</v>
      </c>
      <c r="D4498" s="17">
        <v>41889</v>
      </c>
      <c r="E4498" t="s">
        <v>418</v>
      </c>
    </row>
    <row r="4499" spans="3:5">
      <c r="C4499">
        <v>42.384</v>
      </c>
      <c r="D4499" s="17">
        <v>42698</v>
      </c>
      <c r="E4499" t="s">
        <v>1481</v>
      </c>
    </row>
    <row r="4500" spans="3:5">
      <c r="C4500">
        <v>42.408000000000008</v>
      </c>
      <c r="D4500" s="17">
        <v>42845</v>
      </c>
      <c r="E4500" t="s">
        <v>564</v>
      </c>
    </row>
    <row r="4501" spans="3:5">
      <c r="C4501">
        <v>42.599999999999994</v>
      </c>
      <c r="D4501" s="17">
        <v>42311</v>
      </c>
      <c r="E4501" t="s">
        <v>1444</v>
      </c>
    </row>
    <row r="4502" spans="3:5">
      <c r="C4502">
        <v>42.599999999999994</v>
      </c>
      <c r="D4502" s="17">
        <v>42617</v>
      </c>
      <c r="E4502" t="s">
        <v>1444</v>
      </c>
    </row>
    <row r="4503" spans="3:5">
      <c r="C4503">
        <v>42.599999999999994</v>
      </c>
      <c r="D4503" s="17">
        <v>43059</v>
      </c>
      <c r="E4503" t="s">
        <v>1444</v>
      </c>
    </row>
    <row r="4504" spans="3:5">
      <c r="C4504">
        <v>42.615999999999993</v>
      </c>
      <c r="D4504" s="17">
        <v>42981</v>
      </c>
      <c r="E4504" t="s">
        <v>1129</v>
      </c>
    </row>
    <row r="4505" spans="3:5">
      <c r="C4505">
        <v>42.615999999999993</v>
      </c>
      <c r="D4505" s="17">
        <v>42986</v>
      </c>
      <c r="E4505" t="s">
        <v>1129</v>
      </c>
    </row>
    <row r="4506" spans="3:5">
      <c r="C4506">
        <v>42.624000000000002</v>
      </c>
      <c r="D4506" s="17">
        <v>42870</v>
      </c>
      <c r="E4506" t="s">
        <v>651</v>
      </c>
    </row>
    <row r="4507" spans="3:5">
      <c r="C4507">
        <v>42.68</v>
      </c>
      <c r="D4507" s="17">
        <v>42799</v>
      </c>
      <c r="E4507" t="s">
        <v>316</v>
      </c>
    </row>
    <row r="4508" spans="3:5">
      <c r="C4508">
        <v>42.76</v>
      </c>
      <c r="D4508" s="17">
        <v>42013</v>
      </c>
      <c r="E4508" t="s">
        <v>835</v>
      </c>
    </row>
    <row r="4509" spans="3:5">
      <c r="C4509">
        <v>42.76</v>
      </c>
      <c r="D4509" s="17">
        <v>43016</v>
      </c>
      <c r="E4509" t="s">
        <v>960</v>
      </c>
    </row>
    <row r="4510" spans="3:5">
      <c r="C4510">
        <v>42.76</v>
      </c>
      <c r="D4510" s="17">
        <v>43077</v>
      </c>
      <c r="E4510" t="s">
        <v>960</v>
      </c>
    </row>
    <row r="4511" spans="3:5">
      <c r="C4511">
        <v>42.783999999999999</v>
      </c>
      <c r="D4511" s="17">
        <v>42432</v>
      </c>
      <c r="E4511" t="s">
        <v>860</v>
      </c>
    </row>
    <row r="4512" spans="3:5">
      <c r="C4512">
        <v>42.800000000000004</v>
      </c>
      <c r="D4512" s="17">
        <v>42330</v>
      </c>
      <c r="E4512" t="s">
        <v>885</v>
      </c>
    </row>
    <row r="4513" spans="3:5">
      <c r="C4513">
        <v>42.81</v>
      </c>
      <c r="D4513" s="17">
        <v>41889</v>
      </c>
      <c r="E4513" t="s">
        <v>1576</v>
      </c>
    </row>
    <row r="4514" spans="3:5">
      <c r="C4514">
        <v>42.85</v>
      </c>
      <c r="D4514" s="17">
        <v>42867</v>
      </c>
      <c r="E4514" t="s">
        <v>675</v>
      </c>
    </row>
    <row r="4515" spans="3:5">
      <c r="C4515">
        <v>42.929999999999993</v>
      </c>
      <c r="D4515" s="17">
        <v>42826</v>
      </c>
      <c r="E4515" t="s">
        <v>481</v>
      </c>
    </row>
    <row r="4516" spans="3:5">
      <c r="C4516">
        <v>42.95</v>
      </c>
      <c r="D4516" s="17">
        <v>42309</v>
      </c>
      <c r="E4516" t="s">
        <v>364</v>
      </c>
    </row>
    <row r="4517" spans="3:5">
      <c r="C4517">
        <v>42.975999999999999</v>
      </c>
      <c r="D4517" s="17">
        <v>42474</v>
      </c>
      <c r="E4517" t="s">
        <v>1588</v>
      </c>
    </row>
    <row r="4518" spans="3:5">
      <c r="C4518">
        <v>43</v>
      </c>
      <c r="D4518" s="17">
        <v>42936</v>
      </c>
      <c r="E4518" t="s">
        <v>984</v>
      </c>
    </row>
    <row r="4519" spans="3:5">
      <c r="C4519">
        <v>43.019999999999996</v>
      </c>
      <c r="D4519" s="17">
        <v>41840</v>
      </c>
      <c r="E4519" t="s">
        <v>1284</v>
      </c>
    </row>
    <row r="4520" spans="3:5">
      <c r="C4520">
        <v>43.04</v>
      </c>
      <c r="D4520" s="17">
        <v>42181</v>
      </c>
      <c r="E4520" t="s">
        <v>1236</v>
      </c>
    </row>
    <row r="4521" spans="3:5">
      <c r="C4521">
        <v>43.056000000000004</v>
      </c>
      <c r="D4521" s="17">
        <v>42181</v>
      </c>
      <c r="E4521" t="s">
        <v>1608</v>
      </c>
    </row>
    <row r="4522" spans="3:5">
      <c r="C4522">
        <v>43.099999999999994</v>
      </c>
      <c r="D4522" s="17">
        <v>42605</v>
      </c>
      <c r="E4522" t="s">
        <v>158</v>
      </c>
    </row>
    <row r="4523" spans="3:5">
      <c r="C4523">
        <v>43.099999999999994</v>
      </c>
      <c r="D4523" s="17">
        <v>42980</v>
      </c>
      <c r="E4523" t="s">
        <v>158</v>
      </c>
    </row>
    <row r="4524" spans="3:5">
      <c r="C4524">
        <v>43.120000000000005</v>
      </c>
      <c r="D4524" s="17">
        <v>42394</v>
      </c>
      <c r="E4524" t="s">
        <v>783</v>
      </c>
    </row>
    <row r="4525" spans="3:5">
      <c r="C4525">
        <v>43.120000000000005</v>
      </c>
      <c r="D4525" s="17">
        <v>42656</v>
      </c>
      <c r="E4525" t="s">
        <v>1037</v>
      </c>
    </row>
    <row r="4526" spans="3:5">
      <c r="C4526">
        <v>43.13</v>
      </c>
      <c r="D4526" s="17">
        <v>42079</v>
      </c>
      <c r="E4526" t="s">
        <v>49</v>
      </c>
    </row>
    <row r="4527" spans="3:5">
      <c r="C4527">
        <v>43.13</v>
      </c>
      <c r="D4527" s="17">
        <v>42621</v>
      </c>
      <c r="E4527" t="s">
        <v>200</v>
      </c>
    </row>
    <row r="4528" spans="3:5">
      <c r="C4528">
        <v>43.176000000000002</v>
      </c>
      <c r="D4528" s="17">
        <v>41912</v>
      </c>
      <c r="E4528" t="s">
        <v>185</v>
      </c>
    </row>
    <row r="4529" spans="3:5">
      <c r="C4529">
        <v>43.176000000000002</v>
      </c>
      <c r="D4529" s="17">
        <v>41944</v>
      </c>
      <c r="E4529" t="s">
        <v>1148</v>
      </c>
    </row>
    <row r="4530" spans="3:5">
      <c r="C4530">
        <v>43.176000000000002</v>
      </c>
      <c r="D4530" s="17">
        <v>42244</v>
      </c>
      <c r="E4530" t="s">
        <v>276</v>
      </c>
    </row>
    <row r="4531" spans="3:5">
      <c r="C4531">
        <v>43.176000000000002</v>
      </c>
      <c r="D4531" s="17">
        <v>42982</v>
      </c>
      <c r="E4531" t="s">
        <v>276</v>
      </c>
    </row>
    <row r="4532" spans="3:5">
      <c r="C4532">
        <v>43.188000000000009</v>
      </c>
      <c r="D4532" s="17">
        <v>41713</v>
      </c>
      <c r="E4532" t="s">
        <v>553</v>
      </c>
    </row>
    <row r="4533" spans="3:5">
      <c r="C4533">
        <v>43.19</v>
      </c>
      <c r="D4533" s="17">
        <v>42873</v>
      </c>
      <c r="E4533" t="s">
        <v>714</v>
      </c>
    </row>
    <row r="4534" spans="3:5">
      <c r="C4534">
        <v>43.26</v>
      </c>
      <c r="D4534" s="17">
        <v>42275</v>
      </c>
      <c r="E4534" t="s">
        <v>1392</v>
      </c>
    </row>
    <row r="4535" spans="3:5">
      <c r="C4535">
        <v>43.26</v>
      </c>
      <c r="D4535" s="17">
        <v>42658</v>
      </c>
      <c r="E4535" t="s">
        <v>1392</v>
      </c>
    </row>
    <row r="4536" spans="3:5">
      <c r="C4536">
        <v>43.28</v>
      </c>
      <c r="D4536" s="17">
        <v>42805</v>
      </c>
      <c r="E4536" t="s">
        <v>349</v>
      </c>
    </row>
    <row r="4537" spans="3:5">
      <c r="C4537">
        <v>43.295999999999999</v>
      </c>
      <c r="D4537" s="17">
        <v>42167</v>
      </c>
      <c r="E4537" t="s">
        <v>1153</v>
      </c>
    </row>
    <row r="4538" spans="3:5">
      <c r="C4538">
        <v>43.31</v>
      </c>
      <c r="D4538" s="17">
        <v>41985</v>
      </c>
      <c r="E4538" t="s">
        <v>621</v>
      </c>
    </row>
    <row r="4539" spans="3:5">
      <c r="C4539">
        <v>43.32</v>
      </c>
      <c r="D4539" s="17">
        <v>42677</v>
      </c>
      <c r="E4539" t="s">
        <v>1633</v>
      </c>
    </row>
    <row r="4540" spans="3:5">
      <c r="C4540">
        <v>43.371999999999993</v>
      </c>
      <c r="D4540" s="17">
        <v>42855</v>
      </c>
      <c r="E4540" t="s">
        <v>612</v>
      </c>
    </row>
    <row r="4541" spans="3:5">
      <c r="C4541">
        <v>43.41</v>
      </c>
      <c r="D4541" s="17">
        <v>42884</v>
      </c>
      <c r="E4541" t="s">
        <v>550</v>
      </c>
    </row>
    <row r="4542" spans="3:5">
      <c r="C4542">
        <v>43.44</v>
      </c>
      <c r="D4542" s="17">
        <v>43031</v>
      </c>
      <c r="E4542" t="s">
        <v>1348</v>
      </c>
    </row>
    <row r="4543" spans="3:5">
      <c r="C4543">
        <v>43.5</v>
      </c>
      <c r="D4543" s="17">
        <v>43042</v>
      </c>
      <c r="E4543" t="s">
        <v>1372</v>
      </c>
    </row>
    <row r="4544" spans="3:5">
      <c r="C4544">
        <v>43.512</v>
      </c>
      <c r="D4544" s="17">
        <v>41993</v>
      </c>
      <c r="E4544" t="s">
        <v>672</v>
      </c>
    </row>
    <row r="4545" spans="3:5">
      <c r="C4545">
        <v>43.56</v>
      </c>
      <c r="D4545" s="17">
        <v>42110</v>
      </c>
      <c r="E4545" t="s">
        <v>1800</v>
      </c>
    </row>
    <row r="4546" spans="3:5">
      <c r="C4546">
        <v>43.56</v>
      </c>
      <c r="D4546" s="17">
        <v>42275</v>
      </c>
      <c r="E4546" t="s">
        <v>1015</v>
      </c>
    </row>
    <row r="4547" spans="3:5">
      <c r="C4547">
        <v>43.560000000000009</v>
      </c>
      <c r="D4547" s="17">
        <v>42121</v>
      </c>
      <c r="E4547" t="s">
        <v>213</v>
      </c>
    </row>
    <row r="4548" spans="3:5">
      <c r="C4548">
        <v>43.57</v>
      </c>
      <c r="D4548" s="17">
        <v>41947</v>
      </c>
      <c r="E4548" t="s">
        <v>903</v>
      </c>
    </row>
    <row r="4549" spans="3:5">
      <c r="C4549">
        <v>43.584000000000003</v>
      </c>
      <c r="D4549" s="17">
        <v>42677</v>
      </c>
      <c r="E4549" t="s">
        <v>410</v>
      </c>
    </row>
    <row r="4550" spans="3:5">
      <c r="C4550">
        <v>43.584000000000003</v>
      </c>
      <c r="D4550" s="17">
        <v>43066</v>
      </c>
      <c r="E4550" t="s">
        <v>402</v>
      </c>
    </row>
    <row r="4551" spans="3:5">
      <c r="C4551">
        <v>43.6</v>
      </c>
      <c r="D4551" s="17">
        <v>41769</v>
      </c>
      <c r="E4551" t="s">
        <v>1342</v>
      </c>
    </row>
    <row r="4552" spans="3:5">
      <c r="C4552">
        <v>43.6</v>
      </c>
      <c r="D4552" s="17">
        <v>42504</v>
      </c>
      <c r="E4552" t="s">
        <v>1342</v>
      </c>
    </row>
    <row r="4553" spans="3:5">
      <c r="C4553">
        <v>43.6</v>
      </c>
      <c r="D4553" s="17">
        <v>42618</v>
      </c>
      <c r="E4553" t="s">
        <v>1342</v>
      </c>
    </row>
    <row r="4554" spans="3:5">
      <c r="C4554">
        <v>43.6</v>
      </c>
      <c r="D4554" s="17">
        <v>43052</v>
      </c>
      <c r="E4554" t="s">
        <v>1342</v>
      </c>
    </row>
    <row r="4555" spans="3:5">
      <c r="C4555">
        <v>43.68</v>
      </c>
      <c r="D4555" s="17">
        <v>41949</v>
      </c>
      <c r="E4555" t="s">
        <v>1744</v>
      </c>
    </row>
    <row r="4556" spans="3:5">
      <c r="C4556">
        <v>43.68</v>
      </c>
      <c r="D4556" s="17">
        <v>41971</v>
      </c>
      <c r="E4556" t="s">
        <v>300</v>
      </c>
    </row>
    <row r="4557" spans="3:5">
      <c r="C4557">
        <v>43.68</v>
      </c>
      <c r="D4557" s="17">
        <v>42194</v>
      </c>
      <c r="E4557" t="s">
        <v>931</v>
      </c>
    </row>
    <row r="4558" spans="3:5">
      <c r="C4558">
        <v>43.7</v>
      </c>
      <c r="D4558" s="17">
        <v>43083</v>
      </c>
      <c r="E4558" t="s">
        <v>1165</v>
      </c>
    </row>
    <row r="4559" spans="3:5">
      <c r="C4559">
        <v>43.8</v>
      </c>
      <c r="D4559" s="17">
        <v>41957</v>
      </c>
      <c r="E4559" t="s">
        <v>537</v>
      </c>
    </row>
    <row r="4560" spans="3:5">
      <c r="C4560">
        <v>43.8</v>
      </c>
      <c r="D4560" s="17">
        <v>43056</v>
      </c>
      <c r="E4560" t="s">
        <v>1433</v>
      </c>
    </row>
    <row r="4561" spans="3:5">
      <c r="C4561">
        <v>43.86</v>
      </c>
      <c r="D4561" s="17">
        <v>43038</v>
      </c>
      <c r="E4561" t="s">
        <v>1357</v>
      </c>
    </row>
    <row r="4562" spans="3:5">
      <c r="C4562">
        <v>43.872000000000007</v>
      </c>
      <c r="D4562" s="17">
        <v>42804</v>
      </c>
      <c r="E4562" t="s">
        <v>340</v>
      </c>
    </row>
    <row r="4563" spans="3:5">
      <c r="C4563">
        <v>43.92</v>
      </c>
      <c r="D4563" s="17">
        <v>41659</v>
      </c>
      <c r="E4563" t="s">
        <v>670</v>
      </c>
    </row>
    <row r="4564" spans="3:5">
      <c r="C4564">
        <v>43.92</v>
      </c>
      <c r="D4564" s="17">
        <v>41902</v>
      </c>
      <c r="E4564" t="s">
        <v>484</v>
      </c>
    </row>
    <row r="4565" spans="3:5">
      <c r="C4565">
        <v>43.92</v>
      </c>
      <c r="D4565" s="17">
        <v>42670</v>
      </c>
      <c r="E4565" t="s">
        <v>484</v>
      </c>
    </row>
    <row r="4566" spans="3:5">
      <c r="C4566">
        <v>43.92</v>
      </c>
      <c r="D4566" s="17">
        <v>42866</v>
      </c>
      <c r="E4566" t="s">
        <v>670</v>
      </c>
    </row>
    <row r="4567" spans="3:5">
      <c r="C4567">
        <v>43.92</v>
      </c>
      <c r="D4567" s="17">
        <v>42888</v>
      </c>
      <c r="E4567" t="s">
        <v>788</v>
      </c>
    </row>
    <row r="4568" spans="3:5">
      <c r="C4568">
        <v>43.936000000000007</v>
      </c>
      <c r="D4568" s="17">
        <v>43028</v>
      </c>
      <c r="E4568" t="s">
        <v>1335</v>
      </c>
    </row>
    <row r="4569" spans="3:5">
      <c r="C4569">
        <v>43.96</v>
      </c>
      <c r="D4569" s="17">
        <v>42555</v>
      </c>
      <c r="E4569" t="s">
        <v>1704</v>
      </c>
    </row>
    <row r="4570" spans="3:5">
      <c r="C4570">
        <v>43.96</v>
      </c>
      <c r="D4570" s="17">
        <v>42728</v>
      </c>
      <c r="E4570" t="s">
        <v>950</v>
      </c>
    </row>
    <row r="4571" spans="3:5">
      <c r="C4571">
        <v>43.98</v>
      </c>
      <c r="D4571" s="17">
        <v>42132</v>
      </c>
      <c r="E4571" t="s">
        <v>626</v>
      </c>
    </row>
    <row r="4572" spans="3:5">
      <c r="C4572">
        <v>44.02</v>
      </c>
      <c r="D4572" s="17">
        <v>42687</v>
      </c>
      <c r="E4572" t="s">
        <v>827</v>
      </c>
    </row>
    <row r="4573" spans="3:5">
      <c r="C4573">
        <v>44.099999999999994</v>
      </c>
      <c r="D4573" s="17">
        <v>42331</v>
      </c>
      <c r="E4573" t="s">
        <v>1812</v>
      </c>
    </row>
    <row r="4574" spans="3:5">
      <c r="C4574">
        <v>44.128</v>
      </c>
      <c r="D4574" s="17">
        <v>41852</v>
      </c>
      <c r="E4574" t="s">
        <v>1370</v>
      </c>
    </row>
    <row r="4575" spans="3:5">
      <c r="C4575">
        <v>44.375999999999998</v>
      </c>
      <c r="D4575" s="17">
        <v>42810</v>
      </c>
      <c r="E4575" t="s">
        <v>372</v>
      </c>
    </row>
    <row r="4576" spans="3:5">
      <c r="C4576">
        <v>44.384</v>
      </c>
      <c r="D4576" s="17">
        <v>43057</v>
      </c>
      <c r="E4576" t="s">
        <v>1435</v>
      </c>
    </row>
    <row r="4577" spans="3:5">
      <c r="C4577">
        <v>44.400000000000006</v>
      </c>
      <c r="D4577" s="17">
        <v>41728</v>
      </c>
      <c r="E4577" t="s">
        <v>843</v>
      </c>
    </row>
    <row r="4578" spans="3:5">
      <c r="C4578">
        <v>44.400000000000006</v>
      </c>
      <c r="D4578" s="17">
        <v>41944</v>
      </c>
      <c r="E4578" t="s">
        <v>1036</v>
      </c>
    </row>
    <row r="4579" spans="3:5">
      <c r="C4579">
        <v>44.400000000000006</v>
      </c>
      <c r="D4579" s="17">
        <v>42391</v>
      </c>
      <c r="E4579" t="s">
        <v>1036</v>
      </c>
    </row>
    <row r="4580" spans="3:5">
      <c r="C4580">
        <v>44.400000000000006</v>
      </c>
      <c r="D4580" s="17">
        <v>42497</v>
      </c>
      <c r="E4580" t="s">
        <v>817</v>
      </c>
    </row>
    <row r="4581" spans="3:5">
      <c r="C4581">
        <v>44.400000000000006</v>
      </c>
      <c r="D4581" s="17">
        <v>42566</v>
      </c>
      <c r="E4581" t="s">
        <v>1565</v>
      </c>
    </row>
    <row r="4582" spans="3:5">
      <c r="C4582">
        <v>44.400000000000006</v>
      </c>
      <c r="D4582" s="17">
        <v>42845</v>
      </c>
      <c r="E4582" t="s">
        <v>211</v>
      </c>
    </row>
    <row r="4583" spans="3:5">
      <c r="C4583">
        <v>44.400000000000006</v>
      </c>
      <c r="D4583" s="17">
        <v>42901</v>
      </c>
      <c r="E4583" t="s">
        <v>843</v>
      </c>
    </row>
    <row r="4584" spans="3:5">
      <c r="C4584">
        <v>44.400000000000006</v>
      </c>
      <c r="D4584" s="17">
        <v>43085</v>
      </c>
      <c r="E4584" t="s">
        <v>1036</v>
      </c>
    </row>
    <row r="4585" spans="3:5">
      <c r="C4585">
        <v>44.416000000000004</v>
      </c>
      <c r="D4585" s="17">
        <v>41811</v>
      </c>
      <c r="E4585" t="s">
        <v>1796</v>
      </c>
    </row>
    <row r="4586" spans="3:5">
      <c r="C4586">
        <v>44.43</v>
      </c>
      <c r="D4586" s="17">
        <v>42316</v>
      </c>
      <c r="E4586" t="s">
        <v>1539</v>
      </c>
    </row>
    <row r="4587" spans="3:5">
      <c r="C4587">
        <v>44.46</v>
      </c>
      <c r="D4587" s="17">
        <v>41989</v>
      </c>
      <c r="E4587" t="s">
        <v>263</v>
      </c>
    </row>
    <row r="4588" spans="3:5">
      <c r="C4588">
        <v>44.46</v>
      </c>
      <c r="D4588" s="17">
        <v>42343</v>
      </c>
      <c r="E4588" t="s">
        <v>263</v>
      </c>
    </row>
    <row r="4589" spans="3:5">
      <c r="C4589">
        <v>44.46</v>
      </c>
      <c r="D4589" s="17">
        <v>42419</v>
      </c>
      <c r="E4589" t="s">
        <v>263</v>
      </c>
    </row>
    <row r="4590" spans="3:5">
      <c r="C4590">
        <v>44.460000000000008</v>
      </c>
      <c r="D4590" s="17">
        <v>42681</v>
      </c>
      <c r="E4590" t="s">
        <v>1645</v>
      </c>
    </row>
    <row r="4591" spans="3:5">
      <c r="C4591">
        <v>44.67</v>
      </c>
      <c r="D4591" s="17">
        <v>42260</v>
      </c>
      <c r="E4591" t="s">
        <v>262</v>
      </c>
    </row>
    <row r="4592" spans="3:5">
      <c r="C4592">
        <v>44.67</v>
      </c>
      <c r="D4592" s="17">
        <v>42785</v>
      </c>
      <c r="E4592" t="s">
        <v>262</v>
      </c>
    </row>
    <row r="4593" spans="3:5">
      <c r="C4593">
        <v>44.672000000000004</v>
      </c>
      <c r="D4593" s="17">
        <v>41701</v>
      </c>
      <c r="E4593" t="s">
        <v>890</v>
      </c>
    </row>
    <row r="4594" spans="3:5">
      <c r="C4594">
        <v>44.688000000000002</v>
      </c>
      <c r="D4594" s="17">
        <v>42232</v>
      </c>
      <c r="E4594" t="s">
        <v>430</v>
      </c>
    </row>
    <row r="4595" spans="3:5">
      <c r="C4595">
        <v>44.688000000000002</v>
      </c>
      <c r="D4595" s="17">
        <v>43094</v>
      </c>
      <c r="E4595" t="s">
        <v>292</v>
      </c>
    </row>
    <row r="4596" spans="3:5">
      <c r="C4596">
        <v>44.736000000000004</v>
      </c>
      <c r="D4596" s="17">
        <v>42638</v>
      </c>
      <c r="E4596" t="s">
        <v>1637</v>
      </c>
    </row>
    <row r="4597" spans="3:5">
      <c r="C4597">
        <v>44.75</v>
      </c>
      <c r="D4597" s="17">
        <v>42348</v>
      </c>
      <c r="E4597" t="s">
        <v>1550</v>
      </c>
    </row>
    <row r="4598" spans="3:5">
      <c r="C4598">
        <v>44.75</v>
      </c>
      <c r="D4598" s="17">
        <v>42693</v>
      </c>
      <c r="E4598" t="s">
        <v>1550</v>
      </c>
    </row>
    <row r="4599" spans="3:5">
      <c r="C4599">
        <v>44.75</v>
      </c>
      <c r="D4599" s="17">
        <v>42714</v>
      </c>
      <c r="E4599" t="s">
        <v>380</v>
      </c>
    </row>
    <row r="4600" spans="3:5">
      <c r="C4600">
        <v>44.75</v>
      </c>
      <c r="D4600" s="17">
        <v>42889</v>
      </c>
      <c r="E4600" t="s">
        <v>380</v>
      </c>
    </row>
    <row r="4601" spans="3:5">
      <c r="C4601">
        <v>44.75</v>
      </c>
      <c r="D4601" s="17">
        <v>43083</v>
      </c>
      <c r="E4601" t="s">
        <v>380</v>
      </c>
    </row>
    <row r="4602" spans="3:5">
      <c r="C4602">
        <v>44.75</v>
      </c>
      <c r="D4602" s="17">
        <v>43095</v>
      </c>
      <c r="E4602" t="s">
        <v>1550</v>
      </c>
    </row>
    <row r="4603" spans="3:5">
      <c r="C4603">
        <v>44.76</v>
      </c>
      <c r="D4603" s="17">
        <v>42519</v>
      </c>
      <c r="E4603" t="s">
        <v>1603</v>
      </c>
    </row>
    <row r="4604" spans="3:5">
      <c r="C4604">
        <v>44.783999999999999</v>
      </c>
      <c r="D4604" s="17">
        <v>42591</v>
      </c>
      <c r="E4604" t="s">
        <v>710</v>
      </c>
    </row>
    <row r="4605" spans="3:5">
      <c r="C4605">
        <v>44.783999999999999</v>
      </c>
      <c r="D4605" s="17">
        <v>43035</v>
      </c>
      <c r="E4605" t="s">
        <v>1278</v>
      </c>
    </row>
    <row r="4606" spans="3:5">
      <c r="C4606">
        <v>44.783999999999999</v>
      </c>
      <c r="D4606" s="17">
        <v>43051</v>
      </c>
      <c r="E4606" t="s">
        <v>344</v>
      </c>
    </row>
    <row r="4607" spans="3:5">
      <c r="C4607">
        <v>44.820000000000007</v>
      </c>
      <c r="D4607" s="17">
        <v>41896</v>
      </c>
      <c r="E4607" t="s">
        <v>1849</v>
      </c>
    </row>
    <row r="4608" spans="3:5">
      <c r="C4608">
        <v>44.840000000000011</v>
      </c>
      <c r="D4608" s="17">
        <v>41749</v>
      </c>
      <c r="E4608" t="s">
        <v>1418</v>
      </c>
    </row>
    <row r="4609" spans="3:5">
      <c r="C4609">
        <v>44.847999999999992</v>
      </c>
      <c r="D4609" s="17">
        <v>42481</v>
      </c>
      <c r="E4609" t="s">
        <v>1286</v>
      </c>
    </row>
    <row r="4610" spans="3:5">
      <c r="C4610">
        <v>44.856000000000009</v>
      </c>
      <c r="D4610" s="17">
        <v>42561</v>
      </c>
      <c r="E4610" t="s">
        <v>1105</v>
      </c>
    </row>
    <row r="4611" spans="3:5">
      <c r="C4611">
        <v>44.910000000000011</v>
      </c>
      <c r="D4611" s="17">
        <v>41735</v>
      </c>
      <c r="E4611" t="s">
        <v>1322</v>
      </c>
    </row>
    <row r="4612" spans="3:5">
      <c r="C4612">
        <v>44.94</v>
      </c>
      <c r="D4612" s="17">
        <v>42492</v>
      </c>
      <c r="E4612" t="s">
        <v>1014</v>
      </c>
    </row>
    <row r="4613" spans="3:5">
      <c r="C4613">
        <v>44.95</v>
      </c>
      <c r="D4613" s="17">
        <v>41781</v>
      </c>
      <c r="E4613" t="s">
        <v>1075</v>
      </c>
    </row>
    <row r="4614" spans="3:5">
      <c r="C4614">
        <v>44.96</v>
      </c>
      <c r="D4614" s="17">
        <v>43092</v>
      </c>
      <c r="E4614" t="s">
        <v>1542</v>
      </c>
    </row>
    <row r="4615" spans="3:5">
      <c r="C4615">
        <v>45</v>
      </c>
      <c r="D4615" s="17">
        <v>41843</v>
      </c>
      <c r="E4615" t="s">
        <v>751</v>
      </c>
    </row>
    <row r="4616" spans="3:5">
      <c r="C4616">
        <v>45</v>
      </c>
      <c r="D4616" s="17">
        <v>41890</v>
      </c>
      <c r="E4616" t="s">
        <v>629</v>
      </c>
    </row>
    <row r="4617" spans="3:5">
      <c r="C4617">
        <v>45</v>
      </c>
      <c r="D4617" s="17">
        <v>42541</v>
      </c>
      <c r="E4617" t="s">
        <v>751</v>
      </c>
    </row>
    <row r="4618" spans="3:5">
      <c r="C4618">
        <v>45</v>
      </c>
      <c r="D4618" s="17">
        <v>43020</v>
      </c>
      <c r="E4618" t="s">
        <v>751</v>
      </c>
    </row>
    <row r="4619" spans="3:5">
      <c r="C4619">
        <v>45.04</v>
      </c>
      <c r="D4619" s="17">
        <v>42343</v>
      </c>
      <c r="E4619" t="s">
        <v>1421</v>
      </c>
    </row>
    <row r="4620" spans="3:5">
      <c r="C4620">
        <v>45.04</v>
      </c>
      <c r="D4620" s="17">
        <v>43053</v>
      </c>
      <c r="E4620" t="s">
        <v>1421</v>
      </c>
    </row>
    <row r="4621" spans="3:5">
      <c r="C4621">
        <v>45.056000000000004</v>
      </c>
      <c r="D4621" s="17">
        <v>42541</v>
      </c>
      <c r="E4621" t="s">
        <v>1309</v>
      </c>
    </row>
    <row r="4622" spans="3:5">
      <c r="C4622">
        <v>45.120000000000005</v>
      </c>
      <c r="D4622" s="17">
        <v>42729</v>
      </c>
      <c r="E4622" t="s">
        <v>1169</v>
      </c>
    </row>
    <row r="4623" spans="3:5">
      <c r="C4623">
        <v>45.216000000000001</v>
      </c>
      <c r="D4623" s="17">
        <v>42110</v>
      </c>
      <c r="E4623" t="s">
        <v>1490</v>
      </c>
    </row>
    <row r="4624" spans="3:5">
      <c r="C4624">
        <v>45.216000000000001</v>
      </c>
      <c r="D4624" s="17">
        <v>43072</v>
      </c>
      <c r="E4624" t="s">
        <v>1490</v>
      </c>
    </row>
    <row r="4625" spans="3:5">
      <c r="C4625">
        <v>45.240000000000009</v>
      </c>
      <c r="D4625" s="17">
        <v>42722</v>
      </c>
      <c r="E4625" t="s">
        <v>990</v>
      </c>
    </row>
    <row r="4626" spans="3:5">
      <c r="C4626">
        <v>45.248000000000005</v>
      </c>
      <c r="D4626" s="17">
        <v>41764</v>
      </c>
      <c r="E4626" t="s">
        <v>1025</v>
      </c>
    </row>
    <row r="4627" spans="3:5">
      <c r="C4627">
        <v>45.248000000000005</v>
      </c>
      <c r="D4627" s="17">
        <v>42678</v>
      </c>
      <c r="E4627" t="s">
        <v>1025</v>
      </c>
    </row>
    <row r="4628" spans="3:5">
      <c r="C4628">
        <v>45.28</v>
      </c>
      <c r="D4628" s="17">
        <v>42336</v>
      </c>
      <c r="E4628" t="s">
        <v>868</v>
      </c>
    </row>
    <row r="4629" spans="3:5">
      <c r="C4629">
        <v>45.36</v>
      </c>
      <c r="D4629" s="17">
        <v>41768</v>
      </c>
      <c r="E4629" t="s">
        <v>1005</v>
      </c>
    </row>
    <row r="4630" spans="3:5">
      <c r="C4630">
        <v>45.36</v>
      </c>
      <c r="D4630" s="17">
        <v>42152</v>
      </c>
      <c r="E4630" t="s">
        <v>1250</v>
      </c>
    </row>
    <row r="4631" spans="3:5">
      <c r="C4631">
        <v>45.36</v>
      </c>
      <c r="D4631" s="17">
        <v>42287</v>
      </c>
      <c r="E4631" t="s">
        <v>519</v>
      </c>
    </row>
    <row r="4632" spans="3:5">
      <c r="C4632">
        <v>45.36</v>
      </c>
      <c r="D4632" s="17">
        <v>42516</v>
      </c>
      <c r="E4632" t="s">
        <v>1514</v>
      </c>
    </row>
    <row r="4633" spans="3:5">
      <c r="C4633">
        <v>45.36</v>
      </c>
      <c r="D4633" s="17">
        <v>42520</v>
      </c>
      <c r="E4633" t="s">
        <v>1101</v>
      </c>
    </row>
    <row r="4634" spans="3:5">
      <c r="C4634">
        <v>45.36</v>
      </c>
      <c r="D4634" s="17">
        <v>42712</v>
      </c>
      <c r="E4634" t="s">
        <v>1592</v>
      </c>
    </row>
    <row r="4635" spans="3:5">
      <c r="C4635">
        <v>45.36</v>
      </c>
      <c r="D4635" s="17">
        <v>42727</v>
      </c>
      <c r="E4635" t="s">
        <v>1572</v>
      </c>
    </row>
    <row r="4636" spans="3:5">
      <c r="C4636">
        <v>45.36</v>
      </c>
      <c r="D4636" s="17">
        <v>42729</v>
      </c>
      <c r="E4636" t="s">
        <v>555</v>
      </c>
    </row>
    <row r="4637" spans="3:5">
      <c r="C4637">
        <v>45.36</v>
      </c>
      <c r="D4637" s="17">
        <v>42807</v>
      </c>
      <c r="E4637" t="s">
        <v>357</v>
      </c>
    </row>
    <row r="4638" spans="3:5">
      <c r="C4638">
        <v>45.36</v>
      </c>
      <c r="D4638" s="17">
        <v>42889</v>
      </c>
      <c r="E4638" t="s">
        <v>100</v>
      </c>
    </row>
    <row r="4639" spans="3:5">
      <c r="C4639">
        <v>45.36</v>
      </c>
      <c r="D4639" s="17">
        <v>42990</v>
      </c>
      <c r="E4639" t="s">
        <v>1187</v>
      </c>
    </row>
    <row r="4640" spans="3:5">
      <c r="C4640">
        <v>45.36</v>
      </c>
      <c r="D4640" s="17">
        <v>43045</v>
      </c>
      <c r="E4640" t="s">
        <v>296</v>
      </c>
    </row>
    <row r="4641" spans="3:5">
      <c r="C4641">
        <v>45.36</v>
      </c>
      <c r="D4641" s="17">
        <v>43070</v>
      </c>
      <c r="E4641" t="s">
        <v>65</v>
      </c>
    </row>
    <row r="4642" spans="3:5">
      <c r="C4642">
        <v>45.4</v>
      </c>
      <c r="D4642" s="17">
        <v>42998</v>
      </c>
      <c r="E4642" t="s">
        <v>163</v>
      </c>
    </row>
    <row r="4643" spans="3:5">
      <c r="C4643">
        <v>45.408000000000001</v>
      </c>
      <c r="D4643" s="17">
        <v>42848</v>
      </c>
      <c r="E4643" t="s">
        <v>587</v>
      </c>
    </row>
    <row r="4644" spans="3:5">
      <c r="C4644">
        <v>45.48</v>
      </c>
      <c r="D4644" s="17">
        <v>41723</v>
      </c>
      <c r="E4644" t="s">
        <v>1158</v>
      </c>
    </row>
    <row r="4645" spans="3:5">
      <c r="C4645">
        <v>45.480000000000004</v>
      </c>
      <c r="D4645" s="17">
        <v>41791</v>
      </c>
      <c r="E4645" t="s">
        <v>174</v>
      </c>
    </row>
    <row r="4646" spans="3:5">
      <c r="C4646">
        <v>45.527999999999999</v>
      </c>
      <c r="D4646" s="17">
        <v>41996</v>
      </c>
      <c r="E4646" t="s">
        <v>1300</v>
      </c>
    </row>
    <row r="4647" spans="3:5">
      <c r="C4647">
        <v>45.527999999999999</v>
      </c>
      <c r="D4647" s="17">
        <v>42458</v>
      </c>
      <c r="E4647" t="s">
        <v>1300</v>
      </c>
    </row>
    <row r="4648" spans="3:5">
      <c r="C4648">
        <v>45.527999999999999</v>
      </c>
      <c r="D4648" s="17">
        <v>43028</v>
      </c>
      <c r="E4648" t="s">
        <v>181</v>
      </c>
    </row>
    <row r="4649" spans="3:5">
      <c r="C4649">
        <v>45.568000000000005</v>
      </c>
      <c r="D4649" s="17">
        <v>42664</v>
      </c>
      <c r="E4649" t="s">
        <v>1574</v>
      </c>
    </row>
    <row r="4650" spans="3:5">
      <c r="C4650">
        <v>45.576000000000001</v>
      </c>
      <c r="D4650" s="17">
        <v>42492</v>
      </c>
      <c r="E4650" t="s">
        <v>709</v>
      </c>
    </row>
    <row r="4651" spans="3:5">
      <c r="C4651">
        <v>45.584000000000003</v>
      </c>
      <c r="D4651" s="17">
        <v>42267</v>
      </c>
      <c r="E4651" t="s">
        <v>739</v>
      </c>
    </row>
    <row r="4652" spans="3:5">
      <c r="C4652">
        <v>45.584000000000003</v>
      </c>
      <c r="D4652" s="17">
        <v>42558</v>
      </c>
      <c r="E4652" t="s">
        <v>1289</v>
      </c>
    </row>
    <row r="4653" spans="3:5">
      <c r="C4653">
        <v>45.660000000000004</v>
      </c>
      <c r="D4653" s="17">
        <v>41971</v>
      </c>
      <c r="E4653" t="s">
        <v>808</v>
      </c>
    </row>
    <row r="4654" spans="3:5">
      <c r="C4654">
        <v>45.660000000000011</v>
      </c>
      <c r="D4654" s="17">
        <v>43071</v>
      </c>
      <c r="E4654" t="s">
        <v>1129</v>
      </c>
    </row>
    <row r="4655" spans="3:5">
      <c r="C4655">
        <v>45.68</v>
      </c>
      <c r="D4655" s="17">
        <v>41981</v>
      </c>
      <c r="E4655" t="s">
        <v>1601</v>
      </c>
    </row>
    <row r="4656" spans="3:5">
      <c r="C4656">
        <v>45.68</v>
      </c>
      <c r="D4656" s="17">
        <v>42131</v>
      </c>
      <c r="E4656" t="s">
        <v>1850</v>
      </c>
    </row>
    <row r="4657" spans="3:5">
      <c r="C4657">
        <v>45.68</v>
      </c>
      <c r="D4657" s="17">
        <v>42272</v>
      </c>
      <c r="E4657" t="s">
        <v>1534</v>
      </c>
    </row>
    <row r="4658" spans="3:5">
      <c r="C4658">
        <v>45.68</v>
      </c>
      <c r="D4658" s="17">
        <v>42444</v>
      </c>
      <c r="E4658" t="s">
        <v>1601</v>
      </c>
    </row>
    <row r="4659" spans="3:5">
      <c r="C4659">
        <v>45.68</v>
      </c>
      <c r="D4659" s="17">
        <v>42658</v>
      </c>
      <c r="E4659" t="s">
        <v>446</v>
      </c>
    </row>
    <row r="4660" spans="3:5">
      <c r="C4660">
        <v>45.68</v>
      </c>
      <c r="D4660" s="17">
        <v>42821</v>
      </c>
      <c r="E4660" t="s">
        <v>446</v>
      </c>
    </row>
    <row r="4661" spans="3:5">
      <c r="C4661">
        <v>45.695999999999998</v>
      </c>
      <c r="D4661" s="17">
        <v>41713</v>
      </c>
      <c r="E4661" t="s">
        <v>1336</v>
      </c>
    </row>
    <row r="4662" spans="3:5">
      <c r="C4662">
        <v>45.695999999999998</v>
      </c>
      <c r="D4662" s="17">
        <v>43029</v>
      </c>
      <c r="E4662" t="s">
        <v>1336</v>
      </c>
    </row>
    <row r="4663" spans="3:5">
      <c r="C4663">
        <v>45.78</v>
      </c>
      <c r="D4663" s="17">
        <v>42990</v>
      </c>
      <c r="E4663" t="s">
        <v>1188</v>
      </c>
    </row>
    <row r="4664" spans="3:5">
      <c r="C4664">
        <v>45.839999999999996</v>
      </c>
      <c r="D4664" s="17">
        <v>41974</v>
      </c>
      <c r="E4664" t="s">
        <v>48</v>
      </c>
    </row>
    <row r="4665" spans="3:5">
      <c r="C4665">
        <v>45.84</v>
      </c>
      <c r="D4665" s="17">
        <v>43079</v>
      </c>
      <c r="E4665" t="s">
        <v>1084</v>
      </c>
    </row>
    <row r="4666" spans="3:5">
      <c r="C4666">
        <v>45.888000000000005</v>
      </c>
      <c r="D4666" s="17">
        <v>43017</v>
      </c>
      <c r="E4666" t="s">
        <v>1284</v>
      </c>
    </row>
    <row r="4667" spans="3:5">
      <c r="C4667">
        <v>45.893999999999998</v>
      </c>
      <c r="D4667" s="17">
        <v>42273</v>
      </c>
      <c r="E4667" t="s">
        <v>1629</v>
      </c>
    </row>
    <row r="4668" spans="3:5">
      <c r="C4668">
        <v>45.92</v>
      </c>
      <c r="D4668" s="17">
        <v>41874</v>
      </c>
      <c r="E4668" t="s">
        <v>1281</v>
      </c>
    </row>
    <row r="4669" spans="3:5">
      <c r="C4669">
        <v>45.92</v>
      </c>
      <c r="D4669" s="17">
        <v>42362</v>
      </c>
      <c r="E4669" t="s">
        <v>241</v>
      </c>
    </row>
    <row r="4670" spans="3:5">
      <c r="C4670">
        <v>45.92</v>
      </c>
      <c r="D4670" s="17">
        <v>42986</v>
      </c>
      <c r="E4670" t="s">
        <v>241</v>
      </c>
    </row>
    <row r="4671" spans="3:5">
      <c r="C4671">
        <v>45.92</v>
      </c>
      <c r="D4671" s="17">
        <v>43050</v>
      </c>
      <c r="E4671" t="s">
        <v>241</v>
      </c>
    </row>
    <row r="4672" spans="3:5">
      <c r="C4672">
        <v>45.96</v>
      </c>
      <c r="D4672" s="17">
        <v>42568</v>
      </c>
      <c r="E4672" t="s">
        <v>1587</v>
      </c>
    </row>
    <row r="4673" spans="3:5">
      <c r="C4673">
        <v>45.96</v>
      </c>
      <c r="D4673" s="17">
        <v>42583</v>
      </c>
      <c r="E4673" t="s">
        <v>1587</v>
      </c>
    </row>
    <row r="4674" spans="3:5">
      <c r="C4674">
        <v>45.98</v>
      </c>
      <c r="D4674" s="17">
        <v>41856</v>
      </c>
      <c r="E4674" t="s">
        <v>1449</v>
      </c>
    </row>
    <row r="4675" spans="3:5">
      <c r="C4675">
        <v>45.98</v>
      </c>
      <c r="D4675" s="17">
        <v>42394</v>
      </c>
      <c r="E4675" t="s">
        <v>288</v>
      </c>
    </row>
    <row r="4676" spans="3:5">
      <c r="C4676">
        <v>45.98</v>
      </c>
      <c r="D4676" s="17">
        <v>42440</v>
      </c>
      <c r="E4676" t="s">
        <v>1135</v>
      </c>
    </row>
    <row r="4677" spans="3:5">
      <c r="C4677">
        <v>45.98</v>
      </c>
      <c r="D4677" s="17">
        <v>42558</v>
      </c>
      <c r="E4677" t="s">
        <v>1449</v>
      </c>
    </row>
    <row r="4678" spans="3:5">
      <c r="C4678">
        <v>45.99</v>
      </c>
      <c r="D4678" s="17">
        <v>42152</v>
      </c>
      <c r="E4678" t="s">
        <v>1167</v>
      </c>
    </row>
    <row r="4679" spans="3:5">
      <c r="C4679">
        <v>46</v>
      </c>
      <c r="D4679" s="17">
        <v>42442</v>
      </c>
      <c r="E4679" t="s">
        <v>640</v>
      </c>
    </row>
    <row r="4680" spans="3:5">
      <c r="C4680">
        <v>46.152000000000001</v>
      </c>
      <c r="D4680" s="17">
        <v>42227</v>
      </c>
      <c r="E4680" t="s">
        <v>244</v>
      </c>
    </row>
    <row r="4681" spans="3:5">
      <c r="C4681">
        <v>46.2</v>
      </c>
      <c r="D4681" s="17">
        <v>42282</v>
      </c>
      <c r="E4681" t="s">
        <v>1119</v>
      </c>
    </row>
    <row r="4682" spans="3:5">
      <c r="C4682">
        <v>46.2</v>
      </c>
      <c r="D4682" s="17">
        <v>42812</v>
      </c>
      <c r="E4682" t="s">
        <v>392</v>
      </c>
    </row>
    <row r="4683" spans="3:5">
      <c r="C4683">
        <v>46.2</v>
      </c>
      <c r="D4683" s="17">
        <v>42869</v>
      </c>
      <c r="E4683" t="s">
        <v>437</v>
      </c>
    </row>
    <row r="4684" spans="3:5">
      <c r="C4684">
        <v>46.24</v>
      </c>
      <c r="D4684" s="17">
        <v>42772</v>
      </c>
      <c r="E4684" t="s">
        <v>219</v>
      </c>
    </row>
    <row r="4685" spans="3:5">
      <c r="C4685">
        <v>46.26</v>
      </c>
      <c r="D4685" s="17">
        <v>41910</v>
      </c>
      <c r="E4685" t="s">
        <v>1160</v>
      </c>
    </row>
    <row r="4686" spans="3:5">
      <c r="C4686">
        <v>46.26</v>
      </c>
      <c r="D4686" s="17">
        <v>43045</v>
      </c>
      <c r="E4686" t="s">
        <v>1385</v>
      </c>
    </row>
    <row r="4687" spans="3:5">
      <c r="C4687">
        <v>46.32</v>
      </c>
      <c r="D4687" s="17">
        <v>42253</v>
      </c>
      <c r="E4687" t="s">
        <v>1175</v>
      </c>
    </row>
    <row r="4688" spans="3:5">
      <c r="C4688">
        <v>46.344000000000001</v>
      </c>
      <c r="D4688" s="17">
        <v>42349</v>
      </c>
      <c r="E4688" t="s">
        <v>1206</v>
      </c>
    </row>
    <row r="4689" spans="3:5">
      <c r="C4689">
        <v>46.349999999999994</v>
      </c>
      <c r="D4689" s="17">
        <v>41954</v>
      </c>
      <c r="E4689" t="s">
        <v>854</v>
      </c>
    </row>
    <row r="4690" spans="3:5">
      <c r="C4690">
        <v>46.349999999999994</v>
      </c>
      <c r="D4690" s="17">
        <v>42537</v>
      </c>
      <c r="E4690" t="s">
        <v>854</v>
      </c>
    </row>
    <row r="4691" spans="3:5">
      <c r="C4691">
        <v>46.36</v>
      </c>
      <c r="D4691" s="17">
        <v>43022</v>
      </c>
      <c r="E4691" t="s">
        <v>389</v>
      </c>
    </row>
    <row r="4692" spans="3:5">
      <c r="C4692">
        <v>46.384</v>
      </c>
      <c r="D4692" s="17">
        <v>41945</v>
      </c>
      <c r="E4692" t="s">
        <v>1248</v>
      </c>
    </row>
    <row r="4693" spans="3:5">
      <c r="C4693">
        <v>46.384</v>
      </c>
      <c r="D4693" s="17">
        <v>42262</v>
      </c>
      <c r="E4693" t="s">
        <v>282</v>
      </c>
    </row>
    <row r="4694" spans="3:5">
      <c r="C4694">
        <v>46.440000000000005</v>
      </c>
      <c r="D4694" s="17">
        <v>41866</v>
      </c>
      <c r="E4694" t="s">
        <v>204</v>
      </c>
    </row>
    <row r="4695" spans="3:5">
      <c r="C4695">
        <v>46.51</v>
      </c>
      <c r="D4695" s="17">
        <v>42810</v>
      </c>
      <c r="E4695" t="s">
        <v>370</v>
      </c>
    </row>
    <row r="4696" spans="3:5">
      <c r="C4696">
        <v>46.53</v>
      </c>
      <c r="D4696" s="17">
        <v>42615</v>
      </c>
      <c r="E4696" t="s">
        <v>384</v>
      </c>
    </row>
    <row r="4697" spans="3:5">
      <c r="C4697">
        <v>46.53</v>
      </c>
      <c r="D4697" s="17">
        <v>42721</v>
      </c>
      <c r="E4697" t="s">
        <v>1541</v>
      </c>
    </row>
    <row r="4698" spans="3:5">
      <c r="C4698">
        <v>46.53</v>
      </c>
      <c r="D4698" s="17">
        <v>42811</v>
      </c>
      <c r="E4698" t="s">
        <v>384</v>
      </c>
    </row>
    <row r="4699" spans="3:5">
      <c r="C4699">
        <v>46.62</v>
      </c>
      <c r="D4699" s="17">
        <v>42253</v>
      </c>
      <c r="E4699" t="s">
        <v>473</v>
      </c>
    </row>
    <row r="4700" spans="3:5">
      <c r="C4700">
        <v>46.64</v>
      </c>
      <c r="D4700" s="17">
        <v>41974</v>
      </c>
      <c r="E4700" t="s">
        <v>1591</v>
      </c>
    </row>
    <row r="4701" spans="3:5">
      <c r="C4701">
        <v>46.672000000000004</v>
      </c>
      <c r="D4701" s="17">
        <v>43007</v>
      </c>
      <c r="E4701" t="s">
        <v>757</v>
      </c>
    </row>
    <row r="4702" spans="3:5">
      <c r="C4702">
        <v>46.672000000000004</v>
      </c>
      <c r="D4702" s="17">
        <v>43087</v>
      </c>
      <c r="E4702" t="s">
        <v>757</v>
      </c>
    </row>
    <row r="4703" spans="3:5">
      <c r="C4703">
        <v>46.688000000000002</v>
      </c>
      <c r="D4703" s="17">
        <v>41889</v>
      </c>
      <c r="E4703" t="s">
        <v>1814</v>
      </c>
    </row>
    <row r="4704" spans="3:5">
      <c r="C4704">
        <v>46.688000000000002</v>
      </c>
      <c r="D4704" s="17">
        <v>42134</v>
      </c>
      <c r="E4704" t="s">
        <v>1814</v>
      </c>
    </row>
    <row r="4705" spans="3:5">
      <c r="C4705">
        <v>46.72</v>
      </c>
      <c r="D4705" s="17">
        <v>41975</v>
      </c>
      <c r="E4705" t="s">
        <v>1433</v>
      </c>
    </row>
    <row r="4706" spans="3:5">
      <c r="C4706">
        <v>46.72</v>
      </c>
      <c r="D4706" s="17">
        <v>42425</v>
      </c>
      <c r="E4706" t="s">
        <v>79</v>
      </c>
    </row>
    <row r="4707" spans="3:5">
      <c r="C4707">
        <v>46.74</v>
      </c>
      <c r="D4707" s="17">
        <v>42079</v>
      </c>
      <c r="E4707" t="s">
        <v>823</v>
      </c>
    </row>
    <row r="4708" spans="3:5">
      <c r="C4708">
        <v>46.74</v>
      </c>
      <c r="D4708" s="17">
        <v>42959</v>
      </c>
      <c r="E4708" t="s">
        <v>823</v>
      </c>
    </row>
    <row r="4709" spans="3:5">
      <c r="C4709">
        <v>46.76</v>
      </c>
      <c r="D4709" s="17">
        <v>42541</v>
      </c>
      <c r="E4709" t="s">
        <v>423</v>
      </c>
    </row>
    <row r="4710" spans="3:5">
      <c r="C4710">
        <v>46.76</v>
      </c>
      <c r="D4710" s="17">
        <v>43059</v>
      </c>
      <c r="E4710" t="s">
        <v>461</v>
      </c>
    </row>
    <row r="4711" spans="3:5">
      <c r="C4711">
        <v>46.8</v>
      </c>
      <c r="D4711" s="17">
        <v>41763</v>
      </c>
      <c r="E4711" t="s">
        <v>478</v>
      </c>
    </row>
    <row r="4712" spans="3:5">
      <c r="C4712">
        <v>46.8</v>
      </c>
      <c r="D4712" s="17">
        <v>42768</v>
      </c>
      <c r="E4712" t="s">
        <v>202</v>
      </c>
    </row>
    <row r="4713" spans="3:5">
      <c r="C4713">
        <v>46.84</v>
      </c>
      <c r="D4713" s="17">
        <v>42308</v>
      </c>
      <c r="E4713" t="s">
        <v>88</v>
      </c>
    </row>
    <row r="4714" spans="3:5">
      <c r="C4714">
        <v>46.864000000000004</v>
      </c>
      <c r="D4714" s="17">
        <v>41770</v>
      </c>
      <c r="E4714" t="s">
        <v>1501</v>
      </c>
    </row>
    <row r="4715" spans="3:5">
      <c r="C4715">
        <v>46.864000000000004</v>
      </c>
      <c r="D4715" s="17">
        <v>43091</v>
      </c>
      <c r="E4715" t="s">
        <v>1501</v>
      </c>
    </row>
    <row r="4716" spans="3:5">
      <c r="C4716">
        <v>46.872</v>
      </c>
      <c r="D4716" s="17">
        <v>41922</v>
      </c>
      <c r="E4716" t="s">
        <v>339</v>
      </c>
    </row>
    <row r="4717" spans="3:5">
      <c r="C4717">
        <v>46.900000000000006</v>
      </c>
      <c r="D4717" s="17">
        <v>42087</v>
      </c>
      <c r="E4717" t="s">
        <v>445</v>
      </c>
    </row>
    <row r="4718" spans="3:5">
      <c r="C4718">
        <v>46.94</v>
      </c>
      <c r="D4718" s="17">
        <v>43066</v>
      </c>
      <c r="E4718" t="s">
        <v>1432</v>
      </c>
    </row>
    <row r="4719" spans="3:5">
      <c r="C4719">
        <v>46.96</v>
      </c>
      <c r="D4719" s="17">
        <v>43037</v>
      </c>
      <c r="E4719" t="s">
        <v>631</v>
      </c>
    </row>
    <row r="4720" spans="3:5">
      <c r="C4720">
        <v>47.01</v>
      </c>
      <c r="D4720" s="17">
        <v>42818</v>
      </c>
      <c r="E4720" t="s">
        <v>427</v>
      </c>
    </row>
    <row r="4721" spans="3:5">
      <c r="C4721">
        <v>47.04</v>
      </c>
      <c r="D4721" s="17">
        <v>42225</v>
      </c>
      <c r="E4721" t="s">
        <v>165</v>
      </c>
    </row>
    <row r="4722" spans="3:5">
      <c r="C4722">
        <v>47.04</v>
      </c>
      <c r="D4722" s="17">
        <v>42533</v>
      </c>
      <c r="E4722" t="s">
        <v>165</v>
      </c>
    </row>
    <row r="4723" spans="3:5">
      <c r="C4723">
        <v>47.04</v>
      </c>
      <c r="D4723" s="17">
        <v>42612</v>
      </c>
      <c r="E4723" t="s">
        <v>1562</v>
      </c>
    </row>
    <row r="4724" spans="3:5">
      <c r="C4724">
        <v>47.12</v>
      </c>
      <c r="D4724" s="17">
        <v>43003</v>
      </c>
      <c r="E4724" t="s">
        <v>771</v>
      </c>
    </row>
    <row r="4725" spans="3:5">
      <c r="C4725">
        <v>47.12</v>
      </c>
      <c r="D4725" s="17">
        <v>43048</v>
      </c>
      <c r="E4725" t="s">
        <v>771</v>
      </c>
    </row>
    <row r="4726" spans="3:5">
      <c r="C4726">
        <v>47.18</v>
      </c>
      <c r="D4726" s="17">
        <v>41715</v>
      </c>
      <c r="E4726" t="s">
        <v>1771</v>
      </c>
    </row>
    <row r="4727" spans="3:5">
      <c r="C4727">
        <v>47.19</v>
      </c>
      <c r="D4727" s="17">
        <v>42275</v>
      </c>
      <c r="E4727" t="s">
        <v>73</v>
      </c>
    </row>
    <row r="4728" spans="3:5">
      <c r="C4728">
        <v>47.207999999999998</v>
      </c>
      <c r="D4728" s="17">
        <v>42710</v>
      </c>
      <c r="E4728" t="s">
        <v>1067</v>
      </c>
    </row>
    <row r="4729" spans="3:5">
      <c r="C4729">
        <v>47.3</v>
      </c>
      <c r="D4729" s="17">
        <v>41993</v>
      </c>
      <c r="E4729" t="s">
        <v>603</v>
      </c>
    </row>
    <row r="4730" spans="3:5">
      <c r="C4730">
        <v>47.3</v>
      </c>
      <c r="D4730" s="17">
        <v>42852</v>
      </c>
      <c r="E4730" t="s">
        <v>603</v>
      </c>
    </row>
    <row r="4731" spans="3:5">
      <c r="C4731">
        <v>47.32</v>
      </c>
      <c r="D4731" s="17">
        <v>43072</v>
      </c>
      <c r="E4731" t="s">
        <v>1491</v>
      </c>
    </row>
    <row r="4732" spans="3:5">
      <c r="C4732">
        <v>47.360000000000007</v>
      </c>
      <c r="D4732" s="17">
        <v>42138</v>
      </c>
      <c r="E4732" t="s">
        <v>843</v>
      </c>
    </row>
    <row r="4733" spans="3:5">
      <c r="C4733">
        <v>47.360000000000007</v>
      </c>
      <c r="D4733" s="17">
        <v>42976</v>
      </c>
      <c r="E4733" t="s">
        <v>644</v>
      </c>
    </row>
    <row r="4734" spans="3:5">
      <c r="C4734">
        <v>47.400000000000006</v>
      </c>
      <c r="D4734" s="17">
        <v>42520</v>
      </c>
      <c r="E4734" t="s">
        <v>102</v>
      </c>
    </row>
    <row r="4735" spans="3:5">
      <c r="C4735">
        <v>47.400000000000006</v>
      </c>
      <c r="D4735" s="17">
        <v>42993</v>
      </c>
      <c r="E4735" t="s">
        <v>584</v>
      </c>
    </row>
    <row r="4736" spans="3:5">
      <c r="C4736">
        <v>47.496000000000002</v>
      </c>
      <c r="D4736" s="17">
        <v>41962</v>
      </c>
      <c r="E4736" t="s">
        <v>1168</v>
      </c>
    </row>
    <row r="4737" spans="3:5">
      <c r="C4737">
        <v>47.515999999999991</v>
      </c>
      <c r="D4737" s="17">
        <v>42254</v>
      </c>
      <c r="E4737" t="s">
        <v>1282</v>
      </c>
    </row>
    <row r="4738" spans="3:5">
      <c r="C4738">
        <v>47.52</v>
      </c>
      <c r="D4738" s="17">
        <v>42603</v>
      </c>
      <c r="E4738" t="s">
        <v>1274</v>
      </c>
    </row>
    <row r="4739" spans="3:5">
      <c r="C4739">
        <v>47.52</v>
      </c>
      <c r="D4739" s="17">
        <v>42987</v>
      </c>
      <c r="E4739" t="s">
        <v>1166</v>
      </c>
    </row>
    <row r="4740" spans="3:5">
      <c r="C4740">
        <v>47.53</v>
      </c>
      <c r="D4740" s="17">
        <v>42004</v>
      </c>
      <c r="E4740" t="s">
        <v>1472</v>
      </c>
    </row>
    <row r="4741" spans="3:5">
      <c r="C4741">
        <v>47.584000000000003</v>
      </c>
      <c r="D4741" s="17">
        <v>42996</v>
      </c>
      <c r="E4741" t="s">
        <v>1222</v>
      </c>
    </row>
    <row r="4742" spans="3:5">
      <c r="C4742">
        <v>47.616</v>
      </c>
      <c r="D4742" s="17">
        <v>42377</v>
      </c>
      <c r="E4742" t="s">
        <v>60</v>
      </c>
    </row>
    <row r="4743" spans="3:5">
      <c r="C4743">
        <v>47.616</v>
      </c>
      <c r="D4743" s="17">
        <v>42559</v>
      </c>
      <c r="E4743" t="s">
        <v>327</v>
      </c>
    </row>
    <row r="4744" spans="3:5">
      <c r="C4744">
        <v>47.616</v>
      </c>
      <c r="D4744" s="17">
        <v>42735</v>
      </c>
      <c r="E4744" t="s">
        <v>327</v>
      </c>
    </row>
    <row r="4745" spans="3:5">
      <c r="C4745">
        <v>47.744</v>
      </c>
      <c r="D4745" s="17">
        <v>42509</v>
      </c>
      <c r="E4745" t="s">
        <v>749</v>
      </c>
    </row>
    <row r="4746" spans="3:5">
      <c r="C4746">
        <v>47.79</v>
      </c>
      <c r="D4746" s="17">
        <v>41759</v>
      </c>
      <c r="E4746" t="s">
        <v>1803</v>
      </c>
    </row>
    <row r="4747" spans="3:5">
      <c r="C4747">
        <v>47.79</v>
      </c>
      <c r="D4747" s="17">
        <v>41948</v>
      </c>
      <c r="E4747" t="s">
        <v>1803</v>
      </c>
    </row>
    <row r="4748" spans="3:5">
      <c r="C4748">
        <v>47.808000000000007</v>
      </c>
      <c r="D4748" s="17">
        <v>41944</v>
      </c>
      <c r="E4748" t="s">
        <v>1371</v>
      </c>
    </row>
    <row r="4749" spans="3:5">
      <c r="C4749">
        <v>47.82</v>
      </c>
      <c r="D4749" s="17">
        <v>42152</v>
      </c>
      <c r="E4749" t="s">
        <v>1847</v>
      </c>
    </row>
    <row r="4750" spans="3:5">
      <c r="C4750">
        <v>47.88</v>
      </c>
      <c r="D4750" s="17">
        <v>41791</v>
      </c>
      <c r="E4750" t="s">
        <v>772</v>
      </c>
    </row>
    <row r="4751" spans="3:5">
      <c r="C4751">
        <v>47.9</v>
      </c>
      <c r="D4751" s="17">
        <v>42705</v>
      </c>
      <c r="E4751" t="s">
        <v>1303</v>
      </c>
    </row>
    <row r="4752" spans="3:5">
      <c r="C4752">
        <v>47.9</v>
      </c>
      <c r="D4752" s="17">
        <v>42727</v>
      </c>
      <c r="E4752" t="s">
        <v>1221</v>
      </c>
    </row>
    <row r="4753" spans="3:5">
      <c r="C4753">
        <v>47.904000000000003</v>
      </c>
      <c r="D4753" s="17">
        <v>42787</v>
      </c>
      <c r="E4753" t="s">
        <v>273</v>
      </c>
    </row>
    <row r="4754" spans="3:5">
      <c r="C4754">
        <v>47.92</v>
      </c>
      <c r="D4754" s="17">
        <v>42516</v>
      </c>
      <c r="E4754" t="s">
        <v>1583</v>
      </c>
    </row>
    <row r="4755" spans="3:5">
      <c r="C4755">
        <v>47.94</v>
      </c>
      <c r="D4755" s="17">
        <v>42985</v>
      </c>
      <c r="E4755" t="s">
        <v>1149</v>
      </c>
    </row>
    <row r="4756" spans="3:5">
      <c r="C4756">
        <v>47.952000000000005</v>
      </c>
      <c r="D4756" s="17">
        <v>42100</v>
      </c>
      <c r="E4756" t="s">
        <v>1333</v>
      </c>
    </row>
    <row r="4757" spans="3:5">
      <c r="C4757">
        <v>47.952000000000005</v>
      </c>
      <c r="D4757" s="17">
        <v>42180</v>
      </c>
      <c r="E4757" t="s">
        <v>1333</v>
      </c>
    </row>
    <row r="4758" spans="3:5">
      <c r="C4758">
        <v>47.952000000000005</v>
      </c>
      <c r="D4758" s="17">
        <v>42671</v>
      </c>
      <c r="E4758" t="s">
        <v>700</v>
      </c>
    </row>
    <row r="4759" spans="3:5">
      <c r="C4759">
        <v>47.952000000000005</v>
      </c>
      <c r="D4759" s="17">
        <v>42678</v>
      </c>
      <c r="E4759" t="s">
        <v>973</v>
      </c>
    </row>
    <row r="4760" spans="3:5">
      <c r="C4760">
        <v>47.952000000000005</v>
      </c>
      <c r="D4760" s="17">
        <v>42869</v>
      </c>
      <c r="E4760" t="s">
        <v>690</v>
      </c>
    </row>
    <row r="4761" spans="3:5">
      <c r="C4761">
        <v>47.952000000000005</v>
      </c>
      <c r="D4761" s="17">
        <v>43036</v>
      </c>
      <c r="E4761" t="s">
        <v>690</v>
      </c>
    </row>
    <row r="4762" spans="3:5">
      <c r="C4762">
        <v>47.952000000000005</v>
      </c>
      <c r="D4762" s="17">
        <v>43045</v>
      </c>
      <c r="E4762" t="s">
        <v>121</v>
      </c>
    </row>
    <row r="4763" spans="3:5">
      <c r="C4763">
        <v>47.96</v>
      </c>
      <c r="D4763" s="17">
        <v>41863</v>
      </c>
      <c r="E4763" t="s">
        <v>510</v>
      </c>
    </row>
    <row r="4764" spans="3:5">
      <c r="C4764">
        <v>47.96</v>
      </c>
      <c r="D4764" s="17">
        <v>43071</v>
      </c>
      <c r="E4764" t="s">
        <v>510</v>
      </c>
    </row>
    <row r="4765" spans="3:5">
      <c r="C4765">
        <v>47.968000000000004</v>
      </c>
      <c r="D4765" s="17">
        <v>42729</v>
      </c>
      <c r="E4765" t="s">
        <v>1568</v>
      </c>
    </row>
    <row r="4766" spans="3:5">
      <c r="C4766">
        <v>47.97</v>
      </c>
      <c r="D4766" s="17">
        <v>42608</v>
      </c>
      <c r="E4766" t="s">
        <v>811</v>
      </c>
    </row>
    <row r="4767" spans="3:5">
      <c r="C4767">
        <v>47.975999999999999</v>
      </c>
      <c r="D4767" s="17">
        <v>42096</v>
      </c>
      <c r="E4767" t="s">
        <v>1389</v>
      </c>
    </row>
    <row r="4768" spans="3:5">
      <c r="C4768">
        <v>47.975999999999999</v>
      </c>
      <c r="D4768" s="17">
        <v>42359</v>
      </c>
      <c r="E4768" t="s">
        <v>198</v>
      </c>
    </row>
    <row r="4769" spans="3:5">
      <c r="C4769">
        <v>47.975999999999999</v>
      </c>
      <c r="D4769" s="17">
        <v>42846</v>
      </c>
      <c r="E4769" t="s">
        <v>576</v>
      </c>
    </row>
    <row r="4770" spans="3:5">
      <c r="C4770">
        <v>47.975999999999999</v>
      </c>
      <c r="D4770" s="17">
        <v>42901</v>
      </c>
      <c r="E4770" t="s">
        <v>198</v>
      </c>
    </row>
    <row r="4771" spans="3:5">
      <c r="C4771">
        <v>47.98</v>
      </c>
      <c r="D4771" s="17">
        <v>42269</v>
      </c>
      <c r="E4771" t="s">
        <v>321</v>
      </c>
    </row>
    <row r="4772" spans="3:5">
      <c r="C4772">
        <v>47.98</v>
      </c>
      <c r="D4772" s="17">
        <v>43036</v>
      </c>
      <c r="E4772" t="s">
        <v>1354</v>
      </c>
    </row>
    <row r="4773" spans="3:5">
      <c r="C4773">
        <v>47.984000000000002</v>
      </c>
      <c r="D4773" s="17">
        <v>41899</v>
      </c>
      <c r="E4773" t="s">
        <v>1210</v>
      </c>
    </row>
    <row r="4774" spans="3:5">
      <c r="C4774">
        <v>47.984000000000002</v>
      </c>
      <c r="D4774" s="17">
        <v>42003</v>
      </c>
      <c r="E4774" t="s">
        <v>108</v>
      </c>
    </row>
    <row r="4775" spans="3:5">
      <c r="C4775">
        <v>47.984000000000002</v>
      </c>
      <c r="D4775" s="17">
        <v>42280</v>
      </c>
      <c r="E4775" t="s">
        <v>1231</v>
      </c>
    </row>
    <row r="4776" spans="3:5">
      <c r="C4776">
        <v>47.984000000000002</v>
      </c>
      <c r="D4776" s="17">
        <v>42322</v>
      </c>
      <c r="E4776" t="s">
        <v>1207</v>
      </c>
    </row>
    <row r="4777" spans="3:5">
      <c r="C4777">
        <v>47.984000000000002</v>
      </c>
      <c r="D4777" s="17">
        <v>42343</v>
      </c>
      <c r="E4777" t="s">
        <v>694</v>
      </c>
    </row>
    <row r="4778" spans="3:5">
      <c r="C4778">
        <v>47.984000000000002</v>
      </c>
      <c r="D4778" s="17">
        <v>42608</v>
      </c>
      <c r="E4778" t="s">
        <v>1210</v>
      </c>
    </row>
    <row r="4779" spans="3:5">
      <c r="C4779">
        <v>47.984000000000002</v>
      </c>
      <c r="D4779" s="17">
        <v>42750</v>
      </c>
      <c r="E4779" t="s">
        <v>108</v>
      </c>
    </row>
    <row r="4780" spans="3:5">
      <c r="C4780">
        <v>47.984000000000002</v>
      </c>
      <c r="D4780" s="17">
        <v>42899</v>
      </c>
      <c r="E4780" t="s">
        <v>837</v>
      </c>
    </row>
    <row r="4781" spans="3:5">
      <c r="C4781">
        <v>47.984000000000002</v>
      </c>
      <c r="D4781" s="17">
        <v>42994</v>
      </c>
      <c r="E4781" t="s">
        <v>108</v>
      </c>
    </row>
    <row r="4782" spans="3:5">
      <c r="C4782">
        <v>47.984000000000002</v>
      </c>
      <c r="D4782" s="17">
        <v>43001</v>
      </c>
      <c r="E4782" t="s">
        <v>694</v>
      </c>
    </row>
    <row r="4783" spans="3:5">
      <c r="C4783">
        <v>47.991999999999997</v>
      </c>
      <c r="D4783" s="17">
        <v>42685</v>
      </c>
      <c r="E4783" t="s">
        <v>656</v>
      </c>
    </row>
    <row r="4784" spans="3:5">
      <c r="C4784">
        <v>47.991999999999997</v>
      </c>
      <c r="D4784" s="17">
        <v>42863</v>
      </c>
      <c r="E4784" t="s">
        <v>656</v>
      </c>
    </row>
    <row r="4785" spans="3:5">
      <c r="C4785">
        <v>47.992000000000004</v>
      </c>
      <c r="D4785" s="17">
        <v>41973</v>
      </c>
      <c r="E4785" t="s">
        <v>176</v>
      </c>
    </row>
    <row r="4786" spans="3:5">
      <c r="C4786">
        <v>47.992000000000004</v>
      </c>
      <c r="D4786" s="17">
        <v>43072</v>
      </c>
      <c r="E4786" t="s">
        <v>649</v>
      </c>
    </row>
    <row r="4787" spans="3:5">
      <c r="C4787">
        <v>48.032000000000004</v>
      </c>
      <c r="D4787" s="17">
        <v>42470</v>
      </c>
      <c r="E4787" t="s">
        <v>1052</v>
      </c>
    </row>
    <row r="4788" spans="3:5">
      <c r="C4788">
        <v>48.16</v>
      </c>
      <c r="D4788" s="17">
        <v>42616</v>
      </c>
      <c r="E4788" t="s">
        <v>623</v>
      </c>
    </row>
    <row r="4789" spans="3:5">
      <c r="C4789">
        <v>48.36</v>
      </c>
      <c r="D4789" s="17">
        <v>42002</v>
      </c>
      <c r="E4789" t="s">
        <v>1172</v>
      </c>
    </row>
    <row r="4790" spans="3:5">
      <c r="C4790">
        <v>48.4</v>
      </c>
      <c r="D4790" s="17">
        <v>41785</v>
      </c>
      <c r="E4790" t="s">
        <v>1507</v>
      </c>
    </row>
    <row r="4791" spans="3:5">
      <c r="C4791">
        <v>48.480000000000004</v>
      </c>
      <c r="D4791" s="17">
        <v>42538</v>
      </c>
      <c r="E4791" t="s">
        <v>1235</v>
      </c>
    </row>
    <row r="4792" spans="3:5">
      <c r="C4792">
        <v>48.576000000000001</v>
      </c>
      <c r="D4792" s="17">
        <v>42688</v>
      </c>
      <c r="E4792" t="s">
        <v>1635</v>
      </c>
    </row>
    <row r="4793" spans="3:5">
      <c r="C4793">
        <v>48.58</v>
      </c>
      <c r="D4793" s="17">
        <v>42399</v>
      </c>
      <c r="E4793" t="s">
        <v>850</v>
      </c>
    </row>
    <row r="4794" spans="3:5">
      <c r="C4794">
        <v>48.631999999999991</v>
      </c>
      <c r="D4794" s="17">
        <v>42194</v>
      </c>
      <c r="E4794" t="s">
        <v>571</v>
      </c>
    </row>
    <row r="4795" spans="3:5">
      <c r="C4795">
        <v>48.64</v>
      </c>
      <c r="D4795" s="17">
        <v>42633</v>
      </c>
      <c r="E4795" t="s">
        <v>831</v>
      </c>
    </row>
    <row r="4796" spans="3:5">
      <c r="C4796">
        <v>48.664000000000001</v>
      </c>
      <c r="D4796" s="17">
        <v>42628</v>
      </c>
      <c r="E4796" t="s">
        <v>421</v>
      </c>
    </row>
    <row r="4797" spans="3:5">
      <c r="C4797">
        <v>48.671999999999997</v>
      </c>
      <c r="D4797" s="17">
        <v>42166</v>
      </c>
      <c r="E4797" t="s">
        <v>1831</v>
      </c>
    </row>
    <row r="4798" spans="3:5">
      <c r="C4798">
        <v>48.69</v>
      </c>
      <c r="D4798" s="17">
        <v>42869</v>
      </c>
      <c r="E4798" t="s">
        <v>685</v>
      </c>
    </row>
    <row r="4799" spans="3:5">
      <c r="C4799">
        <v>48.712000000000003</v>
      </c>
      <c r="D4799" s="17">
        <v>41705</v>
      </c>
      <c r="E4799" t="s">
        <v>1609</v>
      </c>
    </row>
    <row r="4800" spans="3:5">
      <c r="C4800">
        <v>48.72</v>
      </c>
      <c r="D4800" s="17">
        <v>42707</v>
      </c>
      <c r="E4800" t="s">
        <v>422</v>
      </c>
    </row>
    <row r="4801" spans="3:5">
      <c r="C4801">
        <v>48.783999999999985</v>
      </c>
      <c r="D4801" s="17">
        <v>42499</v>
      </c>
      <c r="E4801" t="s">
        <v>342</v>
      </c>
    </row>
    <row r="4802" spans="3:5">
      <c r="C4802">
        <v>48.783999999999999</v>
      </c>
      <c r="D4802" s="17">
        <v>42804</v>
      </c>
      <c r="E4802" t="s">
        <v>342</v>
      </c>
    </row>
    <row r="4803" spans="3:5">
      <c r="C4803">
        <v>48.791999999999987</v>
      </c>
      <c r="D4803" s="17">
        <v>42481</v>
      </c>
      <c r="E4803" t="s">
        <v>1182</v>
      </c>
    </row>
    <row r="4804" spans="3:5">
      <c r="C4804">
        <v>48.81</v>
      </c>
      <c r="D4804" s="17">
        <v>42133</v>
      </c>
      <c r="E4804" t="s">
        <v>667</v>
      </c>
    </row>
    <row r="4805" spans="3:5">
      <c r="C4805">
        <v>48.816000000000003</v>
      </c>
      <c r="D4805" s="17">
        <v>42878</v>
      </c>
      <c r="E4805" t="s">
        <v>72</v>
      </c>
    </row>
    <row r="4806" spans="3:5">
      <c r="C4806">
        <v>48.84</v>
      </c>
      <c r="D4806" s="17">
        <v>41876</v>
      </c>
      <c r="E4806" t="s">
        <v>1638</v>
      </c>
    </row>
    <row r="4807" spans="3:5">
      <c r="C4807">
        <v>48.848000000000006</v>
      </c>
      <c r="D4807" s="17">
        <v>42692</v>
      </c>
      <c r="E4807" t="s">
        <v>330</v>
      </c>
    </row>
    <row r="4808" spans="3:5">
      <c r="C4808">
        <v>48.86</v>
      </c>
      <c r="D4808" s="17">
        <v>41799</v>
      </c>
      <c r="E4808" t="s">
        <v>111</v>
      </c>
    </row>
    <row r="4809" spans="3:5">
      <c r="C4809">
        <v>48.86</v>
      </c>
      <c r="D4809" s="17">
        <v>43055</v>
      </c>
      <c r="E4809" t="s">
        <v>890</v>
      </c>
    </row>
    <row r="4810" spans="3:5">
      <c r="C4810">
        <v>48.87</v>
      </c>
      <c r="D4810" s="17">
        <v>43064</v>
      </c>
      <c r="E4810" t="s">
        <v>1348</v>
      </c>
    </row>
    <row r="4811" spans="3:5">
      <c r="C4811">
        <v>48.896000000000001</v>
      </c>
      <c r="D4811" s="17">
        <v>41946</v>
      </c>
      <c r="E4811" t="s">
        <v>598</v>
      </c>
    </row>
    <row r="4812" spans="3:5">
      <c r="C4812">
        <v>48.896000000000001</v>
      </c>
      <c r="D4812" s="17">
        <v>42736</v>
      </c>
      <c r="E4812" t="s">
        <v>48</v>
      </c>
    </row>
    <row r="4813" spans="3:5">
      <c r="C4813">
        <v>48.9</v>
      </c>
      <c r="D4813" s="17">
        <v>42856</v>
      </c>
      <c r="E4813" t="s">
        <v>109</v>
      </c>
    </row>
    <row r="4814" spans="3:5">
      <c r="C4814">
        <v>48.91</v>
      </c>
      <c r="D4814" s="17">
        <v>41752</v>
      </c>
      <c r="E4814" t="s">
        <v>505</v>
      </c>
    </row>
    <row r="4815" spans="3:5">
      <c r="C4815">
        <v>48.94</v>
      </c>
      <c r="D4815" s="17">
        <v>41895</v>
      </c>
      <c r="E4815" t="s">
        <v>506</v>
      </c>
    </row>
    <row r="4816" spans="3:5">
      <c r="C4816">
        <v>48.94</v>
      </c>
      <c r="D4816" s="17">
        <v>41912</v>
      </c>
      <c r="E4816" t="s">
        <v>1422</v>
      </c>
    </row>
    <row r="4817" spans="3:5">
      <c r="C4817">
        <v>48.94</v>
      </c>
      <c r="D4817" s="17">
        <v>42558</v>
      </c>
      <c r="E4817" t="s">
        <v>506</v>
      </c>
    </row>
    <row r="4818" spans="3:5">
      <c r="C4818">
        <v>48.944000000000003</v>
      </c>
      <c r="D4818" s="17">
        <v>41848</v>
      </c>
      <c r="E4818" t="s">
        <v>1165</v>
      </c>
    </row>
    <row r="4819" spans="3:5">
      <c r="C4819">
        <v>49.08</v>
      </c>
      <c r="D4819" s="17">
        <v>42801</v>
      </c>
      <c r="E4819" t="s">
        <v>328</v>
      </c>
    </row>
    <row r="4820" spans="3:5">
      <c r="C4820">
        <v>49.08</v>
      </c>
      <c r="D4820" s="17">
        <v>43079</v>
      </c>
      <c r="E4820" t="s">
        <v>328</v>
      </c>
    </row>
    <row r="4821" spans="3:5">
      <c r="C4821">
        <v>49.12</v>
      </c>
      <c r="D4821" s="17">
        <v>41831</v>
      </c>
      <c r="E4821" t="s">
        <v>122</v>
      </c>
    </row>
    <row r="4822" spans="3:5">
      <c r="C4822">
        <v>49.12</v>
      </c>
      <c r="D4822" s="17">
        <v>41978</v>
      </c>
      <c r="E4822" t="s">
        <v>1424</v>
      </c>
    </row>
    <row r="4823" spans="3:5">
      <c r="C4823">
        <v>49.12</v>
      </c>
      <c r="D4823" s="17">
        <v>42056</v>
      </c>
      <c r="E4823" t="s">
        <v>296</v>
      </c>
    </row>
    <row r="4824" spans="3:5">
      <c r="C4824">
        <v>49.12</v>
      </c>
      <c r="D4824" s="17">
        <v>42614</v>
      </c>
      <c r="E4824" t="s">
        <v>122</v>
      </c>
    </row>
    <row r="4825" spans="3:5">
      <c r="C4825">
        <v>49.12</v>
      </c>
      <c r="D4825" s="17">
        <v>42716</v>
      </c>
      <c r="E4825" t="s">
        <v>873</v>
      </c>
    </row>
    <row r="4826" spans="3:5">
      <c r="C4826">
        <v>49.12</v>
      </c>
      <c r="D4826" s="17">
        <v>42895</v>
      </c>
      <c r="E4826" t="s">
        <v>296</v>
      </c>
    </row>
    <row r="4827" spans="3:5">
      <c r="C4827">
        <v>49.12</v>
      </c>
      <c r="D4827" s="17">
        <v>43010</v>
      </c>
      <c r="E4827" t="s">
        <v>873</v>
      </c>
    </row>
    <row r="4828" spans="3:5">
      <c r="C4828">
        <v>49.25</v>
      </c>
      <c r="D4828" s="17">
        <v>41943</v>
      </c>
      <c r="E4828" t="s">
        <v>383</v>
      </c>
    </row>
    <row r="4829" spans="3:5">
      <c r="C4829">
        <v>49.408000000000001</v>
      </c>
      <c r="D4829" s="17">
        <v>41937</v>
      </c>
      <c r="E4829" t="s">
        <v>297</v>
      </c>
    </row>
    <row r="4830" spans="3:5">
      <c r="C4830">
        <v>49.44</v>
      </c>
      <c r="D4830" s="17">
        <v>42696</v>
      </c>
      <c r="E4830" t="s">
        <v>879</v>
      </c>
    </row>
    <row r="4831" spans="3:5">
      <c r="C4831">
        <v>49.5</v>
      </c>
      <c r="D4831" s="17">
        <v>42691</v>
      </c>
      <c r="E4831" t="s">
        <v>194</v>
      </c>
    </row>
    <row r="4832" spans="3:5">
      <c r="C4832">
        <v>49.53</v>
      </c>
      <c r="D4832" s="17">
        <v>42632</v>
      </c>
      <c r="E4832" t="s">
        <v>1332</v>
      </c>
    </row>
    <row r="4833" spans="3:5">
      <c r="C4833">
        <v>49.536000000000001</v>
      </c>
      <c r="D4833" s="17">
        <v>42384</v>
      </c>
      <c r="E4833" t="s">
        <v>738</v>
      </c>
    </row>
    <row r="4834" spans="3:5">
      <c r="C4834">
        <v>49.536000000000001</v>
      </c>
      <c r="D4834" s="17">
        <v>42671</v>
      </c>
      <c r="E4834" t="s">
        <v>738</v>
      </c>
    </row>
    <row r="4835" spans="3:5">
      <c r="C4835">
        <v>49.56</v>
      </c>
      <c r="D4835" s="17">
        <v>42877</v>
      </c>
      <c r="E4835" t="s">
        <v>745</v>
      </c>
    </row>
    <row r="4836" spans="3:5">
      <c r="C4836">
        <v>49.568000000000005</v>
      </c>
      <c r="D4836" s="17">
        <v>41874</v>
      </c>
      <c r="E4836" t="s">
        <v>612</v>
      </c>
    </row>
    <row r="4837" spans="3:5">
      <c r="C4837">
        <v>49.568000000000005</v>
      </c>
      <c r="D4837" s="17">
        <v>42004</v>
      </c>
      <c r="E4837" t="s">
        <v>79</v>
      </c>
    </row>
    <row r="4838" spans="3:5">
      <c r="C4838">
        <v>49.568000000000005</v>
      </c>
      <c r="D4838" s="17">
        <v>42127</v>
      </c>
      <c r="E4838" t="s">
        <v>612</v>
      </c>
    </row>
    <row r="4839" spans="3:5">
      <c r="C4839">
        <v>49.568000000000005</v>
      </c>
      <c r="D4839" s="17">
        <v>42237</v>
      </c>
      <c r="E4839" t="s">
        <v>1710</v>
      </c>
    </row>
    <row r="4840" spans="3:5">
      <c r="C4840">
        <v>49.568000000000005</v>
      </c>
      <c r="D4840" s="17">
        <v>42496</v>
      </c>
      <c r="E4840" t="s">
        <v>444</v>
      </c>
    </row>
    <row r="4841" spans="3:5">
      <c r="C4841">
        <v>49.568000000000005</v>
      </c>
      <c r="D4841" s="17">
        <v>42970</v>
      </c>
      <c r="E4841" t="s">
        <v>1089</v>
      </c>
    </row>
    <row r="4842" spans="3:5">
      <c r="C4842">
        <v>49.616000000000007</v>
      </c>
      <c r="D4842" s="17">
        <v>42808</v>
      </c>
      <c r="E4842" t="s">
        <v>368</v>
      </c>
    </row>
    <row r="4843" spans="3:5">
      <c r="C4843">
        <v>49.616000000000007</v>
      </c>
      <c r="D4843" s="17">
        <v>43071</v>
      </c>
      <c r="E4843" t="s">
        <v>368</v>
      </c>
    </row>
    <row r="4844" spans="3:5">
      <c r="C4844">
        <v>49.632000000000005</v>
      </c>
      <c r="D4844" s="17">
        <v>41703</v>
      </c>
      <c r="E4844" t="s">
        <v>1502</v>
      </c>
    </row>
    <row r="4845" spans="3:5">
      <c r="C4845">
        <v>49.632000000000005</v>
      </c>
      <c r="D4845" s="17">
        <v>41734</v>
      </c>
      <c r="E4845" t="s">
        <v>384</v>
      </c>
    </row>
    <row r="4846" spans="3:5">
      <c r="C4846">
        <v>49.632000000000005</v>
      </c>
      <c r="D4846" s="17">
        <v>41955</v>
      </c>
      <c r="E4846" t="s">
        <v>1541</v>
      </c>
    </row>
    <row r="4847" spans="3:5">
      <c r="C4847">
        <v>49.65</v>
      </c>
      <c r="D4847" s="17">
        <v>41728</v>
      </c>
      <c r="E4847" t="s">
        <v>391</v>
      </c>
    </row>
    <row r="4848" spans="3:5">
      <c r="C4848">
        <v>49.76</v>
      </c>
      <c r="D4848" s="17">
        <v>42520</v>
      </c>
      <c r="E4848" t="s">
        <v>1314</v>
      </c>
    </row>
    <row r="4849" spans="3:5">
      <c r="C4849">
        <v>49.792000000000002</v>
      </c>
      <c r="D4849" s="17">
        <v>41737</v>
      </c>
      <c r="E4849" t="s">
        <v>1673</v>
      </c>
    </row>
    <row r="4850" spans="3:5">
      <c r="C4850">
        <v>49.847999999999999</v>
      </c>
      <c r="D4850" s="17">
        <v>42083</v>
      </c>
      <c r="E4850" t="s">
        <v>133</v>
      </c>
    </row>
    <row r="4851" spans="3:5">
      <c r="C4851">
        <v>49.847999999999999</v>
      </c>
      <c r="D4851" s="17">
        <v>42684</v>
      </c>
      <c r="E4851" t="s">
        <v>133</v>
      </c>
    </row>
    <row r="4852" spans="3:5">
      <c r="C4852">
        <v>49.96</v>
      </c>
      <c r="D4852" s="17">
        <v>43025</v>
      </c>
      <c r="E4852" t="s">
        <v>1324</v>
      </c>
    </row>
    <row r="4853" spans="3:5">
      <c r="C4853">
        <v>49.98</v>
      </c>
      <c r="D4853" s="17">
        <v>41890</v>
      </c>
      <c r="E4853" t="s">
        <v>559</v>
      </c>
    </row>
    <row r="4854" spans="3:5">
      <c r="C4854">
        <v>50</v>
      </c>
      <c r="D4854" s="17">
        <v>42273</v>
      </c>
      <c r="E4854" t="s">
        <v>1829</v>
      </c>
    </row>
    <row r="4855" spans="3:5">
      <c r="C4855">
        <v>50</v>
      </c>
      <c r="D4855" s="17">
        <v>42352</v>
      </c>
      <c r="E4855" t="s">
        <v>941</v>
      </c>
    </row>
    <row r="4856" spans="3:5">
      <c r="C4856">
        <v>50</v>
      </c>
      <c r="D4856" s="17">
        <v>42924</v>
      </c>
      <c r="E4856" t="s">
        <v>941</v>
      </c>
    </row>
    <row r="4857" spans="3:5">
      <c r="C4857">
        <v>50.04</v>
      </c>
      <c r="D4857" s="17">
        <v>43076</v>
      </c>
      <c r="E4857" t="s">
        <v>819</v>
      </c>
    </row>
    <row r="4858" spans="3:5">
      <c r="C4858">
        <v>50.112000000000002</v>
      </c>
      <c r="D4858" s="17">
        <v>42238</v>
      </c>
      <c r="E4858" t="s">
        <v>58</v>
      </c>
    </row>
    <row r="4859" spans="3:5">
      <c r="C4859">
        <v>50.12</v>
      </c>
      <c r="D4859" s="17">
        <v>42328</v>
      </c>
      <c r="E4859" t="s">
        <v>942</v>
      </c>
    </row>
    <row r="4860" spans="3:5">
      <c r="C4860">
        <v>50.120000000000005</v>
      </c>
      <c r="D4860" s="17">
        <v>42096</v>
      </c>
      <c r="E4860" t="s">
        <v>380</v>
      </c>
    </row>
    <row r="4861" spans="3:5">
      <c r="C4861">
        <v>50.120000000000005</v>
      </c>
      <c r="D4861" s="17">
        <v>42551</v>
      </c>
      <c r="E4861" t="s">
        <v>380</v>
      </c>
    </row>
    <row r="4862" spans="3:5">
      <c r="C4862">
        <v>50.135999999999996</v>
      </c>
      <c r="D4862" s="17">
        <v>42880</v>
      </c>
      <c r="E4862" t="s">
        <v>754</v>
      </c>
    </row>
    <row r="4863" spans="3:5">
      <c r="C4863">
        <v>50.22</v>
      </c>
      <c r="D4863" s="17">
        <v>42715</v>
      </c>
      <c r="E4863" t="s">
        <v>664</v>
      </c>
    </row>
    <row r="4864" spans="3:5">
      <c r="C4864">
        <v>50.231999999999999</v>
      </c>
      <c r="D4864" s="17">
        <v>41945</v>
      </c>
      <c r="E4864" t="s">
        <v>1224</v>
      </c>
    </row>
    <row r="4865" spans="3:5">
      <c r="C4865">
        <v>50.32</v>
      </c>
      <c r="D4865" s="17">
        <v>42905</v>
      </c>
      <c r="E4865" t="s">
        <v>872</v>
      </c>
    </row>
    <row r="4866" spans="3:5">
      <c r="C4866">
        <v>50.352000000000004</v>
      </c>
      <c r="D4866" s="17">
        <v>42120</v>
      </c>
      <c r="E4866" t="s">
        <v>997</v>
      </c>
    </row>
    <row r="4867" spans="3:5">
      <c r="C4867">
        <v>50.352000000000004</v>
      </c>
      <c r="D4867" s="17">
        <v>42782</v>
      </c>
      <c r="E4867" t="s">
        <v>243</v>
      </c>
    </row>
    <row r="4868" spans="3:5">
      <c r="C4868">
        <v>50.352000000000004</v>
      </c>
      <c r="D4868" s="17">
        <v>42937</v>
      </c>
      <c r="E4868" t="s">
        <v>997</v>
      </c>
    </row>
    <row r="4869" spans="3:5">
      <c r="C4869">
        <v>50.352000000000004</v>
      </c>
      <c r="D4869" s="17">
        <v>43089</v>
      </c>
      <c r="E4869" t="s">
        <v>997</v>
      </c>
    </row>
    <row r="4870" spans="3:5">
      <c r="C4870">
        <v>50.4</v>
      </c>
      <c r="D4870" s="17">
        <v>42962</v>
      </c>
      <c r="E4870" t="s">
        <v>1057</v>
      </c>
    </row>
    <row r="4871" spans="3:5">
      <c r="C4871">
        <v>50.454000000000015</v>
      </c>
      <c r="D4871" s="17">
        <v>43015</v>
      </c>
      <c r="E4871" t="s">
        <v>1286</v>
      </c>
    </row>
    <row r="4872" spans="3:5">
      <c r="C4872">
        <v>50.496000000000002</v>
      </c>
      <c r="D4872" s="17">
        <v>42678</v>
      </c>
      <c r="E4872" t="s">
        <v>1614</v>
      </c>
    </row>
    <row r="4873" spans="3:5">
      <c r="C4873">
        <v>50.783999999999999</v>
      </c>
      <c r="D4873" s="17">
        <v>42399</v>
      </c>
      <c r="E4873" t="s">
        <v>1561</v>
      </c>
    </row>
    <row r="4874" spans="3:5">
      <c r="C4874">
        <v>50.8</v>
      </c>
      <c r="D4874" s="17">
        <v>42229</v>
      </c>
      <c r="E4874" t="s">
        <v>500</v>
      </c>
    </row>
    <row r="4875" spans="3:5">
      <c r="C4875">
        <v>50.88</v>
      </c>
      <c r="D4875" s="17">
        <v>42359</v>
      </c>
      <c r="E4875" t="s">
        <v>1549</v>
      </c>
    </row>
    <row r="4876" spans="3:5">
      <c r="C4876">
        <v>50.94</v>
      </c>
      <c r="D4876" s="17">
        <v>41652</v>
      </c>
      <c r="E4876" t="s">
        <v>496</v>
      </c>
    </row>
    <row r="4877" spans="3:5">
      <c r="C4877">
        <v>50.94</v>
      </c>
      <c r="D4877" s="17">
        <v>43056</v>
      </c>
      <c r="E4877" t="s">
        <v>597</v>
      </c>
    </row>
    <row r="4878" spans="3:5">
      <c r="C4878">
        <v>50.96</v>
      </c>
      <c r="D4878" s="17">
        <v>42671</v>
      </c>
      <c r="E4878" t="s">
        <v>1658</v>
      </c>
    </row>
    <row r="4879" spans="3:5">
      <c r="C4879">
        <v>50.96</v>
      </c>
      <c r="D4879" s="17">
        <v>42996</v>
      </c>
      <c r="E4879" t="s">
        <v>1225</v>
      </c>
    </row>
    <row r="4880" spans="3:5">
      <c r="C4880">
        <v>50.97</v>
      </c>
      <c r="D4880" s="17">
        <v>42321</v>
      </c>
      <c r="E4880" t="s">
        <v>471</v>
      </c>
    </row>
    <row r="4881" spans="3:5">
      <c r="C4881">
        <v>50.97</v>
      </c>
      <c r="D4881" s="17">
        <v>43059</v>
      </c>
      <c r="E4881" t="s">
        <v>778</v>
      </c>
    </row>
    <row r="4882" spans="3:5">
      <c r="C4882">
        <v>50.997000000000007</v>
      </c>
      <c r="D4882" s="17">
        <v>41961</v>
      </c>
      <c r="E4882" t="s">
        <v>917</v>
      </c>
    </row>
    <row r="4883" spans="3:5">
      <c r="C4883">
        <v>51.016000000000005</v>
      </c>
      <c r="D4883" s="17">
        <v>41968</v>
      </c>
      <c r="E4883" t="s">
        <v>645</v>
      </c>
    </row>
    <row r="4884" spans="3:5">
      <c r="C4884">
        <v>51.016000000000005</v>
      </c>
      <c r="D4884" s="17">
        <v>42663</v>
      </c>
      <c r="E4884" t="s">
        <v>632</v>
      </c>
    </row>
    <row r="4885" spans="3:5">
      <c r="C4885">
        <v>51.072000000000003</v>
      </c>
      <c r="D4885" s="17">
        <v>42169</v>
      </c>
      <c r="E4885" t="s">
        <v>1162</v>
      </c>
    </row>
    <row r="4886" spans="3:5">
      <c r="C4886">
        <v>51.12</v>
      </c>
      <c r="D4886" s="17">
        <v>42279</v>
      </c>
      <c r="E4886" t="s">
        <v>1338</v>
      </c>
    </row>
    <row r="4887" spans="3:5">
      <c r="C4887">
        <v>51.150000000000006</v>
      </c>
      <c r="D4887" s="17">
        <v>42001</v>
      </c>
      <c r="E4887" t="s">
        <v>907</v>
      </c>
    </row>
    <row r="4888" spans="3:5">
      <c r="C4888">
        <v>51.168000000000006</v>
      </c>
      <c r="D4888" s="17">
        <v>42786</v>
      </c>
      <c r="E4888" t="s">
        <v>269</v>
      </c>
    </row>
    <row r="4889" spans="3:5">
      <c r="C4889">
        <v>51.168000000000006</v>
      </c>
      <c r="D4889" s="17">
        <v>43007</v>
      </c>
      <c r="E4889" t="s">
        <v>269</v>
      </c>
    </row>
    <row r="4890" spans="3:5">
      <c r="C4890">
        <v>51.183999999999983</v>
      </c>
      <c r="D4890" s="17">
        <v>41890</v>
      </c>
      <c r="E4890" t="s">
        <v>314</v>
      </c>
    </row>
    <row r="4891" spans="3:5">
      <c r="C4891">
        <v>51.184000000000012</v>
      </c>
      <c r="D4891" s="17">
        <v>42442</v>
      </c>
      <c r="E4891" t="s">
        <v>183</v>
      </c>
    </row>
    <row r="4892" spans="3:5">
      <c r="C4892">
        <v>51.264000000000003</v>
      </c>
      <c r="D4892" s="17">
        <v>42810</v>
      </c>
      <c r="E4892" t="s">
        <v>373</v>
      </c>
    </row>
    <row r="4893" spans="3:5">
      <c r="C4893">
        <v>51.311999999999998</v>
      </c>
      <c r="D4893" s="17">
        <v>42353</v>
      </c>
      <c r="E4893" t="s">
        <v>110</v>
      </c>
    </row>
    <row r="4894" spans="3:5">
      <c r="C4894">
        <v>51.311999999999998</v>
      </c>
      <c r="D4894" s="17">
        <v>42903</v>
      </c>
      <c r="E4894" t="s">
        <v>858</v>
      </c>
    </row>
    <row r="4895" spans="3:5">
      <c r="C4895">
        <v>51.311999999999998</v>
      </c>
      <c r="D4895" s="17">
        <v>42906</v>
      </c>
      <c r="E4895" t="s">
        <v>110</v>
      </c>
    </row>
    <row r="4896" spans="3:5">
      <c r="C4896">
        <v>51.336000000000006</v>
      </c>
      <c r="D4896" s="17">
        <v>42845</v>
      </c>
      <c r="E4896" t="s">
        <v>562</v>
      </c>
    </row>
    <row r="4897" spans="3:5">
      <c r="C4897">
        <v>51.449999999999996</v>
      </c>
      <c r="D4897" s="17">
        <v>42000</v>
      </c>
      <c r="E4897" t="s">
        <v>146</v>
      </c>
    </row>
    <row r="4898" spans="3:5">
      <c r="C4898">
        <v>51.449999999999996</v>
      </c>
      <c r="D4898" s="17">
        <v>42147</v>
      </c>
      <c r="E4898" t="s">
        <v>146</v>
      </c>
    </row>
    <row r="4899" spans="3:5">
      <c r="C4899">
        <v>51.449999999999996</v>
      </c>
      <c r="D4899" s="17">
        <v>42639</v>
      </c>
      <c r="E4899" t="s">
        <v>146</v>
      </c>
    </row>
    <row r="4900" spans="3:5">
      <c r="C4900">
        <v>51.449999999999996</v>
      </c>
      <c r="D4900" s="17">
        <v>42757</v>
      </c>
      <c r="E4900" t="s">
        <v>146</v>
      </c>
    </row>
    <row r="4901" spans="3:5">
      <c r="C4901">
        <v>51.465000000000018</v>
      </c>
      <c r="D4901" s="17">
        <v>41720</v>
      </c>
      <c r="E4901" t="s">
        <v>887</v>
      </c>
    </row>
    <row r="4902" spans="3:5">
      <c r="C4902">
        <v>51.52</v>
      </c>
      <c r="D4902" s="17">
        <v>42257</v>
      </c>
      <c r="E4902" t="s">
        <v>689</v>
      </c>
    </row>
    <row r="4903" spans="3:5">
      <c r="C4903">
        <v>51.52000000000001</v>
      </c>
      <c r="D4903" s="17">
        <v>42609</v>
      </c>
      <c r="E4903" t="s">
        <v>689</v>
      </c>
    </row>
    <row r="4904" spans="3:5">
      <c r="C4904">
        <v>51.550000000000004</v>
      </c>
      <c r="D4904" s="17">
        <v>42013</v>
      </c>
      <c r="E4904" t="s">
        <v>1275</v>
      </c>
    </row>
    <row r="4905" spans="3:5">
      <c r="C4905">
        <v>51.550000000000004</v>
      </c>
      <c r="D4905" s="17">
        <v>43007</v>
      </c>
      <c r="E4905" t="s">
        <v>1275</v>
      </c>
    </row>
    <row r="4906" spans="3:5">
      <c r="C4906">
        <v>51.56</v>
      </c>
      <c r="D4906" s="17">
        <v>41948</v>
      </c>
      <c r="E4906" t="s">
        <v>865</v>
      </c>
    </row>
    <row r="4907" spans="3:5">
      <c r="C4907">
        <v>51.56</v>
      </c>
      <c r="D4907" s="17">
        <v>42155</v>
      </c>
      <c r="E4907" t="s">
        <v>1510</v>
      </c>
    </row>
    <row r="4908" spans="3:5">
      <c r="C4908">
        <v>51.588000000000001</v>
      </c>
      <c r="D4908" s="17">
        <v>42364</v>
      </c>
      <c r="E4908" t="s">
        <v>272</v>
      </c>
    </row>
    <row r="4909" spans="3:5">
      <c r="C4909">
        <v>51.648000000000003</v>
      </c>
      <c r="D4909" s="17">
        <v>42523</v>
      </c>
      <c r="E4909" t="s">
        <v>1319</v>
      </c>
    </row>
    <row r="4910" spans="3:5">
      <c r="C4910">
        <v>51.712000000000003</v>
      </c>
      <c r="D4910" s="17">
        <v>42651</v>
      </c>
      <c r="E4910" t="s">
        <v>870</v>
      </c>
    </row>
    <row r="4911" spans="3:5">
      <c r="C4911">
        <v>51.75</v>
      </c>
      <c r="D4911" s="17">
        <v>42565</v>
      </c>
      <c r="E4911" t="s">
        <v>308</v>
      </c>
    </row>
    <row r="4912" spans="3:5">
      <c r="C4912">
        <v>51.75</v>
      </c>
      <c r="D4912" s="17">
        <v>42679</v>
      </c>
      <c r="E4912" t="s">
        <v>1387</v>
      </c>
    </row>
    <row r="4913" spans="3:5">
      <c r="C4913">
        <v>51.75</v>
      </c>
      <c r="D4913" s="17">
        <v>42950</v>
      </c>
      <c r="E4913" t="s">
        <v>230</v>
      </c>
    </row>
    <row r="4914" spans="3:5">
      <c r="C4914">
        <v>51.75</v>
      </c>
      <c r="D4914" s="17">
        <v>42954</v>
      </c>
      <c r="E4914" t="s">
        <v>308</v>
      </c>
    </row>
    <row r="4915" spans="3:5">
      <c r="C4915">
        <v>51.75</v>
      </c>
      <c r="D4915" s="17">
        <v>42968</v>
      </c>
      <c r="E4915" t="s">
        <v>332</v>
      </c>
    </row>
    <row r="4916" spans="3:5">
      <c r="C4916">
        <v>51.75</v>
      </c>
      <c r="D4916" s="17">
        <v>43007</v>
      </c>
      <c r="E4916" t="s">
        <v>308</v>
      </c>
    </row>
    <row r="4917" spans="3:5">
      <c r="C4917">
        <v>51.756000000000007</v>
      </c>
      <c r="D4917" s="17">
        <v>42359</v>
      </c>
      <c r="E4917" t="s">
        <v>200</v>
      </c>
    </row>
    <row r="4918" spans="3:5">
      <c r="C4918">
        <v>51.8</v>
      </c>
      <c r="D4918" s="17">
        <v>42438</v>
      </c>
      <c r="E4918" t="s">
        <v>1557</v>
      </c>
    </row>
    <row r="4919" spans="3:5">
      <c r="C4919">
        <v>51.84</v>
      </c>
      <c r="D4919" s="17">
        <v>42083</v>
      </c>
      <c r="E4919" t="s">
        <v>1159</v>
      </c>
    </row>
    <row r="4920" spans="3:5">
      <c r="C4920">
        <v>51.84</v>
      </c>
      <c r="D4920" s="17">
        <v>42289</v>
      </c>
      <c r="E4920" t="s">
        <v>1159</v>
      </c>
    </row>
    <row r="4921" spans="3:5">
      <c r="C4921">
        <v>51.84</v>
      </c>
      <c r="D4921" s="17">
        <v>42481</v>
      </c>
      <c r="E4921" t="s">
        <v>1187</v>
      </c>
    </row>
    <row r="4922" spans="3:5">
      <c r="C4922">
        <v>51.84</v>
      </c>
      <c r="D4922" s="17">
        <v>42568</v>
      </c>
      <c r="E4922" t="s">
        <v>363</v>
      </c>
    </row>
    <row r="4923" spans="3:5">
      <c r="C4923">
        <v>51.84</v>
      </c>
      <c r="D4923" s="17">
        <v>42573</v>
      </c>
      <c r="E4923" t="s">
        <v>933</v>
      </c>
    </row>
    <row r="4924" spans="3:5">
      <c r="C4924">
        <v>51.84</v>
      </c>
      <c r="D4924" s="17">
        <v>43060</v>
      </c>
      <c r="E4924" t="s">
        <v>1187</v>
      </c>
    </row>
    <row r="4925" spans="3:5">
      <c r="C4925">
        <v>51.840000000000011</v>
      </c>
      <c r="D4925" s="17">
        <v>42721</v>
      </c>
      <c r="E4925" t="s">
        <v>369</v>
      </c>
    </row>
    <row r="4926" spans="3:5">
      <c r="C4926">
        <v>51.897000000000013</v>
      </c>
      <c r="D4926" s="17">
        <v>42442</v>
      </c>
      <c r="E4926" t="s">
        <v>159</v>
      </c>
    </row>
    <row r="4927" spans="3:5">
      <c r="C4927">
        <v>51.900000000000006</v>
      </c>
      <c r="D4927" s="17">
        <v>41681</v>
      </c>
      <c r="E4927" t="s">
        <v>544</v>
      </c>
    </row>
    <row r="4928" spans="3:5">
      <c r="C4928">
        <v>51.94</v>
      </c>
      <c r="D4928" s="17">
        <v>41649</v>
      </c>
      <c r="E4928" t="s">
        <v>1624</v>
      </c>
    </row>
    <row r="4929" spans="3:5">
      <c r="C4929">
        <v>51.96</v>
      </c>
      <c r="D4929" s="17">
        <v>41758</v>
      </c>
      <c r="E4929" t="s">
        <v>1310</v>
      </c>
    </row>
    <row r="4930" spans="3:5">
      <c r="C4930">
        <v>51.967999999999996</v>
      </c>
      <c r="D4930" s="17">
        <v>41993</v>
      </c>
      <c r="E4930" t="s">
        <v>561</v>
      </c>
    </row>
    <row r="4931" spans="3:5">
      <c r="C4931">
        <v>51.967999999999996</v>
      </c>
      <c r="D4931" s="17">
        <v>42139</v>
      </c>
      <c r="E4931" t="s">
        <v>1410</v>
      </c>
    </row>
    <row r="4932" spans="3:5">
      <c r="C4932">
        <v>51.967999999999996</v>
      </c>
      <c r="D4932" s="17">
        <v>42493</v>
      </c>
      <c r="E4932" t="s">
        <v>561</v>
      </c>
    </row>
    <row r="4933" spans="3:5">
      <c r="C4933">
        <v>51.967999999999996</v>
      </c>
      <c r="D4933" s="17">
        <v>42845</v>
      </c>
      <c r="E4933" t="s">
        <v>561</v>
      </c>
    </row>
    <row r="4934" spans="3:5">
      <c r="C4934">
        <v>51.98</v>
      </c>
      <c r="D4934" s="17">
        <v>42173</v>
      </c>
      <c r="E4934" t="s">
        <v>989</v>
      </c>
    </row>
    <row r="4935" spans="3:5">
      <c r="C4935">
        <v>51.984000000000009</v>
      </c>
      <c r="D4935" s="17">
        <v>42472</v>
      </c>
      <c r="E4935" t="s">
        <v>1008</v>
      </c>
    </row>
    <row r="4936" spans="3:5">
      <c r="C4936">
        <v>52</v>
      </c>
      <c r="D4936" s="17">
        <v>43076</v>
      </c>
      <c r="E4936" t="s">
        <v>426</v>
      </c>
    </row>
    <row r="4937" spans="3:5">
      <c r="C4937">
        <v>52.064</v>
      </c>
      <c r="D4937" s="17">
        <v>41947</v>
      </c>
      <c r="E4937" t="s">
        <v>667</v>
      </c>
    </row>
    <row r="4938" spans="3:5">
      <c r="C4938">
        <v>52.096000000000004</v>
      </c>
      <c r="D4938" s="17">
        <v>41734</v>
      </c>
      <c r="E4938" t="s">
        <v>464</v>
      </c>
    </row>
    <row r="4939" spans="3:5">
      <c r="C4939">
        <v>52.136000000000003</v>
      </c>
      <c r="D4939" s="17">
        <v>42687</v>
      </c>
      <c r="E4939" t="s">
        <v>744</v>
      </c>
    </row>
    <row r="4940" spans="3:5">
      <c r="C4940">
        <v>52.199999999999996</v>
      </c>
      <c r="D4940" s="17">
        <v>42233</v>
      </c>
      <c r="E4940" t="s">
        <v>1003</v>
      </c>
    </row>
    <row r="4941" spans="3:5">
      <c r="C4941">
        <v>52.272000000000006</v>
      </c>
      <c r="D4941" s="17">
        <v>42316</v>
      </c>
      <c r="E4941" t="s">
        <v>531</v>
      </c>
    </row>
    <row r="4942" spans="3:5">
      <c r="C4942">
        <v>52.272000000000006</v>
      </c>
      <c r="D4942" s="17">
        <v>43065</v>
      </c>
      <c r="E4942" t="s">
        <v>1015</v>
      </c>
    </row>
    <row r="4943" spans="3:5">
      <c r="C4943">
        <v>52.29</v>
      </c>
      <c r="D4943" s="17">
        <v>43070</v>
      </c>
      <c r="E4943" t="s">
        <v>1471</v>
      </c>
    </row>
    <row r="4944" spans="3:5">
      <c r="C4944">
        <v>52.34</v>
      </c>
      <c r="D4944" s="17">
        <v>42384</v>
      </c>
      <c r="E4944" t="s">
        <v>1476</v>
      </c>
    </row>
    <row r="4945" spans="3:5">
      <c r="C4945">
        <v>52.400000000000006</v>
      </c>
      <c r="D4945" s="17">
        <v>43042</v>
      </c>
      <c r="E4945" t="s">
        <v>527</v>
      </c>
    </row>
    <row r="4946" spans="3:5">
      <c r="C4946">
        <v>52.416000000000004</v>
      </c>
      <c r="D4946" s="17">
        <v>42349</v>
      </c>
      <c r="E4946" t="s">
        <v>566</v>
      </c>
    </row>
    <row r="4947" spans="3:5">
      <c r="C4947">
        <v>52.44</v>
      </c>
      <c r="D4947" s="17">
        <v>43055</v>
      </c>
      <c r="E4947" t="s">
        <v>796</v>
      </c>
    </row>
    <row r="4948" spans="3:5">
      <c r="C4948">
        <v>52.447999999999993</v>
      </c>
      <c r="D4948" s="17">
        <v>41896</v>
      </c>
      <c r="E4948" t="s">
        <v>318</v>
      </c>
    </row>
    <row r="4949" spans="3:5">
      <c r="C4949">
        <v>52.512</v>
      </c>
      <c r="D4949" s="17">
        <v>41930</v>
      </c>
      <c r="E4949" t="s">
        <v>1364</v>
      </c>
    </row>
    <row r="4950" spans="3:5">
      <c r="C4950">
        <v>52.512</v>
      </c>
      <c r="D4950" s="17">
        <v>42250</v>
      </c>
      <c r="E4950" t="s">
        <v>1364</v>
      </c>
    </row>
    <row r="4951" spans="3:5">
      <c r="C4951">
        <v>52.56</v>
      </c>
      <c r="D4951" s="17">
        <v>42533</v>
      </c>
      <c r="E4951" t="s">
        <v>1429</v>
      </c>
    </row>
    <row r="4952" spans="3:5">
      <c r="C4952">
        <v>52.59</v>
      </c>
      <c r="D4952" s="17">
        <v>42216</v>
      </c>
      <c r="E4952" t="s">
        <v>580</v>
      </c>
    </row>
    <row r="4953" spans="3:5">
      <c r="C4953">
        <v>52.679999999999993</v>
      </c>
      <c r="D4953" s="17">
        <v>41981</v>
      </c>
      <c r="E4953" t="s">
        <v>1294</v>
      </c>
    </row>
    <row r="4954" spans="3:5">
      <c r="C4954">
        <v>52.679999999999993</v>
      </c>
      <c r="D4954" s="17">
        <v>42647</v>
      </c>
      <c r="E4954" t="s">
        <v>1294</v>
      </c>
    </row>
    <row r="4955" spans="3:5">
      <c r="C4955">
        <v>52.679999999999993</v>
      </c>
      <c r="D4955" s="17">
        <v>43083</v>
      </c>
      <c r="E4955" t="s">
        <v>1294</v>
      </c>
    </row>
    <row r="4956" spans="3:5">
      <c r="C4956">
        <v>52.751999999999995</v>
      </c>
      <c r="D4956" s="17">
        <v>43043</v>
      </c>
      <c r="E4956" t="s">
        <v>812</v>
      </c>
    </row>
    <row r="4957" spans="3:5">
      <c r="C4957">
        <v>52.76</v>
      </c>
      <c r="D4957" s="17">
        <v>42105</v>
      </c>
      <c r="E4957" t="s">
        <v>296</v>
      </c>
    </row>
    <row r="4958" spans="3:5">
      <c r="C4958">
        <v>52.76</v>
      </c>
      <c r="D4958" s="17">
        <v>42924</v>
      </c>
      <c r="E4958" t="s">
        <v>296</v>
      </c>
    </row>
    <row r="4959" spans="3:5">
      <c r="C4959">
        <v>52.775999999999996</v>
      </c>
      <c r="D4959" s="17">
        <v>43099</v>
      </c>
      <c r="E4959" t="s">
        <v>626</v>
      </c>
    </row>
    <row r="4960" spans="3:5">
      <c r="C4960">
        <v>52.792000000000002</v>
      </c>
      <c r="D4960" s="17">
        <v>41945</v>
      </c>
      <c r="E4960" t="s">
        <v>1161</v>
      </c>
    </row>
    <row r="4961" spans="3:5">
      <c r="C4961">
        <v>52.792000000000002</v>
      </c>
      <c r="D4961" s="17">
        <v>43025</v>
      </c>
      <c r="E4961" t="s">
        <v>782</v>
      </c>
    </row>
    <row r="4962" spans="3:5">
      <c r="C4962">
        <v>52.96</v>
      </c>
      <c r="D4962" s="17">
        <v>41968</v>
      </c>
      <c r="E4962" t="s">
        <v>459</v>
      </c>
    </row>
    <row r="4963" spans="3:5">
      <c r="C4963">
        <v>52.98</v>
      </c>
      <c r="D4963" s="17">
        <v>41729</v>
      </c>
      <c r="E4963" t="s">
        <v>1481</v>
      </c>
    </row>
    <row r="4964" spans="3:5">
      <c r="C4964">
        <v>52.99</v>
      </c>
      <c r="D4964" s="17">
        <v>43030</v>
      </c>
      <c r="E4964" t="s">
        <v>1285</v>
      </c>
    </row>
    <row r="4965" spans="3:5">
      <c r="C4965">
        <v>53.040000000000006</v>
      </c>
      <c r="D4965" s="17">
        <v>42279</v>
      </c>
      <c r="E4965" t="s">
        <v>777</v>
      </c>
    </row>
    <row r="4966" spans="3:5">
      <c r="C4966">
        <v>53.040000000000006</v>
      </c>
      <c r="D4966" s="17">
        <v>42282</v>
      </c>
      <c r="E4966" t="s">
        <v>777</v>
      </c>
    </row>
    <row r="4967" spans="3:5">
      <c r="C4967">
        <v>53.087999999999994</v>
      </c>
      <c r="D4967" s="17">
        <v>42348</v>
      </c>
      <c r="E4967" t="s">
        <v>1768</v>
      </c>
    </row>
    <row r="4968" spans="3:5">
      <c r="C4968">
        <v>53.2</v>
      </c>
      <c r="D4968" s="17">
        <v>41953</v>
      </c>
      <c r="E4968" t="s">
        <v>1162</v>
      </c>
    </row>
    <row r="4969" spans="3:5">
      <c r="C4969">
        <v>53.248000000000005</v>
      </c>
      <c r="D4969" s="17">
        <v>42679</v>
      </c>
      <c r="E4969" t="s">
        <v>683</v>
      </c>
    </row>
    <row r="4970" spans="3:5">
      <c r="C4970">
        <v>53.25</v>
      </c>
      <c r="D4970" s="17">
        <v>42092</v>
      </c>
      <c r="E4970" t="s">
        <v>441</v>
      </c>
    </row>
    <row r="4971" spans="3:5">
      <c r="C4971">
        <v>53.25</v>
      </c>
      <c r="D4971" s="17">
        <v>42820</v>
      </c>
      <c r="E4971" t="s">
        <v>441</v>
      </c>
    </row>
    <row r="4972" spans="3:5">
      <c r="C4972">
        <v>53.315999999999995</v>
      </c>
      <c r="D4972" s="17">
        <v>41996</v>
      </c>
      <c r="E4972" t="s">
        <v>999</v>
      </c>
    </row>
    <row r="4973" spans="3:5">
      <c r="C4973">
        <v>53.34</v>
      </c>
      <c r="D4973" s="17">
        <v>42035</v>
      </c>
      <c r="E4973" t="s">
        <v>915</v>
      </c>
    </row>
    <row r="4974" spans="3:5">
      <c r="C4974">
        <v>53.352000000000004</v>
      </c>
      <c r="D4974" s="17">
        <v>42365</v>
      </c>
      <c r="E4974" t="s">
        <v>1645</v>
      </c>
    </row>
    <row r="4975" spans="3:5">
      <c r="C4975">
        <v>53.4</v>
      </c>
      <c r="D4975" s="17">
        <v>41715</v>
      </c>
      <c r="E4975" t="s">
        <v>1818</v>
      </c>
    </row>
    <row r="4976" spans="3:5">
      <c r="C4976">
        <v>53.424000000000007</v>
      </c>
      <c r="D4976" s="17">
        <v>41979</v>
      </c>
      <c r="E4976" t="s">
        <v>768</v>
      </c>
    </row>
    <row r="4977" spans="3:5">
      <c r="C4977">
        <v>53.424000000000007</v>
      </c>
      <c r="D4977" s="17">
        <v>42884</v>
      </c>
      <c r="E4977" t="s">
        <v>768</v>
      </c>
    </row>
    <row r="4978" spans="3:5">
      <c r="C4978">
        <v>53.567999999999998</v>
      </c>
      <c r="D4978" s="17">
        <v>42279</v>
      </c>
      <c r="E4978" t="s">
        <v>1021</v>
      </c>
    </row>
    <row r="4979" spans="3:5">
      <c r="C4979">
        <v>53.699999999999996</v>
      </c>
      <c r="D4979" s="17">
        <v>42166</v>
      </c>
      <c r="E4979" t="s">
        <v>380</v>
      </c>
    </row>
    <row r="4980" spans="3:5">
      <c r="C4980">
        <v>53.72</v>
      </c>
      <c r="D4980" s="17">
        <v>41845</v>
      </c>
      <c r="E4980" t="s">
        <v>1588</v>
      </c>
    </row>
    <row r="4981" spans="3:5">
      <c r="C4981">
        <v>53.72</v>
      </c>
      <c r="D4981" s="17">
        <v>42973</v>
      </c>
      <c r="E4981" t="s">
        <v>381</v>
      </c>
    </row>
    <row r="4982" spans="3:5">
      <c r="C4982">
        <v>53.820000000000007</v>
      </c>
      <c r="D4982" s="17">
        <v>41965</v>
      </c>
      <c r="E4982" t="s">
        <v>1266</v>
      </c>
    </row>
    <row r="4983" spans="3:5">
      <c r="C4983">
        <v>53.88</v>
      </c>
      <c r="D4983" s="17">
        <v>41859</v>
      </c>
      <c r="E4983" t="s">
        <v>1626</v>
      </c>
    </row>
    <row r="4984" spans="3:5">
      <c r="C4984">
        <v>53.9</v>
      </c>
      <c r="D4984" s="17">
        <v>42887</v>
      </c>
      <c r="E4984" t="s">
        <v>783</v>
      </c>
    </row>
    <row r="4985" spans="3:5">
      <c r="C4985">
        <v>53.92</v>
      </c>
      <c r="D4985" s="17">
        <v>42336</v>
      </c>
      <c r="E4985" t="s">
        <v>95</v>
      </c>
    </row>
    <row r="4986" spans="3:5">
      <c r="C4986">
        <v>53.94</v>
      </c>
      <c r="D4986" s="17">
        <v>41883</v>
      </c>
      <c r="E4986" t="s">
        <v>957</v>
      </c>
    </row>
    <row r="4987" spans="3:5">
      <c r="C4987">
        <v>53.952000000000005</v>
      </c>
      <c r="D4987" s="17">
        <v>42590</v>
      </c>
      <c r="E4987" t="s">
        <v>1542</v>
      </c>
    </row>
    <row r="4988" spans="3:5">
      <c r="C4988">
        <v>53.97</v>
      </c>
      <c r="D4988" s="17">
        <v>42730</v>
      </c>
      <c r="E4988" t="s">
        <v>1148</v>
      </c>
    </row>
    <row r="4989" spans="3:5">
      <c r="C4989">
        <v>53.981999999999999</v>
      </c>
      <c r="D4989" s="17">
        <v>42804</v>
      </c>
      <c r="E4989" t="s">
        <v>341</v>
      </c>
    </row>
    <row r="4990" spans="3:5">
      <c r="C4990">
        <v>53.984000000000002</v>
      </c>
      <c r="D4990" s="17">
        <v>42532</v>
      </c>
      <c r="E4990" t="s">
        <v>68</v>
      </c>
    </row>
    <row r="4991" spans="3:5">
      <c r="C4991">
        <v>54.192</v>
      </c>
      <c r="D4991" s="17">
        <v>43038</v>
      </c>
      <c r="E4991" t="s">
        <v>687</v>
      </c>
    </row>
    <row r="4992" spans="3:5">
      <c r="C4992">
        <v>54.207999999999998</v>
      </c>
      <c r="D4992" s="17">
        <v>41687</v>
      </c>
      <c r="E4992" t="s">
        <v>127</v>
      </c>
    </row>
    <row r="4993" spans="3:5">
      <c r="C4993">
        <v>54.224000000000004</v>
      </c>
      <c r="D4993" s="17">
        <v>42612</v>
      </c>
      <c r="E4993" t="s">
        <v>323</v>
      </c>
    </row>
    <row r="4994" spans="3:5">
      <c r="C4994">
        <v>54.224000000000004</v>
      </c>
      <c r="D4994" s="17">
        <v>42810</v>
      </c>
      <c r="E4994" t="s">
        <v>323</v>
      </c>
    </row>
    <row r="4995" spans="3:5">
      <c r="C4995">
        <v>54.32</v>
      </c>
      <c r="D4995" s="17">
        <v>42982</v>
      </c>
      <c r="E4995" t="s">
        <v>1143</v>
      </c>
    </row>
    <row r="4996" spans="3:5">
      <c r="C4996">
        <v>54.32</v>
      </c>
      <c r="D4996" s="17">
        <v>43084</v>
      </c>
      <c r="E4996" t="s">
        <v>61</v>
      </c>
    </row>
    <row r="4997" spans="3:5">
      <c r="C4997">
        <v>54.336000000000006</v>
      </c>
      <c r="D4997" s="17">
        <v>43041</v>
      </c>
      <c r="E4997" t="s">
        <v>597</v>
      </c>
    </row>
    <row r="4998" spans="3:5">
      <c r="C4998">
        <v>54.367999999999995</v>
      </c>
      <c r="D4998" s="17">
        <v>42883</v>
      </c>
      <c r="E4998" t="s">
        <v>471</v>
      </c>
    </row>
    <row r="4999" spans="3:5">
      <c r="C4999">
        <v>54.384000000000007</v>
      </c>
      <c r="D4999" s="17">
        <v>42366</v>
      </c>
      <c r="E4999" t="s">
        <v>1269</v>
      </c>
    </row>
    <row r="5000" spans="3:5">
      <c r="C5000">
        <v>54.384000000000007</v>
      </c>
      <c r="D5000" s="17">
        <v>43006</v>
      </c>
      <c r="E5000" t="s">
        <v>1269</v>
      </c>
    </row>
    <row r="5001" spans="3:5">
      <c r="C5001">
        <v>54.48</v>
      </c>
      <c r="D5001" s="17">
        <v>42496</v>
      </c>
      <c r="E5001" t="s">
        <v>402</v>
      </c>
    </row>
    <row r="5002" spans="3:5">
      <c r="C5002">
        <v>54.5</v>
      </c>
      <c r="D5002" s="17">
        <v>42616</v>
      </c>
      <c r="E5002" t="s">
        <v>310</v>
      </c>
    </row>
    <row r="5003" spans="3:5">
      <c r="C5003">
        <v>54.527999999999992</v>
      </c>
      <c r="D5003" s="17">
        <v>42105</v>
      </c>
      <c r="E5003" t="s">
        <v>1321</v>
      </c>
    </row>
    <row r="5004" spans="3:5">
      <c r="C5004">
        <v>54.66</v>
      </c>
      <c r="D5004" s="17">
        <v>42861</v>
      </c>
      <c r="E5004" t="s">
        <v>645</v>
      </c>
    </row>
    <row r="5005" spans="3:5">
      <c r="C5005">
        <v>54.711999999999996</v>
      </c>
      <c r="D5005" s="17">
        <v>42496</v>
      </c>
      <c r="E5005" t="s">
        <v>974</v>
      </c>
    </row>
    <row r="5006" spans="3:5">
      <c r="C5006">
        <v>54.768000000000001</v>
      </c>
      <c r="D5006" s="17">
        <v>43073</v>
      </c>
      <c r="E5006" t="s">
        <v>1493</v>
      </c>
    </row>
    <row r="5007" spans="3:5">
      <c r="C5007">
        <v>54.792000000000009</v>
      </c>
      <c r="D5007" s="17">
        <v>42645</v>
      </c>
      <c r="E5007" t="s">
        <v>1129</v>
      </c>
    </row>
    <row r="5008" spans="3:5">
      <c r="C5008">
        <v>54.816000000000003</v>
      </c>
      <c r="D5008" s="17">
        <v>42107</v>
      </c>
      <c r="E5008" t="s">
        <v>1837</v>
      </c>
    </row>
    <row r="5009" spans="3:5">
      <c r="C5009">
        <v>54.816000000000003</v>
      </c>
      <c r="D5009" s="17">
        <v>42666</v>
      </c>
      <c r="E5009" t="s">
        <v>1661</v>
      </c>
    </row>
    <row r="5010" spans="3:5">
      <c r="C5010">
        <v>54.816000000000003</v>
      </c>
      <c r="D5010" s="17">
        <v>42947</v>
      </c>
      <c r="E5010" t="s">
        <v>898</v>
      </c>
    </row>
    <row r="5011" spans="3:5">
      <c r="C5011">
        <v>54.896000000000008</v>
      </c>
      <c r="D5011" s="17">
        <v>42948</v>
      </c>
      <c r="E5011" t="s">
        <v>887</v>
      </c>
    </row>
    <row r="5012" spans="3:5">
      <c r="C5012">
        <v>54.900000000000006</v>
      </c>
      <c r="D5012" s="17">
        <v>42479</v>
      </c>
      <c r="E5012" t="s">
        <v>582</v>
      </c>
    </row>
    <row r="5013" spans="3:5">
      <c r="C5013">
        <v>54.900000000000006</v>
      </c>
      <c r="D5013" s="17">
        <v>42502</v>
      </c>
      <c r="E5013" t="s">
        <v>788</v>
      </c>
    </row>
    <row r="5014" spans="3:5">
      <c r="C5014">
        <v>54.900000000000006</v>
      </c>
      <c r="D5014" s="17">
        <v>42518</v>
      </c>
      <c r="E5014" t="s">
        <v>582</v>
      </c>
    </row>
    <row r="5015" spans="3:5">
      <c r="C5015">
        <v>54.900000000000006</v>
      </c>
      <c r="D5015" s="17">
        <v>42848</v>
      </c>
      <c r="E5015" t="s">
        <v>582</v>
      </c>
    </row>
    <row r="5016" spans="3:5">
      <c r="C5016">
        <v>54.900000000000006</v>
      </c>
      <c r="D5016" s="17">
        <v>43078</v>
      </c>
      <c r="E5016" t="s">
        <v>1400</v>
      </c>
    </row>
    <row r="5017" spans="3:5">
      <c r="C5017">
        <v>54.92</v>
      </c>
      <c r="D5017" s="17">
        <v>42959</v>
      </c>
      <c r="E5017" t="s">
        <v>765</v>
      </c>
    </row>
    <row r="5018" spans="3:5">
      <c r="C5018">
        <v>54.920000000000009</v>
      </c>
      <c r="D5018" s="17">
        <v>42349</v>
      </c>
      <c r="E5018" t="s">
        <v>765</v>
      </c>
    </row>
    <row r="5019" spans="3:5">
      <c r="C5019">
        <v>54.96</v>
      </c>
      <c r="D5019" s="17">
        <v>42693</v>
      </c>
      <c r="E5019" t="s">
        <v>748</v>
      </c>
    </row>
    <row r="5020" spans="3:5">
      <c r="C5020">
        <v>54.96</v>
      </c>
      <c r="D5020" s="17">
        <v>42706</v>
      </c>
      <c r="E5020" t="s">
        <v>1214</v>
      </c>
    </row>
    <row r="5021" spans="3:5">
      <c r="C5021">
        <v>54.992000000000004</v>
      </c>
      <c r="D5021" s="17">
        <v>42380</v>
      </c>
      <c r="E5021" t="s">
        <v>1223</v>
      </c>
    </row>
    <row r="5022" spans="3:5">
      <c r="C5022">
        <v>55.00800000000001</v>
      </c>
      <c r="D5022" s="17">
        <v>42685</v>
      </c>
      <c r="E5022" t="s">
        <v>878</v>
      </c>
    </row>
    <row r="5023" spans="3:5">
      <c r="C5023">
        <v>55.104000000000006</v>
      </c>
      <c r="D5023" s="17">
        <v>42330</v>
      </c>
      <c r="E5023" t="s">
        <v>241</v>
      </c>
    </row>
    <row r="5024" spans="3:5">
      <c r="C5024">
        <v>55.167999999999999</v>
      </c>
      <c r="D5024" s="17">
        <v>42609</v>
      </c>
      <c r="E5024" t="s">
        <v>1227</v>
      </c>
    </row>
    <row r="5025" spans="3:5">
      <c r="C5025">
        <v>55.176000000000002</v>
      </c>
      <c r="D5025" s="17">
        <v>42391</v>
      </c>
      <c r="E5025" t="s">
        <v>1135</v>
      </c>
    </row>
    <row r="5026" spans="3:5">
      <c r="C5026">
        <v>55.176000000000002</v>
      </c>
      <c r="D5026" s="17">
        <v>42511</v>
      </c>
      <c r="E5026" t="s">
        <v>713</v>
      </c>
    </row>
    <row r="5027" spans="3:5">
      <c r="C5027">
        <v>55.176000000000002</v>
      </c>
      <c r="D5027" s="17">
        <v>43060</v>
      </c>
      <c r="E5027" t="s">
        <v>713</v>
      </c>
    </row>
    <row r="5028" spans="3:5">
      <c r="C5028">
        <v>55.188000000000002</v>
      </c>
      <c r="D5028" s="17">
        <v>41782</v>
      </c>
      <c r="E5028" t="s">
        <v>630</v>
      </c>
    </row>
    <row r="5029" spans="3:5">
      <c r="C5029">
        <v>55.2</v>
      </c>
      <c r="D5029" s="17">
        <v>43031</v>
      </c>
      <c r="E5029" t="s">
        <v>795</v>
      </c>
    </row>
    <row r="5030" spans="3:5">
      <c r="C5030">
        <v>55.264000000000003</v>
      </c>
      <c r="D5030" s="17">
        <v>42352</v>
      </c>
      <c r="E5030" t="s">
        <v>474</v>
      </c>
    </row>
    <row r="5031" spans="3:5">
      <c r="C5031">
        <v>55.328000000000003</v>
      </c>
      <c r="D5031" s="17">
        <v>42064</v>
      </c>
      <c r="E5031" t="s">
        <v>1555</v>
      </c>
    </row>
    <row r="5032" spans="3:5">
      <c r="C5032">
        <v>55.360000000000007</v>
      </c>
      <c r="D5032" s="17">
        <v>42622</v>
      </c>
      <c r="E5032" t="s">
        <v>544</v>
      </c>
    </row>
    <row r="5033" spans="3:5">
      <c r="C5033">
        <v>55.360000000000007</v>
      </c>
      <c r="D5033" s="17">
        <v>42726</v>
      </c>
      <c r="E5033" t="s">
        <v>1260</v>
      </c>
    </row>
    <row r="5034" spans="3:5">
      <c r="C5034">
        <v>55.424000000000007</v>
      </c>
      <c r="D5034" s="17">
        <v>42339</v>
      </c>
      <c r="E5034" t="s">
        <v>1199</v>
      </c>
    </row>
    <row r="5035" spans="3:5">
      <c r="C5035">
        <v>55.44</v>
      </c>
      <c r="D5035" s="17">
        <v>41911</v>
      </c>
      <c r="E5035" t="s">
        <v>1572</v>
      </c>
    </row>
    <row r="5036" spans="3:5">
      <c r="C5036">
        <v>55.470000000000006</v>
      </c>
      <c r="D5036" s="17">
        <v>42110</v>
      </c>
      <c r="E5036" t="s">
        <v>661</v>
      </c>
    </row>
    <row r="5037" spans="3:5">
      <c r="C5037">
        <v>55.48</v>
      </c>
      <c r="D5037" s="17">
        <v>41734</v>
      </c>
      <c r="E5037" t="s">
        <v>407</v>
      </c>
    </row>
    <row r="5038" spans="3:5">
      <c r="C5038">
        <v>55.48</v>
      </c>
      <c r="D5038" s="17">
        <v>41735</v>
      </c>
      <c r="E5038" t="s">
        <v>1435</v>
      </c>
    </row>
    <row r="5039" spans="3:5">
      <c r="C5039">
        <v>55.48</v>
      </c>
      <c r="D5039" s="17">
        <v>42358</v>
      </c>
      <c r="E5039" t="s">
        <v>407</v>
      </c>
    </row>
    <row r="5040" spans="3:5">
      <c r="C5040">
        <v>55.48</v>
      </c>
      <c r="D5040" s="17">
        <v>42568</v>
      </c>
      <c r="E5040" t="s">
        <v>407</v>
      </c>
    </row>
    <row r="5041" spans="3:5">
      <c r="C5041">
        <v>55.5</v>
      </c>
      <c r="D5041" s="17">
        <v>41772</v>
      </c>
      <c r="E5041" t="s">
        <v>1794</v>
      </c>
    </row>
    <row r="5042" spans="3:5">
      <c r="C5042">
        <v>55.584000000000003</v>
      </c>
      <c r="D5042" s="17">
        <v>43057</v>
      </c>
      <c r="E5042" t="s">
        <v>636</v>
      </c>
    </row>
    <row r="5043" spans="3:5">
      <c r="C5043">
        <v>55.6</v>
      </c>
      <c r="D5043" s="17">
        <v>42141</v>
      </c>
      <c r="E5043" t="s">
        <v>1277</v>
      </c>
    </row>
    <row r="5044" spans="3:5">
      <c r="C5044">
        <v>55.600000000000009</v>
      </c>
      <c r="D5044" s="17">
        <v>42269</v>
      </c>
      <c r="E5044" t="s">
        <v>1277</v>
      </c>
    </row>
    <row r="5045" spans="3:5">
      <c r="C5045">
        <v>55.616</v>
      </c>
      <c r="D5045" s="17">
        <v>43034</v>
      </c>
      <c r="E5045" t="s">
        <v>201</v>
      </c>
    </row>
    <row r="5046" spans="3:5">
      <c r="C5046">
        <v>55.76</v>
      </c>
      <c r="D5046" s="17">
        <v>42954</v>
      </c>
      <c r="E5046" t="s">
        <v>1043</v>
      </c>
    </row>
    <row r="5047" spans="3:5">
      <c r="C5047">
        <v>55.86</v>
      </c>
      <c r="D5047" s="17">
        <v>42999</v>
      </c>
      <c r="E5047" t="s">
        <v>772</v>
      </c>
    </row>
    <row r="5048" spans="3:5">
      <c r="C5048">
        <v>55.92</v>
      </c>
      <c r="D5048" s="17">
        <v>41834</v>
      </c>
      <c r="E5048" t="s">
        <v>71</v>
      </c>
    </row>
    <row r="5049" spans="3:5">
      <c r="C5049">
        <v>55.92</v>
      </c>
      <c r="D5049" s="17">
        <v>41899</v>
      </c>
      <c r="E5049" t="s">
        <v>1249</v>
      </c>
    </row>
    <row r="5050" spans="3:5">
      <c r="C5050">
        <v>55.92</v>
      </c>
      <c r="D5050" s="17">
        <v>42483</v>
      </c>
      <c r="E5050" t="s">
        <v>71</v>
      </c>
    </row>
    <row r="5051" spans="3:5">
      <c r="C5051">
        <v>55.936000000000007</v>
      </c>
      <c r="D5051" s="17">
        <v>42356</v>
      </c>
      <c r="E5051" t="s">
        <v>1165</v>
      </c>
    </row>
    <row r="5052" spans="3:5">
      <c r="C5052">
        <v>55.944000000000003</v>
      </c>
      <c r="D5052" s="17">
        <v>42300</v>
      </c>
      <c r="E5052" t="s">
        <v>482</v>
      </c>
    </row>
    <row r="5053" spans="3:5">
      <c r="C5053">
        <v>55.967999999999996</v>
      </c>
      <c r="D5053" s="17">
        <v>42262</v>
      </c>
      <c r="E5053" t="s">
        <v>1425</v>
      </c>
    </row>
    <row r="5054" spans="3:5">
      <c r="C5054">
        <v>55.98</v>
      </c>
      <c r="D5054" s="17">
        <v>42873</v>
      </c>
      <c r="E5054" t="s">
        <v>710</v>
      </c>
    </row>
    <row r="5055" spans="3:5">
      <c r="C5055">
        <v>55.98</v>
      </c>
      <c r="D5055" s="17">
        <v>43077</v>
      </c>
      <c r="E5055" t="s">
        <v>285</v>
      </c>
    </row>
    <row r="5056" spans="3:5">
      <c r="C5056">
        <v>55.984000000000009</v>
      </c>
      <c r="D5056" s="17">
        <v>41915</v>
      </c>
      <c r="E5056" t="s">
        <v>82</v>
      </c>
    </row>
    <row r="5057" spans="3:5">
      <c r="C5057">
        <v>55.984000000000009</v>
      </c>
      <c r="D5057" s="17">
        <v>42167</v>
      </c>
      <c r="E5057" t="s">
        <v>1454</v>
      </c>
    </row>
    <row r="5058" spans="3:5">
      <c r="C5058">
        <v>55.984000000000009</v>
      </c>
      <c r="D5058" s="17">
        <v>43042</v>
      </c>
      <c r="E5058" t="s">
        <v>82</v>
      </c>
    </row>
    <row r="5059" spans="3:5">
      <c r="C5059">
        <v>55.991999999999997</v>
      </c>
      <c r="D5059" s="17">
        <v>42569</v>
      </c>
      <c r="E5059" t="s">
        <v>91</v>
      </c>
    </row>
    <row r="5060" spans="3:5">
      <c r="C5060">
        <v>55.991999999999997</v>
      </c>
      <c r="D5060" s="17">
        <v>42994</v>
      </c>
      <c r="E5060" t="s">
        <v>1208</v>
      </c>
    </row>
    <row r="5061" spans="3:5">
      <c r="C5061">
        <v>56.063999999999993</v>
      </c>
      <c r="D5061" s="17">
        <v>41780</v>
      </c>
      <c r="E5061" t="s">
        <v>79</v>
      </c>
    </row>
    <row r="5062" spans="3:5">
      <c r="C5062">
        <v>56.064</v>
      </c>
      <c r="D5062" s="17">
        <v>41658</v>
      </c>
      <c r="E5062" t="s">
        <v>671</v>
      </c>
    </row>
    <row r="5063" spans="3:5">
      <c r="C5063">
        <v>56.07</v>
      </c>
      <c r="D5063" s="17">
        <v>42751</v>
      </c>
      <c r="E5063" t="s">
        <v>115</v>
      </c>
    </row>
    <row r="5064" spans="3:5">
      <c r="C5064">
        <v>56.16</v>
      </c>
      <c r="D5064" s="17">
        <v>42009</v>
      </c>
      <c r="E5064" t="s">
        <v>478</v>
      </c>
    </row>
    <row r="5065" spans="3:5">
      <c r="C5065">
        <v>56.28</v>
      </c>
      <c r="D5065" s="17">
        <v>42833</v>
      </c>
      <c r="E5065" t="s">
        <v>445</v>
      </c>
    </row>
    <row r="5066" spans="3:5">
      <c r="C5066">
        <v>56.3</v>
      </c>
      <c r="D5066" s="17">
        <v>42166</v>
      </c>
      <c r="E5066" t="s">
        <v>1421</v>
      </c>
    </row>
    <row r="5067" spans="3:5">
      <c r="C5067">
        <v>56.3</v>
      </c>
      <c r="D5067" s="17">
        <v>42337</v>
      </c>
      <c r="E5067" t="s">
        <v>1421</v>
      </c>
    </row>
    <row r="5068" spans="3:5">
      <c r="C5068">
        <v>56.3</v>
      </c>
      <c r="D5068" s="17">
        <v>42348</v>
      </c>
      <c r="E5068" t="s">
        <v>1421</v>
      </c>
    </row>
    <row r="5069" spans="3:5">
      <c r="C5069">
        <v>56.3</v>
      </c>
      <c r="D5069" s="17">
        <v>42352</v>
      </c>
      <c r="E5069" t="s">
        <v>1421</v>
      </c>
    </row>
    <row r="5070" spans="3:5">
      <c r="C5070">
        <v>56.328000000000003</v>
      </c>
      <c r="D5070" s="17">
        <v>43083</v>
      </c>
      <c r="E5070" t="s">
        <v>1432</v>
      </c>
    </row>
    <row r="5071" spans="3:5">
      <c r="C5071">
        <v>56.400000000000006</v>
      </c>
      <c r="D5071" s="17">
        <v>41775</v>
      </c>
      <c r="E5071" t="s">
        <v>1169</v>
      </c>
    </row>
    <row r="5072" spans="3:5">
      <c r="C5072">
        <v>56.449999999999996</v>
      </c>
      <c r="D5072" s="17">
        <v>42401</v>
      </c>
      <c r="E5072" t="s">
        <v>687</v>
      </c>
    </row>
    <row r="5073" spans="3:5">
      <c r="C5073">
        <v>56.449999999999996</v>
      </c>
      <c r="D5073" s="17">
        <v>42987</v>
      </c>
      <c r="E5073" t="s">
        <v>687</v>
      </c>
    </row>
    <row r="5074" spans="3:5">
      <c r="C5074">
        <v>56.519999999999996</v>
      </c>
      <c r="D5074" s="17">
        <v>41996</v>
      </c>
      <c r="E5074" t="s">
        <v>1490</v>
      </c>
    </row>
    <row r="5075" spans="3:5">
      <c r="C5075">
        <v>56.519999999999996</v>
      </c>
      <c r="D5075" s="17">
        <v>42716</v>
      </c>
      <c r="E5075" t="s">
        <v>1490</v>
      </c>
    </row>
    <row r="5076" spans="3:5">
      <c r="C5076">
        <v>56.52</v>
      </c>
      <c r="D5076" s="17">
        <v>41952</v>
      </c>
      <c r="E5076" t="s">
        <v>1785</v>
      </c>
    </row>
    <row r="5077" spans="3:5">
      <c r="C5077">
        <v>56.56</v>
      </c>
      <c r="D5077" s="17">
        <v>42947</v>
      </c>
      <c r="E5077" t="s">
        <v>1025</v>
      </c>
    </row>
    <row r="5078" spans="3:5">
      <c r="C5078">
        <v>56.56</v>
      </c>
      <c r="D5078" s="17">
        <v>43027</v>
      </c>
      <c r="E5078" t="s">
        <v>1327</v>
      </c>
    </row>
    <row r="5079" spans="3:5">
      <c r="C5079">
        <v>56.56</v>
      </c>
      <c r="D5079" s="17">
        <v>43060</v>
      </c>
      <c r="E5079" t="s">
        <v>1025</v>
      </c>
    </row>
    <row r="5080" spans="3:5">
      <c r="C5080">
        <v>56.567999999999998</v>
      </c>
      <c r="D5080" s="17">
        <v>41989</v>
      </c>
      <c r="E5080" t="s">
        <v>51</v>
      </c>
    </row>
    <row r="5081" spans="3:5">
      <c r="C5081">
        <v>56.65</v>
      </c>
      <c r="D5081" s="17">
        <v>41890</v>
      </c>
      <c r="E5081" t="s">
        <v>237</v>
      </c>
    </row>
    <row r="5082" spans="3:5">
      <c r="C5082">
        <v>56.686</v>
      </c>
      <c r="D5082" s="17">
        <v>42112</v>
      </c>
      <c r="E5082" t="s">
        <v>735</v>
      </c>
    </row>
    <row r="5083" spans="3:5">
      <c r="C5083">
        <v>56.686</v>
      </c>
      <c r="D5083" s="17">
        <v>42663</v>
      </c>
      <c r="E5083" t="s">
        <v>1190</v>
      </c>
    </row>
    <row r="5084" spans="3:5">
      <c r="C5084">
        <v>56.699999999999996</v>
      </c>
      <c r="D5084" s="17">
        <v>42992</v>
      </c>
      <c r="E5084" t="s">
        <v>513</v>
      </c>
    </row>
    <row r="5085" spans="3:5">
      <c r="C5085">
        <v>56.7</v>
      </c>
      <c r="D5085" s="17">
        <v>42400</v>
      </c>
      <c r="E5085" t="s">
        <v>296</v>
      </c>
    </row>
    <row r="5086" spans="3:5">
      <c r="C5086">
        <v>56.704000000000001</v>
      </c>
      <c r="D5086" s="17">
        <v>42222</v>
      </c>
      <c r="E5086" t="s">
        <v>1046</v>
      </c>
    </row>
    <row r="5087" spans="3:5">
      <c r="C5087">
        <v>56.704000000000001</v>
      </c>
      <c r="D5087" s="17">
        <v>42814</v>
      </c>
      <c r="E5087" t="s">
        <v>296</v>
      </c>
    </row>
    <row r="5088" spans="3:5">
      <c r="C5088">
        <v>56.704000000000001</v>
      </c>
      <c r="D5088" s="17">
        <v>42870</v>
      </c>
      <c r="E5088" t="s">
        <v>702</v>
      </c>
    </row>
    <row r="5089" spans="3:5">
      <c r="C5089">
        <v>56.783999999999999</v>
      </c>
      <c r="D5089" s="17">
        <v>43035</v>
      </c>
      <c r="E5089" t="s">
        <v>296</v>
      </c>
    </row>
    <row r="5090" spans="3:5">
      <c r="C5090">
        <v>56.820000000000007</v>
      </c>
      <c r="D5090" s="17">
        <v>42427</v>
      </c>
      <c r="E5090" t="s">
        <v>526</v>
      </c>
    </row>
    <row r="5091" spans="3:5">
      <c r="C5091">
        <v>56.91</v>
      </c>
      <c r="D5091" s="17">
        <v>42671</v>
      </c>
      <c r="E5091" t="s">
        <v>828</v>
      </c>
    </row>
    <row r="5092" spans="3:5">
      <c r="C5092">
        <v>56.96</v>
      </c>
      <c r="D5092" s="17">
        <v>41794</v>
      </c>
      <c r="E5092" t="s">
        <v>1574</v>
      </c>
    </row>
    <row r="5093" spans="3:5">
      <c r="C5093">
        <v>56.980000000000004</v>
      </c>
      <c r="D5093" s="17">
        <v>43010</v>
      </c>
      <c r="E5093" t="s">
        <v>1197</v>
      </c>
    </row>
    <row r="5094" spans="3:5">
      <c r="C5094">
        <v>57.06</v>
      </c>
      <c r="D5094" s="17">
        <v>42811</v>
      </c>
      <c r="E5094" t="s">
        <v>379</v>
      </c>
    </row>
    <row r="5095" spans="3:5">
      <c r="C5095">
        <v>57.23</v>
      </c>
      <c r="D5095" s="17">
        <v>41666</v>
      </c>
      <c r="E5095" t="s">
        <v>522</v>
      </c>
    </row>
    <row r="5096" spans="3:5">
      <c r="C5096">
        <v>57.36</v>
      </c>
      <c r="D5096" s="17">
        <v>43071</v>
      </c>
      <c r="E5096" t="s">
        <v>1485</v>
      </c>
    </row>
    <row r="5097" spans="3:5">
      <c r="C5097">
        <v>57.400000000000006</v>
      </c>
      <c r="D5097" s="17">
        <v>41894</v>
      </c>
      <c r="E5097" t="s">
        <v>1851</v>
      </c>
    </row>
    <row r="5098" spans="3:5">
      <c r="C5098">
        <v>57.408000000000008</v>
      </c>
      <c r="D5098" s="17">
        <v>41787</v>
      </c>
      <c r="E5098" t="s">
        <v>1224</v>
      </c>
    </row>
    <row r="5099" spans="3:5">
      <c r="C5099">
        <v>57.42</v>
      </c>
      <c r="D5099" s="17">
        <v>41778</v>
      </c>
      <c r="E5099" t="s">
        <v>1680</v>
      </c>
    </row>
    <row r="5100" spans="3:5">
      <c r="C5100">
        <v>57.504000000000005</v>
      </c>
      <c r="D5100" s="17">
        <v>42279</v>
      </c>
      <c r="E5100" t="s">
        <v>1071</v>
      </c>
    </row>
    <row r="5101" spans="3:5">
      <c r="C5101">
        <v>57.567999999999998</v>
      </c>
      <c r="D5101" s="17">
        <v>43066</v>
      </c>
      <c r="E5101" t="s">
        <v>154</v>
      </c>
    </row>
    <row r="5102" spans="3:5">
      <c r="C5102">
        <v>57.576000000000001</v>
      </c>
      <c r="D5102" s="17">
        <v>42423</v>
      </c>
      <c r="E5102" t="s">
        <v>1354</v>
      </c>
    </row>
    <row r="5103" spans="3:5">
      <c r="C5103">
        <v>57.576000000000001</v>
      </c>
      <c r="D5103" s="17">
        <v>43078</v>
      </c>
      <c r="E5103" t="s">
        <v>1354</v>
      </c>
    </row>
    <row r="5104" spans="3:5">
      <c r="C5104">
        <v>57.582000000000008</v>
      </c>
      <c r="D5104" s="17">
        <v>42504</v>
      </c>
      <c r="E5104" t="s">
        <v>1270</v>
      </c>
    </row>
    <row r="5105" spans="3:5">
      <c r="C5105">
        <v>57.584000000000003</v>
      </c>
      <c r="D5105" s="17">
        <v>42621</v>
      </c>
      <c r="E5105" t="s">
        <v>442</v>
      </c>
    </row>
    <row r="5106" spans="3:5">
      <c r="C5106">
        <v>57.584000000000003</v>
      </c>
      <c r="D5106" s="17">
        <v>42681</v>
      </c>
      <c r="E5106" t="s">
        <v>553</v>
      </c>
    </row>
    <row r="5107" spans="3:5">
      <c r="C5107">
        <v>57.593999999999994</v>
      </c>
      <c r="D5107" s="17">
        <v>42783</v>
      </c>
      <c r="E5107" t="s">
        <v>255</v>
      </c>
    </row>
    <row r="5108" spans="3:5">
      <c r="C5108">
        <v>57.68</v>
      </c>
      <c r="D5108" s="17">
        <v>41763</v>
      </c>
      <c r="E5108" t="s">
        <v>1392</v>
      </c>
    </row>
    <row r="5109" spans="3:5">
      <c r="C5109">
        <v>57.69</v>
      </c>
      <c r="D5109" s="17">
        <v>41889</v>
      </c>
      <c r="E5109" t="s">
        <v>244</v>
      </c>
    </row>
    <row r="5110" spans="3:5">
      <c r="C5110">
        <v>57.69</v>
      </c>
      <c r="D5110" s="17">
        <v>42541</v>
      </c>
      <c r="E5110" t="s">
        <v>244</v>
      </c>
    </row>
    <row r="5111" spans="3:5">
      <c r="C5111">
        <v>57.75</v>
      </c>
      <c r="D5111" s="17">
        <v>41884</v>
      </c>
      <c r="E5111" t="s">
        <v>1119</v>
      </c>
    </row>
    <row r="5112" spans="3:5">
      <c r="C5112">
        <v>57.75</v>
      </c>
      <c r="D5112" s="17">
        <v>41960</v>
      </c>
      <c r="E5112" t="s">
        <v>392</v>
      </c>
    </row>
    <row r="5113" spans="3:5">
      <c r="C5113">
        <v>57.75</v>
      </c>
      <c r="D5113" s="17">
        <v>42119</v>
      </c>
      <c r="E5113" t="s">
        <v>1119</v>
      </c>
    </row>
    <row r="5114" spans="3:5">
      <c r="C5114">
        <v>57.9</v>
      </c>
      <c r="D5114" s="17">
        <v>42933</v>
      </c>
      <c r="E5114" t="s">
        <v>636</v>
      </c>
    </row>
    <row r="5115" spans="3:5">
      <c r="C5115">
        <v>57.929999999999993</v>
      </c>
      <c r="D5115" s="17">
        <v>41899</v>
      </c>
      <c r="E5115" t="s">
        <v>1206</v>
      </c>
    </row>
    <row r="5116" spans="3:5">
      <c r="C5116">
        <v>57.959999999999994</v>
      </c>
      <c r="D5116" s="17">
        <v>42286</v>
      </c>
      <c r="E5116" t="s">
        <v>79</v>
      </c>
    </row>
    <row r="5117" spans="3:5">
      <c r="C5117">
        <v>57.959999999999994</v>
      </c>
      <c r="D5117" s="17">
        <v>42796</v>
      </c>
      <c r="E5117" t="s">
        <v>79</v>
      </c>
    </row>
    <row r="5118" spans="3:5">
      <c r="C5118">
        <v>58.050000000000004</v>
      </c>
      <c r="D5118" s="17">
        <v>41748</v>
      </c>
      <c r="E5118" t="s">
        <v>204</v>
      </c>
    </row>
    <row r="5119" spans="3:5">
      <c r="C5119">
        <v>58.050000000000004</v>
      </c>
      <c r="D5119" s="17">
        <v>43010</v>
      </c>
      <c r="E5119" t="s">
        <v>204</v>
      </c>
    </row>
    <row r="5120" spans="3:5">
      <c r="C5120">
        <v>58.08</v>
      </c>
      <c r="D5120" s="17">
        <v>42349</v>
      </c>
      <c r="E5120" t="s">
        <v>1800</v>
      </c>
    </row>
    <row r="5121" spans="3:5">
      <c r="C5121">
        <v>58.112000000000002</v>
      </c>
      <c r="D5121" s="17">
        <v>41770</v>
      </c>
      <c r="E5121" t="s">
        <v>724</v>
      </c>
    </row>
    <row r="5122" spans="3:5">
      <c r="C5122">
        <v>58.112000000000002</v>
      </c>
      <c r="D5122" s="17">
        <v>42498</v>
      </c>
      <c r="E5122" t="s">
        <v>724</v>
      </c>
    </row>
    <row r="5123" spans="3:5">
      <c r="C5123">
        <v>58.170000000000009</v>
      </c>
      <c r="D5123" s="17">
        <v>42869</v>
      </c>
      <c r="E5123" t="s">
        <v>696</v>
      </c>
    </row>
    <row r="5124" spans="3:5">
      <c r="C5124">
        <v>58.199999999999996</v>
      </c>
      <c r="D5124" s="17">
        <v>41974</v>
      </c>
      <c r="E5124" t="s">
        <v>1445</v>
      </c>
    </row>
    <row r="5125" spans="3:5">
      <c r="C5125">
        <v>58.24</v>
      </c>
      <c r="D5125" s="17">
        <v>42526</v>
      </c>
      <c r="E5125" t="s">
        <v>300</v>
      </c>
    </row>
    <row r="5126" spans="3:5">
      <c r="C5126">
        <v>58.240000000000009</v>
      </c>
      <c r="D5126" s="17">
        <v>41947</v>
      </c>
      <c r="E5126" t="s">
        <v>300</v>
      </c>
    </row>
    <row r="5127" spans="3:5">
      <c r="C5127">
        <v>58.248000000000005</v>
      </c>
      <c r="D5127" s="17">
        <v>42618</v>
      </c>
      <c r="E5127" t="s">
        <v>1181</v>
      </c>
    </row>
    <row r="5128" spans="3:5">
      <c r="C5128">
        <v>58.320000000000007</v>
      </c>
      <c r="D5128" s="17">
        <v>41736</v>
      </c>
      <c r="E5128" t="s">
        <v>918</v>
      </c>
    </row>
    <row r="5129" spans="3:5">
      <c r="C5129">
        <v>58.320000000000007</v>
      </c>
      <c r="D5129" s="17">
        <v>42247</v>
      </c>
      <c r="E5129" t="s">
        <v>918</v>
      </c>
    </row>
    <row r="5130" spans="3:5">
      <c r="C5130">
        <v>58.320000000000007</v>
      </c>
      <c r="D5130" s="17">
        <v>42939</v>
      </c>
      <c r="E5130" t="s">
        <v>1005</v>
      </c>
    </row>
    <row r="5131" spans="3:5">
      <c r="C5131">
        <v>58.34</v>
      </c>
      <c r="D5131" s="17">
        <v>42552</v>
      </c>
      <c r="E5131" t="s">
        <v>757</v>
      </c>
    </row>
    <row r="5132" spans="3:5">
      <c r="C5132">
        <v>58.34</v>
      </c>
      <c r="D5132" s="17">
        <v>42882</v>
      </c>
      <c r="E5132" t="s">
        <v>757</v>
      </c>
    </row>
    <row r="5133" spans="3:5">
      <c r="C5133">
        <v>58.36</v>
      </c>
      <c r="D5133" s="17">
        <v>41975</v>
      </c>
      <c r="E5133" t="s">
        <v>938</v>
      </c>
    </row>
    <row r="5134" spans="3:5">
      <c r="C5134">
        <v>58.368000000000009</v>
      </c>
      <c r="D5134" s="17">
        <v>42693</v>
      </c>
      <c r="E5134" t="s">
        <v>74</v>
      </c>
    </row>
    <row r="5135" spans="3:5">
      <c r="C5135">
        <v>58.379999999999995</v>
      </c>
      <c r="D5135" s="17">
        <v>42155</v>
      </c>
      <c r="E5135" t="s">
        <v>1086</v>
      </c>
    </row>
    <row r="5136" spans="3:5">
      <c r="C5136">
        <v>58.407999999999994</v>
      </c>
      <c r="D5136" s="17">
        <v>43058</v>
      </c>
      <c r="E5136" t="s">
        <v>595</v>
      </c>
    </row>
    <row r="5137" spans="3:5">
      <c r="C5137">
        <v>58.415999999999997</v>
      </c>
      <c r="D5137" s="17">
        <v>41948</v>
      </c>
      <c r="E5137" t="s">
        <v>257</v>
      </c>
    </row>
    <row r="5138" spans="3:5">
      <c r="C5138">
        <v>58.415999999999997</v>
      </c>
      <c r="D5138" s="17">
        <v>42703</v>
      </c>
      <c r="E5138" t="s">
        <v>257</v>
      </c>
    </row>
    <row r="5139" spans="3:5">
      <c r="C5139">
        <v>58.463999999999977</v>
      </c>
      <c r="D5139" s="17">
        <v>42925</v>
      </c>
      <c r="E5139" t="s">
        <v>223</v>
      </c>
    </row>
    <row r="5140" spans="3:5">
      <c r="C5140">
        <v>58.48</v>
      </c>
      <c r="D5140" s="17">
        <v>41888</v>
      </c>
      <c r="E5140" t="s">
        <v>1740</v>
      </c>
    </row>
    <row r="5141" spans="3:5">
      <c r="C5141">
        <v>58.48</v>
      </c>
      <c r="D5141" s="17">
        <v>42616</v>
      </c>
      <c r="E5141" t="s">
        <v>382</v>
      </c>
    </row>
    <row r="5142" spans="3:5">
      <c r="C5142">
        <v>58.48</v>
      </c>
      <c r="D5142" s="17">
        <v>42868</v>
      </c>
      <c r="E5142" t="s">
        <v>679</v>
      </c>
    </row>
    <row r="5143" spans="3:5">
      <c r="C5143">
        <v>58.58</v>
      </c>
      <c r="D5143" s="17">
        <v>42451</v>
      </c>
      <c r="E5143" t="s">
        <v>1501</v>
      </c>
    </row>
    <row r="5144" spans="3:5">
      <c r="C5144">
        <v>58.68</v>
      </c>
      <c r="D5144" s="17">
        <v>43074</v>
      </c>
      <c r="E5144" t="s">
        <v>1065</v>
      </c>
    </row>
    <row r="5145" spans="3:5">
      <c r="C5145">
        <v>58.72</v>
      </c>
      <c r="D5145" s="17">
        <v>42064</v>
      </c>
      <c r="E5145" t="s">
        <v>375</v>
      </c>
    </row>
    <row r="5146" spans="3:5">
      <c r="C5146">
        <v>58.730000000000004</v>
      </c>
      <c r="D5146" s="17">
        <v>43065</v>
      </c>
      <c r="E5146" t="s">
        <v>504</v>
      </c>
    </row>
    <row r="5147" spans="3:5">
      <c r="C5147">
        <v>58.923999999999985</v>
      </c>
      <c r="D5147" s="17">
        <v>42595</v>
      </c>
      <c r="E5147" t="s">
        <v>1045</v>
      </c>
    </row>
    <row r="5148" spans="3:5">
      <c r="C5148">
        <v>59.099999999999994</v>
      </c>
      <c r="D5148" s="17">
        <v>42811</v>
      </c>
      <c r="E5148" t="s">
        <v>383</v>
      </c>
    </row>
    <row r="5149" spans="3:5">
      <c r="C5149">
        <v>59.184000000000005</v>
      </c>
      <c r="D5149" s="17">
        <v>42374</v>
      </c>
      <c r="E5149" t="s">
        <v>229</v>
      </c>
    </row>
    <row r="5150" spans="3:5">
      <c r="C5150">
        <v>59.2</v>
      </c>
      <c r="D5150" s="17">
        <v>42861</v>
      </c>
      <c r="E5150" t="s">
        <v>644</v>
      </c>
    </row>
    <row r="5151" spans="3:5">
      <c r="C5151">
        <v>59.20000000000001</v>
      </c>
      <c r="D5151" s="17">
        <v>41719</v>
      </c>
      <c r="E5151" t="s">
        <v>644</v>
      </c>
    </row>
    <row r="5152" spans="3:5">
      <c r="C5152">
        <v>59.24</v>
      </c>
      <c r="D5152" s="17">
        <v>43091</v>
      </c>
      <c r="E5152" t="s">
        <v>1539</v>
      </c>
    </row>
    <row r="5153" spans="3:5">
      <c r="C5153">
        <v>59.48</v>
      </c>
      <c r="D5153" s="17">
        <v>42623</v>
      </c>
      <c r="E5153" t="s">
        <v>1222</v>
      </c>
    </row>
    <row r="5154" spans="3:5">
      <c r="C5154">
        <v>59.519999999999996</v>
      </c>
      <c r="D5154" s="17">
        <v>41703</v>
      </c>
      <c r="E5154" t="s">
        <v>327</v>
      </c>
    </row>
    <row r="5155" spans="3:5">
      <c r="C5155">
        <v>59.519999999999996</v>
      </c>
      <c r="D5155" s="17">
        <v>41903</v>
      </c>
      <c r="E5155" t="s">
        <v>294</v>
      </c>
    </row>
    <row r="5156" spans="3:5">
      <c r="C5156">
        <v>59.519999999999996</v>
      </c>
      <c r="D5156" s="17">
        <v>42009</v>
      </c>
      <c r="E5156" t="s">
        <v>294</v>
      </c>
    </row>
    <row r="5157" spans="3:5">
      <c r="C5157">
        <v>59.519999999999996</v>
      </c>
      <c r="D5157" s="17">
        <v>42120</v>
      </c>
      <c r="E5157" t="s">
        <v>327</v>
      </c>
    </row>
    <row r="5158" spans="3:5">
      <c r="C5158">
        <v>59.519999999999996</v>
      </c>
      <c r="D5158" s="17">
        <v>42454</v>
      </c>
      <c r="E5158" t="s">
        <v>60</v>
      </c>
    </row>
    <row r="5159" spans="3:5">
      <c r="C5159">
        <v>59.519999999999996</v>
      </c>
      <c r="D5159" s="17">
        <v>42461</v>
      </c>
      <c r="E5159" t="s">
        <v>327</v>
      </c>
    </row>
    <row r="5160" spans="3:5">
      <c r="C5160">
        <v>59.519999999999996</v>
      </c>
      <c r="D5160" s="17">
        <v>42796</v>
      </c>
      <c r="E5160" t="s">
        <v>294</v>
      </c>
    </row>
    <row r="5161" spans="3:5">
      <c r="C5161">
        <v>59.519999999999996</v>
      </c>
      <c r="D5161" s="17">
        <v>42857</v>
      </c>
      <c r="E5161" t="s">
        <v>294</v>
      </c>
    </row>
    <row r="5162" spans="3:5">
      <c r="C5162">
        <v>59.519999999999996</v>
      </c>
      <c r="D5162" s="17">
        <v>42960</v>
      </c>
      <c r="E5162" t="s">
        <v>327</v>
      </c>
    </row>
    <row r="5163" spans="3:5">
      <c r="C5163">
        <v>59.699999999999996</v>
      </c>
      <c r="D5163" s="17">
        <v>41811</v>
      </c>
      <c r="E5163" t="s">
        <v>1605</v>
      </c>
    </row>
    <row r="5164" spans="3:5">
      <c r="C5164">
        <v>59.699999999999996</v>
      </c>
      <c r="D5164" s="17">
        <v>42706</v>
      </c>
      <c r="E5164" t="s">
        <v>1605</v>
      </c>
    </row>
    <row r="5165" spans="3:5">
      <c r="C5165">
        <v>59.712000000000003</v>
      </c>
      <c r="D5165" s="17">
        <v>43021</v>
      </c>
      <c r="E5165" t="s">
        <v>1314</v>
      </c>
    </row>
    <row r="5166" spans="3:5">
      <c r="C5166">
        <v>59.751999999999995</v>
      </c>
      <c r="D5166" s="17">
        <v>42647</v>
      </c>
      <c r="E5166" t="s">
        <v>316</v>
      </c>
    </row>
    <row r="5167" spans="3:5">
      <c r="C5167">
        <v>59.76</v>
      </c>
      <c r="D5167" s="17">
        <v>42824</v>
      </c>
      <c r="E5167" t="s">
        <v>466</v>
      </c>
    </row>
    <row r="5168" spans="3:5">
      <c r="C5168">
        <v>59.808000000000007</v>
      </c>
      <c r="D5168" s="17">
        <v>41792</v>
      </c>
      <c r="E5168" t="s">
        <v>1105</v>
      </c>
    </row>
    <row r="5169" spans="3:5">
      <c r="C5169">
        <v>59.808000000000007</v>
      </c>
      <c r="D5169" s="17">
        <v>42710</v>
      </c>
      <c r="E5169" t="s">
        <v>1105</v>
      </c>
    </row>
    <row r="5170" spans="3:5">
      <c r="C5170">
        <v>59.9</v>
      </c>
      <c r="D5170" s="17">
        <v>42322</v>
      </c>
      <c r="E5170" t="s">
        <v>1583</v>
      </c>
    </row>
    <row r="5171" spans="3:5">
      <c r="C5171">
        <v>59.903999999999996</v>
      </c>
      <c r="D5171" s="17">
        <v>42127</v>
      </c>
      <c r="E5171" t="s">
        <v>536</v>
      </c>
    </row>
    <row r="5172" spans="3:5">
      <c r="C5172">
        <v>59.903999999999996</v>
      </c>
      <c r="D5172" s="17">
        <v>42359</v>
      </c>
      <c r="E5172" t="s">
        <v>536</v>
      </c>
    </row>
    <row r="5173" spans="3:5">
      <c r="C5173">
        <v>59.913000000000011</v>
      </c>
      <c r="D5173" s="17">
        <v>43058</v>
      </c>
      <c r="E5173" t="s">
        <v>1287</v>
      </c>
    </row>
    <row r="5174" spans="3:5">
      <c r="C5174">
        <v>59.92</v>
      </c>
      <c r="D5174" s="17">
        <v>41749</v>
      </c>
      <c r="E5174" t="s">
        <v>1774</v>
      </c>
    </row>
    <row r="5175" spans="3:5">
      <c r="C5175">
        <v>59.92</v>
      </c>
      <c r="D5175" s="17">
        <v>43041</v>
      </c>
      <c r="E5175" t="s">
        <v>1014</v>
      </c>
    </row>
    <row r="5176" spans="3:5">
      <c r="C5176">
        <v>59.94</v>
      </c>
      <c r="D5176" s="17">
        <v>42237</v>
      </c>
      <c r="E5176" t="s">
        <v>121</v>
      </c>
    </row>
    <row r="5177" spans="3:5">
      <c r="C5177">
        <v>59.94</v>
      </c>
      <c r="D5177" s="17">
        <v>42330</v>
      </c>
      <c r="E5177" t="s">
        <v>690</v>
      </c>
    </row>
    <row r="5178" spans="3:5">
      <c r="C5178">
        <v>59.94</v>
      </c>
      <c r="D5178" s="17">
        <v>42335</v>
      </c>
      <c r="E5178" t="s">
        <v>1333</v>
      </c>
    </row>
    <row r="5179" spans="3:5">
      <c r="C5179">
        <v>59.94</v>
      </c>
      <c r="D5179" s="17">
        <v>42527</v>
      </c>
      <c r="E5179" t="s">
        <v>121</v>
      </c>
    </row>
    <row r="5180" spans="3:5">
      <c r="C5180">
        <v>59.94</v>
      </c>
      <c r="D5180" s="17">
        <v>43045</v>
      </c>
      <c r="E5180" t="s">
        <v>121</v>
      </c>
    </row>
    <row r="5181" spans="3:5">
      <c r="C5181">
        <v>59.960000000000008</v>
      </c>
      <c r="D5181" s="17">
        <v>42621</v>
      </c>
      <c r="E5181" t="s">
        <v>240</v>
      </c>
    </row>
    <row r="5182" spans="3:5">
      <c r="C5182">
        <v>59.969999999999992</v>
      </c>
      <c r="D5182" s="17">
        <v>42768</v>
      </c>
      <c r="E5182" t="s">
        <v>198</v>
      </c>
    </row>
    <row r="5183" spans="3:5">
      <c r="C5183">
        <v>59.97</v>
      </c>
      <c r="D5183" s="17">
        <v>42262</v>
      </c>
      <c r="E5183" t="s">
        <v>1317</v>
      </c>
    </row>
    <row r="5184" spans="3:5">
      <c r="C5184">
        <v>59.97</v>
      </c>
      <c r="D5184" s="17">
        <v>42609</v>
      </c>
      <c r="E5184" t="s">
        <v>1419</v>
      </c>
    </row>
    <row r="5185" spans="3:5">
      <c r="C5185">
        <v>59.97</v>
      </c>
      <c r="D5185" s="17">
        <v>42685</v>
      </c>
      <c r="E5185" t="s">
        <v>1617</v>
      </c>
    </row>
    <row r="5186" spans="3:5">
      <c r="C5186">
        <v>59.97</v>
      </c>
      <c r="D5186" s="17">
        <v>42700</v>
      </c>
      <c r="E5186" t="s">
        <v>1617</v>
      </c>
    </row>
    <row r="5187" spans="3:5">
      <c r="C5187">
        <v>59.97</v>
      </c>
      <c r="D5187" s="17">
        <v>42998</v>
      </c>
      <c r="E5187" t="s">
        <v>576</v>
      </c>
    </row>
    <row r="5188" spans="3:5">
      <c r="C5188">
        <v>59.97</v>
      </c>
      <c r="D5188" s="17">
        <v>43046</v>
      </c>
      <c r="E5188" t="s">
        <v>1389</v>
      </c>
    </row>
    <row r="5189" spans="3:5">
      <c r="C5189">
        <v>59.975999999999999</v>
      </c>
      <c r="D5189" s="17">
        <v>42699</v>
      </c>
      <c r="E5189" t="s">
        <v>1621</v>
      </c>
    </row>
    <row r="5190" spans="3:5">
      <c r="C5190">
        <v>59.98</v>
      </c>
      <c r="D5190" s="17">
        <v>41902</v>
      </c>
      <c r="E5190" t="s">
        <v>108</v>
      </c>
    </row>
    <row r="5191" spans="3:5">
      <c r="C5191">
        <v>59.98</v>
      </c>
      <c r="D5191" s="17">
        <v>42699</v>
      </c>
      <c r="E5191" t="s">
        <v>837</v>
      </c>
    </row>
    <row r="5192" spans="3:5">
      <c r="C5192">
        <v>59.98</v>
      </c>
      <c r="D5192" s="17">
        <v>42713</v>
      </c>
      <c r="E5192" t="s">
        <v>1210</v>
      </c>
    </row>
    <row r="5193" spans="3:5">
      <c r="C5193">
        <v>59.98</v>
      </c>
      <c r="D5193" s="17">
        <v>42919</v>
      </c>
      <c r="E5193" t="s">
        <v>108</v>
      </c>
    </row>
    <row r="5194" spans="3:5">
      <c r="C5194">
        <v>59.98</v>
      </c>
      <c r="D5194" s="17">
        <v>42993</v>
      </c>
      <c r="E5194" t="s">
        <v>1207</v>
      </c>
    </row>
    <row r="5195" spans="3:5">
      <c r="C5195">
        <v>59.99</v>
      </c>
      <c r="D5195" s="17">
        <v>42392</v>
      </c>
      <c r="E5195" t="s">
        <v>675</v>
      </c>
    </row>
    <row r="5196" spans="3:5">
      <c r="C5196">
        <v>59.993999999999993</v>
      </c>
      <c r="D5196" s="17">
        <v>42558</v>
      </c>
      <c r="E5196" t="s">
        <v>1733</v>
      </c>
    </row>
    <row r="5197" spans="3:5">
      <c r="C5197">
        <v>59.994000000000007</v>
      </c>
      <c r="D5197" s="17">
        <v>42307</v>
      </c>
      <c r="E5197" t="s">
        <v>1826</v>
      </c>
    </row>
    <row r="5198" spans="3:5">
      <c r="C5198">
        <v>60.048000000000002</v>
      </c>
      <c r="D5198" s="17">
        <v>42638</v>
      </c>
      <c r="E5198" t="s">
        <v>819</v>
      </c>
    </row>
    <row r="5199" spans="3:5">
      <c r="C5199">
        <v>60.12</v>
      </c>
      <c r="D5199" s="17">
        <v>42384</v>
      </c>
      <c r="E5199" t="s">
        <v>1456</v>
      </c>
    </row>
    <row r="5200" spans="3:5">
      <c r="C5200">
        <v>60.12</v>
      </c>
      <c r="D5200" s="17">
        <v>42567</v>
      </c>
      <c r="E5200" t="s">
        <v>1107</v>
      </c>
    </row>
    <row r="5201" spans="3:5">
      <c r="C5201">
        <v>60.12</v>
      </c>
      <c r="D5201" s="17">
        <v>42658</v>
      </c>
      <c r="E5201" t="s">
        <v>1662</v>
      </c>
    </row>
    <row r="5202" spans="3:5">
      <c r="C5202">
        <v>60.12</v>
      </c>
      <c r="D5202" s="17">
        <v>42945</v>
      </c>
      <c r="E5202" t="s">
        <v>1020</v>
      </c>
    </row>
    <row r="5203" spans="3:5">
      <c r="C5203">
        <v>60.12</v>
      </c>
      <c r="D5203" s="17">
        <v>43077</v>
      </c>
      <c r="E5203" t="s">
        <v>461</v>
      </c>
    </row>
    <row r="5204" spans="3:5">
      <c r="C5204">
        <v>60.144000000000005</v>
      </c>
      <c r="D5204" s="17">
        <v>42651</v>
      </c>
      <c r="E5204" t="s">
        <v>666</v>
      </c>
    </row>
    <row r="5205" spans="3:5">
      <c r="C5205">
        <v>60.288000000000004</v>
      </c>
      <c r="D5205" s="17">
        <v>42558</v>
      </c>
      <c r="E5205" t="s">
        <v>78</v>
      </c>
    </row>
    <row r="5206" spans="3:5">
      <c r="C5206">
        <v>60.311999999999998</v>
      </c>
      <c r="D5206" s="17">
        <v>41961</v>
      </c>
      <c r="E5206" t="s">
        <v>556</v>
      </c>
    </row>
    <row r="5207" spans="3:5">
      <c r="C5207">
        <v>60.311999999999998</v>
      </c>
      <c r="D5207" s="17">
        <v>42842</v>
      </c>
      <c r="E5207" t="s">
        <v>556</v>
      </c>
    </row>
    <row r="5208" spans="3:5">
      <c r="C5208">
        <v>60.339999999999996</v>
      </c>
      <c r="D5208" s="17">
        <v>42713</v>
      </c>
      <c r="E5208" t="s">
        <v>158</v>
      </c>
    </row>
    <row r="5209" spans="3:5">
      <c r="C5209">
        <v>60.35</v>
      </c>
      <c r="D5209" s="17">
        <v>42716</v>
      </c>
      <c r="E5209" t="s">
        <v>585</v>
      </c>
    </row>
    <row r="5210" spans="3:5">
      <c r="C5210">
        <v>60.415999999999997</v>
      </c>
      <c r="D5210" s="17">
        <v>41981</v>
      </c>
      <c r="E5210" t="s">
        <v>1074</v>
      </c>
    </row>
    <row r="5211" spans="3:5">
      <c r="C5211">
        <v>60.415999999999997</v>
      </c>
      <c r="D5211" s="17">
        <v>42068</v>
      </c>
      <c r="E5211" t="s">
        <v>1074</v>
      </c>
    </row>
    <row r="5212" spans="3:5">
      <c r="C5212">
        <v>60.449999999999996</v>
      </c>
      <c r="D5212" s="17">
        <v>42302</v>
      </c>
      <c r="E5212" t="s">
        <v>186</v>
      </c>
    </row>
    <row r="5213" spans="3:5">
      <c r="C5213">
        <v>60.449999999999996</v>
      </c>
      <c r="D5213" s="17">
        <v>42328</v>
      </c>
      <c r="E5213" t="s">
        <v>186</v>
      </c>
    </row>
    <row r="5214" spans="3:5">
      <c r="C5214">
        <v>60.600000000000009</v>
      </c>
      <c r="D5214" s="17">
        <v>42617</v>
      </c>
      <c r="E5214" t="s">
        <v>1235</v>
      </c>
    </row>
    <row r="5215" spans="3:5">
      <c r="C5215">
        <v>60.64</v>
      </c>
      <c r="D5215" s="17">
        <v>42369</v>
      </c>
      <c r="E5215" t="s">
        <v>174</v>
      </c>
    </row>
    <row r="5216" spans="3:5">
      <c r="C5216">
        <v>60.672000000000004</v>
      </c>
      <c r="D5216" s="17">
        <v>42273</v>
      </c>
      <c r="E5216" t="s">
        <v>1768</v>
      </c>
    </row>
    <row r="5217" spans="3:5">
      <c r="C5217">
        <v>60.672000000000011</v>
      </c>
      <c r="D5217" s="17">
        <v>41891</v>
      </c>
      <c r="E5217" t="s">
        <v>802</v>
      </c>
    </row>
    <row r="5218" spans="3:5">
      <c r="C5218">
        <v>60.69</v>
      </c>
      <c r="D5218" s="17">
        <v>42068</v>
      </c>
      <c r="E5218" t="s">
        <v>484</v>
      </c>
    </row>
    <row r="5219" spans="3:5">
      <c r="C5219">
        <v>60.72</v>
      </c>
      <c r="D5219" s="17">
        <v>41975</v>
      </c>
      <c r="E5219" t="s">
        <v>1064</v>
      </c>
    </row>
    <row r="5220" spans="3:5">
      <c r="C5220">
        <v>60.72</v>
      </c>
      <c r="D5220" s="17">
        <v>42631</v>
      </c>
      <c r="E5220" t="s">
        <v>1154</v>
      </c>
    </row>
    <row r="5221" spans="3:5">
      <c r="C5221">
        <v>60.736000000000004</v>
      </c>
      <c r="D5221" s="17">
        <v>42300</v>
      </c>
      <c r="E5221" t="s">
        <v>1306</v>
      </c>
    </row>
    <row r="5222" spans="3:5">
      <c r="C5222">
        <v>60.74</v>
      </c>
      <c r="D5222" s="17">
        <v>42248</v>
      </c>
      <c r="E5222" t="s">
        <v>1144</v>
      </c>
    </row>
    <row r="5223" spans="3:5">
      <c r="C5223">
        <v>60.768000000000001</v>
      </c>
      <c r="D5223" s="17">
        <v>42166</v>
      </c>
      <c r="E5223" t="s">
        <v>1006</v>
      </c>
    </row>
    <row r="5224" spans="3:5">
      <c r="C5224">
        <v>60.81</v>
      </c>
      <c r="D5224" s="17">
        <v>42546</v>
      </c>
      <c r="E5224" t="s">
        <v>659</v>
      </c>
    </row>
    <row r="5225" spans="3:5">
      <c r="C5225">
        <v>60.83</v>
      </c>
      <c r="D5225" s="17">
        <v>42936</v>
      </c>
      <c r="E5225" t="s">
        <v>786</v>
      </c>
    </row>
    <row r="5226" spans="3:5">
      <c r="C5226">
        <v>60.84</v>
      </c>
      <c r="D5226" s="17">
        <v>42173</v>
      </c>
      <c r="E5226" t="s">
        <v>1831</v>
      </c>
    </row>
    <row r="5227" spans="3:5">
      <c r="C5227">
        <v>60.84</v>
      </c>
      <c r="D5227" s="17">
        <v>42266</v>
      </c>
      <c r="E5227" t="s">
        <v>1831</v>
      </c>
    </row>
    <row r="5228" spans="3:5">
      <c r="C5228">
        <v>60.84</v>
      </c>
      <c r="D5228" s="17">
        <v>42820</v>
      </c>
      <c r="E5228" t="s">
        <v>440</v>
      </c>
    </row>
    <row r="5229" spans="3:5">
      <c r="C5229">
        <v>60.864000000000004</v>
      </c>
      <c r="D5229" s="17">
        <v>43052</v>
      </c>
      <c r="E5229" t="s">
        <v>379</v>
      </c>
    </row>
    <row r="5230" spans="3:5">
      <c r="C5230">
        <v>60.89</v>
      </c>
      <c r="D5230" s="17">
        <v>41681</v>
      </c>
      <c r="E5230" t="s">
        <v>1013</v>
      </c>
    </row>
    <row r="5231" spans="3:5">
      <c r="C5231">
        <v>60.984000000000009</v>
      </c>
      <c r="D5231" s="17">
        <v>42359</v>
      </c>
      <c r="E5231" t="s">
        <v>213</v>
      </c>
    </row>
    <row r="5232" spans="3:5">
      <c r="C5232">
        <v>61</v>
      </c>
      <c r="D5232" s="17">
        <v>42825</v>
      </c>
      <c r="E5232" t="s">
        <v>472</v>
      </c>
    </row>
    <row r="5233" spans="3:5">
      <c r="C5233">
        <v>61.019999999999996</v>
      </c>
      <c r="D5233" s="17">
        <v>42742</v>
      </c>
      <c r="E5233" t="s">
        <v>72</v>
      </c>
    </row>
    <row r="5234" spans="3:5">
      <c r="C5234">
        <v>61.04</v>
      </c>
      <c r="D5234" s="17">
        <v>42334</v>
      </c>
      <c r="E5234" t="s">
        <v>1188</v>
      </c>
    </row>
    <row r="5235" spans="3:5">
      <c r="C5235">
        <v>61.06</v>
      </c>
      <c r="D5235" s="17">
        <v>42053</v>
      </c>
      <c r="E5235" t="s">
        <v>330</v>
      </c>
    </row>
    <row r="5236" spans="3:5">
      <c r="C5236">
        <v>61.06</v>
      </c>
      <c r="D5236" s="17">
        <v>43077</v>
      </c>
      <c r="E5236" t="s">
        <v>330</v>
      </c>
    </row>
    <row r="5237" spans="3:5">
      <c r="C5237">
        <v>61.1</v>
      </c>
      <c r="D5237" s="17">
        <v>42663</v>
      </c>
      <c r="E5237" t="s">
        <v>1252</v>
      </c>
    </row>
    <row r="5238" spans="3:5">
      <c r="C5238">
        <v>61.12</v>
      </c>
      <c r="D5238" s="17">
        <v>42525</v>
      </c>
      <c r="E5238" t="s">
        <v>48</v>
      </c>
    </row>
    <row r="5239" spans="3:5">
      <c r="C5239">
        <v>61.120000000000005</v>
      </c>
      <c r="D5239" s="17">
        <v>42692</v>
      </c>
      <c r="E5239" t="s">
        <v>1634</v>
      </c>
    </row>
    <row r="5240" spans="3:5">
      <c r="C5240">
        <v>61.192</v>
      </c>
      <c r="D5240" s="17">
        <v>42692</v>
      </c>
      <c r="E5240" t="s">
        <v>1629</v>
      </c>
    </row>
    <row r="5241" spans="3:5">
      <c r="C5241">
        <v>61.38</v>
      </c>
      <c r="D5241" s="17">
        <v>42526</v>
      </c>
      <c r="E5241" t="s">
        <v>907</v>
      </c>
    </row>
    <row r="5242" spans="3:5">
      <c r="C5242">
        <v>61.4</v>
      </c>
      <c r="D5242" s="17">
        <v>42267</v>
      </c>
      <c r="E5242" t="s">
        <v>122</v>
      </c>
    </row>
    <row r="5243" spans="3:5">
      <c r="C5243">
        <v>61.4</v>
      </c>
      <c r="D5243" s="17">
        <v>42684</v>
      </c>
      <c r="E5243" t="s">
        <v>1424</v>
      </c>
    </row>
    <row r="5244" spans="3:5">
      <c r="C5244">
        <v>61.44</v>
      </c>
      <c r="D5244" s="17">
        <v>42269</v>
      </c>
      <c r="E5244" t="s">
        <v>283</v>
      </c>
    </row>
    <row r="5245" spans="3:5">
      <c r="C5245">
        <v>61.44</v>
      </c>
      <c r="D5245" s="17">
        <v>42645</v>
      </c>
      <c r="E5245" t="s">
        <v>283</v>
      </c>
    </row>
    <row r="5246" spans="3:5">
      <c r="C5246">
        <v>61.44</v>
      </c>
      <c r="D5246" s="17">
        <v>42897</v>
      </c>
      <c r="E5246" t="s">
        <v>283</v>
      </c>
    </row>
    <row r="5247" spans="3:5">
      <c r="C5247">
        <v>61.44</v>
      </c>
      <c r="D5247" s="17">
        <v>43074</v>
      </c>
      <c r="E5247" t="s">
        <v>283</v>
      </c>
    </row>
    <row r="5248" spans="3:5">
      <c r="C5248">
        <v>61.541999999999994</v>
      </c>
      <c r="D5248" s="17">
        <v>43034</v>
      </c>
      <c r="E5248" t="s">
        <v>1350</v>
      </c>
    </row>
    <row r="5249" spans="3:5">
      <c r="C5249">
        <v>61.543999999999997</v>
      </c>
      <c r="D5249" s="17">
        <v>41793</v>
      </c>
      <c r="E5249" t="s">
        <v>982</v>
      </c>
    </row>
    <row r="5250" spans="3:5">
      <c r="C5250">
        <v>61.567999999999998</v>
      </c>
      <c r="D5250" s="17">
        <v>41915</v>
      </c>
      <c r="E5250" t="s">
        <v>1496</v>
      </c>
    </row>
    <row r="5251" spans="3:5">
      <c r="C5251">
        <v>61.567999999999998</v>
      </c>
      <c r="D5251" s="17">
        <v>43073</v>
      </c>
      <c r="E5251" t="s">
        <v>1496</v>
      </c>
    </row>
    <row r="5252" spans="3:5">
      <c r="C5252">
        <v>61.584000000000003</v>
      </c>
      <c r="D5252" s="17">
        <v>42009</v>
      </c>
      <c r="E5252" t="s">
        <v>125</v>
      </c>
    </row>
    <row r="5253" spans="3:5">
      <c r="C5253">
        <v>61.68</v>
      </c>
      <c r="D5253" s="17">
        <v>42339</v>
      </c>
      <c r="E5253" t="s">
        <v>1160</v>
      </c>
    </row>
    <row r="5254" spans="3:5">
      <c r="C5254">
        <v>61.68</v>
      </c>
      <c r="D5254" s="17">
        <v>42986</v>
      </c>
      <c r="E5254" t="s">
        <v>1160</v>
      </c>
    </row>
    <row r="5255" spans="3:5">
      <c r="C5255">
        <v>61.77600000000001</v>
      </c>
      <c r="D5255" s="17">
        <v>43009</v>
      </c>
      <c r="E5255" t="s">
        <v>531</v>
      </c>
    </row>
    <row r="5256" spans="3:5">
      <c r="C5256">
        <v>61.792000000000002</v>
      </c>
      <c r="D5256" s="17">
        <v>42215</v>
      </c>
      <c r="E5256" t="s">
        <v>1206</v>
      </c>
    </row>
    <row r="5257" spans="3:5">
      <c r="C5257">
        <v>61.792000000000002</v>
      </c>
      <c r="D5257" s="17">
        <v>43052</v>
      </c>
      <c r="E5257" t="s">
        <v>1206</v>
      </c>
    </row>
    <row r="5258" spans="3:5">
      <c r="C5258">
        <v>61.929000000000002</v>
      </c>
      <c r="D5258" s="17">
        <v>42713</v>
      </c>
      <c r="E5258" t="s">
        <v>1022</v>
      </c>
    </row>
    <row r="5259" spans="3:5">
      <c r="C5259">
        <v>61.96</v>
      </c>
      <c r="D5259" s="17">
        <v>41653</v>
      </c>
      <c r="E5259" t="s">
        <v>539</v>
      </c>
    </row>
    <row r="5260" spans="3:5">
      <c r="C5260">
        <v>61.96</v>
      </c>
      <c r="D5260" s="17">
        <v>41930</v>
      </c>
      <c r="E5260" t="s">
        <v>863</v>
      </c>
    </row>
    <row r="5261" spans="3:5">
      <c r="C5261">
        <v>61.96</v>
      </c>
      <c r="D5261" s="17">
        <v>42112</v>
      </c>
      <c r="E5261" t="s">
        <v>94</v>
      </c>
    </row>
    <row r="5262" spans="3:5">
      <c r="C5262">
        <v>61.96</v>
      </c>
      <c r="D5262" s="17">
        <v>42257</v>
      </c>
      <c r="E5262" t="s">
        <v>1613</v>
      </c>
    </row>
    <row r="5263" spans="3:5">
      <c r="C5263">
        <v>61.96</v>
      </c>
      <c r="D5263" s="17">
        <v>42266</v>
      </c>
      <c r="E5263" t="s">
        <v>539</v>
      </c>
    </row>
    <row r="5264" spans="3:5">
      <c r="C5264">
        <v>61.96</v>
      </c>
      <c r="D5264" s="17">
        <v>42549</v>
      </c>
      <c r="E5264" t="s">
        <v>1500</v>
      </c>
    </row>
    <row r="5265" spans="3:5">
      <c r="C5265">
        <v>61.96</v>
      </c>
      <c r="D5265" s="17">
        <v>42651</v>
      </c>
      <c r="E5265" t="s">
        <v>863</v>
      </c>
    </row>
    <row r="5266" spans="3:5">
      <c r="C5266">
        <v>61.96</v>
      </c>
      <c r="D5266" s="17">
        <v>42727</v>
      </c>
      <c r="E5266" t="s">
        <v>79</v>
      </c>
    </row>
    <row r="5267" spans="3:5">
      <c r="C5267">
        <v>61.96</v>
      </c>
      <c r="D5267" s="17">
        <v>42814</v>
      </c>
      <c r="E5267" t="s">
        <v>278</v>
      </c>
    </row>
    <row r="5268" spans="3:5">
      <c r="C5268">
        <v>61.96</v>
      </c>
      <c r="D5268" s="17">
        <v>43013</v>
      </c>
      <c r="E5268" t="s">
        <v>444</v>
      </c>
    </row>
    <row r="5269" spans="3:5">
      <c r="C5269">
        <v>62.015999999999998</v>
      </c>
      <c r="D5269" s="17">
        <v>41796</v>
      </c>
      <c r="E5269" t="s">
        <v>1669</v>
      </c>
    </row>
    <row r="5270" spans="3:5">
      <c r="C5270">
        <v>62.015999999999998</v>
      </c>
      <c r="D5270" s="17">
        <v>41807</v>
      </c>
      <c r="E5270" t="s">
        <v>1655</v>
      </c>
    </row>
    <row r="5271" spans="3:5">
      <c r="C5271">
        <v>62.04</v>
      </c>
      <c r="D5271" s="17">
        <v>43092</v>
      </c>
      <c r="E5271" t="s">
        <v>1541</v>
      </c>
    </row>
    <row r="5272" spans="3:5">
      <c r="C5272">
        <v>62.040000000000006</v>
      </c>
      <c r="D5272" s="17">
        <v>42930</v>
      </c>
      <c r="E5272" t="s">
        <v>384</v>
      </c>
    </row>
    <row r="5273" spans="3:5">
      <c r="C5273">
        <v>62.048000000000002</v>
      </c>
      <c r="D5273" s="17">
        <v>41712</v>
      </c>
      <c r="E5273" t="s">
        <v>696</v>
      </c>
    </row>
    <row r="5274" spans="3:5">
      <c r="C5274">
        <v>62.099999999999994</v>
      </c>
      <c r="D5274" s="17">
        <v>42520</v>
      </c>
      <c r="E5274" t="s">
        <v>230</v>
      </c>
    </row>
    <row r="5275" spans="3:5">
      <c r="C5275">
        <v>62.18</v>
      </c>
      <c r="D5275" s="17">
        <v>41911</v>
      </c>
      <c r="E5275" t="s">
        <v>137</v>
      </c>
    </row>
    <row r="5276" spans="3:5">
      <c r="C5276">
        <v>62.18</v>
      </c>
      <c r="D5276" s="17">
        <v>42155</v>
      </c>
      <c r="E5276" t="s">
        <v>137</v>
      </c>
    </row>
    <row r="5277" spans="3:5">
      <c r="C5277">
        <v>62.192000000000007</v>
      </c>
      <c r="D5277" s="17">
        <v>42518</v>
      </c>
      <c r="E5277" t="s">
        <v>147</v>
      </c>
    </row>
    <row r="5278" spans="3:5">
      <c r="C5278">
        <v>62.24</v>
      </c>
      <c r="D5278" s="17">
        <v>41953</v>
      </c>
      <c r="E5278" t="s">
        <v>291</v>
      </c>
    </row>
    <row r="5279" spans="3:5">
      <c r="C5279">
        <v>62.24</v>
      </c>
      <c r="D5279" s="17">
        <v>42336</v>
      </c>
      <c r="E5279" t="s">
        <v>79</v>
      </c>
    </row>
    <row r="5280" spans="3:5">
      <c r="C5280">
        <v>62.28</v>
      </c>
      <c r="D5280" s="17">
        <v>41973</v>
      </c>
      <c r="E5280" t="s">
        <v>1862</v>
      </c>
    </row>
    <row r="5281" spans="3:5">
      <c r="C5281">
        <v>62.296000000000006</v>
      </c>
      <c r="D5281" s="17">
        <v>42111</v>
      </c>
      <c r="E5281" t="s">
        <v>673</v>
      </c>
    </row>
    <row r="5282" spans="3:5">
      <c r="C5282">
        <v>62.31</v>
      </c>
      <c r="D5282" s="17">
        <v>41690</v>
      </c>
      <c r="E5282" t="s">
        <v>905</v>
      </c>
    </row>
    <row r="5283" spans="3:5">
      <c r="C5283">
        <v>62.31</v>
      </c>
      <c r="D5283" s="17">
        <v>41732</v>
      </c>
      <c r="E5283" t="s">
        <v>905</v>
      </c>
    </row>
    <row r="5284" spans="3:5">
      <c r="C5284">
        <v>62.31</v>
      </c>
      <c r="D5284" s="17">
        <v>41993</v>
      </c>
      <c r="E5284" t="s">
        <v>133</v>
      </c>
    </row>
    <row r="5285" spans="3:5">
      <c r="C5285">
        <v>62.31</v>
      </c>
      <c r="D5285" s="17">
        <v>42915</v>
      </c>
      <c r="E5285" t="s">
        <v>905</v>
      </c>
    </row>
    <row r="5286" spans="3:5">
      <c r="C5286">
        <v>62.352000000000004</v>
      </c>
      <c r="D5286" s="17">
        <v>43051</v>
      </c>
      <c r="E5286" t="s">
        <v>549</v>
      </c>
    </row>
    <row r="5287" spans="3:5">
      <c r="C5287">
        <v>62.376000000000005</v>
      </c>
      <c r="D5287" s="17">
        <v>42617</v>
      </c>
      <c r="E5287" t="s">
        <v>989</v>
      </c>
    </row>
    <row r="5288" spans="3:5">
      <c r="C5288">
        <v>62.400000000000006</v>
      </c>
      <c r="D5288" s="17">
        <v>42701</v>
      </c>
      <c r="E5288" t="s">
        <v>426</v>
      </c>
    </row>
    <row r="5289" spans="3:5">
      <c r="C5289">
        <v>62.496000000000009</v>
      </c>
      <c r="D5289" s="17">
        <v>42127</v>
      </c>
      <c r="E5289" t="s">
        <v>319</v>
      </c>
    </row>
    <row r="5290" spans="3:5">
      <c r="C5290">
        <v>62.591999999999999</v>
      </c>
      <c r="D5290" s="17">
        <v>42750</v>
      </c>
      <c r="E5290" t="s">
        <v>109</v>
      </c>
    </row>
    <row r="5291" spans="3:5">
      <c r="C5291">
        <v>62.649999999999991</v>
      </c>
      <c r="D5291" s="17">
        <v>41952</v>
      </c>
      <c r="E5291" t="s">
        <v>1550</v>
      </c>
    </row>
    <row r="5292" spans="3:5">
      <c r="C5292">
        <v>62.65</v>
      </c>
      <c r="D5292" s="17">
        <v>43067</v>
      </c>
      <c r="E5292" t="s">
        <v>1466</v>
      </c>
    </row>
    <row r="5293" spans="3:5">
      <c r="C5293">
        <v>62.72</v>
      </c>
      <c r="D5293" s="17">
        <v>42761</v>
      </c>
      <c r="E5293" t="s">
        <v>165</v>
      </c>
    </row>
    <row r="5294" spans="3:5">
      <c r="C5294">
        <v>62.789999999999992</v>
      </c>
      <c r="D5294" s="17">
        <v>42618</v>
      </c>
      <c r="E5294" t="s">
        <v>1376</v>
      </c>
    </row>
    <row r="5295" spans="3:5">
      <c r="C5295">
        <v>62.8</v>
      </c>
      <c r="D5295" s="17">
        <v>42313</v>
      </c>
      <c r="E5295" t="s">
        <v>476</v>
      </c>
    </row>
    <row r="5296" spans="3:5">
      <c r="C5296">
        <v>62.808000000000007</v>
      </c>
      <c r="D5296" s="17">
        <v>41966</v>
      </c>
      <c r="E5296" t="s">
        <v>1476</v>
      </c>
    </row>
    <row r="5297" spans="3:5">
      <c r="C5297">
        <v>62.820000000000007</v>
      </c>
      <c r="D5297" s="17">
        <v>41665</v>
      </c>
      <c r="E5297" t="s">
        <v>1843</v>
      </c>
    </row>
    <row r="5298" spans="3:5">
      <c r="C5298">
        <v>62.820000000000007</v>
      </c>
      <c r="D5298" s="17">
        <v>42714</v>
      </c>
      <c r="E5298" t="s">
        <v>1589</v>
      </c>
    </row>
    <row r="5299" spans="3:5">
      <c r="C5299">
        <v>62.849999999999994</v>
      </c>
      <c r="D5299" s="17">
        <v>41997</v>
      </c>
      <c r="E5299" t="s">
        <v>965</v>
      </c>
    </row>
    <row r="5300" spans="3:5">
      <c r="C5300">
        <v>62.88000000000001</v>
      </c>
      <c r="D5300" s="17">
        <v>42328</v>
      </c>
      <c r="E5300" t="s">
        <v>1585</v>
      </c>
    </row>
    <row r="5301" spans="3:5">
      <c r="C5301">
        <v>62.91</v>
      </c>
      <c r="D5301" s="17">
        <v>41857</v>
      </c>
      <c r="E5301" t="s">
        <v>1870</v>
      </c>
    </row>
    <row r="5302" spans="3:5">
      <c r="C5302">
        <v>62.920000000000009</v>
      </c>
      <c r="D5302" s="17">
        <v>41852</v>
      </c>
      <c r="E5302" t="s">
        <v>1114</v>
      </c>
    </row>
    <row r="5303" spans="3:5">
      <c r="C5303">
        <v>62.94</v>
      </c>
      <c r="D5303" s="17">
        <v>41866</v>
      </c>
      <c r="E5303" t="s">
        <v>567</v>
      </c>
    </row>
    <row r="5304" spans="3:5">
      <c r="C5304">
        <v>62.94</v>
      </c>
      <c r="D5304" s="17">
        <v>41953</v>
      </c>
      <c r="E5304" t="s">
        <v>1058</v>
      </c>
    </row>
    <row r="5305" spans="3:5">
      <c r="C5305">
        <v>62.94</v>
      </c>
      <c r="D5305" s="17">
        <v>42642</v>
      </c>
      <c r="E5305" t="s">
        <v>567</v>
      </c>
    </row>
    <row r="5306" spans="3:5">
      <c r="C5306">
        <v>62.957999999999998</v>
      </c>
      <c r="D5306" s="17">
        <v>42416</v>
      </c>
      <c r="E5306" t="s">
        <v>1568</v>
      </c>
    </row>
    <row r="5307" spans="3:5">
      <c r="C5307">
        <v>62.957999999999998</v>
      </c>
      <c r="D5307" s="17">
        <v>43070</v>
      </c>
      <c r="E5307" t="s">
        <v>240</v>
      </c>
    </row>
    <row r="5308" spans="3:5">
      <c r="C5308">
        <v>62.96</v>
      </c>
      <c r="D5308" s="17">
        <v>42855</v>
      </c>
      <c r="E5308" t="s">
        <v>607</v>
      </c>
    </row>
    <row r="5309" spans="3:5">
      <c r="C5309">
        <v>62.981999999999999</v>
      </c>
      <c r="D5309" s="17">
        <v>42006</v>
      </c>
      <c r="E5309" t="s">
        <v>1454</v>
      </c>
    </row>
    <row r="5310" spans="3:5">
      <c r="C5310">
        <v>63.2</v>
      </c>
      <c r="D5310" s="17">
        <v>42004</v>
      </c>
      <c r="E5310" t="s">
        <v>802</v>
      </c>
    </row>
    <row r="5311" spans="3:5">
      <c r="C5311">
        <v>63.2</v>
      </c>
      <c r="D5311" s="17">
        <v>42637</v>
      </c>
      <c r="E5311" t="s">
        <v>802</v>
      </c>
    </row>
    <row r="5312" spans="3:5">
      <c r="C5312">
        <v>63.311999999999998</v>
      </c>
      <c r="D5312" s="17">
        <v>42380</v>
      </c>
      <c r="E5312" t="s">
        <v>1177</v>
      </c>
    </row>
    <row r="5313" spans="3:5">
      <c r="C5313">
        <v>63.311999999999998</v>
      </c>
      <c r="D5313" s="17">
        <v>42939</v>
      </c>
      <c r="E5313" t="s">
        <v>1004</v>
      </c>
    </row>
    <row r="5314" spans="3:5">
      <c r="C5314">
        <v>63.311999999999998</v>
      </c>
      <c r="D5314" s="17">
        <v>43021</v>
      </c>
      <c r="E5314" t="s">
        <v>296</v>
      </c>
    </row>
    <row r="5315" spans="3:5">
      <c r="C5315">
        <v>63.47</v>
      </c>
      <c r="D5315" s="17">
        <v>41923</v>
      </c>
      <c r="E5315" t="s">
        <v>1120</v>
      </c>
    </row>
    <row r="5316" spans="3:5">
      <c r="C5316">
        <v>63.488</v>
      </c>
      <c r="D5316" s="17">
        <v>42800</v>
      </c>
      <c r="E5316" t="s">
        <v>327</v>
      </c>
    </row>
    <row r="5317" spans="3:5">
      <c r="C5317">
        <v>63.552000000000007</v>
      </c>
      <c r="D5317" s="17">
        <v>41699</v>
      </c>
      <c r="E5317" t="s">
        <v>459</v>
      </c>
    </row>
    <row r="5318" spans="3:5">
      <c r="C5318">
        <v>63.552000000000007</v>
      </c>
      <c r="D5318" s="17">
        <v>42125</v>
      </c>
      <c r="E5318" t="s">
        <v>459</v>
      </c>
    </row>
    <row r="5319" spans="3:5">
      <c r="C5319">
        <v>63.56</v>
      </c>
      <c r="D5319" s="17">
        <v>43048</v>
      </c>
      <c r="E5319" t="s">
        <v>1394</v>
      </c>
    </row>
    <row r="5320" spans="3:5">
      <c r="C5320">
        <v>63.68</v>
      </c>
      <c r="D5320" s="17">
        <v>42497</v>
      </c>
      <c r="E5320" t="s">
        <v>491</v>
      </c>
    </row>
    <row r="5321" spans="3:5">
      <c r="C5321">
        <v>63.686</v>
      </c>
      <c r="D5321" s="17">
        <v>43007</v>
      </c>
      <c r="E5321" t="s">
        <v>485</v>
      </c>
    </row>
    <row r="5322" spans="3:5">
      <c r="C5322">
        <v>63.686</v>
      </c>
      <c r="D5322" s="17">
        <v>43080</v>
      </c>
      <c r="E5322" t="s">
        <v>1201</v>
      </c>
    </row>
    <row r="5323" spans="3:5">
      <c r="C5323">
        <v>63.769999999999996</v>
      </c>
      <c r="D5323" s="17">
        <v>42321</v>
      </c>
      <c r="E5323" t="s">
        <v>632</v>
      </c>
    </row>
    <row r="5324" spans="3:5">
      <c r="C5324">
        <v>63.824000000000005</v>
      </c>
      <c r="D5324" s="17">
        <v>42328</v>
      </c>
      <c r="E5324" t="s">
        <v>1816</v>
      </c>
    </row>
    <row r="5325" spans="3:5">
      <c r="C5325">
        <v>63.824000000000005</v>
      </c>
      <c r="D5325" s="17">
        <v>43013</v>
      </c>
      <c r="E5325" t="s">
        <v>520</v>
      </c>
    </row>
    <row r="5326" spans="3:5">
      <c r="C5326">
        <v>63.84</v>
      </c>
      <c r="D5326" s="17">
        <v>42461</v>
      </c>
      <c r="E5326" t="s">
        <v>292</v>
      </c>
    </row>
    <row r="5327" spans="3:5">
      <c r="C5327">
        <v>63.84</v>
      </c>
      <c r="D5327" s="17">
        <v>42974</v>
      </c>
      <c r="E5327" t="s">
        <v>430</v>
      </c>
    </row>
    <row r="5328" spans="3:5">
      <c r="C5328">
        <v>63.88</v>
      </c>
      <c r="D5328" s="17">
        <v>42717</v>
      </c>
      <c r="E5328" t="s">
        <v>350</v>
      </c>
    </row>
    <row r="5329" spans="3:5">
      <c r="C5329">
        <v>63.88</v>
      </c>
      <c r="D5329" s="17">
        <v>42805</v>
      </c>
      <c r="E5329" t="s">
        <v>350</v>
      </c>
    </row>
    <row r="5330" spans="3:5">
      <c r="C5330">
        <v>63.882000000000005</v>
      </c>
      <c r="D5330" s="17">
        <v>41828</v>
      </c>
      <c r="E5330" t="s">
        <v>721</v>
      </c>
    </row>
    <row r="5331" spans="3:5">
      <c r="C5331">
        <v>63.9</v>
      </c>
      <c r="D5331" s="17">
        <v>42472</v>
      </c>
      <c r="E5331" t="s">
        <v>1338</v>
      </c>
    </row>
    <row r="5332" spans="3:5">
      <c r="C5332">
        <v>63.9</v>
      </c>
      <c r="D5332" s="17">
        <v>43030</v>
      </c>
      <c r="E5332" t="s">
        <v>1338</v>
      </c>
    </row>
    <row r="5333" spans="3:5">
      <c r="C5333">
        <v>63.92</v>
      </c>
      <c r="D5333" s="17">
        <v>41938</v>
      </c>
      <c r="E5333" t="s">
        <v>1149</v>
      </c>
    </row>
    <row r="5334" spans="3:5">
      <c r="C5334">
        <v>63.920000000000009</v>
      </c>
      <c r="D5334" s="17">
        <v>42898</v>
      </c>
      <c r="E5334" t="s">
        <v>101</v>
      </c>
    </row>
    <row r="5335" spans="3:5">
      <c r="C5335">
        <v>63.924000000000007</v>
      </c>
      <c r="D5335" s="17">
        <v>41894</v>
      </c>
      <c r="E5335" t="s">
        <v>1129</v>
      </c>
    </row>
    <row r="5336" spans="3:5">
      <c r="C5336">
        <v>63.936000000000007</v>
      </c>
      <c r="D5336" s="17">
        <v>42120</v>
      </c>
      <c r="E5336" t="s">
        <v>651</v>
      </c>
    </row>
    <row r="5337" spans="3:5">
      <c r="C5337">
        <v>63.936000000000007</v>
      </c>
      <c r="D5337" s="17">
        <v>42635</v>
      </c>
      <c r="E5337" t="s">
        <v>691</v>
      </c>
    </row>
    <row r="5338" spans="3:5">
      <c r="C5338">
        <v>63.94</v>
      </c>
      <c r="D5338" s="17">
        <v>42617</v>
      </c>
      <c r="E5338" t="s">
        <v>1597</v>
      </c>
    </row>
    <row r="5339" spans="3:5">
      <c r="C5339">
        <v>63.96</v>
      </c>
      <c r="D5339" s="17">
        <v>42268</v>
      </c>
      <c r="E5339" t="s">
        <v>269</v>
      </c>
    </row>
    <row r="5340" spans="3:5">
      <c r="C5340">
        <v>63.96</v>
      </c>
      <c r="D5340" s="17">
        <v>42272</v>
      </c>
      <c r="E5340" t="s">
        <v>811</v>
      </c>
    </row>
    <row r="5341" spans="3:5">
      <c r="C5341">
        <v>63.96</v>
      </c>
      <c r="D5341" s="17">
        <v>42339</v>
      </c>
      <c r="E5341" t="s">
        <v>1216</v>
      </c>
    </row>
    <row r="5342" spans="3:5">
      <c r="C5342">
        <v>63.96</v>
      </c>
      <c r="D5342" s="17">
        <v>42954</v>
      </c>
      <c r="E5342" t="s">
        <v>811</v>
      </c>
    </row>
    <row r="5343" spans="3:5">
      <c r="C5343">
        <v>63.967999999999996</v>
      </c>
      <c r="D5343" s="17">
        <v>42635</v>
      </c>
      <c r="E5343" t="s">
        <v>1465</v>
      </c>
    </row>
    <row r="5344" spans="3:5">
      <c r="C5344">
        <v>63.967999999999996</v>
      </c>
      <c r="D5344" s="17">
        <v>42671</v>
      </c>
      <c r="E5344" t="s">
        <v>1054</v>
      </c>
    </row>
    <row r="5345" spans="3:5">
      <c r="C5345">
        <v>63.980000000000004</v>
      </c>
      <c r="D5345" s="17">
        <v>42321</v>
      </c>
      <c r="E5345" t="s">
        <v>577</v>
      </c>
    </row>
    <row r="5346" spans="3:5">
      <c r="C5346">
        <v>63.984000000000009</v>
      </c>
      <c r="D5346" s="17">
        <v>41799</v>
      </c>
      <c r="E5346" t="s">
        <v>1244</v>
      </c>
    </row>
    <row r="5347" spans="3:5">
      <c r="C5347">
        <v>63.991999999999997</v>
      </c>
      <c r="D5347" s="17">
        <v>42516</v>
      </c>
      <c r="E5347" t="s">
        <v>170</v>
      </c>
    </row>
    <row r="5348" spans="3:5">
      <c r="C5348">
        <v>64.02</v>
      </c>
      <c r="D5348" s="17">
        <v>41971</v>
      </c>
      <c r="E5348" t="s">
        <v>316</v>
      </c>
    </row>
    <row r="5349" spans="3:5">
      <c r="C5349">
        <v>64.12</v>
      </c>
      <c r="D5349" s="17">
        <v>42825</v>
      </c>
      <c r="E5349" t="s">
        <v>59</v>
      </c>
    </row>
    <row r="5350" spans="3:5">
      <c r="C5350">
        <v>64.14</v>
      </c>
      <c r="D5350" s="17">
        <v>42116</v>
      </c>
      <c r="E5350" t="s">
        <v>835</v>
      </c>
    </row>
    <row r="5351" spans="3:5">
      <c r="C5351">
        <v>64.14</v>
      </c>
      <c r="D5351" s="17">
        <v>42527</v>
      </c>
      <c r="E5351" t="s">
        <v>858</v>
      </c>
    </row>
    <row r="5352" spans="3:5">
      <c r="C5352">
        <v>64.14</v>
      </c>
      <c r="D5352" s="17">
        <v>42898</v>
      </c>
      <c r="E5352" t="s">
        <v>835</v>
      </c>
    </row>
    <row r="5353" spans="3:5">
      <c r="C5353">
        <v>64.17</v>
      </c>
      <c r="D5353" s="17">
        <v>42273</v>
      </c>
      <c r="E5353" t="s">
        <v>562</v>
      </c>
    </row>
    <row r="5354" spans="3:5">
      <c r="C5354">
        <v>64.2</v>
      </c>
      <c r="D5354" s="17">
        <v>42164</v>
      </c>
      <c r="E5354" t="s">
        <v>333</v>
      </c>
    </row>
    <row r="5355" spans="3:5">
      <c r="C5355">
        <v>64.2</v>
      </c>
      <c r="D5355" s="17">
        <v>42858</v>
      </c>
      <c r="E5355" t="s">
        <v>628</v>
      </c>
    </row>
    <row r="5356" spans="3:5">
      <c r="C5356">
        <v>64.383999999999986</v>
      </c>
      <c r="D5356" s="17">
        <v>42533</v>
      </c>
      <c r="E5356" t="s">
        <v>412</v>
      </c>
    </row>
    <row r="5357" spans="3:5">
      <c r="C5357">
        <v>64.384</v>
      </c>
      <c r="D5357" s="17">
        <v>42815</v>
      </c>
      <c r="E5357" t="s">
        <v>412</v>
      </c>
    </row>
    <row r="5358" spans="3:5">
      <c r="C5358">
        <v>64.400000000000006</v>
      </c>
      <c r="D5358" s="17">
        <v>42869</v>
      </c>
      <c r="E5358" t="s">
        <v>689</v>
      </c>
    </row>
    <row r="5359" spans="3:5">
      <c r="C5359">
        <v>64.623999999999995</v>
      </c>
      <c r="D5359" s="17">
        <v>42611</v>
      </c>
      <c r="E5359" t="s">
        <v>1028</v>
      </c>
    </row>
    <row r="5360" spans="3:5">
      <c r="C5360">
        <v>64.680000000000007</v>
      </c>
      <c r="D5360" s="17">
        <v>42229</v>
      </c>
      <c r="E5360" t="s">
        <v>437</v>
      </c>
    </row>
    <row r="5361" spans="3:5">
      <c r="C5361">
        <v>64.704000000000008</v>
      </c>
      <c r="D5361" s="17">
        <v>41891</v>
      </c>
      <c r="E5361" t="s">
        <v>1151</v>
      </c>
    </row>
    <row r="5362" spans="3:5">
      <c r="C5362">
        <v>64.704000000000008</v>
      </c>
      <c r="D5362" s="17">
        <v>42621</v>
      </c>
      <c r="E5362" t="s">
        <v>1699</v>
      </c>
    </row>
    <row r="5363" spans="3:5">
      <c r="C5363">
        <v>64.740000000000009</v>
      </c>
      <c r="D5363" s="17">
        <v>41943</v>
      </c>
      <c r="E5363" t="s">
        <v>1312</v>
      </c>
    </row>
    <row r="5364" spans="3:5">
      <c r="C5364">
        <v>64.75</v>
      </c>
      <c r="D5364" s="17">
        <v>42226</v>
      </c>
      <c r="E5364" t="s">
        <v>1557</v>
      </c>
    </row>
    <row r="5365" spans="3:5">
      <c r="C5365">
        <v>64.784000000000006</v>
      </c>
      <c r="D5365" s="17">
        <v>41889</v>
      </c>
      <c r="E5365" t="s">
        <v>1346</v>
      </c>
    </row>
    <row r="5366" spans="3:5">
      <c r="C5366">
        <v>64.784000000000006</v>
      </c>
      <c r="D5366" s="17">
        <v>41996</v>
      </c>
      <c r="E5366" t="s">
        <v>1083</v>
      </c>
    </row>
    <row r="5367" spans="3:5">
      <c r="C5367">
        <v>64.784000000000006</v>
      </c>
      <c r="D5367" s="17">
        <v>42320</v>
      </c>
      <c r="E5367" t="s">
        <v>1346</v>
      </c>
    </row>
    <row r="5368" spans="3:5">
      <c r="C5368">
        <v>64.784000000000006</v>
      </c>
      <c r="D5368" s="17">
        <v>42523</v>
      </c>
      <c r="E5368" t="s">
        <v>131</v>
      </c>
    </row>
    <row r="5369" spans="3:5">
      <c r="C5369">
        <v>64.784000000000006</v>
      </c>
      <c r="D5369" s="17">
        <v>43080</v>
      </c>
      <c r="E5369" t="s">
        <v>735</v>
      </c>
    </row>
    <row r="5370" spans="3:5">
      <c r="C5370">
        <v>64.784000000000006</v>
      </c>
      <c r="D5370" s="17">
        <v>43097</v>
      </c>
      <c r="E5370" t="s">
        <v>131</v>
      </c>
    </row>
    <row r="5371" spans="3:5">
      <c r="C5371">
        <v>64.848000000000013</v>
      </c>
      <c r="D5371" s="17">
        <v>43063</v>
      </c>
      <c r="E5371" t="s">
        <v>636</v>
      </c>
    </row>
    <row r="5372" spans="3:5">
      <c r="C5372">
        <v>64.864000000000004</v>
      </c>
      <c r="D5372" s="17">
        <v>41657</v>
      </c>
      <c r="E5372" t="s">
        <v>659</v>
      </c>
    </row>
    <row r="5373" spans="3:5">
      <c r="C5373">
        <v>64.864000000000004</v>
      </c>
      <c r="D5373" s="17">
        <v>42391</v>
      </c>
      <c r="E5373" t="s">
        <v>659</v>
      </c>
    </row>
    <row r="5374" spans="3:5">
      <c r="C5374">
        <v>64.900000000000006</v>
      </c>
      <c r="D5374" s="17">
        <v>42875</v>
      </c>
      <c r="E5374" t="s">
        <v>396</v>
      </c>
    </row>
    <row r="5375" spans="3:5">
      <c r="C5375">
        <v>64.944000000000003</v>
      </c>
      <c r="D5375" s="17">
        <v>42281</v>
      </c>
      <c r="E5375" t="s">
        <v>1153</v>
      </c>
    </row>
    <row r="5376" spans="3:5">
      <c r="C5376">
        <v>64.959999999999994</v>
      </c>
      <c r="D5376" s="17">
        <v>41677</v>
      </c>
      <c r="E5376" t="s">
        <v>422</v>
      </c>
    </row>
    <row r="5377" spans="3:5">
      <c r="C5377">
        <v>64.959999999999994</v>
      </c>
      <c r="D5377" s="17">
        <v>41681</v>
      </c>
      <c r="E5377" t="s">
        <v>1410</v>
      </c>
    </row>
    <row r="5378" spans="3:5">
      <c r="C5378">
        <v>64.959999999999994</v>
      </c>
      <c r="D5378" s="17">
        <v>42315</v>
      </c>
      <c r="E5378" t="s">
        <v>588</v>
      </c>
    </row>
    <row r="5379" spans="3:5">
      <c r="C5379">
        <v>64.959999999999994</v>
      </c>
      <c r="D5379" s="17">
        <v>42468</v>
      </c>
      <c r="E5379" t="s">
        <v>1410</v>
      </c>
    </row>
    <row r="5380" spans="3:5">
      <c r="C5380">
        <v>64.959999999999994</v>
      </c>
      <c r="D5380" s="17">
        <v>42693</v>
      </c>
      <c r="E5380" t="s">
        <v>1410</v>
      </c>
    </row>
    <row r="5381" spans="3:5">
      <c r="C5381">
        <v>64.959999999999994</v>
      </c>
      <c r="D5381" s="17">
        <v>42700</v>
      </c>
      <c r="E5381" t="s">
        <v>223</v>
      </c>
    </row>
    <row r="5382" spans="3:5">
      <c r="C5382">
        <v>64.959999999999994</v>
      </c>
      <c r="D5382" s="17">
        <v>42715</v>
      </c>
      <c r="E5382" t="s">
        <v>422</v>
      </c>
    </row>
    <row r="5383" spans="3:5">
      <c r="C5383">
        <v>64.959999999999994</v>
      </c>
      <c r="D5383" s="17">
        <v>42855</v>
      </c>
      <c r="E5383" t="s">
        <v>614</v>
      </c>
    </row>
    <row r="5384" spans="3:5">
      <c r="C5384">
        <v>64.959999999999994</v>
      </c>
      <c r="D5384" s="17">
        <v>42973</v>
      </c>
      <c r="E5384" t="s">
        <v>614</v>
      </c>
    </row>
    <row r="5385" spans="3:5">
      <c r="C5385">
        <v>64.959999999999994</v>
      </c>
      <c r="D5385" s="17">
        <v>43083</v>
      </c>
      <c r="E5385" t="s">
        <v>569</v>
      </c>
    </row>
    <row r="5386" spans="3:5">
      <c r="C5386">
        <v>65.08</v>
      </c>
      <c r="D5386" s="17">
        <v>42265</v>
      </c>
      <c r="E5386" t="s">
        <v>667</v>
      </c>
    </row>
    <row r="5387" spans="3:5">
      <c r="C5387">
        <v>65.12</v>
      </c>
      <c r="D5387" s="17">
        <v>42986</v>
      </c>
      <c r="E5387" t="s">
        <v>464</v>
      </c>
    </row>
    <row r="5388" spans="3:5">
      <c r="C5388">
        <v>65.17</v>
      </c>
      <c r="D5388" s="17">
        <v>42507</v>
      </c>
      <c r="E5388" t="s">
        <v>744</v>
      </c>
    </row>
    <row r="5389" spans="3:5">
      <c r="C5389">
        <v>65.231999999999999</v>
      </c>
      <c r="D5389" s="17">
        <v>42864</v>
      </c>
      <c r="E5389" t="s">
        <v>85</v>
      </c>
    </row>
    <row r="5390" spans="3:5">
      <c r="C5390">
        <v>65.34</v>
      </c>
      <c r="D5390" s="17">
        <v>42714</v>
      </c>
      <c r="E5390" t="s">
        <v>1015</v>
      </c>
    </row>
    <row r="5391" spans="3:5">
      <c r="C5391">
        <v>65.424000000000007</v>
      </c>
      <c r="D5391" s="17">
        <v>42884</v>
      </c>
      <c r="E5391" t="s">
        <v>769</v>
      </c>
    </row>
    <row r="5392" spans="3:5">
      <c r="C5392">
        <v>65.44</v>
      </c>
      <c r="D5392" s="17">
        <v>41993</v>
      </c>
      <c r="E5392" t="s">
        <v>328</v>
      </c>
    </row>
    <row r="5393" spans="3:5">
      <c r="C5393">
        <v>65.5</v>
      </c>
      <c r="D5393" s="17">
        <v>42576</v>
      </c>
      <c r="E5393" t="s">
        <v>1701</v>
      </c>
    </row>
    <row r="5394" spans="3:5">
      <c r="C5394">
        <v>65.52000000000001</v>
      </c>
      <c r="D5394" s="17">
        <v>41791</v>
      </c>
      <c r="E5394" t="s">
        <v>300</v>
      </c>
    </row>
    <row r="5395" spans="3:5">
      <c r="C5395">
        <v>65.567999999999998</v>
      </c>
      <c r="D5395" s="17">
        <v>41735</v>
      </c>
      <c r="E5395" t="s">
        <v>348</v>
      </c>
    </row>
    <row r="5396" spans="3:5">
      <c r="C5396">
        <v>65.567999999999998</v>
      </c>
      <c r="D5396" s="17">
        <v>43079</v>
      </c>
      <c r="E5396" t="s">
        <v>107</v>
      </c>
    </row>
    <row r="5397" spans="3:5">
      <c r="C5397">
        <v>65.584000000000003</v>
      </c>
      <c r="D5397" s="17">
        <v>42082</v>
      </c>
      <c r="E5397" t="s">
        <v>613</v>
      </c>
    </row>
    <row r="5398" spans="3:5">
      <c r="C5398">
        <v>65.584000000000003</v>
      </c>
      <c r="D5398" s="17">
        <v>42769</v>
      </c>
      <c r="E5398" t="s">
        <v>210</v>
      </c>
    </row>
    <row r="5399" spans="3:5">
      <c r="C5399">
        <v>65.584000000000003</v>
      </c>
      <c r="D5399" s="17">
        <v>42834</v>
      </c>
      <c r="E5399" t="s">
        <v>210</v>
      </c>
    </row>
    <row r="5400" spans="3:5">
      <c r="C5400">
        <v>65.78</v>
      </c>
      <c r="D5400" s="17">
        <v>41847</v>
      </c>
      <c r="E5400" t="s">
        <v>1495</v>
      </c>
    </row>
    <row r="5401" spans="3:5">
      <c r="C5401">
        <v>65.789999999999992</v>
      </c>
      <c r="D5401" s="17">
        <v>42633</v>
      </c>
      <c r="E5401" t="s">
        <v>1582</v>
      </c>
    </row>
    <row r="5402" spans="3:5">
      <c r="C5402">
        <v>65.88</v>
      </c>
      <c r="D5402" s="17">
        <v>42656</v>
      </c>
      <c r="E5402" t="s">
        <v>582</v>
      </c>
    </row>
    <row r="5403" spans="3:5">
      <c r="C5403">
        <v>65.94</v>
      </c>
      <c r="D5403" s="17">
        <v>42615</v>
      </c>
      <c r="E5403" t="s">
        <v>1704</v>
      </c>
    </row>
    <row r="5404" spans="3:5">
      <c r="C5404">
        <v>65.94</v>
      </c>
      <c r="D5404" s="17">
        <v>42965</v>
      </c>
      <c r="E5404" t="s">
        <v>982</v>
      </c>
    </row>
    <row r="5405" spans="3:5">
      <c r="C5405">
        <v>65.97</v>
      </c>
      <c r="D5405" s="17">
        <v>41807</v>
      </c>
      <c r="E5405" t="s">
        <v>1717</v>
      </c>
    </row>
    <row r="5406" spans="3:5">
      <c r="C5406">
        <v>65.989999999999995</v>
      </c>
      <c r="D5406" s="17">
        <v>42902</v>
      </c>
      <c r="E5406" t="s">
        <v>852</v>
      </c>
    </row>
    <row r="5407" spans="3:5">
      <c r="C5407">
        <v>65.989999999999995</v>
      </c>
      <c r="D5407" s="17">
        <v>43010</v>
      </c>
      <c r="E5407" t="s">
        <v>1203</v>
      </c>
    </row>
    <row r="5408" spans="3:5">
      <c r="C5408">
        <v>66.03</v>
      </c>
      <c r="D5408" s="17">
        <v>41903</v>
      </c>
      <c r="E5408" t="s">
        <v>827</v>
      </c>
    </row>
    <row r="5409" spans="3:5">
      <c r="C5409">
        <v>66.048000000000002</v>
      </c>
      <c r="D5409" s="17">
        <v>42329</v>
      </c>
      <c r="E5409" t="s">
        <v>738</v>
      </c>
    </row>
    <row r="5410" spans="3:5">
      <c r="C5410">
        <v>66.112000000000009</v>
      </c>
      <c r="D5410" s="17">
        <v>41770</v>
      </c>
      <c r="E5410" t="s">
        <v>1032</v>
      </c>
    </row>
    <row r="5411" spans="3:5">
      <c r="C5411">
        <v>66.112000000000009</v>
      </c>
      <c r="D5411" s="17">
        <v>42678</v>
      </c>
      <c r="E5411" t="s">
        <v>1032</v>
      </c>
    </row>
    <row r="5412" spans="3:5">
      <c r="C5412">
        <v>66.112000000000009</v>
      </c>
      <c r="D5412" s="17">
        <v>42987</v>
      </c>
      <c r="E5412" t="s">
        <v>1032</v>
      </c>
    </row>
    <row r="5413" spans="3:5">
      <c r="C5413">
        <v>66.260000000000005</v>
      </c>
      <c r="D5413" s="17">
        <v>42511</v>
      </c>
      <c r="E5413" t="s">
        <v>818</v>
      </c>
    </row>
    <row r="5414" spans="3:5">
      <c r="C5414">
        <v>66.283999999999992</v>
      </c>
      <c r="D5414" s="17">
        <v>43086</v>
      </c>
      <c r="E5414" t="s">
        <v>1525</v>
      </c>
    </row>
    <row r="5415" spans="3:5">
      <c r="C5415">
        <v>66.294000000000011</v>
      </c>
      <c r="D5415" s="17">
        <v>42282</v>
      </c>
      <c r="E5415" t="s">
        <v>295</v>
      </c>
    </row>
    <row r="5416" spans="3:5">
      <c r="C5416">
        <v>66.300000000000011</v>
      </c>
      <c r="D5416" s="17">
        <v>41724</v>
      </c>
      <c r="E5416" t="s">
        <v>777</v>
      </c>
    </row>
    <row r="5417" spans="3:5">
      <c r="C5417">
        <v>66.300000000000011</v>
      </c>
      <c r="D5417" s="17">
        <v>42724</v>
      </c>
      <c r="E5417" t="s">
        <v>777</v>
      </c>
    </row>
    <row r="5418" spans="3:5">
      <c r="C5418">
        <v>66.36</v>
      </c>
      <c r="D5418" s="17">
        <v>42266</v>
      </c>
      <c r="E5418" t="s">
        <v>64</v>
      </c>
    </row>
    <row r="5419" spans="3:5">
      <c r="C5419">
        <v>66.36</v>
      </c>
      <c r="D5419" s="17">
        <v>42848</v>
      </c>
      <c r="E5419" t="s">
        <v>584</v>
      </c>
    </row>
    <row r="5420" spans="3:5">
      <c r="C5420">
        <v>66.539999999999992</v>
      </c>
      <c r="D5420" s="17">
        <v>42658</v>
      </c>
      <c r="E5420" t="s">
        <v>1179</v>
      </c>
    </row>
    <row r="5421" spans="3:5">
      <c r="C5421">
        <v>66.58</v>
      </c>
      <c r="D5421" s="17">
        <v>41659</v>
      </c>
      <c r="E5421" t="s">
        <v>249</v>
      </c>
    </row>
    <row r="5422" spans="3:5">
      <c r="C5422">
        <v>66.644999999999996</v>
      </c>
      <c r="D5422" s="17">
        <v>43017</v>
      </c>
      <c r="E5422" t="s">
        <v>999</v>
      </c>
    </row>
    <row r="5423" spans="3:5">
      <c r="C5423">
        <v>66.688000000000002</v>
      </c>
      <c r="D5423" s="17">
        <v>42572</v>
      </c>
      <c r="E5423" t="s">
        <v>1066</v>
      </c>
    </row>
    <row r="5424" spans="3:5">
      <c r="C5424">
        <v>66.69</v>
      </c>
      <c r="D5424" s="17">
        <v>42316</v>
      </c>
      <c r="E5424" t="s">
        <v>263</v>
      </c>
    </row>
    <row r="5425" spans="3:5">
      <c r="C5425">
        <v>66.959999999999994</v>
      </c>
      <c r="D5425" s="17">
        <v>41730</v>
      </c>
      <c r="E5425" t="s">
        <v>664</v>
      </c>
    </row>
    <row r="5426" spans="3:5">
      <c r="C5426">
        <v>66.959999999999994</v>
      </c>
      <c r="D5426" s="17">
        <v>41779</v>
      </c>
      <c r="E5426" t="s">
        <v>664</v>
      </c>
    </row>
    <row r="5427" spans="3:5">
      <c r="C5427">
        <v>66.959999999999994</v>
      </c>
      <c r="D5427" s="17">
        <v>42864</v>
      </c>
      <c r="E5427" t="s">
        <v>664</v>
      </c>
    </row>
    <row r="5428" spans="3:5">
      <c r="C5428">
        <v>66.976000000000013</v>
      </c>
      <c r="D5428" s="17">
        <v>42722</v>
      </c>
      <c r="E5428" t="s">
        <v>1224</v>
      </c>
    </row>
    <row r="5429" spans="3:5">
      <c r="C5429">
        <v>67</v>
      </c>
      <c r="D5429" s="17">
        <v>42672</v>
      </c>
      <c r="E5429" t="s">
        <v>1599</v>
      </c>
    </row>
    <row r="5430" spans="3:5">
      <c r="C5430">
        <v>67.040000000000006</v>
      </c>
      <c r="D5430" s="17">
        <v>43091</v>
      </c>
      <c r="E5430" t="s">
        <v>1537</v>
      </c>
    </row>
    <row r="5431" spans="3:5">
      <c r="C5431">
        <v>67.13600000000001</v>
      </c>
      <c r="D5431" s="17">
        <v>42621</v>
      </c>
      <c r="E5431" t="s">
        <v>567</v>
      </c>
    </row>
    <row r="5432" spans="3:5">
      <c r="C5432">
        <v>67.13600000000001</v>
      </c>
      <c r="D5432" s="17">
        <v>42670</v>
      </c>
      <c r="E5432" t="s">
        <v>1051</v>
      </c>
    </row>
    <row r="5433" spans="3:5">
      <c r="C5433">
        <v>67.13600000000001</v>
      </c>
      <c r="D5433" s="17">
        <v>42963</v>
      </c>
      <c r="E5433" t="s">
        <v>1058</v>
      </c>
    </row>
    <row r="5434" spans="3:5">
      <c r="C5434">
        <v>67.144000000000005</v>
      </c>
      <c r="D5434" s="17">
        <v>43017</v>
      </c>
      <c r="E5434" t="s">
        <v>510</v>
      </c>
    </row>
    <row r="5435" spans="3:5">
      <c r="C5435">
        <v>67.150000000000006</v>
      </c>
      <c r="D5435" s="17">
        <v>41961</v>
      </c>
      <c r="E5435" t="s">
        <v>1257</v>
      </c>
    </row>
    <row r="5436" spans="3:5">
      <c r="C5436">
        <v>67.150000000000006</v>
      </c>
      <c r="D5436" s="17">
        <v>42316</v>
      </c>
      <c r="E5436" t="s">
        <v>1257</v>
      </c>
    </row>
    <row r="5437" spans="3:5">
      <c r="C5437">
        <v>67.175999999999988</v>
      </c>
      <c r="D5437" s="17">
        <v>41911</v>
      </c>
      <c r="E5437" t="s">
        <v>1604</v>
      </c>
    </row>
    <row r="5438" spans="3:5">
      <c r="C5438">
        <v>67.176000000000002</v>
      </c>
      <c r="D5438" s="17">
        <v>42691</v>
      </c>
      <c r="E5438" t="s">
        <v>710</v>
      </c>
    </row>
    <row r="5439" spans="3:5">
      <c r="C5439">
        <v>67.194000000000003</v>
      </c>
      <c r="D5439" s="17">
        <v>41659</v>
      </c>
      <c r="E5439" t="s">
        <v>346</v>
      </c>
    </row>
    <row r="5440" spans="3:5">
      <c r="C5440">
        <v>67.343999999999994</v>
      </c>
      <c r="D5440" s="17">
        <v>41901</v>
      </c>
      <c r="E5440" t="s">
        <v>859</v>
      </c>
    </row>
    <row r="5441" spans="3:5">
      <c r="C5441">
        <v>67.36</v>
      </c>
      <c r="D5441" s="17">
        <v>42105</v>
      </c>
      <c r="E5441" t="s">
        <v>900</v>
      </c>
    </row>
    <row r="5442" spans="3:5">
      <c r="C5442">
        <v>67.400000000000006</v>
      </c>
      <c r="D5442" s="17">
        <v>42749</v>
      </c>
      <c r="E5442" t="s">
        <v>95</v>
      </c>
    </row>
    <row r="5443" spans="3:5">
      <c r="C5443">
        <v>67.400000000000006</v>
      </c>
      <c r="D5443" s="17">
        <v>43000</v>
      </c>
      <c r="E5443" t="s">
        <v>95</v>
      </c>
    </row>
    <row r="5444" spans="3:5">
      <c r="C5444">
        <v>67.536000000000016</v>
      </c>
      <c r="D5444" s="17">
        <v>42533</v>
      </c>
      <c r="E5444" t="s">
        <v>98</v>
      </c>
    </row>
    <row r="5445" spans="3:5">
      <c r="C5445">
        <v>67.56</v>
      </c>
      <c r="D5445" s="17">
        <v>41954</v>
      </c>
      <c r="E5445" t="s">
        <v>1421</v>
      </c>
    </row>
    <row r="5446" spans="3:5">
      <c r="C5446">
        <v>67.56</v>
      </c>
      <c r="D5446" s="17">
        <v>42623</v>
      </c>
      <c r="E5446" t="s">
        <v>1696</v>
      </c>
    </row>
    <row r="5447" spans="3:5">
      <c r="C5447">
        <v>67.64</v>
      </c>
      <c r="D5447" s="17">
        <v>42455</v>
      </c>
      <c r="E5447" t="s">
        <v>634</v>
      </c>
    </row>
    <row r="5448" spans="3:5">
      <c r="C5448">
        <v>67.710000000000008</v>
      </c>
      <c r="D5448" s="17">
        <v>42684</v>
      </c>
      <c r="E5448" t="s">
        <v>1560</v>
      </c>
    </row>
    <row r="5449" spans="3:5">
      <c r="C5449">
        <v>67.78</v>
      </c>
      <c r="D5449" s="17">
        <v>42800</v>
      </c>
      <c r="E5449" t="s">
        <v>323</v>
      </c>
    </row>
    <row r="5450" spans="3:5">
      <c r="C5450">
        <v>67.8</v>
      </c>
      <c r="D5450" s="17">
        <v>41768</v>
      </c>
      <c r="E5450" t="s">
        <v>528</v>
      </c>
    </row>
    <row r="5451" spans="3:5">
      <c r="C5451">
        <v>67.8</v>
      </c>
      <c r="D5451" s="17">
        <v>42264</v>
      </c>
      <c r="E5451" t="s">
        <v>97</v>
      </c>
    </row>
    <row r="5452" spans="3:5">
      <c r="C5452">
        <v>67.8</v>
      </c>
      <c r="D5452" s="17">
        <v>42749</v>
      </c>
      <c r="E5452" t="s">
        <v>97</v>
      </c>
    </row>
    <row r="5453" spans="3:5">
      <c r="C5453">
        <v>67.8</v>
      </c>
      <c r="D5453" s="17">
        <v>42874</v>
      </c>
      <c r="E5453" t="s">
        <v>528</v>
      </c>
    </row>
    <row r="5454" spans="3:5">
      <c r="C5454">
        <v>67.8</v>
      </c>
      <c r="D5454" s="17">
        <v>43044</v>
      </c>
      <c r="E5454" t="s">
        <v>120</v>
      </c>
    </row>
    <row r="5455" spans="3:5">
      <c r="C5455">
        <v>67.839999999999989</v>
      </c>
      <c r="D5455" s="17">
        <v>43064</v>
      </c>
      <c r="E5455" t="s">
        <v>1080</v>
      </c>
    </row>
    <row r="5456" spans="3:5">
      <c r="C5456">
        <v>67.84</v>
      </c>
      <c r="D5456" s="17">
        <v>42692</v>
      </c>
      <c r="E5456" t="s">
        <v>1080</v>
      </c>
    </row>
    <row r="5457" spans="3:5">
      <c r="C5457">
        <v>67.860000000000014</v>
      </c>
      <c r="D5457" s="17">
        <v>43071</v>
      </c>
      <c r="E5457" t="s">
        <v>990</v>
      </c>
    </row>
    <row r="5458" spans="3:5">
      <c r="C5458">
        <v>67.88</v>
      </c>
      <c r="D5458" s="17">
        <v>41846</v>
      </c>
      <c r="E5458" t="s">
        <v>1282</v>
      </c>
    </row>
    <row r="5459" spans="3:5">
      <c r="C5459">
        <v>67.900000000000006</v>
      </c>
      <c r="D5459" s="17">
        <v>42625</v>
      </c>
      <c r="E5459" t="s">
        <v>1143</v>
      </c>
    </row>
    <row r="5460" spans="3:5">
      <c r="C5460">
        <v>67.900000000000006</v>
      </c>
      <c r="D5460" s="17">
        <v>42989</v>
      </c>
      <c r="E5460" t="s">
        <v>61</v>
      </c>
    </row>
    <row r="5461" spans="3:5">
      <c r="C5461">
        <v>67.92</v>
      </c>
      <c r="D5461" s="17">
        <v>42850</v>
      </c>
      <c r="E5461" t="s">
        <v>597</v>
      </c>
    </row>
    <row r="5462" spans="3:5">
      <c r="C5462">
        <v>67.959999999999994</v>
      </c>
      <c r="D5462" s="17">
        <v>42252</v>
      </c>
      <c r="E5462" t="s">
        <v>778</v>
      </c>
    </row>
    <row r="5463" spans="3:5">
      <c r="C5463">
        <v>67.959999999999994</v>
      </c>
      <c r="D5463" s="17">
        <v>42649</v>
      </c>
      <c r="E5463" t="s">
        <v>871</v>
      </c>
    </row>
    <row r="5464" spans="3:5">
      <c r="C5464">
        <v>67.98</v>
      </c>
      <c r="D5464" s="17">
        <v>42168</v>
      </c>
      <c r="E5464" t="s">
        <v>1269</v>
      </c>
    </row>
    <row r="5465" spans="3:5">
      <c r="C5465">
        <v>67.992000000000004</v>
      </c>
      <c r="D5465" s="17">
        <v>43051</v>
      </c>
      <c r="E5465" t="s">
        <v>1411</v>
      </c>
    </row>
    <row r="5466" spans="3:5">
      <c r="C5466">
        <v>67.993199999999987</v>
      </c>
      <c r="D5466" s="17">
        <v>41955</v>
      </c>
      <c r="E5466" t="s">
        <v>639</v>
      </c>
    </row>
    <row r="5467" spans="3:5">
      <c r="C5467">
        <v>68.039999999999992</v>
      </c>
      <c r="D5467" s="17">
        <v>42796</v>
      </c>
      <c r="E5467" t="s">
        <v>296</v>
      </c>
    </row>
    <row r="5468" spans="3:5">
      <c r="C5468">
        <v>68.040000000000006</v>
      </c>
      <c r="D5468" s="17">
        <v>42533</v>
      </c>
      <c r="E5468" t="s">
        <v>247</v>
      </c>
    </row>
    <row r="5469" spans="3:5">
      <c r="C5469">
        <v>68.111999999999995</v>
      </c>
      <c r="D5469" s="17">
        <v>42675</v>
      </c>
      <c r="E5469" t="s">
        <v>587</v>
      </c>
    </row>
    <row r="5470" spans="3:5">
      <c r="C5470">
        <v>68.111999999999995</v>
      </c>
      <c r="D5470" s="17">
        <v>42712</v>
      </c>
      <c r="E5470" t="s">
        <v>587</v>
      </c>
    </row>
    <row r="5471" spans="3:5">
      <c r="C5471">
        <v>68.16</v>
      </c>
      <c r="D5471" s="17">
        <v>42336</v>
      </c>
      <c r="E5471" t="s">
        <v>1321</v>
      </c>
    </row>
    <row r="5472" spans="3:5">
      <c r="C5472">
        <v>68.238</v>
      </c>
      <c r="D5472" s="17">
        <v>42435</v>
      </c>
      <c r="E5472" t="s">
        <v>218</v>
      </c>
    </row>
    <row r="5473" spans="3:5">
      <c r="C5473">
        <v>68.432000000000016</v>
      </c>
      <c r="D5473" s="17">
        <v>42635</v>
      </c>
      <c r="E5473" t="s">
        <v>1252</v>
      </c>
    </row>
    <row r="5474" spans="3:5">
      <c r="C5474">
        <v>68.448000000000008</v>
      </c>
      <c r="D5474" s="17">
        <v>42897</v>
      </c>
      <c r="E5474" t="s">
        <v>562</v>
      </c>
    </row>
    <row r="5475" spans="3:5">
      <c r="C5475">
        <v>68.459999999999994</v>
      </c>
      <c r="D5475" s="17">
        <v>41896</v>
      </c>
      <c r="E5475" t="s">
        <v>79</v>
      </c>
    </row>
    <row r="5476" spans="3:5">
      <c r="C5476">
        <v>68.459999999999994</v>
      </c>
      <c r="D5476" s="17">
        <v>42877</v>
      </c>
      <c r="E5476" t="s">
        <v>109</v>
      </c>
    </row>
    <row r="5477" spans="3:5">
      <c r="C5477">
        <v>68.459999999999994</v>
      </c>
      <c r="D5477" s="17">
        <v>43098</v>
      </c>
      <c r="E5477" t="s">
        <v>1493</v>
      </c>
    </row>
    <row r="5478" spans="3:5">
      <c r="C5478">
        <v>68.472000000000008</v>
      </c>
      <c r="D5478" s="17">
        <v>43069</v>
      </c>
      <c r="E5478" t="s">
        <v>1287</v>
      </c>
    </row>
    <row r="5479" spans="3:5">
      <c r="C5479">
        <v>68.48</v>
      </c>
      <c r="D5479" s="17">
        <v>41798</v>
      </c>
      <c r="E5479" t="s">
        <v>333</v>
      </c>
    </row>
    <row r="5480" spans="3:5">
      <c r="C5480">
        <v>68.52</v>
      </c>
      <c r="D5480" s="17">
        <v>42368</v>
      </c>
      <c r="E5480" t="s">
        <v>1661</v>
      </c>
    </row>
    <row r="5481" spans="3:5">
      <c r="C5481">
        <v>68.52</v>
      </c>
      <c r="D5481" s="17">
        <v>42625</v>
      </c>
      <c r="E5481" t="s">
        <v>898</v>
      </c>
    </row>
    <row r="5482" spans="3:5">
      <c r="C5482">
        <v>68.52</v>
      </c>
      <c r="D5482" s="17">
        <v>42912</v>
      </c>
      <c r="E5482" t="s">
        <v>898</v>
      </c>
    </row>
    <row r="5483" spans="3:5">
      <c r="C5483">
        <v>68.541000000000011</v>
      </c>
      <c r="D5483" s="17">
        <v>42861</v>
      </c>
      <c r="E5483" t="s">
        <v>133</v>
      </c>
    </row>
    <row r="5484" spans="3:5">
      <c r="C5484">
        <v>68.599999999999994</v>
      </c>
      <c r="D5484" s="17">
        <v>42187</v>
      </c>
      <c r="E5484" t="s">
        <v>146</v>
      </c>
    </row>
    <row r="5485" spans="3:5">
      <c r="C5485">
        <v>68.599999999999994</v>
      </c>
      <c r="D5485" s="17">
        <v>42693</v>
      </c>
      <c r="E5485" t="s">
        <v>146</v>
      </c>
    </row>
    <row r="5486" spans="3:5">
      <c r="C5486">
        <v>68.62</v>
      </c>
      <c r="D5486" s="17">
        <v>42272</v>
      </c>
      <c r="E5486" t="s">
        <v>887</v>
      </c>
    </row>
    <row r="5487" spans="3:5">
      <c r="C5487">
        <v>68.64</v>
      </c>
      <c r="D5487" s="17">
        <v>42638</v>
      </c>
      <c r="E5487" t="s">
        <v>1679</v>
      </c>
    </row>
    <row r="5488" spans="3:5">
      <c r="C5488">
        <v>68.703999999999994</v>
      </c>
      <c r="D5488" s="17">
        <v>41944</v>
      </c>
      <c r="E5488" t="s">
        <v>271</v>
      </c>
    </row>
    <row r="5489" spans="3:5">
      <c r="C5489">
        <v>68.703999999999994</v>
      </c>
      <c r="D5489" s="17">
        <v>42786</v>
      </c>
      <c r="E5489" t="s">
        <v>271</v>
      </c>
    </row>
    <row r="5490" spans="3:5">
      <c r="C5490">
        <v>68.720000000000013</v>
      </c>
      <c r="D5490" s="17">
        <v>42303</v>
      </c>
      <c r="E5490" t="s">
        <v>364</v>
      </c>
    </row>
    <row r="5491" spans="3:5">
      <c r="C5491">
        <v>68.742000000000019</v>
      </c>
      <c r="D5491" s="17">
        <v>42822</v>
      </c>
      <c r="E5491" t="s">
        <v>457</v>
      </c>
    </row>
    <row r="5492" spans="3:5">
      <c r="C5492">
        <v>68.809999999999988</v>
      </c>
      <c r="D5492" s="17">
        <v>42330</v>
      </c>
      <c r="E5492" t="s">
        <v>1022</v>
      </c>
    </row>
    <row r="5493" spans="3:5">
      <c r="C5493">
        <v>68.94</v>
      </c>
      <c r="D5493" s="17">
        <v>42208</v>
      </c>
      <c r="E5493" t="s">
        <v>1587</v>
      </c>
    </row>
    <row r="5494" spans="3:5">
      <c r="C5494">
        <v>68.949999999999989</v>
      </c>
      <c r="D5494" s="17">
        <v>42421</v>
      </c>
      <c r="E5494" t="s">
        <v>1370</v>
      </c>
    </row>
    <row r="5495" spans="3:5">
      <c r="C5495">
        <v>68.97</v>
      </c>
      <c r="D5495" s="17">
        <v>43059</v>
      </c>
      <c r="E5495" t="s">
        <v>1449</v>
      </c>
    </row>
    <row r="5496" spans="3:5">
      <c r="C5496">
        <v>69.00800000000001</v>
      </c>
      <c r="D5496" s="17">
        <v>41827</v>
      </c>
      <c r="E5496" t="s">
        <v>200</v>
      </c>
    </row>
    <row r="5497" spans="3:5">
      <c r="C5497">
        <v>69.08</v>
      </c>
      <c r="D5497" s="17">
        <v>43031</v>
      </c>
      <c r="E5497" t="s">
        <v>950</v>
      </c>
    </row>
    <row r="5498" spans="3:5">
      <c r="C5498">
        <v>69.12</v>
      </c>
      <c r="D5498" s="17">
        <v>42252</v>
      </c>
      <c r="E5498" t="s">
        <v>1766</v>
      </c>
    </row>
    <row r="5499" spans="3:5">
      <c r="C5499">
        <v>69.216000000000008</v>
      </c>
      <c r="D5499" s="17">
        <v>41912</v>
      </c>
      <c r="E5499" t="s">
        <v>1392</v>
      </c>
    </row>
    <row r="5500" spans="3:5">
      <c r="C5500">
        <v>69.263999999999996</v>
      </c>
      <c r="D5500" s="17">
        <v>41957</v>
      </c>
      <c r="E5500" t="s">
        <v>1492</v>
      </c>
    </row>
    <row r="5501" spans="3:5">
      <c r="C5501">
        <v>69.28</v>
      </c>
      <c r="D5501" s="17">
        <v>42070</v>
      </c>
      <c r="E5501" t="s">
        <v>1199</v>
      </c>
    </row>
    <row r="5502" spans="3:5">
      <c r="C5502">
        <v>69.3</v>
      </c>
      <c r="D5502" s="17">
        <v>42576</v>
      </c>
      <c r="E5502" t="s">
        <v>1726</v>
      </c>
    </row>
    <row r="5503" spans="3:5">
      <c r="C5503">
        <v>69.375</v>
      </c>
      <c r="D5503" s="17">
        <v>42765</v>
      </c>
      <c r="E5503" t="s">
        <v>193</v>
      </c>
    </row>
    <row r="5504" spans="3:5">
      <c r="C5504">
        <v>69.456000000000003</v>
      </c>
      <c r="D5504" s="17">
        <v>41870</v>
      </c>
      <c r="E5504" t="s">
        <v>550</v>
      </c>
    </row>
    <row r="5505" spans="3:5">
      <c r="C5505">
        <v>69.456000000000003</v>
      </c>
      <c r="D5505" s="17">
        <v>42437</v>
      </c>
      <c r="E5505" t="s">
        <v>550</v>
      </c>
    </row>
    <row r="5506" spans="3:5">
      <c r="C5506">
        <v>69.456000000000003</v>
      </c>
      <c r="D5506" s="17">
        <v>43071</v>
      </c>
      <c r="E5506" t="s">
        <v>550</v>
      </c>
    </row>
    <row r="5507" spans="3:5">
      <c r="C5507">
        <v>69.48</v>
      </c>
      <c r="D5507" s="17">
        <v>43077</v>
      </c>
      <c r="E5507" t="s">
        <v>755</v>
      </c>
    </row>
    <row r="5508" spans="3:5">
      <c r="C5508">
        <v>69.5</v>
      </c>
      <c r="D5508" s="17">
        <v>42514</v>
      </c>
      <c r="E5508" t="s">
        <v>1277</v>
      </c>
    </row>
    <row r="5509" spans="3:5">
      <c r="C5509">
        <v>69.5</v>
      </c>
      <c r="D5509" s="17">
        <v>43090</v>
      </c>
      <c r="E5509" t="s">
        <v>1277</v>
      </c>
    </row>
    <row r="5510" spans="3:5">
      <c r="C5510">
        <v>69.52</v>
      </c>
      <c r="D5510" s="17">
        <v>41944</v>
      </c>
      <c r="E5510" t="s">
        <v>201</v>
      </c>
    </row>
    <row r="5511" spans="3:5">
      <c r="C5511">
        <v>69.52</v>
      </c>
      <c r="D5511" s="17">
        <v>42568</v>
      </c>
      <c r="E5511" t="s">
        <v>662</v>
      </c>
    </row>
    <row r="5512" spans="3:5">
      <c r="C5512">
        <v>69.52</v>
      </c>
      <c r="D5512" s="17">
        <v>42632</v>
      </c>
      <c r="E5512" t="s">
        <v>662</v>
      </c>
    </row>
    <row r="5513" spans="3:5">
      <c r="C5513">
        <v>69.52</v>
      </c>
      <c r="D5513" s="17">
        <v>42858</v>
      </c>
      <c r="E5513" t="s">
        <v>201</v>
      </c>
    </row>
    <row r="5514" spans="3:5">
      <c r="C5514">
        <v>69.576000000000008</v>
      </c>
      <c r="D5514" s="17">
        <v>42349</v>
      </c>
      <c r="E5514" t="s">
        <v>1594</v>
      </c>
    </row>
    <row r="5515" spans="3:5">
      <c r="C5515">
        <v>69.712000000000003</v>
      </c>
      <c r="D5515" s="17">
        <v>42936</v>
      </c>
      <c r="E5515" t="s">
        <v>903</v>
      </c>
    </row>
    <row r="5516" spans="3:5">
      <c r="C5516">
        <v>69.888000000000005</v>
      </c>
      <c r="D5516" s="17">
        <v>42684</v>
      </c>
      <c r="E5516" t="s">
        <v>683</v>
      </c>
    </row>
    <row r="5517" spans="3:5">
      <c r="C5517">
        <v>69.900000000000006</v>
      </c>
      <c r="D5517" s="17">
        <v>42644</v>
      </c>
      <c r="E5517" t="s">
        <v>1243</v>
      </c>
    </row>
    <row r="5518" spans="3:5">
      <c r="C5518">
        <v>69.930000000000007</v>
      </c>
      <c r="D5518" s="17">
        <v>42260</v>
      </c>
      <c r="E5518" t="s">
        <v>532</v>
      </c>
    </row>
    <row r="5519" spans="3:5">
      <c r="C5519">
        <v>69.930000000000007</v>
      </c>
      <c r="D5519" s="17">
        <v>42411</v>
      </c>
      <c r="E5519" t="s">
        <v>482</v>
      </c>
    </row>
    <row r="5520" spans="3:5">
      <c r="C5520">
        <v>69.930000000000007</v>
      </c>
      <c r="D5520" s="17">
        <v>42806</v>
      </c>
      <c r="E5520" t="s">
        <v>352</v>
      </c>
    </row>
    <row r="5521" spans="3:5">
      <c r="C5521">
        <v>69.98</v>
      </c>
      <c r="D5521" s="17">
        <v>42379</v>
      </c>
      <c r="E5521" t="s">
        <v>1316</v>
      </c>
    </row>
    <row r="5522" spans="3:5">
      <c r="C5522">
        <v>69.98</v>
      </c>
      <c r="D5522" s="17">
        <v>42849</v>
      </c>
      <c r="E5522" t="s">
        <v>594</v>
      </c>
    </row>
    <row r="5523" spans="3:5">
      <c r="C5523">
        <v>69.989999999999995</v>
      </c>
      <c r="D5523" s="17">
        <v>41894</v>
      </c>
      <c r="E5523" t="s">
        <v>1884</v>
      </c>
    </row>
    <row r="5524" spans="3:5">
      <c r="C5524">
        <v>70.00800000000001</v>
      </c>
      <c r="D5524" s="17">
        <v>42017</v>
      </c>
      <c r="E5524" t="s">
        <v>757</v>
      </c>
    </row>
    <row r="5525" spans="3:5">
      <c r="C5525">
        <v>70.00800000000001</v>
      </c>
      <c r="D5525" s="17">
        <v>42684</v>
      </c>
      <c r="E5525" t="s">
        <v>757</v>
      </c>
    </row>
    <row r="5526" spans="3:5">
      <c r="C5526">
        <v>70.08</v>
      </c>
      <c r="D5526" s="17">
        <v>42442</v>
      </c>
      <c r="E5526" t="s">
        <v>671</v>
      </c>
    </row>
    <row r="5527" spans="3:5">
      <c r="C5527">
        <v>70.08</v>
      </c>
      <c r="D5527" s="17">
        <v>42957</v>
      </c>
      <c r="E5527" t="s">
        <v>79</v>
      </c>
    </row>
    <row r="5528" spans="3:5">
      <c r="C5528">
        <v>70.12</v>
      </c>
      <c r="D5528" s="17">
        <v>42308</v>
      </c>
      <c r="E5528" t="s">
        <v>580</v>
      </c>
    </row>
    <row r="5529" spans="3:5">
      <c r="C5529">
        <v>70.12</v>
      </c>
      <c r="D5529" s="17">
        <v>42953</v>
      </c>
      <c r="E5529" t="s">
        <v>580</v>
      </c>
    </row>
    <row r="5530" spans="3:5">
      <c r="C5530">
        <v>70.260000000000005</v>
      </c>
      <c r="D5530" s="17">
        <v>42231</v>
      </c>
      <c r="E5530" t="s">
        <v>88</v>
      </c>
    </row>
    <row r="5531" spans="3:5">
      <c r="C5531">
        <v>70.260000000000005</v>
      </c>
      <c r="D5531" s="17">
        <v>42254</v>
      </c>
      <c r="E5531" t="s">
        <v>88</v>
      </c>
    </row>
    <row r="5532" spans="3:5">
      <c r="C5532">
        <v>70.367999999999995</v>
      </c>
      <c r="D5532" s="17">
        <v>41789</v>
      </c>
      <c r="E5532" t="s">
        <v>626</v>
      </c>
    </row>
    <row r="5533" spans="3:5">
      <c r="C5533">
        <v>70.367999999999995</v>
      </c>
      <c r="D5533" s="17">
        <v>41799</v>
      </c>
      <c r="E5533" t="s">
        <v>731</v>
      </c>
    </row>
    <row r="5534" spans="3:5">
      <c r="C5534">
        <v>70.367999999999995</v>
      </c>
      <c r="D5534" s="17">
        <v>42621</v>
      </c>
      <c r="E5534" t="s">
        <v>731</v>
      </c>
    </row>
    <row r="5535" spans="3:5">
      <c r="C5535">
        <v>70.448000000000008</v>
      </c>
      <c r="D5535" s="17">
        <v>42697</v>
      </c>
      <c r="E5535" t="s">
        <v>171</v>
      </c>
    </row>
    <row r="5536" spans="3:5">
      <c r="C5536">
        <v>70.463999999999999</v>
      </c>
      <c r="D5536" s="17">
        <v>42810</v>
      </c>
      <c r="E5536" t="s">
        <v>375</v>
      </c>
    </row>
    <row r="5537" spans="3:5">
      <c r="C5537">
        <v>70.559999999999988</v>
      </c>
      <c r="D5537" s="17">
        <v>41839</v>
      </c>
      <c r="E5537" t="s">
        <v>846</v>
      </c>
    </row>
    <row r="5538" spans="3:5">
      <c r="C5538">
        <v>70.56</v>
      </c>
      <c r="D5538" s="17">
        <v>42002</v>
      </c>
      <c r="E5538" t="s">
        <v>1562</v>
      </c>
    </row>
    <row r="5539" spans="3:5">
      <c r="C5539">
        <v>70.56</v>
      </c>
      <c r="D5539" s="17">
        <v>42733</v>
      </c>
      <c r="E5539" t="s">
        <v>1562</v>
      </c>
    </row>
    <row r="5540" spans="3:5">
      <c r="C5540">
        <v>70.679999999999993</v>
      </c>
      <c r="D5540" s="17">
        <v>43070</v>
      </c>
      <c r="E5540" t="s">
        <v>771</v>
      </c>
    </row>
    <row r="5541" spans="3:5">
      <c r="C5541">
        <v>70.685999999999993</v>
      </c>
      <c r="D5541" s="17">
        <v>42344</v>
      </c>
      <c r="E5541" t="s">
        <v>1131</v>
      </c>
    </row>
    <row r="5542" spans="3:5">
      <c r="C5542">
        <v>70.709999999999994</v>
      </c>
      <c r="D5542" s="17">
        <v>41884</v>
      </c>
      <c r="E5542" t="s">
        <v>51</v>
      </c>
    </row>
    <row r="5543" spans="3:5">
      <c r="C5543">
        <v>70.720000000000013</v>
      </c>
      <c r="D5543" s="17">
        <v>43043</v>
      </c>
      <c r="E5543" t="s">
        <v>777</v>
      </c>
    </row>
    <row r="5544" spans="3:5">
      <c r="C5544">
        <v>70.88</v>
      </c>
      <c r="D5544" s="17">
        <v>42419</v>
      </c>
      <c r="E5544" t="s">
        <v>702</v>
      </c>
    </row>
    <row r="5545" spans="3:5">
      <c r="C5545">
        <v>70.88</v>
      </c>
      <c r="D5545" s="17">
        <v>42588</v>
      </c>
      <c r="E5545" t="s">
        <v>296</v>
      </c>
    </row>
    <row r="5546" spans="3:5">
      <c r="C5546">
        <v>70.949999999999989</v>
      </c>
      <c r="D5546" s="17">
        <v>41735</v>
      </c>
      <c r="E5546" t="s">
        <v>603</v>
      </c>
    </row>
    <row r="5547" spans="3:5">
      <c r="C5547">
        <v>70.949999999999989</v>
      </c>
      <c r="D5547" s="17">
        <v>42323</v>
      </c>
      <c r="E5547" t="s">
        <v>1553</v>
      </c>
    </row>
    <row r="5548" spans="3:5">
      <c r="C5548">
        <v>70.949999999999989</v>
      </c>
      <c r="D5548" s="17">
        <v>42618</v>
      </c>
      <c r="E5548" t="s">
        <v>1553</v>
      </c>
    </row>
    <row r="5549" spans="3:5">
      <c r="C5549">
        <v>70.949999999999989</v>
      </c>
      <c r="D5549" s="17">
        <v>42992</v>
      </c>
      <c r="E5549" t="s">
        <v>603</v>
      </c>
    </row>
    <row r="5550" spans="3:5">
      <c r="C5550">
        <v>70.969999999999985</v>
      </c>
      <c r="D5550" s="17">
        <v>42134</v>
      </c>
      <c r="E5550" t="s">
        <v>1111</v>
      </c>
    </row>
    <row r="5551" spans="3:5">
      <c r="C5551">
        <v>70.98</v>
      </c>
      <c r="D5551" s="17">
        <v>42188</v>
      </c>
      <c r="E5551" t="s">
        <v>1446</v>
      </c>
    </row>
    <row r="5552" spans="3:5">
      <c r="C5552">
        <v>70.98</v>
      </c>
      <c r="D5552" s="17">
        <v>42700</v>
      </c>
      <c r="E5552" t="s">
        <v>296</v>
      </c>
    </row>
    <row r="5553" spans="3:5">
      <c r="C5553">
        <v>70.98</v>
      </c>
      <c r="D5553" s="17">
        <v>42992</v>
      </c>
      <c r="E5553" t="s">
        <v>225</v>
      </c>
    </row>
    <row r="5554" spans="3:5">
      <c r="C5554">
        <v>70.98</v>
      </c>
      <c r="D5554" s="17">
        <v>43060</v>
      </c>
      <c r="E5554" t="s">
        <v>1009</v>
      </c>
    </row>
    <row r="5555" spans="3:5">
      <c r="C5555">
        <v>71</v>
      </c>
      <c r="D5555" s="17">
        <v>43090</v>
      </c>
      <c r="E5555" t="s">
        <v>441</v>
      </c>
    </row>
    <row r="5556" spans="3:5">
      <c r="C5556">
        <v>71.040000000000006</v>
      </c>
      <c r="D5556" s="17">
        <v>42911</v>
      </c>
      <c r="E5556" t="s">
        <v>817</v>
      </c>
    </row>
    <row r="5557" spans="3:5">
      <c r="C5557">
        <v>71.088000000000008</v>
      </c>
      <c r="D5557" s="17">
        <v>42495</v>
      </c>
      <c r="E5557" t="s">
        <v>999</v>
      </c>
    </row>
    <row r="5558" spans="3:5">
      <c r="C5558">
        <v>71.088000000000008</v>
      </c>
      <c r="D5558" s="17">
        <v>42524</v>
      </c>
      <c r="E5558" t="s">
        <v>999</v>
      </c>
    </row>
    <row r="5559" spans="3:5">
      <c r="C5559">
        <v>71.088000000000008</v>
      </c>
      <c r="D5559" s="17">
        <v>43063</v>
      </c>
      <c r="E5559" t="s">
        <v>999</v>
      </c>
    </row>
    <row r="5560" spans="3:5">
      <c r="C5560">
        <v>71.12</v>
      </c>
      <c r="D5560" s="17">
        <v>42336</v>
      </c>
      <c r="E5560" t="s">
        <v>915</v>
      </c>
    </row>
    <row r="5561" spans="3:5">
      <c r="C5561">
        <v>71.12</v>
      </c>
      <c r="D5561" s="17">
        <v>42463</v>
      </c>
      <c r="E5561" t="s">
        <v>915</v>
      </c>
    </row>
    <row r="5562" spans="3:5">
      <c r="C5562">
        <v>71.245999999999995</v>
      </c>
      <c r="D5562" s="17">
        <v>42618</v>
      </c>
      <c r="E5562" t="s">
        <v>762</v>
      </c>
    </row>
    <row r="5563" spans="3:5">
      <c r="C5563">
        <v>71.28</v>
      </c>
      <c r="D5563" s="17">
        <v>41748</v>
      </c>
      <c r="E5563" t="s">
        <v>1681</v>
      </c>
    </row>
    <row r="5564" spans="3:5">
      <c r="C5564">
        <v>71.28</v>
      </c>
      <c r="D5564" s="17">
        <v>42989</v>
      </c>
      <c r="E5564" t="s">
        <v>519</v>
      </c>
    </row>
    <row r="5565" spans="3:5">
      <c r="C5565">
        <v>71.371999999999986</v>
      </c>
      <c r="D5565" s="17">
        <v>42932</v>
      </c>
      <c r="E5565" t="s">
        <v>971</v>
      </c>
    </row>
    <row r="5566" spans="3:5">
      <c r="C5566">
        <v>71.376000000000005</v>
      </c>
      <c r="D5566" s="17">
        <v>43029</v>
      </c>
      <c r="E5566" t="s">
        <v>1222</v>
      </c>
    </row>
    <row r="5567" spans="3:5">
      <c r="C5567">
        <v>71.599999999999994</v>
      </c>
      <c r="D5567" s="17">
        <v>42658</v>
      </c>
      <c r="E5567" t="s">
        <v>1550</v>
      </c>
    </row>
    <row r="5568" spans="3:5">
      <c r="C5568">
        <v>71.599999999999994</v>
      </c>
      <c r="D5568" s="17">
        <v>42811</v>
      </c>
      <c r="E5568" t="s">
        <v>380</v>
      </c>
    </row>
    <row r="5569" spans="3:5">
      <c r="C5569">
        <v>71.632000000000005</v>
      </c>
      <c r="D5569" s="17">
        <v>41815</v>
      </c>
      <c r="E5569" t="s">
        <v>1197</v>
      </c>
    </row>
    <row r="5570" spans="3:5">
      <c r="C5570">
        <v>71.760000000000005</v>
      </c>
      <c r="D5570" s="17">
        <v>42289</v>
      </c>
      <c r="E5570" t="s">
        <v>1224</v>
      </c>
    </row>
    <row r="5571" spans="3:5">
      <c r="C5571">
        <v>71.88</v>
      </c>
      <c r="D5571" s="17">
        <v>42338</v>
      </c>
      <c r="E5571" t="s">
        <v>1349</v>
      </c>
    </row>
    <row r="5572" spans="3:5">
      <c r="C5572">
        <v>71.88</v>
      </c>
      <c r="D5572" s="17">
        <v>43004</v>
      </c>
      <c r="E5572" t="s">
        <v>79</v>
      </c>
    </row>
    <row r="5573" spans="3:5">
      <c r="C5573">
        <v>71.92</v>
      </c>
      <c r="D5573" s="17">
        <v>42930</v>
      </c>
      <c r="E5573" t="s">
        <v>957</v>
      </c>
    </row>
    <row r="5574" spans="3:5">
      <c r="C5574">
        <v>71.927999999999997</v>
      </c>
      <c r="D5574" s="17">
        <v>41742</v>
      </c>
      <c r="E5574" t="s">
        <v>927</v>
      </c>
    </row>
    <row r="5575" spans="3:5">
      <c r="C5575">
        <v>71.928000000000011</v>
      </c>
      <c r="D5575" s="17">
        <v>42937</v>
      </c>
      <c r="E5575" t="s">
        <v>691</v>
      </c>
    </row>
    <row r="5576" spans="3:5">
      <c r="C5576">
        <v>71.951999999999998</v>
      </c>
      <c r="D5576" s="17">
        <v>42927</v>
      </c>
      <c r="E5576" t="s">
        <v>953</v>
      </c>
    </row>
    <row r="5577" spans="3:5">
      <c r="C5577">
        <v>71.959999999999994</v>
      </c>
      <c r="D5577" s="17">
        <v>42479</v>
      </c>
      <c r="E5577" t="s">
        <v>1428</v>
      </c>
    </row>
    <row r="5578" spans="3:5">
      <c r="C5578">
        <v>71.959999999999994</v>
      </c>
      <c r="D5578" s="17">
        <v>42693</v>
      </c>
      <c r="E5578" t="s">
        <v>276</v>
      </c>
    </row>
    <row r="5579" spans="3:5">
      <c r="C5579">
        <v>71.959999999999994</v>
      </c>
      <c r="D5579" s="17">
        <v>42789</v>
      </c>
      <c r="E5579" t="s">
        <v>276</v>
      </c>
    </row>
    <row r="5580" spans="3:5">
      <c r="C5580">
        <v>71.959999999999994</v>
      </c>
      <c r="D5580" s="17">
        <v>42983</v>
      </c>
      <c r="E5580" t="s">
        <v>1148</v>
      </c>
    </row>
    <row r="5581" spans="3:5">
      <c r="C5581">
        <v>71.959999999999994</v>
      </c>
      <c r="D5581" s="17">
        <v>43035</v>
      </c>
      <c r="E5581" t="s">
        <v>154</v>
      </c>
    </row>
    <row r="5582" spans="3:5">
      <c r="C5582">
        <v>71.97</v>
      </c>
      <c r="D5582" s="17">
        <v>42483</v>
      </c>
      <c r="E5582" t="s">
        <v>1354</v>
      </c>
    </row>
    <row r="5583" spans="3:5">
      <c r="C5583">
        <v>71.97</v>
      </c>
      <c r="D5583" s="17">
        <v>42800</v>
      </c>
      <c r="E5583" t="s">
        <v>321</v>
      </c>
    </row>
    <row r="5584" spans="3:5">
      <c r="C5584">
        <v>71.975999999999999</v>
      </c>
      <c r="D5584" s="17">
        <v>41993</v>
      </c>
      <c r="E5584" t="s">
        <v>108</v>
      </c>
    </row>
    <row r="5585" spans="3:5">
      <c r="C5585">
        <v>71.975999999999999</v>
      </c>
      <c r="D5585" s="17">
        <v>42049</v>
      </c>
      <c r="E5585" t="s">
        <v>694</v>
      </c>
    </row>
    <row r="5586" spans="3:5">
      <c r="C5586">
        <v>71.975999999999999</v>
      </c>
      <c r="D5586" s="17">
        <v>42096</v>
      </c>
      <c r="E5586" t="s">
        <v>1854</v>
      </c>
    </row>
    <row r="5587" spans="3:5">
      <c r="C5587">
        <v>71.975999999999999</v>
      </c>
      <c r="D5587" s="17">
        <v>42555</v>
      </c>
      <c r="E5587" t="s">
        <v>837</v>
      </c>
    </row>
    <row r="5588" spans="3:5">
      <c r="C5588">
        <v>71.975999999999999</v>
      </c>
      <c r="D5588" s="17">
        <v>42597</v>
      </c>
      <c r="E5588" t="s">
        <v>341</v>
      </c>
    </row>
    <row r="5589" spans="3:5">
      <c r="C5589">
        <v>71.975999999999999</v>
      </c>
      <c r="D5589" s="17">
        <v>42762</v>
      </c>
      <c r="E5589" t="s">
        <v>168</v>
      </c>
    </row>
    <row r="5590" spans="3:5">
      <c r="C5590">
        <v>71.975999999999999</v>
      </c>
      <c r="D5590" s="17">
        <v>42898</v>
      </c>
      <c r="E5590" t="s">
        <v>837</v>
      </c>
    </row>
    <row r="5591" spans="3:5">
      <c r="C5591">
        <v>71.975999999999999</v>
      </c>
      <c r="D5591" s="17">
        <v>42964</v>
      </c>
      <c r="E5591" t="s">
        <v>837</v>
      </c>
    </row>
    <row r="5592" spans="3:5">
      <c r="C5592">
        <v>71.975999999999999</v>
      </c>
      <c r="D5592" s="17">
        <v>42994</v>
      </c>
      <c r="E5592" t="s">
        <v>1210</v>
      </c>
    </row>
    <row r="5593" spans="3:5">
      <c r="C5593">
        <v>71.975999999999999</v>
      </c>
      <c r="D5593" s="17">
        <v>43069</v>
      </c>
      <c r="E5593" t="s">
        <v>837</v>
      </c>
    </row>
    <row r="5594" spans="3:5">
      <c r="C5594">
        <v>71.98</v>
      </c>
      <c r="D5594" s="17">
        <v>42595</v>
      </c>
      <c r="E5594" t="s">
        <v>442</v>
      </c>
    </row>
    <row r="5595" spans="3:5">
      <c r="C5595">
        <v>71.98</v>
      </c>
      <c r="D5595" s="17">
        <v>42973</v>
      </c>
      <c r="E5595" t="s">
        <v>442</v>
      </c>
    </row>
    <row r="5596" spans="3:5">
      <c r="C5596">
        <v>71.98</v>
      </c>
      <c r="D5596" s="17">
        <v>42999</v>
      </c>
      <c r="E5596" t="s">
        <v>442</v>
      </c>
    </row>
    <row r="5597" spans="3:5">
      <c r="C5597">
        <v>71.984000000000009</v>
      </c>
      <c r="D5597" s="17">
        <v>42890</v>
      </c>
      <c r="E5597" t="s">
        <v>798</v>
      </c>
    </row>
    <row r="5598" spans="3:5">
      <c r="C5598">
        <v>71.992000000000004</v>
      </c>
      <c r="D5598" s="17">
        <v>43038</v>
      </c>
      <c r="E5598" t="s">
        <v>1127</v>
      </c>
    </row>
    <row r="5599" spans="3:5">
      <c r="C5599">
        <v>72</v>
      </c>
      <c r="D5599" s="17">
        <v>42677</v>
      </c>
      <c r="E5599" t="s">
        <v>488</v>
      </c>
    </row>
    <row r="5600" spans="3:5">
      <c r="C5600">
        <v>72</v>
      </c>
      <c r="D5600" s="17">
        <v>42679</v>
      </c>
      <c r="E5600" t="s">
        <v>1212</v>
      </c>
    </row>
    <row r="5601" spans="3:5">
      <c r="C5601">
        <v>72</v>
      </c>
      <c r="D5601" s="17">
        <v>43002</v>
      </c>
      <c r="E5601" t="s">
        <v>1212</v>
      </c>
    </row>
    <row r="5602" spans="3:5">
      <c r="C5602">
        <v>72.224000000000004</v>
      </c>
      <c r="D5602" s="17">
        <v>42734</v>
      </c>
      <c r="E5602" t="s">
        <v>1560</v>
      </c>
    </row>
    <row r="5603" spans="3:5">
      <c r="C5603">
        <v>72.294000000000011</v>
      </c>
      <c r="D5603" s="17">
        <v>42448</v>
      </c>
      <c r="E5603" t="s">
        <v>1430</v>
      </c>
    </row>
    <row r="5604" spans="3:5">
      <c r="C5604">
        <v>72.42</v>
      </c>
      <c r="D5604" s="17">
        <v>42706</v>
      </c>
      <c r="E5604" t="s">
        <v>585</v>
      </c>
    </row>
    <row r="5605" spans="3:5">
      <c r="C5605">
        <v>72.45</v>
      </c>
      <c r="D5605" s="17">
        <v>43097</v>
      </c>
      <c r="E5605" t="s">
        <v>230</v>
      </c>
    </row>
    <row r="5606" spans="3:5">
      <c r="C5606">
        <v>72.48</v>
      </c>
      <c r="D5606" s="17">
        <v>42614</v>
      </c>
      <c r="E5606" t="s">
        <v>1675</v>
      </c>
    </row>
    <row r="5607" spans="3:5">
      <c r="C5607">
        <v>72.588000000000008</v>
      </c>
      <c r="D5607" s="17">
        <v>42273</v>
      </c>
      <c r="E5607" t="s">
        <v>813</v>
      </c>
    </row>
    <row r="5608" spans="3:5">
      <c r="C5608">
        <v>72.588000000000008</v>
      </c>
      <c r="D5608" s="17">
        <v>42894</v>
      </c>
      <c r="E5608" t="s">
        <v>813</v>
      </c>
    </row>
    <row r="5609" spans="3:5">
      <c r="C5609">
        <v>72.588000000000008</v>
      </c>
      <c r="D5609" s="17">
        <v>42997</v>
      </c>
      <c r="E5609" t="s">
        <v>586</v>
      </c>
    </row>
    <row r="5610" spans="3:5">
      <c r="C5610">
        <v>72.599999999999994</v>
      </c>
      <c r="D5610" s="17">
        <v>42164</v>
      </c>
      <c r="E5610" t="s">
        <v>1800</v>
      </c>
    </row>
    <row r="5611" spans="3:5">
      <c r="C5611">
        <v>72.64</v>
      </c>
      <c r="D5611" s="17">
        <v>42722</v>
      </c>
      <c r="E5611" t="s">
        <v>724</v>
      </c>
    </row>
    <row r="5612" spans="3:5">
      <c r="C5612">
        <v>72.64</v>
      </c>
      <c r="D5612" s="17">
        <v>42998</v>
      </c>
      <c r="E5612" t="s">
        <v>724</v>
      </c>
    </row>
    <row r="5613" spans="3:5">
      <c r="C5613">
        <v>72.703999999999994</v>
      </c>
      <c r="D5613" s="17">
        <v>42362</v>
      </c>
      <c r="E5613" t="s">
        <v>1321</v>
      </c>
    </row>
    <row r="5614" spans="3:5">
      <c r="C5614">
        <v>72.703999999999994</v>
      </c>
      <c r="D5614" s="17">
        <v>43092</v>
      </c>
      <c r="E5614" t="s">
        <v>1321</v>
      </c>
    </row>
    <row r="5615" spans="3:5">
      <c r="C5615">
        <v>72.744000000000014</v>
      </c>
      <c r="D5615" s="17">
        <v>42328</v>
      </c>
      <c r="E5615" t="s">
        <v>1556</v>
      </c>
    </row>
    <row r="5616" spans="3:5">
      <c r="C5616">
        <v>72.744000000000014</v>
      </c>
      <c r="D5616" s="17">
        <v>42365</v>
      </c>
      <c r="E5616" t="s">
        <v>549</v>
      </c>
    </row>
    <row r="5617" spans="3:5">
      <c r="C5617">
        <v>72.78</v>
      </c>
      <c r="D5617" s="17">
        <v>42285</v>
      </c>
      <c r="E5617" t="s">
        <v>921</v>
      </c>
    </row>
    <row r="5618" spans="3:5">
      <c r="C5618">
        <v>72.784000000000006</v>
      </c>
      <c r="D5618" s="17">
        <v>42120</v>
      </c>
      <c r="E5618" t="s">
        <v>596</v>
      </c>
    </row>
    <row r="5619" spans="3:5">
      <c r="C5619">
        <v>72.784000000000006</v>
      </c>
      <c r="D5619" s="17">
        <v>42849</v>
      </c>
      <c r="E5619" t="s">
        <v>596</v>
      </c>
    </row>
    <row r="5620" spans="3:5">
      <c r="C5620">
        <v>72.784000000000006</v>
      </c>
      <c r="D5620" s="17">
        <v>43007</v>
      </c>
      <c r="E5620" t="s">
        <v>1201</v>
      </c>
    </row>
    <row r="5621" spans="3:5">
      <c r="C5621">
        <v>72.8</v>
      </c>
      <c r="D5621" s="17">
        <v>42797</v>
      </c>
      <c r="E5621" t="s">
        <v>300</v>
      </c>
    </row>
    <row r="5622" spans="3:5">
      <c r="C5622">
        <v>72.900000000000006</v>
      </c>
      <c r="D5622" s="17">
        <v>43013</v>
      </c>
      <c r="E5622" t="s">
        <v>1298</v>
      </c>
    </row>
    <row r="5623" spans="3:5">
      <c r="C5623">
        <v>72.960000000000008</v>
      </c>
      <c r="D5623" s="17">
        <v>43001</v>
      </c>
      <c r="E5623" t="s">
        <v>831</v>
      </c>
    </row>
    <row r="5624" spans="3:5">
      <c r="C5624">
        <v>73.007999999999996</v>
      </c>
      <c r="D5624" s="17">
        <v>42985</v>
      </c>
      <c r="E5624" t="s">
        <v>296</v>
      </c>
    </row>
    <row r="5625" spans="3:5">
      <c r="C5625">
        <v>73.163999999999987</v>
      </c>
      <c r="D5625" s="17">
        <v>42295</v>
      </c>
      <c r="E5625" t="s">
        <v>523</v>
      </c>
    </row>
    <row r="5626" spans="3:5">
      <c r="C5626">
        <v>73.175999999999974</v>
      </c>
      <c r="D5626" s="17">
        <v>43001</v>
      </c>
      <c r="E5626" t="s">
        <v>342</v>
      </c>
    </row>
    <row r="5627" spans="3:5">
      <c r="C5627">
        <v>73.2</v>
      </c>
      <c r="D5627" s="17">
        <v>42479</v>
      </c>
      <c r="E5627" t="s">
        <v>670</v>
      </c>
    </row>
    <row r="5628" spans="3:5">
      <c r="C5628">
        <v>73.2</v>
      </c>
      <c r="D5628" s="17">
        <v>42575</v>
      </c>
      <c r="E5628" t="s">
        <v>670</v>
      </c>
    </row>
    <row r="5629" spans="3:5">
      <c r="C5629">
        <v>73.28</v>
      </c>
      <c r="D5629" s="17">
        <v>42092</v>
      </c>
      <c r="E5629" t="s">
        <v>748</v>
      </c>
    </row>
    <row r="5630" spans="3:5">
      <c r="C5630">
        <v>73.320000000000007</v>
      </c>
      <c r="D5630" s="17">
        <v>41792</v>
      </c>
      <c r="E5630" t="s">
        <v>1252</v>
      </c>
    </row>
    <row r="5631" spans="3:5">
      <c r="C5631">
        <v>73.343999999999994</v>
      </c>
      <c r="D5631" s="17">
        <v>42850</v>
      </c>
      <c r="E5631" t="s">
        <v>598</v>
      </c>
    </row>
    <row r="5632" spans="3:5">
      <c r="C5632">
        <v>73.36</v>
      </c>
      <c r="D5632" s="17">
        <v>42699</v>
      </c>
      <c r="E5632" t="s">
        <v>527</v>
      </c>
    </row>
    <row r="5633" spans="3:5">
      <c r="C5633">
        <v>73.536000000000001</v>
      </c>
      <c r="D5633" s="17">
        <v>42715</v>
      </c>
      <c r="E5633" t="s">
        <v>1587</v>
      </c>
    </row>
    <row r="5634" spans="3:5">
      <c r="C5634">
        <v>73.567999999999998</v>
      </c>
      <c r="D5634" s="17">
        <v>43080</v>
      </c>
      <c r="E5634" t="s">
        <v>713</v>
      </c>
    </row>
    <row r="5635" spans="3:5">
      <c r="C5635">
        <v>73.584000000000003</v>
      </c>
      <c r="D5635" s="17">
        <v>41943</v>
      </c>
      <c r="E5635" t="s">
        <v>630</v>
      </c>
    </row>
    <row r="5636" spans="3:5">
      <c r="C5636">
        <v>73.584000000000003</v>
      </c>
      <c r="D5636" s="17">
        <v>42630</v>
      </c>
      <c r="E5636" t="s">
        <v>1167</v>
      </c>
    </row>
    <row r="5637" spans="3:5">
      <c r="C5637">
        <v>73.679999999999993</v>
      </c>
      <c r="D5637" s="17">
        <v>43055</v>
      </c>
      <c r="E5637" t="s">
        <v>1424</v>
      </c>
    </row>
    <row r="5638" spans="3:5">
      <c r="C5638">
        <v>73.784000000000006</v>
      </c>
      <c r="D5638" s="17">
        <v>42402</v>
      </c>
      <c r="E5638" t="s">
        <v>231</v>
      </c>
    </row>
    <row r="5639" spans="3:5">
      <c r="C5639">
        <v>73.849999999999994</v>
      </c>
      <c r="D5639" s="17">
        <v>43083</v>
      </c>
      <c r="E5639" t="s">
        <v>1040</v>
      </c>
    </row>
    <row r="5640" spans="3:5">
      <c r="C5640">
        <v>73.915000000000006</v>
      </c>
      <c r="D5640" s="17">
        <v>41901</v>
      </c>
      <c r="E5640" t="s">
        <v>962</v>
      </c>
    </row>
    <row r="5641" spans="3:5">
      <c r="C5641">
        <v>73.98</v>
      </c>
      <c r="D5641" s="17">
        <v>41822</v>
      </c>
      <c r="E5641" t="s">
        <v>229</v>
      </c>
    </row>
    <row r="5642" spans="3:5">
      <c r="C5642">
        <v>73.98</v>
      </c>
      <c r="D5642" s="17">
        <v>42363</v>
      </c>
      <c r="E5642" t="s">
        <v>229</v>
      </c>
    </row>
    <row r="5643" spans="3:5">
      <c r="C5643">
        <v>74</v>
      </c>
      <c r="D5643" s="17">
        <v>42869</v>
      </c>
      <c r="E5643" t="s">
        <v>644</v>
      </c>
    </row>
    <row r="5644" spans="3:5">
      <c r="C5644">
        <v>74</v>
      </c>
      <c r="D5644" s="17">
        <v>42980</v>
      </c>
      <c r="E5644" t="s">
        <v>644</v>
      </c>
    </row>
    <row r="5645" spans="3:5">
      <c r="C5645">
        <v>74.112000000000009</v>
      </c>
      <c r="D5645" s="17">
        <v>43062</v>
      </c>
      <c r="E5645" t="s">
        <v>1175</v>
      </c>
    </row>
    <row r="5646" spans="3:5">
      <c r="C5646">
        <v>74.239999999999995</v>
      </c>
      <c r="D5646" s="17">
        <v>42187</v>
      </c>
      <c r="E5646" t="s">
        <v>215</v>
      </c>
    </row>
    <row r="5647" spans="3:5">
      <c r="C5647">
        <v>74.352000000000004</v>
      </c>
      <c r="D5647" s="17">
        <v>41720</v>
      </c>
      <c r="E5647" t="s">
        <v>444</v>
      </c>
    </row>
    <row r="5648" spans="3:5">
      <c r="C5648">
        <v>74.352000000000004</v>
      </c>
      <c r="D5648" s="17">
        <v>41950</v>
      </c>
      <c r="E5648" t="s">
        <v>79</v>
      </c>
    </row>
    <row r="5649" spans="3:5">
      <c r="C5649">
        <v>74.352000000000004</v>
      </c>
      <c r="D5649" s="17">
        <v>42089</v>
      </c>
      <c r="E5649" t="s">
        <v>278</v>
      </c>
    </row>
    <row r="5650" spans="3:5">
      <c r="C5650">
        <v>74.352000000000004</v>
      </c>
      <c r="D5650" s="17">
        <v>42112</v>
      </c>
      <c r="E5650" t="s">
        <v>601</v>
      </c>
    </row>
    <row r="5651" spans="3:5">
      <c r="C5651">
        <v>74.352000000000004</v>
      </c>
      <c r="D5651" s="17">
        <v>42698</v>
      </c>
      <c r="E5651" t="s">
        <v>863</v>
      </c>
    </row>
    <row r="5652" spans="3:5">
      <c r="C5652">
        <v>74.352000000000004</v>
      </c>
      <c r="D5652" s="17">
        <v>42820</v>
      </c>
      <c r="E5652" t="s">
        <v>444</v>
      </c>
    </row>
    <row r="5653" spans="3:5">
      <c r="C5653">
        <v>74.352000000000004</v>
      </c>
      <c r="D5653" s="17">
        <v>42904</v>
      </c>
      <c r="E5653" t="s">
        <v>863</v>
      </c>
    </row>
    <row r="5654" spans="3:5">
      <c r="C5654">
        <v>74.352000000000004</v>
      </c>
      <c r="D5654" s="17">
        <v>42992</v>
      </c>
      <c r="E5654" t="s">
        <v>278</v>
      </c>
    </row>
    <row r="5655" spans="3:5">
      <c r="C5655">
        <v>74.352000000000004</v>
      </c>
      <c r="D5655" s="17">
        <v>43073</v>
      </c>
      <c r="E5655" t="s">
        <v>1089</v>
      </c>
    </row>
    <row r="5656" spans="3:5">
      <c r="C5656">
        <v>74.415999999999997</v>
      </c>
      <c r="D5656" s="17">
        <v>42866</v>
      </c>
      <c r="E5656" t="s">
        <v>370</v>
      </c>
    </row>
    <row r="5657" spans="3:5">
      <c r="C5657">
        <v>74.45</v>
      </c>
      <c r="D5657" s="17">
        <v>42839</v>
      </c>
      <c r="E5657" t="s">
        <v>262</v>
      </c>
    </row>
    <row r="5658" spans="3:5">
      <c r="C5658">
        <v>74.52</v>
      </c>
      <c r="D5658" s="17">
        <v>42038</v>
      </c>
      <c r="E5658" t="s">
        <v>79</v>
      </c>
    </row>
    <row r="5659" spans="3:5">
      <c r="C5659">
        <v>74.591999999999999</v>
      </c>
      <c r="D5659" s="17">
        <v>42964</v>
      </c>
      <c r="E5659" t="s">
        <v>651</v>
      </c>
    </row>
    <row r="5660" spans="3:5">
      <c r="C5660">
        <v>74.759999999999991</v>
      </c>
      <c r="D5660" s="17">
        <v>42297</v>
      </c>
      <c r="E5660" t="s">
        <v>373</v>
      </c>
    </row>
    <row r="5661" spans="3:5">
      <c r="C5661">
        <v>74.760000000000005</v>
      </c>
      <c r="D5661" s="17">
        <v>42318</v>
      </c>
      <c r="E5661" t="s">
        <v>1105</v>
      </c>
    </row>
    <row r="5662" spans="3:5">
      <c r="C5662">
        <v>74.94</v>
      </c>
      <c r="D5662" s="17">
        <v>42368</v>
      </c>
      <c r="E5662" t="s">
        <v>1324</v>
      </c>
    </row>
    <row r="5663" spans="3:5">
      <c r="C5663">
        <v>74.95</v>
      </c>
      <c r="D5663" s="17">
        <v>43057</v>
      </c>
      <c r="E5663" t="s">
        <v>240</v>
      </c>
    </row>
    <row r="5664" spans="3:5">
      <c r="C5664">
        <v>75</v>
      </c>
      <c r="D5664" s="17">
        <v>42178</v>
      </c>
      <c r="E5664" t="s">
        <v>1829</v>
      </c>
    </row>
    <row r="5665" spans="3:5">
      <c r="C5665">
        <v>75.040000000000006</v>
      </c>
      <c r="D5665" s="17">
        <v>42825</v>
      </c>
      <c r="E5665" t="s">
        <v>470</v>
      </c>
    </row>
    <row r="5666" spans="3:5">
      <c r="C5666">
        <v>75.06</v>
      </c>
      <c r="D5666" s="17">
        <v>42552</v>
      </c>
      <c r="E5666" t="s">
        <v>1086</v>
      </c>
    </row>
    <row r="5667" spans="3:5">
      <c r="C5667">
        <v>75.179999999999993</v>
      </c>
      <c r="D5667" s="17">
        <v>41902</v>
      </c>
      <c r="E5667" t="s">
        <v>942</v>
      </c>
    </row>
    <row r="5668" spans="3:5">
      <c r="C5668">
        <v>75.179999999999993</v>
      </c>
      <c r="D5668" s="17">
        <v>42112</v>
      </c>
      <c r="E5668" t="s">
        <v>942</v>
      </c>
    </row>
    <row r="5669" spans="3:5">
      <c r="C5669">
        <v>75.179999999999993</v>
      </c>
      <c r="D5669" s="17">
        <v>42924</v>
      </c>
      <c r="E5669" t="s">
        <v>942</v>
      </c>
    </row>
    <row r="5670" spans="3:5">
      <c r="C5670">
        <v>75.33</v>
      </c>
      <c r="D5670" s="17">
        <v>42147</v>
      </c>
      <c r="E5670" t="s">
        <v>339</v>
      </c>
    </row>
    <row r="5671" spans="3:5">
      <c r="C5671">
        <v>75.36</v>
      </c>
      <c r="D5671" s="17">
        <v>42173</v>
      </c>
      <c r="E5671" t="s">
        <v>78</v>
      </c>
    </row>
    <row r="5672" spans="3:5">
      <c r="C5672">
        <v>75.384000000000015</v>
      </c>
      <c r="D5672" s="17">
        <v>42180</v>
      </c>
      <c r="E5672" t="s">
        <v>1843</v>
      </c>
    </row>
    <row r="5673" spans="3:5">
      <c r="C5673">
        <v>75.48</v>
      </c>
      <c r="D5673" s="17">
        <v>42615</v>
      </c>
      <c r="E5673" t="s">
        <v>1666</v>
      </c>
    </row>
    <row r="5674" spans="3:5">
      <c r="C5674">
        <v>75.59999999999998</v>
      </c>
      <c r="D5674" s="17">
        <v>41784</v>
      </c>
      <c r="E5674" t="s">
        <v>1516</v>
      </c>
    </row>
    <row r="5675" spans="3:5">
      <c r="C5675">
        <v>75.792000000000002</v>
      </c>
      <c r="D5675" s="17">
        <v>42916</v>
      </c>
      <c r="E5675" t="s">
        <v>516</v>
      </c>
    </row>
    <row r="5676" spans="3:5">
      <c r="C5676">
        <v>75.792000000000002</v>
      </c>
      <c r="D5676" s="17">
        <v>43013</v>
      </c>
      <c r="E5676" t="s">
        <v>516</v>
      </c>
    </row>
    <row r="5677" spans="3:5">
      <c r="C5677">
        <v>75.84</v>
      </c>
      <c r="D5677" s="17">
        <v>42107</v>
      </c>
      <c r="E5677" t="s">
        <v>1768</v>
      </c>
    </row>
    <row r="5678" spans="3:5">
      <c r="C5678">
        <v>75.88</v>
      </c>
      <c r="D5678" s="17">
        <v>41941</v>
      </c>
      <c r="E5678" t="s">
        <v>1595</v>
      </c>
    </row>
    <row r="5679" spans="3:5">
      <c r="C5679">
        <v>75.88</v>
      </c>
      <c r="D5679" s="17">
        <v>42525</v>
      </c>
      <c r="E5679" t="s">
        <v>1595</v>
      </c>
    </row>
    <row r="5680" spans="3:5">
      <c r="C5680">
        <v>75.88</v>
      </c>
      <c r="D5680" s="17">
        <v>43091</v>
      </c>
      <c r="E5680" t="s">
        <v>181</v>
      </c>
    </row>
    <row r="5681" spans="3:5">
      <c r="C5681">
        <v>75.959999999999994</v>
      </c>
      <c r="D5681" s="17">
        <v>42677</v>
      </c>
      <c r="E5681" t="s">
        <v>1006</v>
      </c>
    </row>
    <row r="5682" spans="3:5">
      <c r="C5682">
        <v>75.98</v>
      </c>
      <c r="D5682" s="17">
        <v>42567</v>
      </c>
      <c r="E5682" t="s">
        <v>405</v>
      </c>
    </row>
    <row r="5683" spans="3:5">
      <c r="C5683">
        <v>76.12</v>
      </c>
      <c r="D5683" s="17">
        <v>41859</v>
      </c>
      <c r="E5683" t="s">
        <v>56</v>
      </c>
    </row>
    <row r="5684" spans="3:5">
      <c r="C5684">
        <v>76.12</v>
      </c>
      <c r="D5684" s="17">
        <v>41944</v>
      </c>
      <c r="E5684" t="s">
        <v>56</v>
      </c>
    </row>
    <row r="5685" spans="3:5">
      <c r="C5685">
        <v>76.12</v>
      </c>
      <c r="D5685" s="17">
        <v>43051</v>
      </c>
      <c r="E5685" t="s">
        <v>56</v>
      </c>
    </row>
    <row r="5686" spans="3:5">
      <c r="C5686">
        <v>76.14</v>
      </c>
      <c r="D5686" s="17">
        <v>41748</v>
      </c>
      <c r="E5686" t="s">
        <v>1467</v>
      </c>
    </row>
    <row r="5687" spans="3:5">
      <c r="C5687">
        <v>76.14</v>
      </c>
      <c r="D5687" s="17">
        <v>42322</v>
      </c>
      <c r="E5687" t="s">
        <v>1467</v>
      </c>
    </row>
    <row r="5688" spans="3:5">
      <c r="C5688">
        <v>76.176000000000002</v>
      </c>
      <c r="D5688" s="17">
        <v>42656</v>
      </c>
      <c r="E5688" t="s">
        <v>1561</v>
      </c>
    </row>
    <row r="5689" spans="3:5">
      <c r="C5689">
        <v>76.3</v>
      </c>
      <c r="D5689" s="17">
        <v>42369</v>
      </c>
      <c r="E5689" t="s">
        <v>1188</v>
      </c>
    </row>
    <row r="5690" spans="3:5">
      <c r="C5690">
        <v>76.58</v>
      </c>
      <c r="D5690" s="17">
        <v>43041</v>
      </c>
      <c r="E5690" t="s">
        <v>1364</v>
      </c>
    </row>
    <row r="5691" spans="3:5">
      <c r="C5691">
        <v>76.608000000000004</v>
      </c>
      <c r="D5691" s="17">
        <v>42901</v>
      </c>
      <c r="E5691" t="s">
        <v>484</v>
      </c>
    </row>
    <row r="5692" spans="3:5">
      <c r="C5692">
        <v>76.64</v>
      </c>
      <c r="D5692" s="17">
        <v>42315</v>
      </c>
      <c r="E5692" t="s">
        <v>1303</v>
      </c>
    </row>
    <row r="5693" spans="3:5">
      <c r="C5693">
        <v>76.64</v>
      </c>
      <c r="D5693" s="17">
        <v>42499</v>
      </c>
      <c r="E5693" t="s">
        <v>1221</v>
      </c>
    </row>
    <row r="5694" spans="3:5">
      <c r="C5694">
        <v>76.728000000000009</v>
      </c>
      <c r="D5694" s="17">
        <v>41646</v>
      </c>
      <c r="E5694" t="s">
        <v>1229</v>
      </c>
    </row>
    <row r="5695" spans="3:5">
      <c r="C5695">
        <v>76.75200000000001</v>
      </c>
      <c r="D5695" s="17">
        <v>42127</v>
      </c>
      <c r="E5695" t="s">
        <v>269</v>
      </c>
    </row>
    <row r="5696" spans="3:5">
      <c r="C5696">
        <v>76.75200000000001</v>
      </c>
      <c r="D5696" s="17">
        <v>43072</v>
      </c>
      <c r="E5696" t="s">
        <v>811</v>
      </c>
    </row>
    <row r="5697" spans="3:5">
      <c r="C5697">
        <v>76.77600000000001</v>
      </c>
      <c r="D5697" s="17">
        <v>41870</v>
      </c>
      <c r="E5697" t="s">
        <v>1270</v>
      </c>
    </row>
    <row r="5698" spans="3:5">
      <c r="C5698">
        <v>76.77600000000001</v>
      </c>
      <c r="D5698" s="17">
        <v>42946</v>
      </c>
      <c r="E5698" t="s">
        <v>314</v>
      </c>
    </row>
    <row r="5699" spans="3:5">
      <c r="C5699">
        <v>76.77600000000001</v>
      </c>
      <c r="D5699" s="17">
        <v>43006</v>
      </c>
      <c r="E5699" t="s">
        <v>1270</v>
      </c>
    </row>
    <row r="5700" spans="3:5">
      <c r="C5700">
        <v>76.792000000000002</v>
      </c>
      <c r="D5700" s="17">
        <v>41961</v>
      </c>
      <c r="E5700" t="s">
        <v>867</v>
      </c>
    </row>
    <row r="5701" spans="3:5">
      <c r="C5701">
        <v>76.864000000000004</v>
      </c>
      <c r="D5701" s="17">
        <v>42539</v>
      </c>
      <c r="E5701" t="s">
        <v>692</v>
      </c>
    </row>
    <row r="5702" spans="3:5">
      <c r="C5702">
        <v>76.864000000000004</v>
      </c>
      <c r="D5702" s="17">
        <v>42869</v>
      </c>
      <c r="E5702" t="s">
        <v>692</v>
      </c>
    </row>
    <row r="5703" spans="3:5">
      <c r="C5703">
        <v>76.92</v>
      </c>
      <c r="D5703" s="17">
        <v>42440</v>
      </c>
      <c r="E5703" t="s">
        <v>244</v>
      </c>
    </row>
    <row r="5704" spans="3:5">
      <c r="C5704">
        <v>77.031000000000006</v>
      </c>
      <c r="D5704" s="17">
        <v>42273</v>
      </c>
      <c r="E5704" t="s">
        <v>1287</v>
      </c>
    </row>
    <row r="5705" spans="3:5">
      <c r="C5705">
        <v>77.240000000000009</v>
      </c>
      <c r="D5705" s="17">
        <v>42045</v>
      </c>
      <c r="E5705" t="s">
        <v>1206</v>
      </c>
    </row>
    <row r="5706" spans="3:5">
      <c r="C5706">
        <v>77.52</v>
      </c>
      <c r="D5706" s="17">
        <v>41911</v>
      </c>
      <c r="E5706" t="s">
        <v>1099</v>
      </c>
    </row>
    <row r="5707" spans="3:5">
      <c r="C5707">
        <v>77.52</v>
      </c>
      <c r="D5707" s="17">
        <v>42633</v>
      </c>
      <c r="E5707" t="s">
        <v>1669</v>
      </c>
    </row>
    <row r="5708" spans="3:5">
      <c r="C5708">
        <v>77.55</v>
      </c>
      <c r="D5708" s="17">
        <v>42152</v>
      </c>
      <c r="E5708" t="s">
        <v>1541</v>
      </c>
    </row>
    <row r="5709" spans="3:5">
      <c r="C5709">
        <v>77.55</v>
      </c>
      <c r="D5709" s="17">
        <v>42282</v>
      </c>
      <c r="E5709" t="s">
        <v>1541</v>
      </c>
    </row>
    <row r="5710" spans="3:5">
      <c r="C5710">
        <v>77.55</v>
      </c>
      <c r="D5710" s="17">
        <v>42687</v>
      </c>
      <c r="E5710" t="s">
        <v>384</v>
      </c>
    </row>
    <row r="5711" spans="3:5">
      <c r="C5711">
        <v>77.56</v>
      </c>
      <c r="D5711" s="17">
        <v>42570</v>
      </c>
      <c r="E5711" t="s">
        <v>696</v>
      </c>
    </row>
    <row r="5712" spans="3:5">
      <c r="C5712">
        <v>77.56</v>
      </c>
      <c r="D5712" s="17">
        <v>42593</v>
      </c>
      <c r="E5712" t="s">
        <v>696</v>
      </c>
    </row>
    <row r="5713" spans="3:5">
      <c r="C5713">
        <v>77.58</v>
      </c>
      <c r="D5713" s="17">
        <v>42223</v>
      </c>
      <c r="E5713" t="s">
        <v>158</v>
      </c>
    </row>
    <row r="5714" spans="3:5">
      <c r="C5714">
        <v>77.599999999999994</v>
      </c>
      <c r="D5714" s="17">
        <v>42017</v>
      </c>
      <c r="E5714" t="s">
        <v>1445</v>
      </c>
    </row>
    <row r="5715" spans="3:5">
      <c r="C5715">
        <v>77.599999999999994</v>
      </c>
      <c r="D5715" s="17">
        <v>42671</v>
      </c>
      <c r="E5715" t="s">
        <v>1445</v>
      </c>
    </row>
    <row r="5716" spans="3:5">
      <c r="C5716">
        <v>77.599999999999994</v>
      </c>
      <c r="D5716" s="17">
        <v>43059</v>
      </c>
      <c r="E5716" t="s">
        <v>1445</v>
      </c>
    </row>
    <row r="5717" spans="3:5">
      <c r="C5717">
        <v>77.720000000000013</v>
      </c>
      <c r="D5717" s="17">
        <v>43080</v>
      </c>
      <c r="E5717" t="s">
        <v>1518</v>
      </c>
    </row>
    <row r="5718" spans="3:5">
      <c r="C5718">
        <v>77.728000000000009</v>
      </c>
      <c r="D5718" s="17">
        <v>42901</v>
      </c>
      <c r="E5718" t="s">
        <v>850</v>
      </c>
    </row>
    <row r="5719" spans="3:5">
      <c r="C5719">
        <v>77.88</v>
      </c>
      <c r="D5719" s="17">
        <v>42294</v>
      </c>
      <c r="E5719" t="s">
        <v>1644</v>
      </c>
    </row>
    <row r="5720" spans="3:5">
      <c r="C5720">
        <v>77.88</v>
      </c>
      <c r="D5720" s="17">
        <v>42568</v>
      </c>
      <c r="E5720" t="s">
        <v>1644</v>
      </c>
    </row>
    <row r="5721" spans="3:5">
      <c r="C5721">
        <v>77.88</v>
      </c>
      <c r="D5721" s="17">
        <v>42619</v>
      </c>
      <c r="E5721" t="s">
        <v>396</v>
      </c>
    </row>
    <row r="5722" spans="3:5">
      <c r="C5722">
        <v>77.92</v>
      </c>
      <c r="D5722" s="17">
        <v>41845</v>
      </c>
      <c r="E5722" t="s">
        <v>491</v>
      </c>
    </row>
    <row r="5723" spans="3:5">
      <c r="C5723">
        <v>77.951999999999998</v>
      </c>
      <c r="D5723" s="17">
        <v>42341</v>
      </c>
      <c r="E5723" t="s">
        <v>614</v>
      </c>
    </row>
    <row r="5724" spans="3:5">
      <c r="C5724">
        <v>77.951999999999998</v>
      </c>
      <c r="D5724" s="17">
        <v>42695</v>
      </c>
      <c r="E5724" t="s">
        <v>561</v>
      </c>
    </row>
    <row r="5725" spans="3:5">
      <c r="C5725">
        <v>77.951999999999998</v>
      </c>
      <c r="D5725" s="17">
        <v>42848</v>
      </c>
      <c r="E5725" t="s">
        <v>588</v>
      </c>
    </row>
    <row r="5726" spans="3:5">
      <c r="C5726">
        <v>77.951999999999998</v>
      </c>
      <c r="D5726" s="17">
        <v>43036</v>
      </c>
      <c r="E5726" t="s">
        <v>561</v>
      </c>
    </row>
    <row r="5727" spans="3:5">
      <c r="C5727">
        <v>77.951999999999998</v>
      </c>
      <c r="D5727" s="17">
        <v>43051</v>
      </c>
      <c r="E5727" t="s">
        <v>1410</v>
      </c>
    </row>
    <row r="5728" spans="3:5">
      <c r="C5728">
        <v>78.150000000000006</v>
      </c>
      <c r="D5728" s="17">
        <v>42708</v>
      </c>
      <c r="E5728" t="s">
        <v>1381</v>
      </c>
    </row>
    <row r="5729" spans="3:5">
      <c r="C5729">
        <v>78.256</v>
      </c>
      <c r="D5729" s="17">
        <v>42180</v>
      </c>
      <c r="E5729" t="s">
        <v>948</v>
      </c>
    </row>
    <row r="5730" spans="3:5">
      <c r="C5730">
        <v>78.256</v>
      </c>
      <c r="D5730" s="17">
        <v>43088</v>
      </c>
      <c r="E5730" t="s">
        <v>948</v>
      </c>
    </row>
    <row r="5731" spans="3:5">
      <c r="C5731">
        <v>78.272000000000006</v>
      </c>
      <c r="D5731" s="17">
        <v>42482</v>
      </c>
      <c r="E5731" t="s">
        <v>1056</v>
      </c>
    </row>
    <row r="5732" spans="3:5">
      <c r="C5732">
        <v>78.304000000000002</v>
      </c>
      <c r="D5732" s="17">
        <v>41852</v>
      </c>
      <c r="E5732" t="s">
        <v>199</v>
      </c>
    </row>
    <row r="5733" spans="3:5">
      <c r="C5733">
        <v>78.304000000000002</v>
      </c>
      <c r="D5733" s="17">
        <v>42483</v>
      </c>
      <c r="E5733" t="s">
        <v>506</v>
      </c>
    </row>
    <row r="5734" spans="3:5">
      <c r="C5734">
        <v>78.304000000000002</v>
      </c>
      <c r="D5734" s="17">
        <v>42768</v>
      </c>
      <c r="E5734" t="s">
        <v>199</v>
      </c>
    </row>
    <row r="5735" spans="3:5">
      <c r="C5735">
        <v>78.304000000000002</v>
      </c>
      <c r="D5735" s="17">
        <v>43062</v>
      </c>
      <c r="E5735" t="s">
        <v>506</v>
      </c>
    </row>
    <row r="5736" spans="3:5">
      <c r="C5736">
        <v>78.349999999999994</v>
      </c>
      <c r="D5736" s="17">
        <v>41903</v>
      </c>
      <c r="E5736" t="s">
        <v>427</v>
      </c>
    </row>
    <row r="5737" spans="3:5">
      <c r="C5737">
        <v>78.349999999999994</v>
      </c>
      <c r="D5737" s="17">
        <v>41959</v>
      </c>
      <c r="E5737" t="s">
        <v>427</v>
      </c>
    </row>
    <row r="5738" spans="3:5">
      <c r="C5738">
        <v>78.600000000000009</v>
      </c>
      <c r="D5738" s="17">
        <v>41999</v>
      </c>
      <c r="E5738" t="s">
        <v>1585</v>
      </c>
    </row>
    <row r="5739" spans="3:5">
      <c r="C5739">
        <v>78.600000000000009</v>
      </c>
      <c r="D5739" s="17">
        <v>42166</v>
      </c>
      <c r="E5739" t="s">
        <v>1585</v>
      </c>
    </row>
    <row r="5740" spans="3:5">
      <c r="C5740">
        <v>78.66</v>
      </c>
      <c r="D5740" s="17">
        <v>42889</v>
      </c>
      <c r="E5740" t="s">
        <v>796</v>
      </c>
    </row>
    <row r="5741" spans="3:5">
      <c r="C5741">
        <v>78.759000000000015</v>
      </c>
      <c r="D5741" s="17">
        <v>42700</v>
      </c>
      <c r="E5741" t="s">
        <v>757</v>
      </c>
    </row>
    <row r="5742" spans="3:5">
      <c r="C5742">
        <v>78.8</v>
      </c>
      <c r="D5742" s="17">
        <v>42258</v>
      </c>
      <c r="E5742" t="s">
        <v>1777</v>
      </c>
    </row>
    <row r="5743" spans="3:5">
      <c r="C5743">
        <v>78.852799999999988</v>
      </c>
      <c r="D5743" s="17">
        <v>43097</v>
      </c>
      <c r="E5743" t="s">
        <v>282</v>
      </c>
    </row>
    <row r="5744" spans="3:5">
      <c r="C5744">
        <v>79.056000000000012</v>
      </c>
      <c r="D5744" s="17">
        <v>42273</v>
      </c>
      <c r="E5744" t="s">
        <v>1400</v>
      </c>
    </row>
    <row r="5745" spans="3:5">
      <c r="C5745">
        <v>79.099999999999994</v>
      </c>
      <c r="D5745" s="17">
        <v>43063</v>
      </c>
      <c r="E5745" t="s">
        <v>1152</v>
      </c>
    </row>
    <row r="5746" spans="3:5">
      <c r="C5746">
        <v>79.12</v>
      </c>
      <c r="D5746" s="17">
        <v>42477</v>
      </c>
      <c r="E5746" t="s">
        <v>1478</v>
      </c>
    </row>
    <row r="5747" spans="3:5">
      <c r="C5747">
        <v>79.12</v>
      </c>
      <c r="D5747" s="17">
        <v>43070</v>
      </c>
      <c r="E5747" t="s">
        <v>1478</v>
      </c>
    </row>
    <row r="5748" spans="3:5">
      <c r="C5748">
        <v>79.14</v>
      </c>
      <c r="D5748" s="17">
        <v>41799</v>
      </c>
      <c r="E5748" t="s">
        <v>1004</v>
      </c>
    </row>
    <row r="5749" spans="3:5">
      <c r="C5749">
        <v>79.14</v>
      </c>
      <c r="D5749" s="17">
        <v>42495</v>
      </c>
      <c r="E5749" t="s">
        <v>1004</v>
      </c>
    </row>
    <row r="5750" spans="3:5">
      <c r="C5750">
        <v>79.14</v>
      </c>
      <c r="D5750" s="17">
        <v>42840</v>
      </c>
      <c r="E5750" t="s">
        <v>320</v>
      </c>
    </row>
    <row r="5751" spans="3:5">
      <c r="C5751">
        <v>79.36</v>
      </c>
      <c r="D5751" s="17">
        <v>41733</v>
      </c>
      <c r="E5751" t="s">
        <v>60</v>
      </c>
    </row>
    <row r="5752" spans="3:5">
      <c r="C5752">
        <v>79.36</v>
      </c>
      <c r="D5752" s="17">
        <v>42057</v>
      </c>
      <c r="E5752" t="s">
        <v>294</v>
      </c>
    </row>
    <row r="5753" spans="3:5">
      <c r="C5753">
        <v>79.36</v>
      </c>
      <c r="D5753" s="17">
        <v>42194</v>
      </c>
      <c r="E5753" t="s">
        <v>949</v>
      </c>
    </row>
    <row r="5754" spans="3:5">
      <c r="C5754">
        <v>79.36</v>
      </c>
      <c r="D5754" s="17">
        <v>42302</v>
      </c>
      <c r="E5754" t="s">
        <v>60</v>
      </c>
    </row>
    <row r="5755" spans="3:5">
      <c r="C5755">
        <v>79.36</v>
      </c>
      <c r="D5755" s="17">
        <v>42499</v>
      </c>
      <c r="E5755" t="s">
        <v>60</v>
      </c>
    </row>
    <row r="5756" spans="3:5">
      <c r="C5756">
        <v>79.384000000000015</v>
      </c>
      <c r="D5756" s="17">
        <v>42504</v>
      </c>
      <c r="E5756" t="s">
        <v>939</v>
      </c>
    </row>
    <row r="5757" spans="3:5">
      <c r="C5757">
        <v>79.400000000000006</v>
      </c>
      <c r="D5757" s="17">
        <v>41895</v>
      </c>
      <c r="E5757" t="s">
        <v>1883</v>
      </c>
    </row>
    <row r="5758" spans="3:5">
      <c r="C5758">
        <v>79.44</v>
      </c>
      <c r="D5758" s="17">
        <v>41981</v>
      </c>
      <c r="E5758" t="s">
        <v>418</v>
      </c>
    </row>
    <row r="5759" spans="3:5">
      <c r="C5759">
        <v>79.44</v>
      </c>
      <c r="D5759" s="17">
        <v>42132</v>
      </c>
      <c r="E5759" t="s">
        <v>459</v>
      </c>
    </row>
    <row r="5760" spans="3:5">
      <c r="C5760">
        <v>79.45</v>
      </c>
      <c r="D5760" s="17">
        <v>41926</v>
      </c>
      <c r="E5760" t="s">
        <v>163</v>
      </c>
    </row>
    <row r="5761" spans="3:5">
      <c r="C5761">
        <v>79.47</v>
      </c>
      <c r="D5761" s="17">
        <v>41856</v>
      </c>
      <c r="E5761" t="s">
        <v>1481</v>
      </c>
    </row>
    <row r="5762" spans="3:5">
      <c r="C5762">
        <v>79.47</v>
      </c>
      <c r="D5762" s="17">
        <v>43071</v>
      </c>
      <c r="E5762" t="s">
        <v>1481</v>
      </c>
    </row>
    <row r="5763" spans="3:5">
      <c r="C5763">
        <v>79.512000000000015</v>
      </c>
      <c r="D5763" s="17">
        <v>41955</v>
      </c>
      <c r="E5763" t="s">
        <v>818</v>
      </c>
    </row>
    <row r="5764" spans="3:5">
      <c r="C5764">
        <v>79.512000000000015</v>
      </c>
      <c r="D5764" s="17">
        <v>42644</v>
      </c>
      <c r="E5764" t="s">
        <v>818</v>
      </c>
    </row>
    <row r="5765" spans="3:5">
      <c r="C5765">
        <v>79.760000000000005</v>
      </c>
      <c r="D5765" s="17">
        <v>42332</v>
      </c>
      <c r="E5765" t="s">
        <v>604</v>
      </c>
    </row>
    <row r="5766" spans="3:5">
      <c r="C5766">
        <v>79.78</v>
      </c>
      <c r="D5766" s="17">
        <v>42952</v>
      </c>
      <c r="E5766" t="s">
        <v>520</v>
      </c>
    </row>
    <row r="5767" spans="3:5">
      <c r="C5767">
        <v>79.872000000000014</v>
      </c>
      <c r="D5767" s="17">
        <v>42262</v>
      </c>
      <c r="E5767" t="s">
        <v>683</v>
      </c>
    </row>
    <row r="5768" spans="3:5">
      <c r="C5768">
        <v>79.872000000000014</v>
      </c>
      <c r="D5768" s="17">
        <v>43020</v>
      </c>
      <c r="E5768" t="s">
        <v>683</v>
      </c>
    </row>
    <row r="5769" spans="3:5">
      <c r="C5769">
        <v>79.900000000000006</v>
      </c>
      <c r="D5769" s="17">
        <v>42318</v>
      </c>
      <c r="E5769" t="s">
        <v>101</v>
      </c>
    </row>
    <row r="5770" spans="3:5">
      <c r="C5770">
        <v>79.92</v>
      </c>
      <c r="D5770" s="17">
        <v>42345</v>
      </c>
      <c r="E5770" t="s">
        <v>118</v>
      </c>
    </row>
    <row r="5771" spans="3:5">
      <c r="C5771">
        <v>79.92</v>
      </c>
      <c r="D5771" s="17">
        <v>42379</v>
      </c>
      <c r="E5771" t="s">
        <v>700</v>
      </c>
    </row>
    <row r="5772" spans="3:5">
      <c r="C5772">
        <v>79.92</v>
      </c>
      <c r="D5772" s="17">
        <v>42754</v>
      </c>
      <c r="E5772" t="s">
        <v>121</v>
      </c>
    </row>
    <row r="5773" spans="3:5">
      <c r="C5773">
        <v>79.92</v>
      </c>
      <c r="D5773" s="17">
        <v>42980</v>
      </c>
      <c r="E5773" t="s">
        <v>121</v>
      </c>
    </row>
    <row r="5774" spans="3:5">
      <c r="C5774">
        <v>79.920000000000016</v>
      </c>
      <c r="D5774" s="17">
        <v>42609</v>
      </c>
      <c r="E5774" t="s">
        <v>973</v>
      </c>
    </row>
    <row r="5775" spans="3:5">
      <c r="C5775">
        <v>79.920000000000016</v>
      </c>
      <c r="D5775" s="17">
        <v>43015</v>
      </c>
      <c r="E5775" t="s">
        <v>927</v>
      </c>
    </row>
    <row r="5776" spans="3:5">
      <c r="C5776">
        <v>79.95</v>
      </c>
      <c r="D5776" s="17">
        <v>42701</v>
      </c>
      <c r="E5776" t="s">
        <v>1216</v>
      </c>
    </row>
    <row r="5777" spans="3:5">
      <c r="C5777">
        <v>79.959999999999994</v>
      </c>
      <c r="D5777" s="17">
        <v>42094</v>
      </c>
      <c r="E5777" t="s">
        <v>1419</v>
      </c>
    </row>
    <row r="5778" spans="3:5">
      <c r="C5778">
        <v>79.959999999999994</v>
      </c>
      <c r="D5778" s="17">
        <v>42240</v>
      </c>
      <c r="E5778" t="s">
        <v>1389</v>
      </c>
    </row>
    <row r="5779" spans="3:5">
      <c r="C5779">
        <v>79.959999999999994</v>
      </c>
      <c r="D5779" s="17">
        <v>42308</v>
      </c>
      <c r="E5779" t="s">
        <v>1465</v>
      </c>
    </row>
    <row r="5780" spans="3:5">
      <c r="C5780">
        <v>79.959999999999994</v>
      </c>
      <c r="D5780" s="17">
        <v>42520</v>
      </c>
      <c r="E5780" t="s">
        <v>198</v>
      </c>
    </row>
    <row r="5781" spans="3:5">
      <c r="C5781">
        <v>79.959999999999994</v>
      </c>
      <c r="D5781" s="17">
        <v>42921</v>
      </c>
      <c r="E5781" t="s">
        <v>198</v>
      </c>
    </row>
    <row r="5782" spans="3:5">
      <c r="C5782">
        <v>79.959999999999994</v>
      </c>
      <c r="D5782" s="17">
        <v>42989</v>
      </c>
      <c r="E5782" t="s">
        <v>1183</v>
      </c>
    </row>
    <row r="5783" spans="3:5">
      <c r="C5783">
        <v>79.959999999999994</v>
      </c>
      <c r="D5783" s="17">
        <v>43067</v>
      </c>
      <c r="E5783" t="s">
        <v>1465</v>
      </c>
    </row>
    <row r="5784" spans="3:5">
      <c r="C5784">
        <v>79.968000000000004</v>
      </c>
      <c r="D5784" s="17">
        <v>41959</v>
      </c>
      <c r="E5784" t="s">
        <v>1254</v>
      </c>
    </row>
    <row r="5785" spans="3:5">
      <c r="C5785">
        <v>79.97399999999999</v>
      </c>
      <c r="D5785" s="17">
        <v>42713</v>
      </c>
      <c r="E5785" t="s">
        <v>999</v>
      </c>
    </row>
    <row r="5786" spans="3:5">
      <c r="C5786">
        <v>79.97399999999999</v>
      </c>
      <c r="D5786" s="17">
        <v>43058</v>
      </c>
      <c r="E5786" t="s">
        <v>999</v>
      </c>
    </row>
    <row r="5787" spans="3:5">
      <c r="C5787">
        <v>79.98</v>
      </c>
      <c r="D5787" s="17">
        <v>42999</v>
      </c>
      <c r="E5787" t="s">
        <v>1244</v>
      </c>
    </row>
    <row r="5788" spans="3:5">
      <c r="C5788">
        <v>79.984000000000009</v>
      </c>
      <c r="D5788" s="17">
        <v>41729</v>
      </c>
      <c r="E5788" t="s">
        <v>455</v>
      </c>
    </row>
    <row r="5789" spans="3:5">
      <c r="C5789">
        <v>79.984000000000009</v>
      </c>
      <c r="D5789" s="17">
        <v>43000</v>
      </c>
      <c r="E5789" t="s">
        <v>303</v>
      </c>
    </row>
    <row r="5790" spans="3:5">
      <c r="C5790">
        <v>79.989999999999995</v>
      </c>
      <c r="D5790" s="17">
        <v>42224</v>
      </c>
      <c r="E5790" t="s">
        <v>654</v>
      </c>
    </row>
    <row r="5791" spans="3:5">
      <c r="C5791">
        <v>79.989999999999995</v>
      </c>
      <c r="D5791" s="17">
        <v>42862</v>
      </c>
      <c r="E5791" t="s">
        <v>654</v>
      </c>
    </row>
    <row r="5792" spans="3:5">
      <c r="C5792">
        <v>79.989999999999995</v>
      </c>
      <c r="D5792" s="17">
        <v>43056</v>
      </c>
      <c r="E5792" t="s">
        <v>1301</v>
      </c>
    </row>
    <row r="5793" spans="3:5">
      <c r="C5793">
        <v>79.992000000000004</v>
      </c>
      <c r="D5793" s="17">
        <v>42954</v>
      </c>
      <c r="E5793" t="s">
        <v>317</v>
      </c>
    </row>
    <row r="5794" spans="3:5">
      <c r="C5794">
        <v>80.28</v>
      </c>
      <c r="D5794" s="17">
        <v>42714</v>
      </c>
      <c r="E5794" t="s">
        <v>899</v>
      </c>
    </row>
    <row r="5795" spans="3:5">
      <c r="C5795">
        <v>80.3</v>
      </c>
      <c r="D5795" s="17">
        <v>41943</v>
      </c>
      <c r="E5795" t="s">
        <v>1033</v>
      </c>
    </row>
    <row r="5796" spans="3:5">
      <c r="C5796">
        <v>80.48</v>
      </c>
      <c r="D5796" s="17">
        <v>42999</v>
      </c>
      <c r="E5796" t="s">
        <v>412</v>
      </c>
    </row>
    <row r="5797" spans="3:5">
      <c r="C5797">
        <v>80.58</v>
      </c>
      <c r="D5797" s="17">
        <v>42714</v>
      </c>
      <c r="E5797" t="s">
        <v>1588</v>
      </c>
    </row>
    <row r="5798" spans="3:5">
      <c r="C5798">
        <v>80.88</v>
      </c>
      <c r="D5798" s="17">
        <v>42155</v>
      </c>
      <c r="E5798" t="s">
        <v>95</v>
      </c>
    </row>
    <row r="5799" spans="3:5">
      <c r="C5799">
        <v>80.88</v>
      </c>
      <c r="D5799" s="17">
        <v>42201</v>
      </c>
      <c r="E5799" t="s">
        <v>1699</v>
      </c>
    </row>
    <row r="5800" spans="3:5">
      <c r="C5800">
        <v>80.959999999999994</v>
      </c>
      <c r="D5800" s="17">
        <v>42325</v>
      </c>
      <c r="E5800" t="s">
        <v>1635</v>
      </c>
    </row>
    <row r="5801" spans="3:5">
      <c r="C5801">
        <v>80.959999999999994</v>
      </c>
      <c r="D5801" s="17">
        <v>42338</v>
      </c>
      <c r="E5801" t="s">
        <v>1635</v>
      </c>
    </row>
    <row r="5802" spans="3:5">
      <c r="C5802">
        <v>80.959999999999994</v>
      </c>
      <c r="D5802" s="17">
        <v>42985</v>
      </c>
      <c r="E5802" t="s">
        <v>1154</v>
      </c>
    </row>
    <row r="5803" spans="3:5">
      <c r="C5803">
        <v>80.98</v>
      </c>
      <c r="D5803" s="17">
        <v>41712</v>
      </c>
      <c r="E5803" t="s">
        <v>131</v>
      </c>
    </row>
    <row r="5804" spans="3:5">
      <c r="C5804">
        <v>80.98</v>
      </c>
      <c r="D5804" s="17">
        <v>42237</v>
      </c>
      <c r="E5804" t="s">
        <v>131</v>
      </c>
    </row>
    <row r="5805" spans="3:5">
      <c r="C5805">
        <v>80.98</v>
      </c>
      <c r="D5805" s="17">
        <v>42405</v>
      </c>
      <c r="E5805" t="s">
        <v>1346</v>
      </c>
    </row>
    <row r="5806" spans="3:5">
      <c r="C5806">
        <v>80.991</v>
      </c>
      <c r="D5806" s="17">
        <v>42998</v>
      </c>
      <c r="E5806" t="s">
        <v>1127</v>
      </c>
    </row>
    <row r="5807" spans="3:5">
      <c r="C5807">
        <v>81.08</v>
      </c>
      <c r="D5807" s="17">
        <v>42863</v>
      </c>
      <c r="E5807" t="s">
        <v>659</v>
      </c>
    </row>
    <row r="5808" spans="3:5">
      <c r="C5808">
        <v>81.088000000000008</v>
      </c>
      <c r="D5808" s="17">
        <v>43009</v>
      </c>
      <c r="E5808" t="s">
        <v>551</v>
      </c>
    </row>
    <row r="5809" spans="3:5">
      <c r="C5809">
        <v>81.199999999999989</v>
      </c>
      <c r="D5809" s="17">
        <v>42474</v>
      </c>
      <c r="E5809" t="s">
        <v>422</v>
      </c>
    </row>
    <row r="5810" spans="3:5">
      <c r="C5810">
        <v>81.360000000000014</v>
      </c>
      <c r="D5810" s="17">
        <v>43057</v>
      </c>
      <c r="E5810" t="s">
        <v>72</v>
      </c>
    </row>
    <row r="5811" spans="3:5">
      <c r="C5811">
        <v>81.400000000000006</v>
      </c>
      <c r="D5811" s="17">
        <v>42823</v>
      </c>
      <c r="E5811" t="s">
        <v>464</v>
      </c>
    </row>
    <row r="5812" spans="3:5">
      <c r="C5812">
        <v>81.424000000000007</v>
      </c>
      <c r="D5812" s="17">
        <v>42680</v>
      </c>
      <c r="E5812" t="s">
        <v>762</v>
      </c>
    </row>
    <row r="5813" spans="3:5">
      <c r="C5813">
        <v>81.424000000000007</v>
      </c>
      <c r="D5813" s="17">
        <v>42718</v>
      </c>
      <c r="E5813" t="s">
        <v>762</v>
      </c>
    </row>
    <row r="5814" spans="3:5">
      <c r="C5814">
        <v>81.438000000000017</v>
      </c>
      <c r="D5814" s="17">
        <v>43034</v>
      </c>
      <c r="E5814" t="s">
        <v>696</v>
      </c>
    </row>
    <row r="5815" spans="3:5">
      <c r="C5815">
        <v>81.539999999999992</v>
      </c>
      <c r="D5815" s="17">
        <v>42585</v>
      </c>
      <c r="E5815" t="s">
        <v>85</v>
      </c>
    </row>
    <row r="5816" spans="3:5">
      <c r="C5816">
        <v>81.540000000000006</v>
      </c>
      <c r="D5816" s="17">
        <v>42609</v>
      </c>
      <c r="E5816" t="s">
        <v>881</v>
      </c>
    </row>
    <row r="5817" spans="3:5">
      <c r="C5817">
        <v>81.552000000000007</v>
      </c>
      <c r="D5817" s="17">
        <v>41999</v>
      </c>
      <c r="E5817" t="s">
        <v>287</v>
      </c>
    </row>
    <row r="5818" spans="3:5">
      <c r="C5818">
        <v>81.567999999999998</v>
      </c>
      <c r="D5818" s="17">
        <v>42985</v>
      </c>
      <c r="E5818" t="s">
        <v>648</v>
      </c>
    </row>
    <row r="5819" spans="3:5">
      <c r="C5819">
        <v>81.567999999999998</v>
      </c>
      <c r="D5819" s="17">
        <v>43085</v>
      </c>
      <c r="E5819" t="s">
        <v>971</v>
      </c>
    </row>
    <row r="5820" spans="3:5">
      <c r="C5820">
        <v>81.576000000000008</v>
      </c>
      <c r="D5820" s="17">
        <v>42695</v>
      </c>
      <c r="E5820" t="s">
        <v>1269</v>
      </c>
    </row>
    <row r="5821" spans="3:5">
      <c r="C5821">
        <v>81.792000000000002</v>
      </c>
      <c r="D5821" s="17">
        <v>42275</v>
      </c>
      <c r="E5821" t="s">
        <v>138</v>
      </c>
    </row>
    <row r="5822" spans="3:5">
      <c r="C5822">
        <v>81.92</v>
      </c>
      <c r="D5822" s="17">
        <v>41892</v>
      </c>
      <c r="E5822" t="s">
        <v>283</v>
      </c>
    </row>
    <row r="5823" spans="3:5">
      <c r="C5823">
        <v>81.92</v>
      </c>
      <c r="D5823" s="17">
        <v>42792</v>
      </c>
      <c r="E5823" t="s">
        <v>283</v>
      </c>
    </row>
    <row r="5824" spans="3:5">
      <c r="C5824">
        <v>81.94</v>
      </c>
      <c r="D5824" s="17">
        <v>42709</v>
      </c>
      <c r="E5824" t="s">
        <v>1598</v>
      </c>
    </row>
    <row r="5825" spans="3:5">
      <c r="C5825">
        <v>81.96</v>
      </c>
      <c r="D5825" s="17">
        <v>41684</v>
      </c>
      <c r="E5825" t="s">
        <v>1488</v>
      </c>
    </row>
    <row r="5826" spans="3:5">
      <c r="C5826">
        <v>81.96</v>
      </c>
      <c r="D5826" s="17">
        <v>42289</v>
      </c>
      <c r="E5826" t="s">
        <v>1204</v>
      </c>
    </row>
    <row r="5827" spans="3:5">
      <c r="C5827">
        <v>81.96</v>
      </c>
      <c r="D5827" s="17">
        <v>42684</v>
      </c>
      <c r="E5827" t="s">
        <v>107</v>
      </c>
    </row>
    <row r="5828" spans="3:5">
      <c r="C5828">
        <v>81.96</v>
      </c>
      <c r="D5828" s="17">
        <v>42733</v>
      </c>
      <c r="E5828" t="s">
        <v>1488</v>
      </c>
    </row>
    <row r="5829" spans="3:5">
      <c r="C5829">
        <v>81.96</v>
      </c>
      <c r="D5829" s="17">
        <v>42993</v>
      </c>
      <c r="E5829" t="s">
        <v>1204</v>
      </c>
    </row>
    <row r="5830" spans="3:5">
      <c r="C5830">
        <v>81.98</v>
      </c>
      <c r="D5830" s="17">
        <v>41909</v>
      </c>
      <c r="E5830" t="s">
        <v>613</v>
      </c>
    </row>
    <row r="5831" spans="3:5">
      <c r="C5831">
        <v>81.98</v>
      </c>
      <c r="D5831" s="17">
        <v>41969</v>
      </c>
      <c r="E5831" t="s">
        <v>210</v>
      </c>
    </row>
    <row r="5832" spans="3:5">
      <c r="C5832">
        <v>81.98</v>
      </c>
      <c r="D5832" s="17">
        <v>42384</v>
      </c>
      <c r="E5832" t="s">
        <v>210</v>
      </c>
    </row>
    <row r="5833" spans="3:5">
      <c r="C5833">
        <v>81.98</v>
      </c>
      <c r="D5833" s="17">
        <v>42623</v>
      </c>
      <c r="E5833" t="s">
        <v>720</v>
      </c>
    </row>
    <row r="5834" spans="3:5">
      <c r="C5834">
        <v>82.26</v>
      </c>
      <c r="D5834" s="17">
        <v>42656</v>
      </c>
      <c r="E5834" t="s">
        <v>340</v>
      </c>
    </row>
    <row r="5835" spans="3:5">
      <c r="C5835">
        <v>82.26</v>
      </c>
      <c r="D5835" s="17">
        <v>42698</v>
      </c>
      <c r="E5835" t="s">
        <v>340</v>
      </c>
    </row>
    <row r="5836" spans="3:5">
      <c r="C5836">
        <v>82.344000000000008</v>
      </c>
      <c r="D5836" s="17">
        <v>42098</v>
      </c>
      <c r="E5836" t="s">
        <v>887</v>
      </c>
    </row>
    <row r="5837" spans="3:5">
      <c r="C5837">
        <v>82.367999999999995</v>
      </c>
      <c r="D5837" s="17">
        <v>42170</v>
      </c>
      <c r="E5837" t="s">
        <v>546</v>
      </c>
    </row>
    <row r="5838" spans="3:5">
      <c r="C5838">
        <v>82.367999999999995</v>
      </c>
      <c r="D5838" s="17">
        <v>42336</v>
      </c>
      <c r="E5838" t="s">
        <v>546</v>
      </c>
    </row>
    <row r="5839" spans="3:5">
      <c r="C5839">
        <v>82.367999999999995</v>
      </c>
      <c r="D5839" s="17">
        <v>42502</v>
      </c>
      <c r="E5839" t="s">
        <v>546</v>
      </c>
    </row>
    <row r="5840" spans="3:5">
      <c r="C5840">
        <v>82.38</v>
      </c>
      <c r="D5840" s="17">
        <v>43076</v>
      </c>
      <c r="E5840" t="s">
        <v>1335</v>
      </c>
    </row>
    <row r="5841" spans="3:5">
      <c r="C5841">
        <v>82.4</v>
      </c>
      <c r="D5841" s="17">
        <v>42907</v>
      </c>
      <c r="E5841" t="s">
        <v>879</v>
      </c>
    </row>
    <row r="5842" spans="3:5">
      <c r="C5842">
        <v>82.524000000000001</v>
      </c>
      <c r="D5842" s="17">
        <v>42812</v>
      </c>
      <c r="E5842" t="s">
        <v>390</v>
      </c>
    </row>
    <row r="5843" spans="3:5">
      <c r="C5843">
        <v>82.56</v>
      </c>
      <c r="D5843" s="17">
        <v>42981</v>
      </c>
      <c r="E5843" t="s">
        <v>738</v>
      </c>
    </row>
    <row r="5844" spans="3:5">
      <c r="C5844">
        <v>82.64</v>
      </c>
      <c r="D5844" s="17">
        <v>42464</v>
      </c>
      <c r="E5844" t="s">
        <v>1032</v>
      </c>
    </row>
    <row r="5845" spans="3:5">
      <c r="C5845">
        <v>82.64</v>
      </c>
      <c r="D5845" s="17">
        <v>42527</v>
      </c>
      <c r="E5845" t="s">
        <v>1417</v>
      </c>
    </row>
    <row r="5846" spans="3:5">
      <c r="C5846">
        <v>82.656000000000006</v>
      </c>
      <c r="D5846" s="17">
        <v>42511</v>
      </c>
      <c r="E5846" t="s">
        <v>1754</v>
      </c>
    </row>
    <row r="5847" spans="3:5">
      <c r="C5847">
        <v>82.782000000000011</v>
      </c>
      <c r="D5847" s="17">
        <v>41812</v>
      </c>
      <c r="E5847" t="s">
        <v>1167</v>
      </c>
    </row>
    <row r="5848" spans="3:5">
      <c r="C5848">
        <v>82.8</v>
      </c>
      <c r="D5848" s="17">
        <v>42485</v>
      </c>
      <c r="E5848" t="s">
        <v>184</v>
      </c>
    </row>
    <row r="5849" spans="3:5">
      <c r="C5849">
        <v>82.800000000000011</v>
      </c>
      <c r="D5849" s="17">
        <v>41712</v>
      </c>
      <c r="E5849" t="s">
        <v>1593</v>
      </c>
    </row>
    <row r="5850" spans="3:5">
      <c r="C5850">
        <v>82.800000000000011</v>
      </c>
      <c r="D5850" s="17">
        <v>42618</v>
      </c>
      <c r="E5850" t="s">
        <v>308</v>
      </c>
    </row>
    <row r="5851" spans="3:5">
      <c r="C5851">
        <v>82.896000000000001</v>
      </c>
      <c r="D5851" s="17">
        <v>41674</v>
      </c>
      <c r="E5851" t="s">
        <v>1063</v>
      </c>
    </row>
    <row r="5852" spans="3:5">
      <c r="C5852">
        <v>82.95</v>
      </c>
      <c r="D5852" s="17">
        <v>42677</v>
      </c>
      <c r="E5852" t="s">
        <v>64</v>
      </c>
    </row>
    <row r="5853" spans="3:5">
      <c r="C5853">
        <v>82.95</v>
      </c>
      <c r="D5853" s="17">
        <v>43052</v>
      </c>
      <c r="E5853" t="s">
        <v>64</v>
      </c>
    </row>
    <row r="5854" spans="3:5">
      <c r="C5854">
        <v>83.13600000000001</v>
      </c>
      <c r="D5854" s="17">
        <v>42625</v>
      </c>
      <c r="E5854" t="s">
        <v>1310</v>
      </c>
    </row>
    <row r="5855" spans="3:5">
      <c r="C5855">
        <v>83.168000000000006</v>
      </c>
      <c r="D5855" s="17">
        <v>41708</v>
      </c>
      <c r="E5855" t="s">
        <v>989</v>
      </c>
    </row>
    <row r="5856" spans="3:5">
      <c r="C5856">
        <v>83.25</v>
      </c>
      <c r="D5856" s="17">
        <v>41768</v>
      </c>
      <c r="E5856" t="s">
        <v>1794</v>
      </c>
    </row>
    <row r="5857" spans="3:5">
      <c r="C5857">
        <v>83.36</v>
      </c>
      <c r="D5857" s="17">
        <v>42685</v>
      </c>
      <c r="E5857" t="s">
        <v>1066</v>
      </c>
    </row>
    <row r="5858" spans="3:5">
      <c r="C5858">
        <v>83.42</v>
      </c>
      <c r="D5858" s="17">
        <v>42715</v>
      </c>
      <c r="E5858" t="s">
        <v>766</v>
      </c>
    </row>
    <row r="5859" spans="3:5">
      <c r="C5859">
        <v>83.56</v>
      </c>
      <c r="D5859" s="17">
        <v>43069</v>
      </c>
      <c r="E5859" t="s">
        <v>754</v>
      </c>
    </row>
    <row r="5860" spans="3:5">
      <c r="C5860">
        <v>83.699999999999989</v>
      </c>
      <c r="D5860" s="17">
        <v>42090</v>
      </c>
      <c r="E5860" t="s">
        <v>664</v>
      </c>
    </row>
    <row r="5861" spans="3:5">
      <c r="C5861">
        <v>83.699999999999989</v>
      </c>
      <c r="D5861" s="17">
        <v>42633</v>
      </c>
      <c r="E5861" t="s">
        <v>1021</v>
      </c>
    </row>
    <row r="5862" spans="3:5">
      <c r="C5862">
        <v>83.72</v>
      </c>
      <c r="D5862" s="17">
        <v>42290</v>
      </c>
      <c r="E5862" t="s">
        <v>1224</v>
      </c>
    </row>
    <row r="5863" spans="3:5">
      <c r="C5863">
        <v>83.76</v>
      </c>
      <c r="D5863" s="17">
        <v>42912</v>
      </c>
      <c r="E5863" t="s">
        <v>890</v>
      </c>
    </row>
    <row r="5864" spans="3:5">
      <c r="C5864">
        <v>83.79</v>
      </c>
      <c r="D5864" s="17">
        <v>42960</v>
      </c>
      <c r="E5864" t="s">
        <v>484</v>
      </c>
    </row>
    <row r="5865" spans="3:5">
      <c r="C5865">
        <v>83.84</v>
      </c>
      <c r="D5865" s="17">
        <v>41673</v>
      </c>
      <c r="E5865" t="s">
        <v>1585</v>
      </c>
    </row>
    <row r="5866" spans="3:5">
      <c r="C5866">
        <v>83.84</v>
      </c>
      <c r="D5866" s="17">
        <v>42600</v>
      </c>
      <c r="E5866" t="s">
        <v>1701</v>
      </c>
    </row>
    <row r="5867" spans="3:5">
      <c r="C5867">
        <v>83.88</v>
      </c>
      <c r="D5867" s="17">
        <v>41890</v>
      </c>
      <c r="E5867" t="s">
        <v>1870</v>
      </c>
    </row>
    <row r="5868" spans="3:5">
      <c r="C5868">
        <v>83.88</v>
      </c>
      <c r="D5868" s="17">
        <v>42968</v>
      </c>
      <c r="E5868" t="s">
        <v>1082</v>
      </c>
    </row>
    <row r="5869" spans="3:5">
      <c r="C5869">
        <v>83.9</v>
      </c>
      <c r="D5869" s="17">
        <v>42329</v>
      </c>
      <c r="E5869" t="s">
        <v>1189</v>
      </c>
    </row>
    <row r="5870" spans="3:5">
      <c r="C5870">
        <v>83.9</v>
      </c>
      <c r="D5870" s="17">
        <v>43041</v>
      </c>
      <c r="E5870" t="s">
        <v>504</v>
      </c>
    </row>
    <row r="5871" spans="3:5">
      <c r="C5871">
        <v>83.92</v>
      </c>
      <c r="D5871" s="17">
        <v>42083</v>
      </c>
      <c r="E5871" t="s">
        <v>1035</v>
      </c>
    </row>
    <row r="5872" spans="3:5">
      <c r="C5872">
        <v>83.92</v>
      </c>
      <c r="D5872" s="17">
        <v>42924</v>
      </c>
      <c r="E5872" t="s">
        <v>944</v>
      </c>
    </row>
    <row r="5873" spans="3:5">
      <c r="C5873">
        <v>83.92</v>
      </c>
      <c r="D5873" s="17">
        <v>43011</v>
      </c>
      <c r="E5873" t="s">
        <v>1292</v>
      </c>
    </row>
    <row r="5874" spans="3:5">
      <c r="C5874">
        <v>83.92</v>
      </c>
      <c r="D5874" s="17">
        <v>43070</v>
      </c>
      <c r="E5874" t="s">
        <v>243</v>
      </c>
    </row>
    <row r="5875" spans="3:5">
      <c r="C5875">
        <v>83.920000000000016</v>
      </c>
      <c r="D5875" s="17">
        <v>41889</v>
      </c>
      <c r="E5875" t="s">
        <v>1051</v>
      </c>
    </row>
    <row r="5876" spans="3:5">
      <c r="C5876">
        <v>83.920000000000016</v>
      </c>
      <c r="D5876" s="17">
        <v>41918</v>
      </c>
      <c r="E5876" t="s">
        <v>243</v>
      </c>
    </row>
    <row r="5877" spans="3:5">
      <c r="C5877">
        <v>83.920000000000016</v>
      </c>
      <c r="D5877" s="17">
        <v>41996</v>
      </c>
      <c r="E5877" t="s">
        <v>1058</v>
      </c>
    </row>
    <row r="5878" spans="3:5">
      <c r="C5878">
        <v>83.920000000000016</v>
      </c>
      <c r="D5878" s="17">
        <v>43072</v>
      </c>
      <c r="E5878" t="s">
        <v>997</v>
      </c>
    </row>
    <row r="5879" spans="3:5">
      <c r="C5879">
        <v>83.920000000000016</v>
      </c>
      <c r="D5879" s="17">
        <v>43074</v>
      </c>
      <c r="E5879" t="s">
        <v>997</v>
      </c>
    </row>
    <row r="5880" spans="3:5">
      <c r="C5880">
        <v>83.951999999999998</v>
      </c>
      <c r="D5880" s="17">
        <v>42616</v>
      </c>
      <c r="E5880" t="s">
        <v>1425</v>
      </c>
    </row>
    <row r="5881" spans="3:5">
      <c r="C5881">
        <v>83.97</v>
      </c>
      <c r="D5881" s="17">
        <v>42335</v>
      </c>
      <c r="E5881" t="s">
        <v>710</v>
      </c>
    </row>
    <row r="5882" spans="3:5">
      <c r="C5882">
        <v>83.97</v>
      </c>
      <c r="D5882" s="17">
        <v>42887</v>
      </c>
      <c r="E5882" t="s">
        <v>344</v>
      </c>
    </row>
    <row r="5883" spans="3:5">
      <c r="C5883">
        <v>83.976000000000013</v>
      </c>
      <c r="D5883" s="17">
        <v>42335</v>
      </c>
      <c r="E5883" t="s">
        <v>1316</v>
      </c>
    </row>
    <row r="5884" spans="3:5">
      <c r="C5884">
        <v>83.976000000000013</v>
      </c>
      <c r="D5884" s="17">
        <v>42444</v>
      </c>
      <c r="E5884" t="s">
        <v>594</v>
      </c>
    </row>
    <row r="5885" spans="3:5">
      <c r="C5885">
        <v>83.984000000000009</v>
      </c>
      <c r="D5885" s="17">
        <v>41785</v>
      </c>
      <c r="E5885" t="s">
        <v>919</v>
      </c>
    </row>
    <row r="5886" spans="3:5">
      <c r="C5886">
        <v>83.984000000000009</v>
      </c>
      <c r="D5886" s="17">
        <v>41905</v>
      </c>
      <c r="E5886" t="s">
        <v>919</v>
      </c>
    </row>
    <row r="5887" spans="3:5">
      <c r="C5887">
        <v>83.987999999999985</v>
      </c>
      <c r="D5887" s="17">
        <v>43077</v>
      </c>
      <c r="E5887" t="s">
        <v>91</v>
      </c>
    </row>
    <row r="5888" spans="3:5">
      <c r="C5888">
        <v>84.056000000000012</v>
      </c>
      <c r="D5888" s="17">
        <v>43059</v>
      </c>
      <c r="E5888" t="s">
        <v>1052</v>
      </c>
    </row>
    <row r="5889" spans="3:5">
      <c r="C5889">
        <v>84.09</v>
      </c>
      <c r="D5889" s="17">
        <v>42194</v>
      </c>
      <c r="E5889" t="s">
        <v>1286</v>
      </c>
    </row>
    <row r="5890" spans="3:5">
      <c r="C5890">
        <v>84.272000000000006</v>
      </c>
      <c r="D5890" s="17">
        <v>42615</v>
      </c>
      <c r="E5890" t="s">
        <v>1347</v>
      </c>
    </row>
    <row r="5891" spans="3:5">
      <c r="C5891">
        <v>84.415999999999997</v>
      </c>
      <c r="D5891" s="17">
        <v>42861</v>
      </c>
      <c r="E5891" t="s">
        <v>320</v>
      </c>
    </row>
    <row r="5892" spans="3:5">
      <c r="C5892">
        <v>84.55</v>
      </c>
      <c r="D5892" s="17">
        <v>42901</v>
      </c>
      <c r="E5892" t="s">
        <v>634</v>
      </c>
    </row>
    <row r="5893" spans="3:5">
      <c r="C5893">
        <v>84.784000000000006</v>
      </c>
      <c r="D5893" s="17">
        <v>42315</v>
      </c>
      <c r="E5893" t="s">
        <v>1723</v>
      </c>
    </row>
    <row r="5894" spans="3:5">
      <c r="C5894">
        <v>84.784000000000006</v>
      </c>
      <c r="D5894" s="17">
        <v>42446</v>
      </c>
      <c r="E5894" t="s">
        <v>1285</v>
      </c>
    </row>
    <row r="5895" spans="3:5">
      <c r="C5895">
        <v>84.784000000000006</v>
      </c>
      <c r="D5895" s="17">
        <v>42449</v>
      </c>
      <c r="E5895" t="s">
        <v>1285</v>
      </c>
    </row>
    <row r="5896" spans="3:5">
      <c r="C5896">
        <v>84.784000000000006</v>
      </c>
      <c r="D5896" s="17">
        <v>42580</v>
      </c>
      <c r="E5896" t="s">
        <v>1723</v>
      </c>
    </row>
    <row r="5897" spans="3:5">
      <c r="C5897">
        <v>84.784000000000006</v>
      </c>
      <c r="D5897" s="17">
        <v>43010</v>
      </c>
      <c r="E5897" t="s">
        <v>1285</v>
      </c>
    </row>
    <row r="5898" spans="3:5">
      <c r="C5898">
        <v>84.84</v>
      </c>
      <c r="D5898" s="17">
        <v>42680</v>
      </c>
      <c r="E5898" t="s">
        <v>1025</v>
      </c>
    </row>
    <row r="5899" spans="3:5">
      <c r="C5899">
        <v>84.949999999999989</v>
      </c>
      <c r="D5899" s="17">
        <v>42825</v>
      </c>
      <c r="E5899" t="s">
        <v>471</v>
      </c>
    </row>
    <row r="5900" spans="3:5">
      <c r="C5900">
        <v>84.960000000000008</v>
      </c>
      <c r="D5900" s="17">
        <v>42321</v>
      </c>
      <c r="E5900" t="s">
        <v>1708</v>
      </c>
    </row>
    <row r="5901" spans="3:5">
      <c r="C5901">
        <v>84.98</v>
      </c>
      <c r="D5901" s="17">
        <v>42756</v>
      </c>
      <c r="E5901" t="s">
        <v>135</v>
      </c>
    </row>
    <row r="5902" spans="3:5">
      <c r="C5902">
        <v>84.99</v>
      </c>
      <c r="D5902" s="17">
        <v>43091</v>
      </c>
      <c r="E5902" t="s">
        <v>764</v>
      </c>
    </row>
    <row r="5903" spans="3:5">
      <c r="C5903">
        <v>85.055999999999997</v>
      </c>
      <c r="D5903" s="17">
        <v>42153</v>
      </c>
      <c r="E5903" t="s">
        <v>296</v>
      </c>
    </row>
    <row r="5904" spans="3:5">
      <c r="C5904">
        <v>85.055999999999997</v>
      </c>
      <c r="D5904" s="17">
        <v>42349</v>
      </c>
      <c r="E5904" t="s">
        <v>1801</v>
      </c>
    </row>
    <row r="5905" spans="3:5">
      <c r="C5905">
        <v>85.055999999999997</v>
      </c>
      <c r="D5905" s="17">
        <v>42894</v>
      </c>
      <c r="E5905" t="s">
        <v>296</v>
      </c>
    </row>
    <row r="5906" spans="3:5">
      <c r="C5906">
        <v>85.055999999999997</v>
      </c>
      <c r="D5906" s="17">
        <v>42988</v>
      </c>
      <c r="E5906" t="s">
        <v>1046</v>
      </c>
    </row>
    <row r="5907" spans="3:5">
      <c r="C5907">
        <v>85.14</v>
      </c>
      <c r="D5907" s="17">
        <v>42105</v>
      </c>
      <c r="E5907" t="s">
        <v>587</v>
      </c>
    </row>
    <row r="5908" spans="3:5">
      <c r="C5908">
        <v>85.2</v>
      </c>
      <c r="D5908" s="17">
        <v>42986</v>
      </c>
      <c r="E5908" t="s">
        <v>441</v>
      </c>
    </row>
    <row r="5909" spans="3:5">
      <c r="C5909">
        <v>85.224000000000004</v>
      </c>
      <c r="D5909" s="17">
        <v>42715</v>
      </c>
      <c r="E5909" t="s">
        <v>912</v>
      </c>
    </row>
    <row r="5910" spans="3:5">
      <c r="C5910">
        <v>85.232000000000014</v>
      </c>
      <c r="D5910" s="17">
        <v>42497</v>
      </c>
      <c r="E5910" t="s">
        <v>808</v>
      </c>
    </row>
    <row r="5911" spans="3:5">
      <c r="C5911">
        <v>85.245999999999995</v>
      </c>
      <c r="D5911" s="17">
        <v>42546</v>
      </c>
      <c r="E5911" t="s">
        <v>1013</v>
      </c>
    </row>
    <row r="5912" spans="3:5">
      <c r="C5912">
        <v>85.245999999999995</v>
      </c>
      <c r="D5912" s="17">
        <v>42618</v>
      </c>
      <c r="E5912" t="s">
        <v>1609</v>
      </c>
    </row>
    <row r="5913" spans="3:5">
      <c r="C5913">
        <v>85.245999999999995</v>
      </c>
      <c r="D5913" s="17">
        <v>42705</v>
      </c>
      <c r="E5913" t="s">
        <v>1609</v>
      </c>
    </row>
    <row r="5914" spans="3:5">
      <c r="C5914">
        <v>85.3</v>
      </c>
      <c r="D5914" s="17">
        <v>42268</v>
      </c>
      <c r="E5914" t="s">
        <v>486</v>
      </c>
    </row>
    <row r="5915" spans="3:5">
      <c r="C5915">
        <v>85.44</v>
      </c>
      <c r="D5915" s="17">
        <v>41863</v>
      </c>
      <c r="E5915" t="s">
        <v>1574</v>
      </c>
    </row>
    <row r="5916" spans="3:5">
      <c r="C5916">
        <v>85.52</v>
      </c>
      <c r="D5916" s="17">
        <v>42006</v>
      </c>
      <c r="E5916" t="s">
        <v>960</v>
      </c>
    </row>
    <row r="5917" spans="3:5">
      <c r="C5917">
        <v>85.52</v>
      </c>
      <c r="D5917" s="17">
        <v>43015</v>
      </c>
      <c r="E5917" t="s">
        <v>960</v>
      </c>
    </row>
    <row r="5918" spans="3:5">
      <c r="C5918">
        <v>85.9</v>
      </c>
      <c r="D5918" s="17">
        <v>42079</v>
      </c>
      <c r="E5918" t="s">
        <v>364</v>
      </c>
    </row>
    <row r="5919" spans="3:5">
      <c r="C5919">
        <v>85.96</v>
      </c>
      <c r="D5919" s="17">
        <v>41971</v>
      </c>
      <c r="E5919" t="s">
        <v>1424</v>
      </c>
    </row>
    <row r="5920" spans="3:5">
      <c r="C5920">
        <v>85.96</v>
      </c>
      <c r="D5920" s="17">
        <v>42268</v>
      </c>
      <c r="E5920" t="s">
        <v>1451</v>
      </c>
    </row>
    <row r="5921" spans="3:5">
      <c r="C5921">
        <v>85.96</v>
      </c>
      <c r="D5921" s="17">
        <v>42342</v>
      </c>
      <c r="E5921" t="s">
        <v>122</v>
      </c>
    </row>
    <row r="5922" spans="3:5">
      <c r="C5922">
        <v>85.98</v>
      </c>
      <c r="D5922" s="17">
        <v>41817</v>
      </c>
      <c r="E5922" t="s">
        <v>272</v>
      </c>
    </row>
    <row r="5923" spans="3:5">
      <c r="C5923">
        <v>85.98</v>
      </c>
      <c r="D5923" s="17">
        <v>42253</v>
      </c>
      <c r="E5923" t="s">
        <v>272</v>
      </c>
    </row>
    <row r="5924" spans="3:5">
      <c r="C5924">
        <v>86.058000000000007</v>
      </c>
      <c r="D5924" s="17">
        <v>42618</v>
      </c>
      <c r="E5924" t="s">
        <v>107</v>
      </c>
    </row>
    <row r="5925" spans="3:5">
      <c r="C5925">
        <v>86.199999999999989</v>
      </c>
      <c r="D5925" s="17">
        <v>42573</v>
      </c>
      <c r="E5925" t="s">
        <v>1227</v>
      </c>
    </row>
    <row r="5926" spans="3:5">
      <c r="C5926">
        <v>86.26</v>
      </c>
      <c r="D5926" s="17">
        <v>42768</v>
      </c>
      <c r="E5926" t="s">
        <v>200</v>
      </c>
    </row>
    <row r="5927" spans="3:5">
      <c r="C5927">
        <v>86.272000000000006</v>
      </c>
      <c r="D5927" s="17">
        <v>42273</v>
      </c>
      <c r="E5927" t="s">
        <v>1699</v>
      </c>
    </row>
    <row r="5928" spans="3:5">
      <c r="C5928">
        <v>86.304000000000002</v>
      </c>
      <c r="D5928" s="17">
        <v>42264</v>
      </c>
      <c r="E5928" t="s">
        <v>957</v>
      </c>
    </row>
    <row r="5929" spans="3:5">
      <c r="C5929">
        <v>86.304000000000002</v>
      </c>
      <c r="D5929" s="17">
        <v>42344</v>
      </c>
      <c r="E5929" t="s">
        <v>957</v>
      </c>
    </row>
    <row r="5930" spans="3:5">
      <c r="C5930">
        <v>86.352000000000004</v>
      </c>
      <c r="D5930" s="17">
        <v>42492</v>
      </c>
      <c r="E5930" t="s">
        <v>1428</v>
      </c>
    </row>
    <row r="5931" spans="3:5">
      <c r="C5931">
        <v>86.352000000000004</v>
      </c>
      <c r="D5931" s="17">
        <v>42758</v>
      </c>
      <c r="E5931" t="s">
        <v>154</v>
      </c>
    </row>
    <row r="5932" spans="3:5">
      <c r="C5932">
        <v>86.352000000000004</v>
      </c>
      <c r="D5932" s="17">
        <v>43055</v>
      </c>
      <c r="E5932" t="s">
        <v>1428</v>
      </c>
    </row>
    <row r="5933" spans="3:5">
      <c r="C5933">
        <v>86.376000000000005</v>
      </c>
      <c r="D5933" s="17">
        <v>41813</v>
      </c>
      <c r="E5933" t="s">
        <v>442</v>
      </c>
    </row>
    <row r="5934" spans="3:5">
      <c r="C5934">
        <v>86.376000000000005</v>
      </c>
      <c r="D5934" s="17">
        <v>42924</v>
      </c>
      <c r="E5934" t="s">
        <v>553</v>
      </c>
    </row>
    <row r="5935" spans="3:5">
      <c r="C5935">
        <v>86.45</v>
      </c>
      <c r="D5935" s="17">
        <v>42449</v>
      </c>
      <c r="E5935" t="s">
        <v>1288</v>
      </c>
    </row>
    <row r="5936" spans="3:5">
      <c r="C5936">
        <v>86.62</v>
      </c>
      <c r="D5936" s="17">
        <v>42482</v>
      </c>
      <c r="E5936" t="s">
        <v>621</v>
      </c>
    </row>
    <row r="5937" spans="3:5">
      <c r="C5937">
        <v>86.97</v>
      </c>
      <c r="D5937" s="17">
        <v>42694</v>
      </c>
      <c r="E5937" t="s">
        <v>282</v>
      </c>
    </row>
    <row r="5938" spans="3:5">
      <c r="C5938">
        <v>86.97</v>
      </c>
      <c r="D5938" s="17">
        <v>43000</v>
      </c>
      <c r="E5938" t="s">
        <v>1248</v>
      </c>
    </row>
    <row r="5939" spans="3:5">
      <c r="C5939">
        <v>87.08</v>
      </c>
      <c r="D5939" s="17">
        <v>41740</v>
      </c>
      <c r="E5939" t="s">
        <v>1314</v>
      </c>
    </row>
    <row r="5940" spans="3:5">
      <c r="C5940">
        <v>87.167999999999978</v>
      </c>
      <c r="D5940" s="17">
        <v>42820</v>
      </c>
      <c r="E5940" t="s">
        <v>402</v>
      </c>
    </row>
    <row r="5941" spans="3:5">
      <c r="C5941">
        <v>87.168000000000006</v>
      </c>
      <c r="D5941" s="17">
        <v>42264</v>
      </c>
      <c r="E5941" t="s">
        <v>724</v>
      </c>
    </row>
    <row r="5942" spans="3:5">
      <c r="C5942">
        <v>87.168000000000006</v>
      </c>
      <c r="D5942" s="17">
        <v>42617</v>
      </c>
      <c r="E5942" t="s">
        <v>402</v>
      </c>
    </row>
    <row r="5943" spans="3:5">
      <c r="C5943">
        <v>87.168000000000006</v>
      </c>
      <c r="D5943" s="17">
        <v>42719</v>
      </c>
      <c r="E5943" t="s">
        <v>402</v>
      </c>
    </row>
    <row r="5944" spans="3:5">
      <c r="C5944">
        <v>87.210000000000008</v>
      </c>
      <c r="D5944" s="17">
        <v>42923</v>
      </c>
      <c r="E5944" t="s">
        <v>830</v>
      </c>
    </row>
    <row r="5945" spans="3:5">
      <c r="C5945">
        <v>87.28</v>
      </c>
      <c r="D5945" s="17">
        <v>42616</v>
      </c>
      <c r="E5945" t="s">
        <v>343</v>
      </c>
    </row>
    <row r="5946" spans="3:5">
      <c r="C5946">
        <v>87.36</v>
      </c>
      <c r="D5946" s="17">
        <v>42009</v>
      </c>
      <c r="E5946" t="s">
        <v>300</v>
      </c>
    </row>
    <row r="5947" spans="3:5">
      <c r="C5947">
        <v>87.4</v>
      </c>
      <c r="D5947" s="17">
        <v>42867</v>
      </c>
      <c r="E5947" t="s">
        <v>678</v>
      </c>
    </row>
    <row r="5948" spans="3:5">
      <c r="C5948">
        <v>87.444000000000003</v>
      </c>
      <c r="D5948" s="17">
        <v>42862</v>
      </c>
      <c r="E5948" t="s">
        <v>653</v>
      </c>
    </row>
    <row r="5949" spans="3:5">
      <c r="C5949">
        <v>87.539999999999992</v>
      </c>
      <c r="D5949" s="17">
        <v>41909</v>
      </c>
      <c r="E5949" t="s">
        <v>938</v>
      </c>
    </row>
    <row r="5950" spans="3:5">
      <c r="C5950">
        <v>87.6</v>
      </c>
      <c r="D5950" s="17">
        <v>42867</v>
      </c>
      <c r="E5950" t="s">
        <v>671</v>
      </c>
    </row>
    <row r="5951" spans="3:5">
      <c r="C5951">
        <v>87.71</v>
      </c>
      <c r="D5951" s="17">
        <v>42051</v>
      </c>
      <c r="E5951" t="s">
        <v>942</v>
      </c>
    </row>
    <row r="5952" spans="3:5">
      <c r="C5952">
        <v>87.71</v>
      </c>
      <c r="D5952" s="17">
        <v>42264</v>
      </c>
      <c r="E5952" t="s">
        <v>942</v>
      </c>
    </row>
    <row r="5953" spans="3:5">
      <c r="C5953">
        <v>87.71</v>
      </c>
      <c r="D5953" s="17">
        <v>42568</v>
      </c>
      <c r="E5953" t="s">
        <v>1466</v>
      </c>
    </row>
    <row r="5954" spans="3:5">
      <c r="C5954">
        <v>87.71</v>
      </c>
      <c r="D5954" s="17">
        <v>42677</v>
      </c>
      <c r="E5954" t="s">
        <v>666</v>
      </c>
    </row>
    <row r="5955" spans="3:5">
      <c r="C5955">
        <v>87.8</v>
      </c>
      <c r="D5955" s="17">
        <v>42096</v>
      </c>
      <c r="E5955" t="s">
        <v>1294</v>
      </c>
    </row>
    <row r="5956" spans="3:5">
      <c r="C5956">
        <v>87.8</v>
      </c>
      <c r="D5956" s="17">
        <v>43013</v>
      </c>
      <c r="E5956" t="s">
        <v>1294</v>
      </c>
    </row>
    <row r="5957" spans="3:5">
      <c r="C5957">
        <v>87.84</v>
      </c>
      <c r="D5957" s="17">
        <v>42509</v>
      </c>
      <c r="E5957" t="s">
        <v>484</v>
      </c>
    </row>
    <row r="5958" spans="3:5">
      <c r="C5958">
        <v>87.92</v>
      </c>
      <c r="D5958" s="17">
        <v>41841</v>
      </c>
      <c r="E5958" t="s">
        <v>1704</v>
      </c>
    </row>
    <row r="5959" spans="3:5">
      <c r="C5959">
        <v>87.92</v>
      </c>
      <c r="D5959" s="17">
        <v>42457</v>
      </c>
      <c r="E5959" t="s">
        <v>812</v>
      </c>
    </row>
    <row r="5960" spans="3:5">
      <c r="C5960">
        <v>87.92</v>
      </c>
      <c r="D5960" s="17">
        <v>42570</v>
      </c>
      <c r="E5960" t="s">
        <v>812</v>
      </c>
    </row>
    <row r="5961" spans="3:5">
      <c r="C5961">
        <v>87.92</v>
      </c>
      <c r="D5961" s="17">
        <v>42919</v>
      </c>
      <c r="E5961" t="s">
        <v>812</v>
      </c>
    </row>
    <row r="5962" spans="3:5">
      <c r="C5962">
        <v>87.92</v>
      </c>
      <c r="D5962" s="17">
        <v>43023</v>
      </c>
      <c r="E5962" t="s">
        <v>1320</v>
      </c>
    </row>
    <row r="5963" spans="3:5">
      <c r="C5963">
        <v>87.92</v>
      </c>
      <c r="D5963" s="17">
        <v>43077</v>
      </c>
      <c r="E5963" t="s">
        <v>1511</v>
      </c>
    </row>
    <row r="5964" spans="3:5">
      <c r="C5964">
        <v>87.92</v>
      </c>
      <c r="D5964" s="17">
        <v>43079</v>
      </c>
      <c r="E5964" t="s">
        <v>982</v>
      </c>
    </row>
    <row r="5965" spans="3:5">
      <c r="C5965">
        <v>87.96</v>
      </c>
      <c r="D5965" s="17">
        <v>42307</v>
      </c>
      <c r="E5965" t="s">
        <v>355</v>
      </c>
    </row>
    <row r="5966" spans="3:5">
      <c r="C5966">
        <v>87.960000000000008</v>
      </c>
      <c r="D5966" s="17">
        <v>41986</v>
      </c>
      <c r="E5966" t="s">
        <v>1860</v>
      </c>
    </row>
    <row r="5967" spans="3:5">
      <c r="C5967">
        <v>88.02</v>
      </c>
      <c r="D5967" s="17">
        <v>42965</v>
      </c>
      <c r="E5967" t="s">
        <v>1065</v>
      </c>
    </row>
    <row r="5968" spans="3:5">
      <c r="C5968">
        <v>88.04</v>
      </c>
      <c r="D5968" s="17">
        <v>42461</v>
      </c>
      <c r="E5968" t="s">
        <v>827</v>
      </c>
    </row>
    <row r="5969" spans="3:5">
      <c r="C5969">
        <v>88.04</v>
      </c>
      <c r="D5969" s="17">
        <v>42897</v>
      </c>
      <c r="E5969" t="s">
        <v>827</v>
      </c>
    </row>
    <row r="5970" spans="3:5">
      <c r="C5970">
        <v>88.074000000000012</v>
      </c>
      <c r="D5970" s="17">
        <v>42982</v>
      </c>
      <c r="E5970" t="s">
        <v>1146</v>
      </c>
    </row>
    <row r="5971" spans="3:5">
      <c r="C5971">
        <v>88.08</v>
      </c>
      <c r="D5971" s="17">
        <v>42705</v>
      </c>
      <c r="E5971" t="s">
        <v>375</v>
      </c>
    </row>
    <row r="5972" spans="3:5">
      <c r="C5972">
        <v>88.4</v>
      </c>
      <c r="D5972" s="17">
        <v>42698</v>
      </c>
      <c r="E5972" t="s">
        <v>777</v>
      </c>
    </row>
    <row r="5973" spans="3:5">
      <c r="C5973">
        <v>88.751999999999995</v>
      </c>
      <c r="D5973" s="17">
        <v>42125</v>
      </c>
      <c r="E5973" t="s">
        <v>372</v>
      </c>
    </row>
    <row r="5974" spans="3:5">
      <c r="C5974">
        <v>88.751999999999995</v>
      </c>
      <c r="D5974" s="17">
        <v>42180</v>
      </c>
      <c r="E5974" t="s">
        <v>661</v>
      </c>
    </row>
    <row r="5975" spans="3:5">
      <c r="C5975">
        <v>88.751999999999995</v>
      </c>
      <c r="D5975" s="17">
        <v>43038</v>
      </c>
      <c r="E5975" t="s">
        <v>661</v>
      </c>
    </row>
    <row r="5976" spans="3:5">
      <c r="C5976">
        <v>88.768000000000001</v>
      </c>
      <c r="D5976" s="17">
        <v>41921</v>
      </c>
      <c r="E5976" t="s">
        <v>407</v>
      </c>
    </row>
    <row r="5977" spans="3:5">
      <c r="C5977">
        <v>88.768000000000001</v>
      </c>
      <c r="D5977" s="17">
        <v>42680</v>
      </c>
      <c r="E5977" t="s">
        <v>407</v>
      </c>
    </row>
    <row r="5978" spans="3:5">
      <c r="C5978">
        <v>88.768000000000001</v>
      </c>
      <c r="D5978" s="17">
        <v>43067</v>
      </c>
      <c r="E5978" t="s">
        <v>407</v>
      </c>
    </row>
    <row r="5979" spans="3:5">
      <c r="C5979">
        <v>88.77600000000001</v>
      </c>
      <c r="D5979" s="17">
        <v>41945</v>
      </c>
      <c r="E5979" t="s">
        <v>229</v>
      </c>
    </row>
    <row r="5980" spans="3:5">
      <c r="C5980">
        <v>88.77600000000001</v>
      </c>
      <c r="D5980" s="17">
        <v>42116</v>
      </c>
      <c r="E5980" t="s">
        <v>229</v>
      </c>
    </row>
    <row r="5981" spans="3:5">
      <c r="C5981">
        <v>88.77600000000001</v>
      </c>
      <c r="D5981" s="17">
        <v>42777</v>
      </c>
      <c r="E5981" t="s">
        <v>229</v>
      </c>
    </row>
    <row r="5982" spans="3:5">
      <c r="C5982">
        <v>88.77600000000001</v>
      </c>
      <c r="D5982" s="17">
        <v>42896</v>
      </c>
      <c r="E5982" t="s">
        <v>229</v>
      </c>
    </row>
    <row r="5983" spans="3:5">
      <c r="C5983">
        <v>88.800000000000011</v>
      </c>
      <c r="D5983" s="17">
        <v>42002</v>
      </c>
      <c r="E5983" t="s">
        <v>817</v>
      </c>
    </row>
    <row r="5984" spans="3:5">
      <c r="C5984">
        <v>88.800000000000011</v>
      </c>
      <c r="D5984" s="17">
        <v>42358</v>
      </c>
      <c r="E5984" t="s">
        <v>1794</v>
      </c>
    </row>
    <row r="5985" spans="3:5">
      <c r="C5985">
        <v>88.832000000000008</v>
      </c>
      <c r="D5985" s="17">
        <v>42357</v>
      </c>
      <c r="E5985" t="s">
        <v>1796</v>
      </c>
    </row>
    <row r="5986" spans="3:5">
      <c r="C5986">
        <v>88.920000000000016</v>
      </c>
      <c r="D5986" s="17">
        <v>43050</v>
      </c>
      <c r="E5986" t="s">
        <v>263</v>
      </c>
    </row>
    <row r="5987" spans="3:5">
      <c r="C5987">
        <v>88.960000000000008</v>
      </c>
      <c r="D5987" s="17">
        <v>42021</v>
      </c>
      <c r="E5987" t="s">
        <v>1277</v>
      </c>
    </row>
    <row r="5988" spans="3:5">
      <c r="C5988">
        <v>89.066399999999987</v>
      </c>
      <c r="D5988" s="17">
        <v>42783</v>
      </c>
      <c r="E5988" t="s">
        <v>250</v>
      </c>
    </row>
    <row r="5989" spans="3:5">
      <c r="C5989">
        <v>89.34</v>
      </c>
      <c r="D5989" s="17">
        <v>41945</v>
      </c>
      <c r="E5989" t="s">
        <v>262</v>
      </c>
    </row>
    <row r="5990" spans="3:5">
      <c r="C5990">
        <v>89.52</v>
      </c>
      <c r="D5990" s="17">
        <v>42756</v>
      </c>
      <c r="E5990" t="s">
        <v>141</v>
      </c>
    </row>
    <row r="5991" spans="3:5">
      <c r="C5991">
        <v>89.544000000000011</v>
      </c>
      <c r="D5991" s="17">
        <v>42894</v>
      </c>
      <c r="E5991" t="s">
        <v>811</v>
      </c>
    </row>
    <row r="5992" spans="3:5">
      <c r="C5992">
        <v>89.567999999999998</v>
      </c>
      <c r="D5992" s="17">
        <v>42383</v>
      </c>
      <c r="E5992" t="s">
        <v>1278</v>
      </c>
    </row>
    <row r="5993" spans="3:5">
      <c r="C5993">
        <v>89.567999999999998</v>
      </c>
      <c r="D5993" s="17">
        <v>42684</v>
      </c>
      <c r="E5993" t="s">
        <v>1278</v>
      </c>
    </row>
    <row r="5994" spans="3:5">
      <c r="C5994">
        <v>89.567999999999998</v>
      </c>
      <c r="D5994" s="17">
        <v>42798</v>
      </c>
      <c r="E5994" t="s">
        <v>172</v>
      </c>
    </row>
    <row r="5995" spans="3:5">
      <c r="C5995">
        <v>89.567999999999998</v>
      </c>
      <c r="D5995" s="17">
        <v>42983</v>
      </c>
      <c r="E5995" t="s">
        <v>344</v>
      </c>
    </row>
    <row r="5996" spans="3:5">
      <c r="C5996">
        <v>89.584000000000003</v>
      </c>
      <c r="D5996" s="17">
        <v>42006</v>
      </c>
      <c r="E5996" t="s">
        <v>1123</v>
      </c>
    </row>
    <row r="5997" spans="3:5">
      <c r="C5997">
        <v>89.584000000000003</v>
      </c>
      <c r="D5997" s="17">
        <v>42997</v>
      </c>
      <c r="E5997" t="s">
        <v>1123</v>
      </c>
    </row>
    <row r="5998" spans="3:5">
      <c r="C5998">
        <v>89.696000000000012</v>
      </c>
      <c r="D5998" s="17">
        <v>42328</v>
      </c>
      <c r="E5998" t="s">
        <v>1286</v>
      </c>
    </row>
    <row r="5999" spans="3:5">
      <c r="C5999">
        <v>89.712000000000018</v>
      </c>
      <c r="D5999" s="17">
        <v>41840</v>
      </c>
      <c r="E5999" t="s">
        <v>177</v>
      </c>
    </row>
    <row r="6000" spans="3:5">
      <c r="C6000">
        <v>89.768000000000001</v>
      </c>
      <c r="D6000" s="17">
        <v>42807</v>
      </c>
      <c r="E6000" t="s">
        <v>361</v>
      </c>
    </row>
    <row r="6001" spans="3:5">
      <c r="C6001">
        <v>89.820000000000007</v>
      </c>
      <c r="D6001" s="17">
        <v>42073</v>
      </c>
      <c r="E6001" t="s">
        <v>1664</v>
      </c>
    </row>
    <row r="6002" spans="3:5">
      <c r="C6002">
        <v>89.855999999999995</v>
      </c>
      <c r="D6002" s="17">
        <v>42839</v>
      </c>
      <c r="E6002" t="s">
        <v>536</v>
      </c>
    </row>
    <row r="6003" spans="3:5">
      <c r="C6003">
        <v>89.9</v>
      </c>
      <c r="D6003" s="17">
        <v>43002</v>
      </c>
      <c r="E6003" t="s">
        <v>1075</v>
      </c>
    </row>
    <row r="6004" spans="3:5">
      <c r="C6004">
        <v>89.949999999999989</v>
      </c>
      <c r="D6004" s="17">
        <v>42571</v>
      </c>
      <c r="E6004" t="s">
        <v>276</v>
      </c>
    </row>
    <row r="6005" spans="3:5">
      <c r="C6005">
        <v>89.949999999999989</v>
      </c>
      <c r="D6005" s="17">
        <v>42946</v>
      </c>
      <c r="E6005" t="s">
        <v>276</v>
      </c>
    </row>
    <row r="6006" spans="3:5">
      <c r="C6006">
        <v>89.97</v>
      </c>
      <c r="D6006" s="17">
        <v>41946</v>
      </c>
      <c r="E6006" t="s">
        <v>694</v>
      </c>
    </row>
    <row r="6007" spans="3:5">
      <c r="C6007">
        <v>89.97</v>
      </c>
      <c r="D6007" s="17">
        <v>42311</v>
      </c>
      <c r="E6007" t="s">
        <v>1210</v>
      </c>
    </row>
    <row r="6008" spans="3:5">
      <c r="C6008">
        <v>89.97</v>
      </c>
      <c r="D6008" s="17">
        <v>42409</v>
      </c>
      <c r="E6008" t="s">
        <v>108</v>
      </c>
    </row>
    <row r="6009" spans="3:5">
      <c r="C6009">
        <v>89.97</v>
      </c>
      <c r="D6009" s="17">
        <v>42416</v>
      </c>
      <c r="E6009" t="s">
        <v>108</v>
      </c>
    </row>
    <row r="6010" spans="3:5">
      <c r="C6010">
        <v>89.97</v>
      </c>
      <c r="D6010" s="17">
        <v>42464</v>
      </c>
      <c r="E6010" t="s">
        <v>1210</v>
      </c>
    </row>
    <row r="6011" spans="3:5">
      <c r="C6011">
        <v>89.97</v>
      </c>
      <c r="D6011" s="17">
        <v>42679</v>
      </c>
      <c r="E6011" t="s">
        <v>1231</v>
      </c>
    </row>
    <row r="6012" spans="3:5">
      <c r="C6012">
        <v>89.97</v>
      </c>
      <c r="D6012" s="17">
        <v>42688</v>
      </c>
      <c r="E6012" t="s">
        <v>1636</v>
      </c>
    </row>
    <row r="6013" spans="3:5">
      <c r="C6013">
        <v>89.97</v>
      </c>
      <c r="D6013" s="17">
        <v>42730</v>
      </c>
      <c r="E6013" t="s">
        <v>694</v>
      </c>
    </row>
    <row r="6014" spans="3:5">
      <c r="C6014">
        <v>89.97</v>
      </c>
      <c r="D6014" s="17">
        <v>42869</v>
      </c>
      <c r="E6014" t="s">
        <v>694</v>
      </c>
    </row>
    <row r="6015" spans="3:5">
      <c r="C6015">
        <v>89.97</v>
      </c>
      <c r="D6015" s="17">
        <v>42995</v>
      </c>
      <c r="E6015" t="s">
        <v>1210</v>
      </c>
    </row>
    <row r="6016" spans="3:5">
      <c r="C6016">
        <v>89.98</v>
      </c>
      <c r="D6016" s="17">
        <v>42321</v>
      </c>
      <c r="E6016" t="s">
        <v>798</v>
      </c>
    </row>
    <row r="6017" spans="3:5">
      <c r="C6017">
        <v>89.98</v>
      </c>
      <c r="D6017" s="17">
        <v>43065</v>
      </c>
      <c r="E6017" t="s">
        <v>798</v>
      </c>
    </row>
    <row r="6018" spans="3:5">
      <c r="C6018">
        <v>89.987999999999985</v>
      </c>
      <c r="D6018" s="17">
        <v>43063</v>
      </c>
      <c r="E6018" t="s">
        <v>655</v>
      </c>
    </row>
    <row r="6019" spans="3:5">
      <c r="C6019">
        <v>89.99</v>
      </c>
      <c r="D6019" s="17">
        <v>42112</v>
      </c>
      <c r="E6019" t="s">
        <v>1127</v>
      </c>
    </row>
    <row r="6020" spans="3:5">
      <c r="C6020">
        <v>89.991000000000014</v>
      </c>
      <c r="D6020" s="17">
        <v>42860</v>
      </c>
      <c r="E6020" t="s">
        <v>639</v>
      </c>
    </row>
    <row r="6021" spans="3:5">
      <c r="C6021">
        <v>90</v>
      </c>
      <c r="D6021" s="17">
        <v>42254</v>
      </c>
      <c r="E6021" t="s">
        <v>1212</v>
      </c>
    </row>
    <row r="6022" spans="3:5">
      <c r="C6022">
        <v>90</v>
      </c>
      <c r="D6022" s="17">
        <v>42279</v>
      </c>
      <c r="E6022" t="s">
        <v>488</v>
      </c>
    </row>
    <row r="6023" spans="3:5">
      <c r="C6023">
        <v>90.06</v>
      </c>
      <c r="D6023" s="17">
        <v>42209</v>
      </c>
      <c r="E6023" t="s">
        <v>1052</v>
      </c>
    </row>
    <row r="6024" spans="3:5">
      <c r="C6024">
        <v>90.24</v>
      </c>
      <c r="D6024" s="17">
        <v>41986</v>
      </c>
      <c r="E6024" t="s">
        <v>1859</v>
      </c>
    </row>
    <row r="6025" spans="3:5">
      <c r="C6025">
        <v>90.48</v>
      </c>
      <c r="D6025" s="17">
        <v>42404</v>
      </c>
      <c r="E6025" t="s">
        <v>1547</v>
      </c>
    </row>
    <row r="6026" spans="3:5">
      <c r="C6026">
        <v>90.48</v>
      </c>
      <c r="D6026" s="17">
        <v>43094</v>
      </c>
      <c r="E6026" t="s">
        <v>1547</v>
      </c>
    </row>
    <row r="6027" spans="3:5">
      <c r="C6027">
        <v>90.480000000000018</v>
      </c>
      <c r="D6027" s="17">
        <v>42492</v>
      </c>
      <c r="E6027" t="s">
        <v>990</v>
      </c>
    </row>
    <row r="6028" spans="3:5">
      <c r="C6028">
        <v>90.480000000000018</v>
      </c>
      <c r="D6028" s="17">
        <v>43077</v>
      </c>
      <c r="E6028" t="s">
        <v>990</v>
      </c>
    </row>
    <row r="6029" spans="3:5">
      <c r="C6029">
        <v>90.480000000000018</v>
      </c>
      <c r="D6029" s="17">
        <v>43093</v>
      </c>
      <c r="E6029" t="s">
        <v>990</v>
      </c>
    </row>
    <row r="6030" spans="3:5">
      <c r="C6030">
        <v>90.570000000000007</v>
      </c>
      <c r="D6030" s="17">
        <v>42385</v>
      </c>
      <c r="E6030" t="s">
        <v>87</v>
      </c>
    </row>
    <row r="6031" spans="3:5">
      <c r="C6031">
        <v>90.570000000000007</v>
      </c>
      <c r="D6031" s="17">
        <v>42945</v>
      </c>
      <c r="E6031" t="s">
        <v>87</v>
      </c>
    </row>
    <row r="6032" spans="3:5">
      <c r="C6032">
        <v>90.64</v>
      </c>
      <c r="D6032" s="17">
        <v>42779</v>
      </c>
      <c r="E6032" t="s">
        <v>237</v>
      </c>
    </row>
    <row r="6033" spans="3:5">
      <c r="C6033">
        <v>90.8</v>
      </c>
      <c r="D6033" s="17">
        <v>42807</v>
      </c>
      <c r="E6033" t="s">
        <v>163</v>
      </c>
    </row>
    <row r="6034" spans="3:5">
      <c r="C6034">
        <v>90.801000000000002</v>
      </c>
      <c r="D6034" s="17">
        <v>42981</v>
      </c>
      <c r="E6034" t="s">
        <v>114</v>
      </c>
    </row>
    <row r="6035" spans="3:5">
      <c r="C6035">
        <v>90.86</v>
      </c>
      <c r="D6035" s="17">
        <v>42812</v>
      </c>
      <c r="E6035" t="s">
        <v>396</v>
      </c>
    </row>
    <row r="6036" spans="3:5">
      <c r="C6036">
        <v>90.86</v>
      </c>
      <c r="D6036" s="17">
        <v>42990</v>
      </c>
      <c r="E6036" t="s">
        <v>396</v>
      </c>
    </row>
    <row r="6037" spans="3:5">
      <c r="C6037">
        <v>90.882000000000005</v>
      </c>
      <c r="D6037" s="17">
        <v>42038</v>
      </c>
      <c r="E6037" t="s">
        <v>575</v>
      </c>
    </row>
    <row r="6038" spans="3:5">
      <c r="C6038">
        <v>90.882000000000005</v>
      </c>
      <c r="D6038" s="17">
        <v>42653</v>
      </c>
      <c r="E6038" t="s">
        <v>1671</v>
      </c>
    </row>
    <row r="6039" spans="3:5">
      <c r="C6039">
        <v>90.93</v>
      </c>
      <c r="D6039" s="17">
        <v>43099</v>
      </c>
      <c r="E6039" t="s">
        <v>1556</v>
      </c>
    </row>
    <row r="6040" spans="3:5">
      <c r="C6040">
        <v>90.99</v>
      </c>
      <c r="D6040" s="17">
        <v>42819</v>
      </c>
      <c r="E6040" t="s">
        <v>434</v>
      </c>
    </row>
    <row r="6041" spans="3:5">
      <c r="C6041">
        <v>91.00800000000001</v>
      </c>
      <c r="D6041" s="17">
        <v>42929</v>
      </c>
      <c r="E6041" t="s">
        <v>802</v>
      </c>
    </row>
    <row r="6042" spans="3:5">
      <c r="C6042">
        <v>91.032000000000011</v>
      </c>
      <c r="D6042" s="17">
        <v>42943</v>
      </c>
      <c r="E6042" t="s">
        <v>1011</v>
      </c>
    </row>
    <row r="6043" spans="3:5">
      <c r="C6043">
        <v>91.055999999999997</v>
      </c>
      <c r="D6043" s="17">
        <v>41712</v>
      </c>
      <c r="E6043" t="s">
        <v>181</v>
      </c>
    </row>
    <row r="6044" spans="3:5">
      <c r="C6044">
        <v>91.176000000000016</v>
      </c>
      <c r="D6044" s="17">
        <v>42322</v>
      </c>
      <c r="E6044" t="s">
        <v>405</v>
      </c>
    </row>
    <row r="6045" spans="3:5">
      <c r="C6045">
        <v>91.199999999999989</v>
      </c>
      <c r="D6045" s="17">
        <v>42898</v>
      </c>
      <c r="E6045" t="s">
        <v>831</v>
      </c>
    </row>
    <row r="6046" spans="3:5">
      <c r="C6046">
        <v>91.275000000000006</v>
      </c>
      <c r="D6046" s="17">
        <v>43027</v>
      </c>
      <c r="E6046" t="s">
        <v>1330</v>
      </c>
    </row>
    <row r="6047" spans="3:5">
      <c r="C6047">
        <v>91.36</v>
      </c>
      <c r="D6047" s="17">
        <v>41983</v>
      </c>
      <c r="E6047" t="s">
        <v>1534</v>
      </c>
    </row>
    <row r="6048" spans="3:5">
      <c r="C6048">
        <v>91.36</v>
      </c>
      <c r="D6048" s="17">
        <v>42618</v>
      </c>
      <c r="E6048" t="s">
        <v>1534</v>
      </c>
    </row>
    <row r="6049" spans="3:5">
      <c r="C6049">
        <v>91.360000000000014</v>
      </c>
      <c r="D6049" s="17">
        <v>41866</v>
      </c>
      <c r="E6049" t="s">
        <v>848</v>
      </c>
    </row>
    <row r="6050" spans="3:5">
      <c r="C6050">
        <v>91.360000000000014</v>
      </c>
      <c r="D6050" s="17">
        <v>42901</v>
      </c>
      <c r="E6050" t="s">
        <v>848</v>
      </c>
    </row>
    <row r="6051" spans="3:5">
      <c r="C6051">
        <v>91.360000000000014</v>
      </c>
      <c r="D6051" s="17">
        <v>43087</v>
      </c>
      <c r="E6051" t="s">
        <v>1534</v>
      </c>
    </row>
    <row r="6052" spans="3:5">
      <c r="C6052">
        <v>91.391999999999996</v>
      </c>
      <c r="D6052" s="17">
        <v>42332</v>
      </c>
      <c r="E6052" t="s">
        <v>1384</v>
      </c>
    </row>
    <row r="6053" spans="3:5">
      <c r="C6053">
        <v>91.474999999999994</v>
      </c>
      <c r="D6053" s="17">
        <v>42537</v>
      </c>
      <c r="E6053" t="s">
        <v>1746</v>
      </c>
    </row>
    <row r="6054" spans="3:5">
      <c r="C6054">
        <v>91.59</v>
      </c>
      <c r="D6054" s="17">
        <v>42801</v>
      </c>
      <c r="E6054" t="s">
        <v>330</v>
      </c>
    </row>
    <row r="6055" spans="3:5">
      <c r="C6055">
        <v>91.6</v>
      </c>
      <c r="D6055" s="17">
        <v>42975</v>
      </c>
      <c r="E6055" t="s">
        <v>748</v>
      </c>
    </row>
    <row r="6056" spans="3:5">
      <c r="C6056">
        <v>91.679999999999993</v>
      </c>
      <c r="D6056" s="17">
        <v>41776</v>
      </c>
      <c r="E6056" t="s">
        <v>598</v>
      </c>
    </row>
    <row r="6057" spans="3:5">
      <c r="C6057">
        <v>91.679999999999993</v>
      </c>
      <c r="D6057" s="17">
        <v>42700</v>
      </c>
      <c r="E6057" t="s">
        <v>598</v>
      </c>
    </row>
    <row r="6058" spans="3:5">
      <c r="C6058">
        <v>91.68</v>
      </c>
      <c r="D6058" s="17">
        <v>42316</v>
      </c>
      <c r="E6058" t="s">
        <v>878</v>
      </c>
    </row>
    <row r="6059" spans="3:5">
      <c r="C6059">
        <v>91.84</v>
      </c>
      <c r="D6059" s="17">
        <v>43009</v>
      </c>
      <c r="E6059" t="s">
        <v>1281</v>
      </c>
    </row>
    <row r="6060" spans="3:5">
      <c r="C6060">
        <v>91.92</v>
      </c>
      <c r="D6060" s="17">
        <v>41917</v>
      </c>
      <c r="E6060" t="s">
        <v>1587</v>
      </c>
    </row>
    <row r="6061" spans="3:5">
      <c r="C6061">
        <v>91.92</v>
      </c>
      <c r="D6061" s="17">
        <v>42968</v>
      </c>
      <c r="E6061" t="s">
        <v>1081</v>
      </c>
    </row>
    <row r="6062" spans="3:5">
      <c r="C6062">
        <v>91.96</v>
      </c>
      <c r="D6062" s="17">
        <v>41735</v>
      </c>
      <c r="E6062" t="s">
        <v>288</v>
      </c>
    </row>
    <row r="6063" spans="3:5">
      <c r="C6063">
        <v>91.96</v>
      </c>
      <c r="D6063" s="17">
        <v>42085</v>
      </c>
      <c r="E6063" t="s">
        <v>288</v>
      </c>
    </row>
    <row r="6064" spans="3:5">
      <c r="C6064">
        <v>91.96</v>
      </c>
      <c r="D6064" s="17">
        <v>42505</v>
      </c>
      <c r="E6064" t="s">
        <v>1449</v>
      </c>
    </row>
    <row r="6065" spans="3:5">
      <c r="C6065">
        <v>91.96</v>
      </c>
      <c r="D6065" s="17">
        <v>42603</v>
      </c>
      <c r="E6065" t="s">
        <v>713</v>
      </c>
    </row>
    <row r="6066" spans="3:5">
      <c r="C6066">
        <v>91.96</v>
      </c>
      <c r="D6066" s="17">
        <v>42792</v>
      </c>
      <c r="E6066" t="s">
        <v>288</v>
      </c>
    </row>
    <row r="6067" spans="3:5">
      <c r="C6067">
        <v>91.96</v>
      </c>
      <c r="D6067" s="17">
        <v>42982</v>
      </c>
      <c r="E6067" t="s">
        <v>1135</v>
      </c>
    </row>
    <row r="6068" spans="3:5">
      <c r="C6068">
        <v>91.99</v>
      </c>
      <c r="D6068" s="17">
        <v>43070</v>
      </c>
      <c r="E6068" t="s">
        <v>1147</v>
      </c>
    </row>
    <row r="6069" spans="3:5">
      <c r="C6069">
        <v>92.063999999999979</v>
      </c>
      <c r="D6069" s="17">
        <v>42416</v>
      </c>
      <c r="E6069" t="s">
        <v>1779</v>
      </c>
    </row>
    <row r="6070" spans="3:5">
      <c r="C6070">
        <v>92.52</v>
      </c>
      <c r="D6070" s="17">
        <v>41882</v>
      </c>
      <c r="E6070" t="s">
        <v>1736</v>
      </c>
    </row>
    <row r="6071" spans="3:5">
      <c r="C6071">
        <v>92.52</v>
      </c>
      <c r="D6071" s="17">
        <v>41901</v>
      </c>
      <c r="E6071" t="s">
        <v>1160</v>
      </c>
    </row>
    <row r="6072" spans="3:5">
      <c r="C6072">
        <v>92.52</v>
      </c>
      <c r="D6072" s="17">
        <v>41952</v>
      </c>
      <c r="E6072" t="s">
        <v>1160</v>
      </c>
    </row>
    <row r="6073" spans="3:5">
      <c r="C6073">
        <v>92.52</v>
      </c>
      <c r="D6073" s="17">
        <v>43057</v>
      </c>
      <c r="E6073" t="s">
        <v>1160</v>
      </c>
    </row>
    <row r="6074" spans="3:5">
      <c r="C6074">
        <v>92.88000000000001</v>
      </c>
      <c r="D6074" s="17">
        <v>42848</v>
      </c>
      <c r="E6074" t="s">
        <v>204</v>
      </c>
    </row>
    <row r="6075" spans="3:5">
      <c r="C6075">
        <v>92.94</v>
      </c>
      <c r="D6075" s="17">
        <v>41866</v>
      </c>
      <c r="E6075" t="s">
        <v>863</v>
      </c>
    </row>
    <row r="6076" spans="3:5">
      <c r="C6076">
        <v>92.94</v>
      </c>
      <c r="D6076" s="17">
        <v>42316</v>
      </c>
      <c r="E6076" t="s">
        <v>278</v>
      </c>
    </row>
    <row r="6077" spans="3:5">
      <c r="C6077">
        <v>92.94</v>
      </c>
      <c r="D6077" s="17">
        <v>42533</v>
      </c>
      <c r="E6077" t="s">
        <v>1089</v>
      </c>
    </row>
    <row r="6078" spans="3:5">
      <c r="C6078">
        <v>92.94</v>
      </c>
      <c r="D6078" s="17">
        <v>42685</v>
      </c>
      <c r="E6078" t="s">
        <v>601</v>
      </c>
    </row>
    <row r="6079" spans="3:5">
      <c r="C6079">
        <v>92.94</v>
      </c>
      <c r="D6079" s="17">
        <v>43074</v>
      </c>
      <c r="E6079" t="s">
        <v>1500</v>
      </c>
    </row>
    <row r="6080" spans="3:5">
      <c r="C6080">
        <v>92.960000000000008</v>
      </c>
      <c r="D6080" s="17">
        <v>42355</v>
      </c>
      <c r="E6080" t="s">
        <v>366</v>
      </c>
    </row>
    <row r="6081" spans="3:5">
      <c r="C6081">
        <v>93.02</v>
      </c>
      <c r="D6081" s="17">
        <v>42404</v>
      </c>
      <c r="E6081" t="s">
        <v>370</v>
      </c>
    </row>
    <row r="6082" spans="3:5">
      <c r="C6082">
        <v>93.024000000000001</v>
      </c>
      <c r="D6082" s="17">
        <v>41854</v>
      </c>
      <c r="E6082" t="s">
        <v>1099</v>
      </c>
    </row>
    <row r="6083" spans="3:5">
      <c r="C6083">
        <v>93.024000000000001</v>
      </c>
      <c r="D6083" s="17">
        <v>42657</v>
      </c>
      <c r="E6083" t="s">
        <v>1669</v>
      </c>
    </row>
    <row r="6084" spans="3:5">
      <c r="C6084">
        <v>93.031999999999982</v>
      </c>
      <c r="D6084" s="17">
        <v>42639</v>
      </c>
      <c r="E6084" t="s">
        <v>365</v>
      </c>
    </row>
    <row r="6085" spans="3:5">
      <c r="C6085">
        <v>93.06</v>
      </c>
      <c r="D6085" s="17">
        <v>42671</v>
      </c>
      <c r="E6085" t="s">
        <v>1541</v>
      </c>
    </row>
    <row r="6086" spans="3:5">
      <c r="C6086">
        <v>93.149999999999991</v>
      </c>
      <c r="D6086" s="17">
        <v>41969</v>
      </c>
      <c r="E6086" t="s">
        <v>332</v>
      </c>
    </row>
    <row r="6087" spans="3:5">
      <c r="C6087">
        <v>93.248000000000005</v>
      </c>
      <c r="D6087" s="17">
        <v>42495</v>
      </c>
      <c r="E6087" t="s">
        <v>1759</v>
      </c>
    </row>
    <row r="6088" spans="3:5">
      <c r="C6088">
        <v>93.344000000000008</v>
      </c>
      <c r="D6088" s="17">
        <v>43065</v>
      </c>
      <c r="E6088" t="s">
        <v>757</v>
      </c>
    </row>
    <row r="6089" spans="3:5">
      <c r="C6089">
        <v>93.36</v>
      </c>
      <c r="D6089" s="17">
        <v>42650</v>
      </c>
      <c r="E6089" t="s">
        <v>1673</v>
      </c>
    </row>
    <row r="6090" spans="3:5">
      <c r="C6090">
        <v>93.456000000000003</v>
      </c>
      <c r="D6090" s="17">
        <v>42618</v>
      </c>
      <c r="E6090" t="s">
        <v>1644</v>
      </c>
    </row>
    <row r="6091" spans="3:5">
      <c r="C6091">
        <v>93.68</v>
      </c>
      <c r="D6091" s="17">
        <v>42544</v>
      </c>
      <c r="E6091" t="s">
        <v>88</v>
      </c>
    </row>
    <row r="6092" spans="3:5">
      <c r="C6092">
        <v>93.78</v>
      </c>
      <c r="D6092" s="17">
        <v>41715</v>
      </c>
      <c r="E6092" t="s">
        <v>376</v>
      </c>
    </row>
    <row r="6093" spans="3:5">
      <c r="C6093">
        <v>93.888000000000005</v>
      </c>
      <c r="D6093" s="17">
        <v>41934</v>
      </c>
      <c r="E6093" t="s">
        <v>1065</v>
      </c>
    </row>
    <row r="6094" spans="3:5">
      <c r="C6094">
        <v>93.98</v>
      </c>
      <c r="D6094" s="17">
        <v>42499</v>
      </c>
      <c r="E6094" t="s">
        <v>958</v>
      </c>
    </row>
    <row r="6095" spans="3:5">
      <c r="C6095">
        <v>94.191999999999979</v>
      </c>
      <c r="D6095" s="17">
        <v>42937</v>
      </c>
      <c r="E6095" t="s">
        <v>298</v>
      </c>
    </row>
    <row r="6096" spans="3:5">
      <c r="C6096">
        <v>94.199999999999989</v>
      </c>
      <c r="D6096" s="17">
        <v>42826</v>
      </c>
      <c r="E6096" t="s">
        <v>476</v>
      </c>
    </row>
    <row r="6097" spans="3:5">
      <c r="C6097">
        <v>94.2</v>
      </c>
      <c r="D6097" s="17">
        <v>42824</v>
      </c>
      <c r="E6097" t="s">
        <v>78</v>
      </c>
    </row>
    <row r="6098" spans="3:5">
      <c r="C6098">
        <v>94.427999999999997</v>
      </c>
      <c r="D6098" s="17">
        <v>41986</v>
      </c>
      <c r="E6098" t="s">
        <v>1811</v>
      </c>
    </row>
    <row r="6099" spans="3:5">
      <c r="C6099">
        <v>94.6</v>
      </c>
      <c r="D6099" s="17">
        <v>42264</v>
      </c>
      <c r="E6099" t="s">
        <v>1553</v>
      </c>
    </row>
    <row r="6100" spans="3:5">
      <c r="C6100">
        <v>94.679999999999993</v>
      </c>
      <c r="D6100" s="17">
        <v>42615</v>
      </c>
      <c r="E6100" t="s">
        <v>1614</v>
      </c>
    </row>
    <row r="6101" spans="3:5">
      <c r="C6101">
        <v>94.74</v>
      </c>
      <c r="D6101" s="17">
        <v>42369</v>
      </c>
      <c r="E6101" t="s">
        <v>516</v>
      </c>
    </row>
    <row r="6102" spans="3:5">
      <c r="C6102">
        <v>94.85</v>
      </c>
      <c r="D6102" s="17">
        <v>41952</v>
      </c>
      <c r="E6102" t="s">
        <v>238</v>
      </c>
    </row>
    <row r="6103" spans="3:5">
      <c r="C6103">
        <v>94.85</v>
      </c>
      <c r="D6103" s="17">
        <v>42279</v>
      </c>
      <c r="E6103" t="s">
        <v>1300</v>
      </c>
    </row>
    <row r="6104" spans="3:5">
      <c r="C6104">
        <v>94.85</v>
      </c>
      <c r="D6104" s="17">
        <v>42764</v>
      </c>
      <c r="E6104" t="s">
        <v>181</v>
      </c>
    </row>
    <row r="6105" spans="3:5">
      <c r="C6105">
        <v>94.85</v>
      </c>
      <c r="D6105" s="17">
        <v>42990</v>
      </c>
      <c r="E6105" t="s">
        <v>828</v>
      </c>
    </row>
    <row r="6106" spans="3:5">
      <c r="C6106">
        <v>94.919999999999987</v>
      </c>
      <c r="D6106" s="17">
        <v>42338</v>
      </c>
      <c r="E6106" t="s">
        <v>1152</v>
      </c>
    </row>
    <row r="6107" spans="3:5">
      <c r="C6107">
        <v>94.99</v>
      </c>
      <c r="D6107" s="17">
        <v>41964</v>
      </c>
      <c r="E6107" t="s">
        <v>1130</v>
      </c>
    </row>
    <row r="6108" spans="3:5">
      <c r="C6108">
        <v>94.992000000000004</v>
      </c>
      <c r="D6108" s="17">
        <v>42698</v>
      </c>
      <c r="E6108" t="s">
        <v>1168</v>
      </c>
    </row>
    <row r="6109" spans="3:5">
      <c r="C6109">
        <v>95.1</v>
      </c>
      <c r="D6109" s="17">
        <v>41876</v>
      </c>
      <c r="E6109" t="s">
        <v>379</v>
      </c>
    </row>
    <row r="6110" spans="3:5">
      <c r="C6110">
        <v>95.1</v>
      </c>
      <c r="D6110" s="17">
        <v>42512</v>
      </c>
      <c r="E6110" t="s">
        <v>379</v>
      </c>
    </row>
    <row r="6111" spans="3:5">
      <c r="C6111">
        <v>95.143999999999991</v>
      </c>
      <c r="D6111" s="17">
        <v>43010</v>
      </c>
      <c r="E6111" t="s">
        <v>993</v>
      </c>
    </row>
    <row r="6112" spans="3:5">
      <c r="C6112">
        <v>95.199999999999989</v>
      </c>
      <c r="D6112" s="17">
        <v>42576</v>
      </c>
      <c r="E6112" t="s">
        <v>1336</v>
      </c>
    </row>
    <row r="6113" spans="3:5">
      <c r="C6113">
        <v>95.231999999999999</v>
      </c>
      <c r="D6113" s="17">
        <v>43083</v>
      </c>
      <c r="E6113" t="s">
        <v>949</v>
      </c>
    </row>
    <row r="6114" spans="3:5">
      <c r="C6114">
        <v>95.616</v>
      </c>
      <c r="D6114" s="17">
        <v>42997</v>
      </c>
      <c r="E6114" t="s">
        <v>466</v>
      </c>
    </row>
    <row r="6115" spans="3:5">
      <c r="C6115">
        <v>95.64800000000001</v>
      </c>
      <c r="D6115" s="17">
        <v>41916</v>
      </c>
      <c r="E6115" t="s">
        <v>515</v>
      </c>
    </row>
    <row r="6116" spans="3:5">
      <c r="C6116">
        <v>95.68</v>
      </c>
      <c r="D6116" s="17">
        <v>42996</v>
      </c>
      <c r="E6116" t="s">
        <v>1224</v>
      </c>
    </row>
    <row r="6117" spans="3:5">
      <c r="C6117">
        <v>95.736000000000004</v>
      </c>
      <c r="D6117" s="17">
        <v>42835</v>
      </c>
      <c r="E6117" t="s">
        <v>520</v>
      </c>
    </row>
    <row r="6118" spans="3:5">
      <c r="C6118">
        <v>95.76</v>
      </c>
      <c r="D6118" s="17">
        <v>42563</v>
      </c>
      <c r="E6118" t="s">
        <v>338</v>
      </c>
    </row>
    <row r="6119" spans="3:5">
      <c r="C6119">
        <v>95.84</v>
      </c>
      <c r="D6119" s="17">
        <v>42064</v>
      </c>
      <c r="E6119" t="s">
        <v>1351</v>
      </c>
    </row>
    <row r="6120" spans="3:5">
      <c r="C6120">
        <v>95.84</v>
      </c>
      <c r="D6120" s="17">
        <v>43035</v>
      </c>
      <c r="E6120" t="s">
        <v>1351</v>
      </c>
    </row>
    <row r="6121" spans="3:5">
      <c r="C6121">
        <v>95.84</v>
      </c>
      <c r="D6121" s="17">
        <v>43079</v>
      </c>
      <c r="E6121" t="s">
        <v>1351</v>
      </c>
    </row>
    <row r="6122" spans="3:5">
      <c r="C6122">
        <v>95.88000000000001</v>
      </c>
      <c r="D6122" s="17">
        <v>42987</v>
      </c>
      <c r="E6122" t="s">
        <v>101</v>
      </c>
    </row>
    <row r="6123" spans="3:5">
      <c r="C6123">
        <v>95.92</v>
      </c>
      <c r="D6123" s="17">
        <v>42910</v>
      </c>
      <c r="E6123" t="s">
        <v>510</v>
      </c>
    </row>
    <row r="6124" spans="3:5">
      <c r="C6124">
        <v>95.94</v>
      </c>
      <c r="D6124" s="17">
        <v>41881</v>
      </c>
      <c r="E6124" t="s">
        <v>269</v>
      </c>
    </row>
    <row r="6125" spans="3:5">
      <c r="C6125">
        <v>95.94</v>
      </c>
      <c r="D6125" s="17">
        <v>43057</v>
      </c>
      <c r="E6125" t="s">
        <v>269</v>
      </c>
    </row>
    <row r="6126" spans="3:5">
      <c r="C6126">
        <v>95.94</v>
      </c>
      <c r="D6126" s="17">
        <v>43094</v>
      </c>
      <c r="E6126" t="s">
        <v>269</v>
      </c>
    </row>
    <row r="6127" spans="3:5">
      <c r="C6127">
        <v>95.951999999999998</v>
      </c>
      <c r="D6127" s="17">
        <v>42619</v>
      </c>
      <c r="E6127" t="s">
        <v>1465</v>
      </c>
    </row>
    <row r="6128" spans="3:5">
      <c r="C6128">
        <v>95.968000000000004</v>
      </c>
      <c r="D6128" s="17">
        <v>41811</v>
      </c>
      <c r="E6128" t="s">
        <v>108</v>
      </c>
    </row>
    <row r="6129" spans="3:5">
      <c r="C6129">
        <v>95.968000000000004</v>
      </c>
      <c r="D6129" s="17">
        <v>41974</v>
      </c>
      <c r="E6129" t="s">
        <v>1636</v>
      </c>
    </row>
    <row r="6130" spans="3:5">
      <c r="C6130">
        <v>95.968000000000004</v>
      </c>
      <c r="D6130" s="17">
        <v>42541</v>
      </c>
      <c r="E6130" t="s">
        <v>1210</v>
      </c>
    </row>
    <row r="6131" spans="3:5">
      <c r="C6131">
        <v>95.968000000000004</v>
      </c>
      <c r="D6131" s="17">
        <v>42685</v>
      </c>
      <c r="E6131" t="s">
        <v>694</v>
      </c>
    </row>
    <row r="6132" spans="3:5">
      <c r="C6132">
        <v>95.970000000000013</v>
      </c>
      <c r="D6132" s="17">
        <v>42341</v>
      </c>
      <c r="E6132" t="s">
        <v>1270</v>
      </c>
    </row>
    <row r="6133" spans="3:5">
      <c r="C6133">
        <v>95.976000000000013</v>
      </c>
      <c r="D6133" s="17">
        <v>41859</v>
      </c>
      <c r="E6133" t="s">
        <v>524</v>
      </c>
    </row>
    <row r="6134" spans="3:5">
      <c r="C6134">
        <v>95.976000000000013</v>
      </c>
      <c r="D6134" s="17">
        <v>42611</v>
      </c>
      <c r="E6134" t="s">
        <v>524</v>
      </c>
    </row>
    <row r="6135" spans="3:5">
      <c r="C6135">
        <v>95.976000000000013</v>
      </c>
      <c r="D6135" s="17">
        <v>43043</v>
      </c>
      <c r="E6135" t="s">
        <v>1244</v>
      </c>
    </row>
    <row r="6136" spans="3:5">
      <c r="C6136">
        <v>95.976000000000013</v>
      </c>
      <c r="D6136" s="17">
        <v>43069</v>
      </c>
      <c r="E6136" t="s">
        <v>524</v>
      </c>
    </row>
    <row r="6137" spans="3:5">
      <c r="C6137">
        <v>95.983999999999995</v>
      </c>
      <c r="D6137" s="17">
        <v>42468</v>
      </c>
      <c r="E6137" t="s">
        <v>656</v>
      </c>
    </row>
    <row r="6138" spans="3:5">
      <c r="C6138">
        <v>95.984000000000009</v>
      </c>
      <c r="D6138" s="17">
        <v>42758</v>
      </c>
      <c r="E6138" t="s">
        <v>155</v>
      </c>
    </row>
    <row r="6139" spans="3:5">
      <c r="C6139">
        <v>95.984000000000009</v>
      </c>
      <c r="D6139" s="17">
        <v>42948</v>
      </c>
      <c r="E6139" t="s">
        <v>169</v>
      </c>
    </row>
    <row r="6140" spans="3:5">
      <c r="C6140">
        <v>95.992000000000004</v>
      </c>
      <c r="D6140" s="17">
        <v>42874</v>
      </c>
      <c r="E6140" t="s">
        <v>727</v>
      </c>
    </row>
    <row r="6141" spans="3:5">
      <c r="C6141">
        <v>95.994000000000014</v>
      </c>
      <c r="D6141" s="17">
        <v>43049</v>
      </c>
      <c r="E6141" t="s">
        <v>1396</v>
      </c>
    </row>
    <row r="6142" spans="3:5">
      <c r="C6142">
        <v>96.08</v>
      </c>
      <c r="D6142" s="17">
        <v>42321</v>
      </c>
      <c r="E6142" t="s">
        <v>1092</v>
      </c>
    </row>
    <row r="6143" spans="3:5">
      <c r="C6143">
        <v>96.08</v>
      </c>
      <c r="D6143" s="17">
        <v>42618</v>
      </c>
      <c r="E6143" t="s">
        <v>208</v>
      </c>
    </row>
    <row r="6144" spans="3:5">
      <c r="C6144">
        <v>96.08</v>
      </c>
      <c r="D6144" s="17">
        <v>43094</v>
      </c>
      <c r="E6144" t="s">
        <v>208</v>
      </c>
    </row>
    <row r="6145" spans="3:5">
      <c r="C6145">
        <v>96.256</v>
      </c>
      <c r="D6145" s="17">
        <v>41910</v>
      </c>
      <c r="E6145" t="s">
        <v>1859</v>
      </c>
    </row>
    <row r="6146" spans="3:5">
      <c r="C6146">
        <v>96.359999999999985</v>
      </c>
      <c r="D6146" s="17">
        <v>43053</v>
      </c>
      <c r="E6146" t="s">
        <v>1033</v>
      </c>
    </row>
    <row r="6147" spans="3:5">
      <c r="C6147">
        <v>96.53</v>
      </c>
      <c r="D6147" s="17">
        <v>43048</v>
      </c>
      <c r="E6147" t="s">
        <v>1370</v>
      </c>
    </row>
    <row r="6148" spans="3:5">
      <c r="C6148">
        <v>96.783999999999978</v>
      </c>
      <c r="D6148" s="17">
        <v>43021</v>
      </c>
      <c r="E6148" t="s">
        <v>813</v>
      </c>
    </row>
    <row r="6149" spans="3:5">
      <c r="C6149">
        <v>96.960000000000008</v>
      </c>
      <c r="D6149" s="17">
        <v>42310</v>
      </c>
      <c r="E6149" t="s">
        <v>870</v>
      </c>
    </row>
    <row r="6150" spans="3:5">
      <c r="C6150">
        <v>97.04</v>
      </c>
      <c r="D6150" s="17">
        <v>42120</v>
      </c>
      <c r="E6150" t="s">
        <v>921</v>
      </c>
    </row>
    <row r="6151" spans="3:5">
      <c r="C6151">
        <v>97.16</v>
      </c>
      <c r="D6151" s="17">
        <v>42874</v>
      </c>
      <c r="E6151" t="s">
        <v>653</v>
      </c>
    </row>
    <row r="6152" spans="3:5">
      <c r="C6152">
        <v>97.184000000000012</v>
      </c>
      <c r="D6152" s="17">
        <v>42982</v>
      </c>
      <c r="E6152" t="s">
        <v>1144</v>
      </c>
    </row>
    <row r="6153" spans="3:5">
      <c r="C6153">
        <v>97.184000000000012</v>
      </c>
      <c r="D6153" s="17">
        <v>43085</v>
      </c>
      <c r="E6153" t="s">
        <v>1144</v>
      </c>
    </row>
    <row r="6154" spans="3:5">
      <c r="C6154">
        <v>97.263999999999982</v>
      </c>
      <c r="D6154" s="17">
        <v>42846</v>
      </c>
      <c r="E6154" t="s">
        <v>571</v>
      </c>
    </row>
    <row r="6155" spans="3:5">
      <c r="C6155">
        <v>97.3</v>
      </c>
      <c r="D6155" s="17">
        <v>43007</v>
      </c>
      <c r="E6155" t="s">
        <v>1277</v>
      </c>
    </row>
    <row r="6156" spans="3:5">
      <c r="C6156">
        <v>97.424000000000007</v>
      </c>
      <c r="D6156" s="17">
        <v>42343</v>
      </c>
      <c r="E6156" t="s">
        <v>1609</v>
      </c>
    </row>
    <row r="6157" spans="3:5">
      <c r="C6157">
        <v>97.44</v>
      </c>
      <c r="D6157" s="17">
        <v>41904</v>
      </c>
      <c r="E6157" t="s">
        <v>561</v>
      </c>
    </row>
    <row r="6158" spans="3:5">
      <c r="C6158">
        <v>97.567999999999998</v>
      </c>
      <c r="D6158" s="17">
        <v>42138</v>
      </c>
      <c r="E6158" t="s">
        <v>985</v>
      </c>
    </row>
    <row r="6159" spans="3:5">
      <c r="C6159">
        <v>97.567999999999998</v>
      </c>
      <c r="D6159" s="17">
        <v>43038</v>
      </c>
      <c r="E6159" t="s">
        <v>985</v>
      </c>
    </row>
    <row r="6160" spans="3:5">
      <c r="C6160">
        <v>97.696000000000012</v>
      </c>
      <c r="D6160" s="17">
        <v>42138</v>
      </c>
      <c r="E6160" t="s">
        <v>330</v>
      </c>
    </row>
    <row r="6161" spans="3:5">
      <c r="C6161">
        <v>97.82</v>
      </c>
      <c r="D6161" s="17">
        <v>41703</v>
      </c>
      <c r="E6161" t="s">
        <v>505</v>
      </c>
    </row>
    <row r="6162" spans="3:5">
      <c r="C6162">
        <v>97.82</v>
      </c>
      <c r="D6162" s="17">
        <v>42205</v>
      </c>
      <c r="E6162" t="s">
        <v>725</v>
      </c>
    </row>
    <row r="6163" spans="3:5">
      <c r="C6163">
        <v>97.82</v>
      </c>
      <c r="D6163" s="17">
        <v>42646</v>
      </c>
      <c r="E6163" t="s">
        <v>505</v>
      </c>
    </row>
    <row r="6164" spans="3:5">
      <c r="C6164">
        <v>97.82</v>
      </c>
      <c r="D6164" s="17">
        <v>42905</v>
      </c>
      <c r="E6164" t="s">
        <v>864</v>
      </c>
    </row>
    <row r="6165" spans="3:5">
      <c r="C6165">
        <v>97.84</v>
      </c>
      <c r="D6165" s="17">
        <v>42962</v>
      </c>
      <c r="E6165" t="s">
        <v>1056</v>
      </c>
    </row>
    <row r="6166" spans="3:5">
      <c r="C6166">
        <v>97.84</v>
      </c>
      <c r="D6166" s="17">
        <v>43007</v>
      </c>
      <c r="E6166" t="s">
        <v>1056</v>
      </c>
    </row>
    <row r="6167" spans="3:5">
      <c r="C6167">
        <v>97.88</v>
      </c>
      <c r="D6167" s="17">
        <v>42239</v>
      </c>
      <c r="E6167" t="s">
        <v>1125</v>
      </c>
    </row>
    <row r="6168" spans="3:5">
      <c r="C6168">
        <v>97.88</v>
      </c>
      <c r="D6168" s="17">
        <v>42350</v>
      </c>
      <c r="E6168" t="s">
        <v>199</v>
      </c>
    </row>
    <row r="6169" spans="3:5">
      <c r="C6169">
        <v>97.968000000000004</v>
      </c>
      <c r="D6169" s="17">
        <v>42112</v>
      </c>
      <c r="E6169" t="s">
        <v>1692</v>
      </c>
    </row>
    <row r="6170" spans="3:5">
      <c r="C6170">
        <v>97.98</v>
      </c>
      <c r="D6170" s="17">
        <v>42635</v>
      </c>
      <c r="E6170" t="s">
        <v>763</v>
      </c>
    </row>
    <row r="6171" spans="3:5">
      <c r="C6171">
        <v>97.984000000000009</v>
      </c>
      <c r="D6171" s="17">
        <v>42701</v>
      </c>
      <c r="E6171" t="s">
        <v>1612</v>
      </c>
    </row>
    <row r="6172" spans="3:5">
      <c r="C6172">
        <v>98.111999999999995</v>
      </c>
      <c r="D6172" s="17">
        <v>42099</v>
      </c>
      <c r="E6172" t="s">
        <v>1429</v>
      </c>
    </row>
    <row r="6173" spans="3:5">
      <c r="C6173">
        <v>98.16</v>
      </c>
      <c r="D6173" s="17">
        <v>42664</v>
      </c>
      <c r="E6173" t="s">
        <v>328</v>
      </c>
    </row>
    <row r="6174" spans="3:5">
      <c r="C6174">
        <v>98.16</v>
      </c>
      <c r="D6174" s="17">
        <v>42882</v>
      </c>
      <c r="E6174" t="s">
        <v>328</v>
      </c>
    </row>
    <row r="6175" spans="3:5">
      <c r="C6175">
        <v>98.16</v>
      </c>
      <c r="D6175" s="17">
        <v>42964</v>
      </c>
      <c r="E6175" t="s">
        <v>328</v>
      </c>
    </row>
    <row r="6176" spans="3:5">
      <c r="C6176">
        <v>98.16</v>
      </c>
      <c r="D6176" s="17">
        <v>43000</v>
      </c>
      <c r="E6176" t="s">
        <v>328</v>
      </c>
    </row>
    <row r="6177" spans="3:5">
      <c r="C6177">
        <v>98.21</v>
      </c>
      <c r="D6177" s="17">
        <v>42194</v>
      </c>
      <c r="E6177" t="s">
        <v>859</v>
      </c>
    </row>
    <row r="6178" spans="3:5">
      <c r="C6178">
        <v>98.328000000000003</v>
      </c>
      <c r="D6178" s="17">
        <v>42604</v>
      </c>
      <c r="E6178" t="s">
        <v>1268</v>
      </c>
    </row>
    <row r="6179" spans="3:5">
      <c r="C6179">
        <v>98.352000000000004</v>
      </c>
      <c r="D6179" s="17">
        <v>41932</v>
      </c>
      <c r="E6179" t="s">
        <v>1204</v>
      </c>
    </row>
    <row r="6180" spans="3:5">
      <c r="C6180">
        <v>98.352000000000004</v>
      </c>
      <c r="D6180" s="17">
        <v>42196</v>
      </c>
      <c r="E6180" t="s">
        <v>107</v>
      </c>
    </row>
    <row r="6181" spans="3:5">
      <c r="C6181">
        <v>98.352000000000004</v>
      </c>
      <c r="D6181" s="17">
        <v>42313</v>
      </c>
      <c r="E6181" t="s">
        <v>348</v>
      </c>
    </row>
    <row r="6182" spans="3:5">
      <c r="C6182">
        <v>98.352000000000004</v>
      </c>
      <c r="D6182" s="17">
        <v>42338</v>
      </c>
      <c r="E6182" t="s">
        <v>1488</v>
      </c>
    </row>
    <row r="6183" spans="3:5">
      <c r="C6183">
        <v>98.376000000000005</v>
      </c>
      <c r="D6183" s="17">
        <v>41978</v>
      </c>
      <c r="E6183" t="s">
        <v>210</v>
      </c>
    </row>
    <row r="6184" spans="3:5">
      <c r="C6184">
        <v>98.376000000000005</v>
      </c>
      <c r="D6184" s="17">
        <v>42094</v>
      </c>
      <c r="E6184" t="s">
        <v>825</v>
      </c>
    </row>
    <row r="6185" spans="3:5">
      <c r="C6185">
        <v>98.391999999999996</v>
      </c>
      <c r="D6185" s="17">
        <v>42633</v>
      </c>
      <c r="E6185" t="s">
        <v>281</v>
      </c>
    </row>
    <row r="6186" spans="3:5">
      <c r="C6186">
        <v>98.46</v>
      </c>
      <c r="D6186" s="17">
        <v>42210</v>
      </c>
      <c r="E6186" t="s">
        <v>1364</v>
      </c>
    </row>
    <row r="6187" spans="3:5">
      <c r="C6187">
        <v>99.13600000000001</v>
      </c>
      <c r="D6187" s="17">
        <v>42001</v>
      </c>
      <c r="E6187" t="s">
        <v>601</v>
      </c>
    </row>
    <row r="6188" spans="3:5">
      <c r="C6188">
        <v>99.13600000000001</v>
      </c>
      <c r="D6188" s="17">
        <v>42641</v>
      </c>
      <c r="E6188" t="s">
        <v>1500</v>
      </c>
    </row>
    <row r="6189" spans="3:5">
      <c r="C6189">
        <v>99.13600000000001</v>
      </c>
      <c r="D6189" s="17">
        <v>43058</v>
      </c>
      <c r="E6189" t="s">
        <v>601</v>
      </c>
    </row>
    <row r="6190" spans="3:5">
      <c r="C6190">
        <v>99.2</v>
      </c>
      <c r="D6190" s="17">
        <v>41841</v>
      </c>
      <c r="E6190" t="s">
        <v>1276</v>
      </c>
    </row>
    <row r="6191" spans="3:5">
      <c r="C6191">
        <v>99.2</v>
      </c>
      <c r="D6191" s="17">
        <v>42211</v>
      </c>
      <c r="E6191" t="s">
        <v>1276</v>
      </c>
    </row>
    <row r="6192" spans="3:5">
      <c r="C6192">
        <v>99.2</v>
      </c>
      <c r="D6192" s="17">
        <v>42274</v>
      </c>
      <c r="E6192" t="s">
        <v>1276</v>
      </c>
    </row>
    <row r="6193" spans="3:5">
      <c r="C6193">
        <v>99.2</v>
      </c>
      <c r="D6193" s="17">
        <v>43007</v>
      </c>
      <c r="E6193" t="s">
        <v>1276</v>
      </c>
    </row>
    <row r="6194" spans="3:5">
      <c r="C6194">
        <v>99.28</v>
      </c>
      <c r="D6194" s="17">
        <v>42849</v>
      </c>
      <c r="E6194" t="s">
        <v>590</v>
      </c>
    </row>
    <row r="6195" spans="3:5">
      <c r="C6195">
        <v>99.3</v>
      </c>
      <c r="D6195" s="17">
        <v>42993</v>
      </c>
      <c r="E6195" t="s">
        <v>391</v>
      </c>
    </row>
    <row r="6196" spans="3:5">
      <c r="C6196">
        <v>99.372</v>
      </c>
      <c r="D6196" s="17">
        <v>42068</v>
      </c>
      <c r="E6196" t="s">
        <v>721</v>
      </c>
    </row>
    <row r="6197" spans="3:5">
      <c r="C6197">
        <v>99.372</v>
      </c>
      <c r="D6197" s="17">
        <v>42450</v>
      </c>
      <c r="E6197" t="s">
        <v>1009</v>
      </c>
    </row>
    <row r="6198" spans="3:5">
      <c r="C6198">
        <v>99.372</v>
      </c>
      <c r="D6198" s="17">
        <v>42631</v>
      </c>
      <c r="E6198" t="s">
        <v>721</v>
      </c>
    </row>
    <row r="6199" spans="3:5">
      <c r="C6199">
        <v>99.390000000000015</v>
      </c>
      <c r="D6199" s="17">
        <v>42689</v>
      </c>
      <c r="E6199" t="s">
        <v>818</v>
      </c>
    </row>
    <row r="6200" spans="3:5">
      <c r="C6200">
        <v>99.390000000000015</v>
      </c>
      <c r="D6200" s="17">
        <v>43074</v>
      </c>
      <c r="E6200" t="s">
        <v>818</v>
      </c>
    </row>
    <row r="6201" spans="3:5">
      <c r="C6201">
        <v>99.488</v>
      </c>
      <c r="D6201" s="17">
        <v>42572</v>
      </c>
      <c r="E6201" t="s">
        <v>137</v>
      </c>
    </row>
    <row r="6202" spans="3:5">
      <c r="C6202">
        <v>99.54</v>
      </c>
      <c r="D6202" s="17">
        <v>42813</v>
      </c>
      <c r="E6202" t="s">
        <v>398</v>
      </c>
    </row>
    <row r="6203" spans="3:5">
      <c r="C6203">
        <v>99.567999999999998</v>
      </c>
      <c r="D6203" s="17">
        <v>42624</v>
      </c>
      <c r="E6203" t="s">
        <v>1695</v>
      </c>
    </row>
    <row r="6204" spans="3:5">
      <c r="C6204">
        <v>99.588000000000008</v>
      </c>
      <c r="D6204" s="17">
        <v>42237</v>
      </c>
      <c r="E6204" t="s">
        <v>750</v>
      </c>
    </row>
    <row r="6205" spans="3:5">
      <c r="C6205">
        <v>99.591999999999999</v>
      </c>
      <c r="D6205" s="17">
        <v>41737</v>
      </c>
      <c r="E6205" t="s">
        <v>627</v>
      </c>
    </row>
    <row r="6206" spans="3:5">
      <c r="C6206">
        <v>99.6</v>
      </c>
      <c r="D6206" s="17">
        <v>42111</v>
      </c>
      <c r="E6206" t="s">
        <v>1792</v>
      </c>
    </row>
    <row r="6207" spans="3:5">
      <c r="C6207">
        <v>99.6</v>
      </c>
      <c r="D6207" s="17">
        <v>42359</v>
      </c>
      <c r="E6207" t="s">
        <v>1792</v>
      </c>
    </row>
    <row r="6208" spans="3:5">
      <c r="C6208">
        <v>99.680000000000021</v>
      </c>
      <c r="D6208" s="17">
        <v>42975</v>
      </c>
      <c r="E6208" t="s">
        <v>1105</v>
      </c>
    </row>
    <row r="6209" spans="3:5">
      <c r="C6209">
        <v>99.695999999999998</v>
      </c>
      <c r="D6209" s="17">
        <v>42756</v>
      </c>
      <c r="E6209" t="s">
        <v>133</v>
      </c>
    </row>
    <row r="6210" spans="3:5">
      <c r="C6210">
        <v>99.846000000000004</v>
      </c>
      <c r="D6210" s="17">
        <v>42463</v>
      </c>
      <c r="E6210" t="s">
        <v>661</v>
      </c>
    </row>
    <row r="6211" spans="3:5">
      <c r="C6211">
        <v>99.87</v>
      </c>
      <c r="D6211" s="17">
        <v>42656</v>
      </c>
      <c r="E6211" t="s">
        <v>249</v>
      </c>
    </row>
    <row r="6212" spans="3:5">
      <c r="C6212">
        <v>99.87</v>
      </c>
      <c r="D6212" s="17">
        <v>42950</v>
      </c>
      <c r="E6212" t="s">
        <v>249</v>
      </c>
    </row>
    <row r="6213" spans="3:5">
      <c r="C6213">
        <v>99.87</v>
      </c>
      <c r="D6213" s="17">
        <v>42987</v>
      </c>
      <c r="E6213" t="s">
        <v>249</v>
      </c>
    </row>
    <row r="6214" spans="3:5">
      <c r="C6214">
        <v>99.9</v>
      </c>
      <c r="D6214" s="17">
        <v>42527</v>
      </c>
      <c r="E6214" t="s">
        <v>1749</v>
      </c>
    </row>
    <row r="6215" spans="3:5">
      <c r="C6215">
        <v>99.9</v>
      </c>
      <c r="D6215" s="17">
        <v>42933</v>
      </c>
      <c r="E6215" t="s">
        <v>973</v>
      </c>
    </row>
    <row r="6216" spans="3:5">
      <c r="C6216">
        <v>99.918000000000006</v>
      </c>
      <c r="D6216" s="17">
        <v>41805</v>
      </c>
      <c r="E6216" t="s">
        <v>112</v>
      </c>
    </row>
    <row r="6217" spans="3:5">
      <c r="C6217">
        <v>99.920000000000016</v>
      </c>
      <c r="D6217" s="17">
        <v>41758</v>
      </c>
      <c r="E6217" t="s">
        <v>1324</v>
      </c>
    </row>
    <row r="6218" spans="3:5">
      <c r="C6218">
        <v>99.949999999999989</v>
      </c>
      <c r="D6218" s="17">
        <v>43087</v>
      </c>
      <c r="E6218" t="s">
        <v>945</v>
      </c>
    </row>
    <row r="6219" spans="3:5">
      <c r="C6219">
        <v>99.98</v>
      </c>
      <c r="D6219" s="17">
        <v>41733</v>
      </c>
      <c r="E6219" t="s">
        <v>303</v>
      </c>
    </row>
    <row r="6220" spans="3:5">
      <c r="C6220">
        <v>99.98</v>
      </c>
      <c r="D6220" s="17">
        <v>41843</v>
      </c>
      <c r="E6220" t="s">
        <v>1397</v>
      </c>
    </row>
    <row r="6221" spans="3:5">
      <c r="C6221">
        <v>99.98</v>
      </c>
      <c r="D6221" s="17">
        <v>41917</v>
      </c>
      <c r="E6221" t="s">
        <v>173</v>
      </c>
    </row>
    <row r="6222" spans="3:5">
      <c r="C6222">
        <v>99.98</v>
      </c>
      <c r="D6222" s="17">
        <v>41960</v>
      </c>
      <c r="E6222" t="s">
        <v>1397</v>
      </c>
    </row>
    <row r="6223" spans="3:5">
      <c r="C6223">
        <v>99.98</v>
      </c>
      <c r="D6223" s="17">
        <v>41989</v>
      </c>
      <c r="E6223" t="s">
        <v>1397</v>
      </c>
    </row>
    <row r="6224" spans="3:5">
      <c r="C6224">
        <v>99.98</v>
      </c>
      <c r="D6224" s="17">
        <v>42392</v>
      </c>
      <c r="E6224" t="s">
        <v>303</v>
      </c>
    </row>
    <row r="6225" spans="3:5">
      <c r="C6225">
        <v>99.98</v>
      </c>
      <c r="D6225" s="17">
        <v>42797</v>
      </c>
      <c r="E6225" t="s">
        <v>303</v>
      </c>
    </row>
    <row r="6226" spans="3:5">
      <c r="C6226">
        <v>99.98</v>
      </c>
      <c r="D6226" s="17">
        <v>43044</v>
      </c>
      <c r="E6226" t="s">
        <v>1383</v>
      </c>
    </row>
    <row r="6227" spans="3:5">
      <c r="C6227">
        <v>99.99</v>
      </c>
      <c r="D6227" s="17">
        <v>41786</v>
      </c>
      <c r="E6227" t="s">
        <v>717</v>
      </c>
    </row>
    <row r="6228" spans="3:5">
      <c r="C6228">
        <v>99.99</v>
      </c>
      <c r="D6228" s="17">
        <v>42483</v>
      </c>
      <c r="E6228" t="s">
        <v>335</v>
      </c>
    </row>
    <row r="6229" spans="3:5">
      <c r="C6229">
        <v>99.99</v>
      </c>
      <c r="D6229" s="17">
        <v>42835</v>
      </c>
      <c r="E6229" t="s">
        <v>317</v>
      </c>
    </row>
    <row r="6230" spans="3:5">
      <c r="C6230">
        <v>99.99</v>
      </c>
      <c r="D6230" s="17">
        <v>43048</v>
      </c>
      <c r="E6230" t="s">
        <v>665</v>
      </c>
    </row>
    <row r="6231" spans="3:5">
      <c r="C6231">
        <v>100</v>
      </c>
      <c r="D6231" s="17">
        <v>42407</v>
      </c>
      <c r="E6231" t="s">
        <v>941</v>
      </c>
    </row>
    <row r="6232" spans="3:5">
      <c r="C6232">
        <v>100</v>
      </c>
      <c r="D6232" s="17">
        <v>42639</v>
      </c>
      <c r="E6232" t="s">
        <v>941</v>
      </c>
    </row>
    <row r="6233" spans="3:5">
      <c r="C6233">
        <v>100</v>
      </c>
      <c r="D6233" s="17">
        <v>42667</v>
      </c>
      <c r="E6233" t="s">
        <v>941</v>
      </c>
    </row>
    <row r="6234" spans="3:5">
      <c r="C6234">
        <v>100.24000000000001</v>
      </c>
      <c r="D6234" s="17">
        <v>41796</v>
      </c>
      <c r="E6234" t="s">
        <v>1466</v>
      </c>
    </row>
    <row r="6235" spans="3:5">
      <c r="C6235">
        <v>100.24000000000001</v>
      </c>
      <c r="D6235" s="17">
        <v>42612</v>
      </c>
      <c r="E6235" t="s">
        <v>1466</v>
      </c>
    </row>
    <row r="6236" spans="3:5">
      <c r="C6236">
        <v>100.49</v>
      </c>
      <c r="D6236" s="17">
        <v>42250</v>
      </c>
      <c r="E6236" t="s">
        <v>1836</v>
      </c>
    </row>
    <row r="6237" spans="3:5">
      <c r="C6237">
        <v>100.70400000000001</v>
      </c>
      <c r="D6237" s="17">
        <v>41982</v>
      </c>
      <c r="E6237" t="s">
        <v>1058</v>
      </c>
    </row>
    <row r="6238" spans="3:5">
      <c r="C6238">
        <v>100.70400000000001</v>
      </c>
      <c r="D6238" s="17">
        <v>42693</v>
      </c>
      <c r="E6238" t="s">
        <v>243</v>
      </c>
    </row>
    <row r="6239" spans="3:5">
      <c r="C6239">
        <v>100.70400000000001</v>
      </c>
      <c r="D6239" s="17">
        <v>42959</v>
      </c>
      <c r="E6239" t="s">
        <v>1051</v>
      </c>
    </row>
    <row r="6240" spans="3:5">
      <c r="C6240">
        <v>100.792</v>
      </c>
      <c r="D6240" s="17">
        <v>41770</v>
      </c>
      <c r="E6240" t="s">
        <v>1824</v>
      </c>
    </row>
    <row r="6241" spans="3:5">
      <c r="C6241">
        <v>100.792</v>
      </c>
      <c r="D6241" s="17">
        <v>42320</v>
      </c>
      <c r="E6241" t="s">
        <v>794</v>
      </c>
    </row>
    <row r="6242" spans="3:5">
      <c r="C6242">
        <v>100.80000000000001</v>
      </c>
      <c r="D6242" s="17">
        <v>42358</v>
      </c>
      <c r="E6242" t="s">
        <v>932</v>
      </c>
    </row>
    <row r="6243" spans="3:5">
      <c r="C6243">
        <v>100.80000000000001</v>
      </c>
      <c r="D6243" s="17">
        <v>42729</v>
      </c>
      <c r="E6243" t="s">
        <v>932</v>
      </c>
    </row>
    <row r="6244" spans="3:5">
      <c r="C6244">
        <v>100.80000000000001</v>
      </c>
      <c r="D6244" s="17">
        <v>42981</v>
      </c>
      <c r="E6244" t="s">
        <v>932</v>
      </c>
    </row>
    <row r="6245" spans="3:5">
      <c r="C6245">
        <v>100.94</v>
      </c>
      <c r="D6245" s="17">
        <v>43046</v>
      </c>
      <c r="E6245" t="s">
        <v>1392</v>
      </c>
    </row>
    <row r="6246" spans="3:5">
      <c r="C6246">
        <v>101.12</v>
      </c>
      <c r="D6246" s="17">
        <v>43098</v>
      </c>
      <c r="E6246" t="s">
        <v>802</v>
      </c>
    </row>
    <row r="6247" spans="3:5">
      <c r="C6247">
        <v>101.34</v>
      </c>
      <c r="D6247" s="17">
        <v>42903</v>
      </c>
      <c r="E6247" t="s">
        <v>862</v>
      </c>
    </row>
    <row r="6248" spans="3:5">
      <c r="C6248">
        <v>101.34</v>
      </c>
      <c r="D6248" s="17">
        <v>42996</v>
      </c>
      <c r="E6248" t="s">
        <v>862</v>
      </c>
    </row>
    <row r="6249" spans="3:5">
      <c r="C6249">
        <v>101.4</v>
      </c>
      <c r="D6249" s="17">
        <v>43044</v>
      </c>
      <c r="E6249" t="s">
        <v>440</v>
      </c>
    </row>
    <row r="6250" spans="3:5">
      <c r="C6250">
        <v>101.52000000000001</v>
      </c>
      <c r="D6250" s="17">
        <v>43068</v>
      </c>
      <c r="E6250" t="s">
        <v>1467</v>
      </c>
    </row>
    <row r="6251" spans="3:5">
      <c r="C6251">
        <v>101.69999999999999</v>
      </c>
      <c r="D6251" s="17">
        <v>42702</v>
      </c>
      <c r="E6251" t="s">
        <v>528</v>
      </c>
    </row>
    <row r="6252" spans="3:5">
      <c r="C6252">
        <v>101.84</v>
      </c>
      <c r="D6252" s="17">
        <v>43020</v>
      </c>
      <c r="E6252" t="s">
        <v>457</v>
      </c>
    </row>
    <row r="6253" spans="3:5">
      <c r="C6253">
        <v>101.88</v>
      </c>
      <c r="D6253" s="17">
        <v>42065</v>
      </c>
      <c r="E6253" t="s">
        <v>496</v>
      </c>
    </row>
    <row r="6254" spans="3:5">
      <c r="C6254">
        <v>101.94</v>
      </c>
      <c r="D6254" s="17">
        <v>42348</v>
      </c>
      <c r="E6254" t="s">
        <v>871</v>
      </c>
    </row>
    <row r="6255" spans="3:5">
      <c r="C6255">
        <v>101.94</v>
      </c>
      <c r="D6255" s="17">
        <v>42665</v>
      </c>
      <c r="E6255" t="s">
        <v>1663</v>
      </c>
    </row>
    <row r="6256" spans="3:5">
      <c r="C6256">
        <v>101.94</v>
      </c>
      <c r="D6256" s="17">
        <v>42937</v>
      </c>
      <c r="E6256" t="s">
        <v>993</v>
      </c>
    </row>
    <row r="6257" spans="3:5">
      <c r="C6257">
        <v>101.96</v>
      </c>
      <c r="D6257" s="17">
        <v>41855</v>
      </c>
      <c r="E6257" t="s">
        <v>648</v>
      </c>
    </row>
    <row r="6258" spans="3:5">
      <c r="C6258">
        <v>101.98799999999999</v>
      </c>
      <c r="D6258" s="17">
        <v>42353</v>
      </c>
      <c r="E6258" t="s">
        <v>1411</v>
      </c>
    </row>
    <row r="6259" spans="3:5">
      <c r="C6259">
        <v>101.99400000000001</v>
      </c>
      <c r="D6259" s="17">
        <v>41922</v>
      </c>
      <c r="E6259" t="s">
        <v>1874</v>
      </c>
    </row>
    <row r="6260" spans="3:5">
      <c r="C6260">
        <v>102.01800000000001</v>
      </c>
      <c r="D6260" s="17">
        <v>43088</v>
      </c>
      <c r="E6260" t="s">
        <v>850</v>
      </c>
    </row>
    <row r="6261" spans="3:5">
      <c r="C6261">
        <v>102.13</v>
      </c>
      <c r="D6261" s="17">
        <v>41954</v>
      </c>
      <c r="E6261" t="s">
        <v>1814</v>
      </c>
    </row>
    <row r="6262" spans="3:5">
      <c r="C6262">
        <v>102.24000000000001</v>
      </c>
      <c r="D6262" s="17">
        <v>41973</v>
      </c>
      <c r="E6262" t="s">
        <v>1002</v>
      </c>
    </row>
    <row r="6263" spans="3:5">
      <c r="C6263">
        <v>102.3</v>
      </c>
      <c r="D6263" s="17">
        <v>42919</v>
      </c>
      <c r="E6263" t="s">
        <v>508</v>
      </c>
    </row>
    <row r="6264" spans="3:5">
      <c r="C6264">
        <v>102.30000000000001</v>
      </c>
      <c r="D6264" s="17">
        <v>41854</v>
      </c>
      <c r="E6264" t="s">
        <v>907</v>
      </c>
    </row>
    <row r="6265" spans="3:5">
      <c r="C6265">
        <v>102.33600000000001</v>
      </c>
      <c r="D6265" s="17">
        <v>42481</v>
      </c>
      <c r="E6265" t="s">
        <v>269</v>
      </c>
    </row>
    <row r="6266" spans="3:5">
      <c r="C6266">
        <v>102.33600000000001</v>
      </c>
      <c r="D6266" s="17">
        <v>43072</v>
      </c>
      <c r="E6266" t="s">
        <v>811</v>
      </c>
    </row>
    <row r="6267" spans="3:5">
      <c r="C6267">
        <v>102.35999999999999</v>
      </c>
      <c r="D6267" s="17">
        <v>42321</v>
      </c>
      <c r="E6267" t="s">
        <v>486</v>
      </c>
    </row>
    <row r="6268" spans="3:5">
      <c r="C6268">
        <v>102.35999999999999</v>
      </c>
      <c r="D6268" s="17">
        <v>42437</v>
      </c>
      <c r="E6268" t="s">
        <v>486</v>
      </c>
    </row>
    <row r="6269" spans="3:5">
      <c r="C6269">
        <v>102.36799999999999</v>
      </c>
      <c r="D6269" s="17">
        <v>42912</v>
      </c>
      <c r="E6269" t="s">
        <v>314</v>
      </c>
    </row>
    <row r="6270" spans="3:5">
      <c r="C6270">
        <v>102.438</v>
      </c>
      <c r="D6270" s="17">
        <v>42023</v>
      </c>
      <c r="E6270" t="s">
        <v>909</v>
      </c>
    </row>
    <row r="6271" spans="3:5">
      <c r="C6271">
        <v>102.58200000000001</v>
      </c>
      <c r="D6271" s="17">
        <v>42272</v>
      </c>
      <c r="E6271" t="s">
        <v>896</v>
      </c>
    </row>
    <row r="6272" spans="3:5">
      <c r="C6272">
        <v>102.59200000000001</v>
      </c>
      <c r="D6272" s="17">
        <v>42657</v>
      </c>
      <c r="E6272" t="s">
        <v>361</v>
      </c>
    </row>
    <row r="6273" spans="3:5">
      <c r="C6273">
        <v>102.624</v>
      </c>
      <c r="D6273" s="17">
        <v>41785</v>
      </c>
      <c r="E6273" t="s">
        <v>960</v>
      </c>
    </row>
    <row r="6274" spans="3:5">
      <c r="C6274">
        <v>102.72</v>
      </c>
      <c r="D6274" s="17">
        <v>42966</v>
      </c>
      <c r="E6274" t="s">
        <v>628</v>
      </c>
    </row>
    <row r="6275" spans="3:5">
      <c r="C6275">
        <v>102.833</v>
      </c>
      <c r="D6275" s="17">
        <v>42841</v>
      </c>
      <c r="E6275" t="s">
        <v>547</v>
      </c>
    </row>
    <row r="6276" spans="3:5">
      <c r="C6276">
        <v>102.93</v>
      </c>
      <c r="D6276" s="17">
        <v>42910</v>
      </c>
      <c r="E6276" t="s">
        <v>887</v>
      </c>
    </row>
    <row r="6277" spans="3:5">
      <c r="C6277">
        <v>102.93</v>
      </c>
      <c r="D6277" s="17">
        <v>42964</v>
      </c>
      <c r="E6277" t="s">
        <v>887</v>
      </c>
    </row>
    <row r="6278" spans="3:5">
      <c r="C6278">
        <v>102.96</v>
      </c>
      <c r="D6278" s="17">
        <v>42897</v>
      </c>
      <c r="E6278" t="s">
        <v>546</v>
      </c>
    </row>
    <row r="6279" spans="3:5">
      <c r="C6279">
        <v>103.05599999999998</v>
      </c>
      <c r="D6279" s="17">
        <v>43002</v>
      </c>
      <c r="E6279" t="s">
        <v>271</v>
      </c>
    </row>
    <row r="6280" spans="3:5">
      <c r="C6280">
        <v>103.12</v>
      </c>
      <c r="D6280" s="17">
        <v>42905</v>
      </c>
      <c r="E6280" t="s">
        <v>865</v>
      </c>
    </row>
    <row r="6281" spans="3:5">
      <c r="C6281">
        <v>103.19200000000001</v>
      </c>
      <c r="D6281" s="17">
        <v>43016</v>
      </c>
      <c r="E6281" t="s">
        <v>325</v>
      </c>
    </row>
    <row r="6282" spans="3:5">
      <c r="C6282">
        <v>103.48100000000001</v>
      </c>
      <c r="D6282" s="17">
        <v>42244</v>
      </c>
      <c r="E6282" t="s">
        <v>962</v>
      </c>
    </row>
    <row r="6283" spans="3:5">
      <c r="C6283">
        <v>103.50000000000001</v>
      </c>
      <c r="D6283" s="17">
        <v>42798</v>
      </c>
      <c r="E6283" t="s">
        <v>308</v>
      </c>
    </row>
    <row r="6284" spans="3:5">
      <c r="C6284">
        <v>103.60000000000001</v>
      </c>
      <c r="D6284" s="17">
        <v>41891</v>
      </c>
      <c r="E6284" t="s">
        <v>817</v>
      </c>
    </row>
    <row r="6285" spans="3:5">
      <c r="C6285">
        <v>103.60000000000001</v>
      </c>
      <c r="D6285" s="17">
        <v>42595</v>
      </c>
      <c r="E6285" t="s">
        <v>817</v>
      </c>
    </row>
    <row r="6286" spans="3:5">
      <c r="C6286">
        <v>103.92</v>
      </c>
      <c r="D6286" s="17">
        <v>42353</v>
      </c>
      <c r="E6286" t="s">
        <v>1026</v>
      </c>
    </row>
    <row r="6287" spans="3:5">
      <c r="C6287">
        <v>103.92000000000002</v>
      </c>
      <c r="D6287" s="17">
        <v>41981</v>
      </c>
      <c r="E6287" t="s">
        <v>549</v>
      </c>
    </row>
    <row r="6288" spans="3:5">
      <c r="C6288">
        <v>103.93599999999999</v>
      </c>
      <c r="D6288" s="17">
        <v>41897</v>
      </c>
      <c r="E6288" t="s">
        <v>614</v>
      </c>
    </row>
    <row r="6289" spans="3:5">
      <c r="C6289">
        <v>103.96799999999999</v>
      </c>
      <c r="D6289" s="17">
        <v>42692</v>
      </c>
      <c r="E6289" t="s">
        <v>1633</v>
      </c>
    </row>
    <row r="6290" spans="3:5">
      <c r="C6290">
        <v>104.01</v>
      </c>
      <c r="D6290" s="17">
        <v>41811</v>
      </c>
      <c r="E6290" t="s">
        <v>741</v>
      </c>
    </row>
    <row r="6291" spans="3:5">
      <c r="C6291">
        <v>104.184</v>
      </c>
      <c r="D6291" s="17">
        <v>42706</v>
      </c>
      <c r="E6291" t="s">
        <v>550</v>
      </c>
    </row>
    <row r="6292" spans="3:5">
      <c r="C6292">
        <v>104.23</v>
      </c>
      <c r="D6292" s="17">
        <v>42231</v>
      </c>
      <c r="E6292" t="s">
        <v>262</v>
      </c>
    </row>
    <row r="6293" spans="3:5">
      <c r="C6293">
        <v>104.28</v>
      </c>
      <c r="D6293" s="17">
        <v>42508</v>
      </c>
      <c r="E6293" t="s">
        <v>662</v>
      </c>
    </row>
    <row r="6294" spans="3:5">
      <c r="C6294">
        <v>104.28</v>
      </c>
      <c r="D6294" s="17">
        <v>42864</v>
      </c>
      <c r="E6294" t="s">
        <v>662</v>
      </c>
    </row>
    <row r="6295" spans="3:5">
      <c r="C6295">
        <v>104.57999999999998</v>
      </c>
      <c r="D6295" s="17">
        <v>41770</v>
      </c>
      <c r="E6295" t="s">
        <v>366</v>
      </c>
    </row>
    <row r="6296" spans="3:5">
      <c r="C6296">
        <v>104.58000000000001</v>
      </c>
      <c r="D6296" s="17">
        <v>42373</v>
      </c>
      <c r="E6296" t="s">
        <v>366</v>
      </c>
    </row>
    <row r="6297" spans="3:5">
      <c r="C6297">
        <v>104.68000000000002</v>
      </c>
      <c r="D6297" s="17">
        <v>43070</v>
      </c>
      <c r="E6297" t="s">
        <v>1476</v>
      </c>
    </row>
    <row r="6298" spans="3:5">
      <c r="C6298">
        <v>104.69600000000001</v>
      </c>
      <c r="D6298" s="17">
        <v>42439</v>
      </c>
      <c r="E6298" t="s">
        <v>1217</v>
      </c>
    </row>
    <row r="6299" spans="3:5">
      <c r="C6299">
        <v>104.75</v>
      </c>
      <c r="D6299" s="17">
        <v>43009</v>
      </c>
      <c r="E6299" t="s">
        <v>965</v>
      </c>
    </row>
    <row r="6300" spans="3:5">
      <c r="C6300">
        <v>104.78399999999999</v>
      </c>
      <c r="D6300" s="17">
        <v>42678</v>
      </c>
      <c r="E6300" t="s">
        <v>695</v>
      </c>
    </row>
    <row r="6301" spans="3:5">
      <c r="C6301">
        <v>104.79</v>
      </c>
      <c r="D6301" s="17">
        <v>42146</v>
      </c>
      <c r="E6301" t="s">
        <v>1664</v>
      </c>
    </row>
    <row r="6302" spans="3:5">
      <c r="C6302">
        <v>104.79</v>
      </c>
      <c r="D6302" s="17">
        <v>42664</v>
      </c>
      <c r="E6302" t="s">
        <v>1664</v>
      </c>
    </row>
    <row r="6303" spans="3:5">
      <c r="C6303">
        <v>104.80000000000001</v>
      </c>
      <c r="D6303" s="17">
        <v>42954</v>
      </c>
      <c r="E6303" t="s">
        <v>127</v>
      </c>
    </row>
    <row r="6304" spans="3:5">
      <c r="C6304">
        <v>104.85</v>
      </c>
      <c r="D6304" s="17">
        <v>41840</v>
      </c>
      <c r="E6304" t="s">
        <v>212</v>
      </c>
    </row>
    <row r="6305" spans="3:5">
      <c r="C6305">
        <v>104.85</v>
      </c>
      <c r="D6305" s="17">
        <v>42545</v>
      </c>
      <c r="E6305" t="s">
        <v>212</v>
      </c>
    </row>
    <row r="6306" spans="3:5">
      <c r="C6306">
        <v>104.85</v>
      </c>
      <c r="D6306" s="17">
        <v>42708</v>
      </c>
      <c r="E6306" t="s">
        <v>514</v>
      </c>
    </row>
    <row r="6307" spans="3:5">
      <c r="C6307">
        <v>104.85</v>
      </c>
      <c r="D6307" s="17">
        <v>43009</v>
      </c>
      <c r="E6307" t="s">
        <v>514</v>
      </c>
    </row>
    <row r="6308" spans="3:5">
      <c r="C6308">
        <v>104.85000000000001</v>
      </c>
      <c r="D6308" s="17">
        <v>41889</v>
      </c>
      <c r="E6308" t="s">
        <v>1243</v>
      </c>
    </row>
    <row r="6309" spans="3:5">
      <c r="C6309">
        <v>104.85000000000001</v>
      </c>
      <c r="D6309" s="17">
        <v>42405</v>
      </c>
      <c r="E6309" t="s">
        <v>1243</v>
      </c>
    </row>
    <row r="6310" spans="3:5">
      <c r="C6310">
        <v>104.85000000000001</v>
      </c>
      <c r="D6310" s="17">
        <v>42998</v>
      </c>
      <c r="E6310" t="s">
        <v>1243</v>
      </c>
    </row>
    <row r="6311" spans="3:5">
      <c r="C6311">
        <v>104.88</v>
      </c>
      <c r="D6311" s="17">
        <v>43078</v>
      </c>
      <c r="E6311" t="s">
        <v>678</v>
      </c>
    </row>
    <row r="6312" spans="3:5">
      <c r="C6312">
        <v>104.9</v>
      </c>
      <c r="D6312" s="17">
        <v>42334</v>
      </c>
      <c r="E6312" t="s">
        <v>1035</v>
      </c>
    </row>
    <row r="6313" spans="3:5">
      <c r="C6313">
        <v>104.9</v>
      </c>
      <c r="D6313" s="17">
        <v>42679</v>
      </c>
      <c r="E6313" t="s">
        <v>567</v>
      </c>
    </row>
    <row r="6314" spans="3:5">
      <c r="C6314">
        <v>104.93</v>
      </c>
      <c r="D6314" s="17">
        <v>42150</v>
      </c>
      <c r="E6314" t="s">
        <v>1568</v>
      </c>
    </row>
    <row r="6315" spans="3:5">
      <c r="C6315">
        <v>104.97</v>
      </c>
      <c r="D6315" s="17">
        <v>42335</v>
      </c>
      <c r="E6315" t="s">
        <v>1050</v>
      </c>
    </row>
    <row r="6316" spans="3:5">
      <c r="C6316">
        <v>104.98</v>
      </c>
      <c r="D6316" s="17">
        <v>42272</v>
      </c>
      <c r="E6316" t="s">
        <v>919</v>
      </c>
    </row>
    <row r="6317" spans="3:5">
      <c r="C6317">
        <v>105.42</v>
      </c>
      <c r="D6317" s="17">
        <v>42365</v>
      </c>
      <c r="E6317" t="s">
        <v>1650</v>
      </c>
    </row>
    <row r="6318" spans="3:5">
      <c r="C6318">
        <v>105.52</v>
      </c>
      <c r="D6318" s="17">
        <v>41980</v>
      </c>
      <c r="E6318" t="s">
        <v>1004</v>
      </c>
    </row>
    <row r="6319" spans="3:5">
      <c r="C6319">
        <v>105.52</v>
      </c>
      <c r="D6319" s="17">
        <v>42085</v>
      </c>
      <c r="E6319" t="s">
        <v>296</v>
      </c>
    </row>
    <row r="6320" spans="3:5">
      <c r="C6320">
        <v>105.52</v>
      </c>
      <c r="D6320" s="17">
        <v>42155</v>
      </c>
      <c r="E6320" t="s">
        <v>320</v>
      </c>
    </row>
    <row r="6321" spans="3:5">
      <c r="C6321">
        <v>105.52</v>
      </c>
      <c r="D6321" s="17">
        <v>42401</v>
      </c>
      <c r="E6321" t="s">
        <v>320</v>
      </c>
    </row>
    <row r="6322" spans="3:5">
      <c r="C6322">
        <v>105.52</v>
      </c>
      <c r="D6322" s="17">
        <v>42527</v>
      </c>
      <c r="E6322" t="s">
        <v>1177</v>
      </c>
    </row>
    <row r="6323" spans="3:5">
      <c r="C6323">
        <v>105.52</v>
      </c>
      <c r="D6323" s="17">
        <v>42566</v>
      </c>
      <c r="E6323" t="s">
        <v>1004</v>
      </c>
    </row>
    <row r="6324" spans="3:5">
      <c r="C6324">
        <v>105.55199999999999</v>
      </c>
      <c r="D6324" s="17">
        <v>42596</v>
      </c>
      <c r="E6324" t="s">
        <v>1717</v>
      </c>
    </row>
    <row r="6325" spans="3:5">
      <c r="C6325">
        <v>105.584</v>
      </c>
      <c r="D6325" s="17">
        <v>41740</v>
      </c>
      <c r="E6325" t="s">
        <v>1473</v>
      </c>
    </row>
    <row r="6326" spans="3:5">
      <c r="C6326">
        <v>105.584</v>
      </c>
      <c r="D6326" s="17">
        <v>42303</v>
      </c>
      <c r="E6326" t="s">
        <v>782</v>
      </c>
    </row>
    <row r="6327" spans="3:5">
      <c r="C6327">
        <v>105.584</v>
      </c>
      <c r="D6327" s="17">
        <v>42341</v>
      </c>
      <c r="E6327" t="s">
        <v>782</v>
      </c>
    </row>
    <row r="6328" spans="3:5">
      <c r="C6328">
        <v>105.584</v>
      </c>
      <c r="D6328" s="17">
        <v>42630</v>
      </c>
      <c r="E6328" t="s">
        <v>852</v>
      </c>
    </row>
    <row r="6329" spans="3:5">
      <c r="C6329">
        <v>105.584</v>
      </c>
      <c r="D6329" s="17">
        <v>43070</v>
      </c>
      <c r="E6329" t="s">
        <v>1473</v>
      </c>
    </row>
    <row r="6330" spans="3:5">
      <c r="C6330">
        <v>105.68599999999999</v>
      </c>
      <c r="D6330" s="17">
        <v>42150</v>
      </c>
      <c r="E6330" t="s">
        <v>191</v>
      </c>
    </row>
    <row r="6331" spans="3:5">
      <c r="C6331">
        <v>105.96</v>
      </c>
      <c r="D6331" s="17">
        <v>42241</v>
      </c>
      <c r="E6331" t="s">
        <v>1481</v>
      </c>
    </row>
    <row r="6332" spans="3:5">
      <c r="C6332">
        <v>105.98</v>
      </c>
      <c r="D6332" s="17">
        <v>42062</v>
      </c>
      <c r="E6332" t="s">
        <v>1285</v>
      </c>
    </row>
    <row r="6333" spans="3:5">
      <c r="C6333">
        <v>105.98</v>
      </c>
      <c r="D6333" s="17">
        <v>42259</v>
      </c>
      <c r="E6333" t="s">
        <v>1723</v>
      </c>
    </row>
    <row r="6334" spans="3:5">
      <c r="C6334">
        <v>105.98</v>
      </c>
      <c r="D6334" s="17">
        <v>43038</v>
      </c>
      <c r="E6334" t="s">
        <v>797</v>
      </c>
    </row>
    <row r="6335" spans="3:5">
      <c r="C6335">
        <v>106.05</v>
      </c>
      <c r="D6335" s="17">
        <v>42377</v>
      </c>
      <c r="E6335" t="s">
        <v>1235</v>
      </c>
    </row>
    <row r="6336" spans="3:5">
      <c r="C6336">
        <v>106.08000000000001</v>
      </c>
      <c r="D6336" s="17">
        <v>42664</v>
      </c>
      <c r="E6336" t="s">
        <v>777</v>
      </c>
    </row>
    <row r="6337" spans="3:5">
      <c r="C6337">
        <v>106.232</v>
      </c>
      <c r="D6337" s="17">
        <v>42362</v>
      </c>
      <c r="E6337" t="s">
        <v>1300</v>
      </c>
    </row>
    <row r="6338" spans="3:5">
      <c r="C6338">
        <v>106.32</v>
      </c>
      <c r="D6338" s="17">
        <v>42013</v>
      </c>
      <c r="E6338" t="s">
        <v>296</v>
      </c>
    </row>
    <row r="6339" spans="3:5">
      <c r="C6339">
        <v>106.32</v>
      </c>
      <c r="D6339" s="17">
        <v>42325</v>
      </c>
      <c r="E6339" t="s">
        <v>296</v>
      </c>
    </row>
    <row r="6340" spans="3:5">
      <c r="C6340">
        <v>106.32</v>
      </c>
      <c r="D6340" s="17">
        <v>42729</v>
      </c>
      <c r="E6340" t="s">
        <v>1046</v>
      </c>
    </row>
    <row r="6341" spans="3:5">
      <c r="C6341">
        <v>106.32</v>
      </c>
      <c r="D6341" s="17">
        <v>42831</v>
      </c>
      <c r="E6341" t="s">
        <v>296</v>
      </c>
    </row>
    <row r="6342" spans="3:5">
      <c r="C6342">
        <v>106.32</v>
      </c>
      <c r="D6342" s="17">
        <v>42995</v>
      </c>
      <c r="E6342" t="s">
        <v>296</v>
      </c>
    </row>
    <row r="6343" spans="3:5">
      <c r="C6343">
        <v>106.34399999999999</v>
      </c>
      <c r="D6343" s="17">
        <v>41983</v>
      </c>
      <c r="E6343" t="s">
        <v>709</v>
      </c>
    </row>
    <row r="6344" spans="3:5">
      <c r="C6344">
        <v>106.5</v>
      </c>
      <c r="D6344" s="17">
        <v>42112</v>
      </c>
      <c r="E6344" t="s">
        <v>441</v>
      </c>
    </row>
    <row r="6345" spans="3:5">
      <c r="C6345">
        <v>106.68</v>
      </c>
      <c r="D6345" s="17">
        <v>42257</v>
      </c>
      <c r="E6345" t="s">
        <v>915</v>
      </c>
    </row>
    <row r="6346" spans="3:5">
      <c r="C6346">
        <v>106.75</v>
      </c>
      <c r="D6346" s="17">
        <v>42205</v>
      </c>
      <c r="E6346" t="s">
        <v>307</v>
      </c>
    </row>
    <row r="6347" spans="3:5">
      <c r="C6347">
        <v>106.8</v>
      </c>
      <c r="D6347" s="17">
        <v>42223</v>
      </c>
      <c r="E6347" t="s">
        <v>1804</v>
      </c>
    </row>
    <row r="6348" spans="3:5">
      <c r="C6348">
        <v>106.869</v>
      </c>
      <c r="D6348" s="17">
        <v>42883</v>
      </c>
      <c r="E6348" t="s">
        <v>762</v>
      </c>
    </row>
    <row r="6349" spans="3:5">
      <c r="C6349">
        <v>106.96</v>
      </c>
      <c r="D6349" s="17">
        <v>41744</v>
      </c>
      <c r="E6349" t="s">
        <v>908</v>
      </c>
    </row>
    <row r="6350" spans="3:5">
      <c r="C6350">
        <v>106.96</v>
      </c>
      <c r="D6350" s="17">
        <v>42365</v>
      </c>
      <c r="E6350" t="s">
        <v>908</v>
      </c>
    </row>
    <row r="6351" spans="3:5">
      <c r="C6351">
        <v>107.11799999999999</v>
      </c>
      <c r="D6351" s="17">
        <v>42016</v>
      </c>
      <c r="E6351" t="s">
        <v>495</v>
      </c>
    </row>
    <row r="6352" spans="3:5">
      <c r="C6352">
        <v>107.42400000000001</v>
      </c>
      <c r="D6352" s="17">
        <v>42965</v>
      </c>
      <c r="E6352" t="s">
        <v>749</v>
      </c>
    </row>
    <row r="6353" spans="3:5">
      <c r="C6353">
        <v>107.42400000000001</v>
      </c>
      <c r="D6353" s="17">
        <v>43066</v>
      </c>
      <c r="E6353" t="s">
        <v>141</v>
      </c>
    </row>
    <row r="6354" spans="3:5">
      <c r="C6354">
        <v>107.44</v>
      </c>
      <c r="D6354" s="17">
        <v>41919</v>
      </c>
      <c r="E6354" t="s">
        <v>1588</v>
      </c>
    </row>
    <row r="6355" spans="3:5">
      <c r="C6355">
        <v>107.44</v>
      </c>
      <c r="D6355" s="17">
        <v>42811</v>
      </c>
      <c r="E6355" t="s">
        <v>381</v>
      </c>
    </row>
    <row r="6356" spans="3:5">
      <c r="C6356">
        <v>107.53</v>
      </c>
      <c r="D6356" s="17">
        <v>42779</v>
      </c>
      <c r="E6356" t="s">
        <v>233</v>
      </c>
    </row>
    <row r="6357" spans="3:5">
      <c r="C6357">
        <v>107.64800000000001</v>
      </c>
      <c r="D6357" s="17">
        <v>41705</v>
      </c>
      <c r="E6357" t="s">
        <v>298</v>
      </c>
    </row>
    <row r="6358" spans="3:5">
      <c r="C6358">
        <v>107.64800000000001</v>
      </c>
      <c r="D6358" s="17">
        <v>42796</v>
      </c>
      <c r="E6358" t="s">
        <v>298</v>
      </c>
    </row>
    <row r="6359" spans="3:5">
      <c r="C6359">
        <v>107.77200000000001</v>
      </c>
      <c r="D6359" s="17">
        <v>41780</v>
      </c>
      <c r="E6359" t="s">
        <v>125</v>
      </c>
    </row>
    <row r="6360" spans="3:5">
      <c r="C6360">
        <v>107.77200000000001</v>
      </c>
      <c r="D6360" s="17">
        <v>42086</v>
      </c>
      <c r="E6360" t="s">
        <v>125</v>
      </c>
    </row>
    <row r="6361" spans="3:5">
      <c r="C6361">
        <v>107.88</v>
      </c>
      <c r="D6361" s="17">
        <v>42967</v>
      </c>
      <c r="E6361" t="s">
        <v>1075</v>
      </c>
    </row>
    <row r="6362" spans="3:5">
      <c r="C6362">
        <v>107.88</v>
      </c>
      <c r="D6362" s="17">
        <v>43055</v>
      </c>
      <c r="E6362" t="s">
        <v>1075</v>
      </c>
    </row>
    <row r="6363" spans="3:5">
      <c r="C6363">
        <v>107.94</v>
      </c>
      <c r="D6363" s="17">
        <v>41765</v>
      </c>
      <c r="E6363" t="s">
        <v>1148</v>
      </c>
    </row>
    <row r="6364" spans="3:5">
      <c r="C6364">
        <v>107.94</v>
      </c>
      <c r="D6364" s="17">
        <v>42618</v>
      </c>
      <c r="E6364" t="s">
        <v>1428</v>
      </c>
    </row>
    <row r="6365" spans="3:5">
      <c r="C6365">
        <v>107.97</v>
      </c>
      <c r="D6365" s="17">
        <v>42335</v>
      </c>
      <c r="E6365" t="s">
        <v>442</v>
      </c>
    </row>
    <row r="6366" spans="3:5">
      <c r="C6366">
        <v>107.97</v>
      </c>
      <c r="D6366" s="17">
        <v>42850</v>
      </c>
      <c r="E6366" t="s">
        <v>442</v>
      </c>
    </row>
    <row r="6367" spans="3:5">
      <c r="C6367">
        <v>107.97600000000001</v>
      </c>
      <c r="D6367" s="17">
        <v>42176</v>
      </c>
      <c r="E6367" t="s">
        <v>798</v>
      </c>
    </row>
    <row r="6368" spans="3:5">
      <c r="C6368">
        <v>107.982</v>
      </c>
      <c r="D6368" s="17">
        <v>42043</v>
      </c>
      <c r="E6368" t="s">
        <v>169</v>
      </c>
    </row>
    <row r="6369" spans="3:5">
      <c r="C6369">
        <v>107.982</v>
      </c>
      <c r="D6369" s="17">
        <v>42762</v>
      </c>
      <c r="E6369" t="s">
        <v>169</v>
      </c>
    </row>
    <row r="6370" spans="3:5">
      <c r="C6370">
        <v>107.98399999999999</v>
      </c>
      <c r="D6370" s="17">
        <v>42559</v>
      </c>
      <c r="E6370" t="s">
        <v>264</v>
      </c>
    </row>
    <row r="6371" spans="3:5">
      <c r="C6371">
        <v>108.08</v>
      </c>
      <c r="D6371" s="17">
        <v>42890</v>
      </c>
      <c r="E6371" t="s">
        <v>297</v>
      </c>
    </row>
    <row r="6372" spans="3:5">
      <c r="C6372">
        <v>108.33600000000001</v>
      </c>
      <c r="D6372" s="17">
        <v>42483</v>
      </c>
      <c r="E6372" t="s">
        <v>1560</v>
      </c>
    </row>
    <row r="6373" spans="3:5">
      <c r="C6373">
        <v>108.4</v>
      </c>
      <c r="D6373" s="17">
        <v>42098</v>
      </c>
      <c r="E6373" t="s">
        <v>574</v>
      </c>
    </row>
    <row r="6374" spans="3:5">
      <c r="C6374">
        <v>108.40000000000002</v>
      </c>
      <c r="D6374" s="17">
        <v>42981</v>
      </c>
      <c r="E6374" t="s">
        <v>574</v>
      </c>
    </row>
    <row r="6375" spans="3:5">
      <c r="C6375">
        <v>108.57599999999999</v>
      </c>
      <c r="D6375" s="17">
        <v>42610</v>
      </c>
      <c r="E6375" t="s">
        <v>1547</v>
      </c>
    </row>
    <row r="6376" spans="3:5">
      <c r="C6376">
        <v>108.57600000000001</v>
      </c>
      <c r="D6376" s="17">
        <v>42437</v>
      </c>
      <c r="E6376" t="s">
        <v>1547</v>
      </c>
    </row>
    <row r="6377" spans="3:5">
      <c r="C6377">
        <v>108.608</v>
      </c>
      <c r="D6377" s="17">
        <v>43009</v>
      </c>
      <c r="E6377" t="s">
        <v>1282</v>
      </c>
    </row>
    <row r="6378" spans="3:5">
      <c r="C6378">
        <v>108.72</v>
      </c>
      <c r="D6378" s="17">
        <v>41658</v>
      </c>
      <c r="E6378" t="s">
        <v>85</v>
      </c>
    </row>
    <row r="6379" spans="3:5">
      <c r="C6379">
        <v>108.76800000000001</v>
      </c>
      <c r="D6379" s="17">
        <v>42278</v>
      </c>
      <c r="E6379" t="s">
        <v>1269</v>
      </c>
    </row>
    <row r="6380" spans="3:5">
      <c r="C6380">
        <v>108.78399999999999</v>
      </c>
      <c r="D6380" s="17">
        <v>42377</v>
      </c>
      <c r="E6380" t="s">
        <v>570</v>
      </c>
    </row>
    <row r="6381" spans="3:5">
      <c r="C6381">
        <v>108.78399999999999</v>
      </c>
      <c r="D6381" s="17">
        <v>42618</v>
      </c>
      <c r="E6381" t="s">
        <v>892</v>
      </c>
    </row>
    <row r="6382" spans="3:5">
      <c r="C6382">
        <v>108.92</v>
      </c>
      <c r="D6382" s="17">
        <v>41709</v>
      </c>
      <c r="E6382" t="s">
        <v>291</v>
      </c>
    </row>
    <row r="6383" spans="3:5">
      <c r="C6383">
        <v>108.925</v>
      </c>
      <c r="D6383" s="17">
        <v>42895</v>
      </c>
      <c r="E6383" t="s">
        <v>814</v>
      </c>
    </row>
    <row r="6384" spans="3:5">
      <c r="C6384">
        <v>108.96</v>
      </c>
      <c r="D6384" s="17">
        <v>42993</v>
      </c>
      <c r="E6384" t="s">
        <v>402</v>
      </c>
    </row>
    <row r="6385" spans="3:5">
      <c r="C6385">
        <v>108.96000000000001</v>
      </c>
      <c r="D6385" s="17">
        <v>43045</v>
      </c>
      <c r="E6385" t="s">
        <v>724</v>
      </c>
    </row>
    <row r="6386" spans="3:5">
      <c r="C6386">
        <v>109.48</v>
      </c>
      <c r="D6386" s="17">
        <v>42630</v>
      </c>
      <c r="E6386" t="s">
        <v>1508</v>
      </c>
    </row>
    <row r="6387" spans="3:5">
      <c r="C6387">
        <v>109.48</v>
      </c>
      <c r="D6387" s="17">
        <v>43077</v>
      </c>
      <c r="E6387" t="s">
        <v>1508</v>
      </c>
    </row>
    <row r="6388" spans="3:5">
      <c r="C6388">
        <v>109.53</v>
      </c>
      <c r="D6388" s="17">
        <v>42784</v>
      </c>
      <c r="E6388" t="s">
        <v>257</v>
      </c>
    </row>
    <row r="6389" spans="3:5">
      <c r="C6389">
        <v>109.59200000000001</v>
      </c>
      <c r="D6389" s="17">
        <v>42400</v>
      </c>
      <c r="E6389" t="s">
        <v>1622</v>
      </c>
    </row>
    <row r="6390" spans="3:5">
      <c r="C6390">
        <v>109.69</v>
      </c>
      <c r="D6390" s="17">
        <v>42709</v>
      </c>
      <c r="E6390" t="s">
        <v>427</v>
      </c>
    </row>
    <row r="6391" spans="3:5">
      <c r="C6391">
        <v>109.764</v>
      </c>
      <c r="D6391" s="17">
        <v>42310</v>
      </c>
      <c r="E6391" t="s">
        <v>658</v>
      </c>
    </row>
    <row r="6392" spans="3:5">
      <c r="C6392">
        <v>109.8</v>
      </c>
      <c r="D6392" s="17">
        <v>42586</v>
      </c>
      <c r="E6392" t="s">
        <v>472</v>
      </c>
    </row>
    <row r="6393" spans="3:5">
      <c r="C6393">
        <v>109.9</v>
      </c>
      <c r="D6393" s="17">
        <v>42391</v>
      </c>
      <c r="E6393" t="s">
        <v>982</v>
      </c>
    </row>
    <row r="6394" spans="3:5">
      <c r="C6394">
        <v>109.9</v>
      </c>
      <c r="D6394" s="17">
        <v>43047</v>
      </c>
      <c r="E6394" t="s">
        <v>1320</v>
      </c>
    </row>
    <row r="6395" spans="3:5">
      <c r="C6395">
        <v>109.92</v>
      </c>
      <c r="D6395" s="17">
        <v>41880</v>
      </c>
      <c r="E6395" t="s">
        <v>1246</v>
      </c>
    </row>
    <row r="6396" spans="3:5">
      <c r="C6396">
        <v>109.92</v>
      </c>
      <c r="D6396" s="17">
        <v>42491</v>
      </c>
      <c r="E6396" t="s">
        <v>947</v>
      </c>
    </row>
    <row r="6397" spans="3:5">
      <c r="C6397">
        <v>109.92</v>
      </c>
      <c r="D6397" s="17">
        <v>42579</v>
      </c>
      <c r="E6397" t="s">
        <v>1724</v>
      </c>
    </row>
    <row r="6398" spans="3:5">
      <c r="C6398">
        <v>109.92</v>
      </c>
      <c r="D6398" s="17">
        <v>43071</v>
      </c>
      <c r="E6398" t="s">
        <v>1246</v>
      </c>
    </row>
    <row r="6399" spans="3:5">
      <c r="C6399">
        <v>109.95</v>
      </c>
      <c r="D6399" s="17">
        <v>42573</v>
      </c>
      <c r="E6399" t="s">
        <v>790</v>
      </c>
    </row>
    <row r="6400" spans="3:5">
      <c r="C6400">
        <v>110.096</v>
      </c>
      <c r="D6400" s="17">
        <v>42686</v>
      </c>
      <c r="E6400" t="s">
        <v>1022</v>
      </c>
    </row>
    <row r="6401" spans="3:5">
      <c r="C6401">
        <v>110.11</v>
      </c>
      <c r="D6401" s="17">
        <v>42742</v>
      </c>
      <c r="E6401" t="s">
        <v>73</v>
      </c>
    </row>
    <row r="6402" spans="3:5">
      <c r="C6402">
        <v>110.352</v>
      </c>
      <c r="D6402" s="17">
        <v>42342</v>
      </c>
      <c r="E6402" t="s">
        <v>160</v>
      </c>
    </row>
    <row r="6403" spans="3:5">
      <c r="C6403">
        <v>110.352</v>
      </c>
      <c r="D6403" s="17">
        <v>42759</v>
      </c>
      <c r="E6403" t="s">
        <v>160</v>
      </c>
    </row>
    <row r="6404" spans="3:5">
      <c r="C6404">
        <v>110.376</v>
      </c>
      <c r="D6404" s="17">
        <v>42391</v>
      </c>
      <c r="E6404" t="s">
        <v>1167</v>
      </c>
    </row>
    <row r="6405" spans="3:5">
      <c r="C6405">
        <v>110.376</v>
      </c>
      <c r="D6405" s="17">
        <v>42565</v>
      </c>
      <c r="E6405" t="s">
        <v>1167</v>
      </c>
    </row>
    <row r="6406" spans="3:5">
      <c r="C6406">
        <v>110.4</v>
      </c>
      <c r="D6406" s="17">
        <v>42889</v>
      </c>
      <c r="E6406" t="s">
        <v>795</v>
      </c>
    </row>
    <row r="6407" spans="3:5">
      <c r="C6407">
        <v>110.52800000000001</v>
      </c>
      <c r="D6407" s="17">
        <v>42349</v>
      </c>
      <c r="E6407" t="s">
        <v>1063</v>
      </c>
    </row>
    <row r="6408" spans="3:5">
      <c r="C6408">
        <v>110.96</v>
      </c>
      <c r="D6408" s="17">
        <v>41856</v>
      </c>
      <c r="E6408" t="s">
        <v>447</v>
      </c>
    </row>
    <row r="6409" spans="3:5">
      <c r="C6409">
        <v>110.96</v>
      </c>
      <c r="D6409" s="17">
        <v>42264</v>
      </c>
      <c r="E6409" t="s">
        <v>407</v>
      </c>
    </row>
    <row r="6410" spans="3:5">
      <c r="C6410">
        <v>110.96</v>
      </c>
      <c r="D6410" s="17">
        <v>42821</v>
      </c>
      <c r="E6410" t="s">
        <v>447</v>
      </c>
    </row>
    <row r="6411" spans="3:5">
      <c r="C6411">
        <v>110.96</v>
      </c>
      <c r="D6411" s="17">
        <v>43044</v>
      </c>
      <c r="E6411" t="s">
        <v>407</v>
      </c>
    </row>
    <row r="6412" spans="3:5">
      <c r="C6412">
        <v>110.97</v>
      </c>
      <c r="D6412" s="17">
        <v>42329</v>
      </c>
      <c r="E6412" t="s">
        <v>229</v>
      </c>
    </row>
    <row r="6413" spans="3:5">
      <c r="C6413">
        <v>110.98</v>
      </c>
      <c r="D6413" s="17">
        <v>42218</v>
      </c>
      <c r="E6413" t="s">
        <v>1369</v>
      </c>
    </row>
    <row r="6414" spans="3:5">
      <c r="C6414">
        <v>111</v>
      </c>
      <c r="D6414" s="17">
        <v>41716</v>
      </c>
      <c r="E6414" t="s">
        <v>211</v>
      </c>
    </row>
    <row r="6415" spans="3:5">
      <c r="C6415">
        <v>111.04</v>
      </c>
      <c r="D6415" s="17">
        <v>42258</v>
      </c>
      <c r="E6415" t="s">
        <v>1796</v>
      </c>
    </row>
    <row r="6416" spans="3:5">
      <c r="C6416">
        <v>111.104</v>
      </c>
      <c r="D6416" s="17">
        <v>42429</v>
      </c>
      <c r="E6416" t="s">
        <v>294</v>
      </c>
    </row>
    <row r="6417" spans="3:5">
      <c r="C6417">
        <v>111.15</v>
      </c>
      <c r="D6417" s="17">
        <v>41967</v>
      </c>
      <c r="E6417" t="s">
        <v>913</v>
      </c>
    </row>
    <row r="6418" spans="3:5">
      <c r="C6418">
        <v>111.15</v>
      </c>
      <c r="D6418" s="17">
        <v>42705</v>
      </c>
      <c r="E6418" t="s">
        <v>913</v>
      </c>
    </row>
    <row r="6419" spans="3:5">
      <c r="C6419">
        <v>111.67200000000001</v>
      </c>
      <c r="D6419" s="17">
        <v>42664</v>
      </c>
      <c r="E6419" t="s">
        <v>1245</v>
      </c>
    </row>
    <row r="6420" spans="3:5">
      <c r="C6420">
        <v>111.67200000000001</v>
      </c>
      <c r="D6420" s="17">
        <v>42675</v>
      </c>
      <c r="E6420" t="s">
        <v>1245</v>
      </c>
    </row>
    <row r="6421" spans="3:5">
      <c r="C6421">
        <v>111.79</v>
      </c>
      <c r="D6421" s="17">
        <v>41967</v>
      </c>
      <c r="E6421" t="s">
        <v>350</v>
      </c>
    </row>
    <row r="6422" spans="3:5">
      <c r="C6422">
        <v>111.79</v>
      </c>
      <c r="D6422" s="17">
        <v>43049</v>
      </c>
      <c r="E6422" t="s">
        <v>350</v>
      </c>
    </row>
    <row r="6423" spans="3:5">
      <c r="C6423">
        <v>111.88800000000001</v>
      </c>
      <c r="D6423" s="17">
        <v>42490</v>
      </c>
      <c r="E6423" t="s">
        <v>118</v>
      </c>
    </row>
    <row r="6424" spans="3:5">
      <c r="C6424">
        <v>111.89999999999999</v>
      </c>
      <c r="D6424" s="17">
        <v>42707</v>
      </c>
      <c r="E6424" t="s">
        <v>1603</v>
      </c>
    </row>
    <row r="6425" spans="3:5">
      <c r="C6425">
        <v>111.93</v>
      </c>
      <c r="D6425" s="17">
        <v>41846</v>
      </c>
      <c r="E6425" t="s">
        <v>811</v>
      </c>
    </row>
    <row r="6426" spans="3:5">
      <c r="C6426">
        <v>111.96</v>
      </c>
      <c r="D6426" s="17">
        <v>42321</v>
      </c>
      <c r="E6426" t="s">
        <v>344</v>
      </c>
    </row>
    <row r="6427" spans="3:5">
      <c r="C6427">
        <v>111.96</v>
      </c>
      <c r="D6427" s="17">
        <v>42511</v>
      </c>
      <c r="E6427" t="s">
        <v>296</v>
      </c>
    </row>
    <row r="6428" spans="3:5">
      <c r="C6428">
        <v>111.96</v>
      </c>
      <c r="D6428" s="17">
        <v>42538</v>
      </c>
      <c r="E6428" t="s">
        <v>172</v>
      </c>
    </row>
    <row r="6429" spans="3:5">
      <c r="C6429">
        <v>111.96</v>
      </c>
      <c r="D6429" s="17">
        <v>42657</v>
      </c>
      <c r="E6429" t="s">
        <v>285</v>
      </c>
    </row>
    <row r="6430" spans="3:5">
      <c r="C6430">
        <v>111.96</v>
      </c>
      <c r="D6430" s="17">
        <v>42804</v>
      </c>
      <c r="E6430" t="s">
        <v>344</v>
      </c>
    </row>
    <row r="6431" spans="3:5">
      <c r="C6431">
        <v>111.98</v>
      </c>
      <c r="D6431" s="17">
        <v>42520</v>
      </c>
      <c r="E6431" t="s">
        <v>1123</v>
      </c>
    </row>
    <row r="6432" spans="3:5">
      <c r="C6432">
        <v>111.98399999999999</v>
      </c>
      <c r="D6432" s="17">
        <v>42362</v>
      </c>
      <c r="E6432" t="s">
        <v>1208</v>
      </c>
    </row>
    <row r="6433" spans="3:5">
      <c r="C6433">
        <v>111.98399999999999</v>
      </c>
      <c r="D6433" s="17">
        <v>42749</v>
      </c>
      <c r="E6433" t="s">
        <v>91</v>
      </c>
    </row>
    <row r="6434" spans="3:5">
      <c r="C6434">
        <v>112.12000000000002</v>
      </c>
      <c r="D6434" s="17">
        <v>43010</v>
      </c>
      <c r="E6434" t="s">
        <v>1286</v>
      </c>
    </row>
    <row r="6435" spans="3:5">
      <c r="C6435">
        <v>112.64800000000001</v>
      </c>
      <c r="D6435" s="17">
        <v>41954</v>
      </c>
      <c r="E6435" t="s">
        <v>996</v>
      </c>
    </row>
    <row r="6436" spans="3:5">
      <c r="C6436">
        <v>112.77600000000001</v>
      </c>
      <c r="D6436" s="17">
        <v>42722</v>
      </c>
      <c r="E6436" t="s">
        <v>958</v>
      </c>
    </row>
    <row r="6437" spans="3:5">
      <c r="C6437">
        <v>112.80000000000001</v>
      </c>
      <c r="D6437" s="17">
        <v>42988</v>
      </c>
      <c r="E6437" t="s">
        <v>1169</v>
      </c>
    </row>
    <row r="6438" spans="3:5">
      <c r="C6438">
        <v>113.10000000000001</v>
      </c>
      <c r="D6438" s="17">
        <v>42164</v>
      </c>
      <c r="E6438" t="s">
        <v>990</v>
      </c>
    </row>
    <row r="6439" spans="3:5">
      <c r="C6439">
        <v>113.22</v>
      </c>
      <c r="D6439" s="17">
        <v>42664</v>
      </c>
      <c r="E6439" t="s">
        <v>1666</v>
      </c>
    </row>
    <row r="6440" spans="3:5">
      <c r="C6440">
        <v>113.328</v>
      </c>
      <c r="D6440" s="17">
        <v>42365</v>
      </c>
      <c r="E6440" t="s">
        <v>607</v>
      </c>
    </row>
    <row r="6441" spans="3:5">
      <c r="C6441">
        <v>113.372</v>
      </c>
      <c r="D6441" s="17">
        <v>42992</v>
      </c>
      <c r="E6441" t="s">
        <v>1190</v>
      </c>
    </row>
    <row r="6442" spans="3:5">
      <c r="C6442">
        <v>113.372</v>
      </c>
      <c r="D6442" s="17">
        <v>43097</v>
      </c>
      <c r="E6442" t="s">
        <v>1083</v>
      </c>
    </row>
    <row r="6443" spans="3:5">
      <c r="C6443">
        <v>113.52</v>
      </c>
      <c r="D6443" s="17">
        <v>42985</v>
      </c>
      <c r="E6443" t="s">
        <v>587</v>
      </c>
    </row>
    <row r="6444" spans="3:5">
      <c r="C6444">
        <v>113.52000000000001</v>
      </c>
      <c r="D6444" s="17">
        <v>42072</v>
      </c>
      <c r="E6444" t="s">
        <v>587</v>
      </c>
    </row>
    <row r="6445" spans="3:5">
      <c r="C6445">
        <v>113.55200000000001</v>
      </c>
      <c r="D6445" s="17">
        <v>42604</v>
      </c>
      <c r="E6445" t="s">
        <v>1111</v>
      </c>
    </row>
    <row r="6446" spans="3:5">
      <c r="C6446">
        <v>113.56800000000001</v>
      </c>
      <c r="D6446" s="17">
        <v>42695</v>
      </c>
      <c r="E6446" t="s">
        <v>906</v>
      </c>
    </row>
    <row r="6447" spans="3:5">
      <c r="C6447">
        <v>113.56800000000001</v>
      </c>
      <c r="D6447" s="17">
        <v>42849</v>
      </c>
      <c r="E6447" t="s">
        <v>225</v>
      </c>
    </row>
    <row r="6448" spans="3:5">
      <c r="C6448">
        <v>113.56800000000001</v>
      </c>
      <c r="D6448" s="17">
        <v>43051</v>
      </c>
      <c r="E6448" t="s">
        <v>1409</v>
      </c>
    </row>
    <row r="6449" spans="3:5">
      <c r="C6449">
        <v>113.56800000000001</v>
      </c>
      <c r="D6449" s="17">
        <v>43077</v>
      </c>
      <c r="E6449" t="s">
        <v>1446</v>
      </c>
    </row>
    <row r="6450" spans="3:5">
      <c r="C6450">
        <v>113.6</v>
      </c>
      <c r="D6450" s="17">
        <v>42437</v>
      </c>
      <c r="E6450" t="s">
        <v>1444</v>
      </c>
    </row>
    <row r="6451" spans="3:5">
      <c r="C6451">
        <v>113.72999999999999</v>
      </c>
      <c r="D6451" s="17">
        <v>41790</v>
      </c>
      <c r="E6451" t="s">
        <v>218</v>
      </c>
    </row>
    <row r="6452" spans="3:5">
      <c r="C6452">
        <v>113.72999999999999</v>
      </c>
      <c r="D6452" s="17">
        <v>42268</v>
      </c>
      <c r="E6452" t="s">
        <v>218</v>
      </c>
    </row>
    <row r="6453" spans="3:5">
      <c r="C6453">
        <v>113.76</v>
      </c>
      <c r="D6453" s="17">
        <v>42470</v>
      </c>
      <c r="E6453" t="s">
        <v>1768</v>
      </c>
    </row>
    <row r="6454" spans="3:5">
      <c r="C6454">
        <v>113.78999999999999</v>
      </c>
      <c r="D6454" s="17">
        <v>42708</v>
      </c>
      <c r="E6454" t="s">
        <v>1011</v>
      </c>
    </row>
    <row r="6455" spans="3:5">
      <c r="C6455">
        <v>113.82</v>
      </c>
      <c r="D6455" s="17">
        <v>42335</v>
      </c>
      <c r="E6455" t="s">
        <v>1595</v>
      </c>
    </row>
    <row r="6456" spans="3:5">
      <c r="C6456">
        <v>113.88800000000002</v>
      </c>
      <c r="D6456" s="17">
        <v>42630</v>
      </c>
      <c r="E6456" t="s">
        <v>1113</v>
      </c>
    </row>
    <row r="6457" spans="3:5">
      <c r="C6457">
        <v>113.88800000000002</v>
      </c>
      <c r="D6457" s="17">
        <v>42679</v>
      </c>
      <c r="E6457" t="s">
        <v>1113</v>
      </c>
    </row>
    <row r="6458" spans="3:5">
      <c r="C6458">
        <v>113.88800000000002</v>
      </c>
      <c r="D6458" s="17">
        <v>43051</v>
      </c>
      <c r="E6458" t="s">
        <v>1113</v>
      </c>
    </row>
    <row r="6459" spans="3:5">
      <c r="C6459">
        <v>113.92</v>
      </c>
      <c r="D6459" s="17">
        <v>42224</v>
      </c>
      <c r="E6459" t="s">
        <v>1299</v>
      </c>
    </row>
    <row r="6460" spans="3:5">
      <c r="C6460">
        <v>113.92</v>
      </c>
      <c r="D6460" s="17">
        <v>42344</v>
      </c>
      <c r="E6460" t="s">
        <v>1574</v>
      </c>
    </row>
    <row r="6461" spans="3:5">
      <c r="C6461">
        <v>113.94</v>
      </c>
      <c r="D6461" s="17">
        <v>42617</v>
      </c>
      <c r="E6461" t="s">
        <v>709</v>
      </c>
    </row>
    <row r="6462" spans="3:5">
      <c r="C6462">
        <v>113.94</v>
      </c>
      <c r="D6462" s="17">
        <v>42873</v>
      </c>
      <c r="E6462" t="s">
        <v>709</v>
      </c>
    </row>
    <row r="6463" spans="3:5">
      <c r="C6463">
        <v>113.94</v>
      </c>
      <c r="D6463" s="17">
        <v>42996</v>
      </c>
      <c r="E6463" t="s">
        <v>1006</v>
      </c>
    </row>
    <row r="6464" spans="3:5">
      <c r="C6464">
        <v>113.97</v>
      </c>
      <c r="D6464" s="17">
        <v>42004</v>
      </c>
      <c r="E6464" t="s">
        <v>405</v>
      </c>
    </row>
    <row r="6465" spans="3:5">
      <c r="C6465">
        <v>114.2</v>
      </c>
      <c r="D6465" s="17">
        <v>41868</v>
      </c>
      <c r="E6465" t="s">
        <v>1661</v>
      </c>
    </row>
    <row r="6466" spans="3:5">
      <c r="C6466">
        <v>114.2</v>
      </c>
      <c r="D6466" s="17">
        <v>41989</v>
      </c>
      <c r="E6466" t="s">
        <v>1661</v>
      </c>
    </row>
    <row r="6467" spans="3:5">
      <c r="C6467">
        <v>114.2</v>
      </c>
      <c r="D6467" s="17">
        <v>42243</v>
      </c>
      <c r="E6467" t="s">
        <v>1837</v>
      </c>
    </row>
    <row r="6468" spans="3:5">
      <c r="C6468">
        <v>114.2</v>
      </c>
      <c r="D6468" s="17">
        <v>42339</v>
      </c>
      <c r="E6468" t="s">
        <v>1534</v>
      </c>
    </row>
    <row r="6469" spans="3:5">
      <c r="C6469">
        <v>114.28800000000001</v>
      </c>
      <c r="D6469" s="17">
        <v>43071</v>
      </c>
      <c r="E6469" t="s">
        <v>633</v>
      </c>
    </row>
    <row r="6470" spans="3:5">
      <c r="C6470">
        <v>114.46</v>
      </c>
      <c r="D6470" s="17">
        <v>42372</v>
      </c>
      <c r="E6470" t="s">
        <v>522</v>
      </c>
    </row>
    <row r="6471" spans="3:5">
      <c r="C6471">
        <v>114.52</v>
      </c>
      <c r="D6471" s="17">
        <v>42245</v>
      </c>
      <c r="E6471" t="s">
        <v>328</v>
      </c>
    </row>
    <row r="6472" spans="3:5">
      <c r="C6472">
        <v>114.60000000000001</v>
      </c>
      <c r="D6472" s="17">
        <v>42248</v>
      </c>
      <c r="E6472" t="s">
        <v>878</v>
      </c>
    </row>
    <row r="6473" spans="3:5">
      <c r="C6473">
        <v>114.84800000000001</v>
      </c>
      <c r="D6473" s="17">
        <v>42996</v>
      </c>
      <c r="E6473" t="s">
        <v>1228</v>
      </c>
    </row>
    <row r="6474" spans="3:5">
      <c r="C6474">
        <v>114.9</v>
      </c>
      <c r="D6474" s="17">
        <v>41799</v>
      </c>
      <c r="E6474" t="s">
        <v>1587</v>
      </c>
    </row>
    <row r="6475" spans="3:5">
      <c r="C6475">
        <v>114.9</v>
      </c>
      <c r="D6475" s="17">
        <v>42979</v>
      </c>
      <c r="E6475" t="s">
        <v>1081</v>
      </c>
    </row>
    <row r="6476" spans="3:5">
      <c r="C6476">
        <v>114.94999999999999</v>
      </c>
      <c r="D6476" s="17">
        <v>42673</v>
      </c>
      <c r="E6476" t="s">
        <v>1449</v>
      </c>
    </row>
    <row r="6477" spans="3:5">
      <c r="C6477">
        <v>114.94999999999999</v>
      </c>
      <c r="D6477" s="17">
        <v>42712</v>
      </c>
      <c r="E6477" t="s">
        <v>713</v>
      </c>
    </row>
    <row r="6478" spans="3:5">
      <c r="C6478">
        <v>114.94999999999999</v>
      </c>
      <c r="D6478" s="17">
        <v>42873</v>
      </c>
      <c r="E6478" t="s">
        <v>713</v>
      </c>
    </row>
    <row r="6479" spans="3:5">
      <c r="C6479">
        <v>115.02</v>
      </c>
      <c r="D6479" s="17">
        <v>42533</v>
      </c>
      <c r="E6479" t="s">
        <v>1338</v>
      </c>
    </row>
    <row r="6480" spans="3:5">
      <c r="C6480">
        <v>115.136</v>
      </c>
      <c r="D6480" s="17">
        <v>42574</v>
      </c>
      <c r="E6480" t="s">
        <v>154</v>
      </c>
    </row>
    <row r="6481" spans="3:5">
      <c r="C6481">
        <v>115.29600000000001</v>
      </c>
      <c r="D6481" s="17">
        <v>42321</v>
      </c>
      <c r="E6481" t="s">
        <v>1092</v>
      </c>
    </row>
    <row r="6482" spans="3:5">
      <c r="C6482">
        <v>115.29600000000001</v>
      </c>
      <c r="D6482" s="17">
        <v>42769</v>
      </c>
      <c r="E6482" t="s">
        <v>208</v>
      </c>
    </row>
    <row r="6483" spans="3:5">
      <c r="C6483">
        <v>115.29600000000001</v>
      </c>
      <c r="D6483" s="17">
        <v>42953</v>
      </c>
      <c r="E6483" t="s">
        <v>208</v>
      </c>
    </row>
    <row r="6484" spans="3:5">
      <c r="C6484">
        <v>115.36</v>
      </c>
      <c r="D6484" s="17">
        <v>41677</v>
      </c>
      <c r="E6484" t="s">
        <v>1828</v>
      </c>
    </row>
    <row r="6485" spans="3:5">
      <c r="C6485">
        <v>115.36</v>
      </c>
      <c r="D6485" s="17">
        <v>41734</v>
      </c>
      <c r="E6485" t="s">
        <v>879</v>
      </c>
    </row>
    <row r="6486" spans="3:5">
      <c r="C6486">
        <v>115.44</v>
      </c>
      <c r="D6486" s="17">
        <v>42112</v>
      </c>
      <c r="E6486" t="s">
        <v>1496</v>
      </c>
    </row>
    <row r="6487" spans="3:5">
      <c r="C6487">
        <v>115.84</v>
      </c>
      <c r="D6487" s="17">
        <v>42706</v>
      </c>
      <c r="E6487" t="s">
        <v>551</v>
      </c>
    </row>
    <row r="6488" spans="3:5">
      <c r="C6488">
        <v>115.96</v>
      </c>
      <c r="D6488" s="17">
        <v>42883</v>
      </c>
      <c r="E6488" t="s">
        <v>282</v>
      </c>
    </row>
    <row r="6489" spans="3:5">
      <c r="C6489">
        <v>115.96</v>
      </c>
      <c r="D6489" s="17">
        <v>42945</v>
      </c>
      <c r="E6489" t="s">
        <v>282</v>
      </c>
    </row>
    <row r="6490" spans="3:5">
      <c r="C6490">
        <v>116</v>
      </c>
      <c r="D6490" s="17">
        <v>42618</v>
      </c>
      <c r="E6490" t="s">
        <v>1372</v>
      </c>
    </row>
    <row r="6491" spans="3:5">
      <c r="C6491">
        <v>116.28</v>
      </c>
      <c r="D6491" s="17">
        <v>41783</v>
      </c>
      <c r="E6491" t="s">
        <v>1669</v>
      </c>
    </row>
    <row r="6492" spans="3:5">
      <c r="C6492">
        <v>116.28</v>
      </c>
      <c r="D6492" s="17">
        <v>42357</v>
      </c>
      <c r="E6492" t="s">
        <v>1099</v>
      </c>
    </row>
    <row r="6493" spans="3:5">
      <c r="C6493">
        <v>116.28</v>
      </c>
      <c r="D6493" s="17">
        <v>42677</v>
      </c>
      <c r="E6493" t="s">
        <v>1655</v>
      </c>
    </row>
    <row r="6494" spans="3:5">
      <c r="C6494">
        <v>116.28</v>
      </c>
      <c r="D6494" s="17">
        <v>42974</v>
      </c>
      <c r="E6494" t="s">
        <v>1099</v>
      </c>
    </row>
    <row r="6495" spans="3:5">
      <c r="C6495">
        <v>116.312</v>
      </c>
      <c r="D6495" s="17">
        <v>43080</v>
      </c>
      <c r="E6495" t="s">
        <v>905</v>
      </c>
    </row>
    <row r="6496" spans="3:5">
      <c r="C6496">
        <v>116.4</v>
      </c>
      <c r="D6496" s="17">
        <v>42369</v>
      </c>
      <c r="E6496" t="s">
        <v>1789</v>
      </c>
    </row>
    <row r="6497" spans="3:5">
      <c r="C6497">
        <v>116.75999999999999</v>
      </c>
      <c r="D6497" s="17">
        <v>42701</v>
      </c>
      <c r="E6497" t="s">
        <v>1258</v>
      </c>
    </row>
    <row r="6498" spans="3:5">
      <c r="C6498">
        <v>116.78399999999999</v>
      </c>
      <c r="D6498" s="17">
        <v>41735</v>
      </c>
      <c r="E6498" t="s">
        <v>643</v>
      </c>
    </row>
    <row r="6499" spans="3:5">
      <c r="C6499">
        <v>116.82</v>
      </c>
      <c r="D6499" s="17">
        <v>42681</v>
      </c>
      <c r="E6499" t="s">
        <v>1644</v>
      </c>
    </row>
    <row r="6500" spans="3:5">
      <c r="C6500">
        <v>116.83199999999999</v>
      </c>
      <c r="D6500" s="17">
        <v>42986</v>
      </c>
      <c r="E6500" t="s">
        <v>257</v>
      </c>
    </row>
    <row r="6501" spans="3:5">
      <c r="C6501">
        <v>116.98</v>
      </c>
      <c r="D6501" s="17">
        <v>43080</v>
      </c>
      <c r="E6501" t="s">
        <v>992</v>
      </c>
    </row>
    <row r="6502" spans="3:5">
      <c r="C6502">
        <v>117.14400000000001</v>
      </c>
      <c r="D6502" s="17">
        <v>42968</v>
      </c>
      <c r="E6502" t="s">
        <v>667</v>
      </c>
    </row>
    <row r="6503" spans="3:5">
      <c r="C6503">
        <v>117.36</v>
      </c>
      <c r="D6503" s="17">
        <v>41911</v>
      </c>
      <c r="E6503" t="s">
        <v>1065</v>
      </c>
    </row>
    <row r="6504" spans="3:5">
      <c r="C6504">
        <v>117.456</v>
      </c>
      <c r="D6504" s="17">
        <v>42114</v>
      </c>
      <c r="E6504" t="s">
        <v>199</v>
      </c>
    </row>
    <row r="6505" spans="3:5">
      <c r="C6505">
        <v>117.48800000000001</v>
      </c>
      <c r="D6505" s="17">
        <v>42310</v>
      </c>
      <c r="E6505" t="s">
        <v>997</v>
      </c>
    </row>
    <row r="6506" spans="3:5">
      <c r="C6506">
        <v>117.48800000000001</v>
      </c>
      <c r="D6506" s="17">
        <v>43066</v>
      </c>
      <c r="E6506" t="s">
        <v>567</v>
      </c>
    </row>
    <row r="6507" spans="3:5">
      <c r="C6507">
        <v>117.57600000000002</v>
      </c>
      <c r="D6507" s="17">
        <v>41931</v>
      </c>
      <c r="E6507" t="s">
        <v>763</v>
      </c>
    </row>
    <row r="6508" spans="3:5">
      <c r="C6508">
        <v>117.88199999999999</v>
      </c>
      <c r="D6508" s="17">
        <v>42184</v>
      </c>
      <c r="E6508" t="s">
        <v>684</v>
      </c>
    </row>
    <row r="6509" spans="3:5">
      <c r="C6509">
        <v>117.96</v>
      </c>
      <c r="D6509" s="17">
        <v>42402</v>
      </c>
      <c r="E6509" t="s">
        <v>1126</v>
      </c>
    </row>
    <row r="6510" spans="3:5">
      <c r="C6510">
        <v>118</v>
      </c>
      <c r="D6510" s="17">
        <v>41895</v>
      </c>
      <c r="E6510" t="s">
        <v>1668</v>
      </c>
    </row>
    <row r="6511" spans="3:5">
      <c r="C6511">
        <v>118.16</v>
      </c>
      <c r="D6511" s="17">
        <v>42000</v>
      </c>
      <c r="E6511" t="s">
        <v>1040</v>
      </c>
    </row>
    <row r="6512" spans="3:5">
      <c r="C6512">
        <v>118.16</v>
      </c>
      <c r="D6512" s="17">
        <v>42954</v>
      </c>
      <c r="E6512" t="s">
        <v>1040</v>
      </c>
    </row>
    <row r="6513" spans="3:5">
      <c r="C6513">
        <v>118.25</v>
      </c>
      <c r="D6513" s="17">
        <v>42636</v>
      </c>
      <c r="E6513" t="s">
        <v>1553</v>
      </c>
    </row>
    <row r="6514" spans="3:5">
      <c r="C6514">
        <v>118.25</v>
      </c>
      <c r="D6514" s="17">
        <v>43097</v>
      </c>
      <c r="E6514" t="s">
        <v>1553</v>
      </c>
    </row>
    <row r="6515" spans="3:5">
      <c r="C6515">
        <v>118.64999999999998</v>
      </c>
      <c r="D6515" s="17">
        <v>43034</v>
      </c>
      <c r="E6515" t="s">
        <v>1152</v>
      </c>
    </row>
    <row r="6516" spans="3:5">
      <c r="C6516">
        <v>118.78199999999998</v>
      </c>
      <c r="D6516" s="17">
        <v>42110</v>
      </c>
      <c r="E6516" t="s">
        <v>1203</v>
      </c>
    </row>
    <row r="6517" spans="3:5">
      <c r="C6517">
        <v>118.78199999999998</v>
      </c>
      <c r="D6517" s="17">
        <v>42465</v>
      </c>
      <c r="E6517" t="s">
        <v>433</v>
      </c>
    </row>
    <row r="6518" spans="3:5">
      <c r="C6518">
        <v>118.99</v>
      </c>
      <c r="D6518" s="17">
        <v>42582</v>
      </c>
      <c r="E6518" t="s">
        <v>1027</v>
      </c>
    </row>
    <row r="6519" spans="3:5">
      <c r="C6519">
        <v>119.02</v>
      </c>
      <c r="D6519" s="17">
        <v>42829</v>
      </c>
      <c r="E6519" t="s">
        <v>495</v>
      </c>
    </row>
    <row r="6520" spans="3:5">
      <c r="C6520">
        <v>119.03999999999999</v>
      </c>
      <c r="D6520" s="17">
        <v>42323</v>
      </c>
      <c r="E6520" t="s">
        <v>60</v>
      </c>
    </row>
    <row r="6521" spans="3:5">
      <c r="C6521">
        <v>119.03999999999999</v>
      </c>
      <c r="D6521" s="17">
        <v>42328</v>
      </c>
      <c r="E6521" t="s">
        <v>1276</v>
      </c>
    </row>
    <row r="6522" spans="3:5">
      <c r="C6522">
        <v>119.03999999999999</v>
      </c>
      <c r="D6522" s="17">
        <v>42925</v>
      </c>
      <c r="E6522" t="s">
        <v>949</v>
      </c>
    </row>
    <row r="6523" spans="3:5">
      <c r="C6523">
        <v>119.10000000000001</v>
      </c>
      <c r="D6523" s="17">
        <v>42647</v>
      </c>
      <c r="E6523" t="s">
        <v>991</v>
      </c>
    </row>
    <row r="6524" spans="3:5">
      <c r="C6524">
        <v>119.44800000000001</v>
      </c>
      <c r="D6524" s="17">
        <v>42954</v>
      </c>
      <c r="E6524" t="s">
        <v>398</v>
      </c>
    </row>
    <row r="6525" spans="3:5">
      <c r="C6525">
        <v>119.56</v>
      </c>
      <c r="D6525" s="17">
        <v>42183</v>
      </c>
      <c r="E6525" t="s">
        <v>515</v>
      </c>
    </row>
    <row r="6526" spans="3:5">
      <c r="C6526">
        <v>119.61600000000001</v>
      </c>
      <c r="D6526" s="17">
        <v>42576</v>
      </c>
      <c r="E6526" t="s">
        <v>177</v>
      </c>
    </row>
    <row r="6527" spans="3:5">
      <c r="C6527">
        <v>119.61600000000001</v>
      </c>
      <c r="D6527" s="17">
        <v>42764</v>
      </c>
      <c r="E6527" t="s">
        <v>177</v>
      </c>
    </row>
    <row r="6528" spans="3:5">
      <c r="C6528">
        <v>119.69999999999999</v>
      </c>
      <c r="D6528" s="17">
        <v>42811</v>
      </c>
      <c r="E6528" t="s">
        <v>338</v>
      </c>
    </row>
    <row r="6529" spans="3:5">
      <c r="C6529">
        <v>119.8</v>
      </c>
      <c r="D6529" s="17">
        <v>42002</v>
      </c>
      <c r="E6529" t="s">
        <v>1583</v>
      </c>
    </row>
    <row r="6530" spans="3:5">
      <c r="C6530">
        <v>119.80000000000001</v>
      </c>
      <c r="D6530" s="17">
        <v>41975</v>
      </c>
      <c r="E6530" t="s">
        <v>1583</v>
      </c>
    </row>
    <row r="6531" spans="3:5">
      <c r="C6531">
        <v>119.80000000000001</v>
      </c>
      <c r="D6531" s="17">
        <v>42715</v>
      </c>
      <c r="E6531" t="s">
        <v>1583</v>
      </c>
    </row>
    <row r="6532" spans="3:5">
      <c r="C6532">
        <v>119.83299999999998</v>
      </c>
      <c r="D6532" s="17">
        <v>41829</v>
      </c>
      <c r="E6532" t="s">
        <v>1132</v>
      </c>
    </row>
    <row r="6533" spans="3:5">
      <c r="C6533">
        <v>119.83299999999998</v>
      </c>
      <c r="D6533" s="17">
        <v>43087</v>
      </c>
      <c r="E6533" t="s">
        <v>1528</v>
      </c>
    </row>
    <row r="6534" spans="3:5">
      <c r="C6534">
        <v>119.85000000000001</v>
      </c>
      <c r="D6534" s="17">
        <v>42070</v>
      </c>
      <c r="E6534" t="s">
        <v>101</v>
      </c>
    </row>
    <row r="6535" spans="3:5">
      <c r="C6535">
        <v>119.9</v>
      </c>
      <c r="D6535" s="17">
        <v>42316</v>
      </c>
      <c r="E6535" t="s">
        <v>1821</v>
      </c>
    </row>
    <row r="6536" spans="3:5">
      <c r="C6536">
        <v>119.90400000000001</v>
      </c>
      <c r="D6536" s="17">
        <v>42273</v>
      </c>
      <c r="E6536" t="s">
        <v>1324</v>
      </c>
    </row>
    <row r="6537" spans="3:5">
      <c r="C6537">
        <v>119.93999999999998</v>
      </c>
      <c r="D6537" s="17">
        <v>43053</v>
      </c>
      <c r="E6537" t="s">
        <v>1419</v>
      </c>
    </row>
    <row r="6538" spans="3:5">
      <c r="C6538">
        <v>119.94</v>
      </c>
      <c r="D6538" s="17">
        <v>43055</v>
      </c>
      <c r="E6538" t="s">
        <v>1426</v>
      </c>
    </row>
    <row r="6539" spans="3:5">
      <c r="C6539">
        <v>119.94</v>
      </c>
      <c r="D6539" s="17">
        <v>43055</v>
      </c>
      <c r="E6539" t="s">
        <v>1054</v>
      </c>
    </row>
    <row r="6540" spans="3:5">
      <c r="C6540">
        <v>119.96</v>
      </c>
      <c r="D6540" s="17">
        <v>41975</v>
      </c>
      <c r="E6540" t="s">
        <v>108</v>
      </c>
    </row>
    <row r="6541" spans="3:5">
      <c r="C6541">
        <v>119.96</v>
      </c>
      <c r="D6541" s="17">
        <v>42715</v>
      </c>
      <c r="E6541" t="s">
        <v>1231</v>
      </c>
    </row>
    <row r="6542" spans="3:5">
      <c r="C6542">
        <v>119.96</v>
      </c>
      <c r="D6542" s="17">
        <v>42820</v>
      </c>
      <c r="E6542" t="s">
        <v>341</v>
      </c>
    </row>
    <row r="6543" spans="3:5">
      <c r="C6543">
        <v>119.96</v>
      </c>
      <c r="D6543" s="17">
        <v>42901</v>
      </c>
      <c r="E6543" t="s">
        <v>367</v>
      </c>
    </row>
    <row r="6544" spans="3:5">
      <c r="C6544">
        <v>119.96</v>
      </c>
      <c r="D6544" s="17">
        <v>43001</v>
      </c>
      <c r="E6544" t="s">
        <v>968</v>
      </c>
    </row>
    <row r="6545" spans="3:5">
      <c r="C6545">
        <v>119.96000000000001</v>
      </c>
      <c r="D6545" s="17">
        <v>42346</v>
      </c>
      <c r="E6545" t="s">
        <v>341</v>
      </c>
    </row>
    <row r="6546" spans="3:5">
      <c r="C6546">
        <v>119.96000000000001</v>
      </c>
      <c r="D6546" s="17">
        <v>43003</v>
      </c>
      <c r="E6546" t="s">
        <v>108</v>
      </c>
    </row>
    <row r="6547" spans="3:5">
      <c r="C6547">
        <v>119.97600000000001</v>
      </c>
      <c r="D6547" s="17">
        <v>41929</v>
      </c>
      <c r="E6547" t="s">
        <v>1397</v>
      </c>
    </row>
    <row r="6548" spans="3:5">
      <c r="C6548">
        <v>119.97600000000001</v>
      </c>
      <c r="D6548" s="17">
        <v>42455</v>
      </c>
      <c r="E6548" t="s">
        <v>1397</v>
      </c>
    </row>
    <row r="6549" spans="3:5">
      <c r="C6549">
        <v>119.97600000000001</v>
      </c>
      <c r="D6549" s="17">
        <v>42681</v>
      </c>
      <c r="E6549" t="s">
        <v>173</v>
      </c>
    </row>
    <row r="6550" spans="3:5">
      <c r="C6550">
        <v>119.98</v>
      </c>
      <c r="D6550" s="17">
        <v>42159</v>
      </c>
      <c r="E6550" t="s">
        <v>155</v>
      </c>
    </row>
    <row r="6551" spans="3:5">
      <c r="C6551">
        <v>119.98</v>
      </c>
      <c r="D6551" s="17">
        <v>43087</v>
      </c>
      <c r="E6551" t="s">
        <v>132</v>
      </c>
    </row>
    <row r="6552" spans="3:5">
      <c r="C6552">
        <v>120</v>
      </c>
      <c r="D6552" s="17">
        <v>42502</v>
      </c>
      <c r="E6552" t="s">
        <v>1620</v>
      </c>
    </row>
    <row r="6553" spans="3:5">
      <c r="C6553">
        <v>120</v>
      </c>
      <c r="D6553" s="17">
        <v>42880</v>
      </c>
      <c r="E6553" t="s">
        <v>751</v>
      </c>
    </row>
    <row r="6554" spans="3:5">
      <c r="C6554">
        <v>120</v>
      </c>
      <c r="D6554" s="17">
        <v>43094</v>
      </c>
      <c r="E6554" t="s">
        <v>1219</v>
      </c>
    </row>
    <row r="6555" spans="3:5">
      <c r="C6555">
        <v>120.14999999999999</v>
      </c>
      <c r="D6555" s="17">
        <v>42344</v>
      </c>
      <c r="E6555" t="s">
        <v>1804</v>
      </c>
    </row>
    <row r="6556" spans="3:5">
      <c r="C6556">
        <v>120.33</v>
      </c>
      <c r="D6556" s="17">
        <v>42250</v>
      </c>
      <c r="E6556" t="s">
        <v>1458</v>
      </c>
    </row>
    <row r="6557" spans="3:5">
      <c r="C6557">
        <v>120.57600000000001</v>
      </c>
      <c r="D6557" s="17">
        <v>42974</v>
      </c>
      <c r="E6557" t="s">
        <v>78</v>
      </c>
    </row>
    <row r="6558" spans="3:5">
      <c r="C6558">
        <v>120.666</v>
      </c>
      <c r="D6558" s="17">
        <v>42280</v>
      </c>
      <c r="E6558" t="s">
        <v>1725</v>
      </c>
    </row>
    <row r="6559" spans="3:5">
      <c r="C6559">
        <v>120.666</v>
      </c>
      <c r="D6559" s="17">
        <v>42660</v>
      </c>
      <c r="E6559" t="s">
        <v>479</v>
      </c>
    </row>
    <row r="6560" spans="3:5">
      <c r="C6560">
        <v>120.71199999999999</v>
      </c>
      <c r="D6560" s="17">
        <v>41967</v>
      </c>
      <c r="E6560" t="s">
        <v>456</v>
      </c>
    </row>
    <row r="6561" spans="3:5">
      <c r="C6561">
        <v>120.76800000000001</v>
      </c>
      <c r="D6561" s="17">
        <v>41950</v>
      </c>
      <c r="E6561" t="s">
        <v>1666</v>
      </c>
    </row>
    <row r="6562" spans="3:5">
      <c r="C6562">
        <v>120.78399999999999</v>
      </c>
      <c r="D6562" s="17">
        <v>42653</v>
      </c>
      <c r="E6562" t="s">
        <v>1563</v>
      </c>
    </row>
    <row r="6563" spans="3:5">
      <c r="C6563">
        <v>120.78399999999999</v>
      </c>
      <c r="D6563" s="17">
        <v>42765</v>
      </c>
      <c r="E6563" t="s">
        <v>191</v>
      </c>
    </row>
    <row r="6564" spans="3:5">
      <c r="C6564">
        <v>120.96</v>
      </c>
      <c r="D6564" s="17">
        <v>42901</v>
      </c>
      <c r="E6564" t="s">
        <v>846</v>
      </c>
    </row>
    <row r="6565" spans="3:5">
      <c r="C6565">
        <v>120.98</v>
      </c>
      <c r="D6565" s="17">
        <v>42660</v>
      </c>
      <c r="E6565" t="s">
        <v>547</v>
      </c>
    </row>
    <row r="6566" spans="3:5">
      <c r="C6566">
        <v>121.10400000000003</v>
      </c>
      <c r="D6566" s="17">
        <v>42273</v>
      </c>
      <c r="E6566" t="s">
        <v>298</v>
      </c>
    </row>
    <row r="6567" spans="3:5">
      <c r="C6567">
        <v>121.10400000000003</v>
      </c>
      <c r="D6567" s="17">
        <v>42321</v>
      </c>
      <c r="E6567" t="s">
        <v>298</v>
      </c>
    </row>
    <row r="6568" spans="3:5">
      <c r="C6568">
        <v>121.10400000000003</v>
      </c>
      <c r="D6568" s="17">
        <v>42468</v>
      </c>
      <c r="E6568" t="s">
        <v>298</v>
      </c>
    </row>
    <row r="6569" spans="3:5">
      <c r="C6569">
        <v>121.3</v>
      </c>
      <c r="D6569" s="17">
        <v>42957</v>
      </c>
      <c r="E6569" t="s">
        <v>921</v>
      </c>
    </row>
    <row r="6570" spans="3:5">
      <c r="C6570">
        <v>121.376</v>
      </c>
      <c r="D6570" s="17">
        <v>41859</v>
      </c>
      <c r="E6570" t="s">
        <v>1011</v>
      </c>
    </row>
    <row r="6571" spans="3:5">
      <c r="C6571">
        <v>121.536</v>
      </c>
      <c r="D6571" s="17">
        <v>42939</v>
      </c>
      <c r="E6571" t="s">
        <v>1006</v>
      </c>
    </row>
    <row r="6572" spans="3:5">
      <c r="C6572">
        <v>121.6</v>
      </c>
      <c r="D6572" s="17">
        <v>42658</v>
      </c>
      <c r="E6572" t="s">
        <v>831</v>
      </c>
    </row>
    <row r="6573" spans="3:5">
      <c r="C6573">
        <v>121.6</v>
      </c>
      <c r="D6573" s="17">
        <v>43050</v>
      </c>
      <c r="E6573" t="s">
        <v>831</v>
      </c>
    </row>
    <row r="6574" spans="3:5">
      <c r="C6574">
        <v>121.67999999999999</v>
      </c>
      <c r="D6574" s="17">
        <v>42826</v>
      </c>
      <c r="E6574" t="s">
        <v>478</v>
      </c>
    </row>
    <row r="6575" spans="3:5">
      <c r="C6575">
        <v>121.78</v>
      </c>
      <c r="D6575" s="17">
        <v>42629</v>
      </c>
      <c r="E6575" t="s">
        <v>1013</v>
      </c>
    </row>
    <row r="6576" spans="3:5">
      <c r="C6576">
        <v>121.79200000000002</v>
      </c>
      <c r="D6576" s="17">
        <v>41933</v>
      </c>
      <c r="E6576" t="s">
        <v>56</v>
      </c>
    </row>
    <row r="6577" spans="3:5">
      <c r="C6577">
        <v>121.79200000000002</v>
      </c>
      <c r="D6577" s="17">
        <v>42147</v>
      </c>
      <c r="E6577" t="s">
        <v>56</v>
      </c>
    </row>
    <row r="6578" spans="3:5">
      <c r="C6578">
        <v>121.94</v>
      </c>
      <c r="D6578" s="17">
        <v>42848</v>
      </c>
      <c r="E6578" t="s">
        <v>523</v>
      </c>
    </row>
    <row r="6579" spans="3:5">
      <c r="C6579">
        <v>121.96</v>
      </c>
      <c r="D6579" s="17">
        <v>42268</v>
      </c>
      <c r="E6579" t="s">
        <v>1543</v>
      </c>
    </row>
    <row r="6580" spans="3:5">
      <c r="C6580">
        <v>121.96</v>
      </c>
      <c r="D6580" s="17">
        <v>42549</v>
      </c>
      <c r="E6580" t="s">
        <v>658</v>
      </c>
    </row>
    <row r="6581" spans="3:5">
      <c r="C6581">
        <v>122.12</v>
      </c>
      <c r="D6581" s="17">
        <v>42544</v>
      </c>
      <c r="E6581" t="s">
        <v>330</v>
      </c>
    </row>
    <row r="6582" spans="3:5">
      <c r="C6582">
        <v>122.12</v>
      </c>
      <c r="D6582" s="17">
        <v>42713</v>
      </c>
      <c r="E6582" t="s">
        <v>1590</v>
      </c>
    </row>
    <row r="6583" spans="3:5">
      <c r="C6583">
        <v>122.12000000000002</v>
      </c>
      <c r="D6583" s="17">
        <v>42861</v>
      </c>
      <c r="E6583" t="s">
        <v>330</v>
      </c>
    </row>
    <row r="6584" spans="3:5">
      <c r="C6584">
        <v>122.13600000000001</v>
      </c>
      <c r="D6584" s="17">
        <v>42922</v>
      </c>
      <c r="E6584" t="s">
        <v>762</v>
      </c>
    </row>
    <row r="6585" spans="3:5">
      <c r="C6585">
        <v>122.32799999999999</v>
      </c>
      <c r="D6585" s="17">
        <v>42905</v>
      </c>
      <c r="E6585" t="s">
        <v>871</v>
      </c>
    </row>
    <row r="6586" spans="3:5">
      <c r="C6586">
        <v>122.328</v>
      </c>
      <c r="D6586" s="17">
        <v>42597</v>
      </c>
      <c r="E6586" t="s">
        <v>287</v>
      </c>
    </row>
    <row r="6587" spans="3:5">
      <c r="C6587">
        <v>122.352</v>
      </c>
      <c r="D6587" s="17">
        <v>41716</v>
      </c>
      <c r="E6587" t="s">
        <v>1848</v>
      </c>
    </row>
    <row r="6588" spans="3:5">
      <c r="C6588">
        <v>122.352</v>
      </c>
      <c r="D6588" s="17">
        <v>41915</v>
      </c>
      <c r="E6588" t="s">
        <v>971</v>
      </c>
    </row>
    <row r="6589" spans="3:5">
      <c r="C6589">
        <v>122.352</v>
      </c>
      <c r="D6589" s="17">
        <v>41922</v>
      </c>
      <c r="E6589" t="s">
        <v>971</v>
      </c>
    </row>
    <row r="6590" spans="3:5">
      <c r="C6590">
        <v>122.352</v>
      </c>
      <c r="D6590" s="17">
        <v>42530</v>
      </c>
      <c r="E6590" t="s">
        <v>971</v>
      </c>
    </row>
    <row r="6591" spans="3:5">
      <c r="C6591">
        <v>122.38199999999999</v>
      </c>
      <c r="D6591" s="17">
        <v>42513</v>
      </c>
      <c r="E6591" t="s">
        <v>570</v>
      </c>
    </row>
    <row r="6592" spans="3:5">
      <c r="C6592">
        <v>122.38199999999999</v>
      </c>
      <c r="D6592" s="17">
        <v>42845</v>
      </c>
      <c r="E6592" t="s">
        <v>570</v>
      </c>
    </row>
    <row r="6593" spans="3:5">
      <c r="C6593">
        <v>122.48</v>
      </c>
      <c r="D6593" s="17">
        <v>41993</v>
      </c>
      <c r="E6593" t="s">
        <v>1612</v>
      </c>
    </row>
    <row r="6594" spans="3:5">
      <c r="C6594">
        <v>122.688</v>
      </c>
      <c r="D6594" s="17">
        <v>42715</v>
      </c>
      <c r="E6594" t="s">
        <v>138</v>
      </c>
    </row>
    <row r="6595" spans="3:5">
      <c r="C6595">
        <v>122.71000000000001</v>
      </c>
      <c r="D6595" s="17">
        <v>42848</v>
      </c>
      <c r="E6595" t="s">
        <v>580</v>
      </c>
    </row>
    <row r="6596" spans="3:5">
      <c r="C6596">
        <v>122.91</v>
      </c>
      <c r="D6596" s="17">
        <v>42138</v>
      </c>
      <c r="E6596" t="s">
        <v>1268</v>
      </c>
    </row>
    <row r="6597" spans="3:5">
      <c r="C6597">
        <v>122.91999999999999</v>
      </c>
      <c r="D6597" s="17">
        <v>42694</v>
      </c>
      <c r="E6597" t="s">
        <v>1294</v>
      </c>
    </row>
    <row r="6598" spans="3:5">
      <c r="C6598">
        <v>122.94</v>
      </c>
      <c r="D6598" s="17">
        <v>41719</v>
      </c>
      <c r="E6598" t="s">
        <v>107</v>
      </c>
    </row>
    <row r="6599" spans="3:5">
      <c r="C6599">
        <v>122.94</v>
      </c>
      <c r="D6599" s="17">
        <v>42003</v>
      </c>
      <c r="E6599" t="s">
        <v>1815</v>
      </c>
    </row>
    <row r="6600" spans="3:5">
      <c r="C6600">
        <v>122.94</v>
      </c>
      <c r="D6600" s="17">
        <v>42194</v>
      </c>
      <c r="E6600" t="s">
        <v>107</v>
      </c>
    </row>
    <row r="6601" spans="3:5">
      <c r="C6601">
        <v>122.97</v>
      </c>
      <c r="D6601" s="17">
        <v>41719</v>
      </c>
      <c r="E6601" t="s">
        <v>613</v>
      </c>
    </row>
    <row r="6602" spans="3:5">
      <c r="C6602">
        <v>122.97</v>
      </c>
      <c r="D6602" s="17">
        <v>41736</v>
      </c>
      <c r="E6602" t="s">
        <v>720</v>
      </c>
    </row>
    <row r="6603" spans="3:5">
      <c r="C6603">
        <v>122.97</v>
      </c>
      <c r="D6603" s="17">
        <v>42405</v>
      </c>
      <c r="E6603" t="s">
        <v>825</v>
      </c>
    </row>
    <row r="6604" spans="3:5">
      <c r="C6604">
        <v>122.97</v>
      </c>
      <c r="D6604" s="17">
        <v>42609</v>
      </c>
      <c r="E6604" t="s">
        <v>613</v>
      </c>
    </row>
    <row r="6605" spans="3:5">
      <c r="C6605">
        <v>122.97</v>
      </c>
      <c r="D6605" s="17">
        <v>42897</v>
      </c>
      <c r="E6605" t="s">
        <v>825</v>
      </c>
    </row>
    <row r="6606" spans="3:5">
      <c r="C6606">
        <v>123.08799999999999</v>
      </c>
      <c r="D6606" s="17">
        <v>42476</v>
      </c>
      <c r="E6606" t="s">
        <v>1511</v>
      </c>
    </row>
    <row r="6607" spans="3:5">
      <c r="C6607">
        <v>123.136</v>
      </c>
      <c r="D6607" s="17">
        <v>41832</v>
      </c>
      <c r="E6607" t="s">
        <v>1492</v>
      </c>
    </row>
    <row r="6608" spans="3:5">
      <c r="C6608">
        <v>123.14399999999999</v>
      </c>
      <c r="D6608" s="17">
        <v>41950</v>
      </c>
      <c r="E6608" t="s">
        <v>626</v>
      </c>
    </row>
    <row r="6609" spans="3:5">
      <c r="C6609">
        <v>123.256</v>
      </c>
      <c r="D6609" s="17">
        <v>43027</v>
      </c>
      <c r="E6609" t="s">
        <v>827</v>
      </c>
    </row>
    <row r="6610" spans="3:5">
      <c r="C6610">
        <v>123.55199999999999</v>
      </c>
      <c r="D6610" s="17">
        <v>41846</v>
      </c>
      <c r="E6610" t="s">
        <v>546</v>
      </c>
    </row>
    <row r="6611" spans="3:5">
      <c r="C6611">
        <v>123.858</v>
      </c>
      <c r="D6611" s="17">
        <v>42319</v>
      </c>
      <c r="E6611" t="s">
        <v>1022</v>
      </c>
    </row>
    <row r="6612" spans="3:5">
      <c r="C6612">
        <v>123.92</v>
      </c>
      <c r="D6612" s="17">
        <v>41920</v>
      </c>
      <c r="E6612" t="s">
        <v>1407</v>
      </c>
    </row>
    <row r="6613" spans="3:5">
      <c r="C6613">
        <v>123.92</v>
      </c>
      <c r="D6613" s="17">
        <v>41954</v>
      </c>
      <c r="E6613" t="s">
        <v>1710</v>
      </c>
    </row>
    <row r="6614" spans="3:5">
      <c r="C6614">
        <v>123.92</v>
      </c>
      <c r="D6614" s="17">
        <v>42714</v>
      </c>
      <c r="E6614" t="s">
        <v>278</v>
      </c>
    </row>
    <row r="6615" spans="3:5">
      <c r="C6615">
        <v>123.92</v>
      </c>
      <c r="D6615" s="17">
        <v>42852</v>
      </c>
      <c r="E6615" t="s">
        <v>601</v>
      </c>
    </row>
    <row r="6616" spans="3:5">
      <c r="C6616">
        <v>123.92000000000002</v>
      </c>
      <c r="D6616" s="17">
        <v>42520</v>
      </c>
      <c r="E6616" t="s">
        <v>1613</v>
      </c>
    </row>
    <row r="6617" spans="3:5">
      <c r="C6617">
        <v>123.92000000000002</v>
      </c>
      <c r="D6617" s="17">
        <v>42554</v>
      </c>
      <c r="E6617" t="s">
        <v>863</v>
      </c>
    </row>
    <row r="6618" spans="3:5">
      <c r="C6618">
        <v>123.92000000000002</v>
      </c>
      <c r="D6618" s="17">
        <v>42790</v>
      </c>
      <c r="E6618" t="s">
        <v>278</v>
      </c>
    </row>
    <row r="6619" spans="3:5">
      <c r="C6619">
        <v>123.96000000000001</v>
      </c>
      <c r="D6619" s="17">
        <v>42132</v>
      </c>
      <c r="E6619" t="s">
        <v>1032</v>
      </c>
    </row>
    <row r="6620" spans="3:5">
      <c r="C6620">
        <v>123.96000000000001</v>
      </c>
      <c r="D6620" s="17">
        <v>42950</v>
      </c>
      <c r="E6620" t="s">
        <v>1032</v>
      </c>
    </row>
    <row r="6621" spans="3:5">
      <c r="C6621">
        <v>124.032</v>
      </c>
      <c r="D6621" s="17">
        <v>41995</v>
      </c>
      <c r="E6621" t="s">
        <v>1099</v>
      </c>
    </row>
    <row r="6622" spans="3:5">
      <c r="C6622">
        <v>124.10999999999999</v>
      </c>
      <c r="D6622" s="17">
        <v>41831</v>
      </c>
      <c r="E6622" t="s">
        <v>1370</v>
      </c>
    </row>
    <row r="6623" spans="3:5">
      <c r="C6623">
        <v>124.19999999999999</v>
      </c>
      <c r="D6623" s="17">
        <v>41655</v>
      </c>
      <c r="E6623" t="s">
        <v>184</v>
      </c>
    </row>
    <row r="6624" spans="3:5">
      <c r="C6624">
        <v>124.20000000000002</v>
      </c>
      <c r="D6624" s="17">
        <v>42264</v>
      </c>
      <c r="E6624" t="s">
        <v>308</v>
      </c>
    </row>
    <row r="6625" spans="3:5">
      <c r="C6625">
        <v>124.25</v>
      </c>
      <c r="D6625" s="17">
        <v>42576</v>
      </c>
      <c r="E6625" t="s">
        <v>441</v>
      </c>
    </row>
    <row r="6626" spans="3:5">
      <c r="C6626">
        <v>124.36</v>
      </c>
      <c r="D6626" s="17">
        <v>42248</v>
      </c>
      <c r="E6626" t="s">
        <v>1527</v>
      </c>
    </row>
    <row r="6627" spans="3:5">
      <c r="C6627">
        <v>124.36</v>
      </c>
      <c r="D6627" s="17">
        <v>43086</v>
      </c>
      <c r="E6627" t="s">
        <v>1527</v>
      </c>
    </row>
    <row r="6628" spans="3:5">
      <c r="C6628">
        <v>124.36</v>
      </c>
      <c r="D6628" s="17">
        <v>43090</v>
      </c>
      <c r="E6628" t="s">
        <v>137</v>
      </c>
    </row>
    <row r="6629" spans="3:5">
      <c r="C6629">
        <v>124.404</v>
      </c>
      <c r="D6629" s="17">
        <v>42937</v>
      </c>
      <c r="E6629" t="s">
        <v>999</v>
      </c>
    </row>
    <row r="6630" spans="3:5">
      <c r="C6630">
        <v>124.41</v>
      </c>
      <c r="D6630" s="17">
        <v>41960</v>
      </c>
      <c r="E6630" t="s">
        <v>1834</v>
      </c>
    </row>
    <row r="6631" spans="3:5">
      <c r="C6631">
        <v>124.46</v>
      </c>
      <c r="D6631" s="17">
        <v>42273</v>
      </c>
      <c r="E6631" t="s">
        <v>1695</v>
      </c>
    </row>
    <row r="6632" spans="3:5">
      <c r="C6632">
        <v>124.608</v>
      </c>
      <c r="D6632" s="17">
        <v>42526</v>
      </c>
      <c r="E6632" t="s">
        <v>1644</v>
      </c>
    </row>
    <row r="6633" spans="3:5">
      <c r="C6633">
        <v>124.75</v>
      </c>
      <c r="D6633" s="17">
        <v>43024</v>
      </c>
      <c r="E6633" t="s">
        <v>1322</v>
      </c>
    </row>
    <row r="6634" spans="3:5">
      <c r="C6634">
        <v>124.79200000000002</v>
      </c>
      <c r="D6634" s="17">
        <v>42783</v>
      </c>
      <c r="E6634" t="s">
        <v>246</v>
      </c>
    </row>
    <row r="6635" spans="3:5">
      <c r="C6635">
        <v>124.79200000000002</v>
      </c>
      <c r="D6635" s="17">
        <v>42945</v>
      </c>
      <c r="E6635" t="s">
        <v>1019</v>
      </c>
    </row>
    <row r="6636" spans="3:5">
      <c r="C6636">
        <v>124.94999999999999</v>
      </c>
      <c r="D6636" s="17">
        <v>42191</v>
      </c>
      <c r="E6636" t="s">
        <v>1254</v>
      </c>
    </row>
    <row r="6637" spans="3:5">
      <c r="C6637">
        <v>125.13</v>
      </c>
      <c r="D6637" s="17">
        <v>42883</v>
      </c>
      <c r="E6637" t="s">
        <v>766</v>
      </c>
    </row>
    <row r="6638" spans="3:5">
      <c r="C6638">
        <v>125.36</v>
      </c>
      <c r="D6638" s="17">
        <v>42400</v>
      </c>
      <c r="E6638" t="s">
        <v>427</v>
      </c>
    </row>
    <row r="6639" spans="3:5">
      <c r="C6639">
        <v>125.69999999999999</v>
      </c>
      <c r="D6639" s="17">
        <v>42663</v>
      </c>
      <c r="E6639" t="s">
        <v>1537</v>
      </c>
    </row>
    <row r="6640" spans="3:5">
      <c r="C6640">
        <v>125.76</v>
      </c>
      <c r="D6640" s="17">
        <v>41701</v>
      </c>
      <c r="E6640" t="s">
        <v>1585</v>
      </c>
    </row>
    <row r="6641" spans="3:5">
      <c r="C6641">
        <v>125.88</v>
      </c>
      <c r="D6641" s="17">
        <v>42952</v>
      </c>
      <c r="E6641" t="s">
        <v>567</v>
      </c>
    </row>
    <row r="6642" spans="3:5">
      <c r="C6642">
        <v>125.92999999999999</v>
      </c>
      <c r="D6642" s="17">
        <v>42128</v>
      </c>
      <c r="E6642" t="s">
        <v>1148</v>
      </c>
    </row>
    <row r="6643" spans="3:5">
      <c r="C6643">
        <v>125.944</v>
      </c>
      <c r="D6643" s="17">
        <v>42175</v>
      </c>
      <c r="E6643" t="s">
        <v>1728</v>
      </c>
    </row>
    <row r="6644" spans="3:5">
      <c r="C6644">
        <v>125.97600000000001</v>
      </c>
      <c r="D6644" s="17">
        <v>42175</v>
      </c>
      <c r="E6644" t="s">
        <v>919</v>
      </c>
    </row>
    <row r="6645" spans="3:5">
      <c r="C6645">
        <v>125.99</v>
      </c>
      <c r="D6645" s="17">
        <v>42349</v>
      </c>
      <c r="E6645" t="s">
        <v>876</v>
      </c>
    </row>
    <row r="6646" spans="3:5">
      <c r="C6646">
        <v>125.99</v>
      </c>
      <c r="D6646" s="17">
        <v>42520</v>
      </c>
      <c r="E6646" t="s">
        <v>794</v>
      </c>
    </row>
    <row r="6647" spans="3:5">
      <c r="C6647">
        <v>126.08</v>
      </c>
      <c r="D6647" s="17">
        <v>42442</v>
      </c>
      <c r="E6647" t="s">
        <v>1777</v>
      </c>
    </row>
    <row r="6648" spans="3:5">
      <c r="C6648">
        <v>126.30000000000001</v>
      </c>
      <c r="D6648" s="17">
        <v>42913</v>
      </c>
      <c r="E6648" t="s">
        <v>900</v>
      </c>
    </row>
    <row r="6649" spans="3:5">
      <c r="C6649">
        <v>126.30000000000001</v>
      </c>
      <c r="D6649" s="17">
        <v>43065</v>
      </c>
      <c r="E6649" t="s">
        <v>900</v>
      </c>
    </row>
    <row r="6650" spans="3:5">
      <c r="C6650">
        <v>126.56</v>
      </c>
      <c r="D6650" s="17">
        <v>42985</v>
      </c>
      <c r="E6650" t="s">
        <v>1152</v>
      </c>
    </row>
    <row r="6651" spans="3:5">
      <c r="C6651">
        <v>126.624</v>
      </c>
      <c r="D6651" s="17">
        <v>41715</v>
      </c>
      <c r="E6651" t="s">
        <v>1004</v>
      </c>
    </row>
    <row r="6652" spans="3:5">
      <c r="C6652">
        <v>127.10400000000001</v>
      </c>
      <c r="D6652" s="17">
        <v>41655</v>
      </c>
      <c r="E6652" t="s">
        <v>459</v>
      </c>
    </row>
    <row r="6653" spans="3:5">
      <c r="C6653">
        <v>127.30199999999999</v>
      </c>
      <c r="D6653" s="17">
        <v>41728</v>
      </c>
      <c r="E6653" t="s">
        <v>1310</v>
      </c>
    </row>
    <row r="6654" spans="3:5">
      <c r="C6654">
        <v>127.372</v>
      </c>
      <c r="D6654" s="17">
        <v>43045</v>
      </c>
      <c r="E6654" t="s">
        <v>485</v>
      </c>
    </row>
    <row r="6655" spans="3:5">
      <c r="C6655">
        <v>127.38599999999998</v>
      </c>
      <c r="D6655" s="17">
        <v>43057</v>
      </c>
      <c r="E6655" t="s">
        <v>434</v>
      </c>
    </row>
    <row r="6656" spans="3:5">
      <c r="C6656">
        <v>127.554</v>
      </c>
      <c r="D6656" s="17">
        <v>42695</v>
      </c>
      <c r="E6656" t="s">
        <v>1144</v>
      </c>
    </row>
    <row r="6657" spans="3:5">
      <c r="C6657">
        <v>127.76400000000001</v>
      </c>
      <c r="D6657" s="17">
        <v>42110</v>
      </c>
      <c r="E6657" t="s">
        <v>305</v>
      </c>
    </row>
    <row r="6658" spans="3:5">
      <c r="C6658">
        <v>127.76400000000001</v>
      </c>
      <c r="D6658" s="17">
        <v>42132</v>
      </c>
      <c r="E6658" t="s">
        <v>721</v>
      </c>
    </row>
    <row r="6659" spans="3:5">
      <c r="C6659">
        <v>127.76400000000002</v>
      </c>
      <c r="D6659" s="17">
        <v>42199</v>
      </c>
      <c r="E6659" t="s">
        <v>84</v>
      </c>
    </row>
    <row r="6660" spans="3:5">
      <c r="C6660">
        <v>127.785</v>
      </c>
      <c r="D6660" s="17">
        <v>43062</v>
      </c>
      <c r="E6660" t="s">
        <v>1330</v>
      </c>
    </row>
    <row r="6661" spans="3:5">
      <c r="C6661">
        <v>127.869</v>
      </c>
      <c r="D6661" s="17">
        <v>41764</v>
      </c>
      <c r="E6661" t="s">
        <v>1013</v>
      </c>
    </row>
    <row r="6662" spans="3:5">
      <c r="C6662">
        <v>127.88</v>
      </c>
      <c r="D6662" s="17">
        <v>42442</v>
      </c>
      <c r="E6662" t="s">
        <v>1229</v>
      </c>
    </row>
    <row r="6663" spans="3:5">
      <c r="C6663">
        <v>127.88</v>
      </c>
      <c r="D6663" s="17">
        <v>42478</v>
      </c>
      <c r="E6663" t="s">
        <v>1597</v>
      </c>
    </row>
    <row r="6664" spans="3:5">
      <c r="C6664">
        <v>127.90400000000001</v>
      </c>
      <c r="D6664" s="17">
        <v>42136</v>
      </c>
      <c r="E6664" t="s">
        <v>1601</v>
      </c>
    </row>
    <row r="6665" spans="3:5">
      <c r="C6665">
        <v>127.92000000000002</v>
      </c>
      <c r="D6665" s="17">
        <v>42867</v>
      </c>
      <c r="E6665" t="s">
        <v>269</v>
      </c>
    </row>
    <row r="6666" spans="3:5">
      <c r="C6666">
        <v>127.93599999999999</v>
      </c>
      <c r="D6666" s="17">
        <v>42992</v>
      </c>
      <c r="E6666" t="s">
        <v>945</v>
      </c>
    </row>
    <row r="6667" spans="3:5">
      <c r="C6667">
        <v>127.94999999999999</v>
      </c>
      <c r="D6667" s="17">
        <v>41893</v>
      </c>
      <c r="E6667" t="s">
        <v>486</v>
      </c>
    </row>
    <row r="6668" spans="3:5">
      <c r="C6668">
        <v>127.94999999999999</v>
      </c>
      <c r="D6668" s="17">
        <v>42637</v>
      </c>
      <c r="E6668" t="s">
        <v>486</v>
      </c>
    </row>
    <row r="6669" spans="3:5">
      <c r="C6669">
        <v>127.94999999999999</v>
      </c>
      <c r="D6669" s="17">
        <v>42826</v>
      </c>
      <c r="E6669" t="s">
        <v>486</v>
      </c>
    </row>
    <row r="6670" spans="3:5">
      <c r="C6670">
        <v>127.96</v>
      </c>
      <c r="D6670" s="17">
        <v>42149</v>
      </c>
      <c r="E6670" t="s">
        <v>1270</v>
      </c>
    </row>
    <row r="6671" spans="3:5">
      <c r="C6671">
        <v>127.96</v>
      </c>
      <c r="D6671" s="17">
        <v>42799</v>
      </c>
      <c r="E6671" t="s">
        <v>314</v>
      </c>
    </row>
    <row r="6672" spans="3:5">
      <c r="C6672">
        <v>127.98399999999999</v>
      </c>
      <c r="D6672" s="17">
        <v>41955</v>
      </c>
      <c r="E6672" t="s">
        <v>1395</v>
      </c>
    </row>
    <row r="6673" spans="3:5">
      <c r="C6673">
        <v>127.98399999999999</v>
      </c>
      <c r="D6673" s="17">
        <v>42775</v>
      </c>
      <c r="E6673" t="s">
        <v>221</v>
      </c>
    </row>
    <row r="6674" spans="3:5">
      <c r="C6674">
        <v>127.98399999999999</v>
      </c>
      <c r="D6674" s="17">
        <v>43076</v>
      </c>
      <c r="E6674" t="s">
        <v>1395</v>
      </c>
    </row>
    <row r="6675" spans="3:5">
      <c r="C6675">
        <v>128.05799999999999</v>
      </c>
      <c r="D6675" s="17">
        <v>42119</v>
      </c>
      <c r="E6675" t="s">
        <v>658</v>
      </c>
    </row>
    <row r="6676" spans="3:5">
      <c r="C6676">
        <v>128.05799999999999</v>
      </c>
      <c r="D6676" s="17">
        <v>42863</v>
      </c>
      <c r="E6676" t="s">
        <v>658</v>
      </c>
    </row>
    <row r="6677" spans="3:5">
      <c r="C6677">
        <v>128.12400000000002</v>
      </c>
      <c r="D6677" s="17">
        <v>43044</v>
      </c>
      <c r="E6677" t="s">
        <v>1113</v>
      </c>
    </row>
    <row r="6678" spans="3:5">
      <c r="C6678">
        <v>128.34</v>
      </c>
      <c r="D6678" s="17">
        <v>42635</v>
      </c>
      <c r="E6678" t="s">
        <v>562</v>
      </c>
    </row>
    <row r="6679" spans="3:5">
      <c r="C6679">
        <v>128.39999999999998</v>
      </c>
      <c r="D6679" s="17">
        <v>42433</v>
      </c>
      <c r="E6679" t="s">
        <v>333</v>
      </c>
    </row>
    <row r="6680" spans="3:5">
      <c r="C6680">
        <v>128.39999999999998</v>
      </c>
      <c r="D6680" s="17">
        <v>42694</v>
      </c>
      <c r="E6680" t="s">
        <v>628</v>
      </c>
    </row>
    <row r="6681" spans="3:5">
      <c r="C6681">
        <v>128.744</v>
      </c>
      <c r="D6681" s="17">
        <v>42272</v>
      </c>
      <c r="E6681" t="s">
        <v>1449</v>
      </c>
    </row>
    <row r="6682" spans="3:5">
      <c r="C6682">
        <v>128.744</v>
      </c>
      <c r="D6682" s="17">
        <v>43015</v>
      </c>
      <c r="E6682" t="s">
        <v>713</v>
      </c>
    </row>
    <row r="6683" spans="3:5">
      <c r="C6683">
        <v>128.82</v>
      </c>
      <c r="D6683" s="17">
        <v>42208</v>
      </c>
      <c r="E6683" t="s">
        <v>271</v>
      </c>
    </row>
    <row r="6684" spans="3:5">
      <c r="C6684">
        <v>128.85000000000002</v>
      </c>
      <c r="D6684" s="17">
        <v>42154</v>
      </c>
      <c r="E6684" t="s">
        <v>364</v>
      </c>
    </row>
    <row r="6685" spans="3:5">
      <c r="C6685">
        <v>128.85000000000002</v>
      </c>
      <c r="D6685" s="17">
        <v>42218</v>
      </c>
      <c r="E6685" t="s">
        <v>364</v>
      </c>
    </row>
    <row r="6686" spans="3:5">
      <c r="C6686">
        <v>128.85000000000002</v>
      </c>
      <c r="D6686" s="17">
        <v>43080</v>
      </c>
      <c r="E6686" t="s">
        <v>364</v>
      </c>
    </row>
    <row r="6687" spans="3:5">
      <c r="C6687">
        <v>128.9</v>
      </c>
      <c r="D6687" s="17">
        <v>43077</v>
      </c>
      <c r="E6687" t="s">
        <v>1510</v>
      </c>
    </row>
    <row r="6688" spans="3:5">
      <c r="C6688">
        <v>129.30000000000001</v>
      </c>
      <c r="D6688" s="17">
        <v>41728</v>
      </c>
      <c r="E6688" t="s">
        <v>188</v>
      </c>
    </row>
    <row r="6689" spans="3:5">
      <c r="C6689">
        <v>129.30000000000001</v>
      </c>
      <c r="D6689" s="17">
        <v>42765</v>
      </c>
      <c r="E6689" t="s">
        <v>188</v>
      </c>
    </row>
    <row r="6690" spans="3:5">
      <c r="C6690">
        <v>129.30000000000001</v>
      </c>
      <c r="D6690" s="17">
        <v>42905</v>
      </c>
      <c r="E6690" t="s">
        <v>188</v>
      </c>
    </row>
    <row r="6691" spans="3:5">
      <c r="C6691">
        <v>129.39000000000001</v>
      </c>
      <c r="D6691" s="17">
        <v>42919</v>
      </c>
      <c r="E6691" t="s">
        <v>49</v>
      </c>
    </row>
    <row r="6692" spans="3:5">
      <c r="C6692">
        <v>129.44999999999999</v>
      </c>
      <c r="D6692" s="17">
        <v>42250</v>
      </c>
      <c r="E6692" t="s">
        <v>581</v>
      </c>
    </row>
    <row r="6693" spans="3:5">
      <c r="C6693">
        <v>129.55199999999999</v>
      </c>
      <c r="D6693" s="17">
        <v>41699</v>
      </c>
      <c r="E6693" t="s">
        <v>1742</v>
      </c>
    </row>
    <row r="6694" spans="3:5">
      <c r="C6694">
        <v>129.55199999999999</v>
      </c>
      <c r="D6694" s="17">
        <v>42472</v>
      </c>
      <c r="E6694" t="s">
        <v>1742</v>
      </c>
    </row>
    <row r="6695" spans="3:5">
      <c r="C6695">
        <v>129.56800000000001</v>
      </c>
      <c r="D6695" s="17">
        <v>41682</v>
      </c>
      <c r="E6695" t="s">
        <v>735</v>
      </c>
    </row>
    <row r="6696" spans="3:5">
      <c r="C6696">
        <v>129.56800000000001</v>
      </c>
      <c r="D6696" s="17">
        <v>42085</v>
      </c>
      <c r="E6696" t="s">
        <v>131</v>
      </c>
    </row>
    <row r="6697" spans="3:5">
      <c r="C6697">
        <v>129.56800000000001</v>
      </c>
      <c r="D6697" s="17">
        <v>42250</v>
      </c>
      <c r="E6697" t="s">
        <v>1190</v>
      </c>
    </row>
    <row r="6698" spans="3:5">
      <c r="C6698">
        <v>129.88800000000001</v>
      </c>
      <c r="D6698" s="17">
        <v>41848</v>
      </c>
      <c r="E6698" t="s">
        <v>1153</v>
      </c>
    </row>
    <row r="6699" spans="3:5">
      <c r="C6699">
        <v>129.91999999999999</v>
      </c>
      <c r="D6699" s="17">
        <v>41919</v>
      </c>
      <c r="E6699" t="s">
        <v>614</v>
      </c>
    </row>
    <row r="6700" spans="3:5">
      <c r="C6700">
        <v>129.91999999999999</v>
      </c>
      <c r="D6700" s="17">
        <v>41934</v>
      </c>
      <c r="E6700" t="s">
        <v>588</v>
      </c>
    </row>
    <row r="6701" spans="3:5">
      <c r="C6701">
        <v>129.91999999999999</v>
      </c>
      <c r="D6701" s="17">
        <v>42617</v>
      </c>
      <c r="E6701" t="s">
        <v>1410</v>
      </c>
    </row>
    <row r="6702" spans="3:5">
      <c r="C6702">
        <v>129.91999999999999</v>
      </c>
      <c r="D6702" s="17">
        <v>42684</v>
      </c>
      <c r="E6702" t="s">
        <v>223</v>
      </c>
    </row>
    <row r="6703" spans="3:5">
      <c r="C6703">
        <v>129.91999999999999</v>
      </c>
      <c r="D6703" s="17">
        <v>42968</v>
      </c>
      <c r="E6703" t="s">
        <v>588</v>
      </c>
    </row>
    <row r="6704" spans="3:5">
      <c r="C6704">
        <v>129.93</v>
      </c>
      <c r="D6704" s="17">
        <v>42260</v>
      </c>
      <c r="E6704" t="s">
        <v>621</v>
      </c>
    </row>
    <row r="6705" spans="3:5">
      <c r="C6705">
        <v>129.93</v>
      </c>
      <c r="D6705" s="17">
        <v>42857</v>
      </c>
      <c r="E6705" t="s">
        <v>621</v>
      </c>
    </row>
    <row r="6706" spans="3:5">
      <c r="C6706">
        <v>129.97999999999999</v>
      </c>
      <c r="D6706" s="17">
        <v>41977</v>
      </c>
      <c r="E6706" t="s">
        <v>895</v>
      </c>
    </row>
    <row r="6707" spans="3:5">
      <c r="C6707">
        <v>129.97999999999999</v>
      </c>
      <c r="D6707" s="17">
        <v>42446</v>
      </c>
      <c r="E6707" t="s">
        <v>895</v>
      </c>
    </row>
    <row r="6708" spans="3:5">
      <c r="C6708">
        <v>130.11199999999999</v>
      </c>
      <c r="D6708" s="17">
        <v>43087</v>
      </c>
      <c r="E6708" t="s">
        <v>1182</v>
      </c>
    </row>
    <row r="6709" spans="3:5">
      <c r="C6709">
        <v>130.464</v>
      </c>
      <c r="D6709" s="17">
        <v>41876</v>
      </c>
      <c r="E6709" t="s">
        <v>85</v>
      </c>
    </row>
    <row r="6710" spans="3:5">
      <c r="C6710">
        <v>130.71</v>
      </c>
      <c r="D6710" s="17">
        <v>42915</v>
      </c>
      <c r="E6710" t="s">
        <v>903</v>
      </c>
    </row>
    <row r="6711" spans="3:5">
      <c r="C6711">
        <v>130.97999999999999</v>
      </c>
      <c r="D6711" s="17">
        <v>42972</v>
      </c>
      <c r="E6711" t="s">
        <v>619</v>
      </c>
    </row>
    <row r="6712" spans="3:5">
      <c r="C6712">
        <v>131.10400000000001</v>
      </c>
      <c r="D6712" s="17">
        <v>42365</v>
      </c>
      <c r="E6712" t="s">
        <v>1598</v>
      </c>
    </row>
    <row r="6713" spans="3:5">
      <c r="C6713">
        <v>131.136</v>
      </c>
      <c r="D6713" s="17">
        <v>42621</v>
      </c>
      <c r="E6713" t="s">
        <v>1204</v>
      </c>
    </row>
    <row r="6714" spans="3:5">
      <c r="C6714">
        <v>131.376</v>
      </c>
      <c r="D6714" s="17">
        <v>42292</v>
      </c>
      <c r="E6714" t="s">
        <v>1508</v>
      </c>
    </row>
    <row r="6715" spans="3:5">
      <c r="C6715">
        <v>131.6</v>
      </c>
      <c r="D6715" s="17">
        <v>42518</v>
      </c>
      <c r="E6715" t="s">
        <v>1169</v>
      </c>
    </row>
    <row r="6716" spans="3:5">
      <c r="C6716">
        <v>131.88</v>
      </c>
      <c r="D6716" s="17">
        <v>42260</v>
      </c>
      <c r="E6716" t="s">
        <v>78</v>
      </c>
    </row>
    <row r="6717" spans="3:5">
      <c r="C6717">
        <v>131.88000000000002</v>
      </c>
      <c r="D6717" s="17">
        <v>42727</v>
      </c>
      <c r="E6717" t="s">
        <v>1477</v>
      </c>
    </row>
    <row r="6718" spans="3:5">
      <c r="C6718">
        <v>131.904</v>
      </c>
      <c r="D6718" s="17">
        <v>41713</v>
      </c>
      <c r="E6718" t="s">
        <v>1724</v>
      </c>
    </row>
    <row r="6719" spans="3:5">
      <c r="C6719">
        <v>131.904</v>
      </c>
      <c r="D6719" s="17">
        <v>42303</v>
      </c>
      <c r="E6719" t="s">
        <v>947</v>
      </c>
    </row>
    <row r="6720" spans="3:5">
      <c r="C6720">
        <v>131.94</v>
      </c>
      <c r="D6720" s="17">
        <v>42875</v>
      </c>
      <c r="E6720" t="s">
        <v>731</v>
      </c>
    </row>
    <row r="6721" spans="3:5">
      <c r="C6721">
        <v>131.97999999999999</v>
      </c>
      <c r="D6721" s="17">
        <v>42245</v>
      </c>
      <c r="E6721" t="s">
        <v>1161</v>
      </c>
    </row>
    <row r="6722" spans="3:5">
      <c r="C6722">
        <v>131.97999999999999</v>
      </c>
      <c r="D6722" s="17">
        <v>43070</v>
      </c>
      <c r="E6722" t="s">
        <v>782</v>
      </c>
    </row>
    <row r="6723" spans="3:5">
      <c r="C6723">
        <v>132.16</v>
      </c>
      <c r="D6723" s="17">
        <v>41995</v>
      </c>
      <c r="E6723" t="s">
        <v>1023</v>
      </c>
    </row>
    <row r="6724" spans="3:5">
      <c r="C6724">
        <v>132.22400000000002</v>
      </c>
      <c r="D6724" s="17">
        <v>42406</v>
      </c>
      <c r="E6724" t="s">
        <v>1032</v>
      </c>
    </row>
    <row r="6725" spans="3:5">
      <c r="C6725">
        <v>132.52000000000001</v>
      </c>
      <c r="D6725" s="17">
        <v>42896</v>
      </c>
      <c r="E6725" t="s">
        <v>818</v>
      </c>
    </row>
    <row r="6726" spans="3:5">
      <c r="C6726">
        <v>132.52000000000001</v>
      </c>
      <c r="D6726" s="17">
        <v>43057</v>
      </c>
      <c r="E6726" t="s">
        <v>818</v>
      </c>
    </row>
    <row r="6727" spans="3:5">
      <c r="C6727">
        <v>132.52000000000004</v>
      </c>
      <c r="D6727" s="17">
        <v>42493</v>
      </c>
      <c r="E6727" t="s">
        <v>818</v>
      </c>
    </row>
    <row r="6728" spans="3:5">
      <c r="C6728">
        <v>132.60000000000002</v>
      </c>
      <c r="D6728" s="17">
        <v>42927</v>
      </c>
      <c r="E6728" t="s">
        <v>777</v>
      </c>
    </row>
    <row r="6729" spans="3:5">
      <c r="C6729">
        <v>132.696</v>
      </c>
      <c r="D6729" s="17">
        <v>41793</v>
      </c>
      <c r="E6729" t="s">
        <v>313</v>
      </c>
    </row>
    <row r="6730" spans="3:5">
      <c r="C6730">
        <v>132.79</v>
      </c>
      <c r="D6730" s="17">
        <v>42362</v>
      </c>
      <c r="E6730" t="s">
        <v>181</v>
      </c>
    </row>
    <row r="6731" spans="3:5">
      <c r="C6731">
        <v>133.12</v>
      </c>
      <c r="D6731" s="17">
        <v>42874</v>
      </c>
      <c r="E6731" t="s">
        <v>683</v>
      </c>
    </row>
    <row r="6732" spans="3:5">
      <c r="C6732">
        <v>133.20000000000002</v>
      </c>
      <c r="D6732" s="17">
        <v>42952</v>
      </c>
      <c r="E6732" t="s">
        <v>1036</v>
      </c>
    </row>
    <row r="6733" spans="3:5">
      <c r="C6733">
        <v>133.38</v>
      </c>
      <c r="D6733" s="17">
        <v>42718</v>
      </c>
      <c r="E6733" t="s">
        <v>913</v>
      </c>
    </row>
    <row r="6734" spans="3:5">
      <c r="C6734">
        <v>133.47200000000001</v>
      </c>
      <c r="D6734" s="17">
        <v>42226</v>
      </c>
      <c r="E6734" t="s">
        <v>766</v>
      </c>
    </row>
    <row r="6735" spans="3:5">
      <c r="C6735">
        <v>133.97999999999999</v>
      </c>
      <c r="D6735" s="17">
        <v>42171</v>
      </c>
      <c r="E6735" t="s">
        <v>126</v>
      </c>
    </row>
    <row r="6736" spans="3:5">
      <c r="C6736">
        <v>134.01</v>
      </c>
      <c r="D6736" s="17">
        <v>41846</v>
      </c>
      <c r="E6736" t="s">
        <v>262</v>
      </c>
    </row>
    <row r="6737" spans="3:5">
      <c r="C6737">
        <v>134.27200000000002</v>
      </c>
      <c r="D6737" s="17">
        <v>42696</v>
      </c>
      <c r="E6737" t="s">
        <v>997</v>
      </c>
    </row>
    <row r="6738" spans="3:5">
      <c r="C6738">
        <v>134.28800000000001</v>
      </c>
      <c r="D6738" s="17">
        <v>42604</v>
      </c>
      <c r="E6738" t="s">
        <v>144</v>
      </c>
    </row>
    <row r="6739" spans="3:5">
      <c r="C6739">
        <v>134.376</v>
      </c>
      <c r="D6739" s="17">
        <v>42251</v>
      </c>
      <c r="E6739" t="s">
        <v>1123</v>
      </c>
    </row>
    <row r="6740" spans="3:5">
      <c r="C6740">
        <v>134.47999999999999</v>
      </c>
      <c r="D6740" s="17">
        <v>42351</v>
      </c>
      <c r="E6740" t="s">
        <v>475</v>
      </c>
    </row>
    <row r="6741" spans="3:5">
      <c r="C6741">
        <v>134.80000000000001</v>
      </c>
      <c r="D6741" s="17">
        <v>42718</v>
      </c>
      <c r="E6741" t="s">
        <v>95</v>
      </c>
    </row>
    <row r="6742" spans="3:5">
      <c r="C6742">
        <v>134.85000000000002</v>
      </c>
      <c r="D6742" s="17">
        <v>42432</v>
      </c>
      <c r="E6742" t="s">
        <v>1075</v>
      </c>
    </row>
    <row r="6743" spans="3:5">
      <c r="C6743">
        <v>134.97</v>
      </c>
      <c r="D6743" s="17">
        <v>42050</v>
      </c>
      <c r="E6743" t="s">
        <v>798</v>
      </c>
    </row>
    <row r="6744" spans="3:5">
      <c r="C6744">
        <v>134.99</v>
      </c>
      <c r="D6744" s="17">
        <v>42348</v>
      </c>
      <c r="E6744" t="s">
        <v>1078</v>
      </c>
    </row>
    <row r="6745" spans="3:5">
      <c r="C6745">
        <v>135.09</v>
      </c>
      <c r="D6745" s="17">
        <v>42209</v>
      </c>
      <c r="E6745" t="s">
        <v>1052</v>
      </c>
    </row>
    <row r="6746" spans="3:5">
      <c r="C6746">
        <v>135.29999999999998</v>
      </c>
      <c r="D6746" s="17">
        <v>42985</v>
      </c>
      <c r="E6746" t="s">
        <v>1153</v>
      </c>
    </row>
    <row r="6747" spans="3:5">
      <c r="C6747">
        <v>135.29999999999998</v>
      </c>
      <c r="D6747" s="17">
        <v>43065</v>
      </c>
      <c r="E6747" t="s">
        <v>1153</v>
      </c>
    </row>
    <row r="6748" spans="3:5">
      <c r="C6748">
        <v>135.51599999999999</v>
      </c>
      <c r="D6748" s="17">
        <v>41891</v>
      </c>
      <c r="E6748" t="s">
        <v>469</v>
      </c>
    </row>
    <row r="6749" spans="3:5">
      <c r="C6749">
        <v>135.72</v>
      </c>
      <c r="D6749" s="17">
        <v>42289</v>
      </c>
      <c r="E6749" t="s">
        <v>1547</v>
      </c>
    </row>
    <row r="6750" spans="3:5">
      <c r="C6750">
        <v>135.79999999999998</v>
      </c>
      <c r="D6750" s="17">
        <v>42421</v>
      </c>
      <c r="E6750" t="s">
        <v>1445</v>
      </c>
    </row>
    <row r="6751" spans="3:5">
      <c r="C6751">
        <v>135.88200000000001</v>
      </c>
      <c r="D6751" s="17">
        <v>41947</v>
      </c>
      <c r="E6751" t="s">
        <v>565</v>
      </c>
    </row>
    <row r="6752" spans="3:5">
      <c r="C6752">
        <v>135.9</v>
      </c>
      <c r="D6752" s="17">
        <v>42605</v>
      </c>
      <c r="E6752" t="s">
        <v>85</v>
      </c>
    </row>
    <row r="6753" spans="3:5">
      <c r="C6753">
        <v>135.94999999999999</v>
      </c>
      <c r="D6753" s="17">
        <v>42547</v>
      </c>
      <c r="E6753" t="s">
        <v>1738</v>
      </c>
    </row>
    <row r="6754" spans="3:5">
      <c r="C6754">
        <v>135.97999999999999</v>
      </c>
      <c r="D6754" s="17">
        <v>41781</v>
      </c>
      <c r="E6754" t="s">
        <v>892</v>
      </c>
    </row>
    <row r="6755" spans="3:5">
      <c r="C6755">
        <v>135.98400000000001</v>
      </c>
      <c r="D6755" s="17">
        <v>42355</v>
      </c>
      <c r="E6755" t="s">
        <v>1411</v>
      </c>
    </row>
    <row r="6756" spans="3:5">
      <c r="C6756">
        <v>135.99</v>
      </c>
      <c r="D6756" s="17">
        <v>41856</v>
      </c>
      <c r="E6756" t="s">
        <v>1390</v>
      </c>
    </row>
    <row r="6757" spans="3:5">
      <c r="C6757">
        <v>135.99</v>
      </c>
      <c r="D6757" s="17">
        <v>42203</v>
      </c>
      <c r="E6757" t="s">
        <v>1390</v>
      </c>
    </row>
    <row r="6758" spans="3:5">
      <c r="C6758">
        <v>136.26</v>
      </c>
      <c r="D6758" s="17">
        <v>42889</v>
      </c>
      <c r="E6758" t="s">
        <v>797</v>
      </c>
    </row>
    <row r="6759" spans="3:5">
      <c r="C6759">
        <v>136.46400000000003</v>
      </c>
      <c r="D6759" s="17">
        <v>42584</v>
      </c>
      <c r="E6759" t="s">
        <v>1721</v>
      </c>
    </row>
    <row r="6760" spans="3:5">
      <c r="C6760">
        <v>136.53</v>
      </c>
      <c r="D6760" s="17">
        <v>41987</v>
      </c>
      <c r="E6760" t="s">
        <v>1546</v>
      </c>
    </row>
    <row r="6761" spans="3:5">
      <c r="C6761">
        <v>136.78399999999999</v>
      </c>
      <c r="D6761" s="17">
        <v>42525</v>
      </c>
      <c r="E6761" t="s">
        <v>1752</v>
      </c>
    </row>
    <row r="6762" spans="3:5">
      <c r="C6762">
        <v>136.91999999999999</v>
      </c>
      <c r="D6762" s="17">
        <v>42038</v>
      </c>
      <c r="E6762" t="s">
        <v>1493</v>
      </c>
    </row>
    <row r="6763" spans="3:5">
      <c r="C6763">
        <v>136.96</v>
      </c>
      <c r="D6763" s="17">
        <v>41787</v>
      </c>
      <c r="E6763" t="s">
        <v>333</v>
      </c>
    </row>
    <row r="6764" spans="3:5">
      <c r="C6764">
        <v>136.99</v>
      </c>
      <c r="D6764" s="17">
        <v>43072</v>
      </c>
      <c r="E6764" t="s">
        <v>501</v>
      </c>
    </row>
    <row r="6765" spans="3:5">
      <c r="C6765">
        <v>137.24</v>
      </c>
      <c r="D6765" s="17">
        <v>41899</v>
      </c>
      <c r="E6765" t="s">
        <v>887</v>
      </c>
    </row>
    <row r="6766" spans="3:5">
      <c r="C6766">
        <v>137.24</v>
      </c>
      <c r="D6766" s="17">
        <v>42247</v>
      </c>
      <c r="E6766" t="s">
        <v>887</v>
      </c>
    </row>
    <row r="6767" spans="3:5">
      <c r="C6767">
        <v>137.25</v>
      </c>
      <c r="D6767" s="17">
        <v>42201</v>
      </c>
      <c r="E6767" t="s">
        <v>307</v>
      </c>
    </row>
    <row r="6768" spans="3:5">
      <c r="C6768">
        <v>137.352</v>
      </c>
      <c r="D6768" s="17">
        <v>41699</v>
      </c>
      <c r="E6768" t="s">
        <v>522</v>
      </c>
    </row>
    <row r="6769" spans="3:5">
      <c r="C6769">
        <v>137.54</v>
      </c>
      <c r="D6769" s="17">
        <v>41961</v>
      </c>
      <c r="E6769" t="s">
        <v>390</v>
      </c>
    </row>
    <row r="6770" spans="3:5">
      <c r="C6770">
        <v>137.62</v>
      </c>
      <c r="D6770" s="17">
        <v>42250</v>
      </c>
      <c r="E6770" t="s">
        <v>1022</v>
      </c>
    </row>
    <row r="6771" spans="3:5">
      <c r="C6771">
        <v>137.62</v>
      </c>
      <c r="D6771" s="17">
        <v>42945</v>
      </c>
      <c r="E6771" t="s">
        <v>1022</v>
      </c>
    </row>
    <row r="6772" spans="3:5">
      <c r="C6772">
        <v>137.94</v>
      </c>
      <c r="D6772" s="17">
        <v>42705</v>
      </c>
      <c r="E6772" t="s">
        <v>160</v>
      </c>
    </row>
    <row r="6773" spans="3:5">
      <c r="C6773">
        <v>137.94</v>
      </c>
      <c r="D6773" s="17">
        <v>42762</v>
      </c>
      <c r="E6773" t="s">
        <v>160</v>
      </c>
    </row>
    <row r="6774" spans="3:5">
      <c r="C6774">
        <v>138</v>
      </c>
      <c r="D6774" s="17">
        <v>42227</v>
      </c>
      <c r="E6774" t="s">
        <v>184</v>
      </c>
    </row>
    <row r="6775" spans="3:5">
      <c r="C6775">
        <v>138.56</v>
      </c>
      <c r="D6775" s="17">
        <v>41791</v>
      </c>
      <c r="E6775" t="s">
        <v>1199</v>
      </c>
    </row>
    <row r="6776" spans="3:5">
      <c r="C6776">
        <v>138.58799999999999</v>
      </c>
      <c r="D6776" s="17">
        <v>42941</v>
      </c>
      <c r="E6776" t="s">
        <v>1007</v>
      </c>
    </row>
    <row r="6777" spans="3:5">
      <c r="C6777">
        <v>139.04</v>
      </c>
      <c r="D6777" s="17">
        <v>42768</v>
      </c>
      <c r="E6777" t="s">
        <v>201</v>
      </c>
    </row>
    <row r="6778" spans="3:5">
      <c r="C6778">
        <v>139.42400000000001</v>
      </c>
      <c r="D6778" s="17">
        <v>42278</v>
      </c>
      <c r="E6778" t="s">
        <v>903</v>
      </c>
    </row>
    <row r="6779" spans="3:5">
      <c r="C6779">
        <v>139.44</v>
      </c>
      <c r="D6779" s="17">
        <v>41905</v>
      </c>
      <c r="E6779" t="s">
        <v>366</v>
      </c>
    </row>
    <row r="6780" spans="3:5">
      <c r="C6780">
        <v>139.58000000000001</v>
      </c>
      <c r="D6780" s="17">
        <v>42852</v>
      </c>
      <c r="E6780" t="s">
        <v>604</v>
      </c>
    </row>
    <row r="6781" spans="3:5">
      <c r="C6781">
        <v>139.80000000000001</v>
      </c>
      <c r="D6781" s="17">
        <v>41808</v>
      </c>
      <c r="E6781" t="s">
        <v>1243</v>
      </c>
    </row>
    <row r="6782" spans="3:5">
      <c r="C6782">
        <v>139.86000000000001</v>
      </c>
      <c r="D6782" s="17">
        <v>41779</v>
      </c>
      <c r="E6782" t="s">
        <v>700</v>
      </c>
    </row>
    <row r="6783" spans="3:5">
      <c r="C6783">
        <v>139.86000000000001</v>
      </c>
      <c r="D6783" s="17">
        <v>43042</v>
      </c>
      <c r="E6783" t="s">
        <v>121</v>
      </c>
    </row>
    <row r="6784" spans="3:5">
      <c r="C6784">
        <v>139.91999999999999</v>
      </c>
      <c r="D6784" s="17">
        <v>42656</v>
      </c>
      <c r="E6784" t="s">
        <v>1425</v>
      </c>
    </row>
    <row r="6785" spans="3:5">
      <c r="C6785">
        <v>139.91999999999999</v>
      </c>
      <c r="D6785" s="17">
        <v>43055</v>
      </c>
      <c r="E6785" t="s">
        <v>1425</v>
      </c>
    </row>
    <row r="6786" spans="3:5">
      <c r="C6786">
        <v>139.92999999999998</v>
      </c>
      <c r="D6786" s="17">
        <v>41971</v>
      </c>
      <c r="E6786" t="s">
        <v>1617</v>
      </c>
    </row>
    <row r="6787" spans="3:5">
      <c r="C6787">
        <v>139.94400000000002</v>
      </c>
      <c r="D6787" s="17">
        <v>42226</v>
      </c>
      <c r="E6787" t="s">
        <v>1254</v>
      </c>
    </row>
    <row r="6788" spans="3:5">
      <c r="C6788">
        <v>139.94999999999999</v>
      </c>
      <c r="D6788" s="17">
        <v>42050</v>
      </c>
      <c r="E6788" t="s">
        <v>344</v>
      </c>
    </row>
    <row r="6789" spans="3:5">
      <c r="C6789">
        <v>139.96</v>
      </c>
      <c r="D6789" s="17">
        <v>42547</v>
      </c>
      <c r="E6789" t="s">
        <v>1050</v>
      </c>
    </row>
    <row r="6790" spans="3:5">
      <c r="C6790">
        <v>139.96000000000004</v>
      </c>
      <c r="D6790" s="17">
        <v>42698</v>
      </c>
      <c r="E6790" t="s">
        <v>594</v>
      </c>
    </row>
    <row r="6791" spans="3:5">
      <c r="C6791">
        <v>139.96000000000004</v>
      </c>
      <c r="D6791" s="17">
        <v>43055</v>
      </c>
      <c r="E6791" t="s">
        <v>1316</v>
      </c>
    </row>
    <row r="6792" spans="3:5">
      <c r="C6792">
        <v>140.376</v>
      </c>
      <c r="D6792" s="17">
        <v>42164</v>
      </c>
      <c r="E6792" t="s">
        <v>992</v>
      </c>
    </row>
    <row r="6793" spans="3:5">
      <c r="C6793">
        <v>140.67000000000002</v>
      </c>
      <c r="D6793" s="17">
        <v>42810</v>
      </c>
      <c r="E6793" t="s">
        <v>376</v>
      </c>
    </row>
    <row r="6794" spans="3:5">
      <c r="C6794">
        <v>140.73599999999999</v>
      </c>
      <c r="D6794" s="17">
        <v>41765</v>
      </c>
      <c r="E6794" t="s">
        <v>626</v>
      </c>
    </row>
    <row r="6795" spans="3:5">
      <c r="C6795">
        <v>140.73599999999999</v>
      </c>
      <c r="D6795" s="17">
        <v>42254</v>
      </c>
      <c r="E6795" t="s">
        <v>731</v>
      </c>
    </row>
    <row r="6796" spans="3:5">
      <c r="C6796">
        <v>140.73599999999999</v>
      </c>
      <c r="D6796" s="17">
        <v>42807</v>
      </c>
      <c r="E6796" t="s">
        <v>355</v>
      </c>
    </row>
    <row r="6797" spans="3:5">
      <c r="C6797">
        <v>140.75</v>
      </c>
      <c r="D6797" s="17">
        <v>42183</v>
      </c>
      <c r="E6797" t="s">
        <v>1696</v>
      </c>
    </row>
    <row r="6798" spans="3:5">
      <c r="C6798">
        <v>140.75</v>
      </c>
      <c r="D6798" s="17">
        <v>42687</v>
      </c>
      <c r="E6798" t="s">
        <v>1421</v>
      </c>
    </row>
    <row r="6799" spans="3:5">
      <c r="C6799">
        <v>140.81</v>
      </c>
      <c r="D6799" s="17">
        <v>42569</v>
      </c>
      <c r="E6799" t="s">
        <v>996</v>
      </c>
    </row>
    <row r="6800" spans="3:5">
      <c r="C6800">
        <v>140.97</v>
      </c>
      <c r="D6800" s="17">
        <v>42930</v>
      </c>
      <c r="E6800" t="s">
        <v>958</v>
      </c>
    </row>
    <row r="6801" spans="3:5">
      <c r="C6801">
        <v>141.37199999999999</v>
      </c>
      <c r="D6801" s="17">
        <v>42727</v>
      </c>
      <c r="E6801" t="s">
        <v>538</v>
      </c>
    </row>
    <row r="6802" spans="3:5">
      <c r="C6802">
        <v>141.37199999999999</v>
      </c>
      <c r="D6802" s="17">
        <v>42987</v>
      </c>
      <c r="E6802" t="s">
        <v>1131</v>
      </c>
    </row>
    <row r="6803" spans="3:5">
      <c r="C6803">
        <v>141.4</v>
      </c>
      <c r="D6803" s="17">
        <v>41940</v>
      </c>
      <c r="E6803" t="s">
        <v>1025</v>
      </c>
    </row>
    <row r="6804" spans="3:5">
      <c r="C6804">
        <v>141.4</v>
      </c>
      <c r="D6804" s="17">
        <v>42205</v>
      </c>
      <c r="E6804" t="s">
        <v>1025</v>
      </c>
    </row>
    <row r="6805" spans="3:5">
      <c r="C6805">
        <v>141.41999999999999</v>
      </c>
      <c r="D6805" s="17">
        <v>42736</v>
      </c>
      <c r="E6805" t="s">
        <v>51</v>
      </c>
    </row>
    <row r="6806" spans="3:5">
      <c r="C6806">
        <v>141.55199999999999</v>
      </c>
      <c r="D6806" s="17">
        <v>42328</v>
      </c>
      <c r="E6806" t="s">
        <v>1126</v>
      </c>
    </row>
    <row r="6807" spans="3:5">
      <c r="C6807">
        <v>141.76</v>
      </c>
      <c r="D6807" s="17">
        <v>42001</v>
      </c>
      <c r="E6807" t="s">
        <v>1046</v>
      </c>
    </row>
    <row r="6808" spans="3:5">
      <c r="C6808">
        <v>141.76</v>
      </c>
      <c r="D6808" s="17">
        <v>42273</v>
      </c>
      <c r="E6808" t="s">
        <v>296</v>
      </c>
    </row>
    <row r="6809" spans="3:5">
      <c r="C6809">
        <v>141.9</v>
      </c>
      <c r="D6809" s="17">
        <v>42924</v>
      </c>
      <c r="E6809" t="s">
        <v>587</v>
      </c>
    </row>
    <row r="6810" spans="3:5">
      <c r="C6810">
        <v>141.96</v>
      </c>
      <c r="D6810" s="17">
        <v>41665</v>
      </c>
      <c r="E6810" t="s">
        <v>1725</v>
      </c>
    </row>
    <row r="6811" spans="3:5">
      <c r="C6811">
        <v>141.96</v>
      </c>
      <c r="D6811" s="17">
        <v>42076</v>
      </c>
      <c r="E6811" t="s">
        <v>1725</v>
      </c>
    </row>
    <row r="6812" spans="3:5">
      <c r="C6812">
        <v>141.96</v>
      </c>
      <c r="D6812" s="17">
        <v>42327</v>
      </c>
      <c r="E6812" t="s">
        <v>1409</v>
      </c>
    </row>
    <row r="6813" spans="3:5">
      <c r="C6813">
        <v>141.96</v>
      </c>
      <c r="D6813" s="17">
        <v>42329</v>
      </c>
      <c r="E6813" t="s">
        <v>906</v>
      </c>
    </row>
    <row r="6814" spans="3:5">
      <c r="C6814">
        <v>141.96</v>
      </c>
      <c r="D6814" s="17">
        <v>43070</v>
      </c>
      <c r="E6814" t="s">
        <v>906</v>
      </c>
    </row>
    <row r="6815" spans="3:5">
      <c r="C6815">
        <v>141.96</v>
      </c>
      <c r="D6815" s="17">
        <v>43091</v>
      </c>
      <c r="E6815" t="s">
        <v>721</v>
      </c>
    </row>
    <row r="6816" spans="3:5">
      <c r="C6816">
        <v>142.04</v>
      </c>
      <c r="D6816" s="17">
        <v>42104</v>
      </c>
      <c r="E6816" t="s">
        <v>912</v>
      </c>
    </row>
    <row r="6817" spans="3:5">
      <c r="C6817">
        <v>142.18199999999999</v>
      </c>
      <c r="D6817" s="17">
        <v>42659</v>
      </c>
      <c r="E6817" t="s">
        <v>1079</v>
      </c>
    </row>
    <row r="6818" spans="3:5">
      <c r="C6818">
        <v>142.36000000000001</v>
      </c>
      <c r="D6818" s="17">
        <v>42355</v>
      </c>
      <c r="E6818" t="s">
        <v>1113</v>
      </c>
    </row>
    <row r="6819" spans="3:5">
      <c r="C6819">
        <v>142.4</v>
      </c>
      <c r="D6819" s="17">
        <v>41896</v>
      </c>
      <c r="E6819" t="s">
        <v>1574</v>
      </c>
    </row>
    <row r="6820" spans="3:5">
      <c r="C6820">
        <v>142.488</v>
      </c>
      <c r="D6820" s="17">
        <v>41915</v>
      </c>
      <c r="E6820" t="s">
        <v>1168</v>
      </c>
    </row>
    <row r="6821" spans="3:5">
      <c r="C6821">
        <v>142.77600000000001</v>
      </c>
      <c r="D6821" s="17">
        <v>41713</v>
      </c>
      <c r="E6821" t="s">
        <v>207</v>
      </c>
    </row>
    <row r="6822" spans="3:5">
      <c r="C6822">
        <v>142.77600000000001</v>
      </c>
      <c r="D6822" s="17">
        <v>42901</v>
      </c>
      <c r="E6822" t="s">
        <v>207</v>
      </c>
    </row>
    <row r="6823" spans="3:5">
      <c r="C6823">
        <v>142.80000000000001</v>
      </c>
      <c r="D6823" s="17">
        <v>43073</v>
      </c>
      <c r="E6823" t="s">
        <v>1497</v>
      </c>
    </row>
    <row r="6824" spans="3:5">
      <c r="C6824">
        <v>142.86000000000001</v>
      </c>
      <c r="D6824" s="17">
        <v>41997</v>
      </c>
      <c r="E6824" t="s">
        <v>633</v>
      </c>
    </row>
    <row r="6825" spans="3:5">
      <c r="C6825">
        <v>143.12799999999996</v>
      </c>
      <c r="D6825" s="17">
        <v>42163</v>
      </c>
      <c r="E6825" t="s">
        <v>1441</v>
      </c>
    </row>
    <row r="6826" spans="3:5">
      <c r="C6826">
        <v>143.43199999999999</v>
      </c>
      <c r="D6826" s="17">
        <v>41915</v>
      </c>
      <c r="E6826" t="s">
        <v>1875</v>
      </c>
    </row>
    <row r="6827" spans="3:5">
      <c r="C6827">
        <v>143.64000000000001</v>
      </c>
      <c r="D6827" s="17">
        <v>41874</v>
      </c>
      <c r="E6827" t="s">
        <v>338</v>
      </c>
    </row>
    <row r="6828" spans="3:5">
      <c r="C6828">
        <v>143.69999999999999</v>
      </c>
      <c r="D6828" s="17">
        <v>42225</v>
      </c>
      <c r="E6828" t="s">
        <v>1303</v>
      </c>
    </row>
    <row r="6829" spans="3:5">
      <c r="C6829">
        <v>143.69999999999999</v>
      </c>
      <c r="D6829" s="17">
        <v>42475</v>
      </c>
      <c r="E6829" t="s">
        <v>1221</v>
      </c>
    </row>
    <row r="6830" spans="3:5">
      <c r="C6830">
        <v>143.69999999999999</v>
      </c>
      <c r="D6830" s="17">
        <v>42996</v>
      </c>
      <c r="E6830" t="s">
        <v>1221</v>
      </c>
    </row>
    <row r="6831" spans="3:5">
      <c r="C6831">
        <v>143.69999999999999</v>
      </c>
      <c r="D6831" s="17">
        <v>43014</v>
      </c>
      <c r="E6831" t="s">
        <v>1303</v>
      </c>
    </row>
    <row r="6832" spans="3:5">
      <c r="C6832">
        <v>143.72800000000001</v>
      </c>
      <c r="D6832" s="17">
        <v>42817</v>
      </c>
      <c r="E6832" t="s">
        <v>417</v>
      </c>
    </row>
    <row r="6833" spans="3:5">
      <c r="C6833">
        <v>143.73000000000002</v>
      </c>
      <c r="D6833" s="17">
        <v>43066</v>
      </c>
      <c r="E6833" t="s">
        <v>350</v>
      </c>
    </row>
    <row r="6834" spans="3:5">
      <c r="C6834">
        <v>143.85600000000002</v>
      </c>
      <c r="D6834" s="17">
        <v>41946</v>
      </c>
      <c r="E6834" t="s">
        <v>1333</v>
      </c>
    </row>
    <row r="6835" spans="3:5">
      <c r="C6835">
        <v>143.85600000000002</v>
      </c>
      <c r="D6835" s="17">
        <v>43078</v>
      </c>
      <c r="E6835" t="s">
        <v>1333</v>
      </c>
    </row>
    <row r="6836" spans="3:5">
      <c r="C6836">
        <v>143.928</v>
      </c>
      <c r="D6836" s="17">
        <v>43043</v>
      </c>
      <c r="E6836" t="s">
        <v>1183</v>
      </c>
    </row>
    <row r="6837" spans="3:5">
      <c r="C6837">
        <v>143.952</v>
      </c>
      <c r="D6837" s="17">
        <v>41908</v>
      </c>
      <c r="E6837" t="s">
        <v>968</v>
      </c>
    </row>
    <row r="6838" spans="3:5">
      <c r="C6838">
        <v>143.952</v>
      </c>
      <c r="D6838" s="17">
        <v>42989</v>
      </c>
      <c r="E6838" t="s">
        <v>837</v>
      </c>
    </row>
    <row r="6839" spans="3:5">
      <c r="C6839">
        <v>143.96</v>
      </c>
      <c r="D6839" s="17">
        <v>42181</v>
      </c>
      <c r="E6839" t="s">
        <v>553</v>
      </c>
    </row>
    <row r="6840" spans="3:5">
      <c r="C6840">
        <v>143.96</v>
      </c>
      <c r="D6840" s="17">
        <v>42820</v>
      </c>
      <c r="E6840" t="s">
        <v>442</v>
      </c>
    </row>
    <row r="6841" spans="3:5">
      <c r="C6841">
        <v>143.976</v>
      </c>
      <c r="D6841" s="17">
        <v>41890</v>
      </c>
      <c r="E6841" t="s">
        <v>169</v>
      </c>
    </row>
    <row r="6842" spans="3:5">
      <c r="C6842">
        <v>143.976</v>
      </c>
      <c r="D6842" s="17">
        <v>42178</v>
      </c>
      <c r="E6842" t="s">
        <v>169</v>
      </c>
    </row>
    <row r="6843" spans="3:5">
      <c r="C6843">
        <v>143.98199999999997</v>
      </c>
      <c r="D6843" s="17">
        <v>42567</v>
      </c>
      <c r="E6843" t="s">
        <v>893</v>
      </c>
    </row>
    <row r="6844" spans="3:5">
      <c r="C6844">
        <v>144.12</v>
      </c>
      <c r="D6844" s="17">
        <v>41967</v>
      </c>
      <c r="E6844" t="s">
        <v>358</v>
      </c>
    </row>
    <row r="6845" spans="3:5">
      <c r="C6845">
        <v>144.12</v>
      </c>
      <c r="D6845" s="17">
        <v>42225</v>
      </c>
      <c r="E6845" t="s">
        <v>358</v>
      </c>
    </row>
    <row r="6846" spans="3:5">
      <c r="C6846">
        <v>144.12</v>
      </c>
      <c r="D6846" s="17">
        <v>42517</v>
      </c>
      <c r="E6846" t="s">
        <v>1092</v>
      </c>
    </row>
    <row r="6847" spans="3:5">
      <c r="C6847">
        <v>144.60000000000002</v>
      </c>
      <c r="D6847" s="17">
        <v>41921</v>
      </c>
      <c r="E6847" t="s">
        <v>882</v>
      </c>
    </row>
    <row r="6848" spans="3:5">
      <c r="C6848">
        <v>144.78399999999999</v>
      </c>
      <c r="D6848" s="17">
        <v>42224</v>
      </c>
      <c r="E6848" t="s">
        <v>302</v>
      </c>
    </row>
    <row r="6849" spans="3:5">
      <c r="C6849">
        <v>144.94999999999999</v>
      </c>
      <c r="D6849" s="17">
        <v>41676</v>
      </c>
      <c r="E6849" t="s">
        <v>1248</v>
      </c>
    </row>
    <row r="6850" spans="3:5">
      <c r="C6850">
        <v>144.96</v>
      </c>
      <c r="D6850" s="17">
        <v>41895</v>
      </c>
      <c r="E6850" t="s">
        <v>1675</v>
      </c>
    </row>
    <row r="6851" spans="3:5">
      <c r="C6851">
        <v>145.54400000000001</v>
      </c>
      <c r="D6851" s="17">
        <v>42443</v>
      </c>
      <c r="E6851" t="s">
        <v>989</v>
      </c>
    </row>
    <row r="6852" spans="3:5">
      <c r="C6852">
        <v>145.56800000000001</v>
      </c>
      <c r="D6852" s="17">
        <v>41908</v>
      </c>
      <c r="E6852" t="s">
        <v>1201</v>
      </c>
    </row>
    <row r="6853" spans="3:5">
      <c r="C6853">
        <v>145.74</v>
      </c>
      <c r="D6853" s="17">
        <v>42953</v>
      </c>
      <c r="E6853" t="s">
        <v>850</v>
      </c>
    </row>
    <row r="6854" spans="3:5">
      <c r="C6854">
        <v>145.76400000000001</v>
      </c>
      <c r="D6854" s="17">
        <v>42328</v>
      </c>
      <c r="E6854" t="s">
        <v>600</v>
      </c>
    </row>
    <row r="6855" spans="3:5">
      <c r="C6855">
        <v>145.76400000000001</v>
      </c>
      <c r="D6855" s="17">
        <v>42594</v>
      </c>
      <c r="E6855" t="s">
        <v>735</v>
      </c>
    </row>
    <row r="6856" spans="3:5">
      <c r="C6856">
        <v>145.76400000000001</v>
      </c>
      <c r="D6856" s="17">
        <v>43016</v>
      </c>
      <c r="E6856" t="s">
        <v>1190</v>
      </c>
    </row>
    <row r="6857" spans="3:5">
      <c r="C6857">
        <v>145.85000000000002</v>
      </c>
      <c r="D6857" s="17">
        <v>43028</v>
      </c>
      <c r="E6857" t="s">
        <v>757</v>
      </c>
    </row>
    <row r="6858" spans="3:5">
      <c r="C6858">
        <v>145.9</v>
      </c>
      <c r="D6858" s="17">
        <v>42285</v>
      </c>
      <c r="E6858" t="s">
        <v>938</v>
      </c>
    </row>
    <row r="6859" spans="3:5">
      <c r="C6859">
        <v>145.9</v>
      </c>
      <c r="D6859" s="17">
        <v>42924</v>
      </c>
      <c r="E6859" t="s">
        <v>938</v>
      </c>
    </row>
    <row r="6860" spans="3:5">
      <c r="C6860">
        <v>145.97999999999999</v>
      </c>
      <c r="D6860" s="17">
        <v>41961</v>
      </c>
      <c r="E6860" t="s">
        <v>1391</v>
      </c>
    </row>
    <row r="6861" spans="3:5">
      <c r="C6861">
        <v>145.97999999999999</v>
      </c>
      <c r="D6861" s="17">
        <v>42435</v>
      </c>
      <c r="E6861" t="s">
        <v>1391</v>
      </c>
    </row>
    <row r="6862" spans="3:5">
      <c r="C6862">
        <v>146.04000000000002</v>
      </c>
      <c r="D6862" s="17">
        <v>42621</v>
      </c>
      <c r="E6862" t="s">
        <v>1330</v>
      </c>
    </row>
    <row r="6863" spans="3:5">
      <c r="C6863">
        <v>146.13600000000002</v>
      </c>
      <c r="D6863" s="17">
        <v>42320</v>
      </c>
      <c r="E6863" t="s">
        <v>1609</v>
      </c>
    </row>
    <row r="6864" spans="3:5">
      <c r="C6864">
        <v>146.17600000000002</v>
      </c>
      <c r="D6864" s="17">
        <v>42905</v>
      </c>
      <c r="E6864" t="s">
        <v>446</v>
      </c>
    </row>
    <row r="6865" spans="3:5">
      <c r="C6865">
        <v>146.352</v>
      </c>
      <c r="D6865" s="17">
        <v>41943</v>
      </c>
      <c r="E6865" t="s">
        <v>985</v>
      </c>
    </row>
    <row r="6866" spans="3:5">
      <c r="C6866">
        <v>146.352</v>
      </c>
      <c r="D6866" s="17">
        <v>42437</v>
      </c>
      <c r="E6866" t="s">
        <v>1543</v>
      </c>
    </row>
    <row r="6867" spans="3:5">
      <c r="C6867">
        <v>146.352</v>
      </c>
      <c r="D6867" s="17">
        <v>42730</v>
      </c>
      <c r="E6867" t="s">
        <v>658</v>
      </c>
    </row>
    <row r="6868" spans="3:5">
      <c r="C6868">
        <v>146.352</v>
      </c>
      <c r="D6868" s="17">
        <v>42903</v>
      </c>
      <c r="E6868" t="s">
        <v>560</v>
      </c>
    </row>
    <row r="6869" spans="3:5">
      <c r="C6869">
        <v>146.44999999999999</v>
      </c>
      <c r="D6869" s="17">
        <v>43078</v>
      </c>
      <c r="E6869" t="s">
        <v>1501</v>
      </c>
    </row>
    <row r="6870" spans="3:5">
      <c r="C6870">
        <v>146.54400000000001</v>
      </c>
      <c r="D6870" s="17">
        <v>42303</v>
      </c>
      <c r="E6870" t="s">
        <v>1590</v>
      </c>
    </row>
    <row r="6871" spans="3:5">
      <c r="C6871">
        <v>146.68799999999999</v>
      </c>
      <c r="D6871" s="17">
        <v>42601</v>
      </c>
      <c r="E6871" t="s">
        <v>598</v>
      </c>
    </row>
    <row r="6872" spans="3:5">
      <c r="C6872">
        <v>146.68800000000002</v>
      </c>
      <c r="D6872" s="17">
        <v>42608</v>
      </c>
      <c r="E6872" t="s">
        <v>878</v>
      </c>
    </row>
    <row r="6873" spans="3:5">
      <c r="C6873">
        <v>146.72999999999999</v>
      </c>
      <c r="D6873" s="17">
        <v>41931</v>
      </c>
      <c r="E6873" t="s">
        <v>688</v>
      </c>
    </row>
    <row r="6874" spans="3:5">
      <c r="C6874">
        <v>146.72999999999999</v>
      </c>
      <c r="D6874" s="17">
        <v>42041</v>
      </c>
      <c r="E6874" t="s">
        <v>948</v>
      </c>
    </row>
    <row r="6875" spans="3:5">
      <c r="C6875">
        <v>146.72999999999999</v>
      </c>
      <c r="D6875" s="17">
        <v>42332</v>
      </c>
      <c r="E6875" t="s">
        <v>864</v>
      </c>
    </row>
    <row r="6876" spans="3:5">
      <c r="C6876">
        <v>146.72999999999999</v>
      </c>
      <c r="D6876" s="17">
        <v>42339</v>
      </c>
      <c r="E6876" t="s">
        <v>948</v>
      </c>
    </row>
    <row r="6877" spans="3:5">
      <c r="C6877">
        <v>146.72999999999999</v>
      </c>
      <c r="D6877" s="17">
        <v>42544</v>
      </c>
      <c r="E6877" t="s">
        <v>725</v>
      </c>
    </row>
    <row r="6878" spans="3:5">
      <c r="C6878">
        <v>146.76</v>
      </c>
      <c r="D6878" s="17">
        <v>41709</v>
      </c>
      <c r="E6878" t="s">
        <v>1056</v>
      </c>
    </row>
    <row r="6879" spans="3:5">
      <c r="C6879">
        <v>146.82</v>
      </c>
      <c r="D6879" s="17">
        <v>41975</v>
      </c>
      <c r="E6879" t="s">
        <v>506</v>
      </c>
    </row>
    <row r="6880" spans="3:5">
      <c r="C6880">
        <v>146.82</v>
      </c>
      <c r="D6880" s="17">
        <v>42274</v>
      </c>
      <c r="E6880" t="s">
        <v>199</v>
      </c>
    </row>
    <row r="6881" spans="3:5">
      <c r="C6881">
        <v>146.82</v>
      </c>
      <c r="D6881" s="17">
        <v>42413</v>
      </c>
      <c r="E6881" t="s">
        <v>1422</v>
      </c>
    </row>
    <row r="6882" spans="3:5">
      <c r="C6882">
        <v>146.82</v>
      </c>
      <c r="D6882" s="17">
        <v>42980</v>
      </c>
      <c r="E6882" t="s">
        <v>1125</v>
      </c>
    </row>
    <row r="6883" spans="3:5">
      <c r="C6883">
        <v>146.82</v>
      </c>
      <c r="D6883" s="17">
        <v>43055</v>
      </c>
      <c r="E6883" t="s">
        <v>1422</v>
      </c>
    </row>
    <row r="6884" spans="3:5">
      <c r="C6884">
        <v>146.86000000000001</v>
      </c>
      <c r="D6884" s="17">
        <v>42845</v>
      </c>
      <c r="E6884" t="s">
        <v>567</v>
      </c>
    </row>
    <row r="6885" spans="3:5">
      <c r="C6885">
        <v>146.952</v>
      </c>
      <c r="D6885" s="17">
        <v>42625</v>
      </c>
      <c r="E6885" t="s">
        <v>1692</v>
      </c>
    </row>
    <row r="6886" spans="3:5">
      <c r="C6886">
        <v>147.16800000000001</v>
      </c>
      <c r="D6886" s="17">
        <v>42988</v>
      </c>
      <c r="E6886" t="s">
        <v>1167</v>
      </c>
    </row>
    <row r="6887" spans="3:5">
      <c r="C6887">
        <v>147.184</v>
      </c>
      <c r="D6887" s="17">
        <v>42262</v>
      </c>
      <c r="E6887" t="s">
        <v>1147</v>
      </c>
    </row>
    <row r="6888" spans="3:5">
      <c r="C6888">
        <v>147.184</v>
      </c>
      <c r="D6888" s="17">
        <v>42983</v>
      </c>
      <c r="E6888" t="s">
        <v>1147</v>
      </c>
    </row>
    <row r="6889" spans="3:5">
      <c r="C6889">
        <v>147.184</v>
      </c>
      <c r="D6889" s="17">
        <v>43006</v>
      </c>
      <c r="E6889" t="s">
        <v>1147</v>
      </c>
    </row>
    <row r="6890" spans="3:5">
      <c r="C6890">
        <v>147.184</v>
      </c>
      <c r="D6890" s="17">
        <v>43036</v>
      </c>
      <c r="E6890" t="s">
        <v>1147</v>
      </c>
    </row>
    <row r="6891" spans="3:5">
      <c r="C6891">
        <v>147.56800000000001</v>
      </c>
      <c r="D6891" s="17">
        <v>42777</v>
      </c>
      <c r="E6891" t="s">
        <v>231</v>
      </c>
    </row>
    <row r="6892" spans="3:5">
      <c r="C6892">
        <v>147.91999999999999</v>
      </c>
      <c r="D6892" s="17">
        <v>42864</v>
      </c>
      <c r="E6892" t="s">
        <v>661</v>
      </c>
    </row>
    <row r="6893" spans="3:5">
      <c r="C6893">
        <v>147.91999999999999</v>
      </c>
      <c r="D6893" s="17">
        <v>42980</v>
      </c>
      <c r="E6893" t="s">
        <v>661</v>
      </c>
    </row>
    <row r="6894" spans="3:5">
      <c r="C6894">
        <v>148.02000000000001</v>
      </c>
      <c r="D6894" s="17">
        <v>42976</v>
      </c>
      <c r="E6894" t="s">
        <v>1109</v>
      </c>
    </row>
    <row r="6895" spans="3:5">
      <c r="C6895">
        <v>148.25700000000001</v>
      </c>
      <c r="D6895" s="17">
        <v>43078</v>
      </c>
      <c r="E6895" t="s">
        <v>830</v>
      </c>
    </row>
    <row r="6896" spans="3:5">
      <c r="C6896">
        <v>148.28800000000001</v>
      </c>
      <c r="D6896" s="17">
        <v>42684</v>
      </c>
      <c r="E6896" t="s">
        <v>418</v>
      </c>
    </row>
    <row r="6897" spans="3:5">
      <c r="C6897">
        <v>148.32</v>
      </c>
      <c r="D6897" s="17">
        <v>42300</v>
      </c>
      <c r="E6897" t="s">
        <v>1828</v>
      </c>
    </row>
    <row r="6898" spans="3:5">
      <c r="C6898">
        <v>148.47999999999999</v>
      </c>
      <c r="D6898" s="17">
        <v>41954</v>
      </c>
      <c r="E6898" t="s">
        <v>215</v>
      </c>
    </row>
    <row r="6899" spans="3:5">
      <c r="C6899">
        <v>148.47999999999999</v>
      </c>
      <c r="D6899" s="17">
        <v>42197</v>
      </c>
      <c r="E6899" t="s">
        <v>215</v>
      </c>
    </row>
    <row r="6900" spans="3:5">
      <c r="C6900">
        <v>148.47999999999999</v>
      </c>
      <c r="D6900" s="17">
        <v>42911</v>
      </c>
      <c r="E6900" t="s">
        <v>215</v>
      </c>
    </row>
    <row r="6901" spans="3:5">
      <c r="C6901">
        <v>148.47999999999999</v>
      </c>
      <c r="D6901" s="17">
        <v>43038</v>
      </c>
      <c r="E6901" t="s">
        <v>215</v>
      </c>
    </row>
    <row r="6902" spans="3:5">
      <c r="C6902">
        <v>148.70400000000001</v>
      </c>
      <c r="D6902" s="17">
        <v>41899</v>
      </c>
      <c r="E6902" t="s">
        <v>1500</v>
      </c>
    </row>
    <row r="6903" spans="3:5">
      <c r="C6903">
        <v>149.232</v>
      </c>
      <c r="D6903" s="17">
        <v>41777</v>
      </c>
      <c r="E6903" t="s">
        <v>1527</v>
      </c>
    </row>
    <row r="6904" spans="3:5">
      <c r="C6904">
        <v>149.352</v>
      </c>
      <c r="D6904" s="17">
        <v>41747</v>
      </c>
      <c r="E6904" t="s">
        <v>1695</v>
      </c>
    </row>
    <row r="6905" spans="3:5">
      <c r="C6905">
        <v>149.352</v>
      </c>
      <c r="D6905" s="17">
        <v>42434</v>
      </c>
      <c r="E6905" t="s">
        <v>1695</v>
      </c>
    </row>
    <row r="6906" spans="3:5">
      <c r="C6906">
        <v>149.54399999999998</v>
      </c>
      <c r="D6906" s="17">
        <v>41796</v>
      </c>
      <c r="E6906" t="s">
        <v>133</v>
      </c>
    </row>
    <row r="6907" spans="3:5">
      <c r="C6907">
        <v>149.73000000000002</v>
      </c>
      <c r="D6907" s="17">
        <v>42978</v>
      </c>
      <c r="E6907" t="s">
        <v>562</v>
      </c>
    </row>
    <row r="6908" spans="3:5">
      <c r="C6908">
        <v>149.9</v>
      </c>
      <c r="D6908" s="17">
        <v>41948</v>
      </c>
      <c r="E6908" t="s">
        <v>1568</v>
      </c>
    </row>
    <row r="6909" spans="3:5">
      <c r="C6909">
        <v>149.94999999999999</v>
      </c>
      <c r="D6909" s="17">
        <v>41654</v>
      </c>
      <c r="E6909" t="s">
        <v>108</v>
      </c>
    </row>
    <row r="6910" spans="3:5">
      <c r="C6910">
        <v>149.94999999999999</v>
      </c>
      <c r="D6910" s="17">
        <v>41962</v>
      </c>
      <c r="E6910" t="s">
        <v>341</v>
      </c>
    </row>
    <row r="6911" spans="3:5">
      <c r="C6911">
        <v>149.94999999999999</v>
      </c>
      <c r="D6911" s="17">
        <v>42296</v>
      </c>
      <c r="E6911" t="s">
        <v>837</v>
      </c>
    </row>
    <row r="6912" spans="3:5">
      <c r="C6912">
        <v>149.94999999999999</v>
      </c>
      <c r="D6912" s="17">
        <v>42626</v>
      </c>
      <c r="E6912" t="s">
        <v>1636</v>
      </c>
    </row>
    <row r="6913" spans="3:5">
      <c r="C6913">
        <v>149.94999999999999</v>
      </c>
      <c r="D6913" s="17">
        <v>42906</v>
      </c>
      <c r="E6913" t="s">
        <v>168</v>
      </c>
    </row>
    <row r="6914" spans="3:5">
      <c r="C6914">
        <v>149.94999999999999</v>
      </c>
      <c r="D6914" s="17">
        <v>42997</v>
      </c>
      <c r="E6914" t="s">
        <v>1231</v>
      </c>
    </row>
    <row r="6915" spans="3:5">
      <c r="C6915">
        <v>149.94999999999999</v>
      </c>
      <c r="D6915" s="17">
        <v>43085</v>
      </c>
      <c r="E6915" t="s">
        <v>1231</v>
      </c>
    </row>
    <row r="6916" spans="3:5">
      <c r="C6916">
        <v>149.97</v>
      </c>
      <c r="D6916" s="17">
        <v>41772</v>
      </c>
      <c r="E6916" t="s">
        <v>173</v>
      </c>
    </row>
    <row r="6917" spans="3:5">
      <c r="C6917">
        <v>149.97</v>
      </c>
      <c r="D6917" s="17">
        <v>41877</v>
      </c>
      <c r="E6917" t="s">
        <v>173</v>
      </c>
    </row>
    <row r="6918" spans="3:5">
      <c r="C6918">
        <v>149.97</v>
      </c>
      <c r="D6918" s="17">
        <v>42038</v>
      </c>
      <c r="E6918" t="s">
        <v>455</v>
      </c>
    </row>
    <row r="6919" spans="3:5">
      <c r="C6919">
        <v>149.97</v>
      </c>
      <c r="D6919" s="17">
        <v>42464</v>
      </c>
      <c r="E6919" t="s">
        <v>1383</v>
      </c>
    </row>
    <row r="6920" spans="3:5">
      <c r="C6920">
        <v>149.97</v>
      </c>
      <c r="D6920" s="17">
        <v>42709</v>
      </c>
      <c r="E6920" t="s">
        <v>1383</v>
      </c>
    </row>
    <row r="6921" spans="3:5">
      <c r="C6921">
        <v>150.38399999999999</v>
      </c>
      <c r="D6921" s="17">
        <v>42300</v>
      </c>
      <c r="E6921" t="s">
        <v>1536</v>
      </c>
    </row>
    <row r="6922" spans="3:5">
      <c r="C6922">
        <v>150.40799999999999</v>
      </c>
      <c r="D6922" s="17">
        <v>42085</v>
      </c>
      <c r="E6922" t="s">
        <v>754</v>
      </c>
    </row>
    <row r="6923" spans="3:5">
      <c r="C6923">
        <v>150.66</v>
      </c>
      <c r="D6923" s="17">
        <v>42470</v>
      </c>
      <c r="E6923" t="s">
        <v>664</v>
      </c>
    </row>
    <row r="6924" spans="3:5">
      <c r="C6924">
        <v>150.80000000000001</v>
      </c>
      <c r="D6924" s="17">
        <v>43060</v>
      </c>
      <c r="E6924" t="s">
        <v>990</v>
      </c>
    </row>
    <row r="6925" spans="3:5">
      <c r="C6925">
        <v>150.97999999999999</v>
      </c>
      <c r="D6925" s="17">
        <v>42201</v>
      </c>
      <c r="E6925" t="s">
        <v>1563</v>
      </c>
    </row>
    <row r="6926" spans="3:5">
      <c r="C6926">
        <v>151.05600000000001</v>
      </c>
      <c r="D6926" s="17">
        <v>42952</v>
      </c>
      <c r="E6926" t="s">
        <v>1035</v>
      </c>
    </row>
    <row r="6927" spans="3:5">
      <c r="C6927">
        <v>151.18799999999999</v>
      </c>
      <c r="D6927" s="17">
        <v>43071</v>
      </c>
      <c r="E6927" t="s">
        <v>1487</v>
      </c>
    </row>
    <row r="6928" spans="3:5">
      <c r="C6928">
        <v>151.19200000000001</v>
      </c>
      <c r="D6928" s="17">
        <v>42694</v>
      </c>
      <c r="E6928" t="s">
        <v>1571</v>
      </c>
    </row>
    <row r="6929" spans="3:5">
      <c r="C6929">
        <v>151.20000000000002</v>
      </c>
      <c r="D6929" s="17">
        <v>41700</v>
      </c>
      <c r="E6929" t="s">
        <v>932</v>
      </c>
    </row>
    <row r="6930" spans="3:5">
      <c r="C6930">
        <v>151.20000000000002</v>
      </c>
      <c r="D6930" s="17">
        <v>42268</v>
      </c>
      <c r="E6930" t="s">
        <v>932</v>
      </c>
    </row>
    <row r="6931" spans="3:5">
      <c r="C6931">
        <v>151.62</v>
      </c>
      <c r="D6931" s="17">
        <v>42565</v>
      </c>
      <c r="E6931" t="s">
        <v>1633</v>
      </c>
    </row>
    <row r="6932" spans="3:5">
      <c r="C6932">
        <v>151.72</v>
      </c>
      <c r="D6932" s="17">
        <v>41967</v>
      </c>
      <c r="E6932" t="s">
        <v>1011</v>
      </c>
    </row>
    <row r="6933" spans="3:5">
      <c r="C6933">
        <v>151.91999999999999</v>
      </c>
      <c r="D6933" s="17">
        <v>41967</v>
      </c>
      <c r="E6933" t="s">
        <v>1006</v>
      </c>
    </row>
    <row r="6934" spans="3:5">
      <c r="C6934">
        <v>151.96</v>
      </c>
      <c r="D6934" s="17">
        <v>42154</v>
      </c>
      <c r="E6934" t="s">
        <v>405</v>
      </c>
    </row>
    <row r="6935" spans="3:5">
      <c r="C6935">
        <v>151.96</v>
      </c>
      <c r="D6935" s="17">
        <v>42336</v>
      </c>
      <c r="E6935" t="s">
        <v>1577</v>
      </c>
    </row>
    <row r="6936" spans="3:5">
      <c r="C6936">
        <v>152</v>
      </c>
      <c r="D6936" s="17">
        <v>42701</v>
      </c>
      <c r="E6936" t="s">
        <v>831</v>
      </c>
    </row>
    <row r="6937" spans="3:5">
      <c r="C6937">
        <v>152.24</v>
      </c>
      <c r="D6937" s="17">
        <v>41866</v>
      </c>
      <c r="E6937" t="s">
        <v>56</v>
      </c>
    </row>
    <row r="6938" spans="3:5">
      <c r="C6938">
        <v>152.65</v>
      </c>
      <c r="D6938" s="17">
        <v>43023</v>
      </c>
      <c r="E6938" t="s">
        <v>330</v>
      </c>
    </row>
    <row r="6939" spans="3:5">
      <c r="C6939">
        <v>152.68800000000002</v>
      </c>
      <c r="D6939" s="17">
        <v>42369</v>
      </c>
      <c r="E6939" t="s">
        <v>624</v>
      </c>
    </row>
    <row r="6940" spans="3:5">
      <c r="C6940">
        <v>152.76</v>
      </c>
      <c r="D6940" s="17">
        <v>41992</v>
      </c>
      <c r="E6940" t="s">
        <v>457</v>
      </c>
    </row>
    <row r="6941" spans="3:5">
      <c r="C6941">
        <v>152.79999999999998</v>
      </c>
      <c r="D6941" s="17">
        <v>42343</v>
      </c>
      <c r="E6941" t="s">
        <v>598</v>
      </c>
    </row>
    <row r="6942" spans="3:5">
      <c r="C6942">
        <v>152.91</v>
      </c>
      <c r="D6942" s="17">
        <v>41866</v>
      </c>
      <c r="E6942" t="s">
        <v>287</v>
      </c>
    </row>
    <row r="6943" spans="3:5">
      <c r="C6943">
        <v>152.94</v>
      </c>
      <c r="D6943" s="17">
        <v>42345</v>
      </c>
      <c r="E6943" t="s">
        <v>648</v>
      </c>
    </row>
    <row r="6944" spans="3:5">
      <c r="C6944">
        <v>152.94</v>
      </c>
      <c r="D6944" s="17">
        <v>42861</v>
      </c>
      <c r="E6944" t="s">
        <v>648</v>
      </c>
    </row>
    <row r="6945" spans="3:5">
      <c r="C6945">
        <v>152.99100000000001</v>
      </c>
      <c r="D6945" s="17">
        <v>42338</v>
      </c>
      <c r="E6945" t="s">
        <v>917</v>
      </c>
    </row>
    <row r="6946" spans="3:5">
      <c r="C6946">
        <v>153.35999999999999</v>
      </c>
      <c r="D6946" s="17">
        <v>42194</v>
      </c>
      <c r="E6946" t="s">
        <v>138</v>
      </c>
    </row>
    <row r="6947" spans="3:5">
      <c r="C6947">
        <v>153.55199999999999</v>
      </c>
      <c r="D6947" s="17">
        <v>42714</v>
      </c>
      <c r="E6947" t="s">
        <v>1270</v>
      </c>
    </row>
    <row r="6948" spans="3:5">
      <c r="C6948">
        <v>153.55199999999999</v>
      </c>
      <c r="D6948" s="17">
        <v>43094</v>
      </c>
      <c r="E6948" t="s">
        <v>1270</v>
      </c>
    </row>
    <row r="6949" spans="3:5">
      <c r="C6949">
        <v>153.56800000000001</v>
      </c>
      <c r="D6949" s="17">
        <v>42390</v>
      </c>
      <c r="E6949" t="s">
        <v>839</v>
      </c>
    </row>
    <row r="6950" spans="3:5">
      <c r="C6950">
        <v>153.584</v>
      </c>
      <c r="D6950" s="17">
        <v>42205</v>
      </c>
      <c r="E6950" t="s">
        <v>393</v>
      </c>
    </row>
    <row r="6951" spans="3:5">
      <c r="C6951">
        <v>153.584</v>
      </c>
      <c r="D6951" s="17">
        <v>42905</v>
      </c>
      <c r="E6951" t="s">
        <v>867</v>
      </c>
    </row>
    <row r="6952" spans="3:5">
      <c r="C6952">
        <v>153.584</v>
      </c>
      <c r="D6952" s="17">
        <v>42958</v>
      </c>
      <c r="E6952" t="s">
        <v>393</v>
      </c>
    </row>
    <row r="6953" spans="3:5">
      <c r="C6953">
        <v>153.72800000000001</v>
      </c>
      <c r="D6953" s="17">
        <v>42150</v>
      </c>
      <c r="E6953" t="s">
        <v>692</v>
      </c>
    </row>
    <row r="6954" spans="3:5">
      <c r="C6954">
        <v>153.78</v>
      </c>
      <c r="D6954" s="17">
        <v>42742</v>
      </c>
      <c r="E6954" t="s">
        <v>71</v>
      </c>
    </row>
    <row r="6955" spans="3:5">
      <c r="C6955">
        <v>153.82400000000001</v>
      </c>
      <c r="D6955" s="17">
        <v>41908</v>
      </c>
      <c r="E6955" t="s">
        <v>678</v>
      </c>
    </row>
    <row r="6956" spans="3:5">
      <c r="C6956">
        <v>154.24</v>
      </c>
      <c r="D6956" s="17">
        <v>42561</v>
      </c>
      <c r="E6956" t="s">
        <v>882</v>
      </c>
    </row>
    <row r="6957" spans="3:5">
      <c r="C6957">
        <v>154.44</v>
      </c>
      <c r="D6957" s="17">
        <v>42405</v>
      </c>
      <c r="E6957" t="s">
        <v>546</v>
      </c>
    </row>
    <row r="6958" spans="3:5">
      <c r="C6958">
        <v>154.44</v>
      </c>
      <c r="D6958" s="17">
        <v>42664</v>
      </c>
      <c r="E6958" t="s">
        <v>546</v>
      </c>
    </row>
    <row r="6959" spans="3:5">
      <c r="C6959">
        <v>154.76400000000001</v>
      </c>
      <c r="D6959" s="17">
        <v>41735</v>
      </c>
      <c r="E6959" t="s">
        <v>272</v>
      </c>
    </row>
    <row r="6960" spans="3:5">
      <c r="C6960">
        <v>154.76400000000001</v>
      </c>
      <c r="D6960" s="17">
        <v>42805</v>
      </c>
      <c r="E6960" t="s">
        <v>272</v>
      </c>
    </row>
    <row r="6961" spans="3:5">
      <c r="C6961">
        <v>154.76400000000001</v>
      </c>
      <c r="D6961" s="17">
        <v>43015</v>
      </c>
      <c r="E6961" t="s">
        <v>272</v>
      </c>
    </row>
    <row r="6962" spans="3:5">
      <c r="C6962">
        <v>154.9</v>
      </c>
      <c r="D6962" s="17">
        <v>41731</v>
      </c>
      <c r="E6962" t="s">
        <v>1613</v>
      </c>
    </row>
    <row r="6963" spans="3:5">
      <c r="C6963">
        <v>154.9</v>
      </c>
      <c r="D6963" s="17">
        <v>42274</v>
      </c>
      <c r="E6963" t="s">
        <v>278</v>
      </c>
    </row>
    <row r="6964" spans="3:5">
      <c r="C6964">
        <v>154.9</v>
      </c>
      <c r="D6964" s="17">
        <v>42335</v>
      </c>
      <c r="E6964" t="s">
        <v>1407</v>
      </c>
    </row>
    <row r="6965" spans="3:5">
      <c r="C6965">
        <v>154.9</v>
      </c>
      <c r="D6965" s="17">
        <v>42441</v>
      </c>
      <c r="E6965" t="s">
        <v>1613</v>
      </c>
    </row>
    <row r="6966" spans="3:5">
      <c r="C6966">
        <v>154.9</v>
      </c>
      <c r="D6966" s="17">
        <v>42608</v>
      </c>
      <c r="E6966" t="s">
        <v>1710</v>
      </c>
    </row>
    <row r="6967" spans="3:5">
      <c r="C6967">
        <v>154.9</v>
      </c>
      <c r="D6967" s="17">
        <v>42749</v>
      </c>
      <c r="E6967" t="s">
        <v>94</v>
      </c>
    </row>
    <row r="6968" spans="3:5">
      <c r="C6968">
        <v>154.94999999999999</v>
      </c>
      <c r="D6968" s="17">
        <v>43052</v>
      </c>
      <c r="E6968" t="s">
        <v>1417</v>
      </c>
    </row>
    <row r="6969" spans="3:5">
      <c r="C6969">
        <v>155.04</v>
      </c>
      <c r="D6969" s="17">
        <v>41715</v>
      </c>
      <c r="E6969" t="s">
        <v>1896</v>
      </c>
    </row>
    <row r="6970" spans="3:5">
      <c r="C6970">
        <v>155.12</v>
      </c>
      <c r="D6970" s="17">
        <v>41993</v>
      </c>
      <c r="E6970" t="s">
        <v>696</v>
      </c>
    </row>
    <row r="6971" spans="3:5">
      <c r="C6971">
        <v>155.25</v>
      </c>
      <c r="D6971" s="17">
        <v>42903</v>
      </c>
      <c r="E6971" t="s">
        <v>308</v>
      </c>
    </row>
    <row r="6972" spans="3:5">
      <c r="C6972">
        <v>155.34</v>
      </c>
      <c r="D6972" s="17">
        <v>42848</v>
      </c>
      <c r="E6972" t="s">
        <v>581</v>
      </c>
    </row>
    <row r="6973" spans="3:5">
      <c r="C6973">
        <v>155.35</v>
      </c>
      <c r="D6973" s="17">
        <v>41665</v>
      </c>
      <c r="E6973" t="s">
        <v>1485</v>
      </c>
    </row>
    <row r="6974" spans="3:5">
      <c r="C6974">
        <v>155.36999999999998</v>
      </c>
      <c r="D6974" s="17">
        <v>42031</v>
      </c>
      <c r="E6974" t="s">
        <v>347</v>
      </c>
    </row>
    <row r="6975" spans="3:5">
      <c r="C6975">
        <v>155.37199999999999</v>
      </c>
      <c r="D6975" s="17">
        <v>41966</v>
      </c>
      <c r="E6975" t="s">
        <v>1369</v>
      </c>
    </row>
    <row r="6976" spans="3:5">
      <c r="C6976">
        <v>155.37199999999999</v>
      </c>
      <c r="D6976" s="17">
        <v>42637</v>
      </c>
      <c r="E6976" t="s">
        <v>52</v>
      </c>
    </row>
    <row r="6977" spans="3:5">
      <c r="C6977">
        <v>155.37199999999999</v>
      </c>
      <c r="D6977" s="17">
        <v>43041</v>
      </c>
      <c r="E6977" t="s">
        <v>1369</v>
      </c>
    </row>
    <row r="6978" spans="3:5">
      <c r="C6978">
        <v>155.45600000000002</v>
      </c>
      <c r="D6978" s="17">
        <v>41859</v>
      </c>
      <c r="E6978" t="s">
        <v>850</v>
      </c>
    </row>
    <row r="6979" spans="3:5">
      <c r="C6979">
        <v>155.82</v>
      </c>
      <c r="D6979" s="17">
        <v>42191</v>
      </c>
      <c r="E6979" t="s">
        <v>1624</v>
      </c>
    </row>
    <row r="6980" spans="3:5">
      <c r="C6980">
        <v>155.82000000000002</v>
      </c>
      <c r="D6980" s="17">
        <v>42684</v>
      </c>
      <c r="E6980" t="s">
        <v>768</v>
      </c>
    </row>
    <row r="6981" spans="3:5">
      <c r="C6981">
        <v>155.88</v>
      </c>
      <c r="D6981" s="17">
        <v>42215</v>
      </c>
      <c r="E6981" t="s">
        <v>1310</v>
      </c>
    </row>
    <row r="6982" spans="3:5">
      <c r="C6982">
        <v>155.88</v>
      </c>
      <c r="D6982" s="17">
        <v>42947</v>
      </c>
      <c r="E6982" t="s">
        <v>1026</v>
      </c>
    </row>
    <row r="6983" spans="3:5">
      <c r="C6983">
        <v>155.94</v>
      </c>
      <c r="D6983" s="17">
        <v>43069</v>
      </c>
      <c r="E6983" t="s">
        <v>989</v>
      </c>
    </row>
    <row r="6984" spans="3:5">
      <c r="C6984">
        <v>155.976</v>
      </c>
      <c r="D6984" s="17">
        <v>41944</v>
      </c>
      <c r="E6984" t="s">
        <v>895</v>
      </c>
    </row>
    <row r="6985" spans="3:5">
      <c r="C6985">
        <v>156.37279999999998</v>
      </c>
      <c r="D6985" s="17">
        <v>42610</v>
      </c>
      <c r="E6985" t="s">
        <v>1448</v>
      </c>
    </row>
    <row r="6986" spans="3:5">
      <c r="C6986">
        <v>156.512</v>
      </c>
      <c r="D6986" s="17">
        <v>42399</v>
      </c>
      <c r="E6986" t="s">
        <v>864</v>
      </c>
    </row>
    <row r="6987" spans="3:5">
      <c r="C6987">
        <v>156.512</v>
      </c>
      <c r="D6987" s="17">
        <v>42735</v>
      </c>
      <c r="E6987" t="s">
        <v>948</v>
      </c>
    </row>
    <row r="6988" spans="3:5">
      <c r="C6988">
        <v>156.79200000000003</v>
      </c>
      <c r="D6988" s="17">
        <v>42710</v>
      </c>
      <c r="E6988" t="s">
        <v>681</v>
      </c>
    </row>
    <row r="6989" spans="3:5">
      <c r="C6989">
        <v>156.79200000000003</v>
      </c>
      <c r="D6989" s="17">
        <v>42885</v>
      </c>
      <c r="E6989" t="s">
        <v>776</v>
      </c>
    </row>
    <row r="6990" spans="3:5">
      <c r="C6990">
        <v>157.74</v>
      </c>
      <c r="D6990" s="17">
        <v>43010</v>
      </c>
      <c r="E6990" t="s">
        <v>1284</v>
      </c>
    </row>
    <row r="6991" spans="3:5">
      <c r="C6991">
        <v>157.79400000000004</v>
      </c>
      <c r="D6991" s="17">
        <v>42099</v>
      </c>
      <c r="E6991" t="s">
        <v>1100</v>
      </c>
    </row>
    <row r="6992" spans="3:5">
      <c r="C6992">
        <v>157.89999999999998</v>
      </c>
      <c r="D6992" s="17">
        <v>42363</v>
      </c>
      <c r="E6992" t="s">
        <v>516</v>
      </c>
    </row>
    <row r="6993" spans="3:5">
      <c r="C6993">
        <v>157.91999999999999</v>
      </c>
      <c r="D6993" s="17">
        <v>42442</v>
      </c>
      <c r="E6993" t="s">
        <v>1775</v>
      </c>
    </row>
    <row r="6994" spans="3:5">
      <c r="C6994">
        <v>158.13</v>
      </c>
      <c r="D6994" s="17">
        <v>41769</v>
      </c>
      <c r="E6994" t="s">
        <v>1650</v>
      </c>
    </row>
    <row r="6995" spans="3:5">
      <c r="C6995">
        <v>158.13</v>
      </c>
      <c r="D6995" s="17">
        <v>42679</v>
      </c>
      <c r="E6995" t="s">
        <v>1650</v>
      </c>
    </row>
    <row r="6996" spans="3:5">
      <c r="C6996">
        <v>158.28</v>
      </c>
      <c r="D6996" s="17">
        <v>43066</v>
      </c>
      <c r="E6996" t="s">
        <v>1004</v>
      </c>
    </row>
    <row r="6997" spans="3:5">
      <c r="C6997">
        <v>158.36800000000002</v>
      </c>
      <c r="D6997" s="17">
        <v>42465</v>
      </c>
      <c r="E6997" t="s">
        <v>1025</v>
      </c>
    </row>
    <row r="6998" spans="3:5">
      <c r="C6998">
        <v>158.37599999999998</v>
      </c>
      <c r="D6998" s="17">
        <v>42458</v>
      </c>
      <c r="E6998" t="s">
        <v>433</v>
      </c>
    </row>
    <row r="6999" spans="3:5">
      <c r="C6999">
        <v>158.37599999999998</v>
      </c>
      <c r="D6999" s="17">
        <v>42887</v>
      </c>
      <c r="E6999" t="s">
        <v>782</v>
      </c>
    </row>
    <row r="7000" spans="3:5">
      <c r="C7000">
        <v>158.376</v>
      </c>
      <c r="D7000" s="17">
        <v>42126</v>
      </c>
      <c r="E7000" t="s">
        <v>1161</v>
      </c>
    </row>
    <row r="7001" spans="3:5">
      <c r="C7001">
        <v>158.376</v>
      </c>
      <c r="D7001" s="17">
        <v>42357</v>
      </c>
      <c r="E7001" t="s">
        <v>1161</v>
      </c>
    </row>
    <row r="7002" spans="3:5">
      <c r="C7002">
        <v>158.376</v>
      </c>
      <c r="D7002" s="17">
        <v>42986</v>
      </c>
      <c r="E7002" t="s">
        <v>1161</v>
      </c>
    </row>
    <row r="7003" spans="3:5">
      <c r="C7003">
        <v>158.9</v>
      </c>
      <c r="D7003" s="17">
        <v>41855</v>
      </c>
      <c r="E7003" t="s">
        <v>1394</v>
      </c>
    </row>
    <row r="7004" spans="3:5">
      <c r="C7004">
        <v>158.9</v>
      </c>
      <c r="D7004" s="17">
        <v>43085</v>
      </c>
      <c r="E7004" t="s">
        <v>1394</v>
      </c>
    </row>
    <row r="7005" spans="3:5">
      <c r="C7005">
        <v>158.928</v>
      </c>
      <c r="D7005" s="17">
        <v>41863</v>
      </c>
      <c r="E7005" t="s">
        <v>587</v>
      </c>
    </row>
    <row r="7006" spans="3:5">
      <c r="C7006">
        <v>158.928</v>
      </c>
      <c r="D7006" s="17">
        <v>43094</v>
      </c>
      <c r="E7006" t="s">
        <v>587</v>
      </c>
    </row>
    <row r="7007" spans="3:5">
      <c r="C7007">
        <v>158.99</v>
      </c>
      <c r="D7007" s="17">
        <v>42302</v>
      </c>
      <c r="E7007" t="s">
        <v>807</v>
      </c>
    </row>
    <row r="7008" spans="3:5">
      <c r="C7008">
        <v>159.04</v>
      </c>
      <c r="D7008" s="17">
        <v>42435</v>
      </c>
      <c r="E7008" t="s">
        <v>1646</v>
      </c>
    </row>
    <row r="7009" spans="3:5">
      <c r="C7009">
        <v>159.56</v>
      </c>
      <c r="D7009" s="17">
        <v>42615</v>
      </c>
      <c r="E7009" t="s">
        <v>520</v>
      </c>
    </row>
    <row r="7010" spans="3:5">
      <c r="C7010">
        <v>159.56</v>
      </c>
      <c r="D7010" s="17">
        <v>42857</v>
      </c>
      <c r="E7010" t="s">
        <v>520</v>
      </c>
    </row>
    <row r="7011" spans="3:5">
      <c r="C7011">
        <v>159.75</v>
      </c>
      <c r="D7011" s="17">
        <v>42939</v>
      </c>
      <c r="E7011" t="s">
        <v>1002</v>
      </c>
    </row>
    <row r="7012" spans="3:5">
      <c r="C7012">
        <v>159.768</v>
      </c>
      <c r="D7012" s="17">
        <v>42735</v>
      </c>
      <c r="E7012" t="s">
        <v>1287</v>
      </c>
    </row>
    <row r="7013" spans="3:5">
      <c r="C7013">
        <v>159.80000000000001</v>
      </c>
      <c r="D7013" s="17">
        <v>42749</v>
      </c>
      <c r="E7013" t="s">
        <v>101</v>
      </c>
    </row>
    <row r="7014" spans="3:5">
      <c r="C7014">
        <v>159.80000000000001</v>
      </c>
      <c r="D7014" s="17">
        <v>43083</v>
      </c>
      <c r="E7014" t="s">
        <v>101</v>
      </c>
    </row>
    <row r="7015" spans="3:5">
      <c r="C7015">
        <v>159.84000000000003</v>
      </c>
      <c r="D7015" s="17">
        <v>42187</v>
      </c>
      <c r="E7015" t="s">
        <v>700</v>
      </c>
    </row>
    <row r="7016" spans="3:5">
      <c r="C7016">
        <v>159.88</v>
      </c>
      <c r="D7016" s="17">
        <v>42632</v>
      </c>
      <c r="E7016" t="s">
        <v>1534</v>
      </c>
    </row>
    <row r="7017" spans="3:5">
      <c r="C7017">
        <v>159.91999999999999</v>
      </c>
      <c r="D7017" s="17">
        <v>42468</v>
      </c>
      <c r="E7017" t="s">
        <v>1054</v>
      </c>
    </row>
    <row r="7018" spans="3:5">
      <c r="C7018">
        <v>159.96</v>
      </c>
      <c r="D7018" s="17">
        <v>42987</v>
      </c>
      <c r="E7018" t="s">
        <v>268</v>
      </c>
    </row>
    <row r="7019" spans="3:5">
      <c r="C7019">
        <v>159.96000000000004</v>
      </c>
      <c r="D7019" s="17">
        <v>42954</v>
      </c>
      <c r="E7019" t="s">
        <v>1039</v>
      </c>
    </row>
    <row r="7020" spans="3:5">
      <c r="C7020">
        <v>159.96800000000002</v>
      </c>
      <c r="D7020" s="17">
        <v>42322</v>
      </c>
      <c r="E7020" t="s">
        <v>173</v>
      </c>
    </row>
    <row r="7021" spans="3:5">
      <c r="C7021">
        <v>159.96800000000002</v>
      </c>
      <c r="D7021" s="17">
        <v>42405</v>
      </c>
      <c r="E7021" t="s">
        <v>1383</v>
      </c>
    </row>
    <row r="7022" spans="3:5">
      <c r="C7022">
        <v>159.97999999999999</v>
      </c>
      <c r="D7022" s="17">
        <v>41732</v>
      </c>
      <c r="E7022" t="s">
        <v>654</v>
      </c>
    </row>
    <row r="7023" spans="3:5">
      <c r="C7023">
        <v>159.97999999999999</v>
      </c>
      <c r="D7023" s="17">
        <v>41757</v>
      </c>
      <c r="E7023" t="s">
        <v>654</v>
      </c>
    </row>
    <row r="7024" spans="3:5">
      <c r="C7024">
        <v>159.97999999999999</v>
      </c>
      <c r="D7024" s="17">
        <v>41842</v>
      </c>
      <c r="E7024" t="s">
        <v>1395</v>
      </c>
    </row>
    <row r="7025" spans="3:5">
      <c r="C7025">
        <v>159.97999999999999</v>
      </c>
      <c r="D7025" s="17">
        <v>42272</v>
      </c>
      <c r="E7025" t="s">
        <v>1395</v>
      </c>
    </row>
    <row r="7026" spans="3:5">
      <c r="C7026">
        <v>159.97999999999999</v>
      </c>
      <c r="D7026" s="17">
        <v>42433</v>
      </c>
      <c r="E7026" t="s">
        <v>1395</v>
      </c>
    </row>
    <row r="7027" spans="3:5">
      <c r="C7027">
        <v>159.97999999999999</v>
      </c>
      <c r="D7027" s="17">
        <v>43008</v>
      </c>
      <c r="E7027" t="s">
        <v>221</v>
      </c>
    </row>
    <row r="7028" spans="3:5">
      <c r="C7028">
        <v>159.98400000000001</v>
      </c>
      <c r="D7028" s="17">
        <v>42349</v>
      </c>
      <c r="E7028" t="s">
        <v>717</v>
      </c>
    </row>
    <row r="7029" spans="3:5">
      <c r="C7029">
        <v>159.98400000000001</v>
      </c>
      <c r="D7029" s="17">
        <v>42358</v>
      </c>
      <c r="E7029" t="s">
        <v>1660</v>
      </c>
    </row>
    <row r="7030" spans="3:5">
      <c r="C7030">
        <v>159.98400000000001</v>
      </c>
      <c r="D7030" s="17">
        <v>42430</v>
      </c>
      <c r="E7030" t="s">
        <v>1782</v>
      </c>
    </row>
    <row r="7031" spans="3:5">
      <c r="C7031">
        <v>159.98400000000001</v>
      </c>
      <c r="D7031" s="17">
        <v>42608</v>
      </c>
      <c r="E7031" t="s">
        <v>317</v>
      </c>
    </row>
    <row r="7032" spans="3:5">
      <c r="C7032">
        <v>159.98400000000001</v>
      </c>
      <c r="D7032" s="17">
        <v>42810</v>
      </c>
      <c r="E7032" t="s">
        <v>317</v>
      </c>
    </row>
    <row r="7033" spans="3:5">
      <c r="C7033">
        <v>159.99</v>
      </c>
      <c r="D7033" s="17">
        <v>43044</v>
      </c>
      <c r="E7033" t="s">
        <v>1380</v>
      </c>
    </row>
    <row r="7034" spans="3:5">
      <c r="C7034">
        <v>160</v>
      </c>
      <c r="D7034" s="17">
        <v>42699</v>
      </c>
      <c r="E7034" t="s">
        <v>1620</v>
      </c>
    </row>
    <row r="7035" spans="3:5">
      <c r="C7035">
        <v>160.32</v>
      </c>
      <c r="D7035" s="17">
        <v>42154</v>
      </c>
      <c r="E7035" t="s">
        <v>1403</v>
      </c>
    </row>
    <row r="7036" spans="3:5">
      <c r="C7036">
        <v>160.32</v>
      </c>
      <c r="D7036" s="17">
        <v>42442</v>
      </c>
      <c r="E7036" t="s">
        <v>1403</v>
      </c>
    </row>
    <row r="7037" spans="3:5">
      <c r="C7037">
        <v>160.72</v>
      </c>
      <c r="D7037" s="17">
        <v>42265</v>
      </c>
      <c r="E7037" t="s">
        <v>1281</v>
      </c>
    </row>
    <row r="7038" spans="3:5">
      <c r="C7038">
        <v>160.77600000000001</v>
      </c>
      <c r="D7038" s="17">
        <v>42755</v>
      </c>
      <c r="E7038" t="s">
        <v>126</v>
      </c>
    </row>
    <row r="7039" spans="3:5">
      <c r="C7039">
        <v>160.92999999999998</v>
      </c>
      <c r="D7039" s="17">
        <v>43013</v>
      </c>
      <c r="E7039" t="s">
        <v>713</v>
      </c>
    </row>
    <row r="7040" spans="3:5">
      <c r="C7040">
        <v>160.96</v>
      </c>
      <c r="D7040" s="17">
        <v>43001</v>
      </c>
      <c r="E7040" t="s">
        <v>412</v>
      </c>
    </row>
    <row r="7041" spans="3:5">
      <c r="C7041">
        <v>160.97999999999999</v>
      </c>
      <c r="D7041" s="17">
        <v>42363</v>
      </c>
      <c r="E7041" t="s">
        <v>1331</v>
      </c>
    </row>
    <row r="7042" spans="3:5">
      <c r="C7042">
        <v>161.28</v>
      </c>
      <c r="D7042" s="17">
        <v>42598</v>
      </c>
      <c r="E7042" t="s">
        <v>846</v>
      </c>
    </row>
    <row r="7043" spans="3:5">
      <c r="C7043">
        <v>161.376</v>
      </c>
      <c r="D7043" s="17">
        <v>42970</v>
      </c>
      <c r="E7043" t="s">
        <v>475</v>
      </c>
    </row>
    <row r="7044" spans="3:5">
      <c r="C7044">
        <v>161.56800000000001</v>
      </c>
      <c r="D7044" s="17">
        <v>42063</v>
      </c>
      <c r="E7044" t="s">
        <v>1131</v>
      </c>
    </row>
    <row r="7045" spans="3:5">
      <c r="C7045">
        <v>161.56800000000001</v>
      </c>
      <c r="D7045" s="17">
        <v>42541</v>
      </c>
      <c r="E7045" t="s">
        <v>1237</v>
      </c>
    </row>
    <row r="7046" spans="3:5">
      <c r="C7046">
        <v>161.56800000000001</v>
      </c>
      <c r="D7046" s="17">
        <v>42934</v>
      </c>
      <c r="E7046" t="s">
        <v>575</v>
      </c>
    </row>
    <row r="7047" spans="3:5">
      <c r="C7047">
        <v>161.56800000000001</v>
      </c>
      <c r="D7047" s="17">
        <v>42985</v>
      </c>
      <c r="E7047" t="s">
        <v>1131</v>
      </c>
    </row>
    <row r="7048" spans="3:5">
      <c r="C7048">
        <v>161.56800000000001</v>
      </c>
      <c r="D7048" s="17">
        <v>43029</v>
      </c>
      <c r="E7048" t="s">
        <v>712</v>
      </c>
    </row>
    <row r="7049" spans="3:5">
      <c r="C7049">
        <v>161.61000000000001</v>
      </c>
      <c r="D7049" s="17">
        <v>41676</v>
      </c>
      <c r="E7049" t="s">
        <v>289</v>
      </c>
    </row>
    <row r="7050" spans="3:5">
      <c r="C7050">
        <v>161.82</v>
      </c>
      <c r="D7050" s="17">
        <v>42337</v>
      </c>
      <c r="E7050" t="s">
        <v>957</v>
      </c>
    </row>
    <row r="7051" spans="3:5">
      <c r="C7051">
        <v>161.94</v>
      </c>
      <c r="D7051" s="17">
        <v>41812</v>
      </c>
      <c r="E7051" t="s">
        <v>1742</v>
      </c>
    </row>
    <row r="7052" spans="3:5">
      <c r="C7052">
        <v>161.94</v>
      </c>
      <c r="D7052" s="17">
        <v>42461</v>
      </c>
      <c r="E7052" t="s">
        <v>1742</v>
      </c>
    </row>
    <row r="7053" spans="3:5">
      <c r="C7053">
        <v>161.94</v>
      </c>
      <c r="D7053" s="17">
        <v>42541</v>
      </c>
      <c r="E7053" t="s">
        <v>1742</v>
      </c>
    </row>
    <row r="7054" spans="3:5">
      <c r="C7054">
        <v>161.96</v>
      </c>
      <c r="D7054" s="17">
        <v>41889</v>
      </c>
      <c r="E7054" t="s">
        <v>1083</v>
      </c>
    </row>
    <row r="7055" spans="3:5">
      <c r="C7055">
        <v>162.60000000000002</v>
      </c>
      <c r="D7055" s="17">
        <v>42846</v>
      </c>
      <c r="E7055" t="s">
        <v>574</v>
      </c>
    </row>
    <row r="7056" spans="3:5">
      <c r="C7056">
        <v>162.63999999999999</v>
      </c>
      <c r="D7056" s="17">
        <v>42568</v>
      </c>
      <c r="E7056" t="s">
        <v>1182</v>
      </c>
    </row>
    <row r="7057" spans="3:5">
      <c r="C7057">
        <v>162.88999999999999</v>
      </c>
      <c r="D7057" s="17">
        <v>41846</v>
      </c>
      <c r="E7057" t="s">
        <v>942</v>
      </c>
    </row>
    <row r="7058" spans="3:5">
      <c r="C7058">
        <v>163.136</v>
      </c>
      <c r="D7058" s="17">
        <v>42144</v>
      </c>
      <c r="E7058" t="s">
        <v>1848</v>
      </c>
    </row>
    <row r="7059" spans="3:5">
      <c r="C7059">
        <v>163.44</v>
      </c>
      <c r="D7059" s="17">
        <v>42013</v>
      </c>
      <c r="E7059" t="s">
        <v>402</v>
      </c>
    </row>
    <row r="7060" spans="3:5">
      <c r="C7060">
        <v>163.76400000000001</v>
      </c>
      <c r="D7060" s="17">
        <v>42936</v>
      </c>
      <c r="E7060" t="s">
        <v>988</v>
      </c>
    </row>
    <row r="7061" spans="3:5">
      <c r="C7061">
        <v>163.88</v>
      </c>
      <c r="D7061" s="17">
        <v>42611</v>
      </c>
      <c r="E7061" t="s">
        <v>1598</v>
      </c>
    </row>
    <row r="7062" spans="3:5">
      <c r="C7062">
        <v>163.88</v>
      </c>
      <c r="D7062" s="17">
        <v>42633</v>
      </c>
      <c r="E7062" t="s">
        <v>1598</v>
      </c>
    </row>
    <row r="7063" spans="3:5">
      <c r="C7063">
        <v>163.96</v>
      </c>
      <c r="D7063" s="17">
        <v>42855</v>
      </c>
      <c r="E7063" t="s">
        <v>613</v>
      </c>
    </row>
    <row r="7064" spans="3:5">
      <c r="C7064">
        <v>163.96</v>
      </c>
      <c r="D7064" s="17">
        <v>42918</v>
      </c>
      <c r="E7064" t="s">
        <v>825</v>
      </c>
    </row>
    <row r="7065" spans="3:5">
      <c r="C7065">
        <v>163.96</v>
      </c>
      <c r="D7065" s="17">
        <v>42993</v>
      </c>
      <c r="E7065" t="s">
        <v>210</v>
      </c>
    </row>
    <row r="7066" spans="3:5">
      <c r="C7066">
        <v>163.96</v>
      </c>
      <c r="D7066" s="17">
        <v>43052</v>
      </c>
      <c r="E7066" t="s">
        <v>1416</v>
      </c>
    </row>
    <row r="7067" spans="3:5">
      <c r="C7067">
        <v>164.22</v>
      </c>
      <c r="D7067" s="17">
        <v>41902</v>
      </c>
      <c r="E7067" t="s">
        <v>1508</v>
      </c>
    </row>
    <row r="7068" spans="3:5">
      <c r="C7068">
        <v>164.38800000000001</v>
      </c>
      <c r="D7068" s="17">
        <v>43096</v>
      </c>
      <c r="E7068" t="s">
        <v>501</v>
      </c>
    </row>
    <row r="7069" spans="3:5">
      <c r="C7069">
        <v>164.64599999999999</v>
      </c>
      <c r="D7069" s="17">
        <v>42343</v>
      </c>
      <c r="E7069" t="s">
        <v>658</v>
      </c>
    </row>
    <row r="7070" spans="3:5">
      <c r="C7070">
        <v>164.68800000000002</v>
      </c>
      <c r="D7070" s="17">
        <v>43044</v>
      </c>
      <c r="E7070" t="s">
        <v>887</v>
      </c>
    </row>
    <row r="7071" spans="3:5">
      <c r="C7071">
        <v>164.73599999999999</v>
      </c>
      <c r="D7071" s="17">
        <v>42899</v>
      </c>
      <c r="E7071" t="s">
        <v>546</v>
      </c>
    </row>
    <row r="7072" spans="3:5">
      <c r="C7072">
        <v>164.79200000000003</v>
      </c>
      <c r="D7072" s="17">
        <v>42824</v>
      </c>
      <c r="E7072" t="s">
        <v>467</v>
      </c>
    </row>
    <row r="7073" spans="3:5">
      <c r="C7073">
        <v>164.85000000000002</v>
      </c>
      <c r="D7073" s="17">
        <v>41831</v>
      </c>
      <c r="E7073" t="s">
        <v>1477</v>
      </c>
    </row>
    <row r="7074" spans="3:5">
      <c r="C7074">
        <v>164.88</v>
      </c>
      <c r="D7074" s="17">
        <v>41980</v>
      </c>
      <c r="E7074" t="s">
        <v>1214</v>
      </c>
    </row>
    <row r="7075" spans="3:5">
      <c r="C7075">
        <v>164.88</v>
      </c>
      <c r="D7075" s="17">
        <v>42995</v>
      </c>
      <c r="E7075" t="s">
        <v>1214</v>
      </c>
    </row>
    <row r="7076" spans="3:5">
      <c r="C7076">
        <v>164.88</v>
      </c>
      <c r="D7076" s="17">
        <v>43008</v>
      </c>
      <c r="E7076" t="s">
        <v>1214</v>
      </c>
    </row>
    <row r="7077" spans="3:5">
      <c r="C7077">
        <v>164.99</v>
      </c>
      <c r="D7077" s="17">
        <v>42756</v>
      </c>
      <c r="E7077" t="s">
        <v>143</v>
      </c>
    </row>
    <row r="7078" spans="3:5">
      <c r="C7078">
        <v>165.048</v>
      </c>
      <c r="D7078" s="17">
        <v>42671</v>
      </c>
      <c r="E7078" t="s">
        <v>390</v>
      </c>
    </row>
    <row r="7079" spans="3:5">
      <c r="C7079">
        <v>165.28</v>
      </c>
      <c r="D7079" s="17">
        <v>42560</v>
      </c>
      <c r="E7079" t="s">
        <v>1032</v>
      </c>
    </row>
    <row r="7080" spans="3:5">
      <c r="C7080">
        <v>165.60000000000002</v>
      </c>
      <c r="D7080" s="17">
        <v>42372</v>
      </c>
      <c r="E7080" t="s">
        <v>795</v>
      </c>
    </row>
    <row r="7081" spans="3:5">
      <c r="C7081">
        <v>165.60000000000002</v>
      </c>
      <c r="D7081" s="17">
        <v>42597</v>
      </c>
      <c r="E7081" t="s">
        <v>184</v>
      </c>
    </row>
    <row r="7082" spans="3:5">
      <c r="C7082">
        <v>165.60000000000002</v>
      </c>
      <c r="D7082" s="17">
        <v>42706</v>
      </c>
      <c r="E7082" t="s">
        <v>795</v>
      </c>
    </row>
    <row r="7083" spans="3:5">
      <c r="C7083">
        <v>165.60000000000002</v>
      </c>
      <c r="D7083" s="17">
        <v>42721</v>
      </c>
      <c r="E7083" t="s">
        <v>795</v>
      </c>
    </row>
    <row r="7084" spans="3:5">
      <c r="C7084">
        <v>165.98</v>
      </c>
      <c r="D7084" s="17">
        <v>42178</v>
      </c>
      <c r="E7084" t="s">
        <v>750</v>
      </c>
    </row>
    <row r="7085" spans="3:5">
      <c r="C7085">
        <v>166.16</v>
      </c>
      <c r="D7085" s="17">
        <v>43066</v>
      </c>
      <c r="E7085" t="s">
        <v>905</v>
      </c>
    </row>
    <row r="7086" spans="3:5">
      <c r="C7086">
        <v>166.24</v>
      </c>
      <c r="D7086" s="17">
        <v>42091</v>
      </c>
      <c r="E7086" t="s">
        <v>1069</v>
      </c>
    </row>
    <row r="7087" spans="3:5">
      <c r="C7087">
        <v>166.24</v>
      </c>
      <c r="D7087" s="17">
        <v>42356</v>
      </c>
      <c r="E7087" t="s">
        <v>1069</v>
      </c>
    </row>
    <row r="7088" spans="3:5">
      <c r="C7088">
        <v>166.44</v>
      </c>
      <c r="D7088" s="17">
        <v>41891</v>
      </c>
      <c r="E7088" t="s">
        <v>447</v>
      </c>
    </row>
    <row r="7089" spans="3:5">
      <c r="C7089">
        <v>166.44</v>
      </c>
      <c r="D7089" s="17">
        <v>41962</v>
      </c>
      <c r="E7089" t="s">
        <v>425</v>
      </c>
    </row>
    <row r="7090" spans="3:5">
      <c r="C7090">
        <v>166.44</v>
      </c>
      <c r="D7090" s="17">
        <v>42432</v>
      </c>
      <c r="E7090" t="s">
        <v>1435</v>
      </c>
    </row>
    <row r="7091" spans="3:5">
      <c r="C7091">
        <v>166.44</v>
      </c>
      <c r="D7091" s="17">
        <v>42990</v>
      </c>
      <c r="E7091" t="s">
        <v>407</v>
      </c>
    </row>
    <row r="7092" spans="3:5">
      <c r="C7092">
        <v>166.44</v>
      </c>
      <c r="D7092" s="17">
        <v>43072</v>
      </c>
      <c r="E7092" t="s">
        <v>425</v>
      </c>
    </row>
    <row r="7093" spans="3:5">
      <c r="C7093">
        <v>166.44</v>
      </c>
      <c r="D7093" s="17">
        <v>43090</v>
      </c>
      <c r="E7093" t="s">
        <v>447</v>
      </c>
    </row>
    <row r="7094" spans="3:5">
      <c r="C7094">
        <v>166.45</v>
      </c>
      <c r="D7094" s="17">
        <v>42783</v>
      </c>
      <c r="E7094" t="s">
        <v>249</v>
      </c>
    </row>
    <row r="7095" spans="3:5">
      <c r="C7095">
        <v>166.5</v>
      </c>
      <c r="D7095" s="17">
        <v>42350</v>
      </c>
      <c r="E7095" t="s">
        <v>211</v>
      </c>
    </row>
    <row r="7096" spans="3:5">
      <c r="C7096">
        <v>166.5</v>
      </c>
      <c r="D7096" s="17">
        <v>43044</v>
      </c>
      <c r="E7096" t="s">
        <v>193</v>
      </c>
    </row>
    <row r="7097" spans="3:5">
      <c r="C7097">
        <v>166.72</v>
      </c>
      <c r="D7097" s="17">
        <v>41791</v>
      </c>
      <c r="E7097" t="s">
        <v>1066</v>
      </c>
    </row>
    <row r="7098" spans="3:5">
      <c r="C7098">
        <v>166.72</v>
      </c>
      <c r="D7098" s="17">
        <v>43086</v>
      </c>
      <c r="E7098" t="s">
        <v>1066</v>
      </c>
    </row>
    <row r="7099" spans="3:5">
      <c r="C7099">
        <v>166.84</v>
      </c>
      <c r="D7099" s="17">
        <v>41894</v>
      </c>
      <c r="E7099" t="s">
        <v>766</v>
      </c>
    </row>
    <row r="7100" spans="3:5">
      <c r="C7100">
        <v>166.92000000000002</v>
      </c>
      <c r="D7100" s="17">
        <v>42323</v>
      </c>
      <c r="E7100" t="s">
        <v>628</v>
      </c>
    </row>
    <row r="7101" spans="3:5">
      <c r="C7101">
        <v>167.28</v>
      </c>
      <c r="D7101" s="17">
        <v>42585</v>
      </c>
      <c r="E7101" t="s">
        <v>1043</v>
      </c>
    </row>
    <row r="7102" spans="3:5">
      <c r="C7102">
        <v>167.292</v>
      </c>
      <c r="D7102" s="17">
        <v>42701</v>
      </c>
      <c r="E7102" t="s">
        <v>1613</v>
      </c>
    </row>
    <row r="7103" spans="3:5">
      <c r="C7103">
        <v>167.44000000000003</v>
      </c>
      <c r="D7103" s="17">
        <v>43043</v>
      </c>
      <c r="E7103" t="s">
        <v>1376</v>
      </c>
    </row>
    <row r="7104" spans="3:5">
      <c r="C7104">
        <v>167.535</v>
      </c>
      <c r="D7104" s="17">
        <v>41859</v>
      </c>
      <c r="E7104" t="s">
        <v>590</v>
      </c>
    </row>
    <row r="7105" spans="3:5">
      <c r="C7105">
        <v>167.76</v>
      </c>
      <c r="D7105" s="17">
        <v>42153</v>
      </c>
      <c r="E7105" t="s">
        <v>1146</v>
      </c>
    </row>
    <row r="7106" spans="3:5">
      <c r="C7106">
        <v>167.84</v>
      </c>
      <c r="D7106" s="17">
        <v>42520</v>
      </c>
      <c r="E7106" t="s">
        <v>944</v>
      </c>
    </row>
    <row r="7107" spans="3:5">
      <c r="C7107">
        <v>167.86</v>
      </c>
      <c r="D7107" s="17">
        <v>42211</v>
      </c>
      <c r="E7107" t="s">
        <v>144</v>
      </c>
    </row>
    <row r="7108" spans="3:5">
      <c r="C7108">
        <v>167.88800000000001</v>
      </c>
      <c r="D7108" s="17">
        <v>42451</v>
      </c>
      <c r="E7108" t="s">
        <v>1568</v>
      </c>
    </row>
    <row r="7109" spans="3:5">
      <c r="C7109">
        <v>167.94</v>
      </c>
      <c r="D7109" s="17">
        <v>41944</v>
      </c>
      <c r="E7109" t="s">
        <v>172</v>
      </c>
    </row>
    <row r="7110" spans="3:5">
      <c r="C7110">
        <v>167.94</v>
      </c>
      <c r="D7110" s="17">
        <v>43008</v>
      </c>
      <c r="E7110" t="s">
        <v>1278</v>
      </c>
    </row>
    <row r="7111" spans="3:5">
      <c r="C7111">
        <v>167.94</v>
      </c>
      <c r="D7111" s="17">
        <v>43044</v>
      </c>
      <c r="E7111" t="s">
        <v>296</v>
      </c>
    </row>
    <row r="7112" spans="3:5">
      <c r="C7112">
        <v>167.94400000000002</v>
      </c>
      <c r="D7112" s="17">
        <v>42150</v>
      </c>
      <c r="E7112" t="s">
        <v>108</v>
      </c>
    </row>
    <row r="7113" spans="3:5">
      <c r="C7113">
        <v>167.95200000000003</v>
      </c>
      <c r="D7113" s="17">
        <v>43053</v>
      </c>
      <c r="E7113" t="s">
        <v>594</v>
      </c>
    </row>
    <row r="7114" spans="3:5">
      <c r="C7114">
        <v>167.96</v>
      </c>
      <c r="D7114" s="17">
        <v>42405</v>
      </c>
      <c r="E7114" t="s">
        <v>1459</v>
      </c>
    </row>
    <row r="7115" spans="3:5">
      <c r="C7115">
        <v>167.96</v>
      </c>
      <c r="D7115" s="17">
        <v>43063</v>
      </c>
      <c r="E7115" t="s">
        <v>1459</v>
      </c>
    </row>
    <row r="7116" spans="3:5">
      <c r="C7116">
        <v>167.96800000000002</v>
      </c>
      <c r="D7116" s="17">
        <v>41978</v>
      </c>
      <c r="E7116" t="s">
        <v>919</v>
      </c>
    </row>
    <row r="7117" spans="3:5">
      <c r="C7117">
        <v>167.96800000000002</v>
      </c>
      <c r="D7117" s="17">
        <v>42919</v>
      </c>
      <c r="E7117" t="s">
        <v>919</v>
      </c>
    </row>
    <row r="7118" spans="3:5">
      <c r="C7118">
        <v>167.97</v>
      </c>
      <c r="D7118" s="17">
        <v>41768</v>
      </c>
      <c r="E7118" t="s">
        <v>1123</v>
      </c>
    </row>
    <row r="7119" spans="3:5">
      <c r="C7119">
        <v>167.97</v>
      </c>
      <c r="D7119" s="17">
        <v>42980</v>
      </c>
      <c r="E7119" t="s">
        <v>1123</v>
      </c>
    </row>
    <row r="7120" spans="3:5">
      <c r="C7120">
        <v>167.976</v>
      </c>
      <c r="D7120" s="17">
        <v>42784</v>
      </c>
      <c r="E7120" t="s">
        <v>91</v>
      </c>
    </row>
    <row r="7121" spans="3:5">
      <c r="C7121">
        <v>168.1</v>
      </c>
      <c r="D7121" s="17">
        <v>42927</v>
      </c>
      <c r="E7121" t="s">
        <v>475</v>
      </c>
    </row>
    <row r="7122" spans="3:5">
      <c r="C7122">
        <v>168.1</v>
      </c>
      <c r="D7122" s="17">
        <v>43041</v>
      </c>
      <c r="E7122" t="s">
        <v>475</v>
      </c>
    </row>
    <row r="7123" spans="3:5">
      <c r="C7123">
        <v>168.46400000000003</v>
      </c>
      <c r="D7123" s="17">
        <v>42188</v>
      </c>
      <c r="E7123" t="s">
        <v>203</v>
      </c>
    </row>
    <row r="7124" spans="3:5">
      <c r="C7124">
        <v>168.624</v>
      </c>
      <c r="D7124" s="17">
        <v>42749</v>
      </c>
      <c r="E7124" t="s">
        <v>88</v>
      </c>
    </row>
    <row r="7125" spans="3:5">
      <c r="C7125">
        <v>169.06400000000002</v>
      </c>
      <c r="D7125" s="17">
        <v>42749</v>
      </c>
      <c r="E7125" t="s">
        <v>87</v>
      </c>
    </row>
    <row r="7126" spans="3:5">
      <c r="C7126">
        <v>169.45</v>
      </c>
      <c r="D7126" s="17">
        <v>41904</v>
      </c>
      <c r="E7126" t="s">
        <v>323</v>
      </c>
    </row>
    <row r="7127" spans="3:5">
      <c r="C7127">
        <v>169.45</v>
      </c>
      <c r="D7127" s="17">
        <v>41959</v>
      </c>
      <c r="E7127" t="s">
        <v>323</v>
      </c>
    </row>
    <row r="7128" spans="3:5">
      <c r="C7128">
        <v>169.56800000000001</v>
      </c>
      <c r="D7128" s="17">
        <v>42652</v>
      </c>
      <c r="E7128" t="s">
        <v>578</v>
      </c>
    </row>
    <row r="7129" spans="3:5">
      <c r="C7129">
        <v>169.68</v>
      </c>
      <c r="D7129" s="17">
        <v>43057</v>
      </c>
      <c r="E7129" t="s">
        <v>1025</v>
      </c>
    </row>
    <row r="7130" spans="3:5">
      <c r="C7130">
        <v>169.99</v>
      </c>
      <c r="D7130" s="17">
        <v>42917</v>
      </c>
      <c r="E7130" t="s">
        <v>917</v>
      </c>
    </row>
    <row r="7131" spans="3:5">
      <c r="C7131">
        <v>170.05799999999999</v>
      </c>
      <c r="D7131" s="17">
        <v>41812</v>
      </c>
      <c r="E7131" t="s">
        <v>1083</v>
      </c>
    </row>
    <row r="7132" spans="3:5">
      <c r="C7132">
        <v>170.072</v>
      </c>
      <c r="D7132" s="17">
        <v>42260</v>
      </c>
      <c r="E7132" t="s">
        <v>1144</v>
      </c>
    </row>
    <row r="7133" spans="3:5">
      <c r="C7133">
        <v>170.13600000000002</v>
      </c>
      <c r="D7133" s="17">
        <v>42261</v>
      </c>
      <c r="E7133" t="s">
        <v>1115</v>
      </c>
    </row>
    <row r="7134" spans="3:5">
      <c r="C7134">
        <v>170.24</v>
      </c>
      <c r="D7134" s="17">
        <v>41717</v>
      </c>
      <c r="E7134" t="s">
        <v>1238</v>
      </c>
    </row>
    <row r="7135" spans="3:5">
      <c r="C7135">
        <v>170.35200000000003</v>
      </c>
      <c r="D7135" s="17">
        <v>41798</v>
      </c>
      <c r="E7135" t="s">
        <v>721</v>
      </c>
    </row>
    <row r="7136" spans="3:5">
      <c r="C7136">
        <v>170.35200000000003</v>
      </c>
      <c r="D7136" s="17">
        <v>41842</v>
      </c>
      <c r="E7136" t="s">
        <v>1009</v>
      </c>
    </row>
    <row r="7137" spans="3:5">
      <c r="C7137">
        <v>170.35200000000003</v>
      </c>
      <c r="D7137" s="17">
        <v>42191</v>
      </c>
      <c r="E7137" t="s">
        <v>305</v>
      </c>
    </row>
    <row r="7138" spans="3:5">
      <c r="C7138">
        <v>170.35200000000003</v>
      </c>
      <c r="D7138" s="17">
        <v>42797</v>
      </c>
      <c r="E7138" t="s">
        <v>305</v>
      </c>
    </row>
    <row r="7139" spans="3:5">
      <c r="C7139">
        <v>170.78599999999997</v>
      </c>
      <c r="D7139" s="17">
        <v>42734</v>
      </c>
      <c r="E7139" t="s">
        <v>880</v>
      </c>
    </row>
    <row r="7140" spans="3:5">
      <c r="C7140">
        <v>170.88</v>
      </c>
      <c r="D7140" s="17">
        <v>42427</v>
      </c>
      <c r="E7140" t="s">
        <v>1299</v>
      </c>
    </row>
    <row r="7141" spans="3:5">
      <c r="C7141">
        <v>170.97</v>
      </c>
      <c r="D7141" s="17">
        <v>41846</v>
      </c>
      <c r="E7141" t="s">
        <v>1889</v>
      </c>
    </row>
    <row r="7142" spans="3:5">
      <c r="C7142">
        <v>170.98</v>
      </c>
      <c r="D7142" s="17">
        <v>42335</v>
      </c>
      <c r="E7142" t="s">
        <v>1809</v>
      </c>
    </row>
    <row r="7143" spans="3:5">
      <c r="C7143">
        <v>171.04</v>
      </c>
      <c r="D7143" s="17">
        <v>42547</v>
      </c>
      <c r="E7143" t="s">
        <v>960</v>
      </c>
    </row>
    <row r="7144" spans="3:5">
      <c r="C7144">
        <v>171.20000000000002</v>
      </c>
      <c r="D7144" s="17">
        <v>42802</v>
      </c>
      <c r="E7144" t="s">
        <v>333</v>
      </c>
    </row>
    <row r="7145" spans="3:5">
      <c r="C7145">
        <v>171.28800000000001</v>
      </c>
      <c r="D7145" s="17">
        <v>42878</v>
      </c>
      <c r="E7145" t="s">
        <v>112</v>
      </c>
    </row>
    <row r="7146" spans="3:5">
      <c r="C7146">
        <v>171.28800000000001</v>
      </c>
      <c r="D7146" s="17">
        <v>43011</v>
      </c>
      <c r="E7146" t="s">
        <v>112</v>
      </c>
    </row>
    <row r="7147" spans="3:5">
      <c r="C7147">
        <v>171.55</v>
      </c>
      <c r="D7147" s="17">
        <v>42709</v>
      </c>
      <c r="E7147" t="s">
        <v>887</v>
      </c>
    </row>
    <row r="7148" spans="3:5">
      <c r="C7148">
        <v>171.96</v>
      </c>
      <c r="D7148" s="17">
        <v>42079</v>
      </c>
      <c r="E7148" t="s">
        <v>272</v>
      </c>
    </row>
    <row r="7149" spans="3:5">
      <c r="C7149">
        <v>171.96</v>
      </c>
      <c r="D7149" s="17">
        <v>42679</v>
      </c>
      <c r="E7149" t="s">
        <v>356</v>
      </c>
    </row>
    <row r="7150" spans="3:5">
      <c r="C7150">
        <v>172.11</v>
      </c>
      <c r="D7150" s="17">
        <v>41737</v>
      </c>
      <c r="E7150" t="s">
        <v>1272</v>
      </c>
    </row>
    <row r="7151" spans="3:5">
      <c r="C7151">
        <v>172.18599999999998</v>
      </c>
      <c r="D7151" s="17">
        <v>41827</v>
      </c>
      <c r="E7151" t="s">
        <v>281</v>
      </c>
    </row>
    <row r="7152" spans="3:5">
      <c r="C7152">
        <v>172.5</v>
      </c>
      <c r="D7152" s="17">
        <v>42705</v>
      </c>
      <c r="E7152" t="s">
        <v>660</v>
      </c>
    </row>
    <row r="7153" spans="3:5">
      <c r="C7153">
        <v>172.70400000000001</v>
      </c>
      <c r="D7153" s="17">
        <v>42125</v>
      </c>
      <c r="E7153" t="s">
        <v>1428</v>
      </c>
    </row>
    <row r="7154" spans="3:5">
      <c r="C7154">
        <v>172.73599999999999</v>
      </c>
      <c r="D7154" s="17">
        <v>41978</v>
      </c>
      <c r="E7154" t="s">
        <v>1742</v>
      </c>
    </row>
    <row r="7155" spans="3:5">
      <c r="C7155">
        <v>172.75200000000001</v>
      </c>
      <c r="D7155" s="17">
        <v>43074</v>
      </c>
      <c r="E7155" t="s">
        <v>553</v>
      </c>
    </row>
    <row r="7156" spans="3:5">
      <c r="C7156">
        <v>172.76400000000001</v>
      </c>
      <c r="D7156" s="17">
        <v>41890</v>
      </c>
      <c r="E7156" t="s">
        <v>839</v>
      </c>
    </row>
    <row r="7157" spans="3:5">
      <c r="C7157">
        <v>172.76400000000001</v>
      </c>
      <c r="D7157" s="17">
        <v>42910</v>
      </c>
      <c r="E7157" t="s">
        <v>884</v>
      </c>
    </row>
    <row r="7158" spans="3:5">
      <c r="C7158">
        <v>173.208</v>
      </c>
      <c r="D7158" s="17">
        <v>42163</v>
      </c>
      <c r="E7158" t="s">
        <v>401</v>
      </c>
    </row>
    <row r="7159" spans="3:5">
      <c r="C7159">
        <v>173.24</v>
      </c>
      <c r="D7159" s="17">
        <v>42507</v>
      </c>
      <c r="E7159" t="s">
        <v>621</v>
      </c>
    </row>
    <row r="7160" spans="3:5">
      <c r="C7160">
        <v>173.48800000000003</v>
      </c>
      <c r="D7160" s="17">
        <v>42155</v>
      </c>
      <c r="E7160" t="s">
        <v>278</v>
      </c>
    </row>
    <row r="7161" spans="3:5">
      <c r="C7161">
        <v>173.48800000000003</v>
      </c>
      <c r="D7161" s="17">
        <v>42163</v>
      </c>
      <c r="E7161" t="s">
        <v>444</v>
      </c>
    </row>
    <row r="7162" spans="3:5">
      <c r="C7162">
        <v>173.48800000000003</v>
      </c>
      <c r="D7162" s="17">
        <v>42536</v>
      </c>
      <c r="E7162" t="s">
        <v>94</v>
      </c>
    </row>
    <row r="7163" spans="3:5">
      <c r="C7163">
        <v>173.65600000000003</v>
      </c>
      <c r="D7163" s="17">
        <v>41997</v>
      </c>
      <c r="E7163" t="s">
        <v>368</v>
      </c>
    </row>
    <row r="7164" spans="3:5">
      <c r="C7164">
        <v>173.79999999999998</v>
      </c>
      <c r="D7164" s="17">
        <v>43069</v>
      </c>
      <c r="E7164" t="s">
        <v>662</v>
      </c>
    </row>
    <row r="7165" spans="3:5">
      <c r="C7165">
        <v>173.94</v>
      </c>
      <c r="D7165" s="17">
        <v>42344</v>
      </c>
      <c r="E7165" t="s">
        <v>1248</v>
      </c>
    </row>
    <row r="7166" spans="3:5">
      <c r="C7166">
        <v>173.94</v>
      </c>
      <c r="D7166" s="17">
        <v>42371</v>
      </c>
      <c r="E7166" t="s">
        <v>282</v>
      </c>
    </row>
    <row r="7167" spans="3:5">
      <c r="C7167">
        <v>173.94</v>
      </c>
      <c r="D7167" s="17">
        <v>42621</v>
      </c>
      <c r="E7167" t="s">
        <v>1594</v>
      </c>
    </row>
    <row r="7168" spans="3:5">
      <c r="C7168">
        <v>174.05850000000001</v>
      </c>
      <c r="D7168" s="17">
        <v>41880</v>
      </c>
      <c r="E7168" t="s">
        <v>150</v>
      </c>
    </row>
    <row r="7169" spans="3:5">
      <c r="C7169">
        <v>174.28599999999997</v>
      </c>
      <c r="D7169" s="17">
        <v>42512</v>
      </c>
      <c r="E7169" t="s">
        <v>627</v>
      </c>
    </row>
    <row r="7170" spans="3:5">
      <c r="C7170">
        <v>174.3</v>
      </c>
      <c r="D7170" s="17">
        <v>42807</v>
      </c>
      <c r="E7170" t="s">
        <v>366</v>
      </c>
    </row>
    <row r="7171" spans="3:5">
      <c r="C7171">
        <v>174.42000000000002</v>
      </c>
      <c r="D7171" s="17">
        <v>42897</v>
      </c>
      <c r="E7171" t="s">
        <v>830</v>
      </c>
    </row>
    <row r="7172" spans="3:5">
      <c r="C7172">
        <v>174.95000000000002</v>
      </c>
      <c r="D7172" s="17">
        <v>41759</v>
      </c>
      <c r="E7172" t="s">
        <v>82</v>
      </c>
    </row>
    <row r="7173" spans="3:5">
      <c r="C7173">
        <v>174.95000000000002</v>
      </c>
      <c r="D7173" s="17">
        <v>42924</v>
      </c>
      <c r="E7173" t="s">
        <v>82</v>
      </c>
    </row>
    <row r="7174" spans="3:5">
      <c r="C7174">
        <v>174.95000000000002</v>
      </c>
      <c r="D7174" s="17">
        <v>42959</v>
      </c>
      <c r="E7174" t="s">
        <v>1050</v>
      </c>
    </row>
    <row r="7175" spans="3:5">
      <c r="C7175">
        <v>175.23</v>
      </c>
      <c r="D7175" s="17">
        <v>42349</v>
      </c>
      <c r="E7175" t="s">
        <v>1700</v>
      </c>
    </row>
    <row r="7176" spans="3:5">
      <c r="C7176">
        <v>175.44</v>
      </c>
      <c r="D7176" s="17">
        <v>42783</v>
      </c>
      <c r="E7176" t="s">
        <v>251</v>
      </c>
    </row>
    <row r="7177" spans="3:5">
      <c r="C7177">
        <v>175.87200000000001</v>
      </c>
      <c r="D7177" s="17">
        <v>43092</v>
      </c>
      <c r="E7177" t="s">
        <v>1246</v>
      </c>
    </row>
    <row r="7178" spans="3:5">
      <c r="C7178">
        <v>175.92</v>
      </c>
      <c r="D7178" s="17">
        <v>42574</v>
      </c>
      <c r="E7178" t="s">
        <v>731</v>
      </c>
    </row>
    <row r="7179" spans="3:5">
      <c r="C7179">
        <v>176.04</v>
      </c>
      <c r="D7179" s="17">
        <v>42819</v>
      </c>
      <c r="E7179" t="s">
        <v>432</v>
      </c>
    </row>
    <row r="7180" spans="3:5">
      <c r="C7180">
        <v>176.77199999999996</v>
      </c>
      <c r="D7180" s="17">
        <v>41701</v>
      </c>
      <c r="E7180" t="s">
        <v>1045</v>
      </c>
    </row>
    <row r="7181" spans="3:5">
      <c r="C7181">
        <v>176.78399999999999</v>
      </c>
      <c r="D7181" s="17">
        <v>42439</v>
      </c>
      <c r="E7181" t="s">
        <v>1741</v>
      </c>
    </row>
    <row r="7182" spans="3:5">
      <c r="C7182">
        <v>176.8</v>
      </c>
      <c r="D7182" s="17">
        <v>41877</v>
      </c>
      <c r="E7182" t="s">
        <v>777</v>
      </c>
    </row>
    <row r="7183" spans="3:5">
      <c r="C7183">
        <v>177</v>
      </c>
      <c r="D7183" s="17">
        <v>41926</v>
      </c>
      <c r="E7183" t="s">
        <v>1668</v>
      </c>
    </row>
    <row r="7184" spans="3:5">
      <c r="C7184">
        <v>177</v>
      </c>
      <c r="D7184" s="17">
        <v>42657</v>
      </c>
      <c r="E7184" t="s">
        <v>1668</v>
      </c>
    </row>
    <row r="7185" spans="3:5">
      <c r="C7185">
        <v>177.2</v>
      </c>
      <c r="D7185" s="17">
        <v>41831</v>
      </c>
      <c r="E7185" t="s">
        <v>296</v>
      </c>
    </row>
    <row r="7186" spans="3:5">
      <c r="C7186">
        <v>177.2</v>
      </c>
      <c r="D7186" s="17">
        <v>42957</v>
      </c>
      <c r="E7186" t="s">
        <v>1046</v>
      </c>
    </row>
    <row r="7187" spans="3:5">
      <c r="C7187">
        <v>177.22499999999999</v>
      </c>
      <c r="D7187" s="17">
        <v>42525</v>
      </c>
      <c r="E7187" t="s">
        <v>1115</v>
      </c>
    </row>
    <row r="7188" spans="3:5">
      <c r="C7188">
        <v>177.22499999999999</v>
      </c>
      <c r="D7188" s="17">
        <v>43030</v>
      </c>
      <c r="E7188" t="s">
        <v>1115</v>
      </c>
    </row>
    <row r="7189" spans="3:5">
      <c r="C7189">
        <v>177.45000000000002</v>
      </c>
      <c r="D7189" s="17">
        <v>42579</v>
      </c>
      <c r="E7189" t="s">
        <v>1725</v>
      </c>
    </row>
    <row r="7190" spans="3:5">
      <c r="C7190">
        <v>177.48000000000002</v>
      </c>
      <c r="D7190" s="17">
        <v>42338</v>
      </c>
      <c r="E7190" t="s">
        <v>1734</v>
      </c>
    </row>
    <row r="7191" spans="3:5">
      <c r="C7191">
        <v>177.48000000000002</v>
      </c>
      <c r="D7191" s="17">
        <v>42495</v>
      </c>
      <c r="E7191" t="s">
        <v>1734</v>
      </c>
    </row>
    <row r="7192" spans="3:5">
      <c r="C7192">
        <v>177.48000000000002</v>
      </c>
      <c r="D7192" s="17">
        <v>42530</v>
      </c>
      <c r="E7192" t="s">
        <v>1734</v>
      </c>
    </row>
    <row r="7193" spans="3:5">
      <c r="C7193">
        <v>177.48000000000002</v>
      </c>
      <c r="D7193" s="17">
        <v>42555</v>
      </c>
      <c r="E7193" t="s">
        <v>1734</v>
      </c>
    </row>
    <row r="7194" spans="3:5">
      <c r="C7194">
        <v>177.536</v>
      </c>
      <c r="D7194" s="17">
        <v>41824</v>
      </c>
      <c r="E7194" t="s">
        <v>1435</v>
      </c>
    </row>
    <row r="7195" spans="3:5">
      <c r="C7195">
        <v>177.536</v>
      </c>
      <c r="D7195" s="17">
        <v>42987</v>
      </c>
      <c r="E7195" t="s">
        <v>425</v>
      </c>
    </row>
    <row r="7196" spans="3:5">
      <c r="C7196">
        <v>177.54999999999998</v>
      </c>
      <c r="D7196" s="17">
        <v>43003</v>
      </c>
      <c r="E7196" t="s">
        <v>912</v>
      </c>
    </row>
    <row r="7197" spans="3:5">
      <c r="C7197">
        <v>177.56800000000001</v>
      </c>
      <c r="D7197" s="17">
        <v>41757</v>
      </c>
      <c r="E7197" t="s">
        <v>451</v>
      </c>
    </row>
    <row r="7198" spans="3:5">
      <c r="C7198">
        <v>177.56800000000001</v>
      </c>
      <c r="D7198" s="17">
        <v>42989</v>
      </c>
      <c r="E7198" t="s">
        <v>52</v>
      </c>
    </row>
    <row r="7199" spans="3:5">
      <c r="C7199">
        <v>177.64800000000002</v>
      </c>
      <c r="D7199" s="17">
        <v>42315</v>
      </c>
      <c r="E7199" t="s">
        <v>1339</v>
      </c>
    </row>
    <row r="7200" spans="3:5">
      <c r="C7200">
        <v>177.68</v>
      </c>
      <c r="D7200" s="17">
        <v>41731</v>
      </c>
      <c r="E7200" t="s">
        <v>1569</v>
      </c>
    </row>
    <row r="7201" spans="3:5">
      <c r="C7201">
        <v>177.97999999999996</v>
      </c>
      <c r="D7201" s="17">
        <v>41890</v>
      </c>
      <c r="E7201" t="s">
        <v>259</v>
      </c>
    </row>
    <row r="7202" spans="3:5">
      <c r="C7202">
        <v>178.10999999999999</v>
      </c>
      <c r="D7202" s="17">
        <v>43077</v>
      </c>
      <c r="E7202" t="s">
        <v>1168</v>
      </c>
    </row>
    <row r="7203" spans="3:5">
      <c r="C7203">
        <v>178.38400000000001</v>
      </c>
      <c r="D7203" s="17">
        <v>41860</v>
      </c>
      <c r="E7203" t="s">
        <v>1783</v>
      </c>
    </row>
    <row r="7204" spans="3:5">
      <c r="C7204">
        <v>178.92000000000002</v>
      </c>
      <c r="D7204" s="17">
        <v>42684</v>
      </c>
      <c r="E7204" t="s">
        <v>1002</v>
      </c>
    </row>
    <row r="7205" spans="3:5">
      <c r="C7205">
        <v>179.7</v>
      </c>
      <c r="D7205" s="17">
        <v>42521</v>
      </c>
      <c r="E7205" t="s">
        <v>1351</v>
      </c>
    </row>
    <row r="7206" spans="3:5">
      <c r="C7206">
        <v>179.82</v>
      </c>
      <c r="D7206" s="17">
        <v>42324</v>
      </c>
      <c r="E7206" t="s">
        <v>121</v>
      </c>
    </row>
    <row r="7207" spans="3:5">
      <c r="C7207">
        <v>179.886</v>
      </c>
      <c r="D7207" s="17">
        <v>42257</v>
      </c>
      <c r="E7207" t="s">
        <v>256</v>
      </c>
    </row>
    <row r="7208" spans="3:5">
      <c r="C7208">
        <v>179.89999999999998</v>
      </c>
      <c r="D7208" s="17">
        <v>43071</v>
      </c>
      <c r="E7208" t="s">
        <v>1428</v>
      </c>
    </row>
    <row r="7209" spans="3:5">
      <c r="C7209">
        <v>179.93999999999997</v>
      </c>
      <c r="D7209" s="17">
        <v>41978</v>
      </c>
      <c r="E7209" t="s">
        <v>367</v>
      </c>
    </row>
    <row r="7210" spans="3:5">
      <c r="C7210">
        <v>179.94</v>
      </c>
      <c r="D7210" s="17">
        <v>42527</v>
      </c>
      <c r="E7210" t="s">
        <v>1210</v>
      </c>
    </row>
    <row r="7211" spans="3:5">
      <c r="C7211">
        <v>179.94</v>
      </c>
      <c r="D7211" s="17">
        <v>42931</v>
      </c>
      <c r="E7211" t="s">
        <v>968</v>
      </c>
    </row>
    <row r="7212" spans="3:5">
      <c r="C7212">
        <v>179.95000000000002</v>
      </c>
      <c r="D7212" s="17">
        <v>43077</v>
      </c>
      <c r="E7212" t="s">
        <v>442</v>
      </c>
    </row>
    <row r="7213" spans="3:5">
      <c r="C7213">
        <v>179.97</v>
      </c>
      <c r="D7213" s="17">
        <v>41928</v>
      </c>
      <c r="E7213" t="s">
        <v>132</v>
      </c>
    </row>
    <row r="7214" spans="3:5">
      <c r="C7214">
        <v>179.97</v>
      </c>
      <c r="D7214" s="17">
        <v>42589</v>
      </c>
      <c r="E7214" t="s">
        <v>132</v>
      </c>
    </row>
    <row r="7215" spans="3:5">
      <c r="C7215">
        <v>179.97</v>
      </c>
      <c r="D7215" s="17">
        <v>42705</v>
      </c>
      <c r="E7215" t="s">
        <v>169</v>
      </c>
    </row>
    <row r="7216" spans="3:5">
      <c r="C7216">
        <v>179.97</v>
      </c>
      <c r="D7216" s="17">
        <v>42756</v>
      </c>
      <c r="E7216" t="s">
        <v>132</v>
      </c>
    </row>
    <row r="7217" spans="3:5">
      <c r="C7217">
        <v>179.99100000000004</v>
      </c>
      <c r="D7217" s="17">
        <v>42677</v>
      </c>
      <c r="E7217" t="s">
        <v>1656</v>
      </c>
    </row>
    <row r="7218" spans="3:5">
      <c r="C7218">
        <v>180.01600000000002</v>
      </c>
      <c r="D7218" s="17">
        <v>42355</v>
      </c>
      <c r="E7218" t="s">
        <v>579</v>
      </c>
    </row>
    <row r="7219" spans="3:5">
      <c r="C7219">
        <v>180.58800000000005</v>
      </c>
      <c r="D7219" s="17">
        <v>43001</v>
      </c>
      <c r="E7219" t="s">
        <v>217</v>
      </c>
    </row>
    <row r="7220" spans="3:5">
      <c r="C7220">
        <v>180.66</v>
      </c>
      <c r="D7220" s="17">
        <v>42902</v>
      </c>
      <c r="E7220" t="s">
        <v>851</v>
      </c>
    </row>
    <row r="7221" spans="3:5">
      <c r="C7221">
        <v>180.96</v>
      </c>
      <c r="D7221" s="17">
        <v>41672</v>
      </c>
      <c r="E7221" t="s">
        <v>1547</v>
      </c>
    </row>
    <row r="7222" spans="3:5">
      <c r="C7222">
        <v>180.96</v>
      </c>
      <c r="D7222" s="17">
        <v>42093</v>
      </c>
      <c r="E7222" t="s">
        <v>1547</v>
      </c>
    </row>
    <row r="7223" spans="3:5">
      <c r="C7223">
        <v>180.96</v>
      </c>
      <c r="D7223" s="17">
        <v>42114</v>
      </c>
      <c r="E7223" t="s">
        <v>680</v>
      </c>
    </row>
    <row r="7224" spans="3:5">
      <c r="C7224">
        <v>180.96</v>
      </c>
      <c r="D7224" s="17">
        <v>42372</v>
      </c>
      <c r="E7224" t="s">
        <v>1547</v>
      </c>
    </row>
    <row r="7225" spans="3:5">
      <c r="C7225">
        <v>180.96</v>
      </c>
      <c r="D7225" s="17">
        <v>42868</v>
      </c>
      <c r="E7225" t="s">
        <v>680</v>
      </c>
    </row>
    <row r="7226" spans="3:5">
      <c r="C7226">
        <v>180.96000000000004</v>
      </c>
      <c r="D7226" s="17">
        <v>41825</v>
      </c>
      <c r="E7226" t="s">
        <v>990</v>
      </c>
    </row>
    <row r="7227" spans="3:5">
      <c r="C7227">
        <v>180.97999999999996</v>
      </c>
      <c r="D7227" s="17">
        <v>42068</v>
      </c>
      <c r="E7227" t="s">
        <v>123</v>
      </c>
    </row>
    <row r="7228" spans="3:5">
      <c r="C7228">
        <v>180.98</v>
      </c>
      <c r="D7228" s="17">
        <v>42797</v>
      </c>
      <c r="E7228" t="s">
        <v>302</v>
      </c>
    </row>
    <row r="7229" spans="3:5">
      <c r="C7229">
        <v>181.35</v>
      </c>
      <c r="D7229" s="17">
        <v>42258</v>
      </c>
      <c r="E7229" t="s">
        <v>186</v>
      </c>
    </row>
    <row r="7230" spans="3:5">
      <c r="C7230">
        <v>181.47000000000003</v>
      </c>
      <c r="D7230" s="17">
        <v>41658</v>
      </c>
      <c r="E7230" t="s">
        <v>586</v>
      </c>
    </row>
    <row r="7231" spans="3:5">
      <c r="C7231">
        <v>181.76400000000001</v>
      </c>
      <c r="D7231" s="17">
        <v>42981</v>
      </c>
      <c r="E7231" t="s">
        <v>1131</v>
      </c>
    </row>
    <row r="7232" spans="3:5">
      <c r="C7232">
        <v>181.79699999999997</v>
      </c>
      <c r="D7232" s="17">
        <v>42384</v>
      </c>
      <c r="E7232" t="s">
        <v>1538</v>
      </c>
    </row>
    <row r="7233" spans="3:5">
      <c r="C7233">
        <v>181.86</v>
      </c>
      <c r="D7233" s="17">
        <v>42899</v>
      </c>
      <c r="E7233" t="s">
        <v>840</v>
      </c>
    </row>
    <row r="7234" spans="3:5">
      <c r="C7234">
        <v>181.86</v>
      </c>
      <c r="D7234" s="17">
        <v>43050</v>
      </c>
      <c r="E7234" t="s">
        <v>840</v>
      </c>
    </row>
    <row r="7235" spans="3:5">
      <c r="C7235">
        <v>181.95</v>
      </c>
      <c r="D7235" s="17">
        <v>43092</v>
      </c>
      <c r="E7235" t="s">
        <v>921</v>
      </c>
    </row>
    <row r="7236" spans="3:5">
      <c r="C7236">
        <v>181.96</v>
      </c>
      <c r="D7236" s="17">
        <v>42194</v>
      </c>
      <c r="E7236" t="s">
        <v>1722</v>
      </c>
    </row>
    <row r="7237" spans="3:5">
      <c r="C7237">
        <v>181.98599999999999</v>
      </c>
      <c r="D7237" s="17">
        <v>42031</v>
      </c>
      <c r="E7237" t="s">
        <v>743</v>
      </c>
    </row>
    <row r="7238" spans="3:5">
      <c r="C7238">
        <v>181.98599999999999</v>
      </c>
      <c r="D7238" s="17">
        <v>42877</v>
      </c>
      <c r="E7238" t="s">
        <v>743</v>
      </c>
    </row>
    <row r="7239" spans="3:5">
      <c r="C7239">
        <v>182.11199999999999</v>
      </c>
      <c r="D7239" s="17">
        <v>41890</v>
      </c>
      <c r="E7239" t="s">
        <v>1595</v>
      </c>
    </row>
    <row r="7240" spans="3:5">
      <c r="C7240">
        <v>182.22</v>
      </c>
      <c r="D7240" s="17">
        <v>43073</v>
      </c>
      <c r="E7240" t="s">
        <v>1144</v>
      </c>
    </row>
    <row r="7241" spans="3:5">
      <c r="C7241">
        <v>182.35200000000003</v>
      </c>
      <c r="D7241" s="17">
        <v>42000</v>
      </c>
      <c r="E7241" t="s">
        <v>1577</v>
      </c>
    </row>
    <row r="7242" spans="3:5">
      <c r="C7242">
        <v>182.55</v>
      </c>
      <c r="D7242" s="17">
        <v>43091</v>
      </c>
      <c r="E7242" t="s">
        <v>1330</v>
      </c>
    </row>
    <row r="7243" spans="3:5">
      <c r="C7243">
        <v>182.67000000000002</v>
      </c>
      <c r="D7243" s="17">
        <v>42702</v>
      </c>
      <c r="E7243" t="s">
        <v>1609</v>
      </c>
    </row>
    <row r="7244" spans="3:5">
      <c r="C7244">
        <v>182.72</v>
      </c>
      <c r="D7244" s="17">
        <v>42030</v>
      </c>
      <c r="E7244" t="s">
        <v>898</v>
      </c>
    </row>
    <row r="7245" spans="3:5">
      <c r="C7245">
        <v>182.72</v>
      </c>
      <c r="D7245" s="17">
        <v>42518</v>
      </c>
      <c r="E7245" t="s">
        <v>898</v>
      </c>
    </row>
    <row r="7246" spans="3:5">
      <c r="C7246">
        <v>182.72</v>
      </c>
      <c r="D7246" s="17">
        <v>42707</v>
      </c>
      <c r="E7246" t="s">
        <v>1601</v>
      </c>
    </row>
    <row r="7247" spans="3:5">
      <c r="C7247">
        <v>182.91</v>
      </c>
      <c r="D7247" s="17">
        <v>42307</v>
      </c>
      <c r="E7247" t="s">
        <v>523</v>
      </c>
    </row>
    <row r="7248" spans="3:5">
      <c r="C7248">
        <v>182.94</v>
      </c>
      <c r="D7248" s="17">
        <v>41899</v>
      </c>
      <c r="E7248" t="s">
        <v>1543</v>
      </c>
    </row>
    <row r="7249" spans="3:5">
      <c r="C7249">
        <v>182.94</v>
      </c>
      <c r="D7249" s="17">
        <v>42708</v>
      </c>
      <c r="E7249" t="s">
        <v>560</v>
      </c>
    </row>
    <row r="7250" spans="3:5">
      <c r="C7250">
        <v>182.94</v>
      </c>
      <c r="D7250" s="17">
        <v>42936</v>
      </c>
      <c r="E7250" t="s">
        <v>985</v>
      </c>
    </row>
    <row r="7251" spans="3:5">
      <c r="C7251">
        <v>182.94</v>
      </c>
      <c r="D7251" s="17">
        <v>43092</v>
      </c>
      <c r="E7251" t="s">
        <v>1543</v>
      </c>
    </row>
    <row r="7252" spans="3:5">
      <c r="C7252">
        <v>182.99399999999997</v>
      </c>
      <c r="D7252" s="17">
        <v>42812</v>
      </c>
      <c r="E7252" t="s">
        <v>76</v>
      </c>
    </row>
    <row r="7253" spans="3:5">
      <c r="C7253">
        <v>182.99399999999997</v>
      </c>
      <c r="D7253" s="17">
        <v>42910</v>
      </c>
      <c r="E7253" t="s">
        <v>76</v>
      </c>
    </row>
    <row r="7254" spans="3:5">
      <c r="C7254">
        <v>183.37199999999999</v>
      </c>
      <c r="D7254" s="17">
        <v>41927</v>
      </c>
      <c r="E7254" t="s">
        <v>1873</v>
      </c>
    </row>
    <row r="7255" spans="3:5">
      <c r="C7255">
        <v>183.37199999999999</v>
      </c>
      <c r="D7255" s="17">
        <v>42950</v>
      </c>
      <c r="E7255" t="s">
        <v>1031</v>
      </c>
    </row>
    <row r="7256" spans="3:5">
      <c r="C7256">
        <v>183.84</v>
      </c>
      <c r="D7256" s="17">
        <v>42722</v>
      </c>
      <c r="E7256" t="s">
        <v>1081</v>
      </c>
    </row>
    <row r="7257" spans="3:5">
      <c r="C7257">
        <v>183.92</v>
      </c>
      <c r="D7257" s="17">
        <v>42936</v>
      </c>
      <c r="E7257" t="s">
        <v>288</v>
      </c>
    </row>
    <row r="7258" spans="3:5">
      <c r="C7258">
        <v>183.96</v>
      </c>
      <c r="D7258" s="17">
        <v>42859</v>
      </c>
      <c r="E7258" t="s">
        <v>630</v>
      </c>
    </row>
    <row r="7259" spans="3:5">
      <c r="C7259">
        <v>183.96800000000002</v>
      </c>
      <c r="D7259" s="17">
        <v>43059</v>
      </c>
      <c r="E7259" t="s">
        <v>1448</v>
      </c>
    </row>
    <row r="7260" spans="3:5">
      <c r="C7260">
        <v>184.66</v>
      </c>
      <c r="D7260" s="17">
        <v>42341</v>
      </c>
      <c r="E7260" t="s">
        <v>1177</v>
      </c>
    </row>
    <row r="7261" spans="3:5">
      <c r="C7261">
        <v>184.66</v>
      </c>
      <c r="D7261" s="17">
        <v>42348</v>
      </c>
      <c r="E7261" t="s">
        <v>320</v>
      </c>
    </row>
    <row r="7262" spans="3:5">
      <c r="C7262">
        <v>184.66</v>
      </c>
      <c r="D7262" s="17">
        <v>42989</v>
      </c>
      <c r="E7262" t="s">
        <v>1177</v>
      </c>
    </row>
    <row r="7263" spans="3:5">
      <c r="C7263">
        <v>184.70400000000001</v>
      </c>
      <c r="D7263" s="17">
        <v>42516</v>
      </c>
      <c r="E7263" t="s">
        <v>1496</v>
      </c>
    </row>
    <row r="7264" spans="3:5">
      <c r="C7264">
        <v>184.75200000000001</v>
      </c>
      <c r="D7264" s="17">
        <v>42064</v>
      </c>
      <c r="E7264" t="s">
        <v>125</v>
      </c>
    </row>
    <row r="7265" spans="3:5">
      <c r="C7265">
        <v>184.75200000000001</v>
      </c>
      <c r="D7265" s="17">
        <v>42636</v>
      </c>
      <c r="E7265" t="s">
        <v>125</v>
      </c>
    </row>
    <row r="7266" spans="3:5">
      <c r="C7266">
        <v>184.75200000000001</v>
      </c>
      <c r="D7266" s="17">
        <v>42993</v>
      </c>
      <c r="E7266" t="s">
        <v>125</v>
      </c>
    </row>
    <row r="7267" spans="3:5">
      <c r="C7267">
        <v>185.376</v>
      </c>
      <c r="D7267" s="17">
        <v>42482</v>
      </c>
      <c r="E7267" t="s">
        <v>420</v>
      </c>
    </row>
    <row r="7268" spans="3:5">
      <c r="C7268">
        <v>185.376</v>
      </c>
      <c r="D7268" s="17">
        <v>42595</v>
      </c>
      <c r="E7268" t="s">
        <v>420</v>
      </c>
    </row>
    <row r="7269" spans="3:5">
      <c r="C7269">
        <v>185.376</v>
      </c>
      <c r="D7269" s="17">
        <v>42678</v>
      </c>
      <c r="E7269" t="s">
        <v>420</v>
      </c>
    </row>
    <row r="7270" spans="3:5">
      <c r="C7270">
        <v>185.52800000000002</v>
      </c>
      <c r="D7270" s="17">
        <v>42504</v>
      </c>
      <c r="E7270" t="s">
        <v>818</v>
      </c>
    </row>
    <row r="7271" spans="3:5">
      <c r="C7271">
        <v>185.57999999999998</v>
      </c>
      <c r="D7271" s="17">
        <v>42324</v>
      </c>
      <c r="E7271" t="s">
        <v>401</v>
      </c>
    </row>
    <row r="7272" spans="3:5">
      <c r="C7272">
        <v>185.57999999999998</v>
      </c>
      <c r="D7272" s="17">
        <v>42570</v>
      </c>
      <c r="E7272" t="s">
        <v>401</v>
      </c>
    </row>
    <row r="7273" spans="3:5">
      <c r="C7273">
        <v>185.88</v>
      </c>
      <c r="D7273" s="17">
        <v>42518</v>
      </c>
      <c r="E7273" t="s">
        <v>601</v>
      </c>
    </row>
    <row r="7274" spans="3:5">
      <c r="C7274">
        <v>185.88</v>
      </c>
      <c r="D7274" s="17">
        <v>42533</v>
      </c>
      <c r="E7274" t="s">
        <v>1089</v>
      </c>
    </row>
    <row r="7275" spans="3:5">
      <c r="C7275">
        <v>185.92000000000002</v>
      </c>
      <c r="D7275" s="17">
        <v>42819</v>
      </c>
      <c r="E7275" t="s">
        <v>366</v>
      </c>
    </row>
    <row r="7276" spans="3:5">
      <c r="C7276">
        <v>186.048</v>
      </c>
      <c r="D7276" s="17">
        <v>42328</v>
      </c>
      <c r="E7276" t="s">
        <v>830</v>
      </c>
    </row>
    <row r="7277" spans="3:5">
      <c r="C7277">
        <v>186.048</v>
      </c>
      <c r="D7277" s="17">
        <v>42733</v>
      </c>
      <c r="E7277" t="s">
        <v>1099</v>
      </c>
    </row>
    <row r="7278" spans="3:5">
      <c r="C7278">
        <v>186.14400000000001</v>
      </c>
      <c r="D7278" s="17">
        <v>42542</v>
      </c>
      <c r="E7278" t="s">
        <v>696</v>
      </c>
    </row>
    <row r="7279" spans="3:5">
      <c r="C7279">
        <v>186.14999999999998</v>
      </c>
      <c r="D7279" s="17">
        <v>42275</v>
      </c>
      <c r="E7279" t="s">
        <v>590</v>
      </c>
    </row>
    <row r="7280" spans="3:5">
      <c r="C7280">
        <v>186.304</v>
      </c>
      <c r="D7280" s="17">
        <v>41987</v>
      </c>
      <c r="E7280" t="s">
        <v>1544</v>
      </c>
    </row>
    <row r="7281" spans="3:5">
      <c r="C7281">
        <v>186.54</v>
      </c>
      <c r="D7281" s="17">
        <v>42316</v>
      </c>
      <c r="E7281" t="s">
        <v>1527</v>
      </c>
    </row>
    <row r="7282" spans="3:5">
      <c r="C7282">
        <v>186.54</v>
      </c>
      <c r="D7282" s="17">
        <v>42405</v>
      </c>
      <c r="E7282" t="s">
        <v>137</v>
      </c>
    </row>
    <row r="7283" spans="3:5">
      <c r="C7283">
        <v>186.54</v>
      </c>
      <c r="D7283" s="17">
        <v>42608</v>
      </c>
      <c r="E7283" t="s">
        <v>1527</v>
      </c>
    </row>
    <row r="7284" spans="3:5">
      <c r="C7284">
        <v>186.54</v>
      </c>
      <c r="D7284" s="17">
        <v>42948</v>
      </c>
      <c r="E7284" t="s">
        <v>137</v>
      </c>
    </row>
    <row r="7285" spans="3:5">
      <c r="C7285">
        <v>186.69</v>
      </c>
      <c r="D7285" s="17">
        <v>42147</v>
      </c>
      <c r="E7285" t="s">
        <v>1695</v>
      </c>
    </row>
    <row r="7286" spans="3:5">
      <c r="C7286">
        <v>186.69</v>
      </c>
      <c r="D7286" s="17">
        <v>42174</v>
      </c>
      <c r="E7286" t="s">
        <v>1695</v>
      </c>
    </row>
    <row r="7287" spans="3:5">
      <c r="C7287">
        <v>186.732</v>
      </c>
      <c r="D7287" s="17">
        <v>42122</v>
      </c>
      <c r="E7287" t="s">
        <v>1468</v>
      </c>
    </row>
    <row r="7288" spans="3:5">
      <c r="C7288">
        <v>186.91200000000001</v>
      </c>
      <c r="D7288" s="17">
        <v>41930</v>
      </c>
      <c r="E7288" t="s">
        <v>1644</v>
      </c>
    </row>
    <row r="7289" spans="3:5">
      <c r="C7289">
        <v>187.05600000000001</v>
      </c>
      <c r="D7289" s="17">
        <v>42492</v>
      </c>
      <c r="E7289" t="s">
        <v>1310</v>
      </c>
    </row>
    <row r="7290" spans="3:5">
      <c r="C7290">
        <v>187.76</v>
      </c>
      <c r="D7290" s="17">
        <v>41744</v>
      </c>
      <c r="E7290" t="s">
        <v>1432</v>
      </c>
    </row>
    <row r="7291" spans="3:5">
      <c r="C7291">
        <v>187.76</v>
      </c>
      <c r="D7291" s="17">
        <v>43056</v>
      </c>
      <c r="E7291" t="s">
        <v>1432</v>
      </c>
    </row>
    <row r="7292" spans="3:5">
      <c r="C7292">
        <v>187.98</v>
      </c>
      <c r="D7292" s="17">
        <v>41665</v>
      </c>
      <c r="E7292" t="s">
        <v>1536</v>
      </c>
    </row>
    <row r="7293" spans="3:5">
      <c r="C7293">
        <v>188.55199999999996</v>
      </c>
      <c r="D7293" s="17">
        <v>43073</v>
      </c>
      <c r="E7293" t="s">
        <v>1492</v>
      </c>
    </row>
    <row r="7294" spans="3:5">
      <c r="C7294">
        <v>189</v>
      </c>
      <c r="D7294" s="17">
        <v>43078</v>
      </c>
      <c r="E7294" t="s">
        <v>1516</v>
      </c>
    </row>
    <row r="7295" spans="3:5">
      <c r="C7295">
        <v>189.57600000000002</v>
      </c>
      <c r="D7295" s="17">
        <v>43035</v>
      </c>
      <c r="E7295" t="s">
        <v>1079</v>
      </c>
    </row>
    <row r="7296" spans="3:5">
      <c r="C7296">
        <v>189.58800000000005</v>
      </c>
      <c r="D7296" s="17">
        <v>42475</v>
      </c>
      <c r="E7296" t="s">
        <v>66</v>
      </c>
    </row>
    <row r="7297" spans="3:5">
      <c r="C7297">
        <v>189.7</v>
      </c>
      <c r="D7297" s="17">
        <v>42710</v>
      </c>
      <c r="E7297" t="s">
        <v>1595</v>
      </c>
    </row>
    <row r="7298" spans="3:5">
      <c r="C7298">
        <v>189.7</v>
      </c>
      <c r="D7298" s="17">
        <v>43040</v>
      </c>
      <c r="E7298" t="s">
        <v>828</v>
      </c>
    </row>
    <row r="7299" spans="3:5">
      <c r="C7299">
        <v>189.88200000000001</v>
      </c>
      <c r="D7299" s="17">
        <v>42447</v>
      </c>
      <c r="E7299" t="s">
        <v>150</v>
      </c>
    </row>
    <row r="7300" spans="3:5">
      <c r="C7300">
        <v>189.95000000000002</v>
      </c>
      <c r="D7300" s="17">
        <v>43085</v>
      </c>
      <c r="E7300" t="s">
        <v>405</v>
      </c>
    </row>
    <row r="7301" spans="3:5">
      <c r="C7301">
        <v>190.72000000000003</v>
      </c>
      <c r="D7301" s="17">
        <v>42315</v>
      </c>
      <c r="E7301" t="s">
        <v>652</v>
      </c>
    </row>
    <row r="7302" spans="3:5">
      <c r="C7302">
        <v>190.84800000000001</v>
      </c>
      <c r="D7302" s="17">
        <v>41993</v>
      </c>
      <c r="E7302" t="s">
        <v>1646</v>
      </c>
    </row>
    <row r="7303" spans="3:5">
      <c r="C7303">
        <v>190.86</v>
      </c>
      <c r="D7303" s="17">
        <v>42262</v>
      </c>
      <c r="E7303" t="s">
        <v>624</v>
      </c>
    </row>
    <row r="7304" spans="3:5">
      <c r="C7304">
        <v>190.89600000000002</v>
      </c>
      <c r="D7304" s="17">
        <v>43003</v>
      </c>
      <c r="E7304" t="s">
        <v>548</v>
      </c>
    </row>
    <row r="7305" spans="3:5">
      <c r="C7305">
        <v>190.92</v>
      </c>
      <c r="D7305" s="17">
        <v>42712</v>
      </c>
      <c r="E7305" t="s">
        <v>759</v>
      </c>
    </row>
    <row r="7306" spans="3:5">
      <c r="C7306">
        <v>191.05799999999999</v>
      </c>
      <c r="D7306" s="17">
        <v>43058</v>
      </c>
      <c r="E7306" t="s">
        <v>485</v>
      </c>
    </row>
    <row r="7307" spans="3:5">
      <c r="C7307">
        <v>191.07899999999998</v>
      </c>
      <c r="D7307" s="17">
        <v>42521</v>
      </c>
      <c r="E7307" t="s">
        <v>434</v>
      </c>
    </row>
    <row r="7308" spans="3:5">
      <c r="C7308">
        <v>191.47200000000001</v>
      </c>
      <c r="D7308" s="17">
        <v>42374</v>
      </c>
      <c r="E7308" t="s">
        <v>520</v>
      </c>
    </row>
    <row r="7309" spans="3:5">
      <c r="C7309">
        <v>191.5155</v>
      </c>
      <c r="D7309" s="17">
        <v>42120</v>
      </c>
      <c r="E7309" t="s">
        <v>911</v>
      </c>
    </row>
    <row r="7310" spans="3:5">
      <c r="C7310">
        <v>191.6</v>
      </c>
      <c r="D7310" s="17">
        <v>42514</v>
      </c>
      <c r="E7310" t="s">
        <v>1221</v>
      </c>
    </row>
    <row r="7311" spans="3:5">
      <c r="C7311">
        <v>191.6</v>
      </c>
      <c r="D7311" s="17">
        <v>42834</v>
      </c>
      <c r="E7311" t="s">
        <v>511</v>
      </c>
    </row>
    <row r="7312" spans="3:5">
      <c r="C7312">
        <v>191.64600000000002</v>
      </c>
      <c r="D7312" s="17">
        <v>42913</v>
      </c>
      <c r="E7312" t="s">
        <v>721</v>
      </c>
    </row>
    <row r="7313" spans="3:5">
      <c r="C7313">
        <v>191.82</v>
      </c>
      <c r="D7313" s="17">
        <v>42253</v>
      </c>
      <c r="E7313" t="s">
        <v>1597</v>
      </c>
    </row>
    <row r="7314" spans="3:5">
      <c r="C7314">
        <v>191.82</v>
      </c>
      <c r="D7314" s="17">
        <v>42614</v>
      </c>
      <c r="E7314" t="s">
        <v>1229</v>
      </c>
    </row>
    <row r="7315" spans="3:5">
      <c r="C7315">
        <v>191.82</v>
      </c>
      <c r="D7315" s="17">
        <v>42630</v>
      </c>
      <c r="E7315" t="s">
        <v>1229</v>
      </c>
    </row>
    <row r="7316" spans="3:5">
      <c r="C7316">
        <v>191.82</v>
      </c>
      <c r="D7316" s="17">
        <v>42709</v>
      </c>
      <c r="E7316" t="s">
        <v>1597</v>
      </c>
    </row>
    <row r="7317" spans="3:5">
      <c r="C7317">
        <v>191.88</v>
      </c>
      <c r="D7317" s="17">
        <v>41999</v>
      </c>
      <c r="E7317" t="s">
        <v>269</v>
      </c>
    </row>
    <row r="7318" spans="3:5">
      <c r="C7318">
        <v>191.88</v>
      </c>
      <c r="D7318" s="17">
        <v>42550</v>
      </c>
      <c r="E7318" t="s">
        <v>269</v>
      </c>
    </row>
    <row r="7319" spans="3:5">
      <c r="C7319">
        <v>191.96</v>
      </c>
      <c r="D7319" s="17">
        <v>42115</v>
      </c>
      <c r="E7319" t="s">
        <v>884</v>
      </c>
    </row>
    <row r="7320" spans="3:5">
      <c r="C7320">
        <v>191.96</v>
      </c>
      <c r="D7320" s="17">
        <v>42348</v>
      </c>
      <c r="E7320" t="s">
        <v>839</v>
      </c>
    </row>
    <row r="7321" spans="3:5">
      <c r="C7321">
        <v>191.96800000000002</v>
      </c>
      <c r="D7321" s="17">
        <v>42135</v>
      </c>
      <c r="E7321" t="s">
        <v>656</v>
      </c>
    </row>
    <row r="7322" spans="3:5">
      <c r="C7322">
        <v>191.96800000000002</v>
      </c>
      <c r="D7322" s="17">
        <v>42300</v>
      </c>
      <c r="E7322" t="s">
        <v>656</v>
      </c>
    </row>
    <row r="7323" spans="3:5">
      <c r="C7323">
        <v>191.96800000000002</v>
      </c>
      <c r="D7323" s="17">
        <v>42861</v>
      </c>
      <c r="E7323" t="s">
        <v>649</v>
      </c>
    </row>
    <row r="7324" spans="3:5">
      <c r="C7324">
        <v>191.976</v>
      </c>
      <c r="D7324" s="17">
        <v>42002</v>
      </c>
      <c r="E7324" t="s">
        <v>893</v>
      </c>
    </row>
    <row r="7325" spans="3:5">
      <c r="C7325">
        <v>191.976</v>
      </c>
      <c r="D7325" s="17">
        <v>42656</v>
      </c>
      <c r="E7325" t="s">
        <v>221</v>
      </c>
    </row>
    <row r="7326" spans="3:5">
      <c r="C7326">
        <v>191.976</v>
      </c>
      <c r="D7326" s="17">
        <v>42997</v>
      </c>
      <c r="E7326" t="s">
        <v>893</v>
      </c>
    </row>
    <row r="7327" spans="3:5">
      <c r="C7327">
        <v>191.976</v>
      </c>
      <c r="D7327" s="17">
        <v>43048</v>
      </c>
      <c r="E7327" t="s">
        <v>1395</v>
      </c>
    </row>
    <row r="7328" spans="3:5">
      <c r="C7328">
        <v>191.98</v>
      </c>
      <c r="D7328" s="17">
        <v>42663</v>
      </c>
      <c r="E7328" t="s">
        <v>393</v>
      </c>
    </row>
    <row r="7329" spans="3:5">
      <c r="C7329">
        <v>191.98</v>
      </c>
      <c r="D7329" s="17">
        <v>42902</v>
      </c>
      <c r="E7329" t="s">
        <v>393</v>
      </c>
    </row>
    <row r="7330" spans="3:5">
      <c r="C7330">
        <v>191.98400000000001</v>
      </c>
      <c r="D7330" s="17">
        <v>43094</v>
      </c>
      <c r="E7330" t="s">
        <v>216</v>
      </c>
    </row>
    <row r="7331" spans="3:5">
      <c r="C7331">
        <v>192.16</v>
      </c>
      <c r="D7331" s="17">
        <v>42618</v>
      </c>
      <c r="E7331" t="s">
        <v>358</v>
      </c>
    </row>
    <row r="7332" spans="3:5">
      <c r="C7332">
        <v>192.16</v>
      </c>
      <c r="D7332" s="17">
        <v>42902</v>
      </c>
      <c r="E7332" t="s">
        <v>358</v>
      </c>
    </row>
    <row r="7333" spans="3:5">
      <c r="C7333">
        <v>192.16</v>
      </c>
      <c r="D7333" s="17">
        <v>42959</v>
      </c>
      <c r="E7333" t="s">
        <v>692</v>
      </c>
    </row>
    <row r="7334" spans="3:5">
      <c r="C7334">
        <v>192.16000000000003</v>
      </c>
      <c r="D7334" s="17">
        <v>42972</v>
      </c>
      <c r="E7334" t="s">
        <v>1092</v>
      </c>
    </row>
    <row r="7335" spans="3:5">
      <c r="C7335">
        <v>192.18600000000004</v>
      </c>
      <c r="D7335" s="17">
        <v>41993</v>
      </c>
      <c r="E7335" t="s">
        <v>1113</v>
      </c>
    </row>
    <row r="7336" spans="3:5">
      <c r="C7336">
        <v>192.22</v>
      </c>
      <c r="D7336" s="17">
        <v>42008</v>
      </c>
      <c r="E7336" t="s">
        <v>765</v>
      </c>
    </row>
    <row r="7337" spans="3:5">
      <c r="C7337">
        <v>192.72</v>
      </c>
      <c r="D7337" s="17">
        <v>42086</v>
      </c>
      <c r="E7337" t="s">
        <v>671</v>
      </c>
    </row>
    <row r="7338" spans="3:5">
      <c r="C7338">
        <v>192.8</v>
      </c>
      <c r="D7338" s="17">
        <v>42678</v>
      </c>
      <c r="E7338" t="s">
        <v>882</v>
      </c>
    </row>
    <row r="7339" spans="3:5">
      <c r="C7339">
        <v>193.06559999999999</v>
      </c>
      <c r="D7339" s="17">
        <v>41810</v>
      </c>
      <c r="E7339" t="s">
        <v>84</v>
      </c>
    </row>
    <row r="7340" spans="3:5">
      <c r="C7340">
        <v>193.79999999999998</v>
      </c>
      <c r="D7340" s="17">
        <v>42239</v>
      </c>
      <c r="E7340" t="s">
        <v>1669</v>
      </c>
    </row>
    <row r="7341" spans="3:5">
      <c r="C7341">
        <v>193.86</v>
      </c>
      <c r="D7341" s="17">
        <v>42708</v>
      </c>
      <c r="E7341" t="s">
        <v>1600</v>
      </c>
    </row>
    <row r="7342" spans="3:5">
      <c r="C7342">
        <v>193.95000000000002</v>
      </c>
      <c r="D7342" s="17">
        <v>41964</v>
      </c>
      <c r="E7342" t="s">
        <v>188</v>
      </c>
    </row>
    <row r="7343" spans="3:5">
      <c r="C7343">
        <v>193.95000000000002</v>
      </c>
      <c r="D7343" s="17">
        <v>42978</v>
      </c>
      <c r="E7343" t="s">
        <v>188</v>
      </c>
    </row>
    <row r="7344" spans="3:5">
      <c r="C7344">
        <v>194.25</v>
      </c>
      <c r="D7344" s="17">
        <v>41766</v>
      </c>
      <c r="E7344" t="s">
        <v>193</v>
      </c>
    </row>
    <row r="7345" spans="3:5">
      <c r="C7345">
        <v>194.32</v>
      </c>
      <c r="D7345" s="17">
        <v>42268</v>
      </c>
      <c r="E7345" t="s">
        <v>850</v>
      </c>
    </row>
    <row r="7346" spans="3:5">
      <c r="C7346">
        <v>194.32</v>
      </c>
      <c r="D7346" s="17">
        <v>42361</v>
      </c>
      <c r="E7346" t="s">
        <v>653</v>
      </c>
    </row>
    <row r="7347" spans="3:5">
      <c r="C7347">
        <v>194.35200000000003</v>
      </c>
      <c r="D7347" s="17">
        <v>42472</v>
      </c>
      <c r="E7347" t="s">
        <v>735</v>
      </c>
    </row>
    <row r="7348" spans="3:5">
      <c r="C7348">
        <v>194.35200000000003</v>
      </c>
      <c r="D7348" s="17">
        <v>42699</v>
      </c>
      <c r="E7348" t="s">
        <v>1083</v>
      </c>
    </row>
    <row r="7349" spans="3:5">
      <c r="C7349">
        <v>194.35200000000003</v>
      </c>
      <c r="D7349" s="17">
        <v>43043</v>
      </c>
      <c r="E7349" t="s">
        <v>1346</v>
      </c>
    </row>
    <row r="7350" spans="3:5">
      <c r="C7350">
        <v>194.52800000000002</v>
      </c>
      <c r="D7350" s="17">
        <v>42722</v>
      </c>
      <c r="E7350" t="s">
        <v>571</v>
      </c>
    </row>
    <row r="7351" spans="3:5">
      <c r="C7351">
        <v>194.7</v>
      </c>
      <c r="D7351" s="17">
        <v>41933</v>
      </c>
      <c r="E7351" t="s">
        <v>1644</v>
      </c>
    </row>
    <row r="7352" spans="3:5">
      <c r="C7352">
        <v>194.84800000000001</v>
      </c>
      <c r="D7352" s="17">
        <v>42644</v>
      </c>
      <c r="E7352" t="s">
        <v>1013</v>
      </c>
    </row>
    <row r="7353" spans="3:5">
      <c r="C7353">
        <v>194.84800000000001</v>
      </c>
      <c r="D7353" s="17">
        <v>42943</v>
      </c>
      <c r="E7353" t="s">
        <v>1013</v>
      </c>
    </row>
    <row r="7354" spans="3:5">
      <c r="C7354">
        <v>194.94</v>
      </c>
      <c r="D7354" s="17">
        <v>42618</v>
      </c>
      <c r="E7354" t="s">
        <v>1008</v>
      </c>
    </row>
    <row r="7355" spans="3:5">
      <c r="C7355">
        <v>195.10400000000001</v>
      </c>
      <c r="D7355" s="17">
        <v>42835</v>
      </c>
      <c r="E7355" t="s">
        <v>523</v>
      </c>
    </row>
    <row r="7356" spans="3:5">
      <c r="C7356">
        <v>195.136</v>
      </c>
      <c r="D7356" s="17">
        <v>41866</v>
      </c>
      <c r="E7356" t="s">
        <v>985</v>
      </c>
    </row>
    <row r="7357" spans="3:5">
      <c r="C7357">
        <v>195.136</v>
      </c>
      <c r="D7357" s="17">
        <v>42695</v>
      </c>
      <c r="E7357" t="s">
        <v>985</v>
      </c>
    </row>
    <row r="7358" spans="3:5">
      <c r="C7358">
        <v>195.136</v>
      </c>
      <c r="D7358" s="17">
        <v>42842</v>
      </c>
      <c r="E7358" t="s">
        <v>560</v>
      </c>
    </row>
    <row r="7359" spans="3:5">
      <c r="C7359">
        <v>195.184</v>
      </c>
      <c r="D7359" s="17">
        <v>42553</v>
      </c>
      <c r="E7359" t="s">
        <v>1461</v>
      </c>
    </row>
    <row r="7360" spans="3:5">
      <c r="C7360">
        <v>195.46600000000001</v>
      </c>
      <c r="D7360" s="17">
        <v>42202</v>
      </c>
      <c r="E7360" t="s">
        <v>1448</v>
      </c>
    </row>
    <row r="7361" spans="3:5">
      <c r="C7361">
        <v>195.64</v>
      </c>
      <c r="D7361" s="17">
        <v>42004</v>
      </c>
      <c r="E7361" t="s">
        <v>688</v>
      </c>
    </row>
    <row r="7362" spans="3:5">
      <c r="C7362">
        <v>195.64</v>
      </c>
      <c r="D7362" s="17">
        <v>42365</v>
      </c>
      <c r="E7362" t="s">
        <v>688</v>
      </c>
    </row>
    <row r="7363" spans="3:5">
      <c r="C7363">
        <v>195.64</v>
      </c>
      <c r="D7363" s="17">
        <v>42493</v>
      </c>
      <c r="E7363" t="s">
        <v>948</v>
      </c>
    </row>
    <row r="7364" spans="3:5">
      <c r="C7364">
        <v>195.64</v>
      </c>
      <c r="D7364" s="17">
        <v>42874</v>
      </c>
      <c r="E7364" t="s">
        <v>725</v>
      </c>
    </row>
    <row r="7365" spans="3:5">
      <c r="C7365">
        <v>195.64</v>
      </c>
      <c r="D7365" s="17">
        <v>42925</v>
      </c>
      <c r="E7365" t="s">
        <v>948</v>
      </c>
    </row>
    <row r="7366" spans="3:5">
      <c r="C7366">
        <v>195.68</v>
      </c>
      <c r="D7366" s="17">
        <v>42989</v>
      </c>
      <c r="E7366" t="s">
        <v>1056</v>
      </c>
    </row>
    <row r="7367" spans="3:5">
      <c r="C7367">
        <v>195.76</v>
      </c>
      <c r="D7367" s="17">
        <v>42833</v>
      </c>
      <c r="E7367" t="s">
        <v>506</v>
      </c>
    </row>
    <row r="7368" spans="3:5">
      <c r="C7368">
        <v>195.96000000000004</v>
      </c>
      <c r="D7368" s="17">
        <v>42883</v>
      </c>
      <c r="E7368" t="s">
        <v>763</v>
      </c>
    </row>
    <row r="7369" spans="3:5">
      <c r="C7369">
        <v>195.96000000000004</v>
      </c>
      <c r="D7369" s="17">
        <v>43062</v>
      </c>
      <c r="E7369" t="s">
        <v>763</v>
      </c>
    </row>
    <row r="7370" spans="3:5">
      <c r="C7370">
        <v>196.21</v>
      </c>
      <c r="D7370" s="17">
        <v>41863</v>
      </c>
      <c r="E7370" t="s">
        <v>1286</v>
      </c>
    </row>
    <row r="7371" spans="3:5">
      <c r="C7371">
        <v>196.45</v>
      </c>
      <c r="D7371" s="17">
        <v>42840</v>
      </c>
      <c r="E7371" t="s">
        <v>542</v>
      </c>
    </row>
    <row r="7372" spans="3:5">
      <c r="C7372">
        <v>196.62</v>
      </c>
      <c r="D7372" s="17">
        <v>41967</v>
      </c>
      <c r="E7372" t="s">
        <v>940</v>
      </c>
    </row>
    <row r="7373" spans="3:5">
      <c r="C7373">
        <v>196.62</v>
      </c>
      <c r="D7373" s="17">
        <v>42349</v>
      </c>
      <c r="E7373" t="s">
        <v>940</v>
      </c>
    </row>
    <row r="7374" spans="3:5">
      <c r="C7374">
        <v>196.70400000000001</v>
      </c>
      <c r="D7374" s="17">
        <v>41828</v>
      </c>
      <c r="E7374" t="s">
        <v>107</v>
      </c>
    </row>
    <row r="7375" spans="3:5">
      <c r="C7375">
        <v>196.75200000000001</v>
      </c>
      <c r="D7375" s="17">
        <v>41812</v>
      </c>
      <c r="E7375" t="s">
        <v>1416</v>
      </c>
    </row>
    <row r="7376" spans="3:5">
      <c r="C7376">
        <v>196.77600000000001</v>
      </c>
      <c r="D7376" s="17">
        <v>41889</v>
      </c>
      <c r="E7376" t="s">
        <v>293</v>
      </c>
    </row>
    <row r="7377" spans="3:5">
      <c r="C7377">
        <v>196.77600000000001</v>
      </c>
      <c r="D7377" s="17">
        <v>42796</v>
      </c>
      <c r="E7377" t="s">
        <v>293</v>
      </c>
    </row>
    <row r="7378" spans="3:5">
      <c r="C7378">
        <v>196.77600000000001</v>
      </c>
      <c r="D7378" s="17">
        <v>43084</v>
      </c>
      <c r="E7378" t="s">
        <v>293</v>
      </c>
    </row>
    <row r="7379" spans="3:5">
      <c r="C7379">
        <v>196.78399999999999</v>
      </c>
      <c r="D7379" s="17">
        <v>42443</v>
      </c>
      <c r="E7379" t="s">
        <v>281</v>
      </c>
    </row>
    <row r="7380" spans="3:5">
      <c r="C7380">
        <v>196.78399999999999</v>
      </c>
      <c r="D7380" s="17">
        <v>42791</v>
      </c>
      <c r="E7380" t="s">
        <v>281</v>
      </c>
    </row>
    <row r="7381" spans="3:5">
      <c r="C7381">
        <v>197.04999999999998</v>
      </c>
      <c r="D7381" s="17">
        <v>42587</v>
      </c>
      <c r="E7381" t="s">
        <v>1696</v>
      </c>
    </row>
    <row r="7382" spans="3:5">
      <c r="C7382">
        <v>197.37199999999999</v>
      </c>
      <c r="D7382" s="17">
        <v>42171</v>
      </c>
      <c r="E7382" t="s">
        <v>1529</v>
      </c>
    </row>
    <row r="7383" spans="3:5">
      <c r="C7383">
        <v>197.58</v>
      </c>
      <c r="D7383" s="17">
        <v>41967</v>
      </c>
      <c r="E7383" t="s">
        <v>1085</v>
      </c>
    </row>
    <row r="7384" spans="3:5">
      <c r="C7384">
        <v>197.72</v>
      </c>
      <c r="D7384" s="17">
        <v>42310</v>
      </c>
      <c r="E7384" t="s">
        <v>1823</v>
      </c>
    </row>
    <row r="7385" spans="3:5">
      <c r="C7385">
        <v>197.96999999999997</v>
      </c>
      <c r="D7385" s="17">
        <v>41831</v>
      </c>
      <c r="E7385" t="s">
        <v>955</v>
      </c>
    </row>
    <row r="7386" spans="3:5">
      <c r="C7386">
        <v>197.96999999999997</v>
      </c>
      <c r="D7386" s="17">
        <v>42728</v>
      </c>
      <c r="E7386" t="s">
        <v>1161</v>
      </c>
    </row>
    <row r="7387" spans="3:5">
      <c r="C7387">
        <v>197.96999999999997</v>
      </c>
      <c r="D7387" s="17">
        <v>42980</v>
      </c>
      <c r="E7387" t="s">
        <v>955</v>
      </c>
    </row>
    <row r="7388" spans="3:5">
      <c r="C7388">
        <v>198.27200000000002</v>
      </c>
      <c r="D7388" s="17">
        <v>42138</v>
      </c>
      <c r="E7388" t="s">
        <v>601</v>
      </c>
    </row>
    <row r="7389" spans="3:5">
      <c r="C7389">
        <v>198.27200000000002</v>
      </c>
      <c r="D7389" s="17">
        <v>42344</v>
      </c>
      <c r="E7389" t="s">
        <v>1500</v>
      </c>
    </row>
    <row r="7390" spans="3:5">
      <c r="C7390">
        <v>198.27200000000002</v>
      </c>
      <c r="D7390" s="17">
        <v>42839</v>
      </c>
      <c r="E7390" t="s">
        <v>539</v>
      </c>
    </row>
    <row r="7391" spans="3:5">
      <c r="C7391">
        <v>198.46</v>
      </c>
      <c r="D7391" s="17">
        <v>42924</v>
      </c>
      <c r="E7391" t="s">
        <v>939</v>
      </c>
    </row>
    <row r="7392" spans="3:5">
      <c r="C7392">
        <v>198.46</v>
      </c>
      <c r="D7392" s="17">
        <v>42974</v>
      </c>
      <c r="E7392" t="s">
        <v>939</v>
      </c>
    </row>
    <row r="7393" spans="3:5">
      <c r="C7393">
        <v>198.744</v>
      </c>
      <c r="D7393" s="17">
        <v>42616</v>
      </c>
      <c r="E7393" t="s">
        <v>479</v>
      </c>
    </row>
    <row r="7394" spans="3:5">
      <c r="C7394">
        <v>198.744</v>
      </c>
      <c r="D7394" s="17">
        <v>42934</v>
      </c>
      <c r="E7394" t="s">
        <v>721</v>
      </c>
    </row>
    <row r="7395" spans="3:5">
      <c r="C7395">
        <v>199.304</v>
      </c>
      <c r="D7395" s="17">
        <v>42023</v>
      </c>
      <c r="E7395" t="s">
        <v>1113</v>
      </c>
    </row>
    <row r="7396" spans="3:5">
      <c r="C7396">
        <v>199.74</v>
      </c>
      <c r="D7396" s="17">
        <v>42268</v>
      </c>
      <c r="E7396" t="s">
        <v>249</v>
      </c>
    </row>
    <row r="7397" spans="3:5">
      <c r="C7397">
        <v>199.75</v>
      </c>
      <c r="D7397" s="17">
        <v>42438</v>
      </c>
      <c r="E7397" t="s">
        <v>101</v>
      </c>
    </row>
    <row r="7398" spans="3:5">
      <c r="C7398">
        <v>199.75</v>
      </c>
      <c r="D7398" s="17">
        <v>43042</v>
      </c>
      <c r="E7398" t="s">
        <v>101</v>
      </c>
    </row>
    <row r="7399" spans="3:5">
      <c r="C7399">
        <v>199.76400000000001</v>
      </c>
      <c r="D7399" s="17">
        <v>42264</v>
      </c>
      <c r="E7399" t="s">
        <v>1369</v>
      </c>
    </row>
    <row r="7400" spans="3:5">
      <c r="C7400">
        <v>199.8</v>
      </c>
      <c r="D7400" s="17">
        <v>43002</v>
      </c>
      <c r="E7400" t="s">
        <v>118</v>
      </c>
    </row>
    <row r="7401" spans="3:5">
      <c r="C7401">
        <v>199.83600000000001</v>
      </c>
      <c r="D7401" s="17">
        <v>42196</v>
      </c>
      <c r="E7401" t="s">
        <v>112</v>
      </c>
    </row>
    <row r="7402" spans="3:5">
      <c r="C7402">
        <v>199.89999999999998</v>
      </c>
      <c r="D7402" s="17">
        <v>41970</v>
      </c>
      <c r="E7402" t="s">
        <v>1054</v>
      </c>
    </row>
    <row r="7403" spans="3:5">
      <c r="C7403">
        <v>199.89999999999998</v>
      </c>
      <c r="D7403" s="17">
        <v>42446</v>
      </c>
      <c r="E7403" t="s">
        <v>1465</v>
      </c>
    </row>
    <row r="7404" spans="3:5">
      <c r="C7404">
        <v>199.89999999999998</v>
      </c>
      <c r="D7404" s="17">
        <v>43074</v>
      </c>
      <c r="E7404" t="s">
        <v>1054</v>
      </c>
    </row>
    <row r="7405" spans="3:5">
      <c r="C7405">
        <v>199.95000000000002</v>
      </c>
      <c r="D7405" s="17">
        <v>42497</v>
      </c>
      <c r="E7405" t="s">
        <v>524</v>
      </c>
    </row>
    <row r="7406" spans="3:5">
      <c r="C7406">
        <v>199.95000000000002</v>
      </c>
      <c r="D7406" s="17">
        <v>42836</v>
      </c>
      <c r="E7406" t="s">
        <v>524</v>
      </c>
    </row>
    <row r="7407" spans="3:5">
      <c r="C7407">
        <v>199.95000000000002</v>
      </c>
      <c r="D7407" s="17">
        <v>43001</v>
      </c>
      <c r="E7407" t="s">
        <v>268</v>
      </c>
    </row>
    <row r="7408" spans="3:5">
      <c r="C7408">
        <v>199.95000000000002</v>
      </c>
      <c r="D7408" s="17">
        <v>43091</v>
      </c>
      <c r="E7408" t="s">
        <v>268</v>
      </c>
    </row>
    <row r="7409" spans="3:5">
      <c r="C7409">
        <v>199.96</v>
      </c>
      <c r="D7409" s="17">
        <v>42107</v>
      </c>
      <c r="E7409" t="s">
        <v>173</v>
      </c>
    </row>
    <row r="7410" spans="3:5">
      <c r="C7410">
        <v>199.96</v>
      </c>
      <c r="D7410" s="17">
        <v>42260</v>
      </c>
      <c r="E7410" t="s">
        <v>1397</v>
      </c>
    </row>
    <row r="7411" spans="3:5">
      <c r="C7411">
        <v>199.96</v>
      </c>
      <c r="D7411" s="17">
        <v>42813</v>
      </c>
      <c r="E7411" t="s">
        <v>303</v>
      </c>
    </row>
    <row r="7412" spans="3:5">
      <c r="C7412">
        <v>199.98</v>
      </c>
      <c r="D7412" s="17">
        <v>41857</v>
      </c>
      <c r="E7412" t="s">
        <v>317</v>
      </c>
    </row>
    <row r="7413" spans="3:5">
      <c r="C7413">
        <v>199.98</v>
      </c>
      <c r="D7413" s="17">
        <v>41895</v>
      </c>
      <c r="E7413" t="s">
        <v>717</v>
      </c>
    </row>
    <row r="7414" spans="3:5">
      <c r="C7414">
        <v>199.98</v>
      </c>
      <c r="D7414" s="17">
        <v>42083</v>
      </c>
      <c r="E7414" t="s">
        <v>1733</v>
      </c>
    </row>
    <row r="7415" spans="3:5">
      <c r="C7415">
        <v>199.98</v>
      </c>
      <c r="D7415" s="17">
        <v>42218</v>
      </c>
      <c r="E7415" t="s">
        <v>317</v>
      </c>
    </row>
    <row r="7416" spans="3:5">
      <c r="C7416">
        <v>199.98</v>
      </c>
      <c r="D7416" s="17">
        <v>42803</v>
      </c>
      <c r="E7416" t="s">
        <v>335</v>
      </c>
    </row>
    <row r="7417" spans="3:5">
      <c r="C7417">
        <v>199.98</v>
      </c>
      <c r="D7417" s="17">
        <v>42864</v>
      </c>
      <c r="E7417" t="s">
        <v>665</v>
      </c>
    </row>
    <row r="7418" spans="3:5">
      <c r="C7418">
        <v>199.98</v>
      </c>
      <c r="D7418" s="17">
        <v>43038</v>
      </c>
      <c r="E7418" t="s">
        <v>639</v>
      </c>
    </row>
    <row r="7419" spans="3:5">
      <c r="C7419">
        <v>199.99</v>
      </c>
      <c r="D7419" s="17">
        <v>42667</v>
      </c>
      <c r="E7419" t="s">
        <v>232</v>
      </c>
    </row>
    <row r="7420" spans="3:5">
      <c r="C7420">
        <v>200.06400000000002</v>
      </c>
      <c r="D7420" s="17">
        <v>42965</v>
      </c>
      <c r="E7420" t="s">
        <v>1066</v>
      </c>
    </row>
    <row r="7421" spans="3:5">
      <c r="C7421">
        <v>200.79500000000002</v>
      </c>
      <c r="D7421" s="17">
        <v>41889</v>
      </c>
      <c r="E7421" t="s">
        <v>663</v>
      </c>
    </row>
    <row r="7422" spans="3:5">
      <c r="C7422">
        <v>200.96999999999997</v>
      </c>
      <c r="D7422" s="17">
        <v>41736</v>
      </c>
      <c r="E7422" t="s">
        <v>126</v>
      </c>
    </row>
    <row r="7423" spans="3:5">
      <c r="C7423">
        <v>200.98400000000004</v>
      </c>
      <c r="D7423" s="17">
        <v>42138</v>
      </c>
      <c r="E7423" t="s">
        <v>1228</v>
      </c>
    </row>
    <row r="7424" spans="3:5">
      <c r="C7424">
        <v>200.98400000000004</v>
      </c>
      <c r="D7424" s="17">
        <v>42250</v>
      </c>
      <c r="E7424" t="s">
        <v>1228</v>
      </c>
    </row>
    <row r="7425" spans="3:5">
      <c r="C7425">
        <v>201.04</v>
      </c>
      <c r="D7425" s="17">
        <v>43082</v>
      </c>
      <c r="E7425" t="s">
        <v>556</v>
      </c>
    </row>
    <row r="7426" spans="3:5">
      <c r="C7426">
        <v>201.43200000000002</v>
      </c>
      <c r="D7426" s="17">
        <v>41923</v>
      </c>
      <c r="E7426" t="s">
        <v>144</v>
      </c>
    </row>
    <row r="7427" spans="3:5">
      <c r="C7427">
        <v>201.56800000000001</v>
      </c>
      <c r="D7427" s="17">
        <v>42178</v>
      </c>
      <c r="E7427" t="s">
        <v>1844</v>
      </c>
    </row>
    <row r="7428" spans="3:5">
      <c r="C7428">
        <v>201.584</v>
      </c>
      <c r="D7428" s="17">
        <v>41785</v>
      </c>
      <c r="E7428" t="s">
        <v>794</v>
      </c>
    </row>
    <row r="7429" spans="3:5">
      <c r="C7429">
        <v>201.584</v>
      </c>
      <c r="D7429" s="17">
        <v>41810</v>
      </c>
      <c r="E7429" t="s">
        <v>1715</v>
      </c>
    </row>
    <row r="7430" spans="3:5">
      <c r="C7430">
        <v>201.584</v>
      </c>
      <c r="D7430" s="17">
        <v>42136</v>
      </c>
      <c r="E7430" t="s">
        <v>794</v>
      </c>
    </row>
    <row r="7431" spans="3:5">
      <c r="C7431">
        <v>201.584</v>
      </c>
      <c r="D7431" s="17">
        <v>42548</v>
      </c>
      <c r="E7431" t="s">
        <v>1124</v>
      </c>
    </row>
    <row r="7432" spans="3:5">
      <c r="C7432">
        <v>201.584</v>
      </c>
      <c r="D7432" s="17">
        <v>42980</v>
      </c>
      <c r="E7432" t="s">
        <v>1124</v>
      </c>
    </row>
    <row r="7433" spans="3:5">
      <c r="C7433">
        <v>201.584</v>
      </c>
      <c r="D7433" s="17">
        <v>43049</v>
      </c>
      <c r="E7433" t="s">
        <v>1398</v>
      </c>
    </row>
    <row r="7434" spans="3:5">
      <c r="C7434">
        <v>201.96</v>
      </c>
      <c r="D7434" s="17">
        <v>42638</v>
      </c>
      <c r="E7434" t="s">
        <v>575</v>
      </c>
    </row>
    <row r="7435" spans="3:5">
      <c r="C7435">
        <v>203.184</v>
      </c>
      <c r="D7435" s="17">
        <v>42442</v>
      </c>
      <c r="E7435" t="s">
        <v>1475</v>
      </c>
    </row>
    <row r="7436" spans="3:5">
      <c r="C7436">
        <v>203.52</v>
      </c>
      <c r="D7436" s="17">
        <v>42968</v>
      </c>
      <c r="E7436" t="s">
        <v>1080</v>
      </c>
    </row>
    <row r="7437" spans="3:5">
      <c r="C7437">
        <v>203.88000000000002</v>
      </c>
      <c r="D7437" s="17">
        <v>42303</v>
      </c>
      <c r="E7437" t="s">
        <v>287</v>
      </c>
    </row>
    <row r="7438" spans="3:5">
      <c r="C7438">
        <v>203.92</v>
      </c>
      <c r="D7438" s="17">
        <v>42044</v>
      </c>
      <c r="E7438" t="s">
        <v>971</v>
      </c>
    </row>
    <row r="7439" spans="3:5">
      <c r="C7439">
        <v>203.92</v>
      </c>
      <c r="D7439" s="17">
        <v>42478</v>
      </c>
      <c r="E7439" t="s">
        <v>648</v>
      </c>
    </row>
    <row r="7440" spans="3:5">
      <c r="C7440">
        <v>203.976</v>
      </c>
      <c r="D7440" s="17">
        <v>42686</v>
      </c>
      <c r="E7440" t="s">
        <v>1411</v>
      </c>
    </row>
    <row r="7441" spans="3:5">
      <c r="C7441">
        <v>203.98299999999998</v>
      </c>
      <c r="D7441" s="17">
        <v>42776</v>
      </c>
      <c r="E7441" t="s">
        <v>216</v>
      </c>
    </row>
    <row r="7442" spans="3:5">
      <c r="C7442">
        <v>204.6</v>
      </c>
      <c r="D7442" s="17">
        <v>41911</v>
      </c>
      <c r="E7442" t="s">
        <v>508</v>
      </c>
    </row>
    <row r="7443" spans="3:5">
      <c r="C7443">
        <v>204.6</v>
      </c>
      <c r="D7443" s="17">
        <v>42269</v>
      </c>
      <c r="E7443" t="s">
        <v>508</v>
      </c>
    </row>
    <row r="7444" spans="3:5">
      <c r="C7444">
        <v>204.66639999999998</v>
      </c>
      <c r="D7444" s="17">
        <v>42885</v>
      </c>
      <c r="E7444" t="s">
        <v>217</v>
      </c>
    </row>
    <row r="7445" spans="3:5">
      <c r="C7445">
        <v>204.85</v>
      </c>
      <c r="D7445" s="17">
        <v>42180</v>
      </c>
      <c r="E7445" t="s">
        <v>1268</v>
      </c>
    </row>
    <row r="7446" spans="3:5">
      <c r="C7446">
        <v>204.85</v>
      </c>
      <c r="D7446" s="17">
        <v>42355</v>
      </c>
      <c r="E7446" t="s">
        <v>1484</v>
      </c>
    </row>
    <row r="7447" spans="3:5">
      <c r="C7447">
        <v>204.89999999999998</v>
      </c>
      <c r="D7447" s="17">
        <v>41705</v>
      </c>
      <c r="E7447" t="s">
        <v>1204</v>
      </c>
    </row>
    <row r="7448" spans="3:5">
      <c r="C7448">
        <v>204.95000000000002</v>
      </c>
      <c r="D7448" s="17">
        <v>42701</v>
      </c>
      <c r="E7448" t="s">
        <v>720</v>
      </c>
    </row>
    <row r="7449" spans="3:5">
      <c r="C7449">
        <v>204.95000000000002</v>
      </c>
      <c r="D7449" s="17">
        <v>42916</v>
      </c>
      <c r="E7449" t="s">
        <v>613</v>
      </c>
    </row>
    <row r="7450" spans="3:5">
      <c r="C7450">
        <v>204.95000000000002</v>
      </c>
      <c r="D7450" s="17">
        <v>43023</v>
      </c>
      <c r="E7450" t="s">
        <v>613</v>
      </c>
    </row>
    <row r="7451" spans="3:5">
      <c r="C7451">
        <v>205.03</v>
      </c>
      <c r="D7451" s="17">
        <v>43074</v>
      </c>
      <c r="E7451" t="s">
        <v>1501</v>
      </c>
    </row>
    <row r="7452" spans="3:5">
      <c r="C7452">
        <v>205.16400000000002</v>
      </c>
      <c r="D7452" s="17">
        <v>42309</v>
      </c>
      <c r="E7452" t="s">
        <v>896</v>
      </c>
    </row>
    <row r="7453" spans="3:5">
      <c r="C7453">
        <v>205.17599999999999</v>
      </c>
      <c r="D7453" s="17">
        <v>42479</v>
      </c>
      <c r="E7453" t="s">
        <v>1442</v>
      </c>
    </row>
    <row r="7454" spans="3:5">
      <c r="C7454">
        <v>205.33279999999996</v>
      </c>
      <c r="D7454" s="17">
        <v>42825</v>
      </c>
      <c r="E7454" t="s">
        <v>468</v>
      </c>
    </row>
    <row r="7455" spans="3:5">
      <c r="C7455">
        <v>205.666</v>
      </c>
      <c r="D7455" s="17">
        <v>41728</v>
      </c>
      <c r="E7455" t="s">
        <v>547</v>
      </c>
    </row>
    <row r="7456" spans="3:5">
      <c r="C7456">
        <v>205.666</v>
      </c>
      <c r="D7456" s="17">
        <v>42707</v>
      </c>
      <c r="E7456" t="s">
        <v>547</v>
      </c>
    </row>
    <row r="7457" spans="3:5">
      <c r="C7457">
        <v>205.92</v>
      </c>
      <c r="D7457" s="17">
        <v>42841</v>
      </c>
      <c r="E7457" t="s">
        <v>546</v>
      </c>
    </row>
    <row r="7458" spans="3:5">
      <c r="C7458">
        <v>205.99200000000002</v>
      </c>
      <c r="D7458" s="17">
        <v>42889</v>
      </c>
      <c r="E7458" t="s">
        <v>499</v>
      </c>
    </row>
    <row r="7459" spans="3:5">
      <c r="C7459">
        <v>205.99919999999997</v>
      </c>
      <c r="D7459" s="17">
        <v>43052</v>
      </c>
      <c r="E7459" t="s">
        <v>538</v>
      </c>
    </row>
    <row r="7460" spans="3:5">
      <c r="C7460">
        <v>206.1</v>
      </c>
      <c r="D7460" s="17">
        <v>42821</v>
      </c>
      <c r="E7460" t="s">
        <v>453</v>
      </c>
    </row>
    <row r="7461" spans="3:5">
      <c r="C7461">
        <v>206.1</v>
      </c>
      <c r="D7461" s="17">
        <v>43056</v>
      </c>
      <c r="E7461" t="s">
        <v>453</v>
      </c>
    </row>
    <row r="7462" spans="3:5">
      <c r="C7462">
        <v>206.11199999999997</v>
      </c>
      <c r="D7462" s="17">
        <v>42344</v>
      </c>
      <c r="E7462" t="s">
        <v>271</v>
      </c>
    </row>
    <row r="7463" spans="3:5">
      <c r="C7463">
        <v>206.35200000000003</v>
      </c>
      <c r="D7463" s="17">
        <v>43013</v>
      </c>
      <c r="E7463" t="s">
        <v>272</v>
      </c>
    </row>
    <row r="7464" spans="3:5">
      <c r="C7464">
        <v>206.38400000000001</v>
      </c>
      <c r="D7464" s="17">
        <v>42800</v>
      </c>
      <c r="E7464" t="s">
        <v>325</v>
      </c>
    </row>
    <row r="7465" spans="3:5">
      <c r="C7465">
        <v>206.43</v>
      </c>
      <c r="D7465" s="17">
        <v>42119</v>
      </c>
      <c r="E7465" t="s">
        <v>1022</v>
      </c>
    </row>
    <row r="7466" spans="3:5">
      <c r="C7466">
        <v>206.96200000000002</v>
      </c>
      <c r="D7466" s="17">
        <v>42330</v>
      </c>
      <c r="E7466" t="s">
        <v>962</v>
      </c>
    </row>
    <row r="7467" spans="3:5">
      <c r="C7467">
        <v>206.99100000000004</v>
      </c>
      <c r="D7467" s="17">
        <v>41811</v>
      </c>
      <c r="E7467" t="s">
        <v>1891</v>
      </c>
    </row>
    <row r="7468" spans="3:5">
      <c r="C7468">
        <v>207</v>
      </c>
      <c r="D7468" s="17">
        <v>42313</v>
      </c>
      <c r="E7468" t="s">
        <v>660</v>
      </c>
    </row>
    <row r="7469" spans="3:5">
      <c r="C7469">
        <v>207</v>
      </c>
      <c r="D7469" s="17">
        <v>42765</v>
      </c>
      <c r="E7469" t="s">
        <v>184</v>
      </c>
    </row>
    <row r="7470" spans="3:5">
      <c r="C7470">
        <v>207</v>
      </c>
      <c r="D7470" s="17">
        <v>42864</v>
      </c>
      <c r="E7470" t="s">
        <v>660</v>
      </c>
    </row>
    <row r="7471" spans="3:5">
      <c r="C7471">
        <v>207.14400000000001</v>
      </c>
      <c r="D7471" s="17">
        <v>42437</v>
      </c>
      <c r="E7471" t="s">
        <v>1779</v>
      </c>
    </row>
    <row r="7472" spans="3:5">
      <c r="C7472">
        <v>207.18400000000003</v>
      </c>
      <c r="D7472" s="17">
        <v>42954</v>
      </c>
      <c r="E7472" t="s">
        <v>1044</v>
      </c>
    </row>
    <row r="7473" spans="3:5">
      <c r="C7473">
        <v>207.24</v>
      </c>
      <c r="D7473" s="17">
        <v>41996</v>
      </c>
      <c r="E7473" t="s">
        <v>1490</v>
      </c>
    </row>
    <row r="7474" spans="3:5">
      <c r="C7474">
        <v>207.35</v>
      </c>
      <c r="D7474" s="17">
        <v>42260</v>
      </c>
      <c r="E7474" t="s">
        <v>1834</v>
      </c>
    </row>
    <row r="7475" spans="3:5">
      <c r="C7475">
        <v>207.48</v>
      </c>
      <c r="D7475" s="17">
        <v>42621</v>
      </c>
      <c r="E7475" t="s">
        <v>1468</v>
      </c>
    </row>
    <row r="7476" spans="3:5">
      <c r="C7476">
        <v>207.76</v>
      </c>
      <c r="D7476" s="17">
        <v>42698</v>
      </c>
      <c r="E7476" t="s">
        <v>1624</v>
      </c>
    </row>
    <row r="7477" spans="3:5">
      <c r="C7477">
        <v>207.84600000000003</v>
      </c>
      <c r="D7477" s="17">
        <v>42755</v>
      </c>
      <c r="E7477" t="s">
        <v>125</v>
      </c>
    </row>
    <row r="7478" spans="3:5">
      <c r="C7478">
        <v>207.84600000000003</v>
      </c>
      <c r="D7478" s="17">
        <v>42818</v>
      </c>
      <c r="E7478" t="s">
        <v>125</v>
      </c>
    </row>
    <row r="7479" spans="3:5">
      <c r="C7479">
        <v>207.98400000000004</v>
      </c>
      <c r="D7479" s="17">
        <v>42149</v>
      </c>
      <c r="E7479" t="s">
        <v>986</v>
      </c>
    </row>
    <row r="7480" spans="3:5">
      <c r="C7480">
        <v>207.98400000000004</v>
      </c>
      <c r="D7480" s="17">
        <v>42680</v>
      </c>
      <c r="E7480" t="s">
        <v>743</v>
      </c>
    </row>
    <row r="7481" spans="3:5">
      <c r="C7481">
        <v>208.16</v>
      </c>
      <c r="D7481" s="17">
        <v>41782</v>
      </c>
      <c r="E7481" t="s">
        <v>983</v>
      </c>
    </row>
    <row r="7482" spans="3:5">
      <c r="C7482">
        <v>208.16</v>
      </c>
      <c r="D7482" s="17">
        <v>42533</v>
      </c>
      <c r="E7482" t="s">
        <v>983</v>
      </c>
    </row>
    <row r="7483" spans="3:5">
      <c r="C7483">
        <v>208.44</v>
      </c>
      <c r="D7483" s="17">
        <v>42881</v>
      </c>
      <c r="E7483" t="s">
        <v>755</v>
      </c>
    </row>
    <row r="7484" spans="3:5">
      <c r="C7484">
        <v>208.56</v>
      </c>
      <c r="D7484" s="17">
        <v>42538</v>
      </c>
      <c r="E7484" t="s">
        <v>662</v>
      </c>
    </row>
    <row r="7485" spans="3:5">
      <c r="C7485">
        <v>209.148</v>
      </c>
      <c r="D7485" s="17">
        <v>42594</v>
      </c>
      <c r="E7485" t="s">
        <v>400</v>
      </c>
    </row>
    <row r="7486" spans="3:5">
      <c r="C7486">
        <v>209.3</v>
      </c>
      <c r="D7486" s="17">
        <v>43099</v>
      </c>
      <c r="E7486" t="s">
        <v>1376</v>
      </c>
    </row>
    <row r="7487" spans="3:5">
      <c r="C7487">
        <v>209.5</v>
      </c>
      <c r="D7487" s="17">
        <v>42124</v>
      </c>
      <c r="E7487" t="s">
        <v>1537</v>
      </c>
    </row>
    <row r="7488" spans="3:5">
      <c r="C7488">
        <v>209.56799999999998</v>
      </c>
      <c r="D7488" s="17">
        <v>43059</v>
      </c>
      <c r="E7488" t="s">
        <v>684</v>
      </c>
    </row>
    <row r="7489" spans="3:5">
      <c r="C7489">
        <v>209.6</v>
      </c>
      <c r="D7489" s="17">
        <v>42258</v>
      </c>
      <c r="E7489" t="s">
        <v>1585</v>
      </c>
    </row>
    <row r="7490" spans="3:5">
      <c r="C7490">
        <v>209.60000000000002</v>
      </c>
      <c r="D7490" s="17">
        <v>42715</v>
      </c>
      <c r="E7490" t="s">
        <v>1585</v>
      </c>
    </row>
    <row r="7491" spans="3:5">
      <c r="C7491">
        <v>209.67</v>
      </c>
      <c r="D7491" s="17">
        <v>42289</v>
      </c>
      <c r="E7491" t="s">
        <v>606</v>
      </c>
    </row>
    <row r="7492" spans="3:5">
      <c r="C7492">
        <v>209.7</v>
      </c>
      <c r="D7492" s="17">
        <v>42082</v>
      </c>
      <c r="E7492" t="s">
        <v>354</v>
      </c>
    </row>
    <row r="7493" spans="3:5">
      <c r="C7493">
        <v>209.7</v>
      </c>
      <c r="D7493" s="17">
        <v>42260</v>
      </c>
      <c r="E7493" t="s">
        <v>514</v>
      </c>
    </row>
    <row r="7494" spans="3:5">
      <c r="C7494">
        <v>209.7</v>
      </c>
      <c r="D7494" s="17">
        <v>43098</v>
      </c>
      <c r="E7494" t="s">
        <v>514</v>
      </c>
    </row>
    <row r="7495" spans="3:5">
      <c r="C7495">
        <v>209.79200000000003</v>
      </c>
      <c r="D7495" s="17">
        <v>43006</v>
      </c>
      <c r="E7495" t="s">
        <v>318</v>
      </c>
    </row>
    <row r="7496" spans="3:5">
      <c r="C7496">
        <v>209.88</v>
      </c>
      <c r="D7496" s="17">
        <v>42115</v>
      </c>
      <c r="E7496" t="s">
        <v>1425</v>
      </c>
    </row>
    <row r="7497" spans="3:5">
      <c r="C7497">
        <v>209.88</v>
      </c>
      <c r="D7497" s="17">
        <v>42678</v>
      </c>
      <c r="E7497" t="s">
        <v>1425</v>
      </c>
    </row>
    <row r="7498" spans="3:5">
      <c r="C7498">
        <v>209.92999999999998</v>
      </c>
      <c r="D7498" s="17">
        <v>42215</v>
      </c>
      <c r="E7498" t="s">
        <v>108</v>
      </c>
    </row>
    <row r="7499" spans="3:5">
      <c r="C7499">
        <v>209.94</v>
      </c>
      <c r="D7499" s="17">
        <v>42748</v>
      </c>
      <c r="E7499" t="s">
        <v>82</v>
      </c>
    </row>
    <row r="7500" spans="3:5">
      <c r="C7500">
        <v>209.94</v>
      </c>
      <c r="D7500" s="17">
        <v>43021</v>
      </c>
      <c r="E7500" t="s">
        <v>1316</v>
      </c>
    </row>
    <row r="7501" spans="3:5">
      <c r="C7501">
        <v>209.96999999999997</v>
      </c>
      <c r="D7501" s="17">
        <v>41890</v>
      </c>
      <c r="E7501" t="s">
        <v>1884</v>
      </c>
    </row>
    <row r="7502" spans="3:5">
      <c r="C7502">
        <v>209.96999999999997</v>
      </c>
      <c r="D7502" s="17">
        <v>42264</v>
      </c>
      <c r="E7502" t="s">
        <v>1208</v>
      </c>
    </row>
    <row r="7503" spans="3:5">
      <c r="C7503">
        <v>209.96999999999997</v>
      </c>
      <c r="D7503" s="17">
        <v>42608</v>
      </c>
      <c r="E7503" t="s">
        <v>1208</v>
      </c>
    </row>
    <row r="7504" spans="3:5">
      <c r="C7504">
        <v>209.96999999999997</v>
      </c>
      <c r="D7504" s="17">
        <v>42642</v>
      </c>
      <c r="E7504" t="s">
        <v>1623</v>
      </c>
    </row>
    <row r="7505" spans="3:5">
      <c r="C7505">
        <v>209.97900000000001</v>
      </c>
      <c r="D7505" s="17">
        <v>42866</v>
      </c>
      <c r="E7505" t="s">
        <v>639</v>
      </c>
    </row>
    <row r="7506" spans="3:5">
      <c r="C7506">
        <v>209.98599999999999</v>
      </c>
      <c r="D7506" s="17">
        <v>42807</v>
      </c>
      <c r="E7506" t="s">
        <v>205</v>
      </c>
    </row>
    <row r="7507" spans="3:5">
      <c r="C7507">
        <v>210.00800000000001</v>
      </c>
      <c r="D7507" s="17">
        <v>42969</v>
      </c>
      <c r="E7507" t="s">
        <v>1087</v>
      </c>
    </row>
    <row r="7508" spans="3:5">
      <c r="C7508">
        <v>210.39199999999997</v>
      </c>
      <c r="D7508" s="17">
        <v>41985</v>
      </c>
      <c r="E7508" t="s">
        <v>1100</v>
      </c>
    </row>
    <row r="7509" spans="3:5">
      <c r="C7509">
        <v>210.56400000000002</v>
      </c>
      <c r="D7509" s="17">
        <v>42937</v>
      </c>
      <c r="E7509" t="s">
        <v>992</v>
      </c>
    </row>
    <row r="7510" spans="3:5">
      <c r="C7510">
        <v>210.58</v>
      </c>
      <c r="D7510" s="17">
        <v>42768</v>
      </c>
      <c r="E7510" t="s">
        <v>203</v>
      </c>
    </row>
    <row r="7511" spans="3:5">
      <c r="C7511">
        <v>210.68</v>
      </c>
      <c r="D7511" s="17">
        <v>42258</v>
      </c>
      <c r="E7511" t="s">
        <v>1347</v>
      </c>
    </row>
    <row r="7512" spans="3:5">
      <c r="C7512">
        <v>210.68</v>
      </c>
      <c r="D7512" s="17">
        <v>43031</v>
      </c>
      <c r="E7512" t="s">
        <v>1347</v>
      </c>
    </row>
    <row r="7513" spans="3:5">
      <c r="C7513">
        <v>210.84</v>
      </c>
      <c r="D7513" s="17">
        <v>42306</v>
      </c>
      <c r="E7513" t="s">
        <v>1650</v>
      </c>
    </row>
    <row r="7514" spans="3:5">
      <c r="C7514">
        <v>210.98</v>
      </c>
      <c r="D7514" s="17">
        <v>42758</v>
      </c>
      <c r="E7514" t="s">
        <v>150</v>
      </c>
    </row>
    <row r="7515" spans="3:5">
      <c r="C7515">
        <v>211.04</v>
      </c>
      <c r="D7515" s="17">
        <v>43001</v>
      </c>
      <c r="E7515" t="s">
        <v>1004</v>
      </c>
    </row>
    <row r="7516" spans="3:5">
      <c r="C7516">
        <v>211.16800000000001</v>
      </c>
      <c r="D7516" s="17">
        <v>41992</v>
      </c>
      <c r="E7516" t="s">
        <v>852</v>
      </c>
    </row>
    <row r="7517" spans="3:5">
      <c r="C7517">
        <v>211.16800000000001</v>
      </c>
      <c r="D7517" s="17">
        <v>42516</v>
      </c>
      <c r="E7517" t="s">
        <v>955</v>
      </c>
    </row>
    <row r="7518" spans="3:5">
      <c r="C7518">
        <v>211.16800000000001</v>
      </c>
      <c r="D7518" s="17">
        <v>42588</v>
      </c>
      <c r="E7518" t="s">
        <v>782</v>
      </c>
    </row>
    <row r="7519" spans="3:5">
      <c r="C7519">
        <v>211.16800000000001</v>
      </c>
      <c r="D7519" s="17">
        <v>42819</v>
      </c>
      <c r="E7519" t="s">
        <v>433</v>
      </c>
    </row>
    <row r="7520" spans="3:5">
      <c r="C7520">
        <v>211.24599999999998</v>
      </c>
      <c r="D7520" s="17">
        <v>42821</v>
      </c>
      <c r="E7520" t="s">
        <v>456</v>
      </c>
    </row>
    <row r="7521" spans="3:5">
      <c r="C7521">
        <v>211.24799999999999</v>
      </c>
      <c r="D7521" s="17">
        <v>41863</v>
      </c>
      <c r="E7521" t="s">
        <v>432</v>
      </c>
    </row>
    <row r="7522" spans="3:5">
      <c r="C7522">
        <v>211.37199999999999</v>
      </c>
      <c r="D7522" s="17">
        <v>42107</v>
      </c>
      <c r="E7522" t="s">
        <v>832</v>
      </c>
    </row>
    <row r="7523" spans="3:5">
      <c r="C7523">
        <v>211.84</v>
      </c>
      <c r="D7523" s="17">
        <v>42817</v>
      </c>
      <c r="E7523" t="s">
        <v>418</v>
      </c>
    </row>
    <row r="7524" spans="3:5">
      <c r="C7524">
        <v>211.96</v>
      </c>
      <c r="D7524" s="17">
        <v>41906</v>
      </c>
      <c r="E7524" t="s">
        <v>1723</v>
      </c>
    </row>
    <row r="7525" spans="3:5">
      <c r="C7525">
        <v>211.96</v>
      </c>
      <c r="D7525" s="17">
        <v>41932</v>
      </c>
      <c r="E7525" t="s">
        <v>1723</v>
      </c>
    </row>
    <row r="7526" spans="3:5">
      <c r="C7526">
        <v>211.96</v>
      </c>
      <c r="D7526" s="17">
        <v>42498</v>
      </c>
      <c r="E7526" t="s">
        <v>578</v>
      </c>
    </row>
    <row r="7527" spans="3:5">
      <c r="C7527">
        <v>212.05799999999999</v>
      </c>
      <c r="D7527" s="17">
        <v>42365</v>
      </c>
      <c r="E7527" t="s">
        <v>575</v>
      </c>
    </row>
    <row r="7528" spans="3:5">
      <c r="C7528">
        <v>212.13</v>
      </c>
      <c r="D7528" s="17">
        <v>42355</v>
      </c>
      <c r="E7528" t="s">
        <v>51</v>
      </c>
    </row>
    <row r="7529" spans="3:5">
      <c r="C7529">
        <v>212.64</v>
      </c>
      <c r="D7529" s="17">
        <v>42092</v>
      </c>
      <c r="E7529" t="s">
        <v>702</v>
      </c>
    </row>
    <row r="7530" spans="3:5">
      <c r="C7530">
        <v>212.64</v>
      </c>
      <c r="D7530" s="17">
        <v>42364</v>
      </c>
      <c r="E7530" t="s">
        <v>1046</v>
      </c>
    </row>
    <row r="7531" spans="3:5">
      <c r="C7531">
        <v>212.8</v>
      </c>
      <c r="D7531" s="17">
        <v>42998</v>
      </c>
      <c r="E7531" t="s">
        <v>1238</v>
      </c>
    </row>
    <row r="7532" spans="3:5">
      <c r="C7532">
        <v>212.88</v>
      </c>
      <c r="D7532" s="17">
        <v>42708</v>
      </c>
      <c r="E7532" t="s">
        <v>1405</v>
      </c>
    </row>
    <row r="7533" spans="3:5">
      <c r="C7533">
        <v>212.94</v>
      </c>
      <c r="D7533" s="17">
        <v>41804</v>
      </c>
      <c r="E7533" t="s">
        <v>1888</v>
      </c>
    </row>
    <row r="7534" spans="3:5">
      <c r="C7534">
        <v>212.94</v>
      </c>
      <c r="D7534" s="17">
        <v>42223</v>
      </c>
      <c r="E7534" t="s">
        <v>1409</v>
      </c>
    </row>
    <row r="7535" spans="3:5">
      <c r="C7535">
        <v>212.94</v>
      </c>
      <c r="D7535" s="17">
        <v>42730</v>
      </c>
      <c r="E7535" t="s">
        <v>305</v>
      </c>
    </row>
    <row r="7536" spans="3:5">
      <c r="C7536">
        <v>212.94</v>
      </c>
      <c r="D7536" s="17">
        <v>42748</v>
      </c>
      <c r="E7536" t="s">
        <v>84</v>
      </c>
    </row>
    <row r="7537" spans="3:5">
      <c r="C7537">
        <v>213.08</v>
      </c>
      <c r="D7537" s="17">
        <v>41962</v>
      </c>
      <c r="E7537" t="s">
        <v>1129</v>
      </c>
    </row>
    <row r="7538" spans="3:5">
      <c r="C7538">
        <v>213.11499999999998</v>
      </c>
      <c r="D7538" s="17">
        <v>42124</v>
      </c>
      <c r="E7538" t="s">
        <v>1013</v>
      </c>
    </row>
    <row r="7539" spans="3:5">
      <c r="C7539">
        <v>213.13600000000002</v>
      </c>
      <c r="D7539" s="17">
        <v>43065</v>
      </c>
      <c r="E7539" t="s">
        <v>56</v>
      </c>
    </row>
    <row r="7540" spans="3:5">
      <c r="C7540">
        <v>213.21600000000001</v>
      </c>
      <c r="D7540" s="17">
        <v>41825</v>
      </c>
      <c r="E7540" t="s">
        <v>1569</v>
      </c>
    </row>
    <row r="7541" spans="3:5">
      <c r="C7541">
        <v>213.42999999999995</v>
      </c>
      <c r="D7541" s="17">
        <v>42986</v>
      </c>
      <c r="E7541" t="s">
        <v>658</v>
      </c>
    </row>
    <row r="7542" spans="3:5">
      <c r="C7542">
        <v>213.48000000000002</v>
      </c>
      <c r="D7542" s="17">
        <v>41878</v>
      </c>
      <c r="E7542" t="s">
        <v>1887</v>
      </c>
    </row>
    <row r="7543" spans="3:5">
      <c r="C7543">
        <v>213.92</v>
      </c>
      <c r="D7543" s="17">
        <v>41925</v>
      </c>
      <c r="E7543" t="s">
        <v>908</v>
      </c>
    </row>
    <row r="7544" spans="3:5">
      <c r="C7544">
        <v>214.11</v>
      </c>
      <c r="D7544" s="17">
        <v>42324</v>
      </c>
      <c r="E7544" t="s">
        <v>112</v>
      </c>
    </row>
    <row r="7545" spans="3:5">
      <c r="C7545">
        <v>214.7</v>
      </c>
      <c r="D7545" s="17">
        <v>42492</v>
      </c>
      <c r="E7545" t="s">
        <v>271</v>
      </c>
    </row>
    <row r="7546" spans="3:5">
      <c r="C7546">
        <v>214.89999999999998</v>
      </c>
      <c r="D7546" s="17">
        <v>43078</v>
      </c>
      <c r="E7546" t="s">
        <v>103</v>
      </c>
    </row>
    <row r="7547" spans="3:5">
      <c r="C7547">
        <v>214.95000000000002</v>
      </c>
      <c r="D7547" s="17">
        <v>41979</v>
      </c>
      <c r="E7547" t="s">
        <v>272</v>
      </c>
    </row>
    <row r="7548" spans="3:5">
      <c r="C7548">
        <v>214.95000000000002</v>
      </c>
      <c r="D7548" s="17">
        <v>42807</v>
      </c>
      <c r="E7548" t="s">
        <v>356</v>
      </c>
    </row>
    <row r="7549" spans="3:5">
      <c r="C7549">
        <v>215.148</v>
      </c>
      <c r="D7549" s="17">
        <v>42919</v>
      </c>
      <c r="E7549" t="s">
        <v>923</v>
      </c>
    </row>
    <row r="7550" spans="3:5">
      <c r="C7550">
        <v>215.54400000000001</v>
      </c>
      <c r="D7550" s="17">
        <v>43077</v>
      </c>
      <c r="E7550" t="s">
        <v>125</v>
      </c>
    </row>
    <row r="7551" spans="3:5">
      <c r="C7551">
        <v>215.59200000000001</v>
      </c>
      <c r="D7551" s="17">
        <v>42897</v>
      </c>
      <c r="E7551" t="s">
        <v>417</v>
      </c>
    </row>
    <row r="7552" spans="3:5">
      <c r="C7552">
        <v>215.65</v>
      </c>
      <c r="D7552" s="17">
        <v>42558</v>
      </c>
      <c r="E7552" t="s">
        <v>200</v>
      </c>
    </row>
    <row r="7553" spans="3:5">
      <c r="C7553">
        <v>215.96799999999999</v>
      </c>
      <c r="D7553" s="17">
        <v>42786</v>
      </c>
      <c r="E7553" t="s">
        <v>264</v>
      </c>
    </row>
    <row r="7554" spans="3:5">
      <c r="C7554">
        <v>215.976</v>
      </c>
      <c r="D7554" s="17">
        <v>42615</v>
      </c>
      <c r="E7554" t="s">
        <v>1127</v>
      </c>
    </row>
    <row r="7555" spans="3:5">
      <c r="C7555">
        <v>215.976</v>
      </c>
      <c r="D7555" s="17">
        <v>42980</v>
      </c>
      <c r="E7555" t="s">
        <v>1127</v>
      </c>
    </row>
    <row r="7556" spans="3:5">
      <c r="C7556">
        <v>215.976</v>
      </c>
      <c r="D7556" s="17">
        <v>43048</v>
      </c>
      <c r="E7556" t="s">
        <v>1127</v>
      </c>
    </row>
    <row r="7557" spans="3:5">
      <c r="C7557">
        <v>216.4</v>
      </c>
      <c r="D7557" s="17">
        <v>41995</v>
      </c>
      <c r="E7557" t="s">
        <v>349</v>
      </c>
    </row>
    <row r="7558" spans="3:5">
      <c r="C7558">
        <v>217.05599999999998</v>
      </c>
      <c r="D7558" s="17">
        <v>42687</v>
      </c>
      <c r="E7558" t="s">
        <v>1099</v>
      </c>
    </row>
    <row r="7559" spans="3:5">
      <c r="C7559">
        <v>217.44</v>
      </c>
      <c r="D7559" s="17">
        <v>41740</v>
      </c>
      <c r="E7559" t="s">
        <v>1675</v>
      </c>
    </row>
    <row r="7560" spans="3:5">
      <c r="C7560">
        <v>217.58400000000003</v>
      </c>
      <c r="D7560" s="17">
        <v>42003</v>
      </c>
      <c r="E7560" t="s">
        <v>1390</v>
      </c>
    </row>
    <row r="7561" spans="3:5">
      <c r="C7561">
        <v>217.58400000000003</v>
      </c>
      <c r="D7561" s="17">
        <v>42178</v>
      </c>
      <c r="E7561" t="s">
        <v>1390</v>
      </c>
    </row>
    <row r="7562" spans="3:5">
      <c r="C7562">
        <v>217.58400000000003</v>
      </c>
      <c r="D7562" s="17">
        <v>42677</v>
      </c>
      <c r="E7562" t="s">
        <v>1296</v>
      </c>
    </row>
    <row r="7563" spans="3:5">
      <c r="C7563">
        <v>217.76400000000001</v>
      </c>
      <c r="D7563" s="17">
        <v>43010</v>
      </c>
      <c r="E7563" t="s">
        <v>586</v>
      </c>
    </row>
    <row r="7564" spans="3:5">
      <c r="C7564">
        <v>217.85</v>
      </c>
      <c r="D7564" s="17">
        <v>42982</v>
      </c>
      <c r="E7564" t="s">
        <v>903</v>
      </c>
    </row>
    <row r="7565" spans="3:5">
      <c r="C7565">
        <v>218.35200000000003</v>
      </c>
      <c r="D7565" s="17">
        <v>41999</v>
      </c>
      <c r="E7565" t="s">
        <v>1722</v>
      </c>
    </row>
    <row r="7566" spans="3:5">
      <c r="C7566">
        <v>218.35200000000003</v>
      </c>
      <c r="D7566" s="17">
        <v>42826</v>
      </c>
      <c r="E7566" t="s">
        <v>485</v>
      </c>
    </row>
    <row r="7567" spans="3:5">
      <c r="C7567">
        <v>218.35200000000003</v>
      </c>
      <c r="D7567" s="17">
        <v>42842</v>
      </c>
      <c r="E7567" t="s">
        <v>485</v>
      </c>
    </row>
    <row r="7568" spans="3:5">
      <c r="C7568">
        <v>218.35200000000003</v>
      </c>
      <c r="D7568" s="17">
        <v>42993</v>
      </c>
      <c r="E7568" t="s">
        <v>1201</v>
      </c>
    </row>
    <row r="7569" spans="3:5">
      <c r="C7569">
        <v>218.35200000000003</v>
      </c>
      <c r="D7569" s="17">
        <v>43092</v>
      </c>
      <c r="E7569" t="s">
        <v>596</v>
      </c>
    </row>
    <row r="7570" spans="3:5">
      <c r="C7570">
        <v>218.376</v>
      </c>
      <c r="D7570" s="17">
        <v>41719</v>
      </c>
      <c r="E7570" t="s">
        <v>434</v>
      </c>
    </row>
    <row r="7571" spans="3:5">
      <c r="C7571">
        <v>218.75</v>
      </c>
      <c r="D7571" s="17">
        <v>41854</v>
      </c>
      <c r="E7571" t="s">
        <v>1157</v>
      </c>
    </row>
    <row r="7572" spans="3:5">
      <c r="C7572">
        <v>219.07500000000002</v>
      </c>
      <c r="D7572" s="17">
        <v>43058</v>
      </c>
      <c r="E7572" t="s">
        <v>452</v>
      </c>
    </row>
    <row r="7573" spans="3:5">
      <c r="C7573">
        <v>219.16800000000001</v>
      </c>
      <c r="D7573" s="17">
        <v>41860</v>
      </c>
      <c r="E7573" t="s">
        <v>252</v>
      </c>
    </row>
    <row r="7574" spans="3:5">
      <c r="C7574">
        <v>219.18400000000003</v>
      </c>
      <c r="D7574" s="17">
        <v>42344</v>
      </c>
      <c r="E7574" t="s">
        <v>501</v>
      </c>
    </row>
    <row r="7575" spans="3:5">
      <c r="C7575">
        <v>219.18400000000003</v>
      </c>
      <c r="D7575" s="17">
        <v>42832</v>
      </c>
      <c r="E7575" t="s">
        <v>501</v>
      </c>
    </row>
    <row r="7576" spans="3:5">
      <c r="C7576">
        <v>219.80000000000004</v>
      </c>
      <c r="D7576" s="17">
        <v>43070</v>
      </c>
      <c r="E7576" t="s">
        <v>1477</v>
      </c>
    </row>
    <row r="7577" spans="3:5">
      <c r="C7577">
        <v>219.84</v>
      </c>
      <c r="D7577" s="17">
        <v>42538</v>
      </c>
      <c r="E7577" t="s">
        <v>947</v>
      </c>
    </row>
    <row r="7578" spans="3:5">
      <c r="C7578">
        <v>219.84</v>
      </c>
      <c r="D7578" s="17">
        <v>43000</v>
      </c>
      <c r="E7578" t="s">
        <v>1246</v>
      </c>
    </row>
    <row r="7579" spans="3:5">
      <c r="C7579">
        <v>219.84000000000003</v>
      </c>
      <c r="D7579" s="17">
        <v>42565</v>
      </c>
      <c r="E7579" t="s">
        <v>947</v>
      </c>
    </row>
    <row r="7580" spans="3:5">
      <c r="C7580">
        <v>219.89999999999998</v>
      </c>
      <c r="D7580" s="17">
        <v>42959</v>
      </c>
      <c r="E7580" t="s">
        <v>731</v>
      </c>
    </row>
    <row r="7581" spans="3:5">
      <c r="C7581">
        <v>220.06399999999999</v>
      </c>
      <c r="D7581" s="17">
        <v>43054</v>
      </c>
      <c r="E7581" t="s">
        <v>390</v>
      </c>
    </row>
    <row r="7582" spans="3:5">
      <c r="C7582">
        <v>220.26559999999998</v>
      </c>
      <c r="D7582" s="17">
        <v>42852</v>
      </c>
      <c r="E7582" t="s">
        <v>600</v>
      </c>
    </row>
    <row r="7583" spans="3:5">
      <c r="C7583">
        <v>220.70400000000001</v>
      </c>
      <c r="D7583" s="17">
        <v>42855</v>
      </c>
      <c r="E7583" t="s">
        <v>288</v>
      </c>
    </row>
    <row r="7584" spans="3:5">
      <c r="C7584">
        <v>220.75200000000001</v>
      </c>
      <c r="D7584" s="17">
        <v>43065</v>
      </c>
      <c r="E7584" t="s">
        <v>630</v>
      </c>
    </row>
    <row r="7585" spans="3:5">
      <c r="C7585">
        <v>220.77600000000001</v>
      </c>
      <c r="D7585" s="17">
        <v>41825</v>
      </c>
      <c r="E7585" t="s">
        <v>1147</v>
      </c>
    </row>
    <row r="7586" spans="3:5">
      <c r="C7586">
        <v>220.96</v>
      </c>
      <c r="D7586" s="17">
        <v>42870</v>
      </c>
      <c r="E7586" t="s">
        <v>701</v>
      </c>
    </row>
    <row r="7587" spans="3:5">
      <c r="C7587">
        <v>220.98</v>
      </c>
      <c r="D7587" s="17">
        <v>43091</v>
      </c>
      <c r="E7587" t="s">
        <v>295</v>
      </c>
    </row>
    <row r="7588" spans="3:5">
      <c r="C7588">
        <v>221.024</v>
      </c>
      <c r="D7588" s="17">
        <v>42119</v>
      </c>
      <c r="E7588" t="s">
        <v>704</v>
      </c>
    </row>
    <row r="7589" spans="3:5">
      <c r="C7589">
        <v>221.024</v>
      </c>
      <c r="D7589" s="17">
        <v>42871</v>
      </c>
      <c r="E7589" t="s">
        <v>704</v>
      </c>
    </row>
    <row r="7590" spans="3:5">
      <c r="C7590">
        <v>221.024</v>
      </c>
      <c r="D7590" s="17">
        <v>43051</v>
      </c>
      <c r="E7590" t="s">
        <v>704</v>
      </c>
    </row>
    <row r="7591" spans="3:5">
      <c r="C7591">
        <v>221.05600000000001</v>
      </c>
      <c r="D7591" s="17">
        <v>42964</v>
      </c>
      <c r="E7591" t="s">
        <v>1063</v>
      </c>
    </row>
    <row r="7592" spans="3:5">
      <c r="C7592">
        <v>221.06</v>
      </c>
      <c r="D7592" s="17">
        <v>42196</v>
      </c>
      <c r="E7592" t="s">
        <v>516</v>
      </c>
    </row>
    <row r="7593" spans="3:5">
      <c r="C7593">
        <v>221.16</v>
      </c>
      <c r="D7593" s="17">
        <v>41962</v>
      </c>
      <c r="E7593" t="s">
        <v>313</v>
      </c>
    </row>
    <row r="7594" spans="3:5">
      <c r="C7594">
        <v>221.16</v>
      </c>
      <c r="D7594" s="17">
        <v>42799</v>
      </c>
      <c r="E7594" t="s">
        <v>313</v>
      </c>
    </row>
    <row r="7595" spans="3:5">
      <c r="C7595">
        <v>221.38200000000001</v>
      </c>
      <c r="D7595" s="17">
        <v>43013</v>
      </c>
      <c r="E7595" t="s">
        <v>281</v>
      </c>
    </row>
    <row r="7596" spans="3:5">
      <c r="C7596">
        <v>221.54999999999998</v>
      </c>
      <c r="D7596" s="17">
        <v>43070</v>
      </c>
      <c r="E7596" t="s">
        <v>1040</v>
      </c>
    </row>
    <row r="7597" spans="3:5">
      <c r="C7597">
        <v>221.92</v>
      </c>
      <c r="D7597" s="17">
        <v>42818</v>
      </c>
      <c r="E7597" t="s">
        <v>425</v>
      </c>
    </row>
    <row r="7598" spans="3:5">
      <c r="C7598">
        <v>221.92000000000002</v>
      </c>
      <c r="D7598" s="17">
        <v>41993</v>
      </c>
      <c r="E7598" t="s">
        <v>425</v>
      </c>
    </row>
    <row r="7599" spans="3:5">
      <c r="C7599">
        <v>221.96</v>
      </c>
      <c r="D7599" s="17">
        <v>42346</v>
      </c>
      <c r="E7599" t="s">
        <v>1693</v>
      </c>
    </row>
    <row r="7600" spans="3:5">
      <c r="C7600">
        <v>221.98</v>
      </c>
      <c r="D7600" s="17">
        <v>42684</v>
      </c>
      <c r="E7600" t="s">
        <v>1643</v>
      </c>
    </row>
    <row r="7601" spans="3:5">
      <c r="C7601">
        <v>222.32000000000005</v>
      </c>
      <c r="D7601" s="17">
        <v>42937</v>
      </c>
      <c r="E7601" t="s">
        <v>991</v>
      </c>
    </row>
    <row r="7602" spans="3:5">
      <c r="C7602">
        <v>222.35199999999998</v>
      </c>
      <c r="D7602" s="17">
        <v>42710</v>
      </c>
      <c r="E7602" t="s">
        <v>858</v>
      </c>
    </row>
    <row r="7603" spans="3:5">
      <c r="C7603">
        <v>222.38400000000001</v>
      </c>
      <c r="D7603" s="17">
        <v>42137</v>
      </c>
      <c r="E7603" t="s">
        <v>267</v>
      </c>
    </row>
    <row r="7604" spans="3:5">
      <c r="C7604">
        <v>222.38400000000001</v>
      </c>
      <c r="D7604" s="17">
        <v>42512</v>
      </c>
      <c r="E7604" t="s">
        <v>1513</v>
      </c>
    </row>
    <row r="7605" spans="3:5">
      <c r="C7605">
        <v>222.38400000000001</v>
      </c>
      <c r="D7605" s="17">
        <v>43015</v>
      </c>
      <c r="E7605" t="s">
        <v>267</v>
      </c>
    </row>
    <row r="7606" spans="3:5">
      <c r="C7606">
        <v>222.38400000000001</v>
      </c>
      <c r="D7606" s="17">
        <v>43062</v>
      </c>
      <c r="E7606" t="s">
        <v>267</v>
      </c>
    </row>
    <row r="7607" spans="3:5">
      <c r="C7607">
        <v>222.66599999999997</v>
      </c>
      <c r="D7607" s="17">
        <v>41952</v>
      </c>
      <c r="E7607" t="s">
        <v>250</v>
      </c>
    </row>
    <row r="7608" spans="3:5">
      <c r="C7608">
        <v>223.05600000000001</v>
      </c>
      <c r="D7608" s="17">
        <v>41874</v>
      </c>
      <c r="E7608" t="s">
        <v>278</v>
      </c>
    </row>
    <row r="7609" spans="3:5">
      <c r="C7609">
        <v>223.05600000000001</v>
      </c>
      <c r="D7609" s="17">
        <v>43051</v>
      </c>
      <c r="E7609" t="s">
        <v>1407</v>
      </c>
    </row>
    <row r="7610" spans="3:5">
      <c r="C7610">
        <v>223.58</v>
      </c>
      <c r="D7610" s="17">
        <v>43063</v>
      </c>
      <c r="E7610" t="s">
        <v>350</v>
      </c>
    </row>
    <row r="7611" spans="3:5">
      <c r="C7611">
        <v>223.88799999999998</v>
      </c>
      <c r="D7611" s="17">
        <v>42320</v>
      </c>
      <c r="E7611" t="s">
        <v>1465</v>
      </c>
    </row>
    <row r="7612" spans="3:5">
      <c r="C7612">
        <v>223.92</v>
      </c>
      <c r="D7612" s="17">
        <v>41954</v>
      </c>
      <c r="E7612" t="s">
        <v>1278</v>
      </c>
    </row>
    <row r="7613" spans="3:5">
      <c r="C7613">
        <v>223.92</v>
      </c>
      <c r="D7613" s="17">
        <v>42792</v>
      </c>
      <c r="E7613" t="s">
        <v>285</v>
      </c>
    </row>
    <row r="7614" spans="3:5">
      <c r="C7614">
        <v>223.96</v>
      </c>
      <c r="D7614" s="17">
        <v>41817</v>
      </c>
      <c r="E7614" t="s">
        <v>1123</v>
      </c>
    </row>
    <row r="7615" spans="3:5">
      <c r="C7615">
        <v>223.96</v>
      </c>
      <c r="D7615" s="17">
        <v>42520</v>
      </c>
      <c r="E7615" t="s">
        <v>1123</v>
      </c>
    </row>
    <row r="7616" spans="3:5">
      <c r="C7616">
        <v>224.75</v>
      </c>
      <c r="D7616" s="17">
        <v>42624</v>
      </c>
      <c r="E7616" t="s">
        <v>1075</v>
      </c>
    </row>
    <row r="7617" spans="3:5">
      <c r="C7617">
        <v>224.93700000000004</v>
      </c>
      <c r="D7617" s="17">
        <v>42493</v>
      </c>
      <c r="E7617" t="s">
        <v>1761</v>
      </c>
    </row>
    <row r="7618" spans="3:5">
      <c r="C7618">
        <v>225.29600000000002</v>
      </c>
      <c r="D7618" s="17">
        <v>41785</v>
      </c>
      <c r="E7618" t="s">
        <v>996</v>
      </c>
    </row>
    <row r="7619" spans="3:5">
      <c r="C7619">
        <v>225.29600000000002</v>
      </c>
      <c r="D7619" s="17">
        <v>42597</v>
      </c>
      <c r="E7619" t="s">
        <v>996</v>
      </c>
    </row>
    <row r="7620" spans="3:5">
      <c r="C7620">
        <v>225.29600000000002</v>
      </c>
      <c r="D7620" s="17">
        <v>42937</v>
      </c>
      <c r="E7620" t="s">
        <v>996</v>
      </c>
    </row>
    <row r="7621" spans="3:5">
      <c r="C7621">
        <v>225.56799999999998</v>
      </c>
      <c r="D7621" s="17">
        <v>42325</v>
      </c>
      <c r="E7621" t="s">
        <v>1529</v>
      </c>
    </row>
    <row r="7622" spans="3:5">
      <c r="C7622">
        <v>225.57599999999996</v>
      </c>
      <c r="D7622" s="17">
        <v>42170</v>
      </c>
      <c r="E7622" t="s">
        <v>1536</v>
      </c>
    </row>
    <row r="7623" spans="3:5">
      <c r="C7623">
        <v>226.20000000000002</v>
      </c>
      <c r="D7623" s="17">
        <v>42316</v>
      </c>
      <c r="E7623" t="s">
        <v>1547</v>
      </c>
    </row>
    <row r="7624" spans="3:5">
      <c r="C7624">
        <v>226.56</v>
      </c>
      <c r="D7624" s="17">
        <v>42533</v>
      </c>
      <c r="E7624" t="s">
        <v>1074</v>
      </c>
    </row>
    <row r="7625" spans="3:5">
      <c r="C7625">
        <v>226.56</v>
      </c>
      <c r="D7625" s="17">
        <v>42967</v>
      </c>
      <c r="E7625" t="s">
        <v>1074</v>
      </c>
    </row>
    <row r="7626" spans="3:5">
      <c r="C7626">
        <v>227.13600000000002</v>
      </c>
      <c r="D7626" s="17">
        <v>41999</v>
      </c>
      <c r="E7626" t="s">
        <v>225</v>
      </c>
    </row>
    <row r="7627" spans="3:5">
      <c r="C7627">
        <v>227.28</v>
      </c>
      <c r="D7627" s="17">
        <v>42727</v>
      </c>
      <c r="E7627" t="s">
        <v>50</v>
      </c>
    </row>
    <row r="7628" spans="3:5">
      <c r="C7628">
        <v>227.35999999999999</v>
      </c>
      <c r="D7628" s="17">
        <v>42034</v>
      </c>
      <c r="E7628" t="s">
        <v>561</v>
      </c>
    </row>
    <row r="7629" spans="3:5">
      <c r="C7629">
        <v>227.45999999999998</v>
      </c>
      <c r="D7629" s="17">
        <v>42772</v>
      </c>
      <c r="E7629" t="s">
        <v>218</v>
      </c>
    </row>
    <row r="7630" spans="3:5">
      <c r="C7630">
        <v>227.84</v>
      </c>
      <c r="D7630" s="17">
        <v>43014</v>
      </c>
      <c r="E7630" t="s">
        <v>1299</v>
      </c>
    </row>
    <row r="7631" spans="3:5">
      <c r="C7631">
        <v>227.88</v>
      </c>
      <c r="D7631" s="17">
        <v>42953</v>
      </c>
      <c r="E7631" t="s">
        <v>1006</v>
      </c>
    </row>
    <row r="7632" spans="3:5">
      <c r="C7632">
        <v>227.96</v>
      </c>
      <c r="D7632" s="17">
        <v>42416</v>
      </c>
      <c r="E7632" t="s">
        <v>896</v>
      </c>
    </row>
    <row r="7633" spans="3:5">
      <c r="C7633">
        <v>227.976</v>
      </c>
      <c r="D7633" s="17">
        <v>41747</v>
      </c>
      <c r="E7633" t="s">
        <v>1130</v>
      </c>
    </row>
    <row r="7634" spans="3:5">
      <c r="C7634">
        <v>227.976</v>
      </c>
      <c r="D7634" s="17">
        <v>43083</v>
      </c>
      <c r="E7634" t="s">
        <v>1130</v>
      </c>
    </row>
    <row r="7635" spans="3:5">
      <c r="C7635">
        <v>228.92</v>
      </c>
      <c r="D7635" s="17">
        <v>42174</v>
      </c>
      <c r="E7635" t="s">
        <v>522</v>
      </c>
    </row>
    <row r="7636" spans="3:5">
      <c r="C7636">
        <v>228.92</v>
      </c>
      <c r="D7636" s="17">
        <v>42925</v>
      </c>
      <c r="E7636" t="s">
        <v>522</v>
      </c>
    </row>
    <row r="7637" spans="3:5">
      <c r="C7637">
        <v>229.54400000000001</v>
      </c>
      <c r="D7637" s="17">
        <v>42978</v>
      </c>
      <c r="E7637" t="s">
        <v>720</v>
      </c>
    </row>
    <row r="7638" spans="3:5">
      <c r="C7638">
        <v>229.54400000000001</v>
      </c>
      <c r="D7638" s="17">
        <v>43063</v>
      </c>
      <c r="E7638" t="s">
        <v>613</v>
      </c>
    </row>
    <row r="7639" spans="3:5">
      <c r="C7639">
        <v>229.94</v>
      </c>
      <c r="D7639" s="17">
        <v>41669</v>
      </c>
      <c r="E7639" t="s">
        <v>1302</v>
      </c>
    </row>
    <row r="7640" spans="3:5">
      <c r="C7640">
        <v>230.28000000000003</v>
      </c>
      <c r="D7640" s="17">
        <v>41755</v>
      </c>
      <c r="E7640" t="s">
        <v>1098</v>
      </c>
    </row>
    <row r="7641" spans="3:5">
      <c r="C7641">
        <v>230.28000000000003</v>
      </c>
      <c r="D7641" s="17">
        <v>42000</v>
      </c>
      <c r="E7641" t="s">
        <v>1098</v>
      </c>
    </row>
    <row r="7642" spans="3:5">
      <c r="C7642">
        <v>230.28000000000003</v>
      </c>
      <c r="D7642" s="17">
        <v>42566</v>
      </c>
      <c r="E7642" t="s">
        <v>1098</v>
      </c>
    </row>
    <row r="7643" spans="3:5">
      <c r="C7643">
        <v>230.28000000000003</v>
      </c>
      <c r="D7643" s="17">
        <v>42974</v>
      </c>
      <c r="E7643" t="s">
        <v>1098</v>
      </c>
    </row>
    <row r="7644" spans="3:5">
      <c r="C7644">
        <v>230.35200000000003</v>
      </c>
      <c r="D7644" s="17">
        <v>41999</v>
      </c>
      <c r="E7644" t="s">
        <v>884</v>
      </c>
    </row>
    <row r="7645" spans="3:5">
      <c r="C7645">
        <v>230.35200000000003</v>
      </c>
      <c r="D7645" s="17">
        <v>42322</v>
      </c>
      <c r="E7645" t="s">
        <v>884</v>
      </c>
    </row>
    <row r="7646" spans="3:5">
      <c r="C7646">
        <v>230.376</v>
      </c>
      <c r="D7646" s="17">
        <v>41914</v>
      </c>
      <c r="E7646" t="s">
        <v>393</v>
      </c>
    </row>
    <row r="7647" spans="3:5">
      <c r="C7647">
        <v>230.376</v>
      </c>
      <c r="D7647" s="17">
        <v>42478</v>
      </c>
      <c r="E7647" t="s">
        <v>867</v>
      </c>
    </row>
    <row r="7648" spans="3:5">
      <c r="C7648">
        <v>230.376</v>
      </c>
      <c r="D7648" s="17">
        <v>43052</v>
      </c>
      <c r="E7648" t="s">
        <v>867</v>
      </c>
    </row>
    <row r="7649" spans="3:5">
      <c r="C7649">
        <v>231.72</v>
      </c>
      <c r="D7649" s="17">
        <v>42547</v>
      </c>
      <c r="E7649" t="s">
        <v>420</v>
      </c>
    </row>
    <row r="7650" spans="3:5">
      <c r="C7650">
        <v>231.72</v>
      </c>
      <c r="D7650" s="17">
        <v>42937</v>
      </c>
      <c r="E7650" t="s">
        <v>420</v>
      </c>
    </row>
    <row r="7651" spans="3:5">
      <c r="C7651">
        <v>231.92000000000002</v>
      </c>
      <c r="D7651" s="17">
        <v>42202</v>
      </c>
      <c r="E7651" t="s">
        <v>282</v>
      </c>
    </row>
    <row r="7652" spans="3:5">
      <c r="C7652">
        <v>231.92000000000002</v>
      </c>
      <c r="D7652" s="17">
        <v>42791</v>
      </c>
      <c r="E7652" t="s">
        <v>282</v>
      </c>
    </row>
    <row r="7653" spans="3:5">
      <c r="C7653">
        <v>231.98</v>
      </c>
      <c r="D7653" s="17">
        <v>42371</v>
      </c>
      <c r="E7653" t="s">
        <v>1095</v>
      </c>
    </row>
    <row r="7654" spans="3:5">
      <c r="C7654">
        <v>232.40000000000003</v>
      </c>
      <c r="D7654" s="17">
        <v>42343</v>
      </c>
      <c r="E7654" t="s">
        <v>366</v>
      </c>
    </row>
    <row r="7655" spans="3:5">
      <c r="C7655">
        <v>232.40000000000003</v>
      </c>
      <c r="D7655" s="17">
        <v>42630</v>
      </c>
      <c r="E7655" t="s">
        <v>366</v>
      </c>
    </row>
    <row r="7656" spans="3:5">
      <c r="C7656">
        <v>232.54999999999998</v>
      </c>
      <c r="D7656" s="17">
        <v>41733</v>
      </c>
      <c r="E7656" t="s">
        <v>370</v>
      </c>
    </row>
    <row r="7657" spans="3:5">
      <c r="C7657">
        <v>232.88</v>
      </c>
      <c r="D7657" s="17">
        <v>41775</v>
      </c>
      <c r="E7657" t="s">
        <v>1544</v>
      </c>
    </row>
    <row r="7658" spans="3:5">
      <c r="C7658">
        <v>232.88</v>
      </c>
      <c r="D7658" s="17">
        <v>43093</v>
      </c>
      <c r="E7658" t="s">
        <v>1544</v>
      </c>
    </row>
    <row r="7659" spans="3:5">
      <c r="C7659">
        <v>232.96</v>
      </c>
      <c r="D7659" s="17">
        <v>42658</v>
      </c>
      <c r="E7659" t="s">
        <v>683</v>
      </c>
    </row>
    <row r="7660" spans="3:5">
      <c r="C7660">
        <v>233.05799999999999</v>
      </c>
      <c r="D7660" s="17">
        <v>43058</v>
      </c>
      <c r="E7660" t="s">
        <v>1369</v>
      </c>
    </row>
    <row r="7661" spans="3:5">
      <c r="C7661">
        <v>233.86</v>
      </c>
      <c r="D7661" s="17">
        <v>42832</v>
      </c>
      <c r="E7661" t="s">
        <v>497</v>
      </c>
    </row>
    <row r="7662" spans="3:5">
      <c r="C7662">
        <v>234.36</v>
      </c>
      <c r="D7662" s="17">
        <v>42799</v>
      </c>
      <c r="E7662" t="s">
        <v>319</v>
      </c>
    </row>
    <row r="7663" spans="3:5">
      <c r="C7663">
        <v>234.45000000000002</v>
      </c>
      <c r="D7663" s="17">
        <v>41681</v>
      </c>
      <c r="E7663" t="s">
        <v>1381</v>
      </c>
    </row>
    <row r="7664" spans="3:5">
      <c r="C7664">
        <v>234.95000000000002</v>
      </c>
      <c r="D7664" s="17">
        <v>42943</v>
      </c>
      <c r="E7664" t="s">
        <v>958</v>
      </c>
    </row>
    <row r="7665" spans="3:5">
      <c r="C7665">
        <v>235.15199999999999</v>
      </c>
      <c r="D7665" s="17">
        <v>42664</v>
      </c>
      <c r="E7665" t="s">
        <v>763</v>
      </c>
    </row>
    <row r="7666" spans="3:5">
      <c r="C7666">
        <v>235.18799999999999</v>
      </c>
      <c r="D7666" s="17">
        <v>42016</v>
      </c>
      <c r="E7666" t="s">
        <v>647</v>
      </c>
    </row>
    <row r="7667" spans="3:5">
      <c r="C7667">
        <v>235.92</v>
      </c>
      <c r="D7667" s="17">
        <v>42980</v>
      </c>
      <c r="E7667" t="s">
        <v>1126</v>
      </c>
    </row>
    <row r="7668" spans="3:5">
      <c r="C7668">
        <v>235.94400000000002</v>
      </c>
      <c r="D7668" s="17">
        <v>43002</v>
      </c>
      <c r="E7668" t="s">
        <v>940</v>
      </c>
    </row>
    <row r="7669" spans="3:5">
      <c r="C7669">
        <v>235.95000000000002</v>
      </c>
      <c r="D7669" s="17">
        <v>41789</v>
      </c>
      <c r="E7669" t="s">
        <v>1114</v>
      </c>
    </row>
    <row r="7670" spans="3:5">
      <c r="C7670">
        <v>236</v>
      </c>
      <c r="D7670" s="17">
        <v>42346</v>
      </c>
      <c r="E7670" t="s">
        <v>1668</v>
      </c>
    </row>
    <row r="7671" spans="3:5">
      <c r="C7671">
        <v>236.5</v>
      </c>
      <c r="D7671" s="17">
        <v>41842</v>
      </c>
      <c r="E7671" t="s">
        <v>1553</v>
      </c>
    </row>
    <row r="7672" spans="3:5">
      <c r="C7672">
        <v>236.52800000000002</v>
      </c>
      <c r="D7672" s="17">
        <v>42980</v>
      </c>
      <c r="E7672" t="s">
        <v>962</v>
      </c>
    </row>
    <row r="7673" spans="3:5">
      <c r="C7673">
        <v>236.88</v>
      </c>
      <c r="D7673" s="17">
        <v>42639</v>
      </c>
      <c r="E7673" t="s">
        <v>1677</v>
      </c>
    </row>
    <row r="7674" spans="3:5">
      <c r="C7674">
        <v>237.09600000000003</v>
      </c>
      <c r="D7674" s="17">
        <v>41982</v>
      </c>
      <c r="E7674" t="s">
        <v>1085</v>
      </c>
    </row>
    <row r="7675" spans="3:5">
      <c r="C7675">
        <v>237.09600000000003</v>
      </c>
      <c r="D7675" s="17">
        <v>42968</v>
      </c>
      <c r="E7675" t="s">
        <v>1085</v>
      </c>
    </row>
    <row r="7676" spans="3:5">
      <c r="C7676">
        <v>238</v>
      </c>
      <c r="D7676" s="17">
        <v>41847</v>
      </c>
      <c r="E7676" t="s">
        <v>406</v>
      </c>
    </row>
    <row r="7677" spans="3:5">
      <c r="C7677">
        <v>238</v>
      </c>
      <c r="D7677" s="17">
        <v>42814</v>
      </c>
      <c r="E7677" t="s">
        <v>406</v>
      </c>
    </row>
    <row r="7678" spans="3:5">
      <c r="C7678">
        <v>238</v>
      </c>
      <c r="D7678" s="17">
        <v>42980</v>
      </c>
      <c r="E7678" t="s">
        <v>406</v>
      </c>
    </row>
    <row r="7679" spans="3:5">
      <c r="C7679">
        <v>238.15200000000004</v>
      </c>
      <c r="D7679" s="17">
        <v>42250</v>
      </c>
      <c r="E7679" t="s">
        <v>939</v>
      </c>
    </row>
    <row r="7680" spans="3:5">
      <c r="C7680">
        <v>238.56</v>
      </c>
      <c r="D7680" s="17">
        <v>42680</v>
      </c>
      <c r="E7680" t="s">
        <v>1646</v>
      </c>
    </row>
    <row r="7681" spans="3:5">
      <c r="C7681">
        <v>238.62</v>
      </c>
      <c r="D7681" s="17">
        <v>41684</v>
      </c>
      <c r="E7681" t="s">
        <v>548</v>
      </c>
    </row>
    <row r="7682" spans="3:5">
      <c r="C7682">
        <v>238.62</v>
      </c>
      <c r="D7682" s="17">
        <v>42867</v>
      </c>
      <c r="E7682" t="s">
        <v>548</v>
      </c>
    </row>
    <row r="7683" spans="3:5">
      <c r="C7683">
        <v>238.89600000000002</v>
      </c>
      <c r="D7683" s="17">
        <v>42321</v>
      </c>
      <c r="E7683" t="s">
        <v>398</v>
      </c>
    </row>
    <row r="7684" spans="3:5">
      <c r="C7684">
        <v>239.12000000000003</v>
      </c>
      <c r="D7684" s="17">
        <v>42967</v>
      </c>
      <c r="E7684" t="s">
        <v>515</v>
      </c>
    </row>
    <row r="7685" spans="3:5">
      <c r="C7685">
        <v>239.24</v>
      </c>
      <c r="D7685" s="17">
        <v>42922</v>
      </c>
      <c r="E7685" t="s">
        <v>930</v>
      </c>
    </row>
    <row r="7686" spans="3:5">
      <c r="C7686">
        <v>239.358</v>
      </c>
      <c r="D7686" s="17">
        <v>43018</v>
      </c>
      <c r="E7686" t="s">
        <v>896</v>
      </c>
    </row>
    <row r="7687" spans="3:5">
      <c r="C7687">
        <v>239.37199999999996</v>
      </c>
      <c r="D7687" s="17">
        <v>42647</v>
      </c>
      <c r="E7687" t="s">
        <v>1442</v>
      </c>
    </row>
    <row r="7688" spans="3:5">
      <c r="C7688">
        <v>239.45599999999999</v>
      </c>
      <c r="D7688" s="17">
        <v>42930</v>
      </c>
      <c r="E7688" t="s">
        <v>960</v>
      </c>
    </row>
    <row r="7689" spans="3:5">
      <c r="C7689">
        <v>239.5</v>
      </c>
      <c r="D7689" s="17">
        <v>42617</v>
      </c>
      <c r="E7689" t="s">
        <v>1303</v>
      </c>
    </row>
    <row r="7690" spans="3:5">
      <c r="C7690">
        <v>239.66599999999997</v>
      </c>
      <c r="D7690" s="17">
        <v>42538</v>
      </c>
      <c r="E7690" t="s">
        <v>1132</v>
      </c>
    </row>
    <row r="7691" spans="3:5">
      <c r="C7691">
        <v>239.66599999999997</v>
      </c>
      <c r="D7691" s="17">
        <v>42981</v>
      </c>
      <c r="E7691" t="s">
        <v>1132</v>
      </c>
    </row>
    <row r="7692" spans="3:5">
      <c r="C7692">
        <v>239.70000000000002</v>
      </c>
      <c r="D7692" s="17">
        <v>42216</v>
      </c>
      <c r="E7692" t="s">
        <v>101</v>
      </c>
    </row>
    <row r="7693" spans="3:5">
      <c r="C7693">
        <v>239.80000000000004</v>
      </c>
      <c r="D7693" s="17">
        <v>42273</v>
      </c>
      <c r="E7693" t="s">
        <v>1821</v>
      </c>
    </row>
    <row r="7694" spans="3:5">
      <c r="C7694">
        <v>239.84</v>
      </c>
      <c r="D7694" s="17">
        <v>41975</v>
      </c>
      <c r="E7694" t="s">
        <v>1568</v>
      </c>
    </row>
    <row r="7695" spans="3:5">
      <c r="C7695">
        <v>239.9</v>
      </c>
      <c r="D7695" s="17">
        <v>42365</v>
      </c>
      <c r="E7695" t="s">
        <v>493</v>
      </c>
    </row>
    <row r="7696" spans="3:5">
      <c r="C7696">
        <v>239.92</v>
      </c>
      <c r="D7696" s="17">
        <v>43052</v>
      </c>
      <c r="E7696" t="s">
        <v>168</v>
      </c>
    </row>
    <row r="7697" spans="3:5">
      <c r="C7697">
        <v>239.94</v>
      </c>
      <c r="D7697" s="17">
        <v>42099</v>
      </c>
      <c r="E7697" t="s">
        <v>524</v>
      </c>
    </row>
    <row r="7698" spans="3:5">
      <c r="C7698">
        <v>239.95200000000003</v>
      </c>
      <c r="D7698" s="17">
        <v>43049</v>
      </c>
      <c r="E7698" t="s">
        <v>1397</v>
      </c>
    </row>
    <row r="7699" spans="3:5">
      <c r="C7699">
        <v>239.95999999999998</v>
      </c>
      <c r="D7699" s="17">
        <v>43073</v>
      </c>
      <c r="E7699" t="s">
        <v>656</v>
      </c>
    </row>
    <row r="7700" spans="3:5">
      <c r="C7700">
        <v>239.96</v>
      </c>
      <c r="D7700" s="17">
        <v>43016</v>
      </c>
      <c r="E7700" t="s">
        <v>132</v>
      </c>
    </row>
    <row r="7701" spans="3:5">
      <c r="C7701">
        <v>239.96000000000004</v>
      </c>
      <c r="D7701" s="17">
        <v>43056</v>
      </c>
      <c r="E7701" t="s">
        <v>132</v>
      </c>
    </row>
    <row r="7702" spans="3:5">
      <c r="C7702">
        <v>239.96999999999997</v>
      </c>
      <c r="D7702" s="17">
        <v>41684</v>
      </c>
      <c r="E7702" t="s">
        <v>654</v>
      </c>
    </row>
    <row r="7703" spans="3:5">
      <c r="C7703">
        <v>239.96999999999997</v>
      </c>
      <c r="D7703" s="17">
        <v>41792</v>
      </c>
      <c r="E7703" t="s">
        <v>893</v>
      </c>
    </row>
    <row r="7704" spans="3:5">
      <c r="C7704">
        <v>239.96999999999997</v>
      </c>
      <c r="D7704" s="17">
        <v>42086</v>
      </c>
      <c r="E7704" t="s">
        <v>654</v>
      </c>
    </row>
    <row r="7705" spans="3:5">
      <c r="C7705">
        <v>239.96999999999997</v>
      </c>
      <c r="D7705" s="17">
        <v>42154</v>
      </c>
      <c r="E7705" t="s">
        <v>1846</v>
      </c>
    </row>
    <row r="7706" spans="3:5">
      <c r="C7706">
        <v>239.96999999999997</v>
      </c>
      <c r="D7706" s="17">
        <v>42297</v>
      </c>
      <c r="E7706" t="s">
        <v>1395</v>
      </c>
    </row>
    <row r="7707" spans="3:5">
      <c r="C7707">
        <v>239.96999999999997</v>
      </c>
      <c r="D7707" s="17">
        <v>42532</v>
      </c>
      <c r="E7707" t="s">
        <v>221</v>
      </c>
    </row>
    <row r="7708" spans="3:5">
      <c r="C7708">
        <v>239.96999999999997</v>
      </c>
      <c r="D7708" s="17">
        <v>42763</v>
      </c>
      <c r="E7708" t="s">
        <v>170</v>
      </c>
    </row>
    <row r="7709" spans="3:5">
      <c r="C7709">
        <v>239.96999999999997</v>
      </c>
      <c r="D7709" s="17">
        <v>42906</v>
      </c>
      <c r="E7709" t="s">
        <v>221</v>
      </c>
    </row>
    <row r="7710" spans="3:5">
      <c r="C7710">
        <v>239.96999999999997</v>
      </c>
      <c r="D7710" s="17">
        <v>42912</v>
      </c>
      <c r="E7710" t="s">
        <v>893</v>
      </c>
    </row>
    <row r="7711" spans="3:5">
      <c r="C7711">
        <v>239.976</v>
      </c>
      <c r="D7711" s="17">
        <v>41884</v>
      </c>
      <c r="E7711" t="s">
        <v>717</v>
      </c>
    </row>
    <row r="7712" spans="3:5">
      <c r="C7712">
        <v>239.976</v>
      </c>
      <c r="D7712" s="17">
        <v>42107</v>
      </c>
      <c r="E7712" t="s">
        <v>1660</v>
      </c>
    </row>
    <row r="7713" spans="3:5">
      <c r="C7713">
        <v>239.976</v>
      </c>
      <c r="D7713" s="17">
        <v>42247</v>
      </c>
      <c r="E7713" t="s">
        <v>1826</v>
      </c>
    </row>
    <row r="7714" spans="3:5">
      <c r="C7714">
        <v>239.976</v>
      </c>
      <c r="D7714" s="17">
        <v>42324</v>
      </c>
      <c r="E7714" t="s">
        <v>845</v>
      </c>
    </row>
    <row r="7715" spans="3:5">
      <c r="C7715">
        <v>239.976</v>
      </c>
      <c r="D7715" s="17">
        <v>42667</v>
      </c>
      <c r="E7715" t="s">
        <v>1660</v>
      </c>
    </row>
    <row r="7716" spans="3:5">
      <c r="C7716">
        <v>239.976</v>
      </c>
      <c r="D7716" s="17">
        <v>42901</v>
      </c>
      <c r="E7716" t="s">
        <v>845</v>
      </c>
    </row>
    <row r="7717" spans="3:5">
      <c r="C7717">
        <v>239.976</v>
      </c>
      <c r="D7717" s="17">
        <v>43007</v>
      </c>
      <c r="E7717" t="s">
        <v>317</v>
      </c>
    </row>
    <row r="7718" spans="3:5">
      <c r="C7718">
        <v>239.98</v>
      </c>
      <c r="D7718" s="17">
        <v>42405</v>
      </c>
      <c r="E7718" t="s">
        <v>216</v>
      </c>
    </row>
    <row r="7719" spans="3:5">
      <c r="C7719">
        <v>239.98400000000004</v>
      </c>
      <c r="D7719" s="17">
        <v>41903</v>
      </c>
      <c r="E7719" t="s">
        <v>1688</v>
      </c>
    </row>
    <row r="7720" spans="3:5">
      <c r="C7720">
        <v>239.98400000000004</v>
      </c>
      <c r="D7720" s="17">
        <v>42631</v>
      </c>
      <c r="E7720" t="s">
        <v>1688</v>
      </c>
    </row>
    <row r="7721" spans="3:5">
      <c r="C7721">
        <v>239.98400000000004</v>
      </c>
      <c r="D7721" s="17">
        <v>42768</v>
      </c>
      <c r="E7721" t="s">
        <v>205</v>
      </c>
    </row>
    <row r="7722" spans="3:5">
      <c r="C7722">
        <v>240.37</v>
      </c>
      <c r="D7722" s="17">
        <v>42829</v>
      </c>
      <c r="E7722" t="s">
        <v>494</v>
      </c>
    </row>
    <row r="7723" spans="3:5">
      <c r="C7723">
        <v>240.744</v>
      </c>
      <c r="D7723" s="17">
        <v>43031</v>
      </c>
      <c r="E7723" t="s">
        <v>272</v>
      </c>
    </row>
    <row r="7724" spans="3:5">
      <c r="C7724">
        <v>240.78400000000002</v>
      </c>
      <c r="D7724" s="17">
        <v>42300</v>
      </c>
      <c r="E7724" t="s">
        <v>228</v>
      </c>
    </row>
    <row r="7725" spans="3:5">
      <c r="C7725">
        <v>240.78400000000002</v>
      </c>
      <c r="D7725" s="17">
        <v>42772</v>
      </c>
      <c r="E7725" t="s">
        <v>217</v>
      </c>
    </row>
    <row r="7726" spans="3:5">
      <c r="C7726">
        <v>241.17000000000002</v>
      </c>
      <c r="D7726" s="17">
        <v>42992</v>
      </c>
      <c r="E7726" t="s">
        <v>1191</v>
      </c>
    </row>
    <row r="7727" spans="3:5">
      <c r="C7727">
        <v>241.17599999999999</v>
      </c>
      <c r="D7727" s="17">
        <v>41954</v>
      </c>
      <c r="E7727" t="s">
        <v>1836</v>
      </c>
    </row>
    <row r="7728" spans="3:5">
      <c r="C7728">
        <v>241.33199999999999</v>
      </c>
      <c r="D7728" s="17">
        <v>42443</v>
      </c>
      <c r="E7728" t="s">
        <v>1725</v>
      </c>
    </row>
    <row r="7729" spans="3:5">
      <c r="C7729">
        <v>241.42399999999998</v>
      </c>
      <c r="D7729" s="17">
        <v>43049</v>
      </c>
      <c r="E7729" t="s">
        <v>456</v>
      </c>
    </row>
    <row r="7730" spans="3:5">
      <c r="C7730">
        <v>241.44</v>
      </c>
      <c r="D7730" s="17">
        <v>41960</v>
      </c>
      <c r="E7730" t="s">
        <v>412</v>
      </c>
    </row>
    <row r="7731" spans="3:5">
      <c r="C7731">
        <v>241.44</v>
      </c>
      <c r="D7731" s="17">
        <v>42545</v>
      </c>
      <c r="E7731" t="s">
        <v>412</v>
      </c>
    </row>
    <row r="7732" spans="3:5">
      <c r="C7732">
        <v>241.49999999999997</v>
      </c>
      <c r="D7732" s="17">
        <v>42408</v>
      </c>
      <c r="E7732" t="s">
        <v>660</v>
      </c>
    </row>
    <row r="7733" spans="3:5">
      <c r="C7733">
        <v>241.56799999999998</v>
      </c>
      <c r="D7733" s="17">
        <v>41989</v>
      </c>
      <c r="E7733" t="s">
        <v>565</v>
      </c>
    </row>
    <row r="7734" spans="3:5">
      <c r="C7734">
        <v>241.56799999999998</v>
      </c>
      <c r="D7734" s="17">
        <v>42107</v>
      </c>
      <c r="E7734" t="s">
        <v>832</v>
      </c>
    </row>
    <row r="7735" spans="3:5">
      <c r="C7735">
        <v>241.56799999999998</v>
      </c>
      <c r="D7735" s="17">
        <v>42576</v>
      </c>
      <c r="E7735" t="s">
        <v>565</v>
      </c>
    </row>
    <row r="7736" spans="3:5">
      <c r="C7736">
        <v>241.56799999999998</v>
      </c>
      <c r="D7736" s="17">
        <v>42889</v>
      </c>
      <c r="E7736" t="s">
        <v>468</v>
      </c>
    </row>
    <row r="7737" spans="3:5">
      <c r="C7737">
        <v>241.92</v>
      </c>
      <c r="D7737" s="17">
        <v>42611</v>
      </c>
      <c r="E7737" t="s">
        <v>846</v>
      </c>
    </row>
    <row r="7738" spans="3:5">
      <c r="C7738">
        <v>241.96</v>
      </c>
      <c r="D7738" s="17">
        <v>42595</v>
      </c>
      <c r="E7738" t="s">
        <v>547</v>
      </c>
    </row>
    <row r="7739" spans="3:5">
      <c r="C7739">
        <v>241.96</v>
      </c>
      <c r="D7739" s="17">
        <v>42885</v>
      </c>
      <c r="E7739" t="s">
        <v>773</v>
      </c>
    </row>
    <row r="7740" spans="3:5">
      <c r="C7740">
        <v>241.96</v>
      </c>
      <c r="D7740" s="17">
        <v>43000</v>
      </c>
      <c r="E7740" t="s">
        <v>586</v>
      </c>
    </row>
    <row r="7741" spans="3:5">
      <c r="C7741">
        <v>241.96</v>
      </c>
      <c r="D7741" s="17">
        <v>43009</v>
      </c>
      <c r="E7741" t="s">
        <v>901</v>
      </c>
    </row>
    <row r="7742" spans="3:5">
      <c r="C7742">
        <v>242.13600000000002</v>
      </c>
      <c r="D7742" s="17">
        <v>42664</v>
      </c>
      <c r="E7742" t="s">
        <v>114</v>
      </c>
    </row>
    <row r="7743" spans="3:5">
      <c r="C7743">
        <v>242.17600000000004</v>
      </c>
      <c r="D7743" s="17">
        <v>42703</v>
      </c>
      <c r="E7743" t="s">
        <v>1611</v>
      </c>
    </row>
    <row r="7744" spans="3:5">
      <c r="C7744">
        <v>242.35200000000003</v>
      </c>
      <c r="D7744" s="17">
        <v>41993</v>
      </c>
      <c r="E7744" t="s">
        <v>1131</v>
      </c>
    </row>
    <row r="7745" spans="3:5">
      <c r="C7745">
        <v>242.35200000000003</v>
      </c>
      <c r="D7745" s="17">
        <v>42839</v>
      </c>
      <c r="E7745" t="s">
        <v>538</v>
      </c>
    </row>
    <row r="7746" spans="3:5">
      <c r="C7746">
        <v>242.35200000000003</v>
      </c>
      <c r="D7746" s="17">
        <v>42932</v>
      </c>
      <c r="E7746" t="s">
        <v>575</v>
      </c>
    </row>
    <row r="7747" spans="3:5">
      <c r="C7747">
        <v>242.35200000000003</v>
      </c>
      <c r="D7747" s="17">
        <v>43071</v>
      </c>
      <c r="E7747" t="s">
        <v>708</v>
      </c>
    </row>
    <row r="7748" spans="3:5">
      <c r="C7748">
        <v>242.48000000000002</v>
      </c>
      <c r="D7748" s="17">
        <v>42993</v>
      </c>
      <c r="E7748" t="s">
        <v>1199</v>
      </c>
    </row>
    <row r="7749" spans="3:5">
      <c r="C7749">
        <v>242.624</v>
      </c>
      <c r="D7749" s="17">
        <v>42959</v>
      </c>
      <c r="E7749" t="s">
        <v>218</v>
      </c>
    </row>
    <row r="7750" spans="3:5">
      <c r="C7750">
        <v>242.89999999999998</v>
      </c>
      <c r="D7750" s="17">
        <v>42509</v>
      </c>
      <c r="E7750" t="s">
        <v>653</v>
      </c>
    </row>
    <row r="7751" spans="3:5">
      <c r="C7751">
        <v>242.94</v>
      </c>
      <c r="D7751" s="17">
        <v>41705</v>
      </c>
      <c r="E7751" t="s">
        <v>1346</v>
      </c>
    </row>
    <row r="7752" spans="3:5">
      <c r="C7752">
        <v>242.94</v>
      </c>
      <c r="D7752" s="17">
        <v>42419</v>
      </c>
      <c r="E7752" t="s">
        <v>131</v>
      </c>
    </row>
    <row r="7753" spans="3:5">
      <c r="C7753">
        <v>242.94</v>
      </c>
      <c r="D7753" s="17">
        <v>42568</v>
      </c>
      <c r="E7753" t="s">
        <v>1346</v>
      </c>
    </row>
    <row r="7754" spans="3:5">
      <c r="C7754">
        <v>242.94</v>
      </c>
      <c r="D7754" s="17">
        <v>42618</v>
      </c>
      <c r="E7754" t="s">
        <v>1190</v>
      </c>
    </row>
    <row r="7755" spans="3:5">
      <c r="C7755">
        <v>242.94</v>
      </c>
      <c r="D7755" s="17">
        <v>42756</v>
      </c>
      <c r="E7755" t="s">
        <v>131</v>
      </c>
    </row>
    <row r="7756" spans="3:5">
      <c r="C7756">
        <v>242.94</v>
      </c>
      <c r="D7756" s="17">
        <v>42806</v>
      </c>
      <c r="E7756" t="s">
        <v>131</v>
      </c>
    </row>
    <row r="7757" spans="3:5">
      <c r="C7757">
        <v>243.16</v>
      </c>
      <c r="D7757" s="17">
        <v>42859</v>
      </c>
      <c r="E7757" t="s">
        <v>571</v>
      </c>
    </row>
    <row r="7758" spans="3:5">
      <c r="C7758">
        <v>243.38400000000001</v>
      </c>
      <c r="D7758" s="17">
        <v>42715</v>
      </c>
      <c r="E7758" t="s">
        <v>1423</v>
      </c>
    </row>
    <row r="7759" spans="3:5">
      <c r="C7759">
        <v>243.88000000000002</v>
      </c>
      <c r="D7759" s="17">
        <v>42576</v>
      </c>
      <c r="E7759" t="s">
        <v>523</v>
      </c>
    </row>
    <row r="7760" spans="3:5">
      <c r="C7760">
        <v>243.92</v>
      </c>
      <c r="D7760" s="17">
        <v>42987</v>
      </c>
      <c r="E7760" t="s">
        <v>985</v>
      </c>
    </row>
    <row r="7761" spans="3:5">
      <c r="C7761">
        <v>243.92</v>
      </c>
      <c r="D7761" s="17">
        <v>43007</v>
      </c>
      <c r="E7761" t="s">
        <v>560</v>
      </c>
    </row>
    <row r="7762" spans="3:5">
      <c r="C7762">
        <v>243.99199999999996</v>
      </c>
      <c r="D7762" s="17">
        <v>42771</v>
      </c>
      <c r="E7762" t="s">
        <v>76</v>
      </c>
    </row>
    <row r="7763" spans="3:5">
      <c r="C7763">
        <v>243.99200000000002</v>
      </c>
      <c r="D7763" s="17">
        <v>43044</v>
      </c>
      <c r="E7763" t="s">
        <v>903</v>
      </c>
    </row>
    <row r="7764" spans="3:5">
      <c r="C7764">
        <v>244.00599999999997</v>
      </c>
      <c r="D7764" s="17">
        <v>42131</v>
      </c>
      <c r="E7764" t="s">
        <v>400</v>
      </c>
    </row>
    <row r="7765" spans="3:5">
      <c r="C7765">
        <v>244.00599999999997</v>
      </c>
      <c r="D7765" s="17">
        <v>42440</v>
      </c>
      <c r="E7765" t="s">
        <v>400</v>
      </c>
    </row>
    <row r="7766" spans="3:5">
      <c r="C7766">
        <v>244.54999999999998</v>
      </c>
      <c r="D7766" s="17">
        <v>42317</v>
      </c>
      <c r="E7766" t="s">
        <v>948</v>
      </c>
    </row>
    <row r="7767" spans="3:5">
      <c r="C7767">
        <v>244.54999999999998</v>
      </c>
      <c r="D7767" s="17">
        <v>42833</v>
      </c>
      <c r="E7767" t="s">
        <v>505</v>
      </c>
    </row>
    <row r="7768" spans="3:5">
      <c r="C7768">
        <v>244.54999999999998</v>
      </c>
      <c r="D7768" s="17">
        <v>42954</v>
      </c>
      <c r="E7768" t="s">
        <v>505</v>
      </c>
    </row>
    <row r="7769" spans="3:5">
      <c r="C7769">
        <v>244.54999999999998</v>
      </c>
      <c r="D7769" s="17">
        <v>42996</v>
      </c>
      <c r="E7769" t="s">
        <v>688</v>
      </c>
    </row>
    <row r="7770" spans="3:5">
      <c r="C7770">
        <v>244.54999999999998</v>
      </c>
      <c r="D7770" s="17">
        <v>43066</v>
      </c>
      <c r="E7770" t="s">
        <v>725</v>
      </c>
    </row>
    <row r="7771" spans="3:5">
      <c r="C7771">
        <v>244.61499999999998</v>
      </c>
      <c r="D7771" s="17">
        <v>42609</v>
      </c>
      <c r="E7771" t="s">
        <v>606</v>
      </c>
    </row>
    <row r="7772" spans="3:5">
      <c r="C7772">
        <v>244.768</v>
      </c>
      <c r="D7772" s="17">
        <v>42112</v>
      </c>
      <c r="E7772" t="s">
        <v>1629</v>
      </c>
    </row>
    <row r="7773" spans="3:5">
      <c r="C7773">
        <v>244.768</v>
      </c>
      <c r="D7773" s="17">
        <v>42694</v>
      </c>
      <c r="E7773" t="s">
        <v>1629</v>
      </c>
    </row>
    <row r="7774" spans="3:5">
      <c r="C7774">
        <v>245.64600000000002</v>
      </c>
      <c r="D7774" s="17">
        <v>42685</v>
      </c>
      <c r="E7774" t="s">
        <v>485</v>
      </c>
    </row>
    <row r="7775" spans="3:5">
      <c r="C7775">
        <v>245.88</v>
      </c>
      <c r="D7775" s="17">
        <v>41780</v>
      </c>
      <c r="E7775" t="s">
        <v>1488</v>
      </c>
    </row>
    <row r="7776" spans="3:5">
      <c r="C7776">
        <v>245.88</v>
      </c>
      <c r="D7776" s="17">
        <v>41950</v>
      </c>
      <c r="E7776" t="s">
        <v>1488</v>
      </c>
    </row>
    <row r="7777" spans="3:5">
      <c r="C7777">
        <v>245.94</v>
      </c>
      <c r="D7777" s="17">
        <v>42570</v>
      </c>
      <c r="E7777" t="s">
        <v>210</v>
      </c>
    </row>
    <row r="7778" spans="3:5">
      <c r="C7778">
        <v>245.98</v>
      </c>
      <c r="D7778" s="17">
        <v>41925</v>
      </c>
      <c r="E7778" t="s">
        <v>281</v>
      </c>
    </row>
    <row r="7779" spans="3:5">
      <c r="C7779">
        <v>246.13279999999997</v>
      </c>
      <c r="D7779" s="17">
        <v>42329</v>
      </c>
      <c r="E7779" t="s">
        <v>1305</v>
      </c>
    </row>
    <row r="7780" spans="3:5">
      <c r="C7780">
        <v>246.16800000000001</v>
      </c>
      <c r="D7780" s="17">
        <v>42353</v>
      </c>
      <c r="E7780" t="s">
        <v>1350</v>
      </c>
    </row>
    <row r="7781" spans="3:5">
      <c r="C7781">
        <v>246.16800000000001</v>
      </c>
      <c r="D7781" s="17">
        <v>42495</v>
      </c>
      <c r="E7781" t="s">
        <v>1350</v>
      </c>
    </row>
    <row r="7782" spans="3:5">
      <c r="C7782">
        <v>246.38400000000001</v>
      </c>
      <c r="D7782" s="17">
        <v>41903</v>
      </c>
      <c r="E7782" t="s">
        <v>716</v>
      </c>
    </row>
    <row r="7783" spans="3:5">
      <c r="C7783">
        <v>247.10399999999998</v>
      </c>
      <c r="D7783" s="17">
        <v>42344</v>
      </c>
      <c r="E7783" t="s">
        <v>546</v>
      </c>
    </row>
    <row r="7784" spans="3:5">
      <c r="C7784">
        <v>247.18799999999999</v>
      </c>
      <c r="D7784" s="17">
        <v>42596</v>
      </c>
      <c r="E7784" t="s">
        <v>1718</v>
      </c>
    </row>
    <row r="7785" spans="3:5">
      <c r="C7785">
        <v>247.44</v>
      </c>
      <c r="D7785" s="17">
        <v>42883</v>
      </c>
      <c r="E7785" t="s">
        <v>401</v>
      </c>
    </row>
    <row r="7786" spans="3:5">
      <c r="C7786">
        <v>247.71600000000001</v>
      </c>
      <c r="D7786" s="17">
        <v>41659</v>
      </c>
      <c r="E7786" t="s">
        <v>1022</v>
      </c>
    </row>
    <row r="7787" spans="3:5">
      <c r="C7787">
        <v>247.8</v>
      </c>
      <c r="D7787" s="17">
        <v>41992</v>
      </c>
      <c r="E7787" t="s">
        <v>1840</v>
      </c>
    </row>
    <row r="7788" spans="3:5">
      <c r="C7788">
        <v>247.8</v>
      </c>
      <c r="D7788" s="17">
        <v>42225</v>
      </c>
      <c r="E7788" t="s">
        <v>1840</v>
      </c>
    </row>
    <row r="7789" spans="3:5">
      <c r="C7789">
        <v>247.84</v>
      </c>
      <c r="D7789" s="17">
        <v>41751</v>
      </c>
      <c r="E7789" t="s">
        <v>79</v>
      </c>
    </row>
    <row r="7790" spans="3:5">
      <c r="C7790">
        <v>248.07999999999998</v>
      </c>
      <c r="D7790" s="17">
        <v>42710</v>
      </c>
      <c r="E7790" t="s">
        <v>702</v>
      </c>
    </row>
    <row r="7791" spans="3:5">
      <c r="C7791">
        <v>248.43</v>
      </c>
      <c r="D7791" s="17">
        <v>42705</v>
      </c>
      <c r="E7791" t="s">
        <v>721</v>
      </c>
    </row>
    <row r="7792" spans="3:5">
      <c r="C7792">
        <v>248.57</v>
      </c>
      <c r="D7792" s="17">
        <v>42916</v>
      </c>
      <c r="E7792" t="s">
        <v>912</v>
      </c>
    </row>
    <row r="7793" spans="3:5">
      <c r="C7793">
        <v>248.85000000000002</v>
      </c>
      <c r="D7793" s="17">
        <v>42351</v>
      </c>
      <c r="E7793" t="s">
        <v>398</v>
      </c>
    </row>
    <row r="7794" spans="3:5">
      <c r="C7794">
        <v>248.98</v>
      </c>
      <c r="D7794" s="17">
        <v>43030</v>
      </c>
      <c r="E7794" t="s">
        <v>627</v>
      </c>
    </row>
    <row r="7795" spans="3:5">
      <c r="C7795">
        <v>249.58400000000003</v>
      </c>
      <c r="D7795" s="17">
        <v>42166</v>
      </c>
      <c r="E7795" t="s">
        <v>1019</v>
      </c>
    </row>
    <row r="7796" spans="3:5">
      <c r="C7796">
        <v>249.58400000000003</v>
      </c>
      <c r="D7796" s="17">
        <v>42295</v>
      </c>
      <c r="E7796" t="s">
        <v>740</v>
      </c>
    </row>
    <row r="7797" spans="3:5">
      <c r="C7797">
        <v>249.58400000000003</v>
      </c>
      <c r="D7797" s="17">
        <v>42710</v>
      </c>
      <c r="E7797" t="s">
        <v>1019</v>
      </c>
    </row>
    <row r="7798" spans="3:5">
      <c r="C7798">
        <v>249.58400000000003</v>
      </c>
      <c r="D7798" s="17">
        <v>42712</v>
      </c>
      <c r="E7798" t="s">
        <v>1019</v>
      </c>
    </row>
    <row r="7799" spans="3:5">
      <c r="C7799">
        <v>249.75</v>
      </c>
      <c r="D7799" s="17">
        <v>41832</v>
      </c>
      <c r="E7799" t="s">
        <v>1794</v>
      </c>
    </row>
    <row r="7800" spans="3:5">
      <c r="C7800">
        <v>249.95000000000002</v>
      </c>
      <c r="D7800" s="17">
        <v>42608</v>
      </c>
      <c r="E7800" t="s">
        <v>173</v>
      </c>
    </row>
    <row r="7801" spans="3:5">
      <c r="C7801">
        <v>249.95000000000002</v>
      </c>
      <c r="D7801" s="17">
        <v>42632</v>
      </c>
      <c r="E7801" t="s">
        <v>303</v>
      </c>
    </row>
    <row r="7802" spans="3:5">
      <c r="C7802">
        <v>249.95000000000002</v>
      </c>
      <c r="D7802" s="17">
        <v>42716</v>
      </c>
      <c r="E7802" t="s">
        <v>1397</v>
      </c>
    </row>
    <row r="7803" spans="3:5">
      <c r="C7803">
        <v>250.26</v>
      </c>
      <c r="D7803" s="17">
        <v>41978</v>
      </c>
      <c r="E7803" t="s">
        <v>766</v>
      </c>
    </row>
    <row r="7804" spans="3:5">
      <c r="C7804">
        <v>250.27199999999999</v>
      </c>
      <c r="D7804" s="17">
        <v>42323</v>
      </c>
      <c r="E7804" t="s">
        <v>662</v>
      </c>
    </row>
    <row r="7805" spans="3:5">
      <c r="C7805">
        <v>251.00599999999997</v>
      </c>
      <c r="D7805" s="17">
        <v>43038</v>
      </c>
      <c r="E7805" t="s">
        <v>923</v>
      </c>
    </row>
    <row r="7806" spans="3:5">
      <c r="C7806">
        <v>251.52</v>
      </c>
      <c r="D7806" s="17">
        <v>42483</v>
      </c>
      <c r="E7806" t="s">
        <v>1585</v>
      </c>
    </row>
    <row r="7807" spans="3:5">
      <c r="C7807">
        <v>251.57999999999998</v>
      </c>
      <c r="D7807" s="17">
        <v>43034</v>
      </c>
      <c r="E7807" t="s">
        <v>1349</v>
      </c>
    </row>
    <row r="7808" spans="3:5">
      <c r="C7808">
        <v>251.64</v>
      </c>
      <c r="D7808" s="17">
        <v>42834</v>
      </c>
      <c r="E7808" t="s">
        <v>514</v>
      </c>
    </row>
    <row r="7809" spans="3:5">
      <c r="C7809">
        <v>251.64</v>
      </c>
      <c r="D7809" s="17">
        <v>43001</v>
      </c>
      <c r="E7809" t="s">
        <v>1082</v>
      </c>
    </row>
    <row r="7810" spans="3:5">
      <c r="C7810">
        <v>251.79000000000002</v>
      </c>
      <c r="D7810" s="17">
        <v>42675</v>
      </c>
      <c r="E7810" t="s">
        <v>144</v>
      </c>
    </row>
    <row r="7811" spans="3:5">
      <c r="C7811">
        <v>251.91</v>
      </c>
      <c r="D7811" s="17">
        <v>41943</v>
      </c>
      <c r="E7811" t="s">
        <v>344</v>
      </c>
    </row>
    <row r="7812" spans="3:5">
      <c r="C7812">
        <v>251.91</v>
      </c>
      <c r="D7812" s="17">
        <v>42239</v>
      </c>
      <c r="E7812" t="s">
        <v>344</v>
      </c>
    </row>
    <row r="7813" spans="3:5">
      <c r="C7813">
        <v>251.94400000000002</v>
      </c>
      <c r="D7813" s="17">
        <v>41728</v>
      </c>
      <c r="E7813" t="s">
        <v>798</v>
      </c>
    </row>
    <row r="7814" spans="3:5">
      <c r="C7814">
        <v>251.96399999999994</v>
      </c>
      <c r="D7814" s="17">
        <v>42003</v>
      </c>
      <c r="E7814" t="s">
        <v>1208</v>
      </c>
    </row>
    <row r="7815" spans="3:5">
      <c r="C7815">
        <v>252</v>
      </c>
      <c r="D7815" s="17">
        <v>42923</v>
      </c>
      <c r="E7815" t="s">
        <v>932</v>
      </c>
    </row>
    <row r="7816" spans="3:5">
      <c r="C7816">
        <v>252.00000000000003</v>
      </c>
      <c r="D7816" s="17">
        <v>41895</v>
      </c>
      <c r="E7816" t="s">
        <v>932</v>
      </c>
    </row>
    <row r="7817" spans="3:5">
      <c r="C7817">
        <v>252.78399999999996</v>
      </c>
      <c r="D7817" s="17">
        <v>42775</v>
      </c>
      <c r="E7817" t="s">
        <v>66</v>
      </c>
    </row>
    <row r="7818" spans="3:5">
      <c r="C7818">
        <v>252.8</v>
      </c>
      <c r="D7818" s="17">
        <v>42233</v>
      </c>
      <c r="E7818" t="s">
        <v>1358</v>
      </c>
    </row>
    <row r="7819" spans="3:5">
      <c r="C7819">
        <v>253.17599999999999</v>
      </c>
      <c r="D7819" s="17">
        <v>42302</v>
      </c>
      <c r="E7819" t="s">
        <v>150</v>
      </c>
    </row>
    <row r="7820" spans="3:5">
      <c r="C7820">
        <v>253.37199999999996</v>
      </c>
      <c r="D7820" s="17">
        <v>42558</v>
      </c>
      <c r="E7820" t="s">
        <v>302</v>
      </c>
    </row>
    <row r="7821" spans="3:5">
      <c r="C7821">
        <v>253.76399999999998</v>
      </c>
      <c r="D7821" s="17">
        <v>42575</v>
      </c>
      <c r="E7821" t="s">
        <v>1529</v>
      </c>
    </row>
    <row r="7822" spans="3:5">
      <c r="C7822">
        <v>254.05799999999999</v>
      </c>
      <c r="D7822" s="17">
        <v>43017</v>
      </c>
      <c r="E7822" t="s">
        <v>1308</v>
      </c>
    </row>
    <row r="7823" spans="3:5">
      <c r="C7823">
        <v>254.05800000000002</v>
      </c>
      <c r="D7823" s="17">
        <v>42722</v>
      </c>
      <c r="E7823" t="s">
        <v>813</v>
      </c>
    </row>
    <row r="7824" spans="3:5">
      <c r="C7824">
        <v>254.24</v>
      </c>
      <c r="D7824" s="17">
        <v>42729</v>
      </c>
      <c r="E7824" t="s">
        <v>724</v>
      </c>
    </row>
    <row r="7825" spans="3:5">
      <c r="C7825">
        <v>254.35200000000003</v>
      </c>
      <c r="D7825" s="17">
        <v>42232</v>
      </c>
      <c r="E7825" t="s">
        <v>578</v>
      </c>
    </row>
    <row r="7826" spans="3:5">
      <c r="C7826">
        <v>254.35200000000003</v>
      </c>
      <c r="D7826" s="17">
        <v>42546</v>
      </c>
      <c r="E7826" t="s">
        <v>1723</v>
      </c>
    </row>
    <row r="7827" spans="3:5">
      <c r="C7827">
        <v>254.35200000000003</v>
      </c>
      <c r="D7827" s="17">
        <v>42847</v>
      </c>
      <c r="E7827" t="s">
        <v>578</v>
      </c>
    </row>
    <row r="7828" spans="3:5">
      <c r="C7828">
        <v>254.52599999999998</v>
      </c>
      <c r="D7828" s="17">
        <v>42980</v>
      </c>
      <c r="E7828" t="s">
        <v>617</v>
      </c>
    </row>
    <row r="7829" spans="3:5">
      <c r="C7829">
        <v>254.60399999999998</v>
      </c>
      <c r="D7829" s="17">
        <v>43020</v>
      </c>
      <c r="E7829" t="s">
        <v>1310</v>
      </c>
    </row>
    <row r="7830" spans="3:5">
      <c r="C7830">
        <v>254.74400000000003</v>
      </c>
      <c r="D7830" s="17">
        <v>42021</v>
      </c>
      <c r="E7830" t="s">
        <v>1722</v>
      </c>
    </row>
    <row r="7831" spans="3:5">
      <c r="C7831">
        <v>254.89999999999998</v>
      </c>
      <c r="D7831" s="17">
        <v>41892</v>
      </c>
      <c r="E7831" t="s">
        <v>1848</v>
      </c>
    </row>
    <row r="7832" spans="3:5">
      <c r="C7832">
        <v>254.89999999999998</v>
      </c>
      <c r="D7832" s="17">
        <v>43074</v>
      </c>
      <c r="E7832" t="s">
        <v>648</v>
      </c>
    </row>
    <row r="7833" spans="3:5">
      <c r="C7833">
        <v>254.96999999999997</v>
      </c>
      <c r="D7833" s="17">
        <v>42384</v>
      </c>
      <c r="E7833" t="s">
        <v>764</v>
      </c>
    </row>
    <row r="7834" spans="3:5">
      <c r="C7834">
        <v>254.96999999999997</v>
      </c>
      <c r="D7834" s="17">
        <v>42603</v>
      </c>
      <c r="E7834" t="s">
        <v>764</v>
      </c>
    </row>
    <row r="7835" spans="3:5">
      <c r="C7835">
        <v>254.97449999999998</v>
      </c>
      <c r="D7835" s="17">
        <v>41985</v>
      </c>
      <c r="E7835" t="s">
        <v>639</v>
      </c>
    </row>
    <row r="7836" spans="3:5">
      <c r="C7836">
        <v>255.108</v>
      </c>
      <c r="D7836" s="17">
        <v>42692</v>
      </c>
      <c r="E7836" t="s">
        <v>1144</v>
      </c>
    </row>
    <row r="7837" spans="3:5">
      <c r="C7837">
        <v>255.42</v>
      </c>
      <c r="D7837" s="17">
        <v>41855</v>
      </c>
      <c r="E7837" t="s">
        <v>587</v>
      </c>
    </row>
    <row r="7838" spans="3:5">
      <c r="C7838">
        <v>255.68000000000004</v>
      </c>
      <c r="D7838" s="17">
        <v>42728</v>
      </c>
      <c r="E7838" t="s">
        <v>101</v>
      </c>
    </row>
    <row r="7839" spans="3:5">
      <c r="C7839">
        <v>255.76</v>
      </c>
      <c r="D7839" s="17">
        <v>42576</v>
      </c>
      <c r="E7839" t="s">
        <v>1229</v>
      </c>
    </row>
    <row r="7840" spans="3:5">
      <c r="C7840">
        <v>255.84999999999997</v>
      </c>
      <c r="D7840" s="17">
        <v>41922</v>
      </c>
      <c r="E7840" t="s">
        <v>251</v>
      </c>
    </row>
    <row r="7841" spans="3:5">
      <c r="C7841">
        <v>255.93600000000004</v>
      </c>
      <c r="D7841" s="17">
        <v>41832</v>
      </c>
      <c r="E7841" t="s">
        <v>1039</v>
      </c>
    </row>
    <row r="7842" spans="3:5">
      <c r="C7842">
        <v>255.96799999999999</v>
      </c>
      <c r="D7842" s="17">
        <v>42140</v>
      </c>
      <c r="E7842" t="s">
        <v>221</v>
      </c>
    </row>
    <row r="7843" spans="3:5">
      <c r="C7843">
        <v>255.96799999999999</v>
      </c>
      <c r="D7843" s="17">
        <v>42358</v>
      </c>
      <c r="E7843" t="s">
        <v>654</v>
      </c>
    </row>
    <row r="7844" spans="3:5">
      <c r="C7844">
        <v>255.96799999999999</v>
      </c>
      <c r="D7844" s="17">
        <v>43073</v>
      </c>
      <c r="E7844" t="s">
        <v>170</v>
      </c>
    </row>
    <row r="7845" spans="3:5">
      <c r="C7845">
        <v>255.98400000000004</v>
      </c>
      <c r="D7845" s="17">
        <v>42694</v>
      </c>
      <c r="E7845" t="s">
        <v>1194</v>
      </c>
    </row>
    <row r="7846" spans="3:5">
      <c r="C7846">
        <v>256.78400000000005</v>
      </c>
      <c r="D7846" s="17">
        <v>41769</v>
      </c>
      <c r="E7846" t="s">
        <v>1180</v>
      </c>
    </row>
    <row r="7847" spans="3:5">
      <c r="C7847">
        <v>257.49900000000002</v>
      </c>
      <c r="D7847" s="17">
        <v>42477</v>
      </c>
      <c r="E7847" t="s">
        <v>538</v>
      </c>
    </row>
    <row r="7848" spans="3:5">
      <c r="C7848">
        <v>257.56799999999998</v>
      </c>
      <c r="D7848" s="17">
        <v>42820</v>
      </c>
      <c r="E7848" t="s">
        <v>438</v>
      </c>
    </row>
    <row r="7849" spans="3:5">
      <c r="C7849">
        <v>257.64</v>
      </c>
      <c r="D7849" s="17">
        <v>42175</v>
      </c>
      <c r="E7849" t="s">
        <v>271</v>
      </c>
    </row>
    <row r="7850" spans="3:5">
      <c r="C7850">
        <v>257.94</v>
      </c>
      <c r="D7850" s="17">
        <v>43065</v>
      </c>
      <c r="E7850" t="s">
        <v>272</v>
      </c>
    </row>
    <row r="7851" spans="3:5">
      <c r="C7851">
        <v>257.98</v>
      </c>
      <c r="D7851" s="17">
        <v>41940</v>
      </c>
      <c r="E7851" t="s">
        <v>325</v>
      </c>
    </row>
    <row r="7852" spans="3:5">
      <c r="C7852">
        <v>257.98</v>
      </c>
      <c r="D7852" s="17">
        <v>42512</v>
      </c>
      <c r="E7852" t="s">
        <v>325</v>
      </c>
    </row>
    <row r="7853" spans="3:5">
      <c r="C7853">
        <v>257.98</v>
      </c>
      <c r="D7853" s="17">
        <v>42685</v>
      </c>
      <c r="E7853" t="s">
        <v>325</v>
      </c>
    </row>
    <row r="7854" spans="3:5">
      <c r="C7854">
        <v>257.98</v>
      </c>
      <c r="D7854" s="17">
        <v>42925</v>
      </c>
      <c r="E7854" t="s">
        <v>325</v>
      </c>
    </row>
    <row r="7855" spans="3:5">
      <c r="C7855">
        <v>258.072</v>
      </c>
      <c r="D7855" s="17">
        <v>42832</v>
      </c>
      <c r="E7855" t="s">
        <v>233</v>
      </c>
    </row>
    <row r="7856" spans="3:5">
      <c r="C7856">
        <v>258.279</v>
      </c>
      <c r="D7856" s="17">
        <v>41915</v>
      </c>
      <c r="E7856" t="s">
        <v>281</v>
      </c>
    </row>
    <row r="7857" spans="3:5">
      <c r="C7857">
        <v>258.48</v>
      </c>
      <c r="D7857" s="17">
        <v>42987</v>
      </c>
      <c r="E7857" t="s">
        <v>1068</v>
      </c>
    </row>
    <row r="7858" spans="3:5">
      <c r="C7858">
        <v>258.52799999999996</v>
      </c>
      <c r="D7858" s="17">
        <v>42986</v>
      </c>
      <c r="E7858" t="s">
        <v>711</v>
      </c>
    </row>
    <row r="7859" spans="3:5">
      <c r="C7859">
        <v>258.57600000000002</v>
      </c>
      <c r="D7859" s="17">
        <v>42107</v>
      </c>
      <c r="E7859" t="s">
        <v>289</v>
      </c>
    </row>
    <row r="7860" spans="3:5">
      <c r="C7860">
        <v>258.57600000000002</v>
      </c>
      <c r="D7860" s="17">
        <v>42792</v>
      </c>
      <c r="E7860" t="s">
        <v>289</v>
      </c>
    </row>
    <row r="7861" spans="3:5">
      <c r="C7861">
        <v>258.69600000000003</v>
      </c>
      <c r="D7861" s="17">
        <v>42484</v>
      </c>
      <c r="E7861" t="s">
        <v>1163</v>
      </c>
    </row>
    <row r="7862" spans="3:5">
      <c r="C7862">
        <v>258.69600000000003</v>
      </c>
      <c r="D7862" s="17">
        <v>42987</v>
      </c>
      <c r="E7862" t="s">
        <v>1163</v>
      </c>
    </row>
    <row r="7863" spans="3:5">
      <c r="C7863">
        <v>258.75</v>
      </c>
      <c r="D7863" s="17">
        <v>43098</v>
      </c>
      <c r="E7863" t="s">
        <v>660</v>
      </c>
    </row>
    <row r="7864" spans="3:5">
      <c r="C7864">
        <v>258.89999999999998</v>
      </c>
      <c r="D7864" s="17">
        <v>42919</v>
      </c>
      <c r="E7864" t="s">
        <v>581</v>
      </c>
    </row>
    <row r="7865" spans="3:5">
      <c r="C7865">
        <v>259.13600000000002</v>
      </c>
      <c r="D7865" s="17">
        <v>41838</v>
      </c>
      <c r="E7865" t="s">
        <v>1190</v>
      </c>
    </row>
    <row r="7866" spans="3:5">
      <c r="C7866">
        <v>259.13600000000002</v>
      </c>
      <c r="D7866" s="17">
        <v>43031</v>
      </c>
      <c r="E7866" t="s">
        <v>1346</v>
      </c>
    </row>
    <row r="7867" spans="3:5">
      <c r="C7867">
        <v>259.13600000000002</v>
      </c>
      <c r="D7867" s="17">
        <v>43045</v>
      </c>
      <c r="E7867" t="s">
        <v>131</v>
      </c>
    </row>
    <row r="7868" spans="3:5">
      <c r="C7868">
        <v>259.7</v>
      </c>
      <c r="D7868" s="17">
        <v>42309</v>
      </c>
      <c r="E7868" t="s">
        <v>1624</v>
      </c>
    </row>
    <row r="7869" spans="3:5">
      <c r="C7869">
        <v>259.74</v>
      </c>
      <c r="D7869" s="17">
        <v>41855</v>
      </c>
      <c r="E7869" t="s">
        <v>973</v>
      </c>
    </row>
    <row r="7870" spans="3:5">
      <c r="C7870">
        <v>259.89600000000002</v>
      </c>
      <c r="D7870" s="17">
        <v>42596</v>
      </c>
      <c r="E7870" t="s">
        <v>1176</v>
      </c>
    </row>
    <row r="7871" spans="3:5">
      <c r="C7871">
        <v>259.89600000000002</v>
      </c>
      <c r="D7871" s="17">
        <v>42988</v>
      </c>
      <c r="E7871" t="s">
        <v>1176</v>
      </c>
    </row>
    <row r="7872" spans="3:5">
      <c r="C7872">
        <v>259.92000000000007</v>
      </c>
      <c r="D7872" s="17">
        <v>42941</v>
      </c>
      <c r="E7872" t="s">
        <v>1008</v>
      </c>
    </row>
    <row r="7873" spans="3:5">
      <c r="C7873">
        <v>259.95999999999998</v>
      </c>
      <c r="D7873" s="17">
        <v>42463</v>
      </c>
      <c r="E7873" t="s">
        <v>895</v>
      </c>
    </row>
    <row r="7874" spans="3:5">
      <c r="C7874">
        <v>259.98</v>
      </c>
      <c r="D7874" s="17">
        <v>42335</v>
      </c>
      <c r="E7874" t="s">
        <v>986</v>
      </c>
    </row>
    <row r="7875" spans="3:5">
      <c r="C7875">
        <v>261.74</v>
      </c>
      <c r="D7875" s="17">
        <v>42621</v>
      </c>
      <c r="E7875" t="s">
        <v>1217</v>
      </c>
    </row>
    <row r="7876" spans="3:5">
      <c r="C7876">
        <v>261.74</v>
      </c>
      <c r="D7876" s="17">
        <v>42995</v>
      </c>
      <c r="E7876" t="s">
        <v>1217</v>
      </c>
    </row>
    <row r="7877" spans="3:5">
      <c r="C7877">
        <v>261.95999999999998</v>
      </c>
      <c r="D7877" s="17">
        <v>42682</v>
      </c>
      <c r="E7877" t="s">
        <v>619</v>
      </c>
    </row>
    <row r="7878" spans="3:5">
      <c r="C7878">
        <v>261.95999999999998</v>
      </c>
      <c r="D7878" s="17">
        <v>42869</v>
      </c>
      <c r="E7878" t="s">
        <v>695</v>
      </c>
    </row>
    <row r="7879" spans="3:5">
      <c r="C7879">
        <v>262.11</v>
      </c>
      <c r="D7879" s="17">
        <v>43029</v>
      </c>
      <c r="E7879" t="s">
        <v>1088</v>
      </c>
    </row>
    <row r="7880" spans="3:5">
      <c r="C7880">
        <v>262.24</v>
      </c>
      <c r="D7880" s="17">
        <v>42518</v>
      </c>
      <c r="E7880" t="s">
        <v>318</v>
      </c>
    </row>
    <row r="7881" spans="3:5">
      <c r="C7881">
        <v>262.24</v>
      </c>
      <c r="D7881" s="17">
        <v>42799</v>
      </c>
      <c r="E7881" t="s">
        <v>318</v>
      </c>
    </row>
    <row r="7882" spans="3:5">
      <c r="C7882">
        <v>262.33600000000001</v>
      </c>
      <c r="D7882" s="17">
        <v>41954</v>
      </c>
      <c r="E7882" t="s">
        <v>210</v>
      </c>
    </row>
    <row r="7883" spans="3:5">
      <c r="C7883">
        <v>262.86399999999998</v>
      </c>
      <c r="D7883" s="17">
        <v>42353</v>
      </c>
      <c r="E7883" t="s">
        <v>1432</v>
      </c>
    </row>
    <row r="7884" spans="3:5">
      <c r="C7884">
        <v>263.88</v>
      </c>
      <c r="D7884" s="17">
        <v>42292</v>
      </c>
      <c r="E7884" t="s">
        <v>790</v>
      </c>
    </row>
    <row r="7885" spans="3:5">
      <c r="C7885">
        <v>263.88</v>
      </c>
      <c r="D7885" s="17">
        <v>42461</v>
      </c>
      <c r="E7885" t="s">
        <v>731</v>
      </c>
    </row>
    <row r="7886" spans="3:5">
      <c r="C7886">
        <v>263.95999999999998</v>
      </c>
      <c r="D7886" s="17">
        <v>41987</v>
      </c>
      <c r="E7886" t="s">
        <v>279</v>
      </c>
    </row>
    <row r="7887" spans="3:5">
      <c r="C7887">
        <v>263.95999999999998</v>
      </c>
      <c r="D7887" s="17">
        <v>42289</v>
      </c>
      <c r="E7887" t="s">
        <v>1161</v>
      </c>
    </row>
    <row r="7888" spans="3:5">
      <c r="C7888">
        <v>263.95999999999998</v>
      </c>
      <c r="D7888" s="17">
        <v>42316</v>
      </c>
      <c r="E7888" t="s">
        <v>955</v>
      </c>
    </row>
    <row r="7889" spans="3:5">
      <c r="C7889">
        <v>263.95999999999998</v>
      </c>
      <c r="D7889" s="17">
        <v>42681</v>
      </c>
      <c r="E7889" t="s">
        <v>1473</v>
      </c>
    </row>
    <row r="7890" spans="3:5">
      <c r="C7890">
        <v>263.96000000000004</v>
      </c>
      <c r="D7890" s="17">
        <v>41815</v>
      </c>
      <c r="E7890" t="s">
        <v>1203</v>
      </c>
    </row>
    <row r="7891" spans="3:5">
      <c r="C7891">
        <v>263.96000000000004</v>
      </c>
      <c r="D7891" s="17">
        <v>42273</v>
      </c>
      <c r="E7891" t="s">
        <v>1161</v>
      </c>
    </row>
    <row r="7892" spans="3:5">
      <c r="C7892">
        <v>264.18</v>
      </c>
      <c r="D7892" s="17">
        <v>42414</v>
      </c>
      <c r="E7892" t="s">
        <v>1666</v>
      </c>
    </row>
    <row r="7893" spans="3:5">
      <c r="C7893">
        <v>264.32</v>
      </c>
      <c r="D7893" s="17">
        <v>41887</v>
      </c>
      <c r="E7893" t="s">
        <v>1023</v>
      </c>
    </row>
    <row r="7894" spans="3:5">
      <c r="C7894">
        <v>264.32</v>
      </c>
      <c r="D7894" s="17">
        <v>43093</v>
      </c>
      <c r="E7894" t="s">
        <v>1023</v>
      </c>
    </row>
    <row r="7895" spans="3:5">
      <c r="C7895">
        <v>265.17</v>
      </c>
      <c r="D7895" s="17">
        <v>42568</v>
      </c>
      <c r="E7895" t="s">
        <v>568</v>
      </c>
    </row>
    <row r="7896" spans="3:5">
      <c r="C7896">
        <v>265.47500000000002</v>
      </c>
      <c r="D7896" s="17">
        <v>42574</v>
      </c>
      <c r="E7896" t="s">
        <v>1727</v>
      </c>
    </row>
    <row r="7897" spans="3:5">
      <c r="C7897">
        <v>265.85999999999996</v>
      </c>
      <c r="D7897" s="17">
        <v>42258</v>
      </c>
      <c r="E7897" t="s">
        <v>1006</v>
      </c>
    </row>
    <row r="7898" spans="3:5">
      <c r="C7898">
        <v>265.85999999999996</v>
      </c>
      <c r="D7898" s="17">
        <v>42316</v>
      </c>
      <c r="E7898" t="s">
        <v>1006</v>
      </c>
    </row>
    <row r="7899" spans="3:5">
      <c r="C7899">
        <v>265.93</v>
      </c>
      <c r="D7899" s="17">
        <v>42814</v>
      </c>
      <c r="E7899" t="s">
        <v>405</v>
      </c>
    </row>
    <row r="7900" spans="3:5">
      <c r="C7900">
        <v>266.35200000000003</v>
      </c>
      <c r="D7900" s="17">
        <v>42211</v>
      </c>
      <c r="E7900" t="s">
        <v>52</v>
      </c>
    </row>
    <row r="7901" spans="3:5">
      <c r="C7901">
        <v>266.35200000000003</v>
      </c>
      <c r="D7901" s="17">
        <v>42538</v>
      </c>
      <c r="E7901" t="s">
        <v>1521</v>
      </c>
    </row>
    <row r="7902" spans="3:5">
      <c r="C7902">
        <v>266.35200000000003</v>
      </c>
      <c r="D7902" s="17">
        <v>43083</v>
      </c>
      <c r="E7902" t="s">
        <v>1521</v>
      </c>
    </row>
    <row r="7903" spans="3:5">
      <c r="C7903">
        <v>267.95999999999998</v>
      </c>
      <c r="D7903" s="17">
        <v>41964</v>
      </c>
      <c r="E7903" t="s">
        <v>126</v>
      </c>
    </row>
    <row r="7904" spans="3:5">
      <c r="C7904">
        <v>268.24</v>
      </c>
      <c r="D7904" s="17">
        <v>43056</v>
      </c>
      <c r="E7904" t="s">
        <v>1431</v>
      </c>
    </row>
    <row r="7905" spans="3:5">
      <c r="C7905">
        <v>268.57600000000002</v>
      </c>
      <c r="D7905" s="17">
        <v>42756</v>
      </c>
      <c r="E7905" t="s">
        <v>144</v>
      </c>
    </row>
    <row r="7906" spans="3:5">
      <c r="C7906">
        <v>268.70400000000001</v>
      </c>
      <c r="D7906" s="17">
        <v>42707</v>
      </c>
      <c r="E7906" t="s">
        <v>1604</v>
      </c>
    </row>
    <row r="7907" spans="3:5">
      <c r="C7907">
        <v>268.935</v>
      </c>
      <c r="D7907" s="17">
        <v>41797</v>
      </c>
      <c r="E7907" t="s">
        <v>923</v>
      </c>
    </row>
    <row r="7908" spans="3:5">
      <c r="C7908">
        <v>269.35999999999996</v>
      </c>
      <c r="D7908" s="17">
        <v>41980</v>
      </c>
      <c r="E7908" t="s">
        <v>1496</v>
      </c>
    </row>
    <row r="7909" spans="3:5">
      <c r="C7909">
        <v>269.49</v>
      </c>
      <c r="D7909" s="17">
        <v>42261</v>
      </c>
      <c r="E7909" t="s">
        <v>417</v>
      </c>
    </row>
    <row r="7910" spans="3:5">
      <c r="C7910">
        <v>269.49</v>
      </c>
      <c r="D7910" s="17">
        <v>43069</v>
      </c>
      <c r="E7910" t="s">
        <v>417</v>
      </c>
    </row>
    <row r="7911" spans="3:5">
      <c r="C7911">
        <v>269.89999999999998</v>
      </c>
      <c r="D7911" s="17">
        <v>41926</v>
      </c>
      <c r="E7911" t="s">
        <v>1742</v>
      </c>
    </row>
    <row r="7912" spans="3:5">
      <c r="C7912">
        <v>269.90999999999997</v>
      </c>
      <c r="D7912" s="17">
        <v>42286</v>
      </c>
      <c r="E7912" t="s">
        <v>968</v>
      </c>
    </row>
    <row r="7913" spans="3:5">
      <c r="C7913">
        <v>269.96999999999997</v>
      </c>
      <c r="D7913" s="17">
        <v>43003</v>
      </c>
      <c r="E7913" t="s">
        <v>1127</v>
      </c>
    </row>
    <row r="7914" spans="3:5">
      <c r="C7914">
        <v>269.97000000000003</v>
      </c>
      <c r="D7914" s="17">
        <v>42729</v>
      </c>
      <c r="E7914" t="s">
        <v>1567</v>
      </c>
    </row>
    <row r="7915" spans="3:5">
      <c r="C7915">
        <v>269.98</v>
      </c>
      <c r="D7915" s="17">
        <v>42184</v>
      </c>
      <c r="E7915" t="s">
        <v>1078</v>
      </c>
    </row>
    <row r="7916" spans="3:5">
      <c r="C7916">
        <v>269.98</v>
      </c>
      <c r="D7916" s="17">
        <v>42933</v>
      </c>
      <c r="E7916" t="s">
        <v>972</v>
      </c>
    </row>
    <row r="7917" spans="3:5">
      <c r="C7917">
        <v>269.98199999999997</v>
      </c>
      <c r="D7917" s="17">
        <v>42194</v>
      </c>
      <c r="E7917" t="s">
        <v>128</v>
      </c>
    </row>
    <row r="7918" spans="3:5">
      <c r="C7918">
        <v>270</v>
      </c>
      <c r="D7918" s="17">
        <v>42296</v>
      </c>
      <c r="E7918" t="s">
        <v>488</v>
      </c>
    </row>
    <row r="7919" spans="3:5">
      <c r="C7919">
        <v>270.33999999999997</v>
      </c>
      <c r="D7919" s="17">
        <v>42279</v>
      </c>
      <c r="E7919" t="s">
        <v>1206</v>
      </c>
    </row>
    <row r="7920" spans="3:5">
      <c r="C7920">
        <v>270.62</v>
      </c>
      <c r="D7920" s="17">
        <v>43094</v>
      </c>
      <c r="E7920" t="s">
        <v>784</v>
      </c>
    </row>
    <row r="7921" spans="3:5">
      <c r="C7921">
        <v>270.71999999999997</v>
      </c>
      <c r="D7921" s="17">
        <v>41754</v>
      </c>
      <c r="E7921" t="s">
        <v>1857</v>
      </c>
    </row>
    <row r="7922" spans="3:5">
      <c r="C7922">
        <v>271.44</v>
      </c>
      <c r="D7922" s="17">
        <v>42342</v>
      </c>
      <c r="E7922" t="s">
        <v>680</v>
      </c>
    </row>
    <row r="7923" spans="3:5">
      <c r="C7923">
        <v>271.44</v>
      </c>
      <c r="D7923" s="17">
        <v>42368</v>
      </c>
      <c r="E7923" t="s">
        <v>680</v>
      </c>
    </row>
    <row r="7924" spans="3:5">
      <c r="C7924">
        <v>271.76400000000001</v>
      </c>
      <c r="D7924" s="17">
        <v>42253</v>
      </c>
      <c r="E7924" t="s">
        <v>429</v>
      </c>
    </row>
    <row r="7925" spans="3:5">
      <c r="C7925">
        <v>271.76400000000001</v>
      </c>
      <c r="D7925" s="17">
        <v>42818</v>
      </c>
      <c r="E7925" t="s">
        <v>429</v>
      </c>
    </row>
    <row r="7926" spans="3:5">
      <c r="C7926">
        <v>271.76400000000001</v>
      </c>
      <c r="D7926" s="17">
        <v>43093</v>
      </c>
      <c r="E7926" t="s">
        <v>565</v>
      </c>
    </row>
    <row r="7927" spans="3:5">
      <c r="C7927">
        <v>271.89999999999998</v>
      </c>
      <c r="D7927" s="17">
        <v>41974</v>
      </c>
      <c r="E7927" t="s">
        <v>1738</v>
      </c>
    </row>
    <row r="7928" spans="3:5">
      <c r="C7928">
        <v>271.95999999999998</v>
      </c>
      <c r="D7928" s="17">
        <v>42710</v>
      </c>
      <c r="E7928" t="s">
        <v>570</v>
      </c>
    </row>
    <row r="7929" spans="3:5">
      <c r="C7929">
        <v>271.95999999999998</v>
      </c>
      <c r="D7929" s="17">
        <v>42937</v>
      </c>
      <c r="E7929" t="s">
        <v>892</v>
      </c>
    </row>
    <row r="7930" spans="3:5">
      <c r="C7930">
        <v>271.95999999999998</v>
      </c>
      <c r="D7930" s="17">
        <v>42948</v>
      </c>
      <c r="E7930" t="s">
        <v>892</v>
      </c>
    </row>
    <row r="7931" spans="3:5">
      <c r="C7931">
        <v>271.96800000000002</v>
      </c>
      <c r="D7931" s="17">
        <v>42883</v>
      </c>
      <c r="E7931" t="s">
        <v>764</v>
      </c>
    </row>
    <row r="7932" spans="3:5">
      <c r="C7932">
        <v>271.98400000000004</v>
      </c>
      <c r="D7932" s="17">
        <v>42633</v>
      </c>
      <c r="E7932" t="s">
        <v>917</v>
      </c>
    </row>
    <row r="7933" spans="3:5">
      <c r="C7933">
        <v>271.99200000000002</v>
      </c>
      <c r="D7933" s="17">
        <v>42701</v>
      </c>
      <c r="E7933" t="s">
        <v>1378</v>
      </c>
    </row>
    <row r="7934" spans="3:5">
      <c r="C7934">
        <v>272.048</v>
      </c>
      <c r="D7934" s="17">
        <v>42960</v>
      </c>
      <c r="E7934" t="s">
        <v>653</v>
      </c>
    </row>
    <row r="7935" spans="3:5">
      <c r="C7935">
        <v>272.39999999999998</v>
      </c>
      <c r="D7935" s="17">
        <v>42119</v>
      </c>
      <c r="E7935" t="s">
        <v>402</v>
      </c>
    </row>
    <row r="7936" spans="3:5">
      <c r="C7936">
        <v>272.61</v>
      </c>
      <c r="D7936" s="17">
        <v>41863</v>
      </c>
      <c r="E7936" t="s">
        <v>1870</v>
      </c>
    </row>
    <row r="7937" spans="3:5">
      <c r="C7937">
        <v>272.64600000000002</v>
      </c>
      <c r="D7937" s="17">
        <v>42998</v>
      </c>
      <c r="E7937" t="s">
        <v>1237</v>
      </c>
    </row>
    <row r="7938" spans="3:5">
      <c r="C7938">
        <v>272.73599999999999</v>
      </c>
      <c r="D7938" s="17">
        <v>41643</v>
      </c>
      <c r="E7938" t="s">
        <v>50</v>
      </c>
    </row>
    <row r="7939" spans="3:5">
      <c r="C7939">
        <v>272.73599999999999</v>
      </c>
      <c r="D7939" s="17">
        <v>42199</v>
      </c>
      <c r="E7939" t="s">
        <v>50</v>
      </c>
    </row>
    <row r="7940" spans="3:5">
      <c r="C7940">
        <v>272.84800000000001</v>
      </c>
      <c r="D7940" s="17">
        <v>41841</v>
      </c>
      <c r="E7940" t="s">
        <v>1877</v>
      </c>
    </row>
    <row r="7941" spans="3:5">
      <c r="C7941">
        <v>272.94</v>
      </c>
      <c r="D7941" s="17">
        <v>41659</v>
      </c>
      <c r="E7941" t="s">
        <v>1722</v>
      </c>
    </row>
    <row r="7942" spans="3:5">
      <c r="C7942">
        <v>272.94</v>
      </c>
      <c r="D7942" s="17">
        <v>42582</v>
      </c>
      <c r="E7942" t="s">
        <v>1722</v>
      </c>
    </row>
    <row r="7943" spans="3:5">
      <c r="C7943">
        <v>272.94</v>
      </c>
      <c r="D7943" s="17">
        <v>42912</v>
      </c>
      <c r="E7943" t="s">
        <v>596</v>
      </c>
    </row>
    <row r="7944" spans="3:5">
      <c r="C7944">
        <v>272.94</v>
      </c>
      <c r="D7944" s="17">
        <v>43077</v>
      </c>
      <c r="E7944" t="s">
        <v>596</v>
      </c>
    </row>
    <row r="7945" spans="3:5">
      <c r="C7945">
        <v>272.96999999999997</v>
      </c>
      <c r="D7945" s="17">
        <v>43046</v>
      </c>
      <c r="E7945" t="s">
        <v>434</v>
      </c>
    </row>
    <row r="7946" spans="3:5">
      <c r="C7946">
        <v>273.06</v>
      </c>
      <c r="D7946" s="17">
        <v>43094</v>
      </c>
      <c r="E7946" t="s">
        <v>1546</v>
      </c>
    </row>
    <row r="7947" spans="3:5">
      <c r="C7947">
        <v>273.55200000000002</v>
      </c>
      <c r="D7947" s="17">
        <v>42912</v>
      </c>
      <c r="E7947" t="s">
        <v>896</v>
      </c>
    </row>
    <row r="7948" spans="3:5">
      <c r="C7948">
        <v>273.56799999999998</v>
      </c>
      <c r="D7948" s="17">
        <v>41948</v>
      </c>
      <c r="E7948" t="s">
        <v>1399</v>
      </c>
    </row>
    <row r="7949" spans="3:5">
      <c r="C7949">
        <v>273.56799999999998</v>
      </c>
      <c r="D7949" s="17">
        <v>42352</v>
      </c>
      <c r="E7949" t="s">
        <v>1442</v>
      </c>
    </row>
    <row r="7950" spans="3:5">
      <c r="C7950">
        <v>273.666</v>
      </c>
      <c r="D7950" s="17">
        <v>42629</v>
      </c>
      <c r="E7950" t="s">
        <v>438</v>
      </c>
    </row>
    <row r="7951" spans="3:5">
      <c r="C7951">
        <v>273.89600000000002</v>
      </c>
      <c r="D7951" s="17">
        <v>42919</v>
      </c>
      <c r="E7951" t="s">
        <v>505</v>
      </c>
    </row>
    <row r="7952" spans="3:5">
      <c r="C7952">
        <v>273.92</v>
      </c>
      <c r="D7952" s="17">
        <v>42713</v>
      </c>
      <c r="E7952" t="s">
        <v>628</v>
      </c>
    </row>
    <row r="7953" spans="3:5">
      <c r="C7953">
        <v>273.95999999999998</v>
      </c>
      <c r="D7953" s="17">
        <v>41959</v>
      </c>
      <c r="E7953" t="s">
        <v>252</v>
      </c>
    </row>
    <row r="7954" spans="3:5">
      <c r="C7954">
        <v>273.95999999999998</v>
      </c>
      <c r="D7954" s="17">
        <v>42679</v>
      </c>
      <c r="E7954" t="s">
        <v>507</v>
      </c>
    </row>
    <row r="7955" spans="3:5">
      <c r="C7955">
        <v>273.95999999999998</v>
      </c>
      <c r="D7955" s="17">
        <v>42833</v>
      </c>
      <c r="E7955" t="s">
        <v>507</v>
      </c>
    </row>
    <row r="7956" spans="3:5">
      <c r="C7956">
        <v>274.06400000000002</v>
      </c>
      <c r="D7956" s="17">
        <v>42814</v>
      </c>
      <c r="E7956" t="s">
        <v>199</v>
      </c>
    </row>
    <row r="7957" spans="3:5">
      <c r="C7957">
        <v>274.20000000000005</v>
      </c>
      <c r="D7957" s="17">
        <v>43047</v>
      </c>
      <c r="E7957" t="s">
        <v>340</v>
      </c>
    </row>
    <row r="7958" spans="3:5">
      <c r="C7958">
        <v>274.49100000000004</v>
      </c>
      <c r="D7958" s="17">
        <v>42744</v>
      </c>
      <c r="E7958" t="s">
        <v>76</v>
      </c>
    </row>
    <row r="7959" spans="3:5">
      <c r="C7959">
        <v>274.77</v>
      </c>
      <c r="D7959" s="17">
        <v>42002</v>
      </c>
      <c r="E7959" t="s">
        <v>1590</v>
      </c>
    </row>
    <row r="7960" spans="3:5">
      <c r="C7960">
        <v>274.8</v>
      </c>
      <c r="D7960" s="17">
        <v>42155</v>
      </c>
      <c r="E7960" t="s">
        <v>1724</v>
      </c>
    </row>
    <row r="7961" spans="3:5">
      <c r="C7961">
        <v>274.8</v>
      </c>
      <c r="D7961" s="17">
        <v>42925</v>
      </c>
      <c r="E7961" t="s">
        <v>947</v>
      </c>
    </row>
    <row r="7962" spans="3:5">
      <c r="C7962">
        <v>274.89</v>
      </c>
      <c r="D7962" s="17">
        <v>42842</v>
      </c>
      <c r="E7962" t="s">
        <v>559</v>
      </c>
    </row>
    <row r="7963" spans="3:5">
      <c r="C7963">
        <v>275.05799999999999</v>
      </c>
      <c r="D7963" s="17">
        <v>42364</v>
      </c>
      <c r="E7963" t="s">
        <v>192</v>
      </c>
    </row>
    <row r="7964" spans="3:5">
      <c r="C7964">
        <v>275.24</v>
      </c>
      <c r="D7964" s="17">
        <v>42549</v>
      </c>
      <c r="E7964" t="s">
        <v>1022</v>
      </c>
    </row>
    <row r="7965" spans="3:5">
      <c r="C7965">
        <v>275.49</v>
      </c>
      <c r="D7965" s="17">
        <v>41979</v>
      </c>
      <c r="E7965" t="s">
        <v>1665</v>
      </c>
    </row>
    <row r="7966" spans="3:5">
      <c r="C7966">
        <v>275.88</v>
      </c>
      <c r="D7966" s="17">
        <v>42363</v>
      </c>
      <c r="E7966" t="s">
        <v>288</v>
      </c>
    </row>
    <row r="7967" spans="3:5">
      <c r="C7967">
        <v>275.928</v>
      </c>
      <c r="D7967" s="17">
        <v>41890</v>
      </c>
      <c r="E7967" t="s">
        <v>1302</v>
      </c>
    </row>
    <row r="7968" spans="3:5">
      <c r="C7968">
        <v>275.94</v>
      </c>
      <c r="D7968" s="17">
        <v>41947</v>
      </c>
      <c r="E7968" t="s">
        <v>1167</v>
      </c>
    </row>
    <row r="7969" spans="3:5">
      <c r="C7969">
        <v>275.952</v>
      </c>
      <c r="D7969" s="17">
        <v>41968</v>
      </c>
      <c r="E7969" t="s">
        <v>1448</v>
      </c>
    </row>
    <row r="7970" spans="3:5">
      <c r="C7970">
        <v>275.96999999999997</v>
      </c>
      <c r="D7970" s="17">
        <v>41930</v>
      </c>
      <c r="E7970" t="s">
        <v>1147</v>
      </c>
    </row>
    <row r="7971" spans="3:5">
      <c r="C7971">
        <v>276.27999999999997</v>
      </c>
      <c r="D7971" s="17">
        <v>41847</v>
      </c>
      <c r="E7971" t="s">
        <v>704</v>
      </c>
    </row>
    <row r="7972" spans="3:5">
      <c r="C7972">
        <v>276.69</v>
      </c>
      <c r="D7972" s="17">
        <v>42910</v>
      </c>
      <c r="E7972" t="s">
        <v>231</v>
      </c>
    </row>
    <row r="7973" spans="3:5">
      <c r="C7973">
        <v>276.69</v>
      </c>
      <c r="D7973" s="17">
        <v>42930</v>
      </c>
      <c r="E7973" t="s">
        <v>231</v>
      </c>
    </row>
    <row r="7974" spans="3:5">
      <c r="C7974">
        <v>276.78400000000005</v>
      </c>
      <c r="D7974" s="17">
        <v>42601</v>
      </c>
      <c r="E7974" t="s">
        <v>159</v>
      </c>
    </row>
    <row r="7975" spans="3:5">
      <c r="C7975">
        <v>276.78400000000005</v>
      </c>
      <c r="D7975" s="17">
        <v>42623</v>
      </c>
      <c r="E7975" t="s">
        <v>159</v>
      </c>
    </row>
    <row r="7976" spans="3:5">
      <c r="C7976">
        <v>276.78400000000005</v>
      </c>
      <c r="D7976" s="17">
        <v>42681</v>
      </c>
      <c r="E7976" t="s">
        <v>159</v>
      </c>
    </row>
    <row r="7977" spans="3:5">
      <c r="C7977">
        <v>276.78400000000005</v>
      </c>
      <c r="D7977" s="17">
        <v>42759</v>
      </c>
      <c r="E7977" t="s">
        <v>159</v>
      </c>
    </row>
    <row r="7978" spans="3:5">
      <c r="C7978">
        <v>277.39999999999998</v>
      </c>
      <c r="D7978" s="17">
        <v>42815</v>
      </c>
      <c r="E7978" t="s">
        <v>407</v>
      </c>
    </row>
    <row r="7979" spans="3:5">
      <c r="C7979">
        <v>277.39999999999998</v>
      </c>
      <c r="D7979" s="17">
        <v>42968</v>
      </c>
      <c r="E7979" t="s">
        <v>425</v>
      </c>
    </row>
    <row r="7980" spans="3:5">
      <c r="C7980">
        <v>277.5</v>
      </c>
      <c r="D7980" s="17">
        <v>42218</v>
      </c>
      <c r="E7980" t="s">
        <v>193</v>
      </c>
    </row>
    <row r="7981" spans="3:5">
      <c r="C7981">
        <v>278.39999999999998</v>
      </c>
      <c r="D7981" s="17">
        <v>42618</v>
      </c>
      <c r="E7981" t="s">
        <v>215</v>
      </c>
    </row>
    <row r="7982" spans="3:5">
      <c r="C7982">
        <v>278.82</v>
      </c>
      <c r="D7982" s="17">
        <v>42257</v>
      </c>
      <c r="E7982" t="s">
        <v>1500</v>
      </c>
    </row>
    <row r="7983" spans="3:5">
      <c r="C7983">
        <v>279.45600000000002</v>
      </c>
      <c r="D7983" s="17">
        <v>41772</v>
      </c>
      <c r="E7983" t="s">
        <v>1544</v>
      </c>
    </row>
    <row r="7984" spans="3:5">
      <c r="C7984">
        <v>279.85999999999996</v>
      </c>
      <c r="D7984" s="17">
        <v>42209</v>
      </c>
      <c r="E7984" t="s">
        <v>1389</v>
      </c>
    </row>
    <row r="7985" spans="3:5">
      <c r="C7985">
        <v>279.85999999999996</v>
      </c>
      <c r="D7985" s="17">
        <v>42266</v>
      </c>
      <c r="E7985" t="s">
        <v>1419</v>
      </c>
    </row>
    <row r="7986" spans="3:5">
      <c r="C7986">
        <v>279.89999999999998</v>
      </c>
      <c r="D7986" s="17">
        <v>42251</v>
      </c>
      <c r="E7986" t="s">
        <v>285</v>
      </c>
    </row>
    <row r="7987" spans="3:5">
      <c r="C7987">
        <v>279.89999999999998</v>
      </c>
      <c r="D7987" s="17">
        <v>42763</v>
      </c>
      <c r="E7987" t="s">
        <v>172</v>
      </c>
    </row>
    <row r="7988" spans="3:5">
      <c r="C7988">
        <v>279.89999999999998</v>
      </c>
      <c r="D7988" s="17">
        <v>43089</v>
      </c>
      <c r="E7988" t="s">
        <v>285</v>
      </c>
    </row>
    <row r="7989" spans="3:5">
      <c r="C7989">
        <v>279.94400000000002</v>
      </c>
      <c r="D7989" s="17">
        <v>42684</v>
      </c>
      <c r="E7989" t="s">
        <v>455</v>
      </c>
    </row>
    <row r="7990" spans="3:5">
      <c r="C7990">
        <v>279.94400000000002</v>
      </c>
      <c r="D7990" s="17">
        <v>42985</v>
      </c>
      <c r="E7990" t="s">
        <v>303</v>
      </c>
    </row>
    <row r="7991" spans="3:5">
      <c r="C7991">
        <v>279.95</v>
      </c>
      <c r="D7991" s="17">
        <v>42617</v>
      </c>
      <c r="E7991" t="s">
        <v>1123</v>
      </c>
    </row>
    <row r="7992" spans="3:5">
      <c r="C7992">
        <v>279.95999999999998</v>
      </c>
      <c r="D7992" s="17">
        <v>41969</v>
      </c>
      <c r="E7992" t="s">
        <v>1208</v>
      </c>
    </row>
    <row r="7993" spans="3:5">
      <c r="C7993">
        <v>279.95999999999998</v>
      </c>
      <c r="D7993" s="17">
        <v>42596</v>
      </c>
      <c r="E7993" t="s">
        <v>1623</v>
      </c>
    </row>
    <row r="7994" spans="3:5">
      <c r="C7994">
        <v>279.95999999999998</v>
      </c>
      <c r="D7994" s="17">
        <v>42896</v>
      </c>
      <c r="E7994" t="s">
        <v>91</v>
      </c>
    </row>
    <row r="7995" spans="3:5">
      <c r="C7995">
        <v>280.78200000000004</v>
      </c>
      <c r="D7995" s="17">
        <v>42460</v>
      </c>
      <c r="E7995" t="s">
        <v>246</v>
      </c>
    </row>
    <row r="7996" spans="3:5">
      <c r="C7996">
        <v>280.78200000000004</v>
      </c>
      <c r="D7996" s="17">
        <v>42616</v>
      </c>
      <c r="E7996" t="s">
        <v>1019</v>
      </c>
    </row>
    <row r="7997" spans="3:5">
      <c r="C7997">
        <v>280.79200000000003</v>
      </c>
      <c r="D7997" s="17">
        <v>42897</v>
      </c>
      <c r="E7997" t="s">
        <v>826</v>
      </c>
    </row>
    <row r="7998" spans="3:5">
      <c r="C7998">
        <v>281.34000000000003</v>
      </c>
      <c r="D7998" s="17">
        <v>42874</v>
      </c>
      <c r="E7998" t="s">
        <v>376</v>
      </c>
    </row>
    <row r="7999" spans="3:5">
      <c r="C7999">
        <v>281.37199999999996</v>
      </c>
      <c r="D7999" s="17">
        <v>41752</v>
      </c>
      <c r="E7999" t="s">
        <v>1420</v>
      </c>
    </row>
    <row r="8000" spans="3:5">
      <c r="C8000">
        <v>281.37199999999996</v>
      </c>
      <c r="D8000" s="17">
        <v>41752</v>
      </c>
      <c r="E8000" t="s">
        <v>1420</v>
      </c>
    </row>
    <row r="8001" spans="3:5">
      <c r="C8001">
        <v>281.42400000000004</v>
      </c>
      <c r="D8001" s="17">
        <v>41825</v>
      </c>
      <c r="E8001" t="s">
        <v>269</v>
      </c>
    </row>
    <row r="8002" spans="3:5">
      <c r="C8002">
        <v>281.904</v>
      </c>
      <c r="D8002" s="17">
        <v>41923</v>
      </c>
      <c r="E8002" t="s">
        <v>733</v>
      </c>
    </row>
    <row r="8003" spans="3:5">
      <c r="C8003">
        <v>281.96999999999997</v>
      </c>
      <c r="D8003" s="17">
        <v>41962</v>
      </c>
      <c r="E8003" t="s">
        <v>1536</v>
      </c>
    </row>
    <row r="8004" spans="3:5">
      <c r="C8004">
        <v>281.96999999999997</v>
      </c>
      <c r="D8004" s="17">
        <v>43090</v>
      </c>
      <c r="E8004" t="s">
        <v>1536</v>
      </c>
    </row>
    <row r="8005" spans="3:5">
      <c r="C8005">
        <v>282.83999999999997</v>
      </c>
      <c r="D8005" s="17">
        <v>42506</v>
      </c>
      <c r="E8005" t="s">
        <v>51</v>
      </c>
    </row>
    <row r="8006" spans="3:5">
      <c r="C8006">
        <v>282.88800000000003</v>
      </c>
      <c r="D8006" s="17">
        <v>42188</v>
      </c>
      <c r="E8006" t="s">
        <v>542</v>
      </c>
    </row>
    <row r="8007" spans="3:5">
      <c r="C8007">
        <v>283.14000000000004</v>
      </c>
      <c r="D8007" s="17">
        <v>42582</v>
      </c>
      <c r="E8007" t="s">
        <v>1114</v>
      </c>
    </row>
    <row r="8008" spans="3:5">
      <c r="C8008">
        <v>283.56</v>
      </c>
      <c r="D8008" s="17">
        <v>42979</v>
      </c>
      <c r="E8008" t="s">
        <v>1115</v>
      </c>
    </row>
    <row r="8009" spans="3:5">
      <c r="C8009">
        <v>283.92</v>
      </c>
      <c r="D8009" s="17">
        <v>42041</v>
      </c>
      <c r="E8009" t="s">
        <v>906</v>
      </c>
    </row>
    <row r="8010" spans="3:5">
      <c r="C8010">
        <v>283.92</v>
      </c>
      <c r="D8010" s="17">
        <v>42335</v>
      </c>
      <c r="E8010" t="s">
        <v>721</v>
      </c>
    </row>
    <row r="8011" spans="3:5">
      <c r="C8011">
        <v>283.92</v>
      </c>
      <c r="D8011" s="17">
        <v>42345</v>
      </c>
      <c r="E8011" t="s">
        <v>721</v>
      </c>
    </row>
    <row r="8012" spans="3:5">
      <c r="C8012">
        <v>283.92</v>
      </c>
      <c r="D8012" s="17">
        <v>43059</v>
      </c>
      <c r="E8012" t="s">
        <v>1446</v>
      </c>
    </row>
    <row r="8013" spans="3:5">
      <c r="C8013">
        <v>284.08000000000004</v>
      </c>
      <c r="D8013" s="17">
        <v>42569</v>
      </c>
      <c r="E8013" t="s">
        <v>912</v>
      </c>
    </row>
    <row r="8014" spans="3:5">
      <c r="C8014">
        <v>284.36399999999998</v>
      </c>
      <c r="D8014" s="17">
        <v>42240</v>
      </c>
      <c r="E8014" t="s">
        <v>1079</v>
      </c>
    </row>
    <row r="8015" spans="3:5">
      <c r="C8015">
        <v>284.36399999999998</v>
      </c>
      <c r="D8015" s="17">
        <v>43028</v>
      </c>
      <c r="E8015" t="s">
        <v>1079</v>
      </c>
    </row>
    <row r="8016" spans="3:5">
      <c r="C8016">
        <v>284.82</v>
      </c>
      <c r="D8016" s="17">
        <v>41811</v>
      </c>
      <c r="E8016" t="s">
        <v>1155</v>
      </c>
    </row>
    <row r="8017" spans="3:5">
      <c r="C8017">
        <v>284.96999999999997</v>
      </c>
      <c r="D8017" s="17">
        <v>42981</v>
      </c>
      <c r="E8017" t="s">
        <v>1130</v>
      </c>
    </row>
    <row r="8018" spans="3:5">
      <c r="C8018">
        <v>285.48</v>
      </c>
      <c r="D8018" s="17">
        <v>42867</v>
      </c>
      <c r="E8018" t="s">
        <v>112</v>
      </c>
    </row>
    <row r="8019" spans="3:5">
      <c r="C8019">
        <v>285.55200000000002</v>
      </c>
      <c r="D8019" s="17">
        <v>42769</v>
      </c>
      <c r="E8019" t="s">
        <v>207</v>
      </c>
    </row>
    <row r="8020" spans="3:5">
      <c r="C8020">
        <v>285.57599999999996</v>
      </c>
      <c r="D8020" s="17">
        <v>42947</v>
      </c>
      <c r="E8020" t="s">
        <v>1027</v>
      </c>
    </row>
    <row r="8021" spans="3:5">
      <c r="C8021">
        <v>286.14999999999998</v>
      </c>
      <c r="D8021" s="17">
        <v>42835</v>
      </c>
      <c r="E8021" t="s">
        <v>522</v>
      </c>
    </row>
    <row r="8022" spans="3:5">
      <c r="C8022">
        <v>286.25600000000003</v>
      </c>
      <c r="D8022" s="17">
        <v>42638</v>
      </c>
      <c r="E8022" t="s">
        <v>1441</v>
      </c>
    </row>
    <row r="8023" spans="3:5">
      <c r="C8023">
        <v>286.29000000000002</v>
      </c>
      <c r="D8023" s="17">
        <v>42988</v>
      </c>
      <c r="E8023" t="s">
        <v>624</v>
      </c>
    </row>
    <row r="8024" spans="3:5">
      <c r="C8024">
        <v>286.34400000000005</v>
      </c>
      <c r="D8024" s="17">
        <v>41946</v>
      </c>
      <c r="E8024" t="s">
        <v>548</v>
      </c>
    </row>
    <row r="8025" spans="3:5">
      <c r="C8025">
        <v>286.38</v>
      </c>
      <c r="D8025" s="17">
        <v>42727</v>
      </c>
      <c r="E8025" t="s">
        <v>759</v>
      </c>
    </row>
    <row r="8026" spans="3:5">
      <c r="C8026">
        <v>286.40000000000003</v>
      </c>
      <c r="D8026" s="17">
        <v>42518</v>
      </c>
      <c r="E8026" t="s">
        <v>117</v>
      </c>
    </row>
    <row r="8027" spans="3:5">
      <c r="C8027">
        <v>286.78999999999996</v>
      </c>
      <c r="D8027" s="17">
        <v>42055</v>
      </c>
      <c r="E8027" t="s">
        <v>1484</v>
      </c>
    </row>
    <row r="8028" spans="3:5">
      <c r="C8028">
        <v>286.85000000000002</v>
      </c>
      <c r="D8028" s="17">
        <v>42864</v>
      </c>
      <c r="E8028" t="s">
        <v>663</v>
      </c>
    </row>
    <row r="8029" spans="3:5">
      <c r="C8029">
        <v>286.85999999999996</v>
      </c>
      <c r="D8029" s="17">
        <v>43071</v>
      </c>
      <c r="E8029" t="s">
        <v>1488</v>
      </c>
    </row>
    <row r="8030" spans="3:5">
      <c r="C8030">
        <v>286.93</v>
      </c>
      <c r="D8030" s="17">
        <v>42800</v>
      </c>
      <c r="E8030" t="s">
        <v>210</v>
      </c>
    </row>
    <row r="8031" spans="3:5">
      <c r="C8031">
        <v>286.93</v>
      </c>
      <c r="D8031" s="17">
        <v>42874</v>
      </c>
      <c r="E8031" t="s">
        <v>720</v>
      </c>
    </row>
    <row r="8032" spans="3:5">
      <c r="C8032">
        <v>287.52</v>
      </c>
      <c r="D8032" s="17">
        <v>42686</v>
      </c>
      <c r="E8032" t="s">
        <v>1349</v>
      </c>
    </row>
    <row r="8033" spans="3:5">
      <c r="C8033">
        <v>287.88</v>
      </c>
      <c r="D8033" s="17">
        <v>42368</v>
      </c>
      <c r="E8033" t="s">
        <v>493</v>
      </c>
    </row>
    <row r="8034" spans="3:5">
      <c r="C8034">
        <v>287.88</v>
      </c>
      <c r="D8034" s="17">
        <v>42727</v>
      </c>
      <c r="E8034" t="s">
        <v>493</v>
      </c>
    </row>
    <row r="8035" spans="3:5">
      <c r="C8035">
        <v>287.90999999999997</v>
      </c>
      <c r="D8035" s="17">
        <v>42315</v>
      </c>
      <c r="E8035" t="s">
        <v>1780</v>
      </c>
    </row>
    <row r="8036" spans="3:5">
      <c r="C8036">
        <v>287.90999999999997</v>
      </c>
      <c r="D8036" s="17">
        <v>42432</v>
      </c>
      <c r="E8036" t="s">
        <v>1780</v>
      </c>
    </row>
    <row r="8037" spans="3:5">
      <c r="C8037">
        <v>287.92</v>
      </c>
      <c r="D8037" s="17">
        <v>43062</v>
      </c>
      <c r="E8037" t="s">
        <v>553</v>
      </c>
    </row>
    <row r="8038" spans="3:5">
      <c r="C8038">
        <v>287.94</v>
      </c>
      <c r="D8038" s="17">
        <v>42290</v>
      </c>
      <c r="E8038" t="s">
        <v>884</v>
      </c>
    </row>
    <row r="8039" spans="3:5">
      <c r="C8039">
        <v>287.96800000000002</v>
      </c>
      <c r="D8039" s="17">
        <v>41747</v>
      </c>
      <c r="E8039" t="s">
        <v>1830</v>
      </c>
    </row>
    <row r="8040" spans="3:5">
      <c r="C8040">
        <v>287.96800000000002</v>
      </c>
      <c r="D8040" s="17">
        <v>42558</v>
      </c>
      <c r="E8040" t="s">
        <v>1127</v>
      </c>
    </row>
    <row r="8041" spans="3:5">
      <c r="C8041">
        <v>287.96999999999997</v>
      </c>
      <c r="D8041" s="17">
        <v>41896</v>
      </c>
      <c r="E8041" t="s">
        <v>255</v>
      </c>
    </row>
    <row r="8042" spans="3:5">
      <c r="C8042">
        <v>287.96999999999997</v>
      </c>
      <c r="D8042" s="17">
        <v>42114</v>
      </c>
      <c r="E8042" t="s">
        <v>393</v>
      </c>
    </row>
    <row r="8043" spans="3:5">
      <c r="C8043">
        <v>287.96999999999997</v>
      </c>
      <c r="D8043" s="17">
        <v>42919</v>
      </c>
      <c r="E8043" t="s">
        <v>393</v>
      </c>
    </row>
    <row r="8044" spans="3:5">
      <c r="C8044">
        <v>287.976</v>
      </c>
      <c r="D8044" s="17">
        <v>43082</v>
      </c>
      <c r="E8044" t="s">
        <v>216</v>
      </c>
    </row>
    <row r="8045" spans="3:5">
      <c r="C8045">
        <v>288</v>
      </c>
      <c r="D8045" s="17">
        <v>42282</v>
      </c>
      <c r="E8045" t="s">
        <v>488</v>
      </c>
    </row>
    <row r="8046" spans="3:5">
      <c r="C8046">
        <v>288.24</v>
      </c>
      <c r="D8046" s="17">
        <v>42807</v>
      </c>
      <c r="E8046" t="s">
        <v>358</v>
      </c>
    </row>
    <row r="8047" spans="3:5">
      <c r="C8047">
        <v>289.20000000000005</v>
      </c>
      <c r="D8047" s="17">
        <v>41791</v>
      </c>
      <c r="E8047" t="s">
        <v>882</v>
      </c>
    </row>
    <row r="8048" spans="3:5">
      <c r="C8048">
        <v>289.24</v>
      </c>
      <c r="D8048" s="17">
        <v>41870</v>
      </c>
      <c r="E8048" t="s">
        <v>1032</v>
      </c>
    </row>
    <row r="8049" spans="3:5">
      <c r="C8049">
        <v>289.56799999999998</v>
      </c>
      <c r="D8049" s="17">
        <v>42694</v>
      </c>
      <c r="E8049" t="s">
        <v>719</v>
      </c>
    </row>
    <row r="8050" spans="3:5">
      <c r="C8050">
        <v>289.80000000000007</v>
      </c>
      <c r="D8050" s="17">
        <v>42196</v>
      </c>
      <c r="E8050" t="s">
        <v>308</v>
      </c>
    </row>
    <row r="8051" spans="3:5">
      <c r="C8051">
        <v>290.33600000000001</v>
      </c>
      <c r="D8051" s="17">
        <v>43014</v>
      </c>
      <c r="E8051" t="s">
        <v>409</v>
      </c>
    </row>
    <row r="8052" spans="3:5">
      <c r="C8052">
        <v>290.35200000000003</v>
      </c>
      <c r="D8052" s="17">
        <v>42328</v>
      </c>
      <c r="E8052" t="s">
        <v>547</v>
      </c>
    </row>
    <row r="8053" spans="3:5">
      <c r="C8053">
        <v>290.666</v>
      </c>
      <c r="D8053" s="17">
        <v>41670</v>
      </c>
      <c r="E8053" t="s">
        <v>916</v>
      </c>
    </row>
    <row r="8054" spans="3:5">
      <c r="C8054">
        <v>290.666</v>
      </c>
      <c r="D8054" s="17">
        <v>41785</v>
      </c>
      <c r="E8054" t="s">
        <v>1752</v>
      </c>
    </row>
    <row r="8055" spans="3:5">
      <c r="C8055">
        <v>290.89800000000002</v>
      </c>
      <c r="D8055" s="17">
        <v>42612</v>
      </c>
      <c r="E8055" t="s">
        <v>289</v>
      </c>
    </row>
    <row r="8056" spans="3:5">
      <c r="C8056">
        <v>290.98</v>
      </c>
      <c r="D8056" s="17">
        <v>42670</v>
      </c>
      <c r="E8056" t="s">
        <v>849</v>
      </c>
    </row>
    <row r="8057" spans="3:5">
      <c r="C8057">
        <v>291.10000000000002</v>
      </c>
      <c r="D8057" s="17">
        <v>42302</v>
      </c>
      <c r="E8057" t="s">
        <v>1544</v>
      </c>
    </row>
    <row r="8058" spans="3:5">
      <c r="C8058">
        <v>291.13600000000002</v>
      </c>
      <c r="D8058" s="17">
        <v>42899</v>
      </c>
      <c r="E8058" t="s">
        <v>485</v>
      </c>
    </row>
    <row r="8059" spans="3:5">
      <c r="C8059">
        <v>291.16800000000001</v>
      </c>
      <c r="D8059" s="17">
        <v>42282</v>
      </c>
      <c r="E8059" t="s">
        <v>434</v>
      </c>
    </row>
    <row r="8060" spans="3:5">
      <c r="C8060">
        <v>291.95999999999998</v>
      </c>
      <c r="D8060" s="17">
        <v>42475</v>
      </c>
      <c r="E8060" t="s">
        <v>643</v>
      </c>
    </row>
    <row r="8061" spans="3:5">
      <c r="C8061">
        <v>291.95999999999998</v>
      </c>
      <c r="D8061" s="17">
        <v>43001</v>
      </c>
      <c r="E8061" t="s">
        <v>643</v>
      </c>
    </row>
    <row r="8062" spans="3:5">
      <c r="C8062">
        <v>292.10000000000002</v>
      </c>
      <c r="D8062" s="17">
        <v>41961</v>
      </c>
      <c r="E8062" t="s">
        <v>452</v>
      </c>
    </row>
    <row r="8063" spans="3:5">
      <c r="C8063">
        <v>292.10000000000002</v>
      </c>
      <c r="D8063" s="17">
        <v>42821</v>
      </c>
      <c r="E8063" t="s">
        <v>452</v>
      </c>
    </row>
    <row r="8064" spans="3:5">
      <c r="C8064">
        <v>292.27200000000005</v>
      </c>
      <c r="D8064" s="17">
        <v>41997</v>
      </c>
      <c r="E8064" t="s">
        <v>1013</v>
      </c>
    </row>
    <row r="8065" spans="3:5">
      <c r="C8065">
        <v>293.19900000000001</v>
      </c>
      <c r="D8065" s="17">
        <v>42252</v>
      </c>
      <c r="E8065" t="s">
        <v>1448</v>
      </c>
    </row>
    <row r="8066" spans="3:5">
      <c r="C8066">
        <v>293.52</v>
      </c>
      <c r="D8066" s="17">
        <v>42275</v>
      </c>
      <c r="E8066" t="s">
        <v>1056</v>
      </c>
    </row>
    <row r="8067" spans="3:5">
      <c r="C8067">
        <v>294.36799999999999</v>
      </c>
      <c r="D8067" s="17">
        <v>42267</v>
      </c>
      <c r="E8067" t="s">
        <v>1147</v>
      </c>
    </row>
    <row r="8068" spans="3:5">
      <c r="C8068">
        <v>294.61999999999995</v>
      </c>
      <c r="D8068" s="17">
        <v>43071</v>
      </c>
      <c r="E8068" t="s">
        <v>1045</v>
      </c>
    </row>
    <row r="8069" spans="3:5">
      <c r="C8069">
        <v>294.93</v>
      </c>
      <c r="D8069" s="17">
        <v>42188</v>
      </c>
      <c r="E8069" t="s">
        <v>940</v>
      </c>
    </row>
    <row r="8070" spans="3:5">
      <c r="C8070">
        <v>295.05599999999998</v>
      </c>
      <c r="D8070" s="17">
        <v>42993</v>
      </c>
      <c r="E8070" t="s">
        <v>348</v>
      </c>
    </row>
    <row r="8071" spans="3:5">
      <c r="C8071">
        <v>295.39999999999998</v>
      </c>
      <c r="D8071" s="17">
        <v>42630</v>
      </c>
      <c r="E8071" t="s">
        <v>1040</v>
      </c>
    </row>
    <row r="8072" spans="3:5">
      <c r="C8072">
        <v>295.45600000000002</v>
      </c>
      <c r="D8072" s="17">
        <v>42084</v>
      </c>
      <c r="E8072" t="s">
        <v>320</v>
      </c>
    </row>
    <row r="8073" spans="3:5">
      <c r="C8073">
        <v>296.37</v>
      </c>
      <c r="D8073" s="17">
        <v>42421</v>
      </c>
      <c r="E8073" t="s">
        <v>1085</v>
      </c>
    </row>
    <row r="8074" spans="3:5">
      <c r="C8074">
        <v>296.37</v>
      </c>
      <c r="D8074" s="17">
        <v>42719</v>
      </c>
      <c r="E8074" t="s">
        <v>1085</v>
      </c>
    </row>
    <row r="8075" spans="3:5">
      <c r="C8075">
        <v>296.71200000000005</v>
      </c>
      <c r="D8075" s="17">
        <v>41995</v>
      </c>
      <c r="E8075" t="s">
        <v>1287</v>
      </c>
    </row>
    <row r="8076" spans="3:5">
      <c r="C8076">
        <v>296.84999999999997</v>
      </c>
      <c r="D8076" s="17">
        <v>42988</v>
      </c>
      <c r="E8076" t="s">
        <v>1168</v>
      </c>
    </row>
    <row r="8077" spans="3:5">
      <c r="C8077">
        <v>297.55</v>
      </c>
      <c r="D8077" s="17">
        <v>42576</v>
      </c>
      <c r="E8077" t="s">
        <v>495</v>
      </c>
    </row>
    <row r="8078" spans="3:5">
      <c r="C8078">
        <v>297.57600000000002</v>
      </c>
      <c r="D8078" s="17">
        <v>42698</v>
      </c>
      <c r="E8078" t="s">
        <v>140</v>
      </c>
    </row>
    <row r="8079" spans="3:5">
      <c r="C8079">
        <v>298.11599999999999</v>
      </c>
      <c r="D8079" s="17">
        <v>42941</v>
      </c>
      <c r="E8079" t="s">
        <v>1009</v>
      </c>
    </row>
    <row r="8080" spans="3:5">
      <c r="C8080">
        <v>298.464</v>
      </c>
      <c r="D8080" s="17">
        <v>42926</v>
      </c>
      <c r="E8080" t="s">
        <v>137</v>
      </c>
    </row>
    <row r="8081" spans="3:5">
      <c r="C8081">
        <v>298.77600000000001</v>
      </c>
      <c r="D8081" s="17">
        <v>42495</v>
      </c>
      <c r="E8081" t="s">
        <v>627</v>
      </c>
    </row>
    <row r="8082" spans="3:5">
      <c r="C8082">
        <v>299.52</v>
      </c>
      <c r="D8082" s="17">
        <v>42868</v>
      </c>
      <c r="E8082" t="s">
        <v>683</v>
      </c>
    </row>
    <row r="8083" spans="3:5">
      <c r="C8083">
        <v>299.89999999999998</v>
      </c>
      <c r="D8083" s="17">
        <v>42307</v>
      </c>
      <c r="E8083" t="s">
        <v>367</v>
      </c>
    </row>
    <row r="8084" spans="3:5">
      <c r="C8084">
        <v>299.89999999999998</v>
      </c>
      <c r="D8084" s="17">
        <v>42807</v>
      </c>
      <c r="E8084" t="s">
        <v>367</v>
      </c>
    </row>
    <row r="8085" spans="3:5">
      <c r="C8085">
        <v>299.94</v>
      </c>
      <c r="D8085" s="17">
        <v>42350</v>
      </c>
      <c r="E8085" t="s">
        <v>303</v>
      </c>
    </row>
    <row r="8086" spans="3:5">
      <c r="C8086">
        <v>299.95999999999998</v>
      </c>
      <c r="D8086" s="17">
        <v>43064</v>
      </c>
      <c r="E8086" t="s">
        <v>655</v>
      </c>
    </row>
    <row r="8087" spans="3:5">
      <c r="C8087">
        <v>299.96999999999997</v>
      </c>
      <c r="D8087" s="17">
        <v>41735</v>
      </c>
      <c r="E8087" t="s">
        <v>665</v>
      </c>
    </row>
    <row r="8088" spans="3:5">
      <c r="C8088">
        <v>299.96999999999997</v>
      </c>
      <c r="D8088" s="17">
        <v>42321</v>
      </c>
      <c r="E8088" t="s">
        <v>639</v>
      </c>
    </row>
    <row r="8089" spans="3:5">
      <c r="C8089">
        <v>299.96999999999997</v>
      </c>
      <c r="D8089" s="17">
        <v>42799</v>
      </c>
      <c r="E8089" t="s">
        <v>317</v>
      </c>
    </row>
    <row r="8090" spans="3:5">
      <c r="C8090">
        <v>299.96999999999997</v>
      </c>
      <c r="D8090" s="17">
        <v>42874</v>
      </c>
      <c r="E8090" t="s">
        <v>717</v>
      </c>
    </row>
    <row r="8091" spans="3:5">
      <c r="C8091">
        <v>299.97499999999997</v>
      </c>
      <c r="D8091" s="17">
        <v>42458</v>
      </c>
      <c r="E8091" t="s">
        <v>216</v>
      </c>
    </row>
    <row r="8092" spans="3:5">
      <c r="C8092">
        <v>299.98</v>
      </c>
      <c r="D8092" s="17">
        <v>41859</v>
      </c>
      <c r="E8092" t="s">
        <v>1865</v>
      </c>
    </row>
    <row r="8093" spans="3:5">
      <c r="C8093">
        <v>299.98</v>
      </c>
      <c r="D8093" s="17">
        <v>42156</v>
      </c>
      <c r="E8093" t="s">
        <v>1688</v>
      </c>
    </row>
    <row r="8094" spans="3:5">
      <c r="C8094">
        <v>299.99</v>
      </c>
      <c r="D8094" s="17">
        <v>42959</v>
      </c>
      <c r="E8094" t="s">
        <v>336</v>
      </c>
    </row>
    <row r="8095" spans="3:5">
      <c r="C8095">
        <v>300.416</v>
      </c>
      <c r="D8095" s="17">
        <v>41999</v>
      </c>
      <c r="E8095" t="s">
        <v>1432</v>
      </c>
    </row>
    <row r="8096" spans="3:5">
      <c r="C8096">
        <v>300.53279999999995</v>
      </c>
      <c r="D8096" s="17">
        <v>41907</v>
      </c>
      <c r="E8096" t="s">
        <v>1741</v>
      </c>
    </row>
    <row r="8097" spans="3:5">
      <c r="C8097">
        <v>300.76799999999997</v>
      </c>
      <c r="D8097" s="17">
        <v>42715</v>
      </c>
      <c r="E8097" t="s">
        <v>1536</v>
      </c>
    </row>
    <row r="8098" spans="3:5">
      <c r="C8098">
        <v>300.904</v>
      </c>
      <c r="D8098" s="17">
        <v>42859</v>
      </c>
      <c r="E8098" t="s">
        <v>498</v>
      </c>
    </row>
    <row r="8099" spans="3:5">
      <c r="C8099">
        <v>300.904</v>
      </c>
      <c r="D8099" s="17">
        <v>42993</v>
      </c>
      <c r="E8099" t="s">
        <v>498</v>
      </c>
    </row>
    <row r="8100" spans="3:5">
      <c r="C8100">
        <v>300.93</v>
      </c>
      <c r="D8100" s="17">
        <v>42623</v>
      </c>
      <c r="E8100" t="s">
        <v>272</v>
      </c>
    </row>
    <row r="8101" spans="3:5">
      <c r="C8101">
        <v>300.98</v>
      </c>
      <c r="D8101" s="17">
        <v>43098</v>
      </c>
      <c r="E8101" t="s">
        <v>228</v>
      </c>
    </row>
    <row r="8102" spans="3:5">
      <c r="C8102">
        <v>301.46999999999997</v>
      </c>
      <c r="D8102" s="17">
        <v>42232</v>
      </c>
      <c r="E8102" t="s">
        <v>910</v>
      </c>
    </row>
    <row r="8103" spans="3:5">
      <c r="C8103">
        <v>301.46999999999997</v>
      </c>
      <c r="D8103" s="17">
        <v>42453</v>
      </c>
      <c r="E8103" t="s">
        <v>1773</v>
      </c>
    </row>
    <row r="8104" spans="3:5">
      <c r="C8104">
        <v>301.95999999999998</v>
      </c>
      <c r="D8104" s="17">
        <v>42191</v>
      </c>
      <c r="E8104" t="s">
        <v>468</v>
      </c>
    </row>
    <row r="8105" spans="3:5">
      <c r="C8105">
        <v>301.95999999999998</v>
      </c>
      <c r="D8105" s="17">
        <v>42309</v>
      </c>
      <c r="E8105" t="s">
        <v>832</v>
      </c>
    </row>
    <row r="8106" spans="3:5">
      <c r="C8106">
        <v>301.95999999999998</v>
      </c>
      <c r="D8106" s="17">
        <v>42337</v>
      </c>
      <c r="E8106" t="s">
        <v>1563</v>
      </c>
    </row>
    <row r="8107" spans="3:5">
      <c r="C8107">
        <v>301.95999999999998</v>
      </c>
      <c r="D8107" s="17">
        <v>42692</v>
      </c>
      <c r="E8107" t="s">
        <v>191</v>
      </c>
    </row>
    <row r="8108" spans="3:5">
      <c r="C8108">
        <v>301.95999999999998</v>
      </c>
      <c r="D8108" s="17">
        <v>42883</v>
      </c>
      <c r="E8108" t="s">
        <v>191</v>
      </c>
    </row>
    <row r="8109" spans="3:5">
      <c r="C8109">
        <v>301.95999999999998</v>
      </c>
      <c r="D8109" s="17">
        <v>42902</v>
      </c>
      <c r="E8109" t="s">
        <v>429</v>
      </c>
    </row>
    <row r="8110" spans="3:5">
      <c r="C8110">
        <v>302.37599999999998</v>
      </c>
      <c r="D8110" s="17">
        <v>41726</v>
      </c>
      <c r="E8110" t="s">
        <v>1584</v>
      </c>
    </row>
    <row r="8111" spans="3:5">
      <c r="C8111">
        <v>302.37599999999998</v>
      </c>
      <c r="D8111" s="17">
        <v>41754</v>
      </c>
      <c r="E8111" t="s">
        <v>1487</v>
      </c>
    </row>
    <row r="8112" spans="3:5">
      <c r="C8112">
        <v>302.37599999999998</v>
      </c>
      <c r="D8112" s="17">
        <v>41843</v>
      </c>
      <c r="E8112" t="s">
        <v>1487</v>
      </c>
    </row>
    <row r="8113" spans="3:5">
      <c r="C8113">
        <v>302.37599999999998</v>
      </c>
      <c r="D8113" s="17">
        <v>42671</v>
      </c>
      <c r="E8113" t="s">
        <v>1398</v>
      </c>
    </row>
    <row r="8114" spans="3:5">
      <c r="C8114">
        <v>302.37599999999998</v>
      </c>
      <c r="D8114" s="17">
        <v>42715</v>
      </c>
      <c r="E8114" t="s">
        <v>1584</v>
      </c>
    </row>
    <row r="8115" spans="3:5">
      <c r="C8115">
        <v>302.37599999999998</v>
      </c>
      <c r="D8115" s="17">
        <v>42735</v>
      </c>
      <c r="E8115" t="s">
        <v>1398</v>
      </c>
    </row>
    <row r="8116" spans="3:5">
      <c r="C8116">
        <v>302.37599999999998</v>
      </c>
      <c r="D8116" s="17">
        <v>42882</v>
      </c>
      <c r="E8116" t="s">
        <v>718</v>
      </c>
    </row>
    <row r="8117" spans="3:5">
      <c r="C8117">
        <v>302.37599999999998</v>
      </c>
      <c r="D8117" s="17">
        <v>43098</v>
      </c>
      <c r="E8117" t="s">
        <v>1398</v>
      </c>
    </row>
    <row r="8118" spans="3:5">
      <c r="C8118">
        <v>302.38400000000001</v>
      </c>
      <c r="D8118" s="17">
        <v>42586</v>
      </c>
      <c r="E8118" t="s">
        <v>197</v>
      </c>
    </row>
    <row r="8119" spans="3:5">
      <c r="C8119">
        <v>302.38400000000001</v>
      </c>
      <c r="D8119" s="17">
        <v>42730</v>
      </c>
      <c r="E8119" t="s">
        <v>197</v>
      </c>
    </row>
    <row r="8120" spans="3:5">
      <c r="C8120">
        <v>302.45</v>
      </c>
      <c r="D8120" s="17">
        <v>41701</v>
      </c>
      <c r="E8120" t="s">
        <v>586</v>
      </c>
    </row>
    <row r="8121" spans="3:5">
      <c r="C8121">
        <v>302.67</v>
      </c>
      <c r="D8121" s="17">
        <v>42751</v>
      </c>
      <c r="E8121" t="s">
        <v>114</v>
      </c>
    </row>
    <row r="8122" spans="3:5">
      <c r="C8122">
        <v>302.67</v>
      </c>
      <c r="D8122" s="17">
        <v>42945</v>
      </c>
      <c r="E8122" t="s">
        <v>114</v>
      </c>
    </row>
    <row r="8123" spans="3:5">
      <c r="C8123">
        <v>302.72000000000003</v>
      </c>
      <c r="D8123" s="17">
        <v>42579</v>
      </c>
      <c r="E8123" t="s">
        <v>1611</v>
      </c>
    </row>
    <row r="8124" spans="3:5">
      <c r="C8124">
        <v>302.94</v>
      </c>
      <c r="D8124" s="17">
        <v>42355</v>
      </c>
      <c r="E8124" t="s">
        <v>1237</v>
      </c>
    </row>
    <row r="8125" spans="3:5">
      <c r="C8125">
        <v>302.94</v>
      </c>
      <c r="D8125" s="17">
        <v>42873</v>
      </c>
      <c r="E8125" t="s">
        <v>708</v>
      </c>
    </row>
    <row r="8126" spans="3:5">
      <c r="C8126">
        <v>302.94</v>
      </c>
      <c r="D8126" s="17">
        <v>42937</v>
      </c>
      <c r="E8126" t="s">
        <v>538</v>
      </c>
    </row>
    <row r="8127" spans="3:5">
      <c r="C8127">
        <v>302.94</v>
      </c>
      <c r="D8127" s="17">
        <v>43073</v>
      </c>
      <c r="E8127" t="s">
        <v>1131</v>
      </c>
    </row>
    <row r="8128" spans="3:5">
      <c r="C8128">
        <v>303.25</v>
      </c>
      <c r="D8128" s="17">
        <v>41754</v>
      </c>
      <c r="E8128" t="s">
        <v>921</v>
      </c>
    </row>
    <row r="8129" spans="3:5">
      <c r="C8129">
        <v>303.83999999999997</v>
      </c>
      <c r="D8129" s="17">
        <v>41890</v>
      </c>
      <c r="E8129" t="s">
        <v>1006</v>
      </c>
    </row>
    <row r="8130" spans="3:5">
      <c r="C8130">
        <v>303.92</v>
      </c>
      <c r="D8130" s="17">
        <v>42723</v>
      </c>
      <c r="E8130" t="s">
        <v>1577</v>
      </c>
    </row>
    <row r="8131" spans="3:5">
      <c r="C8131">
        <v>304.23</v>
      </c>
      <c r="D8131" s="17">
        <v>42180</v>
      </c>
      <c r="E8131" t="s">
        <v>1423</v>
      </c>
    </row>
    <row r="8132" spans="3:5">
      <c r="C8132">
        <v>304.45</v>
      </c>
      <c r="D8132" s="17">
        <v>43094</v>
      </c>
      <c r="E8132" t="s">
        <v>1013</v>
      </c>
    </row>
    <row r="8133" spans="3:5">
      <c r="C8133">
        <v>304.77600000000001</v>
      </c>
      <c r="D8133" s="17">
        <v>42324</v>
      </c>
      <c r="E8133" t="s">
        <v>1475</v>
      </c>
    </row>
    <row r="8134" spans="3:5">
      <c r="C8134">
        <v>304.89999999999998</v>
      </c>
      <c r="D8134" s="17">
        <v>42325</v>
      </c>
      <c r="E8134" t="s">
        <v>560</v>
      </c>
    </row>
    <row r="8135" spans="3:5">
      <c r="C8135">
        <v>304.89999999999998</v>
      </c>
      <c r="D8135" s="17">
        <v>42637</v>
      </c>
      <c r="E8135" t="s">
        <v>1543</v>
      </c>
    </row>
    <row r="8136" spans="3:5">
      <c r="C8136">
        <v>304.98999999999995</v>
      </c>
      <c r="D8136" s="17">
        <v>41889</v>
      </c>
      <c r="E8136" t="s">
        <v>76</v>
      </c>
    </row>
    <row r="8137" spans="3:5">
      <c r="C8137">
        <v>305.01</v>
      </c>
      <c r="D8137" s="17">
        <v>42399</v>
      </c>
      <c r="E8137" t="s">
        <v>323</v>
      </c>
    </row>
    <row r="8138" spans="3:5">
      <c r="C8138">
        <v>305.01</v>
      </c>
      <c r="D8138" s="17">
        <v>43058</v>
      </c>
      <c r="E8138" t="s">
        <v>323</v>
      </c>
    </row>
    <row r="8139" spans="3:5">
      <c r="C8139">
        <v>305.31200000000001</v>
      </c>
      <c r="D8139" s="17">
        <v>43058</v>
      </c>
      <c r="E8139" t="s">
        <v>435</v>
      </c>
    </row>
    <row r="8140" spans="3:5">
      <c r="C8140">
        <v>305.97449999999998</v>
      </c>
      <c r="D8140" s="17">
        <v>41959</v>
      </c>
      <c r="E8140" t="s">
        <v>216</v>
      </c>
    </row>
    <row r="8141" spans="3:5">
      <c r="C8141">
        <v>306.2</v>
      </c>
      <c r="D8141" s="17">
        <v>41817</v>
      </c>
      <c r="E8141" t="s">
        <v>1612</v>
      </c>
    </row>
    <row r="8142" spans="3:5">
      <c r="C8142">
        <v>306.89999999999998</v>
      </c>
      <c r="D8142" s="17">
        <v>42833</v>
      </c>
      <c r="E8142" t="s">
        <v>508</v>
      </c>
    </row>
    <row r="8143" spans="3:5">
      <c r="C8143">
        <v>307.13600000000002</v>
      </c>
      <c r="D8143" s="17">
        <v>42272</v>
      </c>
      <c r="E8143" t="s">
        <v>839</v>
      </c>
    </row>
    <row r="8144" spans="3:5">
      <c r="C8144">
        <v>307.13600000000002</v>
      </c>
      <c r="D8144" s="17">
        <v>43042</v>
      </c>
      <c r="E8144" t="s">
        <v>884</v>
      </c>
    </row>
    <row r="8145" spans="3:5">
      <c r="C8145">
        <v>307.16800000000001</v>
      </c>
      <c r="D8145" s="17">
        <v>42197</v>
      </c>
      <c r="E8145" t="s">
        <v>255</v>
      </c>
    </row>
    <row r="8146" spans="3:5">
      <c r="C8146">
        <v>307.31400000000002</v>
      </c>
      <c r="D8146" s="17">
        <v>42915</v>
      </c>
      <c r="E8146" t="s">
        <v>909</v>
      </c>
    </row>
    <row r="8147" spans="3:5">
      <c r="C8147">
        <v>307.666</v>
      </c>
      <c r="D8147" s="17">
        <v>42244</v>
      </c>
      <c r="E8147" t="s">
        <v>719</v>
      </c>
    </row>
    <row r="8148" spans="3:5">
      <c r="C8148">
        <v>307.666</v>
      </c>
      <c r="D8148" s="17">
        <v>43015</v>
      </c>
      <c r="E8148" t="s">
        <v>1305</v>
      </c>
    </row>
    <row r="8149" spans="3:5">
      <c r="C8149">
        <v>307.77600000000001</v>
      </c>
      <c r="D8149" s="17">
        <v>43024</v>
      </c>
      <c r="E8149" t="s">
        <v>1214</v>
      </c>
    </row>
    <row r="8150" spans="3:5">
      <c r="C8150">
        <v>307.92</v>
      </c>
      <c r="D8150" s="17">
        <v>42661</v>
      </c>
      <c r="E8150" t="s">
        <v>125</v>
      </c>
    </row>
    <row r="8151" spans="3:5">
      <c r="C8151">
        <v>307.98</v>
      </c>
      <c r="D8151" s="17">
        <v>42225</v>
      </c>
      <c r="E8151" t="s">
        <v>716</v>
      </c>
    </row>
    <row r="8152" spans="3:5">
      <c r="C8152">
        <v>307.98</v>
      </c>
      <c r="D8152" s="17">
        <v>42275</v>
      </c>
      <c r="E8152" t="s">
        <v>716</v>
      </c>
    </row>
    <row r="8153" spans="3:5">
      <c r="C8153">
        <v>307.98</v>
      </c>
      <c r="D8153" s="17">
        <v>42331</v>
      </c>
      <c r="E8153" t="s">
        <v>716</v>
      </c>
    </row>
    <row r="8154" spans="3:5">
      <c r="C8154">
        <v>307.98</v>
      </c>
      <c r="D8154" s="17">
        <v>42874</v>
      </c>
      <c r="E8154" t="s">
        <v>716</v>
      </c>
    </row>
    <row r="8155" spans="3:5">
      <c r="C8155">
        <v>308.49900000000002</v>
      </c>
      <c r="D8155" s="17">
        <v>41741</v>
      </c>
      <c r="E8155" t="s">
        <v>547</v>
      </c>
    </row>
    <row r="8156" spans="3:5">
      <c r="C8156">
        <v>309.45600000000002</v>
      </c>
      <c r="D8156" s="17">
        <v>42615</v>
      </c>
      <c r="E8156" t="s">
        <v>103</v>
      </c>
    </row>
    <row r="8157" spans="3:5">
      <c r="C8157">
        <v>309.57600000000002</v>
      </c>
      <c r="D8157" s="17">
        <v>43027</v>
      </c>
      <c r="E8157" t="s">
        <v>325</v>
      </c>
    </row>
    <row r="8158" spans="3:5">
      <c r="C8158">
        <v>310.12</v>
      </c>
      <c r="D8158" s="17">
        <v>41908</v>
      </c>
      <c r="E8158" t="s">
        <v>63</v>
      </c>
    </row>
    <row r="8159" spans="3:5">
      <c r="C8159">
        <v>310.12</v>
      </c>
      <c r="D8159" s="17">
        <v>42810</v>
      </c>
      <c r="E8159" t="s">
        <v>63</v>
      </c>
    </row>
    <row r="8160" spans="3:5">
      <c r="C8160">
        <v>310.39199999999994</v>
      </c>
      <c r="D8160" s="17">
        <v>42113</v>
      </c>
      <c r="E8160" t="s">
        <v>1070</v>
      </c>
    </row>
    <row r="8161" spans="3:5">
      <c r="C8161">
        <v>310.44300000000004</v>
      </c>
      <c r="D8161" s="17">
        <v>42931</v>
      </c>
      <c r="E8161" t="s">
        <v>962</v>
      </c>
    </row>
    <row r="8162" spans="3:5">
      <c r="C8162">
        <v>310.68799999999999</v>
      </c>
      <c r="D8162" s="17">
        <v>41820</v>
      </c>
      <c r="E8162" t="s">
        <v>447</v>
      </c>
    </row>
    <row r="8163" spans="3:5">
      <c r="C8163">
        <v>310.74399999999997</v>
      </c>
      <c r="D8163" s="17">
        <v>42736</v>
      </c>
      <c r="E8163" t="s">
        <v>52</v>
      </c>
    </row>
    <row r="8164" spans="3:5">
      <c r="C8164">
        <v>310.88000000000005</v>
      </c>
      <c r="D8164" s="17">
        <v>41773</v>
      </c>
      <c r="E8164" t="s">
        <v>1518</v>
      </c>
    </row>
    <row r="8165" spans="3:5">
      <c r="C8165">
        <v>310.88000000000005</v>
      </c>
      <c r="D8165" s="17">
        <v>43079</v>
      </c>
      <c r="E8165" t="s">
        <v>1518</v>
      </c>
    </row>
    <row r="8166" spans="3:5">
      <c r="C8166">
        <v>311.14999999999998</v>
      </c>
      <c r="D8166" s="17">
        <v>42042</v>
      </c>
      <c r="E8166" t="s">
        <v>1695</v>
      </c>
    </row>
    <row r="8167" spans="3:5">
      <c r="C8167">
        <v>311.97600000000006</v>
      </c>
      <c r="D8167" s="17">
        <v>42120</v>
      </c>
      <c r="E8167" t="s">
        <v>1819</v>
      </c>
    </row>
    <row r="8168" spans="3:5">
      <c r="C8168">
        <v>311.97600000000006</v>
      </c>
      <c r="D8168" s="17">
        <v>42934</v>
      </c>
      <c r="E8168" t="s">
        <v>743</v>
      </c>
    </row>
    <row r="8169" spans="3:5">
      <c r="C8169">
        <v>311.98</v>
      </c>
      <c r="D8169" s="17">
        <v>42278</v>
      </c>
      <c r="E8169" t="s">
        <v>1019</v>
      </c>
    </row>
    <row r="8170" spans="3:5">
      <c r="C8170">
        <v>312.03000000000003</v>
      </c>
      <c r="D8170" s="17">
        <v>42597</v>
      </c>
      <c r="E8170" t="s">
        <v>741</v>
      </c>
    </row>
    <row r="8171" spans="3:5">
      <c r="C8171">
        <v>312.55200000000002</v>
      </c>
      <c r="D8171" s="17">
        <v>42915</v>
      </c>
      <c r="E8171" t="s">
        <v>550</v>
      </c>
    </row>
    <row r="8172" spans="3:5">
      <c r="C8172">
        <v>313.024</v>
      </c>
      <c r="D8172" s="17">
        <v>42232</v>
      </c>
      <c r="E8172" t="s">
        <v>505</v>
      </c>
    </row>
    <row r="8173" spans="3:5">
      <c r="C8173">
        <v>313.17599999999999</v>
      </c>
      <c r="D8173" s="17">
        <v>42700</v>
      </c>
      <c r="E8173" t="s">
        <v>62</v>
      </c>
    </row>
    <row r="8174" spans="3:5">
      <c r="C8174">
        <v>313.17599999999999</v>
      </c>
      <c r="D8174" s="17">
        <v>42729</v>
      </c>
      <c r="E8174" t="s">
        <v>62</v>
      </c>
    </row>
    <row r="8175" spans="3:5">
      <c r="C8175">
        <v>313.488</v>
      </c>
      <c r="D8175" s="17">
        <v>42533</v>
      </c>
      <c r="E8175" t="s">
        <v>285</v>
      </c>
    </row>
    <row r="8176" spans="3:5">
      <c r="C8176">
        <v>313.72199999999998</v>
      </c>
      <c r="D8176" s="17">
        <v>42394</v>
      </c>
      <c r="E8176" t="s">
        <v>400</v>
      </c>
    </row>
    <row r="8177" spans="3:5">
      <c r="C8177">
        <v>314.08800000000002</v>
      </c>
      <c r="D8177" s="17">
        <v>42681</v>
      </c>
      <c r="E8177" t="s">
        <v>1217</v>
      </c>
    </row>
    <row r="8178" spans="3:5">
      <c r="C8178">
        <v>314.35199999999998</v>
      </c>
      <c r="D8178" s="17">
        <v>41720</v>
      </c>
      <c r="E8178" t="s">
        <v>684</v>
      </c>
    </row>
    <row r="8179" spans="3:5">
      <c r="C8179">
        <v>314.35199999999998</v>
      </c>
      <c r="D8179" s="17">
        <v>42856</v>
      </c>
      <c r="E8179" t="s">
        <v>619</v>
      </c>
    </row>
    <row r="8180" spans="3:5">
      <c r="C8180">
        <v>314.35199999999998</v>
      </c>
      <c r="D8180" s="17">
        <v>42874</v>
      </c>
      <c r="E8180" t="s">
        <v>684</v>
      </c>
    </row>
    <row r="8181" spans="3:5">
      <c r="C8181">
        <v>314.35199999999998</v>
      </c>
      <c r="D8181" s="17">
        <v>43017</v>
      </c>
      <c r="E8181" t="s">
        <v>1031</v>
      </c>
    </row>
    <row r="8182" spans="3:5">
      <c r="C8182">
        <v>314.53199999999998</v>
      </c>
      <c r="D8182" s="17">
        <v>42969</v>
      </c>
      <c r="E8182" t="s">
        <v>1088</v>
      </c>
    </row>
    <row r="8183" spans="3:5">
      <c r="C8183">
        <v>314.54999999999995</v>
      </c>
      <c r="D8183" s="17">
        <v>42517</v>
      </c>
      <c r="E8183" t="s">
        <v>514</v>
      </c>
    </row>
    <row r="8184" spans="3:5">
      <c r="C8184">
        <v>314.54999999999995</v>
      </c>
      <c r="D8184" s="17">
        <v>42677</v>
      </c>
      <c r="E8184" t="s">
        <v>354</v>
      </c>
    </row>
    <row r="8185" spans="3:5">
      <c r="C8185">
        <v>314.54999999999995</v>
      </c>
      <c r="D8185" s="17">
        <v>42694</v>
      </c>
      <c r="E8185" t="s">
        <v>212</v>
      </c>
    </row>
    <row r="8186" spans="3:5">
      <c r="C8186">
        <v>314.54999999999995</v>
      </c>
      <c r="D8186" s="17">
        <v>42807</v>
      </c>
      <c r="E8186" t="s">
        <v>354</v>
      </c>
    </row>
    <row r="8187" spans="3:5">
      <c r="C8187">
        <v>314.60000000000002</v>
      </c>
      <c r="D8187" s="17">
        <v>42979</v>
      </c>
      <c r="E8187" t="s">
        <v>1114</v>
      </c>
    </row>
    <row r="8188" spans="3:5">
      <c r="C8188">
        <v>315.2</v>
      </c>
      <c r="D8188" s="17">
        <v>41925</v>
      </c>
      <c r="E8188" t="s">
        <v>1777</v>
      </c>
    </row>
    <row r="8189" spans="3:5">
      <c r="C8189">
        <v>315.77600000000007</v>
      </c>
      <c r="D8189" s="17">
        <v>42383</v>
      </c>
      <c r="E8189" t="s">
        <v>1109</v>
      </c>
    </row>
    <row r="8190" spans="3:5">
      <c r="C8190">
        <v>315.98</v>
      </c>
      <c r="D8190" s="17">
        <v>42660</v>
      </c>
      <c r="E8190" t="s">
        <v>66</v>
      </c>
    </row>
    <row r="8191" spans="3:5">
      <c r="C8191">
        <v>316</v>
      </c>
      <c r="D8191" s="17">
        <v>42386</v>
      </c>
      <c r="E8191" t="s">
        <v>1358</v>
      </c>
    </row>
    <row r="8192" spans="3:5">
      <c r="C8192">
        <v>316</v>
      </c>
      <c r="D8192" s="17">
        <v>42715</v>
      </c>
      <c r="E8192" t="s">
        <v>1358</v>
      </c>
    </row>
    <row r="8193" spans="3:5">
      <c r="C8193">
        <v>317.05799999999999</v>
      </c>
      <c r="D8193" s="17">
        <v>41747</v>
      </c>
      <c r="E8193" t="s">
        <v>565</v>
      </c>
    </row>
    <row r="8194" spans="3:5">
      <c r="C8194">
        <v>317.05799999999999</v>
      </c>
      <c r="D8194" s="17">
        <v>42153</v>
      </c>
      <c r="E8194" t="s">
        <v>191</v>
      </c>
    </row>
    <row r="8195" spans="3:5">
      <c r="C8195">
        <v>317.05799999999999</v>
      </c>
      <c r="D8195" s="17">
        <v>42845</v>
      </c>
      <c r="E8195" t="s">
        <v>565</v>
      </c>
    </row>
    <row r="8196" spans="3:5">
      <c r="C8196">
        <v>317.05799999999999</v>
      </c>
      <c r="D8196" s="17">
        <v>43070</v>
      </c>
      <c r="E8196" t="s">
        <v>565</v>
      </c>
    </row>
    <row r="8197" spans="3:5">
      <c r="C8197">
        <v>318.08</v>
      </c>
      <c r="D8197" s="17">
        <v>42416</v>
      </c>
      <c r="E8197" t="s">
        <v>1646</v>
      </c>
    </row>
    <row r="8198" spans="3:5">
      <c r="C8198">
        <v>318.40000000000003</v>
      </c>
      <c r="D8198" s="17">
        <v>41914</v>
      </c>
      <c r="E8198" t="s">
        <v>894</v>
      </c>
    </row>
    <row r="8199" spans="3:5">
      <c r="C8199">
        <v>318.43</v>
      </c>
      <c r="D8199" s="17">
        <v>42694</v>
      </c>
      <c r="E8199" t="s">
        <v>485</v>
      </c>
    </row>
    <row r="8200" spans="3:5">
      <c r="C8200">
        <v>318.43</v>
      </c>
      <c r="D8200" s="17">
        <v>42995</v>
      </c>
      <c r="E8200" t="s">
        <v>485</v>
      </c>
    </row>
    <row r="8201" spans="3:5">
      <c r="C8201">
        <v>318.95999999999998</v>
      </c>
      <c r="D8201" s="17">
        <v>43045</v>
      </c>
      <c r="E8201" t="s">
        <v>1046</v>
      </c>
    </row>
    <row r="8202" spans="3:5">
      <c r="C8202">
        <v>319.41000000000003</v>
      </c>
      <c r="D8202" s="17">
        <v>42538</v>
      </c>
      <c r="E8202" t="s">
        <v>305</v>
      </c>
    </row>
    <row r="8203" spans="3:5">
      <c r="C8203">
        <v>319.76</v>
      </c>
      <c r="D8203" s="17">
        <v>42444</v>
      </c>
      <c r="E8203" t="s">
        <v>1601</v>
      </c>
    </row>
    <row r="8204" spans="3:5">
      <c r="C8204">
        <v>319.89999999999998</v>
      </c>
      <c r="D8204" s="17">
        <v>41965</v>
      </c>
      <c r="E8204" t="s">
        <v>314</v>
      </c>
    </row>
    <row r="8205" spans="3:5">
      <c r="C8205">
        <v>319.92</v>
      </c>
      <c r="D8205" s="17">
        <v>42699</v>
      </c>
      <c r="E8205" t="s">
        <v>1619</v>
      </c>
    </row>
    <row r="8206" spans="3:5">
      <c r="C8206">
        <v>319.95999999999998</v>
      </c>
      <c r="D8206" s="17">
        <v>43014</v>
      </c>
      <c r="E8206" t="s">
        <v>1301</v>
      </c>
    </row>
    <row r="8207" spans="3:5">
      <c r="C8207">
        <v>319.96800000000002</v>
      </c>
      <c r="D8207" s="17">
        <v>41932</v>
      </c>
      <c r="E8207" t="s">
        <v>717</v>
      </c>
    </row>
    <row r="8208" spans="3:5">
      <c r="C8208">
        <v>319.96800000000002</v>
      </c>
      <c r="D8208" s="17">
        <v>41989</v>
      </c>
      <c r="E8208" t="s">
        <v>665</v>
      </c>
    </row>
    <row r="8209" spans="3:5">
      <c r="C8209">
        <v>319.96800000000002</v>
      </c>
      <c r="D8209" s="17">
        <v>42002</v>
      </c>
      <c r="E8209" t="s">
        <v>845</v>
      </c>
    </row>
    <row r="8210" spans="3:5">
      <c r="C8210">
        <v>319.96800000000002</v>
      </c>
      <c r="D8210" s="17">
        <v>42352</v>
      </c>
      <c r="E8210" t="s">
        <v>845</v>
      </c>
    </row>
    <row r="8211" spans="3:5">
      <c r="C8211">
        <v>319.98400000000004</v>
      </c>
      <c r="D8211" s="17">
        <v>42175</v>
      </c>
      <c r="E8211" t="s">
        <v>232</v>
      </c>
    </row>
    <row r="8212" spans="3:5">
      <c r="C8212">
        <v>319.98400000000004</v>
      </c>
      <c r="D8212" s="17">
        <v>42986</v>
      </c>
      <c r="E8212" t="s">
        <v>980</v>
      </c>
    </row>
    <row r="8213" spans="3:5">
      <c r="C8213">
        <v>320.64</v>
      </c>
      <c r="D8213" s="17">
        <v>43076</v>
      </c>
      <c r="E8213" t="s">
        <v>1403</v>
      </c>
    </row>
    <row r="8214" spans="3:5">
      <c r="C8214">
        <v>320.88</v>
      </c>
      <c r="D8214" s="17">
        <v>41968</v>
      </c>
      <c r="E8214" t="s">
        <v>908</v>
      </c>
    </row>
    <row r="8215" spans="3:5">
      <c r="C8215">
        <v>321.55200000000002</v>
      </c>
      <c r="D8215" s="17">
        <v>41931</v>
      </c>
      <c r="E8215" t="s">
        <v>126</v>
      </c>
    </row>
    <row r="8216" spans="3:5">
      <c r="C8216">
        <v>321.56799999999998</v>
      </c>
      <c r="D8216" s="17">
        <v>42714</v>
      </c>
      <c r="E8216" t="s">
        <v>1420</v>
      </c>
    </row>
    <row r="8217" spans="3:5">
      <c r="C8217">
        <v>321.56799999999998</v>
      </c>
      <c r="D8217" s="17">
        <v>43053</v>
      </c>
      <c r="E8217" t="s">
        <v>1420</v>
      </c>
    </row>
    <row r="8218" spans="3:5">
      <c r="C8218">
        <v>321.56799999999998</v>
      </c>
      <c r="D8218" s="17">
        <v>43063</v>
      </c>
      <c r="E8218" t="s">
        <v>910</v>
      </c>
    </row>
    <row r="8219" spans="3:5">
      <c r="C8219">
        <v>321.92</v>
      </c>
      <c r="D8219" s="17">
        <v>42974</v>
      </c>
      <c r="E8219" t="s">
        <v>412</v>
      </c>
    </row>
    <row r="8220" spans="3:5">
      <c r="C8220">
        <v>322.19200000000001</v>
      </c>
      <c r="D8220" s="17">
        <v>41926</v>
      </c>
      <c r="E8220" t="s">
        <v>444</v>
      </c>
    </row>
    <row r="8221" spans="3:5">
      <c r="C8221">
        <v>322.59000000000003</v>
      </c>
      <c r="D8221" s="17">
        <v>42336</v>
      </c>
      <c r="E8221" t="s">
        <v>233</v>
      </c>
    </row>
    <row r="8222" spans="3:5">
      <c r="C8222">
        <v>322.59000000000003</v>
      </c>
      <c r="D8222" s="17">
        <v>42386</v>
      </c>
      <c r="E8222" t="s">
        <v>233</v>
      </c>
    </row>
    <row r="8223" spans="3:5">
      <c r="C8223">
        <v>323.10000000000002</v>
      </c>
      <c r="D8223" s="17">
        <v>42155</v>
      </c>
      <c r="E8223" t="s">
        <v>1068</v>
      </c>
    </row>
    <row r="8224" spans="3:5">
      <c r="C8224">
        <v>323.10000000000002</v>
      </c>
      <c r="D8224" s="17">
        <v>42231</v>
      </c>
      <c r="E8224" t="s">
        <v>1068</v>
      </c>
    </row>
    <row r="8225" spans="3:5">
      <c r="C8225">
        <v>323.10000000000002</v>
      </c>
      <c r="D8225" s="17">
        <v>42365</v>
      </c>
      <c r="E8225" t="s">
        <v>1068</v>
      </c>
    </row>
    <row r="8226" spans="3:5">
      <c r="C8226">
        <v>323.10000000000002</v>
      </c>
      <c r="D8226" s="17">
        <v>42965</v>
      </c>
      <c r="E8226" t="s">
        <v>1068</v>
      </c>
    </row>
    <row r="8227" spans="3:5">
      <c r="C8227">
        <v>323.13600000000002</v>
      </c>
      <c r="D8227" s="17">
        <v>42308</v>
      </c>
      <c r="E8227" t="s">
        <v>575</v>
      </c>
    </row>
    <row r="8228" spans="3:5">
      <c r="C8228">
        <v>323.13600000000002</v>
      </c>
      <c r="D8228" s="17">
        <v>43099</v>
      </c>
      <c r="E8228" t="s">
        <v>538</v>
      </c>
    </row>
    <row r="8229" spans="3:5">
      <c r="C8229">
        <v>323.37</v>
      </c>
      <c r="D8229" s="17">
        <v>42111</v>
      </c>
      <c r="E8229" t="s">
        <v>1163</v>
      </c>
    </row>
    <row r="8230" spans="3:5">
      <c r="C8230">
        <v>323.37</v>
      </c>
      <c r="D8230" s="17">
        <v>42527</v>
      </c>
      <c r="E8230" t="s">
        <v>1163</v>
      </c>
    </row>
    <row r="8231" spans="3:5">
      <c r="C8231">
        <v>323.97600000000006</v>
      </c>
      <c r="D8231" s="17">
        <v>41717</v>
      </c>
      <c r="E8231" t="s">
        <v>1078</v>
      </c>
    </row>
    <row r="8232" spans="3:5">
      <c r="C8232">
        <v>323.97600000000006</v>
      </c>
      <c r="D8232" s="17">
        <v>41992</v>
      </c>
      <c r="E8232" t="s">
        <v>1858</v>
      </c>
    </row>
    <row r="8233" spans="3:5">
      <c r="C8233">
        <v>323.97600000000006</v>
      </c>
      <c r="D8233" s="17">
        <v>42993</v>
      </c>
      <c r="E8233" t="s">
        <v>972</v>
      </c>
    </row>
    <row r="8234" spans="3:5">
      <c r="C8234">
        <v>323.98199999999997</v>
      </c>
      <c r="D8234" s="17">
        <v>42049</v>
      </c>
      <c r="E8234" t="s">
        <v>686</v>
      </c>
    </row>
    <row r="8235" spans="3:5">
      <c r="C8235">
        <v>324.74400000000003</v>
      </c>
      <c r="D8235" s="17">
        <v>42887</v>
      </c>
      <c r="E8235" t="s">
        <v>784</v>
      </c>
    </row>
    <row r="8236" spans="3:5">
      <c r="C8236">
        <v>324.90000000000003</v>
      </c>
      <c r="D8236" s="17">
        <v>42544</v>
      </c>
      <c r="E8236" t="s">
        <v>1008</v>
      </c>
    </row>
    <row r="8237" spans="3:5">
      <c r="C8237">
        <v>324.90000000000003</v>
      </c>
      <c r="D8237" s="17">
        <v>43079</v>
      </c>
      <c r="E8237" t="s">
        <v>1008</v>
      </c>
    </row>
    <row r="8238" spans="3:5">
      <c r="C8238">
        <v>325.63200000000006</v>
      </c>
      <c r="D8238" s="17">
        <v>42329</v>
      </c>
      <c r="E8238" t="s">
        <v>1080</v>
      </c>
    </row>
    <row r="8239" spans="3:5">
      <c r="C8239">
        <v>325.86</v>
      </c>
      <c r="D8239" s="17">
        <v>42824</v>
      </c>
      <c r="E8239" t="s">
        <v>465</v>
      </c>
    </row>
    <row r="8240" spans="3:5">
      <c r="C8240">
        <v>326.64600000000002</v>
      </c>
      <c r="D8240" s="17">
        <v>42416</v>
      </c>
      <c r="E8240" t="s">
        <v>1308</v>
      </c>
    </row>
    <row r="8241" spans="3:5">
      <c r="C8241">
        <v>327.56399999999996</v>
      </c>
      <c r="D8241" s="17">
        <v>42309</v>
      </c>
      <c r="E8241" t="s">
        <v>434</v>
      </c>
    </row>
    <row r="8242" spans="3:5">
      <c r="C8242">
        <v>327.73279999999994</v>
      </c>
      <c r="D8242" s="17">
        <v>43056</v>
      </c>
      <c r="E8242" t="s">
        <v>1430</v>
      </c>
    </row>
    <row r="8243" spans="3:5">
      <c r="C8243">
        <v>327.76</v>
      </c>
      <c r="D8243" s="17">
        <v>41859</v>
      </c>
      <c r="E8243" t="s">
        <v>1268</v>
      </c>
    </row>
    <row r="8244" spans="3:5">
      <c r="C8244">
        <v>327.76</v>
      </c>
      <c r="D8244" s="17">
        <v>42076</v>
      </c>
      <c r="E8244" t="s">
        <v>1268</v>
      </c>
    </row>
    <row r="8245" spans="3:5">
      <c r="C8245">
        <v>327.84</v>
      </c>
      <c r="D8245" s="17">
        <v>43063</v>
      </c>
      <c r="E8245" t="s">
        <v>107</v>
      </c>
    </row>
    <row r="8246" spans="3:5">
      <c r="C8246">
        <v>327.99600000000004</v>
      </c>
      <c r="D8246" s="17">
        <v>42460</v>
      </c>
      <c r="E8246" t="s">
        <v>1144</v>
      </c>
    </row>
    <row r="8247" spans="3:5">
      <c r="C8247">
        <v>328.22399999999999</v>
      </c>
      <c r="D8247" s="17">
        <v>42527</v>
      </c>
      <c r="E8247" t="s">
        <v>1350</v>
      </c>
    </row>
    <row r="8248" spans="3:5">
      <c r="C8248">
        <v>328.39919999999995</v>
      </c>
      <c r="D8248" s="17">
        <v>43027</v>
      </c>
      <c r="E8248" t="s">
        <v>1331</v>
      </c>
    </row>
    <row r="8249" spans="3:5">
      <c r="C8249">
        <v>328.59000000000003</v>
      </c>
      <c r="D8249" s="17">
        <v>41932</v>
      </c>
      <c r="E8249" t="s">
        <v>1330</v>
      </c>
    </row>
    <row r="8250" spans="3:5">
      <c r="C8250">
        <v>328.59000000000003</v>
      </c>
      <c r="D8250" s="17">
        <v>42715</v>
      </c>
      <c r="E8250" t="s">
        <v>1330</v>
      </c>
    </row>
    <row r="8251" spans="3:5">
      <c r="C8251">
        <v>328.77600000000007</v>
      </c>
      <c r="D8251" s="17">
        <v>42003</v>
      </c>
      <c r="E8251" t="s">
        <v>501</v>
      </c>
    </row>
    <row r="8252" spans="3:5">
      <c r="C8252">
        <v>329.58400000000006</v>
      </c>
      <c r="D8252" s="17">
        <v>42619</v>
      </c>
      <c r="E8252" t="s">
        <v>467</v>
      </c>
    </row>
    <row r="8253" spans="3:5">
      <c r="C8253">
        <v>329.988</v>
      </c>
      <c r="D8253" s="17">
        <v>43029</v>
      </c>
      <c r="E8253" t="s">
        <v>371</v>
      </c>
    </row>
    <row r="8254" spans="3:5">
      <c r="C8254">
        <v>330.4</v>
      </c>
      <c r="D8254" s="17">
        <v>41721</v>
      </c>
      <c r="E8254" t="s">
        <v>1023</v>
      </c>
    </row>
    <row r="8255" spans="3:5">
      <c r="C8255">
        <v>330.4</v>
      </c>
      <c r="D8255" s="17">
        <v>42946</v>
      </c>
      <c r="E8255" t="s">
        <v>1023</v>
      </c>
    </row>
    <row r="8256" spans="3:5">
      <c r="C8256">
        <v>330.58800000000002</v>
      </c>
      <c r="D8256" s="17">
        <v>41726</v>
      </c>
      <c r="E8256" t="s">
        <v>1136</v>
      </c>
    </row>
    <row r="8257" spans="3:5">
      <c r="C8257">
        <v>330.58800000000002</v>
      </c>
      <c r="D8257" s="17">
        <v>42644</v>
      </c>
      <c r="E8257" t="s">
        <v>1665</v>
      </c>
    </row>
    <row r="8258" spans="3:5">
      <c r="C8258">
        <v>331.02300000000008</v>
      </c>
      <c r="D8258" s="17">
        <v>42701</v>
      </c>
      <c r="E8258" t="s">
        <v>272</v>
      </c>
    </row>
    <row r="8259" spans="3:5">
      <c r="C8259">
        <v>331.536</v>
      </c>
      <c r="D8259" s="17">
        <v>41904</v>
      </c>
      <c r="E8259" t="s">
        <v>704</v>
      </c>
    </row>
    <row r="8260" spans="3:5">
      <c r="C8260">
        <v>331.536</v>
      </c>
      <c r="D8260" s="17">
        <v>42638</v>
      </c>
      <c r="E8260" t="s">
        <v>704</v>
      </c>
    </row>
    <row r="8261" spans="3:5">
      <c r="C8261">
        <v>331.96</v>
      </c>
      <c r="D8261" s="17">
        <v>41894</v>
      </c>
      <c r="E8261" t="s">
        <v>750</v>
      </c>
    </row>
    <row r="8262" spans="3:5">
      <c r="C8262">
        <v>332.02800000000002</v>
      </c>
      <c r="D8262" s="17">
        <v>42921</v>
      </c>
      <c r="E8262" t="s">
        <v>231</v>
      </c>
    </row>
    <row r="8263" spans="3:5">
      <c r="C8263">
        <v>332.70400000000001</v>
      </c>
      <c r="D8263" s="17">
        <v>42845</v>
      </c>
      <c r="E8263" t="s">
        <v>563</v>
      </c>
    </row>
    <row r="8264" spans="3:5">
      <c r="C8264">
        <v>332.83200000000005</v>
      </c>
      <c r="D8264" s="17">
        <v>42652</v>
      </c>
      <c r="E8264" t="s">
        <v>741</v>
      </c>
    </row>
    <row r="8265" spans="3:5">
      <c r="C8265">
        <v>332.94</v>
      </c>
      <c r="D8265" s="17">
        <v>41681</v>
      </c>
      <c r="E8265" t="s">
        <v>1521</v>
      </c>
    </row>
    <row r="8266" spans="3:5">
      <c r="C8266">
        <v>332.94</v>
      </c>
      <c r="D8266" s="17">
        <v>42181</v>
      </c>
      <c r="E8266" t="s">
        <v>52</v>
      </c>
    </row>
    <row r="8267" spans="3:5">
      <c r="C8267">
        <v>332.94</v>
      </c>
      <c r="D8267" s="17">
        <v>42624</v>
      </c>
      <c r="E8267" t="s">
        <v>1693</v>
      </c>
    </row>
    <row r="8268" spans="3:5">
      <c r="C8268">
        <v>332.94</v>
      </c>
      <c r="D8268" s="17">
        <v>42674</v>
      </c>
      <c r="E8268" t="s">
        <v>451</v>
      </c>
    </row>
    <row r="8269" spans="3:5">
      <c r="C8269">
        <v>332.94</v>
      </c>
      <c r="D8269" s="17">
        <v>42821</v>
      </c>
      <c r="E8269" t="s">
        <v>451</v>
      </c>
    </row>
    <row r="8270" spans="3:5">
      <c r="C8270">
        <v>333</v>
      </c>
      <c r="D8270" s="17">
        <v>41666</v>
      </c>
      <c r="E8270" t="s">
        <v>193</v>
      </c>
    </row>
    <row r="8271" spans="3:5">
      <c r="C8271">
        <v>333.05600000000004</v>
      </c>
      <c r="D8271" s="17">
        <v>41958</v>
      </c>
      <c r="E8271" t="s">
        <v>983</v>
      </c>
    </row>
    <row r="8272" spans="3:5">
      <c r="C8272">
        <v>333.09000000000003</v>
      </c>
      <c r="D8272" s="17">
        <v>43030</v>
      </c>
      <c r="E8272" t="s">
        <v>1339</v>
      </c>
    </row>
    <row r="8273" spans="3:5">
      <c r="C8273">
        <v>333.57600000000002</v>
      </c>
      <c r="D8273" s="17">
        <v>41951</v>
      </c>
      <c r="E8273" t="s">
        <v>267</v>
      </c>
    </row>
    <row r="8274" spans="3:5">
      <c r="C8274">
        <v>333.57600000000002</v>
      </c>
      <c r="D8274" s="17">
        <v>42584</v>
      </c>
      <c r="E8274" t="s">
        <v>1513</v>
      </c>
    </row>
    <row r="8275" spans="3:5">
      <c r="C8275">
        <v>333.57600000000002</v>
      </c>
      <c r="D8275" s="17">
        <v>42786</v>
      </c>
      <c r="E8275" t="s">
        <v>267</v>
      </c>
    </row>
    <row r="8276" spans="3:5">
      <c r="C8276">
        <v>333.99899999999997</v>
      </c>
      <c r="D8276" s="17">
        <v>41652</v>
      </c>
      <c r="E8276" t="s">
        <v>1031</v>
      </c>
    </row>
    <row r="8277" spans="3:5">
      <c r="C8277">
        <v>334.76800000000003</v>
      </c>
      <c r="D8277" s="17">
        <v>41820</v>
      </c>
      <c r="E8277" t="s">
        <v>515</v>
      </c>
    </row>
    <row r="8278" spans="3:5">
      <c r="C8278">
        <v>334.88000000000005</v>
      </c>
      <c r="D8278" s="17">
        <v>42684</v>
      </c>
      <c r="E8278" t="s">
        <v>1376</v>
      </c>
    </row>
    <row r="8279" spans="3:5">
      <c r="C8279">
        <v>335.52</v>
      </c>
      <c r="D8279" s="17">
        <v>41818</v>
      </c>
      <c r="E8279" t="s">
        <v>1082</v>
      </c>
    </row>
    <row r="8280" spans="3:5">
      <c r="C8280">
        <v>335.52</v>
      </c>
      <c r="D8280" s="17">
        <v>42331</v>
      </c>
      <c r="E8280" t="s">
        <v>514</v>
      </c>
    </row>
    <row r="8281" spans="3:5">
      <c r="C8281">
        <v>335.52</v>
      </c>
      <c r="D8281" s="17">
        <v>42336</v>
      </c>
      <c r="E8281" t="s">
        <v>1082</v>
      </c>
    </row>
    <row r="8282" spans="3:5">
      <c r="C8282">
        <v>335.72</v>
      </c>
      <c r="D8282" s="17">
        <v>41728</v>
      </c>
      <c r="E8282" t="s">
        <v>144</v>
      </c>
    </row>
    <row r="8283" spans="3:5">
      <c r="C8283">
        <v>335.74400000000003</v>
      </c>
      <c r="D8283" s="17">
        <v>42338</v>
      </c>
      <c r="E8283" t="s">
        <v>1463</v>
      </c>
    </row>
    <row r="8284" spans="3:5">
      <c r="C8284">
        <v>335.94400000000002</v>
      </c>
      <c r="D8284" s="17">
        <v>41740</v>
      </c>
      <c r="E8284" t="s">
        <v>155</v>
      </c>
    </row>
    <row r="8285" spans="3:5">
      <c r="C8285">
        <v>336.51</v>
      </c>
      <c r="D8285" s="17">
        <v>43007</v>
      </c>
      <c r="E8285" t="s">
        <v>1271</v>
      </c>
    </row>
    <row r="8286" spans="3:5">
      <c r="C8286">
        <v>337.08800000000002</v>
      </c>
      <c r="D8286" s="17">
        <v>41910</v>
      </c>
      <c r="E8286" t="s">
        <v>1347</v>
      </c>
    </row>
    <row r="8287" spans="3:5">
      <c r="C8287">
        <v>337.17599999999999</v>
      </c>
      <c r="D8287" s="17">
        <v>42535</v>
      </c>
      <c r="E8287" t="s">
        <v>1641</v>
      </c>
    </row>
    <row r="8288" spans="3:5">
      <c r="C8288">
        <v>337.98</v>
      </c>
      <c r="D8288" s="17">
        <v>42253</v>
      </c>
      <c r="E8288" t="s">
        <v>1795</v>
      </c>
    </row>
    <row r="8289" spans="3:5">
      <c r="C8289">
        <v>338.04</v>
      </c>
      <c r="D8289" s="17">
        <v>42561</v>
      </c>
      <c r="E8289" t="s">
        <v>1618</v>
      </c>
    </row>
    <row r="8290" spans="3:5">
      <c r="C8290">
        <v>338.04</v>
      </c>
      <c r="D8290" s="17">
        <v>42569</v>
      </c>
      <c r="E8290" t="s">
        <v>1618</v>
      </c>
    </row>
    <row r="8291" spans="3:5">
      <c r="C8291">
        <v>338.35199999999998</v>
      </c>
      <c r="D8291" s="17">
        <v>41983</v>
      </c>
      <c r="E8291" t="s">
        <v>1529</v>
      </c>
    </row>
    <row r="8292" spans="3:5">
      <c r="C8292">
        <v>339.13600000000002</v>
      </c>
      <c r="D8292" s="17">
        <v>43054</v>
      </c>
      <c r="E8292" t="s">
        <v>578</v>
      </c>
    </row>
    <row r="8293" spans="3:5">
      <c r="C8293">
        <v>339.92000000000007</v>
      </c>
      <c r="D8293" s="17">
        <v>42698</v>
      </c>
      <c r="E8293" t="s">
        <v>135</v>
      </c>
    </row>
    <row r="8294" spans="3:5">
      <c r="C8294">
        <v>339.96</v>
      </c>
      <c r="D8294" s="17">
        <v>41868</v>
      </c>
      <c r="E8294" t="s">
        <v>764</v>
      </c>
    </row>
    <row r="8295" spans="3:5">
      <c r="C8295">
        <v>339.96</v>
      </c>
      <c r="D8295" s="17">
        <v>42127</v>
      </c>
      <c r="E8295" t="s">
        <v>764</v>
      </c>
    </row>
    <row r="8296" spans="3:5">
      <c r="C8296">
        <v>339.96000000000004</v>
      </c>
      <c r="D8296" s="17">
        <v>42292</v>
      </c>
      <c r="E8296" t="s">
        <v>764</v>
      </c>
    </row>
    <row r="8297" spans="3:5">
      <c r="C8297">
        <v>339.96000000000004</v>
      </c>
      <c r="D8297" s="17">
        <v>42321</v>
      </c>
      <c r="E8297" t="s">
        <v>1411</v>
      </c>
    </row>
    <row r="8298" spans="3:5">
      <c r="C8298">
        <v>339.96000000000004</v>
      </c>
      <c r="D8298" s="17">
        <v>42612</v>
      </c>
      <c r="E8298" t="s">
        <v>1411</v>
      </c>
    </row>
    <row r="8299" spans="3:5">
      <c r="C8299">
        <v>340.11599999999999</v>
      </c>
      <c r="D8299" s="17">
        <v>41895</v>
      </c>
      <c r="E8299" t="s">
        <v>1083</v>
      </c>
    </row>
    <row r="8300" spans="3:5">
      <c r="C8300">
        <v>340.14400000000006</v>
      </c>
      <c r="D8300" s="17">
        <v>41856</v>
      </c>
      <c r="E8300" t="s">
        <v>1144</v>
      </c>
    </row>
    <row r="8301" spans="3:5">
      <c r="C8301">
        <v>340.18200000000002</v>
      </c>
      <c r="D8301" s="17">
        <v>42702</v>
      </c>
      <c r="E8301" t="s">
        <v>1571</v>
      </c>
    </row>
    <row r="8302" spans="3:5">
      <c r="C8302">
        <v>340.70400000000006</v>
      </c>
      <c r="D8302" s="17">
        <v>43097</v>
      </c>
      <c r="E8302" t="s">
        <v>305</v>
      </c>
    </row>
    <row r="8303" spans="3:5">
      <c r="C8303">
        <v>340.92</v>
      </c>
      <c r="D8303" s="17">
        <v>41952</v>
      </c>
      <c r="E8303" t="s">
        <v>50</v>
      </c>
    </row>
    <row r="8304" spans="3:5">
      <c r="C8304">
        <v>340.92</v>
      </c>
      <c r="D8304" s="17">
        <v>42664</v>
      </c>
      <c r="E8304" t="s">
        <v>50</v>
      </c>
    </row>
    <row r="8305" spans="3:5">
      <c r="C8305">
        <v>341.48799999999994</v>
      </c>
      <c r="D8305" s="17">
        <v>42196</v>
      </c>
      <c r="E8305" t="s">
        <v>985</v>
      </c>
    </row>
    <row r="8306" spans="3:5">
      <c r="C8306">
        <v>341.96</v>
      </c>
      <c r="D8306" s="17">
        <v>42004</v>
      </c>
      <c r="E8306" t="s">
        <v>1752</v>
      </c>
    </row>
    <row r="8307" spans="3:5">
      <c r="C8307">
        <v>341.96</v>
      </c>
      <c r="D8307" s="17">
        <v>42684</v>
      </c>
      <c r="E8307" t="s">
        <v>916</v>
      </c>
    </row>
    <row r="8308" spans="3:5">
      <c r="C8308">
        <v>341.96</v>
      </c>
      <c r="D8308" s="17">
        <v>43049</v>
      </c>
      <c r="E8308" t="s">
        <v>1399</v>
      </c>
    </row>
    <row r="8309" spans="3:5">
      <c r="C8309">
        <v>341.99100000000004</v>
      </c>
      <c r="D8309" s="17">
        <v>42561</v>
      </c>
      <c r="E8309" t="s">
        <v>1732</v>
      </c>
    </row>
    <row r="8310" spans="3:5">
      <c r="C8310">
        <v>342.37</v>
      </c>
      <c r="D8310" s="17">
        <v>42405</v>
      </c>
      <c r="E8310" t="s">
        <v>864</v>
      </c>
    </row>
    <row r="8311" spans="3:5">
      <c r="C8311">
        <v>342.86400000000003</v>
      </c>
      <c r="D8311" s="17">
        <v>41840</v>
      </c>
      <c r="E8311" t="s">
        <v>633</v>
      </c>
    </row>
    <row r="8312" spans="3:5">
      <c r="C8312">
        <v>343.20000000000005</v>
      </c>
      <c r="D8312" s="17">
        <v>42875</v>
      </c>
      <c r="E8312" t="s">
        <v>737</v>
      </c>
    </row>
    <row r="8313" spans="3:5">
      <c r="C8313">
        <v>343.84999999999997</v>
      </c>
      <c r="D8313" s="17">
        <v>42729</v>
      </c>
      <c r="E8313" t="s">
        <v>390</v>
      </c>
    </row>
    <row r="8314" spans="3:5">
      <c r="C8314">
        <v>343.92</v>
      </c>
      <c r="D8314" s="17">
        <v>42472</v>
      </c>
      <c r="E8314" t="s">
        <v>272</v>
      </c>
    </row>
    <row r="8315" spans="3:5">
      <c r="C8315">
        <v>344.22</v>
      </c>
      <c r="D8315" s="17">
        <v>42264</v>
      </c>
      <c r="E8315" t="s">
        <v>663</v>
      </c>
    </row>
    <row r="8316" spans="3:5">
      <c r="C8316">
        <v>344.22</v>
      </c>
      <c r="D8316" s="17">
        <v>43007</v>
      </c>
      <c r="E8316" t="s">
        <v>1272</v>
      </c>
    </row>
    <row r="8317" spans="3:5">
      <c r="C8317">
        <v>344.37199999999996</v>
      </c>
      <c r="D8317" s="17">
        <v>42328</v>
      </c>
      <c r="E8317" t="s">
        <v>281</v>
      </c>
    </row>
    <row r="8318" spans="3:5">
      <c r="C8318">
        <v>344.37199999999996</v>
      </c>
      <c r="D8318" s="17">
        <v>42478</v>
      </c>
      <c r="E8318" t="s">
        <v>281</v>
      </c>
    </row>
    <row r="8319" spans="3:5">
      <c r="C8319">
        <v>344.70400000000001</v>
      </c>
      <c r="D8319" s="17">
        <v>42310</v>
      </c>
      <c r="E8319" t="s">
        <v>711</v>
      </c>
    </row>
    <row r="8320" spans="3:5">
      <c r="C8320">
        <v>344.70400000000001</v>
      </c>
      <c r="D8320" s="17">
        <v>42873</v>
      </c>
      <c r="E8320" t="s">
        <v>711</v>
      </c>
    </row>
    <row r="8321" spans="3:5">
      <c r="C8321">
        <v>344.90999999999997</v>
      </c>
      <c r="D8321" s="17">
        <v>41870</v>
      </c>
      <c r="E8321" t="s">
        <v>1302</v>
      </c>
    </row>
    <row r="8322" spans="3:5">
      <c r="C8322">
        <v>344.90999999999997</v>
      </c>
      <c r="D8322" s="17">
        <v>41959</v>
      </c>
      <c r="E8322" t="s">
        <v>1302</v>
      </c>
    </row>
    <row r="8323" spans="3:5">
      <c r="C8323">
        <v>344.90999999999997</v>
      </c>
      <c r="D8323" s="17">
        <v>43014</v>
      </c>
      <c r="E8323" t="s">
        <v>1302</v>
      </c>
    </row>
    <row r="8324" spans="3:5">
      <c r="C8324">
        <v>344.90999999999997</v>
      </c>
      <c r="D8324" s="17">
        <v>43052</v>
      </c>
      <c r="E8324" t="s">
        <v>1302</v>
      </c>
    </row>
    <row r="8325" spans="3:5">
      <c r="C8325">
        <v>344.94</v>
      </c>
      <c r="D8325" s="17">
        <v>42616</v>
      </c>
      <c r="E8325" t="s">
        <v>1448</v>
      </c>
    </row>
    <row r="8326" spans="3:5">
      <c r="C8326">
        <v>344.98099999999994</v>
      </c>
      <c r="D8326" s="17">
        <v>42850</v>
      </c>
      <c r="E8326" t="s">
        <v>282</v>
      </c>
    </row>
    <row r="8327" spans="3:5">
      <c r="C8327">
        <v>345</v>
      </c>
      <c r="D8327" s="17">
        <v>41923</v>
      </c>
      <c r="E8327" t="s">
        <v>795</v>
      </c>
    </row>
    <row r="8328" spans="3:5">
      <c r="C8328">
        <v>345</v>
      </c>
      <c r="D8328" s="17">
        <v>42512</v>
      </c>
      <c r="E8328" t="s">
        <v>184</v>
      </c>
    </row>
    <row r="8329" spans="3:5">
      <c r="C8329">
        <v>347.36099999999999</v>
      </c>
      <c r="D8329" s="17">
        <v>42301</v>
      </c>
      <c r="E8329" t="s">
        <v>1115</v>
      </c>
    </row>
    <row r="8330" spans="3:5">
      <c r="C8330">
        <v>347.58</v>
      </c>
      <c r="D8330" s="17">
        <v>42817</v>
      </c>
      <c r="E8330" t="s">
        <v>420</v>
      </c>
    </row>
    <row r="8331" spans="3:5">
      <c r="C8331">
        <v>347.80200000000002</v>
      </c>
      <c r="D8331" s="17">
        <v>42618</v>
      </c>
      <c r="E8331" t="s">
        <v>721</v>
      </c>
    </row>
    <row r="8332" spans="3:5">
      <c r="C8332">
        <v>347.80200000000002</v>
      </c>
      <c r="D8332" s="17">
        <v>42702</v>
      </c>
      <c r="E8332" t="s">
        <v>721</v>
      </c>
    </row>
    <row r="8333" spans="3:5">
      <c r="C8333">
        <v>347.96999999999997</v>
      </c>
      <c r="D8333" s="17">
        <v>42974</v>
      </c>
      <c r="E8333" t="s">
        <v>1095</v>
      </c>
    </row>
    <row r="8334" spans="3:5">
      <c r="C8334">
        <v>348.20799999999997</v>
      </c>
      <c r="D8334" s="17">
        <v>42756</v>
      </c>
      <c r="E8334" t="s">
        <v>137</v>
      </c>
    </row>
    <row r="8335" spans="3:5">
      <c r="C8335">
        <v>348.488</v>
      </c>
      <c r="D8335" s="17">
        <v>41978</v>
      </c>
      <c r="E8335" t="s">
        <v>1695</v>
      </c>
    </row>
    <row r="8336" spans="3:5">
      <c r="C8336">
        <v>348.56</v>
      </c>
      <c r="D8336" s="17">
        <v>43021</v>
      </c>
      <c r="E8336" t="s">
        <v>903</v>
      </c>
    </row>
    <row r="8337" spans="3:5">
      <c r="C8337">
        <v>348.84</v>
      </c>
      <c r="D8337" s="17">
        <v>42405</v>
      </c>
      <c r="E8337" t="s">
        <v>1099</v>
      </c>
    </row>
    <row r="8338" spans="3:5">
      <c r="C8338">
        <v>348.92800000000005</v>
      </c>
      <c r="D8338" s="17">
        <v>42350</v>
      </c>
      <c r="E8338" t="s">
        <v>435</v>
      </c>
    </row>
    <row r="8339" spans="3:5">
      <c r="C8339">
        <v>349.95</v>
      </c>
      <c r="D8339" s="17">
        <v>42378</v>
      </c>
      <c r="E8339" t="s">
        <v>1623</v>
      </c>
    </row>
    <row r="8340" spans="3:5">
      <c r="C8340">
        <v>349.96499999999997</v>
      </c>
      <c r="D8340" s="17">
        <v>41769</v>
      </c>
      <c r="E8340" t="s">
        <v>639</v>
      </c>
    </row>
    <row r="8341" spans="3:5">
      <c r="C8341">
        <v>350.35199999999998</v>
      </c>
      <c r="D8341" s="17">
        <v>43046</v>
      </c>
      <c r="E8341" t="s">
        <v>1391</v>
      </c>
    </row>
    <row r="8342" spans="3:5">
      <c r="C8342">
        <v>350.97300000000007</v>
      </c>
      <c r="D8342" s="17">
        <v>42756</v>
      </c>
      <c r="E8342" t="s">
        <v>142</v>
      </c>
    </row>
    <row r="8343" spans="3:5">
      <c r="C8343">
        <v>350.98</v>
      </c>
      <c r="D8343" s="17">
        <v>42631</v>
      </c>
      <c r="E8343" t="s">
        <v>1462</v>
      </c>
    </row>
    <row r="8344" spans="3:5">
      <c r="C8344">
        <v>351.21600000000001</v>
      </c>
      <c r="D8344" s="17">
        <v>41833</v>
      </c>
      <c r="E8344" t="s">
        <v>909</v>
      </c>
    </row>
    <row r="8345" spans="3:5">
      <c r="C8345">
        <v>352.38</v>
      </c>
      <c r="D8345" s="17">
        <v>42712</v>
      </c>
      <c r="E8345" t="s">
        <v>733</v>
      </c>
    </row>
    <row r="8346" spans="3:5">
      <c r="C8346">
        <v>352.38</v>
      </c>
      <c r="D8346" s="17">
        <v>42980</v>
      </c>
      <c r="E8346" t="s">
        <v>733</v>
      </c>
    </row>
    <row r="8347" spans="3:5">
      <c r="C8347">
        <v>352.45</v>
      </c>
      <c r="D8347" s="17">
        <v>42099</v>
      </c>
      <c r="E8347" t="s">
        <v>1132</v>
      </c>
    </row>
    <row r="8348" spans="3:5">
      <c r="C8348">
        <v>353.56799999999998</v>
      </c>
      <c r="D8348" s="17">
        <v>41794</v>
      </c>
      <c r="E8348" t="s">
        <v>1741</v>
      </c>
    </row>
    <row r="8349" spans="3:5">
      <c r="C8349">
        <v>353.56799999999998</v>
      </c>
      <c r="D8349" s="17">
        <v>42542</v>
      </c>
      <c r="E8349" t="s">
        <v>1741</v>
      </c>
    </row>
    <row r="8350" spans="3:5">
      <c r="C8350">
        <v>353.88</v>
      </c>
      <c r="D8350" s="17">
        <v>42257</v>
      </c>
      <c r="E8350" t="s">
        <v>1126</v>
      </c>
    </row>
    <row r="8351" spans="3:5">
      <c r="C8351">
        <v>354.90000000000003</v>
      </c>
      <c r="D8351" s="17">
        <v>41702</v>
      </c>
      <c r="E8351" t="s">
        <v>225</v>
      </c>
    </row>
    <row r="8352" spans="3:5">
      <c r="C8352">
        <v>354.90000000000003</v>
      </c>
      <c r="D8352" s="17">
        <v>42438</v>
      </c>
      <c r="E8352" t="s">
        <v>721</v>
      </c>
    </row>
    <row r="8353" spans="3:5">
      <c r="C8353">
        <v>354.90000000000003</v>
      </c>
      <c r="D8353" s="17">
        <v>42468</v>
      </c>
      <c r="E8353" t="s">
        <v>84</v>
      </c>
    </row>
    <row r="8354" spans="3:5">
      <c r="C8354">
        <v>354.90000000000003</v>
      </c>
      <c r="D8354" s="17">
        <v>42775</v>
      </c>
      <c r="E8354" t="s">
        <v>225</v>
      </c>
    </row>
    <row r="8355" spans="3:5">
      <c r="C8355">
        <v>354.90000000000003</v>
      </c>
      <c r="D8355" s="17">
        <v>42974</v>
      </c>
      <c r="E8355" t="s">
        <v>225</v>
      </c>
    </row>
    <row r="8356" spans="3:5">
      <c r="C8356">
        <v>355.32</v>
      </c>
      <c r="D8356" s="17">
        <v>42600</v>
      </c>
      <c r="E8356" t="s">
        <v>1677</v>
      </c>
    </row>
    <row r="8357" spans="3:5">
      <c r="C8357">
        <v>355.36</v>
      </c>
      <c r="D8357" s="17">
        <v>42164</v>
      </c>
      <c r="E8357" t="s">
        <v>1569</v>
      </c>
    </row>
    <row r="8358" spans="3:5">
      <c r="C8358">
        <v>355.45499999999998</v>
      </c>
      <c r="D8358" s="17">
        <v>41789</v>
      </c>
      <c r="E8358" t="s">
        <v>1079</v>
      </c>
    </row>
    <row r="8359" spans="3:5">
      <c r="C8359">
        <v>355.96</v>
      </c>
      <c r="D8359" s="17">
        <v>42365</v>
      </c>
      <c r="E8359" t="s">
        <v>259</v>
      </c>
    </row>
    <row r="8360" spans="3:5">
      <c r="C8360">
        <v>356.78999999999996</v>
      </c>
      <c r="D8360" s="17">
        <v>42792</v>
      </c>
      <c r="E8360" t="s">
        <v>287</v>
      </c>
    </row>
    <row r="8361" spans="3:5">
      <c r="C8361">
        <v>356.85</v>
      </c>
      <c r="D8361" s="17">
        <v>43034</v>
      </c>
      <c r="E8361" t="s">
        <v>112</v>
      </c>
    </row>
    <row r="8362" spans="3:5">
      <c r="C8362">
        <v>356.94</v>
      </c>
      <c r="D8362" s="17">
        <v>41792</v>
      </c>
      <c r="E8362" t="s">
        <v>207</v>
      </c>
    </row>
    <row r="8363" spans="3:5">
      <c r="C8363">
        <v>357</v>
      </c>
      <c r="D8363" s="17">
        <v>41883</v>
      </c>
      <c r="E8363" t="s">
        <v>406</v>
      </c>
    </row>
    <row r="8364" spans="3:5">
      <c r="C8364">
        <v>357.93</v>
      </c>
      <c r="D8364" s="17">
        <v>41894</v>
      </c>
      <c r="E8364" t="s">
        <v>548</v>
      </c>
    </row>
    <row r="8365" spans="3:5">
      <c r="C8365">
        <v>357.93</v>
      </c>
      <c r="D8365" s="17">
        <v>42132</v>
      </c>
      <c r="E8365" t="s">
        <v>548</v>
      </c>
    </row>
    <row r="8366" spans="3:5">
      <c r="C8366">
        <v>358.2</v>
      </c>
      <c r="D8366" s="17">
        <v>42912</v>
      </c>
      <c r="E8366" t="s">
        <v>894</v>
      </c>
    </row>
    <row r="8367" spans="3:5">
      <c r="C8367">
        <v>358.58</v>
      </c>
      <c r="D8367" s="17">
        <v>42210</v>
      </c>
      <c r="E8367" t="s">
        <v>923</v>
      </c>
    </row>
    <row r="8368" spans="3:5">
      <c r="C8368">
        <v>359.05799999999994</v>
      </c>
      <c r="D8368" s="17">
        <v>42087</v>
      </c>
      <c r="E8368" t="s">
        <v>1752</v>
      </c>
    </row>
    <row r="8369" spans="3:5">
      <c r="C8369">
        <v>359.05799999999994</v>
      </c>
      <c r="D8369" s="17">
        <v>42358</v>
      </c>
      <c r="E8369" t="s">
        <v>916</v>
      </c>
    </row>
    <row r="8370" spans="3:5">
      <c r="C8370">
        <v>359.32</v>
      </c>
      <c r="D8370" s="17">
        <v>41786</v>
      </c>
      <c r="E8370" t="s">
        <v>417</v>
      </c>
    </row>
    <row r="8371" spans="3:5">
      <c r="C8371">
        <v>359.32</v>
      </c>
      <c r="D8371" s="17">
        <v>42815</v>
      </c>
      <c r="E8371" t="s">
        <v>417</v>
      </c>
    </row>
    <row r="8372" spans="3:5">
      <c r="C8372">
        <v>359.49899999999997</v>
      </c>
      <c r="D8372" s="17">
        <v>42341</v>
      </c>
      <c r="E8372" t="s">
        <v>1460</v>
      </c>
    </row>
    <row r="8373" spans="3:5">
      <c r="C8373">
        <v>359.49899999999997</v>
      </c>
      <c r="D8373" s="17">
        <v>43064</v>
      </c>
      <c r="E8373" t="s">
        <v>1460</v>
      </c>
    </row>
    <row r="8374" spans="3:5">
      <c r="C8374">
        <v>359.77199999999999</v>
      </c>
      <c r="D8374" s="17">
        <v>41785</v>
      </c>
      <c r="E8374" t="s">
        <v>256</v>
      </c>
    </row>
    <row r="8375" spans="3:5">
      <c r="C8375">
        <v>359.88</v>
      </c>
      <c r="D8375" s="17">
        <v>42072</v>
      </c>
      <c r="E8375" t="s">
        <v>367</v>
      </c>
    </row>
    <row r="8376" spans="3:5">
      <c r="C8376">
        <v>359.96999999999997</v>
      </c>
      <c r="D8376" s="17">
        <v>42681</v>
      </c>
      <c r="E8376" t="s">
        <v>727</v>
      </c>
    </row>
    <row r="8377" spans="3:5">
      <c r="C8377">
        <v>359.96999999999997</v>
      </c>
      <c r="D8377" s="17">
        <v>42772</v>
      </c>
      <c r="E8377" t="s">
        <v>216</v>
      </c>
    </row>
    <row r="8378" spans="3:5">
      <c r="C8378">
        <v>359.97</v>
      </c>
      <c r="D8378" s="17">
        <v>43046</v>
      </c>
      <c r="E8378" t="s">
        <v>727</v>
      </c>
    </row>
    <row r="8379" spans="3:5">
      <c r="C8379">
        <v>359.97600000000006</v>
      </c>
      <c r="D8379" s="17">
        <v>42549</v>
      </c>
      <c r="E8379" t="s">
        <v>1688</v>
      </c>
    </row>
    <row r="8380" spans="3:5">
      <c r="C8380">
        <v>359.97600000000006</v>
      </c>
      <c r="D8380" s="17">
        <v>42755</v>
      </c>
      <c r="E8380" t="s">
        <v>128</v>
      </c>
    </row>
    <row r="8381" spans="3:5">
      <c r="C8381">
        <v>359.98</v>
      </c>
      <c r="D8381" s="17">
        <v>41839</v>
      </c>
      <c r="E8381" t="s">
        <v>1337</v>
      </c>
    </row>
    <row r="8382" spans="3:5">
      <c r="C8382">
        <v>359.98</v>
      </c>
      <c r="D8382" s="17">
        <v>42667</v>
      </c>
      <c r="E8382" t="s">
        <v>1659</v>
      </c>
    </row>
    <row r="8383" spans="3:5">
      <c r="C8383">
        <v>360</v>
      </c>
      <c r="D8383" s="17">
        <v>41947</v>
      </c>
      <c r="E8383" t="s">
        <v>488</v>
      </c>
    </row>
    <row r="8384" spans="3:5">
      <c r="C8384">
        <v>360</v>
      </c>
      <c r="D8384" s="17">
        <v>42827</v>
      </c>
      <c r="E8384" t="s">
        <v>488</v>
      </c>
    </row>
    <row r="8385" spans="3:5">
      <c r="C8385">
        <v>360.38</v>
      </c>
      <c r="D8385" s="17">
        <v>42350</v>
      </c>
      <c r="E8385" t="s">
        <v>816</v>
      </c>
    </row>
    <row r="8386" spans="3:5">
      <c r="C8386">
        <v>360.38</v>
      </c>
      <c r="D8386" s="17">
        <v>42526</v>
      </c>
      <c r="E8386" t="s">
        <v>816</v>
      </c>
    </row>
    <row r="8387" spans="3:5">
      <c r="C8387">
        <v>360.38</v>
      </c>
      <c r="D8387" s="17">
        <v>42929</v>
      </c>
      <c r="E8387" t="s">
        <v>816</v>
      </c>
    </row>
    <row r="8388" spans="3:5">
      <c r="C8388">
        <v>360.71199999999999</v>
      </c>
      <c r="D8388" s="17">
        <v>42346</v>
      </c>
      <c r="E8388" t="s">
        <v>720</v>
      </c>
    </row>
    <row r="8389" spans="3:5">
      <c r="C8389">
        <v>361.37600000000003</v>
      </c>
      <c r="D8389" s="17">
        <v>42689</v>
      </c>
      <c r="E8389" t="s">
        <v>469</v>
      </c>
    </row>
    <row r="8390" spans="3:5">
      <c r="C8390">
        <v>361.37600000000003</v>
      </c>
      <c r="D8390" s="17">
        <v>43042</v>
      </c>
      <c r="E8390" t="s">
        <v>469</v>
      </c>
    </row>
    <row r="8391" spans="3:5">
      <c r="C8391">
        <v>361.76400000000001</v>
      </c>
      <c r="D8391" s="17">
        <v>42342</v>
      </c>
      <c r="E8391" t="s">
        <v>1420</v>
      </c>
    </row>
    <row r="8392" spans="3:5">
      <c r="C8392">
        <v>361.92</v>
      </c>
      <c r="D8392" s="17">
        <v>42714</v>
      </c>
      <c r="E8392" t="s">
        <v>680</v>
      </c>
    </row>
    <row r="8393" spans="3:5">
      <c r="C8393">
        <v>361.96</v>
      </c>
      <c r="D8393" s="17">
        <v>41997</v>
      </c>
      <c r="E8393" t="s">
        <v>123</v>
      </c>
    </row>
    <row r="8394" spans="3:5">
      <c r="C8394">
        <v>361.96</v>
      </c>
      <c r="D8394" s="17">
        <v>42257</v>
      </c>
      <c r="E8394" t="s">
        <v>719</v>
      </c>
    </row>
    <row r="8395" spans="3:5">
      <c r="C8395">
        <v>362.13599999999997</v>
      </c>
      <c r="D8395" s="17">
        <v>42287</v>
      </c>
      <c r="E8395" t="s">
        <v>456</v>
      </c>
    </row>
    <row r="8396" spans="3:5">
      <c r="C8396">
        <v>362.24999999999994</v>
      </c>
      <c r="D8396" s="17">
        <v>41699</v>
      </c>
      <c r="E8396" t="s">
        <v>660</v>
      </c>
    </row>
    <row r="8397" spans="3:5">
      <c r="C8397">
        <v>362.35199999999998</v>
      </c>
      <c r="D8397" s="17">
        <v>42942</v>
      </c>
      <c r="E8397" t="s">
        <v>429</v>
      </c>
    </row>
    <row r="8398" spans="3:5">
      <c r="C8398">
        <v>362.35199999999998</v>
      </c>
      <c r="D8398" s="17">
        <v>42988</v>
      </c>
      <c r="E8398" t="s">
        <v>565</v>
      </c>
    </row>
    <row r="8399" spans="3:5">
      <c r="C8399">
        <v>362.92</v>
      </c>
      <c r="D8399" s="17">
        <v>41945</v>
      </c>
      <c r="E8399" t="s">
        <v>409</v>
      </c>
    </row>
    <row r="8400" spans="3:5">
      <c r="C8400">
        <v>362.92</v>
      </c>
      <c r="D8400" s="17">
        <v>42430</v>
      </c>
      <c r="E8400" t="s">
        <v>409</v>
      </c>
    </row>
    <row r="8401" spans="3:5">
      <c r="C8401">
        <v>362.94</v>
      </c>
      <c r="D8401" s="17">
        <v>41902</v>
      </c>
      <c r="E8401" t="s">
        <v>547</v>
      </c>
    </row>
    <row r="8402" spans="3:5">
      <c r="C8402">
        <v>362.94</v>
      </c>
      <c r="D8402" s="17">
        <v>42915</v>
      </c>
      <c r="E8402" t="s">
        <v>901</v>
      </c>
    </row>
    <row r="8403" spans="3:5">
      <c r="C8403">
        <v>363.64800000000002</v>
      </c>
      <c r="D8403" s="17">
        <v>42273</v>
      </c>
      <c r="E8403" t="s">
        <v>50</v>
      </c>
    </row>
    <row r="8404" spans="3:5">
      <c r="C8404">
        <v>363.92</v>
      </c>
      <c r="D8404" s="17">
        <v>42572</v>
      </c>
      <c r="E8404" t="s">
        <v>1201</v>
      </c>
    </row>
    <row r="8405" spans="3:5">
      <c r="C8405">
        <v>363.92</v>
      </c>
      <c r="D8405" s="17">
        <v>42715</v>
      </c>
      <c r="E8405" t="s">
        <v>485</v>
      </c>
    </row>
    <row r="8406" spans="3:5">
      <c r="C8406">
        <v>364.08000000000004</v>
      </c>
      <c r="D8406" s="17">
        <v>43063</v>
      </c>
      <c r="E8406" t="s">
        <v>1104</v>
      </c>
    </row>
    <row r="8407" spans="3:5">
      <c r="C8407">
        <v>364.41</v>
      </c>
      <c r="D8407" s="17">
        <v>42342</v>
      </c>
      <c r="E8407" t="s">
        <v>1190</v>
      </c>
    </row>
    <row r="8408" spans="3:5">
      <c r="C8408">
        <v>364.70400000000006</v>
      </c>
      <c r="D8408" s="17">
        <v>42170</v>
      </c>
      <c r="E8408" t="s">
        <v>1577</v>
      </c>
    </row>
    <row r="8409" spans="3:5">
      <c r="C8409">
        <v>364.74</v>
      </c>
      <c r="D8409" s="17">
        <v>42520</v>
      </c>
      <c r="E8409" t="s">
        <v>571</v>
      </c>
    </row>
    <row r="8410" spans="3:5">
      <c r="C8410">
        <v>364.77600000000007</v>
      </c>
      <c r="D8410" s="17">
        <v>42297</v>
      </c>
      <c r="E8410" t="s">
        <v>253</v>
      </c>
    </row>
    <row r="8411" spans="3:5">
      <c r="C8411">
        <v>364.79999999999995</v>
      </c>
      <c r="D8411" s="17">
        <v>42369</v>
      </c>
      <c r="E8411" t="s">
        <v>831</v>
      </c>
    </row>
    <row r="8412" spans="3:5">
      <c r="C8412">
        <v>364.95</v>
      </c>
      <c r="D8412" s="17">
        <v>42349</v>
      </c>
      <c r="E8412" t="s">
        <v>1391</v>
      </c>
    </row>
    <row r="8413" spans="3:5">
      <c r="C8413">
        <v>366.00899999999996</v>
      </c>
      <c r="D8413" s="17">
        <v>42705</v>
      </c>
      <c r="E8413" t="s">
        <v>400</v>
      </c>
    </row>
    <row r="8414" spans="3:5">
      <c r="C8414">
        <v>366.74399999999997</v>
      </c>
      <c r="D8414" s="17">
        <v>42093</v>
      </c>
      <c r="E8414" t="s">
        <v>695</v>
      </c>
    </row>
    <row r="8415" spans="3:5">
      <c r="C8415">
        <v>366.74399999999997</v>
      </c>
      <c r="D8415" s="17">
        <v>42492</v>
      </c>
      <c r="E8415" t="s">
        <v>695</v>
      </c>
    </row>
    <row r="8416" spans="3:5">
      <c r="C8416">
        <v>366.786</v>
      </c>
      <c r="D8416" s="17">
        <v>41723</v>
      </c>
      <c r="E8416" t="s">
        <v>1544</v>
      </c>
    </row>
    <row r="8417" spans="3:5">
      <c r="C8417">
        <v>367.96</v>
      </c>
      <c r="D8417" s="17">
        <v>43092</v>
      </c>
      <c r="E8417" t="s">
        <v>1147</v>
      </c>
    </row>
    <row r="8418" spans="3:5">
      <c r="C8418">
        <v>368.91</v>
      </c>
      <c r="D8418" s="17">
        <v>42332</v>
      </c>
      <c r="E8418" t="s">
        <v>613</v>
      </c>
    </row>
    <row r="8419" spans="3:5">
      <c r="C8419">
        <v>368.91</v>
      </c>
      <c r="D8419" s="17">
        <v>42547</v>
      </c>
      <c r="E8419" t="s">
        <v>825</v>
      </c>
    </row>
    <row r="8420" spans="3:5">
      <c r="C8420">
        <v>368.91</v>
      </c>
      <c r="D8420" s="17">
        <v>42631</v>
      </c>
      <c r="E8420" t="s">
        <v>720</v>
      </c>
    </row>
    <row r="8421" spans="3:5">
      <c r="C8421">
        <v>368.96999999999997</v>
      </c>
      <c r="D8421" s="17">
        <v>42636</v>
      </c>
      <c r="E8421" t="s">
        <v>966</v>
      </c>
    </row>
    <row r="8422" spans="3:5">
      <c r="C8422">
        <v>368.96999999999997</v>
      </c>
      <c r="D8422" s="17">
        <v>42674</v>
      </c>
      <c r="E8422" t="s">
        <v>966</v>
      </c>
    </row>
    <row r="8423" spans="3:5">
      <c r="C8423">
        <v>368.96999999999997</v>
      </c>
      <c r="D8423" s="17">
        <v>42819</v>
      </c>
      <c r="E8423" t="s">
        <v>281</v>
      </c>
    </row>
    <row r="8424" spans="3:5">
      <c r="C8424">
        <v>369.16</v>
      </c>
      <c r="D8424" s="17">
        <v>43010</v>
      </c>
      <c r="E8424" t="s">
        <v>1189</v>
      </c>
    </row>
    <row r="8425" spans="3:5">
      <c r="C8425">
        <v>369.19919999999996</v>
      </c>
      <c r="D8425" s="17">
        <v>42222</v>
      </c>
      <c r="E8425" t="s">
        <v>1305</v>
      </c>
    </row>
    <row r="8426" spans="3:5">
      <c r="C8426">
        <v>369.54399999999998</v>
      </c>
      <c r="D8426" s="17">
        <v>42993</v>
      </c>
      <c r="E8426" t="s">
        <v>782</v>
      </c>
    </row>
    <row r="8427" spans="3:5">
      <c r="C8427">
        <v>369.54399999999998</v>
      </c>
      <c r="D8427" s="17">
        <v>43020</v>
      </c>
      <c r="E8427" t="s">
        <v>852</v>
      </c>
    </row>
    <row r="8428" spans="3:5">
      <c r="C8428">
        <v>369.57600000000002</v>
      </c>
      <c r="D8428" s="17">
        <v>42488</v>
      </c>
      <c r="E8428" t="s">
        <v>716</v>
      </c>
    </row>
    <row r="8429" spans="3:5">
      <c r="C8429">
        <v>369.91200000000003</v>
      </c>
      <c r="D8429" s="17">
        <v>42103</v>
      </c>
      <c r="E8429" t="s">
        <v>1648</v>
      </c>
    </row>
    <row r="8430" spans="3:5">
      <c r="C8430">
        <v>370.14</v>
      </c>
      <c r="D8430" s="17">
        <v>42103</v>
      </c>
      <c r="E8430" t="s">
        <v>1602</v>
      </c>
    </row>
    <row r="8431" spans="3:5">
      <c r="C8431">
        <v>370.62</v>
      </c>
      <c r="D8431" s="17">
        <v>42491</v>
      </c>
      <c r="E8431" t="s">
        <v>487</v>
      </c>
    </row>
    <row r="8432" spans="3:5">
      <c r="C8432">
        <v>370.78199999999998</v>
      </c>
      <c r="D8432" s="17">
        <v>43051</v>
      </c>
      <c r="E8432" t="s">
        <v>1345</v>
      </c>
    </row>
    <row r="8433" spans="3:5">
      <c r="C8433">
        <v>371.16800000000001</v>
      </c>
      <c r="D8433" s="17">
        <v>42365</v>
      </c>
      <c r="E8433" t="s">
        <v>1791</v>
      </c>
    </row>
    <row r="8434" spans="3:5">
      <c r="C8434">
        <v>371.2</v>
      </c>
      <c r="D8434" s="17">
        <v>42771</v>
      </c>
      <c r="E8434" t="s">
        <v>215</v>
      </c>
    </row>
    <row r="8435" spans="3:5">
      <c r="C8435">
        <v>371.96999999999997</v>
      </c>
      <c r="D8435" s="17">
        <v>42316</v>
      </c>
      <c r="E8435" t="s">
        <v>140</v>
      </c>
    </row>
    <row r="8436" spans="3:5">
      <c r="C8436">
        <v>371.96999999999997</v>
      </c>
      <c r="D8436" s="17">
        <v>42386</v>
      </c>
      <c r="E8436" t="s">
        <v>140</v>
      </c>
    </row>
    <row r="8437" spans="3:5">
      <c r="C8437">
        <v>371.96999999999997</v>
      </c>
      <c r="D8437" s="17">
        <v>43011</v>
      </c>
      <c r="E8437" t="s">
        <v>140</v>
      </c>
    </row>
    <row r="8438" spans="3:5">
      <c r="C8438">
        <v>371.97600000000006</v>
      </c>
      <c r="D8438" s="17">
        <v>42516</v>
      </c>
      <c r="E8438" t="s">
        <v>1283</v>
      </c>
    </row>
    <row r="8439" spans="3:5">
      <c r="C8439">
        <v>372.14400000000001</v>
      </c>
      <c r="D8439" s="17">
        <v>42737</v>
      </c>
      <c r="E8439" t="s">
        <v>63</v>
      </c>
    </row>
    <row r="8440" spans="3:5">
      <c r="C8440">
        <v>373.08</v>
      </c>
      <c r="D8440" s="17">
        <v>42071</v>
      </c>
      <c r="E8440" t="s">
        <v>1527</v>
      </c>
    </row>
    <row r="8441" spans="3:5">
      <c r="C8441">
        <v>373.08</v>
      </c>
      <c r="D8441" s="17">
        <v>42626</v>
      </c>
      <c r="E8441" t="s">
        <v>137</v>
      </c>
    </row>
    <row r="8442" spans="3:5">
      <c r="C8442">
        <v>373.46999999999991</v>
      </c>
      <c r="D8442" s="17">
        <v>42858</v>
      </c>
      <c r="E8442" t="s">
        <v>627</v>
      </c>
    </row>
    <row r="8443" spans="3:5">
      <c r="C8443">
        <v>374.37600000000003</v>
      </c>
      <c r="D8443" s="17">
        <v>43076</v>
      </c>
      <c r="E8443" t="s">
        <v>1019</v>
      </c>
    </row>
    <row r="8444" spans="3:5">
      <c r="C8444">
        <v>375.34</v>
      </c>
      <c r="D8444" s="17">
        <v>41862</v>
      </c>
      <c r="E8444" t="s">
        <v>148</v>
      </c>
    </row>
    <row r="8445" spans="3:5">
      <c r="C8445">
        <v>375.34</v>
      </c>
      <c r="D8445" s="17">
        <v>43090</v>
      </c>
      <c r="E8445" t="s">
        <v>148</v>
      </c>
    </row>
    <row r="8446" spans="3:5">
      <c r="C8446">
        <v>375.45750000000004</v>
      </c>
      <c r="D8446" s="17">
        <v>42335</v>
      </c>
      <c r="E8446" t="s">
        <v>1104</v>
      </c>
    </row>
    <row r="8447" spans="3:5">
      <c r="C8447">
        <v>376.50899999999996</v>
      </c>
      <c r="D8447" s="17">
        <v>41699</v>
      </c>
      <c r="E8447" t="s">
        <v>1875</v>
      </c>
    </row>
    <row r="8448" spans="3:5">
      <c r="C8448">
        <v>376.74</v>
      </c>
      <c r="D8448" s="17">
        <v>42614</v>
      </c>
      <c r="E8448" t="s">
        <v>1376</v>
      </c>
    </row>
    <row r="8449" spans="3:5">
      <c r="C8449">
        <v>376.86599999999999</v>
      </c>
      <c r="D8449" s="17">
        <v>42538</v>
      </c>
      <c r="E8449" t="s">
        <v>1745</v>
      </c>
    </row>
    <row r="8450" spans="3:5">
      <c r="C8450">
        <v>377.45</v>
      </c>
      <c r="D8450" s="17">
        <v>42722</v>
      </c>
      <c r="E8450" t="s">
        <v>832</v>
      </c>
    </row>
    <row r="8451" spans="3:5">
      <c r="C8451">
        <v>377.92800000000005</v>
      </c>
      <c r="D8451" s="17">
        <v>42378</v>
      </c>
      <c r="E8451" t="s">
        <v>919</v>
      </c>
    </row>
    <row r="8452" spans="3:5">
      <c r="C8452">
        <v>377.96999999999997</v>
      </c>
      <c r="D8452" s="17">
        <v>41889</v>
      </c>
      <c r="E8452" t="s">
        <v>1885</v>
      </c>
    </row>
    <row r="8453" spans="3:5">
      <c r="C8453">
        <v>377.96999999999997</v>
      </c>
      <c r="D8453" s="17">
        <v>42132</v>
      </c>
      <c r="E8453" t="s">
        <v>794</v>
      </c>
    </row>
    <row r="8454" spans="3:5">
      <c r="C8454">
        <v>377.96999999999997</v>
      </c>
      <c r="D8454" s="17">
        <v>42321</v>
      </c>
      <c r="E8454" t="s">
        <v>876</v>
      </c>
    </row>
    <row r="8455" spans="3:5">
      <c r="C8455">
        <v>377.96999999999997</v>
      </c>
      <c r="D8455" s="17">
        <v>42534</v>
      </c>
      <c r="E8455" t="s">
        <v>1124</v>
      </c>
    </row>
    <row r="8456" spans="3:5">
      <c r="C8456">
        <v>377.96999999999997</v>
      </c>
      <c r="D8456" s="17">
        <v>42874</v>
      </c>
      <c r="E8456" t="s">
        <v>718</v>
      </c>
    </row>
    <row r="8457" spans="3:5">
      <c r="C8457">
        <v>378</v>
      </c>
      <c r="D8457" s="17">
        <v>42626</v>
      </c>
      <c r="E8457" t="s">
        <v>1516</v>
      </c>
    </row>
    <row r="8458" spans="3:5">
      <c r="C8458">
        <v>379.37200000000001</v>
      </c>
      <c r="D8458" s="17">
        <v>42533</v>
      </c>
      <c r="E8458" t="s">
        <v>914</v>
      </c>
    </row>
    <row r="8459" spans="3:5">
      <c r="C8459">
        <v>379.4</v>
      </c>
      <c r="D8459" s="17">
        <v>42666</v>
      </c>
      <c r="E8459" t="s">
        <v>1595</v>
      </c>
    </row>
    <row r="8460" spans="3:5">
      <c r="C8460">
        <v>379.96000000000004</v>
      </c>
      <c r="D8460" s="17">
        <v>42442</v>
      </c>
      <c r="E8460" t="s">
        <v>1130</v>
      </c>
    </row>
    <row r="8461" spans="3:5">
      <c r="C8461">
        <v>380.05799999999994</v>
      </c>
      <c r="D8461" s="17">
        <v>42688</v>
      </c>
      <c r="E8461" t="s">
        <v>302</v>
      </c>
    </row>
    <row r="8462" spans="3:5">
      <c r="C8462">
        <v>380.86400000000003</v>
      </c>
      <c r="D8462" s="17">
        <v>42565</v>
      </c>
      <c r="E8462" t="s">
        <v>495</v>
      </c>
    </row>
    <row r="8463" spans="3:5">
      <c r="C8463">
        <v>381.35999999999996</v>
      </c>
      <c r="D8463" s="17">
        <v>42813</v>
      </c>
      <c r="E8463" t="s">
        <v>402</v>
      </c>
    </row>
    <row r="8464" spans="3:5">
      <c r="C8464">
        <v>381.44000000000005</v>
      </c>
      <c r="D8464" s="17">
        <v>41966</v>
      </c>
      <c r="E8464" t="s">
        <v>652</v>
      </c>
    </row>
    <row r="8465" spans="3:5">
      <c r="C8465">
        <v>381.57600000000002</v>
      </c>
      <c r="D8465" s="17">
        <v>42894</v>
      </c>
      <c r="E8465" t="s">
        <v>807</v>
      </c>
    </row>
    <row r="8466" spans="3:5">
      <c r="C8466">
        <v>381.72</v>
      </c>
      <c r="D8466" s="17">
        <v>41961</v>
      </c>
      <c r="E8466" t="s">
        <v>624</v>
      </c>
    </row>
    <row r="8467" spans="3:5">
      <c r="C8467">
        <v>382.11599999999999</v>
      </c>
      <c r="D8467" s="17">
        <v>42187</v>
      </c>
      <c r="E8467" t="s">
        <v>485</v>
      </c>
    </row>
    <row r="8468" spans="3:5">
      <c r="C8468">
        <v>382.80599999999998</v>
      </c>
      <c r="D8468" s="17">
        <v>42225</v>
      </c>
      <c r="E8468" t="s">
        <v>1115</v>
      </c>
    </row>
    <row r="8469" spans="3:5">
      <c r="C8469">
        <v>383.43799999999999</v>
      </c>
      <c r="D8469" s="17">
        <v>42631</v>
      </c>
      <c r="E8469" t="s">
        <v>400</v>
      </c>
    </row>
    <row r="8470" spans="3:5">
      <c r="C8470">
        <v>383.46559999999994</v>
      </c>
      <c r="D8470" s="17">
        <v>42082</v>
      </c>
      <c r="E8470" t="s">
        <v>1132</v>
      </c>
    </row>
    <row r="8471" spans="3:5">
      <c r="C8471">
        <v>383.60699999999997</v>
      </c>
      <c r="D8471" s="17">
        <v>42197</v>
      </c>
      <c r="E8471" t="s">
        <v>1609</v>
      </c>
    </row>
    <row r="8472" spans="3:5">
      <c r="C8472">
        <v>383.60700000000003</v>
      </c>
      <c r="D8472" s="17">
        <v>42068</v>
      </c>
      <c r="E8472" t="s">
        <v>1013</v>
      </c>
    </row>
    <row r="8473" spans="3:5">
      <c r="C8473">
        <v>383.64</v>
      </c>
      <c r="D8473" s="17">
        <v>42716</v>
      </c>
      <c r="E8473" t="s">
        <v>1229</v>
      </c>
    </row>
    <row r="8474" spans="3:5">
      <c r="C8474">
        <v>383.8</v>
      </c>
      <c r="D8474" s="17">
        <v>42474</v>
      </c>
      <c r="E8474" t="s">
        <v>1098</v>
      </c>
    </row>
    <row r="8475" spans="3:5">
      <c r="C8475">
        <v>383.84000000000003</v>
      </c>
      <c r="D8475" s="17">
        <v>42829</v>
      </c>
      <c r="E8475" t="s">
        <v>493</v>
      </c>
    </row>
    <row r="8476" spans="3:5">
      <c r="C8476">
        <v>383.952</v>
      </c>
      <c r="D8476" s="17">
        <v>42101</v>
      </c>
      <c r="E8476" t="s">
        <v>221</v>
      </c>
    </row>
    <row r="8477" spans="3:5">
      <c r="C8477">
        <v>383.952</v>
      </c>
      <c r="D8477" s="17">
        <v>42716</v>
      </c>
      <c r="E8477" t="s">
        <v>1395</v>
      </c>
    </row>
    <row r="8478" spans="3:5">
      <c r="C8478">
        <v>383.96000000000004</v>
      </c>
      <c r="D8478" s="17">
        <v>41938</v>
      </c>
      <c r="E8478" t="s">
        <v>255</v>
      </c>
    </row>
    <row r="8479" spans="3:5">
      <c r="C8479">
        <v>383.96000000000004</v>
      </c>
      <c r="D8479" s="17">
        <v>43002</v>
      </c>
      <c r="E8479" t="s">
        <v>255</v>
      </c>
    </row>
    <row r="8480" spans="3:5">
      <c r="C8480">
        <v>383.97600000000006</v>
      </c>
      <c r="D8480" s="17">
        <v>41740</v>
      </c>
      <c r="E8480" t="s">
        <v>1194</v>
      </c>
    </row>
    <row r="8481" spans="3:5">
      <c r="C8481">
        <v>383.97600000000006</v>
      </c>
      <c r="D8481" s="17">
        <v>43069</v>
      </c>
      <c r="E8481" t="s">
        <v>1194</v>
      </c>
    </row>
    <row r="8482" spans="3:5">
      <c r="C8482">
        <v>384.17399999999998</v>
      </c>
      <c r="D8482" s="17">
        <v>42342</v>
      </c>
      <c r="E8482" t="s">
        <v>658</v>
      </c>
    </row>
    <row r="8483" spans="3:5">
      <c r="C8483">
        <v>384.45000000000005</v>
      </c>
      <c r="D8483" s="17">
        <v>42709</v>
      </c>
      <c r="E8483" t="s">
        <v>1243</v>
      </c>
    </row>
    <row r="8484" spans="3:5">
      <c r="C8484">
        <v>384.59200000000004</v>
      </c>
      <c r="D8484" s="17">
        <v>43041</v>
      </c>
      <c r="E8484" t="s">
        <v>494</v>
      </c>
    </row>
    <row r="8485" spans="3:5">
      <c r="C8485">
        <v>384.76799999999997</v>
      </c>
      <c r="D8485" s="17">
        <v>42889</v>
      </c>
      <c r="E8485" t="s">
        <v>245</v>
      </c>
    </row>
    <row r="8486" spans="3:5">
      <c r="C8486">
        <v>384.94399999999996</v>
      </c>
      <c r="D8486" s="17">
        <v>42205</v>
      </c>
      <c r="E8486" t="s">
        <v>1841</v>
      </c>
    </row>
    <row r="8487" spans="3:5">
      <c r="C8487">
        <v>385.6</v>
      </c>
      <c r="D8487" s="17">
        <v>42910</v>
      </c>
      <c r="E8487" t="s">
        <v>882</v>
      </c>
    </row>
    <row r="8488" spans="3:5">
      <c r="C8488">
        <v>385.68599999999998</v>
      </c>
      <c r="D8488" s="17">
        <v>41943</v>
      </c>
      <c r="E8488" t="s">
        <v>1665</v>
      </c>
    </row>
    <row r="8489" spans="3:5">
      <c r="C8489">
        <v>385.80000000000007</v>
      </c>
      <c r="D8489" s="17">
        <v>42897</v>
      </c>
      <c r="E8489" t="s">
        <v>829</v>
      </c>
    </row>
    <row r="8490" spans="3:5">
      <c r="C8490">
        <v>386.34</v>
      </c>
      <c r="D8490" s="17">
        <v>41918</v>
      </c>
      <c r="E8490" t="s">
        <v>239</v>
      </c>
    </row>
    <row r="8491" spans="3:5">
      <c r="C8491">
        <v>386.67999999999995</v>
      </c>
      <c r="D8491" s="17">
        <v>42442</v>
      </c>
      <c r="E8491" t="s">
        <v>701</v>
      </c>
    </row>
    <row r="8492" spans="3:5">
      <c r="C8492">
        <v>386.91</v>
      </c>
      <c r="D8492" s="17">
        <v>42786</v>
      </c>
      <c r="E8492" t="s">
        <v>272</v>
      </c>
    </row>
    <row r="8493" spans="3:5">
      <c r="C8493">
        <v>387.13600000000002</v>
      </c>
      <c r="D8493" s="17">
        <v>42313</v>
      </c>
      <c r="E8493" t="s">
        <v>901</v>
      </c>
    </row>
    <row r="8494" spans="3:5">
      <c r="C8494">
        <v>387.13600000000002</v>
      </c>
      <c r="D8494" s="17">
        <v>42663</v>
      </c>
      <c r="E8494" t="s">
        <v>1308</v>
      </c>
    </row>
    <row r="8495" spans="3:5">
      <c r="C8495">
        <v>387.13600000000002</v>
      </c>
      <c r="D8495" s="17">
        <v>42715</v>
      </c>
      <c r="E8495" t="s">
        <v>901</v>
      </c>
    </row>
    <row r="8496" spans="3:5">
      <c r="C8496">
        <v>387.13600000000002</v>
      </c>
      <c r="D8496" s="17">
        <v>42848</v>
      </c>
      <c r="E8496" t="s">
        <v>586</v>
      </c>
    </row>
    <row r="8497" spans="3:5">
      <c r="C8497">
        <v>387.72</v>
      </c>
      <c r="D8497" s="17">
        <v>42651</v>
      </c>
      <c r="E8497" t="s">
        <v>1600</v>
      </c>
    </row>
    <row r="8498" spans="3:5">
      <c r="C8498">
        <v>387.99</v>
      </c>
      <c r="D8498" s="17">
        <v>42966</v>
      </c>
      <c r="E8498" t="s">
        <v>1070</v>
      </c>
    </row>
    <row r="8499" spans="3:5">
      <c r="C8499">
        <v>388.42999999999995</v>
      </c>
      <c r="D8499" s="17">
        <v>42516</v>
      </c>
      <c r="E8499" t="s">
        <v>1369</v>
      </c>
    </row>
    <row r="8500" spans="3:5">
      <c r="C8500">
        <v>388.70400000000006</v>
      </c>
      <c r="D8500" s="17">
        <v>42468</v>
      </c>
      <c r="E8500" t="s">
        <v>600</v>
      </c>
    </row>
    <row r="8501" spans="3:5">
      <c r="C8501">
        <v>388.70400000000006</v>
      </c>
      <c r="D8501" s="17">
        <v>42968</v>
      </c>
      <c r="E8501" t="s">
        <v>1083</v>
      </c>
    </row>
    <row r="8502" spans="3:5">
      <c r="C8502">
        <v>389.05600000000004</v>
      </c>
      <c r="D8502" s="17">
        <v>43057</v>
      </c>
      <c r="E8502" t="s">
        <v>571</v>
      </c>
    </row>
    <row r="8503" spans="3:5">
      <c r="C8503">
        <v>389.69600000000003</v>
      </c>
      <c r="D8503" s="17">
        <v>42063</v>
      </c>
      <c r="E8503" t="s">
        <v>1609</v>
      </c>
    </row>
    <row r="8504" spans="3:5">
      <c r="C8504">
        <v>389.97</v>
      </c>
      <c r="D8504" s="17">
        <v>42286</v>
      </c>
      <c r="E8504" t="s">
        <v>743</v>
      </c>
    </row>
    <row r="8505" spans="3:5">
      <c r="C8505">
        <v>389.97</v>
      </c>
      <c r="D8505" s="17">
        <v>42532</v>
      </c>
      <c r="E8505" t="s">
        <v>986</v>
      </c>
    </row>
    <row r="8506" spans="3:5">
      <c r="C8506">
        <v>389.97</v>
      </c>
      <c r="D8506" s="17">
        <v>42570</v>
      </c>
      <c r="E8506" t="s">
        <v>986</v>
      </c>
    </row>
    <row r="8507" spans="3:5">
      <c r="C8507">
        <v>389.97</v>
      </c>
      <c r="D8507" s="17">
        <v>42704</v>
      </c>
      <c r="E8507" t="s">
        <v>743</v>
      </c>
    </row>
    <row r="8508" spans="3:5">
      <c r="C8508">
        <v>389.97</v>
      </c>
      <c r="D8508" s="17">
        <v>42936</v>
      </c>
      <c r="E8508" t="s">
        <v>986</v>
      </c>
    </row>
    <row r="8509" spans="3:5">
      <c r="C8509">
        <v>390.27199999999999</v>
      </c>
      <c r="D8509" s="17">
        <v>42518</v>
      </c>
      <c r="E8509" t="s">
        <v>985</v>
      </c>
    </row>
    <row r="8510" spans="3:5">
      <c r="C8510">
        <v>390.36799999999999</v>
      </c>
      <c r="D8510" s="17">
        <v>43068</v>
      </c>
      <c r="E8510" t="s">
        <v>880</v>
      </c>
    </row>
    <row r="8511" spans="3:5">
      <c r="C8511">
        <v>390.75</v>
      </c>
      <c r="D8511" s="17">
        <v>43044</v>
      </c>
      <c r="E8511" t="s">
        <v>1381</v>
      </c>
    </row>
    <row r="8512" spans="3:5">
      <c r="C8512">
        <v>391.98</v>
      </c>
      <c r="D8512" s="17">
        <v>41645</v>
      </c>
      <c r="E8512" t="s">
        <v>647</v>
      </c>
    </row>
    <row r="8513" spans="3:5">
      <c r="C8513">
        <v>391.98</v>
      </c>
      <c r="D8513" s="17">
        <v>43000</v>
      </c>
      <c r="E8513" t="s">
        <v>647</v>
      </c>
    </row>
    <row r="8514" spans="3:5">
      <c r="C8514">
        <v>391.98</v>
      </c>
      <c r="D8514" s="17">
        <v>43002</v>
      </c>
      <c r="E8514" t="s">
        <v>431</v>
      </c>
    </row>
    <row r="8515" spans="3:5">
      <c r="C8515">
        <v>392.93999999999994</v>
      </c>
      <c r="D8515" s="17">
        <v>41961</v>
      </c>
      <c r="E8515" t="s">
        <v>684</v>
      </c>
    </row>
    <row r="8516" spans="3:5">
      <c r="C8516">
        <v>392.93999999999994</v>
      </c>
      <c r="D8516" s="17">
        <v>42281</v>
      </c>
      <c r="E8516" t="s">
        <v>684</v>
      </c>
    </row>
    <row r="8517" spans="3:5">
      <c r="C8517">
        <v>393.16500000000002</v>
      </c>
      <c r="D8517" s="17">
        <v>42211</v>
      </c>
      <c r="E8517" t="s">
        <v>1088</v>
      </c>
    </row>
    <row r="8518" spans="3:5">
      <c r="C8518">
        <v>393.16500000000002</v>
      </c>
      <c r="D8518" s="17">
        <v>42638</v>
      </c>
      <c r="E8518" t="s">
        <v>1088</v>
      </c>
    </row>
    <row r="8519" spans="3:5">
      <c r="C8519">
        <v>393.25</v>
      </c>
      <c r="D8519" s="17">
        <v>42633</v>
      </c>
      <c r="E8519" t="s">
        <v>1114</v>
      </c>
    </row>
    <row r="8520" spans="3:5">
      <c r="C8520">
        <v>393.54</v>
      </c>
      <c r="D8520" s="17">
        <v>42329</v>
      </c>
      <c r="E8520" t="s">
        <v>304</v>
      </c>
    </row>
    <row r="8521" spans="3:5">
      <c r="C8521">
        <v>393.56799999999998</v>
      </c>
      <c r="D8521" s="17">
        <v>43098</v>
      </c>
      <c r="E8521" t="s">
        <v>281</v>
      </c>
    </row>
    <row r="8522" spans="3:5">
      <c r="C8522">
        <v>394.81600000000003</v>
      </c>
      <c r="D8522" s="17">
        <v>42707</v>
      </c>
      <c r="E8522" t="s">
        <v>1602</v>
      </c>
    </row>
    <row r="8523" spans="3:5">
      <c r="C8523">
        <v>395</v>
      </c>
      <c r="D8523" s="17">
        <v>41989</v>
      </c>
      <c r="E8523" t="s">
        <v>1358</v>
      </c>
    </row>
    <row r="8524" spans="3:5">
      <c r="C8524">
        <v>395.93999999999994</v>
      </c>
      <c r="D8524" s="17">
        <v>42993</v>
      </c>
      <c r="E8524" t="s">
        <v>1203</v>
      </c>
    </row>
    <row r="8525" spans="3:5">
      <c r="C8525">
        <v>396</v>
      </c>
      <c r="D8525" s="17">
        <v>42630</v>
      </c>
      <c r="E8525" t="s">
        <v>1690</v>
      </c>
    </row>
    <row r="8526" spans="3:5">
      <c r="C8526">
        <v>396.80200000000002</v>
      </c>
      <c r="D8526" s="17">
        <v>42329</v>
      </c>
      <c r="E8526" t="s">
        <v>1083</v>
      </c>
    </row>
    <row r="8527" spans="3:5">
      <c r="C8527">
        <v>396.92</v>
      </c>
      <c r="D8527" s="17">
        <v>42718</v>
      </c>
      <c r="E8527" t="s">
        <v>939</v>
      </c>
    </row>
    <row r="8528" spans="3:5">
      <c r="C8528">
        <v>396.92000000000007</v>
      </c>
      <c r="D8528" s="17">
        <v>42930</v>
      </c>
      <c r="E8528" t="s">
        <v>939</v>
      </c>
    </row>
    <row r="8529" spans="3:5">
      <c r="C8529">
        <v>397.59999999999997</v>
      </c>
      <c r="D8529" s="17">
        <v>41971</v>
      </c>
      <c r="E8529" t="s">
        <v>1646</v>
      </c>
    </row>
    <row r="8530" spans="3:5">
      <c r="C8530">
        <v>398.35199999999998</v>
      </c>
      <c r="D8530" s="17">
        <v>42308</v>
      </c>
      <c r="E8530" t="s">
        <v>750</v>
      </c>
    </row>
    <row r="8531" spans="3:5">
      <c r="C8531">
        <v>398.35199999999998</v>
      </c>
      <c r="D8531" s="17">
        <v>42415</v>
      </c>
      <c r="E8531" t="s">
        <v>750</v>
      </c>
    </row>
    <row r="8532" spans="3:5">
      <c r="C8532">
        <v>398.35200000000003</v>
      </c>
      <c r="D8532" s="17">
        <v>41772</v>
      </c>
      <c r="E8532" t="s">
        <v>750</v>
      </c>
    </row>
    <row r="8533" spans="3:5">
      <c r="C8533">
        <v>398.40000000000003</v>
      </c>
      <c r="D8533" s="17">
        <v>42007</v>
      </c>
      <c r="E8533" t="s">
        <v>1792</v>
      </c>
    </row>
    <row r="8534" spans="3:5">
      <c r="C8534">
        <v>398.97199999999998</v>
      </c>
      <c r="D8534" s="17">
        <v>43070</v>
      </c>
      <c r="E8534" t="s">
        <v>1122</v>
      </c>
    </row>
    <row r="8535" spans="3:5">
      <c r="C8535">
        <v>399.53999999999996</v>
      </c>
      <c r="D8535" s="17">
        <v>42150</v>
      </c>
      <c r="E8535" t="s">
        <v>460</v>
      </c>
    </row>
    <row r="8536" spans="3:5">
      <c r="C8536">
        <v>399.54</v>
      </c>
      <c r="D8536" s="17">
        <v>41889</v>
      </c>
      <c r="E8536" t="s">
        <v>460</v>
      </c>
    </row>
    <row r="8537" spans="3:5">
      <c r="C8537">
        <v>399.67200000000003</v>
      </c>
      <c r="D8537" s="17">
        <v>42751</v>
      </c>
      <c r="E8537" t="s">
        <v>112</v>
      </c>
    </row>
    <row r="8538" spans="3:5">
      <c r="C8538">
        <v>399.67200000000003</v>
      </c>
      <c r="D8538" s="17">
        <v>42797</v>
      </c>
      <c r="E8538" t="s">
        <v>112</v>
      </c>
    </row>
    <row r="8539" spans="3:5">
      <c r="C8539">
        <v>399.95</v>
      </c>
      <c r="D8539" s="17">
        <v>42939</v>
      </c>
      <c r="E8539" t="s">
        <v>654</v>
      </c>
    </row>
    <row r="8540" spans="3:5">
      <c r="C8540">
        <v>399.95</v>
      </c>
      <c r="D8540" s="17">
        <v>43073</v>
      </c>
      <c r="E8540" t="s">
        <v>1301</v>
      </c>
    </row>
    <row r="8541" spans="3:5">
      <c r="C8541">
        <v>399.96</v>
      </c>
      <c r="D8541" s="17">
        <v>41737</v>
      </c>
      <c r="E8541" t="s">
        <v>335</v>
      </c>
    </row>
    <row r="8542" spans="3:5">
      <c r="C8542">
        <v>399.96000000000004</v>
      </c>
      <c r="D8542" s="17">
        <v>41855</v>
      </c>
      <c r="E8542" t="s">
        <v>1733</v>
      </c>
    </row>
    <row r="8543" spans="3:5">
      <c r="C8543">
        <v>399.98</v>
      </c>
      <c r="D8543" s="17">
        <v>42729</v>
      </c>
      <c r="E8543" t="s">
        <v>232</v>
      </c>
    </row>
    <row r="8544" spans="3:5">
      <c r="C8544">
        <v>400.03199999999998</v>
      </c>
      <c r="D8544" s="17">
        <v>42707</v>
      </c>
      <c r="E8544" t="s">
        <v>345</v>
      </c>
    </row>
    <row r="8545" spans="3:5">
      <c r="C8545">
        <v>400.78400000000005</v>
      </c>
      <c r="D8545" s="17">
        <v>42911</v>
      </c>
      <c r="E8545" t="s">
        <v>889</v>
      </c>
    </row>
    <row r="8546" spans="3:5">
      <c r="C8546">
        <v>400.79999999999995</v>
      </c>
      <c r="D8546" s="17">
        <v>43049</v>
      </c>
      <c r="E8546" t="s">
        <v>1403</v>
      </c>
    </row>
    <row r="8547" spans="3:5">
      <c r="C8547">
        <v>401.59000000000003</v>
      </c>
      <c r="D8547" s="17">
        <v>41749</v>
      </c>
      <c r="E8547" t="s">
        <v>1272</v>
      </c>
    </row>
    <row r="8548" spans="3:5">
      <c r="C8548">
        <v>403.16800000000001</v>
      </c>
      <c r="D8548" s="17">
        <v>42453</v>
      </c>
      <c r="E8548" t="s">
        <v>876</v>
      </c>
    </row>
    <row r="8549" spans="3:5">
      <c r="C8549">
        <v>403.56</v>
      </c>
      <c r="D8549" s="17">
        <v>42576</v>
      </c>
      <c r="E8549" t="s">
        <v>114</v>
      </c>
    </row>
    <row r="8550" spans="3:5">
      <c r="C8550">
        <v>403.68</v>
      </c>
      <c r="D8550" s="17">
        <v>42156</v>
      </c>
      <c r="E8550" t="s">
        <v>298</v>
      </c>
    </row>
    <row r="8551" spans="3:5">
      <c r="C8551">
        <v>403.92</v>
      </c>
      <c r="D8551" s="17">
        <v>42715</v>
      </c>
      <c r="E8551" t="s">
        <v>575</v>
      </c>
    </row>
    <row r="8552" spans="3:5">
      <c r="C8552">
        <v>404.90000000000003</v>
      </c>
      <c r="D8552" s="17">
        <v>41905</v>
      </c>
      <c r="E8552" t="s">
        <v>131</v>
      </c>
    </row>
    <row r="8553" spans="3:5">
      <c r="C8553">
        <v>404.93999999999994</v>
      </c>
      <c r="D8553" s="17">
        <v>42695</v>
      </c>
      <c r="E8553" t="s">
        <v>264</v>
      </c>
    </row>
    <row r="8554" spans="3:5">
      <c r="C8554">
        <v>405.64</v>
      </c>
      <c r="D8554" s="17">
        <v>41943</v>
      </c>
      <c r="E8554" t="s">
        <v>1423</v>
      </c>
    </row>
    <row r="8555" spans="3:5">
      <c r="C8555">
        <v>405.85999999999996</v>
      </c>
      <c r="D8555" s="17">
        <v>42712</v>
      </c>
      <c r="E8555" t="s">
        <v>1594</v>
      </c>
    </row>
    <row r="8556" spans="3:5">
      <c r="C8556">
        <v>406.36799999999999</v>
      </c>
      <c r="D8556" s="17">
        <v>43070</v>
      </c>
      <c r="E8556" t="s">
        <v>1475</v>
      </c>
    </row>
    <row r="8557" spans="3:5">
      <c r="C8557">
        <v>406.59999999999997</v>
      </c>
      <c r="D8557" s="17">
        <v>42105</v>
      </c>
      <c r="E8557" t="s">
        <v>1182</v>
      </c>
    </row>
    <row r="8558" spans="3:5">
      <c r="C8558">
        <v>406.59999999999997</v>
      </c>
      <c r="D8558" s="17">
        <v>42989</v>
      </c>
      <c r="E8558" t="s">
        <v>1182</v>
      </c>
    </row>
    <row r="8559" spans="3:5">
      <c r="C8559">
        <v>407.97600000000006</v>
      </c>
      <c r="D8559" s="17">
        <v>42709</v>
      </c>
      <c r="E8559" t="s">
        <v>917</v>
      </c>
    </row>
    <row r="8560" spans="3:5">
      <c r="C8560">
        <v>408.00599999999997</v>
      </c>
      <c r="D8560" s="17">
        <v>42560</v>
      </c>
      <c r="E8560" t="s">
        <v>1486</v>
      </c>
    </row>
    <row r="8561" spans="3:5">
      <c r="C8561">
        <v>408.00599999999997</v>
      </c>
      <c r="D8561" s="17">
        <v>42688</v>
      </c>
      <c r="E8561" t="s">
        <v>1486</v>
      </c>
    </row>
    <row r="8562" spans="3:5">
      <c r="C8562">
        <v>408.42200000000003</v>
      </c>
      <c r="D8562" s="17">
        <v>42120</v>
      </c>
      <c r="E8562" t="s">
        <v>650</v>
      </c>
    </row>
    <row r="8563" spans="3:5">
      <c r="C8563">
        <v>408.42200000000003</v>
      </c>
      <c r="D8563" s="17">
        <v>42187</v>
      </c>
      <c r="E8563" t="s">
        <v>650</v>
      </c>
    </row>
    <row r="8564" spans="3:5">
      <c r="C8564">
        <v>408.74399999999997</v>
      </c>
      <c r="D8564" s="17">
        <v>41978</v>
      </c>
      <c r="E8564" t="s">
        <v>643</v>
      </c>
    </row>
    <row r="8565" spans="3:5">
      <c r="C8565">
        <v>408.74399999999997</v>
      </c>
      <c r="D8565" s="17">
        <v>42475</v>
      </c>
      <c r="E8565" t="s">
        <v>643</v>
      </c>
    </row>
    <row r="8566" spans="3:5">
      <c r="C8566">
        <v>408.74399999999997</v>
      </c>
      <c r="D8566" s="17">
        <v>42861</v>
      </c>
      <c r="E8566" t="s">
        <v>643</v>
      </c>
    </row>
    <row r="8567" spans="3:5">
      <c r="C8567">
        <v>409.21600000000001</v>
      </c>
      <c r="D8567" s="17">
        <v>42997</v>
      </c>
      <c r="E8567" t="s">
        <v>1229</v>
      </c>
    </row>
    <row r="8568" spans="3:5">
      <c r="C8568">
        <v>409.27199999999999</v>
      </c>
      <c r="D8568" s="17">
        <v>41911</v>
      </c>
      <c r="E8568" t="s">
        <v>1877</v>
      </c>
    </row>
    <row r="8569" spans="3:5">
      <c r="C8569">
        <v>409.59000000000003</v>
      </c>
      <c r="D8569" s="17">
        <v>41933</v>
      </c>
      <c r="E8569" t="s">
        <v>1104</v>
      </c>
    </row>
    <row r="8570" spans="3:5">
      <c r="C8570">
        <v>409.99919999999997</v>
      </c>
      <c r="D8570" s="17">
        <v>42915</v>
      </c>
      <c r="E8570" t="s">
        <v>910</v>
      </c>
    </row>
    <row r="8571" spans="3:5">
      <c r="C8571">
        <v>410.35199999999998</v>
      </c>
      <c r="D8571" s="17">
        <v>41946</v>
      </c>
      <c r="E8571" t="s">
        <v>1399</v>
      </c>
    </row>
    <row r="8572" spans="3:5">
      <c r="C8572">
        <v>411.33199999999999</v>
      </c>
      <c r="D8572" s="17">
        <v>41971</v>
      </c>
      <c r="E8572" t="s">
        <v>773</v>
      </c>
    </row>
    <row r="8573" spans="3:5">
      <c r="C8573">
        <v>411.33199999999999</v>
      </c>
      <c r="D8573" s="17">
        <v>42252</v>
      </c>
      <c r="E8573" t="s">
        <v>773</v>
      </c>
    </row>
    <row r="8574" spans="3:5">
      <c r="C8574">
        <v>411.8</v>
      </c>
      <c r="D8574" s="17">
        <v>42827</v>
      </c>
      <c r="E8574" t="s">
        <v>487</v>
      </c>
    </row>
    <row r="8575" spans="3:5">
      <c r="C8575">
        <v>411.8</v>
      </c>
      <c r="D8575" s="17">
        <v>43091</v>
      </c>
      <c r="E8575" t="s">
        <v>487</v>
      </c>
    </row>
    <row r="8576" spans="3:5">
      <c r="C8576">
        <v>411.98</v>
      </c>
      <c r="D8576" s="17">
        <v>42996</v>
      </c>
      <c r="E8576" t="s">
        <v>467</v>
      </c>
    </row>
    <row r="8577" spans="3:5">
      <c r="C8577">
        <v>414</v>
      </c>
      <c r="D8577" s="17">
        <v>42458</v>
      </c>
      <c r="E8577" t="s">
        <v>308</v>
      </c>
    </row>
    <row r="8578" spans="3:5">
      <c r="C8578">
        <v>414.96</v>
      </c>
      <c r="D8578" s="17">
        <v>42363</v>
      </c>
      <c r="E8578" t="s">
        <v>1468</v>
      </c>
    </row>
    <row r="8579" spans="3:5">
      <c r="C8579">
        <v>415.17600000000004</v>
      </c>
      <c r="D8579" s="17">
        <v>42706</v>
      </c>
      <c r="E8579" t="s">
        <v>159</v>
      </c>
    </row>
    <row r="8580" spans="3:5">
      <c r="C8580">
        <v>415.87200000000007</v>
      </c>
      <c r="D8580" s="17">
        <v>43063</v>
      </c>
      <c r="E8580" t="s">
        <v>1008</v>
      </c>
    </row>
    <row r="8581" spans="3:5">
      <c r="C8581">
        <v>415.96800000000007</v>
      </c>
      <c r="D8581" s="17">
        <v>42325</v>
      </c>
      <c r="E8581" t="s">
        <v>1819</v>
      </c>
    </row>
    <row r="8582" spans="3:5">
      <c r="C8582">
        <v>416.32</v>
      </c>
      <c r="D8582" s="17">
        <v>42936</v>
      </c>
      <c r="E8582" t="s">
        <v>983</v>
      </c>
    </row>
    <row r="8583" spans="3:5">
      <c r="C8583">
        <v>418.29599999999994</v>
      </c>
      <c r="D8583" s="17">
        <v>42961</v>
      </c>
      <c r="E8583" t="s">
        <v>400</v>
      </c>
    </row>
    <row r="8584" spans="3:5">
      <c r="C8584">
        <v>418.32</v>
      </c>
      <c r="D8584" s="17">
        <v>42319</v>
      </c>
      <c r="E8584" t="s">
        <v>466</v>
      </c>
    </row>
    <row r="8585" spans="3:5">
      <c r="C8585">
        <v>418.8</v>
      </c>
      <c r="D8585" s="17">
        <v>41810</v>
      </c>
      <c r="E8585" t="s">
        <v>1672</v>
      </c>
    </row>
    <row r="8586" spans="3:5">
      <c r="C8586">
        <v>419.13599999999997</v>
      </c>
      <c r="D8586" s="17">
        <v>42765</v>
      </c>
      <c r="E8586" t="s">
        <v>192</v>
      </c>
    </row>
    <row r="8587" spans="3:5">
      <c r="C8587">
        <v>419.13599999999997</v>
      </c>
      <c r="D8587" s="17">
        <v>43004</v>
      </c>
      <c r="E8587" t="s">
        <v>695</v>
      </c>
    </row>
    <row r="8588" spans="3:5">
      <c r="C8588">
        <v>419.4</v>
      </c>
      <c r="D8588" s="17">
        <v>42479</v>
      </c>
      <c r="E8588" t="s">
        <v>212</v>
      </c>
    </row>
    <row r="8589" spans="3:5">
      <c r="C8589">
        <v>419.4</v>
      </c>
      <c r="D8589" s="17">
        <v>42769</v>
      </c>
      <c r="E8589" t="s">
        <v>212</v>
      </c>
    </row>
    <row r="8590" spans="3:5">
      <c r="C8590">
        <v>419.4</v>
      </c>
      <c r="D8590" s="17">
        <v>42981</v>
      </c>
      <c r="E8590" t="s">
        <v>212</v>
      </c>
    </row>
    <row r="8591" spans="3:5">
      <c r="C8591">
        <v>419.4</v>
      </c>
      <c r="D8591" s="17">
        <v>43078</v>
      </c>
      <c r="E8591" t="s">
        <v>354</v>
      </c>
    </row>
    <row r="8592" spans="3:5">
      <c r="C8592">
        <v>419.68000000000006</v>
      </c>
      <c r="D8592" s="17">
        <v>42525</v>
      </c>
      <c r="E8592" t="s">
        <v>1463</v>
      </c>
    </row>
    <row r="8593" spans="3:5">
      <c r="C8593">
        <v>419.90000000000003</v>
      </c>
      <c r="D8593" s="17">
        <v>42572</v>
      </c>
      <c r="E8593" t="s">
        <v>1459</v>
      </c>
    </row>
    <row r="8594" spans="3:5">
      <c r="C8594">
        <v>419.94399999999996</v>
      </c>
      <c r="D8594" s="17">
        <v>42565</v>
      </c>
      <c r="E8594" t="s">
        <v>655</v>
      </c>
    </row>
    <row r="8595" spans="3:5">
      <c r="C8595">
        <v>419.94399999999996</v>
      </c>
      <c r="D8595" s="17">
        <v>42862</v>
      </c>
      <c r="E8595" t="s">
        <v>655</v>
      </c>
    </row>
    <row r="8596" spans="3:5">
      <c r="C8596">
        <v>421.1</v>
      </c>
      <c r="D8596" s="17">
        <v>42982</v>
      </c>
      <c r="E8596" t="s">
        <v>820</v>
      </c>
    </row>
    <row r="8597" spans="3:5">
      <c r="C8597">
        <v>421.37200000000001</v>
      </c>
      <c r="D8597" s="17">
        <v>41871</v>
      </c>
      <c r="E8597" t="s">
        <v>228</v>
      </c>
    </row>
    <row r="8598" spans="3:5">
      <c r="C8598">
        <v>422.05799999999994</v>
      </c>
      <c r="D8598" s="17">
        <v>42546</v>
      </c>
      <c r="E8598" t="s">
        <v>1420</v>
      </c>
    </row>
    <row r="8599" spans="3:5">
      <c r="C8599">
        <v>422.62499999999994</v>
      </c>
      <c r="D8599" s="17">
        <v>42360</v>
      </c>
      <c r="E8599" t="s">
        <v>660</v>
      </c>
    </row>
    <row r="8600" spans="3:5">
      <c r="C8600">
        <v>422.85599999999999</v>
      </c>
      <c r="D8600" s="17">
        <v>42229</v>
      </c>
      <c r="E8600" t="s">
        <v>733</v>
      </c>
    </row>
    <row r="8601" spans="3:5">
      <c r="C8601">
        <v>423.28</v>
      </c>
      <c r="D8601" s="17">
        <v>41859</v>
      </c>
      <c r="E8601" t="s">
        <v>1496</v>
      </c>
    </row>
    <row r="8602" spans="3:5">
      <c r="C8602">
        <v>423.64799999999997</v>
      </c>
      <c r="D8602" s="17">
        <v>42960</v>
      </c>
      <c r="E8602" t="s">
        <v>1055</v>
      </c>
    </row>
    <row r="8603" spans="3:5">
      <c r="C8603">
        <v>424.11599999999999</v>
      </c>
      <c r="D8603" s="17">
        <v>41961</v>
      </c>
      <c r="E8603" t="s">
        <v>708</v>
      </c>
    </row>
    <row r="8604" spans="3:5">
      <c r="C8604">
        <v>424.27200000000005</v>
      </c>
      <c r="D8604" s="17">
        <v>41996</v>
      </c>
      <c r="E8604" t="s">
        <v>568</v>
      </c>
    </row>
    <row r="8605" spans="3:5">
      <c r="C8605">
        <v>424.95749999999992</v>
      </c>
      <c r="D8605" s="17">
        <v>42639</v>
      </c>
      <c r="E8605" t="s">
        <v>639</v>
      </c>
    </row>
    <row r="8606" spans="3:5">
      <c r="C8606">
        <v>425.83300000000003</v>
      </c>
      <c r="D8606" s="17">
        <v>42308</v>
      </c>
      <c r="E8606" t="s">
        <v>889</v>
      </c>
    </row>
    <row r="8607" spans="3:5">
      <c r="C8607">
        <v>426.78999999999996</v>
      </c>
      <c r="D8607" s="17">
        <v>43079</v>
      </c>
      <c r="E8607" t="s">
        <v>523</v>
      </c>
    </row>
    <row r="8608" spans="3:5">
      <c r="C8608">
        <v>427.42</v>
      </c>
      <c r="D8608" s="17">
        <v>42308</v>
      </c>
      <c r="E8608" t="s">
        <v>330</v>
      </c>
    </row>
    <row r="8609" spans="3:5">
      <c r="C8609">
        <v>427.64400000000001</v>
      </c>
      <c r="D8609" s="17">
        <v>42670</v>
      </c>
      <c r="E8609" t="s">
        <v>1282</v>
      </c>
    </row>
    <row r="8610" spans="3:5">
      <c r="C8610">
        <v>428.40000000000003</v>
      </c>
      <c r="D8610" s="17">
        <v>42568</v>
      </c>
      <c r="E8610" t="s">
        <v>1497</v>
      </c>
    </row>
    <row r="8611" spans="3:5">
      <c r="C8611">
        <v>428.68</v>
      </c>
      <c r="D8611" s="17">
        <v>42394</v>
      </c>
      <c r="E8611" t="s">
        <v>1612</v>
      </c>
    </row>
    <row r="8612" spans="3:5">
      <c r="C8612">
        <v>429.59999999999997</v>
      </c>
      <c r="D8612" s="17">
        <v>42754</v>
      </c>
      <c r="E8612" t="s">
        <v>117</v>
      </c>
    </row>
    <row r="8613" spans="3:5">
      <c r="C8613">
        <v>429.90000000000003</v>
      </c>
      <c r="D8613" s="17">
        <v>41889</v>
      </c>
      <c r="E8613" t="s">
        <v>272</v>
      </c>
    </row>
    <row r="8614" spans="3:5">
      <c r="C8614">
        <v>430.88</v>
      </c>
      <c r="D8614" s="17">
        <v>43049</v>
      </c>
      <c r="E8614" t="s">
        <v>711</v>
      </c>
    </row>
    <row r="8615" spans="3:5">
      <c r="C8615">
        <v>431.13600000000002</v>
      </c>
      <c r="D8615" s="17">
        <v>41846</v>
      </c>
      <c r="E8615" t="s">
        <v>273</v>
      </c>
    </row>
    <row r="8616" spans="3:5">
      <c r="C8616">
        <v>431.16000000000008</v>
      </c>
      <c r="D8616" s="17">
        <v>43056</v>
      </c>
      <c r="E8616" t="s">
        <v>1163</v>
      </c>
    </row>
    <row r="8617" spans="3:5">
      <c r="C8617">
        <v>431.92800000000005</v>
      </c>
      <c r="D8617" s="17">
        <v>42468</v>
      </c>
      <c r="E8617" t="s">
        <v>649</v>
      </c>
    </row>
    <row r="8618" spans="3:5">
      <c r="C8618">
        <v>431.92800000000005</v>
      </c>
      <c r="D8618" s="17">
        <v>42912</v>
      </c>
      <c r="E8618" t="s">
        <v>649</v>
      </c>
    </row>
    <row r="8619" spans="3:5">
      <c r="C8619">
        <v>431.94</v>
      </c>
      <c r="D8619" s="17">
        <v>42435</v>
      </c>
      <c r="E8619" t="s">
        <v>1192</v>
      </c>
    </row>
    <row r="8620" spans="3:5">
      <c r="C8620">
        <v>431.96800000000007</v>
      </c>
      <c r="D8620" s="17">
        <v>42968</v>
      </c>
      <c r="E8620" t="s">
        <v>1078</v>
      </c>
    </row>
    <row r="8621" spans="3:5">
      <c r="C8621">
        <v>431.976</v>
      </c>
      <c r="D8621" s="17">
        <v>42031</v>
      </c>
      <c r="E8621" t="s">
        <v>1337</v>
      </c>
    </row>
    <row r="8622" spans="3:5">
      <c r="C8622">
        <v>431.97600000000006</v>
      </c>
      <c r="D8622" s="17">
        <v>42432</v>
      </c>
      <c r="E8622" t="s">
        <v>1337</v>
      </c>
    </row>
    <row r="8623" spans="3:5">
      <c r="C8623">
        <v>431.97600000000006</v>
      </c>
      <c r="D8623" s="17">
        <v>42493</v>
      </c>
      <c r="E8623" t="s">
        <v>1659</v>
      </c>
    </row>
    <row r="8624" spans="3:5">
      <c r="C8624">
        <v>431.97600000000006</v>
      </c>
      <c r="D8624" s="17">
        <v>42639</v>
      </c>
      <c r="E8624" t="s">
        <v>1659</v>
      </c>
    </row>
    <row r="8625" spans="3:5">
      <c r="C8625">
        <v>431.97600000000006</v>
      </c>
      <c r="D8625" s="17">
        <v>42710</v>
      </c>
      <c r="E8625" t="s">
        <v>686</v>
      </c>
    </row>
    <row r="8626" spans="3:5">
      <c r="C8626">
        <v>432.45600000000002</v>
      </c>
      <c r="D8626" s="17">
        <v>42421</v>
      </c>
      <c r="E8626" t="s">
        <v>816</v>
      </c>
    </row>
    <row r="8627" spans="3:5">
      <c r="C8627">
        <v>433.56800000000004</v>
      </c>
      <c r="D8627" s="17">
        <v>41923</v>
      </c>
      <c r="E8627" t="s">
        <v>914</v>
      </c>
    </row>
    <row r="8628" spans="3:5">
      <c r="C8628">
        <v>434.35199999999998</v>
      </c>
      <c r="D8628" s="17">
        <v>42357</v>
      </c>
      <c r="E8628" t="s">
        <v>123</v>
      </c>
    </row>
    <row r="8629" spans="3:5">
      <c r="C8629">
        <v>434.64600000000002</v>
      </c>
      <c r="D8629" s="17">
        <v>42486</v>
      </c>
      <c r="E8629" t="s">
        <v>1483</v>
      </c>
    </row>
    <row r="8630" spans="3:5">
      <c r="C8630">
        <v>435.16800000000006</v>
      </c>
      <c r="D8630" s="17">
        <v>42399</v>
      </c>
      <c r="E8630" t="s">
        <v>1296</v>
      </c>
    </row>
    <row r="8631" spans="3:5">
      <c r="C8631">
        <v>435.16800000000006</v>
      </c>
      <c r="D8631" s="17">
        <v>43013</v>
      </c>
      <c r="E8631" t="s">
        <v>1296</v>
      </c>
    </row>
    <row r="8632" spans="3:5">
      <c r="C8632">
        <v>435.26</v>
      </c>
      <c r="D8632" s="17">
        <v>42069</v>
      </c>
      <c r="E8632" t="s">
        <v>1527</v>
      </c>
    </row>
    <row r="8633" spans="3:5">
      <c r="C8633">
        <v>435.50400000000002</v>
      </c>
      <c r="D8633" s="17">
        <v>42187</v>
      </c>
      <c r="E8633" t="s">
        <v>409</v>
      </c>
    </row>
    <row r="8634" spans="3:5">
      <c r="C8634">
        <v>435.50400000000002</v>
      </c>
      <c r="D8634" s="17">
        <v>42240</v>
      </c>
      <c r="E8634" t="s">
        <v>409</v>
      </c>
    </row>
    <row r="8635" spans="3:5">
      <c r="C8635">
        <v>435.84000000000003</v>
      </c>
      <c r="D8635" s="17">
        <v>43020</v>
      </c>
      <c r="E8635" t="s">
        <v>724</v>
      </c>
    </row>
    <row r="8636" spans="3:5">
      <c r="C8636">
        <v>435.99900000000002</v>
      </c>
      <c r="D8636" s="17">
        <v>41905</v>
      </c>
      <c r="E8636" t="s">
        <v>1809</v>
      </c>
    </row>
    <row r="8637" spans="3:5">
      <c r="C8637">
        <v>435.99900000000002</v>
      </c>
      <c r="D8637" s="17">
        <v>42916</v>
      </c>
      <c r="E8637" t="s">
        <v>916</v>
      </c>
    </row>
    <row r="8638" spans="3:5">
      <c r="C8638">
        <v>436.70400000000006</v>
      </c>
      <c r="D8638" s="17">
        <v>41705</v>
      </c>
      <c r="E8638" t="s">
        <v>988</v>
      </c>
    </row>
    <row r="8639" spans="3:5">
      <c r="C8639">
        <v>436.70400000000006</v>
      </c>
      <c r="D8639" s="17">
        <v>42838</v>
      </c>
      <c r="E8639" t="s">
        <v>485</v>
      </c>
    </row>
    <row r="8640" spans="3:5">
      <c r="C8640">
        <v>437.47200000000009</v>
      </c>
      <c r="D8640" s="17">
        <v>42710</v>
      </c>
      <c r="E8640" t="s">
        <v>319</v>
      </c>
    </row>
    <row r="8641" spans="3:5">
      <c r="C8641">
        <v>437.84999999999997</v>
      </c>
      <c r="D8641" s="17">
        <v>42627</v>
      </c>
      <c r="E8641" t="s">
        <v>1258</v>
      </c>
    </row>
    <row r="8642" spans="3:5">
      <c r="C8642">
        <v>437.84999999999997</v>
      </c>
      <c r="D8642" s="17">
        <v>42630</v>
      </c>
      <c r="E8642" t="s">
        <v>1258</v>
      </c>
    </row>
    <row r="8643" spans="3:5">
      <c r="C8643">
        <v>437.84999999999997</v>
      </c>
      <c r="D8643" s="17">
        <v>43002</v>
      </c>
      <c r="E8643" t="s">
        <v>1258</v>
      </c>
    </row>
    <row r="8644" spans="3:5">
      <c r="C8644">
        <v>438.33600000000001</v>
      </c>
      <c r="D8644" s="17">
        <v>41969</v>
      </c>
      <c r="E8644" t="s">
        <v>252</v>
      </c>
    </row>
    <row r="8645" spans="3:5">
      <c r="C8645">
        <v>438.33600000000001</v>
      </c>
      <c r="D8645" s="17">
        <v>42783</v>
      </c>
      <c r="E8645" t="s">
        <v>252</v>
      </c>
    </row>
    <row r="8646" spans="3:5">
      <c r="C8646">
        <v>438.36800000000005</v>
      </c>
      <c r="D8646" s="17">
        <v>41741</v>
      </c>
      <c r="E8646" t="s">
        <v>501</v>
      </c>
    </row>
    <row r="8647" spans="3:5">
      <c r="C8647">
        <v>438.36800000000005</v>
      </c>
      <c r="D8647" s="17">
        <v>42226</v>
      </c>
      <c r="E8647" t="s">
        <v>501</v>
      </c>
    </row>
    <row r="8648" spans="3:5">
      <c r="C8648">
        <v>439.8</v>
      </c>
      <c r="D8648" s="17">
        <v>43046</v>
      </c>
      <c r="E8648" t="s">
        <v>790</v>
      </c>
    </row>
    <row r="8649" spans="3:5">
      <c r="C8649">
        <v>439.99200000000002</v>
      </c>
      <c r="D8649" s="17">
        <v>42307</v>
      </c>
      <c r="E8649" t="s">
        <v>1097</v>
      </c>
    </row>
    <row r="8650" spans="3:5">
      <c r="C8650">
        <v>439.99200000000002</v>
      </c>
      <c r="D8650" s="17">
        <v>42329</v>
      </c>
      <c r="E8650" t="s">
        <v>1097</v>
      </c>
    </row>
    <row r="8651" spans="3:5">
      <c r="C8651">
        <v>440.18999999999994</v>
      </c>
      <c r="D8651" s="17">
        <v>42869</v>
      </c>
      <c r="E8651" t="s">
        <v>688</v>
      </c>
    </row>
    <row r="8652" spans="3:5">
      <c r="C8652">
        <v>440.91</v>
      </c>
      <c r="D8652" s="17">
        <v>42545</v>
      </c>
      <c r="E8652" t="s">
        <v>763</v>
      </c>
    </row>
    <row r="8653" spans="3:5">
      <c r="C8653">
        <v>441.92</v>
      </c>
      <c r="D8653" s="17">
        <v>42199</v>
      </c>
      <c r="E8653" t="s">
        <v>701</v>
      </c>
    </row>
    <row r="8654" spans="3:5">
      <c r="C8654">
        <v>441.96</v>
      </c>
      <c r="D8654" s="17">
        <v>42796</v>
      </c>
      <c r="E8654" t="s">
        <v>295</v>
      </c>
    </row>
    <row r="8655" spans="3:5">
      <c r="C8655">
        <v>442.37199999999996</v>
      </c>
      <c r="D8655" s="17">
        <v>42637</v>
      </c>
      <c r="E8655" t="s">
        <v>66</v>
      </c>
    </row>
    <row r="8656" spans="3:5">
      <c r="C8656">
        <v>442.40000000000003</v>
      </c>
      <c r="D8656" s="17">
        <v>43038</v>
      </c>
      <c r="E8656" t="s">
        <v>1358</v>
      </c>
    </row>
    <row r="8657" spans="3:5">
      <c r="C8657">
        <v>442.76400000000001</v>
      </c>
      <c r="D8657" s="17">
        <v>42497</v>
      </c>
      <c r="E8657" t="s">
        <v>966</v>
      </c>
    </row>
    <row r="8658" spans="3:5">
      <c r="C8658">
        <v>443.92</v>
      </c>
      <c r="D8658" s="17">
        <v>41944</v>
      </c>
      <c r="E8658" t="s">
        <v>451</v>
      </c>
    </row>
    <row r="8659" spans="3:5">
      <c r="C8659">
        <v>443.92</v>
      </c>
      <c r="D8659" s="17">
        <v>42265</v>
      </c>
      <c r="E8659" t="s">
        <v>1693</v>
      </c>
    </row>
    <row r="8660" spans="3:5">
      <c r="C8660">
        <v>443.92</v>
      </c>
      <c r="D8660" s="17">
        <v>42917</v>
      </c>
      <c r="E8660" t="s">
        <v>451</v>
      </c>
    </row>
    <row r="8661" spans="3:5">
      <c r="C8661">
        <v>444.76800000000003</v>
      </c>
      <c r="D8661" s="17">
        <v>43078</v>
      </c>
      <c r="E8661" t="s">
        <v>1513</v>
      </c>
    </row>
    <row r="8662" spans="3:5">
      <c r="C8662">
        <v>445.44</v>
      </c>
      <c r="D8662" s="17">
        <v>42810</v>
      </c>
      <c r="E8662" t="s">
        <v>215</v>
      </c>
    </row>
    <row r="8663" spans="3:5">
      <c r="C8663">
        <v>445.80200000000002</v>
      </c>
      <c r="D8663" s="17">
        <v>41988</v>
      </c>
      <c r="E8663" t="s">
        <v>485</v>
      </c>
    </row>
    <row r="8664" spans="3:5">
      <c r="C8664">
        <v>445.96000000000004</v>
      </c>
      <c r="D8664" s="17">
        <v>41859</v>
      </c>
      <c r="E8664" t="s">
        <v>1783</v>
      </c>
    </row>
    <row r="8665" spans="3:5">
      <c r="C8665">
        <v>445.96000000000004</v>
      </c>
      <c r="D8665" s="17">
        <v>42422</v>
      </c>
      <c r="E8665" t="s">
        <v>1783</v>
      </c>
    </row>
    <row r="8666" spans="3:5">
      <c r="C8666">
        <v>446.06799999999998</v>
      </c>
      <c r="D8666" s="17">
        <v>42335</v>
      </c>
      <c r="E8666" t="s">
        <v>1586</v>
      </c>
    </row>
    <row r="8667" spans="3:5">
      <c r="C8667">
        <v>447.69600000000003</v>
      </c>
      <c r="D8667" s="17">
        <v>42541</v>
      </c>
      <c r="E8667" t="s">
        <v>1062</v>
      </c>
    </row>
    <row r="8668" spans="3:5">
      <c r="C8668">
        <v>447.84</v>
      </c>
      <c r="D8668" s="17">
        <v>41815</v>
      </c>
      <c r="E8668" t="s">
        <v>1604</v>
      </c>
    </row>
    <row r="8669" spans="3:5">
      <c r="C8669">
        <v>447.84</v>
      </c>
      <c r="D8669" s="17">
        <v>41855</v>
      </c>
      <c r="E8669" t="s">
        <v>172</v>
      </c>
    </row>
    <row r="8670" spans="3:5">
      <c r="C8670">
        <v>447.84</v>
      </c>
      <c r="D8670" s="17">
        <v>42608</v>
      </c>
      <c r="E8670" t="s">
        <v>1604</v>
      </c>
    </row>
    <row r="8671" spans="3:5">
      <c r="C8671">
        <v>447.84</v>
      </c>
      <c r="D8671" s="17">
        <v>42907</v>
      </c>
      <c r="E8671" t="s">
        <v>285</v>
      </c>
    </row>
    <row r="8672" spans="3:5">
      <c r="C8672">
        <v>447.85999999999996</v>
      </c>
      <c r="D8672" s="17">
        <v>41780</v>
      </c>
      <c r="E8672" t="s">
        <v>314</v>
      </c>
    </row>
    <row r="8673" spans="3:5">
      <c r="C8673">
        <v>447.85999999999996</v>
      </c>
      <c r="D8673" s="17">
        <v>42224</v>
      </c>
      <c r="E8673" t="s">
        <v>1270</v>
      </c>
    </row>
    <row r="8674" spans="3:5">
      <c r="C8674">
        <v>447.85999999999996</v>
      </c>
      <c r="D8674" s="17">
        <v>42432</v>
      </c>
      <c r="E8674" t="s">
        <v>314</v>
      </c>
    </row>
    <row r="8675" spans="3:5">
      <c r="C8675">
        <v>447.93</v>
      </c>
      <c r="D8675" s="17">
        <v>42310</v>
      </c>
      <c r="E8675" t="s">
        <v>398</v>
      </c>
    </row>
    <row r="8676" spans="3:5">
      <c r="C8676">
        <v>447.94399999999996</v>
      </c>
      <c r="D8676" s="17">
        <v>41993</v>
      </c>
      <c r="E8676" t="s">
        <v>1301</v>
      </c>
    </row>
    <row r="8677" spans="3:5">
      <c r="C8677">
        <v>447.94399999999996</v>
      </c>
      <c r="D8677" s="17">
        <v>42085</v>
      </c>
      <c r="E8677" t="s">
        <v>1395</v>
      </c>
    </row>
    <row r="8678" spans="3:5">
      <c r="C8678">
        <v>447.96800000000007</v>
      </c>
      <c r="D8678" s="17">
        <v>41947</v>
      </c>
      <c r="E8678" t="s">
        <v>1869</v>
      </c>
    </row>
    <row r="8679" spans="3:5">
      <c r="C8679">
        <v>449.1</v>
      </c>
      <c r="D8679" s="17">
        <v>42442</v>
      </c>
      <c r="E8679" t="s">
        <v>925</v>
      </c>
    </row>
    <row r="8680" spans="3:5">
      <c r="C8680">
        <v>449.15</v>
      </c>
      <c r="D8680" s="17">
        <v>41896</v>
      </c>
      <c r="E8680" t="s">
        <v>417</v>
      </c>
    </row>
    <row r="8681" spans="3:5">
      <c r="C8681">
        <v>449.15</v>
      </c>
      <c r="D8681" s="17">
        <v>42421</v>
      </c>
      <c r="E8681" t="s">
        <v>417</v>
      </c>
    </row>
    <row r="8682" spans="3:5">
      <c r="C8682">
        <v>449.37200000000001</v>
      </c>
      <c r="D8682" s="17">
        <v>42686</v>
      </c>
      <c r="E8682" t="s">
        <v>785</v>
      </c>
    </row>
    <row r="8683" spans="3:5">
      <c r="C8683">
        <v>449.56800000000004</v>
      </c>
      <c r="D8683" s="17">
        <v>42363</v>
      </c>
      <c r="E8683" t="s">
        <v>977</v>
      </c>
    </row>
    <row r="8684" spans="3:5">
      <c r="C8684">
        <v>449.56800000000004</v>
      </c>
      <c r="D8684" s="17">
        <v>43045</v>
      </c>
      <c r="E8684" t="s">
        <v>1388</v>
      </c>
    </row>
    <row r="8685" spans="3:5">
      <c r="C8685">
        <v>449.91</v>
      </c>
      <c r="D8685" s="17">
        <v>42763</v>
      </c>
      <c r="E8685" t="s">
        <v>173</v>
      </c>
    </row>
    <row r="8686" spans="3:5">
      <c r="C8686">
        <v>449.97</v>
      </c>
      <c r="D8686" s="17">
        <v>42660</v>
      </c>
      <c r="E8686" t="s">
        <v>128</v>
      </c>
    </row>
    <row r="8687" spans="3:5">
      <c r="C8687">
        <v>450</v>
      </c>
      <c r="D8687" s="17">
        <v>42667</v>
      </c>
      <c r="E8687" t="s">
        <v>488</v>
      </c>
    </row>
    <row r="8688" spans="3:5">
      <c r="C8688">
        <v>450.04</v>
      </c>
      <c r="D8688" s="17">
        <v>42173</v>
      </c>
      <c r="E8688" t="s">
        <v>579</v>
      </c>
    </row>
    <row r="8689" spans="3:5">
      <c r="C8689">
        <v>451.13599999999997</v>
      </c>
      <c r="D8689" s="17">
        <v>42391</v>
      </c>
      <c r="E8689" t="s">
        <v>1460</v>
      </c>
    </row>
    <row r="8690" spans="3:5">
      <c r="C8690">
        <v>451.15199999999993</v>
      </c>
      <c r="D8690" s="17">
        <v>42685</v>
      </c>
      <c r="E8690" t="s">
        <v>1001</v>
      </c>
    </row>
    <row r="8691" spans="3:5">
      <c r="C8691">
        <v>451.15199999999993</v>
      </c>
      <c r="D8691" s="17">
        <v>43009</v>
      </c>
      <c r="E8691" t="s">
        <v>1001</v>
      </c>
    </row>
    <row r="8692" spans="3:5">
      <c r="C8692">
        <v>452.45</v>
      </c>
      <c r="D8692" s="17">
        <v>42006</v>
      </c>
      <c r="E8692" t="s">
        <v>719</v>
      </c>
    </row>
    <row r="8693" spans="3:5">
      <c r="C8693">
        <v>452.55000000000007</v>
      </c>
      <c r="D8693" s="17">
        <v>43041</v>
      </c>
      <c r="E8693" t="s">
        <v>188</v>
      </c>
    </row>
    <row r="8694" spans="3:5">
      <c r="C8694">
        <v>452.93999999999994</v>
      </c>
      <c r="D8694" s="17">
        <v>42898</v>
      </c>
      <c r="E8694" t="s">
        <v>832</v>
      </c>
    </row>
    <row r="8695" spans="3:5">
      <c r="C8695">
        <v>453.57600000000002</v>
      </c>
      <c r="D8695" s="17">
        <v>42082</v>
      </c>
      <c r="E8695" t="s">
        <v>1571</v>
      </c>
    </row>
    <row r="8696" spans="3:5">
      <c r="C8696">
        <v>453.57600000000002</v>
      </c>
      <c r="D8696" s="17">
        <v>42727</v>
      </c>
      <c r="E8696" t="s">
        <v>1571</v>
      </c>
    </row>
    <row r="8697" spans="3:5">
      <c r="C8697">
        <v>453.6</v>
      </c>
      <c r="D8697" s="17">
        <v>42539</v>
      </c>
      <c r="E8697" t="s">
        <v>1516</v>
      </c>
    </row>
    <row r="8698" spans="3:5">
      <c r="C8698">
        <v>454.27200000000005</v>
      </c>
      <c r="D8698" s="17">
        <v>42301</v>
      </c>
      <c r="E8698" t="s">
        <v>1446</v>
      </c>
    </row>
    <row r="8699" spans="3:5">
      <c r="C8699">
        <v>454.56000000000006</v>
      </c>
      <c r="D8699" s="17">
        <v>42736</v>
      </c>
      <c r="E8699" t="s">
        <v>50</v>
      </c>
    </row>
    <row r="8700" spans="3:5">
      <c r="C8700">
        <v>454.86</v>
      </c>
      <c r="D8700" s="17">
        <v>42332</v>
      </c>
      <c r="E8700" t="s">
        <v>1008</v>
      </c>
    </row>
    <row r="8701" spans="3:5">
      <c r="C8701">
        <v>454.90000000000003</v>
      </c>
      <c r="D8701" s="17">
        <v>42509</v>
      </c>
      <c r="E8701" t="s">
        <v>596</v>
      </c>
    </row>
    <row r="8702" spans="3:5">
      <c r="C8702">
        <v>454.96499999999997</v>
      </c>
      <c r="D8702" s="17">
        <v>42639</v>
      </c>
      <c r="E8702" t="s">
        <v>743</v>
      </c>
    </row>
    <row r="8703" spans="3:5">
      <c r="C8703">
        <v>455.1</v>
      </c>
      <c r="D8703" s="17">
        <v>41993</v>
      </c>
      <c r="E8703" t="s">
        <v>1104</v>
      </c>
    </row>
    <row r="8704" spans="3:5">
      <c r="C8704">
        <v>455.71199999999999</v>
      </c>
      <c r="D8704" s="17">
        <v>42985</v>
      </c>
      <c r="E8704" t="s">
        <v>1155</v>
      </c>
    </row>
    <row r="8705" spans="3:5">
      <c r="C8705">
        <v>455.97</v>
      </c>
      <c r="D8705" s="17">
        <v>42723</v>
      </c>
      <c r="E8705" t="s">
        <v>253</v>
      </c>
    </row>
    <row r="8706" spans="3:5">
      <c r="C8706">
        <v>455.97</v>
      </c>
      <c r="D8706" s="17">
        <v>42783</v>
      </c>
      <c r="E8706" t="s">
        <v>253</v>
      </c>
    </row>
    <row r="8707" spans="3:5">
      <c r="C8707">
        <v>456.58800000000008</v>
      </c>
      <c r="D8707" s="17">
        <v>42699</v>
      </c>
      <c r="E8707" t="s">
        <v>80</v>
      </c>
    </row>
    <row r="8708" spans="3:5">
      <c r="C8708">
        <v>457.4849999999999</v>
      </c>
      <c r="D8708" s="17">
        <v>42905</v>
      </c>
      <c r="E8708" t="s">
        <v>814</v>
      </c>
    </row>
    <row r="8709" spans="3:5">
      <c r="C8709">
        <v>457.56800000000004</v>
      </c>
      <c r="D8709" s="17">
        <v>41699</v>
      </c>
      <c r="E8709" t="s">
        <v>242</v>
      </c>
    </row>
    <row r="8710" spans="3:5">
      <c r="C8710">
        <v>458.42999999999995</v>
      </c>
      <c r="D8710" s="17">
        <v>42715</v>
      </c>
      <c r="E8710" t="s">
        <v>695</v>
      </c>
    </row>
    <row r="8711" spans="3:5">
      <c r="C8711">
        <v>458.42999999999995</v>
      </c>
      <c r="D8711" s="17">
        <v>42868</v>
      </c>
      <c r="E8711" t="s">
        <v>684</v>
      </c>
    </row>
    <row r="8712" spans="3:5">
      <c r="C8712">
        <v>459.88</v>
      </c>
      <c r="D8712" s="17">
        <v>42479</v>
      </c>
      <c r="E8712" t="s">
        <v>1302</v>
      </c>
    </row>
    <row r="8713" spans="3:5">
      <c r="C8713">
        <v>459.92</v>
      </c>
      <c r="D8713" s="17">
        <v>43077</v>
      </c>
      <c r="E8713" t="s">
        <v>1448</v>
      </c>
    </row>
    <row r="8714" spans="3:5">
      <c r="C8714">
        <v>459.95</v>
      </c>
      <c r="D8714" s="17">
        <v>42455</v>
      </c>
      <c r="E8714" t="s">
        <v>1147</v>
      </c>
    </row>
    <row r="8715" spans="3:5">
      <c r="C8715">
        <v>461.97</v>
      </c>
      <c r="D8715" s="17">
        <v>42945</v>
      </c>
      <c r="E8715" t="s">
        <v>716</v>
      </c>
    </row>
    <row r="8716" spans="3:5">
      <c r="C8716">
        <v>462.56400000000002</v>
      </c>
      <c r="D8716" s="17">
        <v>42964</v>
      </c>
      <c r="E8716" t="s">
        <v>256</v>
      </c>
    </row>
    <row r="8717" spans="3:5">
      <c r="C8717">
        <v>463.24799999999988</v>
      </c>
      <c r="D8717" s="17">
        <v>42101</v>
      </c>
      <c r="E8717" t="s">
        <v>1406</v>
      </c>
    </row>
    <row r="8718" spans="3:5">
      <c r="C8718">
        <v>464</v>
      </c>
      <c r="D8718" s="17">
        <v>41789</v>
      </c>
      <c r="E8718" t="s">
        <v>215</v>
      </c>
    </row>
    <row r="8719" spans="3:5">
      <c r="C8719">
        <v>464.29200000000003</v>
      </c>
      <c r="D8719" s="17">
        <v>41896</v>
      </c>
      <c r="E8719" t="s">
        <v>272</v>
      </c>
    </row>
    <row r="8720" spans="3:5">
      <c r="C8720">
        <v>464.84999999999997</v>
      </c>
      <c r="D8720" s="17">
        <v>42017</v>
      </c>
      <c r="E8720" t="s">
        <v>1417</v>
      </c>
    </row>
    <row r="8721" spans="3:5">
      <c r="C8721">
        <v>464.97</v>
      </c>
      <c r="D8721" s="17">
        <v>42194</v>
      </c>
      <c r="E8721" t="s">
        <v>1283</v>
      </c>
    </row>
    <row r="8722" spans="3:5">
      <c r="C8722">
        <v>465.16</v>
      </c>
      <c r="D8722" s="17">
        <v>42807</v>
      </c>
      <c r="E8722" t="s">
        <v>365</v>
      </c>
    </row>
    <row r="8723" spans="3:5">
      <c r="C8723">
        <v>465.16</v>
      </c>
      <c r="D8723" s="17">
        <v>42884</v>
      </c>
      <c r="E8723" t="s">
        <v>365</v>
      </c>
    </row>
    <row r="8724" spans="3:5">
      <c r="C8724">
        <v>465.18</v>
      </c>
      <c r="D8724" s="17">
        <v>42016</v>
      </c>
      <c r="E8724" t="s">
        <v>63</v>
      </c>
    </row>
    <row r="8725" spans="3:5">
      <c r="C8725">
        <v>465.18</v>
      </c>
      <c r="D8725" s="17">
        <v>42709</v>
      </c>
      <c r="E8725" t="s">
        <v>63</v>
      </c>
    </row>
    <row r="8726" spans="3:5">
      <c r="C8726">
        <v>466.15799999999996</v>
      </c>
      <c r="D8726" s="17">
        <v>42068</v>
      </c>
      <c r="E8726" t="s">
        <v>1643</v>
      </c>
    </row>
    <row r="8727" spans="3:5">
      <c r="C8727">
        <v>466.32000000000005</v>
      </c>
      <c r="D8727" s="17">
        <v>42527</v>
      </c>
      <c r="E8727" t="s">
        <v>1518</v>
      </c>
    </row>
    <row r="8728" spans="3:5">
      <c r="C8728">
        <v>466.76800000000003</v>
      </c>
      <c r="D8728" s="17">
        <v>42625</v>
      </c>
      <c r="E8728" t="s">
        <v>650</v>
      </c>
    </row>
    <row r="8729" spans="3:5">
      <c r="C8729">
        <v>467.03999999999996</v>
      </c>
      <c r="D8729" s="17">
        <v>42149</v>
      </c>
      <c r="E8729" t="s">
        <v>1258</v>
      </c>
    </row>
    <row r="8730" spans="3:5">
      <c r="C8730">
        <v>467.46</v>
      </c>
      <c r="D8730" s="17">
        <v>42684</v>
      </c>
      <c r="E8730" t="s">
        <v>1624</v>
      </c>
    </row>
    <row r="8731" spans="3:5">
      <c r="C8731">
        <v>467.97</v>
      </c>
      <c r="D8731" s="17">
        <v>42173</v>
      </c>
      <c r="E8731" t="s">
        <v>1019</v>
      </c>
    </row>
    <row r="8732" spans="3:5">
      <c r="C8732">
        <v>468.90000000000003</v>
      </c>
      <c r="D8732" s="17">
        <v>41671</v>
      </c>
      <c r="E8732" t="s">
        <v>1381</v>
      </c>
    </row>
    <row r="8733" spans="3:5">
      <c r="C8733">
        <v>468.90000000000003</v>
      </c>
      <c r="D8733" s="17">
        <v>42614</v>
      </c>
      <c r="E8733" t="s">
        <v>1381</v>
      </c>
    </row>
    <row r="8734" spans="3:5">
      <c r="C8734">
        <v>469.95</v>
      </c>
      <c r="D8734" s="17">
        <v>42115</v>
      </c>
      <c r="E8734" t="s">
        <v>1536</v>
      </c>
    </row>
    <row r="8735" spans="3:5">
      <c r="C8735">
        <v>469.99</v>
      </c>
      <c r="D8735" s="17">
        <v>42818</v>
      </c>
      <c r="E8735" t="s">
        <v>428</v>
      </c>
    </row>
    <row r="8736" spans="3:5">
      <c r="C8736">
        <v>470.15499999999997</v>
      </c>
      <c r="D8736" s="17">
        <v>42677</v>
      </c>
      <c r="E8736" t="s">
        <v>1098</v>
      </c>
    </row>
    <row r="8737" spans="3:5">
      <c r="C8737">
        <v>470.30199999999996</v>
      </c>
      <c r="D8737" s="17">
        <v>42899</v>
      </c>
      <c r="E8737" t="s">
        <v>839</v>
      </c>
    </row>
    <row r="8738" spans="3:5">
      <c r="C8738">
        <v>470.35999999999996</v>
      </c>
      <c r="D8738" s="17">
        <v>42244</v>
      </c>
      <c r="E8738" t="s">
        <v>960</v>
      </c>
    </row>
    <row r="8739" spans="3:5">
      <c r="C8739">
        <v>470.37600000000009</v>
      </c>
      <c r="D8739" s="17">
        <v>42819</v>
      </c>
      <c r="E8739" t="s">
        <v>431</v>
      </c>
    </row>
    <row r="8740" spans="3:5">
      <c r="C8740">
        <v>470.37600000000009</v>
      </c>
      <c r="D8740" s="17">
        <v>42891</v>
      </c>
      <c r="E8740" t="s">
        <v>776</v>
      </c>
    </row>
    <row r="8741" spans="3:5">
      <c r="C8741">
        <v>470.37600000000009</v>
      </c>
      <c r="D8741" s="17">
        <v>42930</v>
      </c>
      <c r="E8741" t="s">
        <v>647</v>
      </c>
    </row>
    <row r="8742" spans="3:5">
      <c r="C8742">
        <v>470.37600000000009</v>
      </c>
      <c r="D8742" s="17">
        <v>43070</v>
      </c>
      <c r="E8742" t="s">
        <v>647</v>
      </c>
    </row>
    <row r="8743" spans="3:5">
      <c r="C8743">
        <v>471.90000000000003</v>
      </c>
      <c r="D8743" s="17">
        <v>41810</v>
      </c>
      <c r="E8743" t="s">
        <v>1114</v>
      </c>
    </row>
    <row r="8744" spans="3:5">
      <c r="C8744">
        <v>471.92</v>
      </c>
      <c r="D8744" s="17">
        <v>41714</v>
      </c>
      <c r="E8744" t="s">
        <v>1041</v>
      </c>
    </row>
    <row r="8745" spans="3:5">
      <c r="C8745">
        <v>471.92</v>
      </c>
      <c r="D8745" s="17">
        <v>42997</v>
      </c>
      <c r="E8745" t="s">
        <v>1041</v>
      </c>
    </row>
    <row r="8746" spans="3:5">
      <c r="C8746">
        <v>472.51800000000003</v>
      </c>
      <c r="D8746" s="17">
        <v>42615</v>
      </c>
      <c r="E8746" t="s">
        <v>1087</v>
      </c>
    </row>
    <row r="8747" spans="3:5">
      <c r="C8747">
        <v>474.43</v>
      </c>
      <c r="D8747" s="17">
        <v>42736</v>
      </c>
      <c r="E8747" t="s">
        <v>49</v>
      </c>
    </row>
    <row r="8748" spans="3:5">
      <c r="C8748">
        <v>474.95</v>
      </c>
      <c r="D8748" s="17">
        <v>43091</v>
      </c>
      <c r="E8748" t="s">
        <v>1130</v>
      </c>
    </row>
    <row r="8749" spans="3:5">
      <c r="C8749">
        <v>475.94400000000002</v>
      </c>
      <c r="D8749" s="17">
        <v>41884</v>
      </c>
      <c r="E8749" t="s">
        <v>764</v>
      </c>
    </row>
    <row r="8750" spans="3:5">
      <c r="C8750">
        <v>475.94400000000002</v>
      </c>
      <c r="D8750" s="17">
        <v>42004</v>
      </c>
      <c r="E8750" t="s">
        <v>1411</v>
      </c>
    </row>
    <row r="8751" spans="3:5">
      <c r="C8751">
        <v>476.8</v>
      </c>
      <c r="D8751" s="17">
        <v>42862</v>
      </c>
      <c r="E8751" t="s">
        <v>652</v>
      </c>
    </row>
    <row r="8752" spans="3:5">
      <c r="C8752">
        <v>477.15000000000003</v>
      </c>
      <c r="D8752" s="17">
        <v>42882</v>
      </c>
      <c r="E8752" t="s">
        <v>624</v>
      </c>
    </row>
    <row r="8753" spans="3:5">
      <c r="C8753">
        <v>477.24</v>
      </c>
      <c r="D8753" s="17">
        <v>42841</v>
      </c>
      <c r="E8753" t="s">
        <v>548</v>
      </c>
    </row>
    <row r="8754" spans="3:5">
      <c r="C8754">
        <v>477.29999999999995</v>
      </c>
      <c r="D8754" s="17">
        <v>42882</v>
      </c>
      <c r="E8754" t="s">
        <v>759</v>
      </c>
    </row>
    <row r="8755" spans="3:5">
      <c r="C8755">
        <v>477.51</v>
      </c>
      <c r="D8755" s="17">
        <v>42958</v>
      </c>
      <c r="E8755" t="s">
        <v>550</v>
      </c>
    </row>
    <row r="8756" spans="3:5">
      <c r="C8756">
        <v>477.6</v>
      </c>
      <c r="D8756" s="17">
        <v>42527</v>
      </c>
      <c r="E8756" t="s">
        <v>894</v>
      </c>
    </row>
    <row r="8757" spans="3:5">
      <c r="C8757">
        <v>477.666</v>
      </c>
      <c r="D8757" s="17">
        <v>42638</v>
      </c>
      <c r="E8757" t="s">
        <v>977</v>
      </c>
    </row>
    <row r="8758" spans="3:5">
      <c r="C8758">
        <v>478.08</v>
      </c>
      <c r="D8758" s="17">
        <v>42985</v>
      </c>
      <c r="E8758" t="s">
        <v>466</v>
      </c>
    </row>
    <row r="8759" spans="3:5">
      <c r="C8759">
        <v>478.24</v>
      </c>
      <c r="D8759" s="17">
        <v>42834</v>
      </c>
      <c r="E8759" t="s">
        <v>515</v>
      </c>
    </row>
    <row r="8760" spans="3:5">
      <c r="C8760">
        <v>478.48</v>
      </c>
      <c r="D8760" s="17">
        <v>41826</v>
      </c>
      <c r="E8760" t="s">
        <v>930</v>
      </c>
    </row>
    <row r="8761" spans="3:5">
      <c r="C8761">
        <v>478.48</v>
      </c>
      <c r="D8761" s="17">
        <v>43029</v>
      </c>
      <c r="E8761" t="s">
        <v>930</v>
      </c>
    </row>
    <row r="8762" spans="3:5">
      <c r="C8762">
        <v>479.04</v>
      </c>
      <c r="D8762" s="17">
        <v>41843</v>
      </c>
      <c r="E8762" t="s">
        <v>273</v>
      </c>
    </row>
    <row r="8763" spans="3:5">
      <c r="C8763">
        <v>479.72</v>
      </c>
      <c r="D8763" s="17">
        <v>42679</v>
      </c>
      <c r="E8763" t="s">
        <v>1649</v>
      </c>
    </row>
    <row r="8764" spans="3:5">
      <c r="C8764">
        <v>479.90000000000003</v>
      </c>
      <c r="D8764" s="17">
        <v>41960</v>
      </c>
      <c r="E8764" t="s">
        <v>839</v>
      </c>
    </row>
    <row r="8765" spans="3:5">
      <c r="C8765">
        <v>479.92</v>
      </c>
      <c r="D8765" s="17">
        <v>42107</v>
      </c>
      <c r="E8765" t="s">
        <v>1116</v>
      </c>
    </row>
    <row r="8766" spans="3:5">
      <c r="C8766">
        <v>479.93999999999994</v>
      </c>
      <c r="D8766" s="17">
        <v>42796</v>
      </c>
      <c r="E8766" t="s">
        <v>170</v>
      </c>
    </row>
    <row r="8767" spans="3:5">
      <c r="C8767">
        <v>479.95</v>
      </c>
      <c r="D8767" s="17">
        <v>42432</v>
      </c>
      <c r="E8767" t="s">
        <v>393</v>
      </c>
    </row>
    <row r="8768" spans="3:5">
      <c r="C8768">
        <v>479.952</v>
      </c>
      <c r="D8768" s="17">
        <v>42044</v>
      </c>
      <c r="E8768" t="s">
        <v>335</v>
      </c>
    </row>
    <row r="8769" spans="3:5">
      <c r="C8769">
        <v>479.952</v>
      </c>
      <c r="D8769" s="17">
        <v>42902</v>
      </c>
      <c r="E8769" t="s">
        <v>717</v>
      </c>
    </row>
    <row r="8770" spans="3:5">
      <c r="C8770">
        <v>479.96</v>
      </c>
      <c r="D8770" s="17">
        <v>41976</v>
      </c>
      <c r="E8770" t="s">
        <v>727</v>
      </c>
    </row>
    <row r="8771" spans="3:5">
      <c r="C8771">
        <v>479.97</v>
      </c>
      <c r="D8771" s="17">
        <v>41703</v>
      </c>
      <c r="E8771" t="s">
        <v>1194</v>
      </c>
    </row>
    <row r="8772" spans="3:5">
      <c r="C8772">
        <v>479.97</v>
      </c>
      <c r="D8772" s="17">
        <v>41825</v>
      </c>
      <c r="E8772" t="s">
        <v>1380</v>
      </c>
    </row>
    <row r="8773" spans="3:5">
      <c r="C8773">
        <v>479.97</v>
      </c>
      <c r="D8773" s="17">
        <v>42608</v>
      </c>
      <c r="E8773" t="s">
        <v>1380</v>
      </c>
    </row>
    <row r="8774" spans="3:5">
      <c r="C8774">
        <v>479.97</v>
      </c>
      <c r="D8774" s="17">
        <v>42681</v>
      </c>
      <c r="E8774" t="s">
        <v>1380</v>
      </c>
    </row>
    <row r="8775" spans="3:5">
      <c r="C8775">
        <v>479.97</v>
      </c>
      <c r="D8775" s="17">
        <v>42683</v>
      </c>
      <c r="E8775" t="s">
        <v>1194</v>
      </c>
    </row>
    <row r="8776" spans="3:5">
      <c r="C8776">
        <v>479.97</v>
      </c>
      <c r="D8776" s="17">
        <v>43093</v>
      </c>
      <c r="E8776" t="s">
        <v>1396</v>
      </c>
    </row>
    <row r="8777" spans="3:5">
      <c r="C8777">
        <v>479.97600000000006</v>
      </c>
      <c r="D8777" s="17">
        <v>42300</v>
      </c>
      <c r="E8777" t="s">
        <v>980</v>
      </c>
    </row>
    <row r="8778" spans="3:5">
      <c r="C8778">
        <v>479.97600000000006</v>
      </c>
      <c r="D8778" s="17">
        <v>42638</v>
      </c>
      <c r="E8778" t="s">
        <v>980</v>
      </c>
    </row>
    <row r="8779" spans="3:5">
      <c r="C8779">
        <v>479.98400000000004</v>
      </c>
      <c r="D8779" s="17">
        <v>41761</v>
      </c>
      <c r="E8779" t="s">
        <v>975</v>
      </c>
    </row>
    <row r="8780" spans="3:5">
      <c r="C8780">
        <v>479.98400000000004</v>
      </c>
      <c r="D8780" s="17">
        <v>42259</v>
      </c>
      <c r="E8780" t="s">
        <v>336</v>
      </c>
    </row>
    <row r="8781" spans="3:5">
      <c r="C8781">
        <v>479.98400000000004</v>
      </c>
      <c r="D8781" s="17">
        <v>42710</v>
      </c>
      <c r="E8781" t="s">
        <v>975</v>
      </c>
    </row>
    <row r="8782" spans="3:5">
      <c r="C8782">
        <v>479.98400000000004</v>
      </c>
      <c r="D8782" s="17">
        <v>42803</v>
      </c>
      <c r="E8782" t="s">
        <v>336</v>
      </c>
    </row>
    <row r="8783" spans="3:5">
      <c r="C8783">
        <v>479.98400000000004</v>
      </c>
      <c r="D8783" s="17">
        <v>42819</v>
      </c>
      <c r="E8783" t="s">
        <v>336</v>
      </c>
    </row>
    <row r="8784" spans="3:5">
      <c r="C8784">
        <v>479.98400000000004</v>
      </c>
      <c r="D8784" s="17">
        <v>42933</v>
      </c>
      <c r="E8784" t="s">
        <v>975</v>
      </c>
    </row>
    <row r="8785" spans="3:5">
      <c r="C8785">
        <v>479.988</v>
      </c>
      <c r="D8785" s="17">
        <v>42328</v>
      </c>
      <c r="E8785" t="s">
        <v>1817</v>
      </c>
    </row>
    <row r="8786" spans="3:5">
      <c r="C8786">
        <v>479.98800000000006</v>
      </c>
      <c r="D8786" s="17">
        <v>42362</v>
      </c>
      <c r="E8786" t="s">
        <v>1323</v>
      </c>
    </row>
    <row r="8787" spans="3:5">
      <c r="C8787">
        <v>480</v>
      </c>
      <c r="D8787" s="17">
        <v>42995</v>
      </c>
      <c r="E8787" t="s">
        <v>1219</v>
      </c>
    </row>
    <row r="8788" spans="3:5">
      <c r="C8788">
        <v>480.74</v>
      </c>
      <c r="D8788" s="17">
        <v>41940</v>
      </c>
      <c r="E8788" t="s">
        <v>494</v>
      </c>
    </row>
    <row r="8789" spans="3:5">
      <c r="C8789">
        <v>480.96</v>
      </c>
      <c r="D8789" s="17">
        <v>42783</v>
      </c>
      <c r="E8789" t="s">
        <v>245</v>
      </c>
    </row>
    <row r="8790" spans="3:5">
      <c r="C8790">
        <v>481.17599999999999</v>
      </c>
      <c r="D8790" s="17">
        <v>42254</v>
      </c>
      <c r="E8790" t="s">
        <v>1697</v>
      </c>
    </row>
    <row r="8791" spans="3:5">
      <c r="C8791">
        <v>481.32</v>
      </c>
      <c r="D8791" s="17">
        <v>42440</v>
      </c>
      <c r="E8791" t="s">
        <v>1458</v>
      </c>
    </row>
    <row r="8792" spans="3:5">
      <c r="C8792">
        <v>481.32</v>
      </c>
      <c r="D8792" s="17">
        <v>42734</v>
      </c>
      <c r="E8792" t="s">
        <v>1458</v>
      </c>
    </row>
    <row r="8793" spans="3:5">
      <c r="C8793">
        <v>481.32</v>
      </c>
      <c r="D8793" s="17">
        <v>43086</v>
      </c>
      <c r="E8793" t="s">
        <v>1458</v>
      </c>
    </row>
    <row r="8794" spans="3:5">
      <c r="C8794">
        <v>481.56800000000004</v>
      </c>
      <c r="D8794" s="17">
        <v>41705</v>
      </c>
      <c r="E8794" t="s">
        <v>228</v>
      </c>
    </row>
    <row r="8795" spans="3:5">
      <c r="C8795">
        <v>482.34000000000003</v>
      </c>
      <c r="D8795" s="17">
        <v>42341</v>
      </c>
      <c r="E8795" t="s">
        <v>1191</v>
      </c>
    </row>
    <row r="8796" spans="3:5">
      <c r="C8796">
        <v>482.66399999999999</v>
      </c>
      <c r="D8796" s="17">
        <v>42826</v>
      </c>
      <c r="E8796" t="s">
        <v>479</v>
      </c>
    </row>
    <row r="8797" spans="3:5">
      <c r="C8797">
        <v>482.93999999999994</v>
      </c>
      <c r="D8797" s="17">
        <v>42183</v>
      </c>
      <c r="E8797" t="s">
        <v>438</v>
      </c>
    </row>
    <row r="8798" spans="3:5">
      <c r="C8798">
        <v>483.13599999999997</v>
      </c>
      <c r="D8798" s="17">
        <v>42538</v>
      </c>
      <c r="E8798" t="s">
        <v>1563</v>
      </c>
    </row>
    <row r="8799" spans="3:5">
      <c r="C8799">
        <v>483.13599999999997</v>
      </c>
      <c r="D8799" s="17">
        <v>42638</v>
      </c>
      <c r="E8799" t="s">
        <v>429</v>
      </c>
    </row>
    <row r="8800" spans="3:5">
      <c r="C8800">
        <v>484.65000000000003</v>
      </c>
      <c r="D8800" s="17">
        <v>42243</v>
      </c>
      <c r="E8800" t="s">
        <v>1068</v>
      </c>
    </row>
    <row r="8801" spans="3:5">
      <c r="C8801">
        <v>484.70400000000006</v>
      </c>
      <c r="D8801" s="17">
        <v>42516</v>
      </c>
      <c r="E8801" t="s">
        <v>1131</v>
      </c>
    </row>
    <row r="8802" spans="3:5">
      <c r="C8802">
        <v>484.83000000000004</v>
      </c>
      <c r="D8802" s="17">
        <v>42405</v>
      </c>
      <c r="E8802" t="s">
        <v>289</v>
      </c>
    </row>
    <row r="8803" spans="3:5">
      <c r="C8803">
        <v>485.88</v>
      </c>
      <c r="D8803" s="17">
        <v>41890</v>
      </c>
      <c r="E8803" t="s">
        <v>131</v>
      </c>
    </row>
    <row r="8804" spans="3:5">
      <c r="C8804">
        <v>485.88</v>
      </c>
      <c r="D8804" s="17">
        <v>41967</v>
      </c>
      <c r="E8804" t="s">
        <v>1346</v>
      </c>
    </row>
    <row r="8805" spans="3:5">
      <c r="C8805">
        <v>485.93999999999994</v>
      </c>
      <c r="D8805" s="17">
        <v>42344</v>
      </c>
      <c r="E8805" t="s">
        <v>1805</v>
      </c>
    </row>
    <row r="8806" spans="3:5">
      <c r="C8806">
        <v>486.36800000000005</v>
      </c>
      <c r="D8806" s="17">
        <v>43042</v>
      </c>
      <c r="E8806" t="s">
        <v>253</v>
      </c>
    </row>
    <row r="8807" spans="3:5">
      <c r="C8807">
        <v>487.91999999999996</v>
      </c>
      <c r="D8807" s="17">
        <v>42590</v>
      </c>
      <c r="E8807" t="s">
        <v>1182</v>
      </c>
    </row>
    <row r="8808" spans="3:5">
      <c r="C8808">
        <v>487.96</v>
      </c>
      <c r="D8808" s="17">
        <v>42908</v>
      </c>
      <c r="E8808" t="s">
        <v>880</v>
      </c>
    </row>
    <row r="8809" spans="3:5">
      <c r="C8809">
        <v>487.98400000000004</v>
      </c>
      <c r="D8809" s="17">
        <v>41993</v>
      </c>
      <c r="E8809" t="s">
        <v>76</v>
      </c>
    </row>
    <row r="8810" spans="3:5">
      <c r="C8810">
        <v>487.98400000000004</v>
      </c>
      <c r="D8810" s="17">
        <v>42369</v>
      </c>
      <c r="E8810" t="s">
        <v>76</v>
      </c>
    </row>
    <row r="8811" spans="3:5">
      <c r="C8811">
        <v>487.98400000000004</v>
      </c>
      <c r="D8811" s="17">
        <v>42982</v>
      </c>
      <c r="E8811" t="s">
        <v>76</v>
      </c>
    </row>
    <row r="8812" spans="3:5">
      <c r="C8812">
        <v>488.64600000000002</v>
      </c>
      <c r="D8812" s="17">
        <v>43003</v>
      </c>
      <c r="E8812" t="s">
        <v>302</v>
      </c>
    </row>
    <row r="8813" spans="3:5">
      <c r="C8813">
        <v>489.22999999999996</v>
      </c>
      <c r="D8813" s="17">
        <v>41856</v>
      </c>
      <c r="E8813" t="s">
        <v>606</v>
      </c>
    </row>
    <row r="8814" spans="3:5">
      <c r="C8814">
        <v>489.92</v>
      </c>
      <c r="D8814" s="17">
        <v>41665</v>
      </c>
      <c r="E8814" t="s">
        <v>1612</v>
      </c>
    </row>
    <row r="8815" spans="3:5">
      <c r="C8815">
        <v>490.32</v>
      </c>
      <c r="D8815" s="17">
        <v>42422</v>
      </c>
      <c r="E8815" t="s">
        <v>402</v>
      </c>
    </row>
    <row r="8816" spans="3:5">
      <c r="C8816">
        <v>491.55</v>
      </c>
      <c r="D8816" s="17">
        <v>41800</v>
      </c>
      <c r="E8816" t="s">
        <v>940</v>
      </c>
    </row>
    <row r="8817" spans="3:5">
      <c r="C8817">
        <v>491.55</v>
      </c>
      <c r="D8817" s="17">
        <v>42079</v>
      </c>
      <c r="E8817" t="s">
        <v>940</v>
      </c>
    </row>
    <row r="8818" spans="3:5">
      <c r="C8818">
        <v>492.76800000000003</v>
      </c>
      <c r="D8818" s="17">
        <v>43044</v>
      </c>
      <c r="E8818" t="s">
        <v>716</v>
      </c>
    </row>
    <row r="8819" spans="3:5">
      <c r="C8819">
        <v>492.83499999999998</v>
      </c>
      <c r="D8819" s="17">
        <v>42674</v>
      </c>
      <c r="E8819" t="s">
        <v>996</v>
      </c>
    </row>
    <row r="8820" spans="3:5">
      <c r="C8820">
        <v>493.42999999999995</v>
      </c>
      <c r="D8820" s="17">
        <v>41902</v>
      </c>
      <c r="E8820" t="s">
        <v>1132</v>
      </c>
    </row>
    <row r="8821" spans="3:5">
      <c r="C8821">
        <v>493.9199999999999</v>
      </c>
      <c r="D8821" s="17">
        <v>42062</v>
      </c>
      <c r="E8821" t="s">
        <v>846</v>
      </c>
    </row>
    <row r="8822" spans="3:5">
      <c r="C8822">
        <v>494.37599999999998</v>
      </c>
      <c r="D8822" s="17">
        <v>42567</v>
      </c>
      <c r="E8822" t="s">
        <v>1731</v>
      </c>
    </row>
    <row r="8823" spans="3:5">
      <c r="C8823">
        <v>494.37600000000009</v>
      </c>
      <c r="D8823" s="17">
        <v>42351</v>
      </c>
      <c r="E8823" t="s">
        <v>1718</v>
      </c>
    </row>
    <row r="8824" spans="3:5">
      <c r="C8824">
        <v>494.97</v>
      </c>
      <c r="D8824" s="17">
        <v>42223</v>
      </c>
      <c r="E8824" t="s">
        <v>143</v>
      </c>
    </row>
    <row r="8825" spans="3:5">
      <c r="C8825">
        <v>494.97</v>
      </c>
      <c r="D8825" s="17">
        <v>43092</v>
      </c>
      <c r="E8825" t="s">
        <v>143</v>
      </c>
    </row>
    <row r="8826" spans="3:5">
      <c r="C8826">
        <v>494.98199999999997</v>
      </c>
      <c r="D8826" s="17">
        <v>42700</v>
      </c>
      <c r="E8826" t="s">
        <v>371</v>
      </c>
    </row>
    <row r="8827" spans="3:5">
      <c r="C8827">
        <v>496.86</v>
      </c>
      <c r="D8827" s="17">
        <v>42704</v>
      </c>
      <c r="E8827" t="s">
        <v>225</v>
      </c>
    </row>
    <row r="8828" spans="3:5">
      <c r="C8828">
        <v>497.61</v>
      </c>
      <c r="D8828" s="17">
        <v>41757</v>
      </c>
      <c r="E8828" t="s">
        <v>313</v>
      </c>
    </row>
    <row r="8829" spans="3:5">
      <c r="C8829">
        <v>497.93999999999994</v>
      </c>
      <c r="D8829" s="17">
        <v>43066</v>
      </c>
      <c r="E8829" t="s">
        <v>750</v>
      </c>
    </row>
    <row r="8830" spans="3:5">
      <c r="C8830">
        <v>498</v>
      </c>
      <c r="D8830" s="17">
        <v>42000</v>
      </c>
      <c r="E8830" t="s">
        <v>1792</v>
      </c>
    </row>
    <row r="8831" spans="3:5">
      <c r="C8831">
        <v>498.26000000000005</v>
      </c>
      <c r="D8831" s="17">
        <v>42979</v>
      </c>
      <c r="E8831" t="s">
        <v>1113</v>
      </c>
    </row>
    <row r="8832" spans="3:5">
      <c r="C8832">
        <v>499.16800000000006</v>
      </c>
      <c r="D8832" s="17">
        <v>43048</v>
      </c>
      <c r="E8832" t="s">
        <v>740</v>
      </c>
    </row>
    <row r="8833" spans="3:5">
      <c r="C8833">
        <v>499.58400000000006</v>
      </c>
      <c r="D8833" s="17">
        <v>43045</v>
      </c>
      <c r="E8833" t="s">
        <v>983</v>
      </c>
    </row>
    <row r="8834" spans="3:5">
      <c r="C8834">
        <v>499.95</v>
      </c>
      <c r="D8834" s="17">
        <v>42638</v>
      </c>
      <c r="E8834" t="s">
        <v>335</v>
      </c>
    </row>
    <row r="8835" spans="3:5">
      <c r="C8835">
        <v>499.98</v>
      </c>
      <c r="D8835" s="17">
        <v>42688</v>
      </c>
      <c r="E8835" t="s">
        <v>1367</v>
      </c>
    </row>
    <row r="8836" spans="3:5">
      <c r="C8836">
        <v>499.99</v>
      </c>
      <c r="D8836" s="17">
        <v>42265</v>
      </c>
      <c r="E8836" t="s">
        <v>1833</v>
      </c>
    </row>
    <row r="8837" spans="3:5">
      <c r="C8837">
        <v>500.23999999999995</v>
      </c>
      <c r="D8837" s="17">
        <v>41871</v>
      </c>
      <c r="E8837" t="s">
        <v>1492</v>
      </c>
    </row>
    <row r="8838" spans="3:5">
      <c r="C8838">
        <v>501.81000000000006</v>
      </c>
      <c r="D8838" s="17">
        <v>41812</v>
      </c>
      <c r="E8838" t="s">
        <v>512</v>
      </c>
    </row>
    <row r="8839" spans="3:5">
      <c r="C8839">
        <v>501.81000000000006</v>
      </c>
      <c r="D8839" s="17">
        <v>42834</v>
      </c>
      <c r="E8839" t="s">
        <v>512</v>
      </c>
    </row>
    <row r="8840" spans="3:5">
      <c r="C8840">
        <v>501.81000000000006</v>
      </c>
      <c r="D8840" s="17">
        <v>43064</v>
      </c>
      <c r="E8840" t="s">
        <v>512</v>
      </c>
    </row>
    <row r="8841" spans="3:5">
      <c r="C8841">
        <v>502.48800000000006</v>
      </c>
      <c r="D8841" s="17">
        <v>41828</v>
      </c>
      <c r="E8841" t="s">
        <v>1745</v>
      </c>
    </row>
    <row r="8842" spans="3:5">
      <c r="C8842">
        <v>503.96</v>
      </c>
      <c r="D8842" s="17">
        <v>41962</v>
      </c>
      <c r="E8842" t="s">
        <v>1584</v>
      </c>
    </row>
    <row r="8843" spans="3:5">
      <c r="C8843">
        <v>503.96</v>
      </c>
      <c r="D8843" s="17">
        <v>42309</v>
      </c>
      <c r="E8843" t="s">
        <v>1824</v>
      </c>
    </row>
    <row r="8844" spans="3:5">
      <c r="C8844">
        <v>503.96</v>
      </c>
      <c r="D8844" s="17">
        <v>42906</v>
      </c>
      <c r="E8844" t="s">
        <v>876</v>
      </c>
    </row>
    <row r="8845" spans="3:5">
      <c r="C8845">
        <v>503.96000000000004</v>
      </c>
      <c r="D8845" s="17">
        <v>42279</v>
      </c>
      <c r="E8845" t="s">
        <v>1715</v>
      </c>
    </row>
    <row r="8846" spans="3:5">
      <c r="C8846">
        <v>503.96000000000004</v>
      </c>
      <c r="D8846" s="17">
        <v>42889</v>
      </c>
      <c r="E8846" t="s">
        <v>794</v>
      </c>
    </row>
    <row r="8847" spans="3:5">
      <c r="C8847">
        <v>504.90000000000003</v>
      </c>
      <c r="D8847" s="17">
        <v>42570</v>
      </c>
      <c r="E8847" t="s">
        <v>708</v>
      </c>
    </row>
    <row r="8848" spans="3:5">
      <c r="C8848">
        <v>504.90000000000003</v>
      </c>
      <c r="D8848" s="17">
        <v>43086</v>
      </c>
      <c r="E8848" t="s">
        <v>1237</v>
      </c>
    </row>
    <row r="8849" spans="3:5">
      <c r="C8849">
        <v>505.1760000000001</v>
      </c>
      <c r="D8849" s="17">
        <v>41880</v>
      </c>
      <c r="E8849" t="s">
        <v>1200</v>
      </c>
    </row>
    <row r="8850" spans="3:5">
      <c r="C8850">
        <v>505.32000000000005</v>
      </c>
      <c r="D8850" s="17">
        <v>41932</v>
      </c>
      <c r="E8850" t="s">
        <v>820</v>
      </c>
    </row>
    <row r="8851" spans="3:5">
      <c r="C8851">
        <v>506.28</v>
      </c>
      <c r="D8851" s="17">
        <v>43002</v>
      </c>
      <c r="E8851" t="s">
        <v>1259</v>
      </c>
    </row>
    <row r="8852" spans="3:5">
      <c r="C8852">
        <v>508.70400000000006</v>
      </c>
      <c r="D8852" s="17">
        <v>43071</v>
      </c>
      <c r="E8852" t="s">
        <v>578</v>
      </c>
    </row>
    <row r="8853" spans="3:5">
      <c r="C8853">
        <v>508.76800000000003</v>
      </c>
      <c r="D8853" s="17">
        <v>43039</v>
      </c>
      <c r="E8853" t="s">
        <v>807</v>
      </c>
    </row>
    <row r="8854" spans="3:5">
      <c r="C8854">
        <v>509.48800000000006</v>
      </c>
      <c r="D8854" s="17">
        <v>41810</v>
      </c>
      <c r="E8854" t="s">
        <v>596</v>
      </c>
    </row>
    <row r="8855" spans="3:5">
      <c r="C8855">
        <v>509.95749999999992</v>
      </c>
      <c r="D8855" s="17">
        <v>42138</v>
      </c>
      <c r="E8855" t="s">
        <v>216</v>
      </c>
    </row>
    <row r="8856" spans="3:5">
      <c r="C8856">
        <v>509.97000000000008</v>
      </c>
      <c r="D8856" s="17">
        <v>41742</v>
      </c>
      <c r="E8856" t="s">
        <v>917</v>
      </c>
    </row>
    <row r="8857" spans="3:5">
      <c r="C8857">
        <v>510.24</v>
      </c>
      <c r="D8857" s="17">
        <v>43023</v>
      </c>
      <c r="E8857" t="s">
        <v>497</v>
      </c>
    </row>
    <row r="8858" spans="3:5">
      <c r="C8858">
        <v>511.05600000000004</v>
      </c>
      <c r="D8858" s="17">
        <v>42637</v>
      </c>
      <c r="E8858" t="s">
        <v>225</v>
      </c>
    </row>
    <row r="8859" spans="3:5">
      <c r="C8859">
        <v>511.5</v>
      </c>
      <c r="D8859" s="17">
        <v>42980</v>
      </c>
      <c r="E8859" t="s">
        <v>508</v>
      </c>
    </row>
    <row r="8860" spans="3:5">
      <c r="C8860">
        <v>511.84</v>
      </c>
      <c r="D8860" s="17">
        <v>42505</v>
      </c>
      <c r="E8860" t="s">
        <v>1270</v>
      </c>
    </row>
    <row r="8861" spans="3:5">
      <c r="C8861">
        <v>512.19000000000005</v>
      </c>
      <c r="D8861" s="17">
        <v>42989</v>
      </c>
      <c r="E8861" t="s">
        <v>909</v>
      </c>
    </row>
    <row r="8862" spans="3:5">
      <c r="C8862">
        <v>512.35799999999995</v>
      </c>
      <c r="D8862" s="17">
        <v>41832</v>
      </c>
      <c r="E8862" t="s">
        <v>1461</v>
      </c>
    </row>
    <row r="8863" spans="3:5">
      <c r="C8863">
        <v>512.49900000000002</v>
      </c>
      <c r="D8863" s="17">
        <v>42310</v>
      </c>
      <c r="E8863" t="s">
        <v>1773</v>
      </c>
    </row>
    <row r="8864" spans="3:5">
      <c r="C8864">
        <v>512.93999999999994</v>
      </c>
      <c r="D8864" s="17">
        <v>42071</v>
      </c>
      <c r="E8864" t="s">
        <v>1809</v>
      </c>
    </row>
    <row r="8865" spans="3:5">
      <c r="C8865">
        <v>512.96</v>
      </c>
      <c r="D8865" s="17">
        <v>42993</v>
      </c>
      <c r="E8865" t="s">
        <v>361</v>
      </c>
    </row>
    <row r="8866" spans="3:5">
      <c r="C8866">
        <v>513.024</v>
      </c>
      <c r="D8866" s="17">
        <v>42590</v>
      </c>
      <c r="E8866" t="s">
        <v>245</v>
      </c>
    </row>
    <row r="8867" spans="3:5">
      <c r="C8867">
        <v>514.16499999999996</v>
      </c>
      <c r="D8867" s="17">
        <v>42896</v>
      </c>
      <c r="E8867" t="s">
        <v>547</v>
      </c>
    </row>
    <row r="8868" spans="3:5">
      <c r="C8868">
        <v>515.88</v>
      </c>
      <c r="D8868" s="17">
        <v>41793</v>
      </c>
      <c r="E8868" t="s">
        <v>272</v>
      </c>
    </row>
    <row r="8869" spans="3:5">
      <c r="C8869">
        <v>516.48800000000006</v>
      </c>
      <c r="D8869" s="17">
        <v>43067</v>
      </c>
      <c r="E8869" t="s">
        <v>231</v>
      </c>
    </row>
    <row r="8870" spans="3:5">
      <c r="C8870">
        <v>516.96</v>
      </c>
      <c r="D8870" s="17">
        <v>42163</v>
      </c>
      <c r="E8870" t="s">
        <v>1068</v>
      </c>
    </row>
    <row r="8871" spans="3:5">
      <c r="C8871">
        <v>517.40500000000009</v>
      </c>
      <c r="D8871" s="17">
        <v>43032</v>
      </c>
      <c r="E8871" t="s">
        <v>962</v>
      </c>
    </row>
    <row r="8872" spans="3:5">
      <c r="C8872">
        <v>517.5</v>
      </c>
      <c r="D8872" s="17">
        <v>42271</v>
      </c>
      <c r="E8872" t="s">
        <v>660</v>
      </c>
    </row>
    <row r="8873" spans="3:5">
      <c r="C8873">
        <v>517.9</v>
      </c>
      <c r="D8873" s="17">
        <v>42469</v>
      </c>
      <c r="E8873" t="s">
        <v>347</v>
      </c>
    </row>
    <row r="8874" spans="3:5">
      <c r="C8874">
        <v>518.27200000000005</v>
      </c>
      <c r="D8874" s="17">
        <v>42875</v>
      </c>
      <c r="E8874" t="s">
        <v>735</v>
      </c>
    </row>
    <row r="8875" spans="3:5">
      <c r="C8875">
        <v>519.67999999999995</v>
      </c>
      <c r="D8875" s="17">
        <v>42623</v>
      </c>
      <c r="E8875" t="s">
        <v>215</v>
      </c>
    </row>
    <row r="8876" spans="3:5">
      <c r="C8876">
        <v>519.79200000000003</v>
      </c>
      <c r="D8876" s="17">
        <v>42232</v>
      </c>
      <c r="E8876" t="s">
        <v>1176</v>
      </c>
    </row>
    <row r="8877" spans="3:5">
      <c r="C8877">
        <v>519.96</v>
      </c>
      <c r="D8877" s="17">
        <v>42203</v>
      </c>
      <c r="E8877" t="s">
        <v>986</v>
      </c>
    </row>
    <row r="8878" spans="3:5">
      <c r="C8878">
        <v>520.05000000000007</v>
      </c>
      <c r="D8878" s="17">
        <v>42876</v>
      </c>
      <c r="E8878" t="s">
        <v>741</v>
      </c>
    </row>
    <row r="8879" spans="3:5">
      <c r="C8879">
        <v>520.46399999999994</v>
      </c>
      <c r="D8879" s="17">
        <v>43002</v>
      </c>
      <c r="E8879" t="s">
        <v>284</v>
      </c>
    </row>
    <row r="8880" spans="3:5">
      <c r="C8880">
        <v>520.46399999999994</v>
      </c>
      <c r="D8880" s="17">
        <v>43080</v>
      </c>
      <c r="E8880" t="s">
        <v>284</v>
      </c>
    </row>
    <row r="8881" spans="3:5">
      <c r="C8881">
        <v>521.96</v>
      </c>
      <c r="D8881" s="17">
        <v>41954</v>
      </c>
      <c r="E8881" t="s">
        <v>1198</v>
      </c>
    </row>
    <row r="8882" spans="3:5">
      <c r="C8882">
        <v>521.96</v>
      </c>
      <c r="D8882" s="17">
        <v>43072</v>
      </c>
      <c r="E8882" t="s">
        <v>62</v>
      </c>
    </row>
    <row r="8883" spans="3:5">
      <c r="C8883">
        <v>523.25</v>
      </c>
      <c r="D8883" s="17">
        <v>42324</v>
      </c>
      <c r="E8883" t="s">
        <v>1376</v>
      </c>
    </row>
    <row r="8884" spans="3:5">
      <c r="C8884">
        <v>523.26</v>
      </c>
      <c r="D8884" s="17">
        <v>42110</v>
      </c>
      <c r="E8884" t="s">
        <v>830</v>
      </c>
    </row>
    <row r="8885" spans="3:5">
      <c r="C8885">
        <v>523.39200000000005</v>
      </c>
      <c r="D8885" s="17">
        <v>43048</v>
      </c>
      <c r="E8885" t="s">
        <v>435</v>
      </c>
    </row>
    <row r="8886" spans="3:5">
      <c r="C8886">
        <v>523.48</v>
      </c>
      <c r="D8886" s="17">
        <v>42337</v>
      </c>
      <c r="E8886" t="s">
        <v>1217</v>
      </c>
    </row>
    <row r="8887" spans="3:5">
      <c r="C8887">
        <v>523.76400000000001</v>
      </c>
      <c r="D8887" s="17">
        <v>42003</v>
      </c>
      <c r="E8887" t="s">
        <v>969</v>
      </c>
    </row>
    <row r="8888" spans="3:5">
      <c r="C8888">
        <v>523.76400000000001</v>
      </c>
      <c r="D8888" s="17">
        <v>43043</v>
      </c>
      <c r="E8888" t="s">
        <v>969</v>
      </c>
    </row>
    <row r="8889" spans="3:5">
      <c r="C8889">
        <v>523.91999999999996</v>
      </c>
      <c r="D8889" s="17">
        <v>42320</v>
      </c>
      <c r="E8889" t="s">
        <v>695</v>
      </c>
    </row>
    <row r="8890" spans="3:5">
      <c r="C8890">
        <v>523.91999999999996</v>
      </c>
      <c r="D8890" s="17">
        <v>42643</v>
      </c>
      <c r="E8890" t="s">
        <v>1031</v>
      </c>
    </row>
    <row r="8891" spans="3:5">
      <c r="C8891">
        <v>526.34399999999994</v>
      </c>
      <c r="D8891" s="17">
        <v>42938</v>
      </c>
      <c r="E8891" t="s">
        <v>1001</v>
      </c>
    </row>
    <row r="8892" spans="3:5">
      <c r="C8892">
        <v>526.45000000000005</v>
      </c>
      <c r="D8892" s="17">
        <v>42912</v>
      </c>
      <c r="E8892" t="s">
        <v>203</v>
      </c>
    </row>
    <row r="8893" spans="3:5">
      <c r="C8893">
        <v>526.45000000000005</v>
      </c>
      <c r="D8893" s="17">
        <v>42925</v>
      </c>
      <c r="E8893" t="s">
        <v>203</v>
      </c>
    </row>
    <row r="8894" spans="3:5">
      <c r="C8894">
        <v>526.58199999999999</v>
      </c>
      <c r="D8894" s="17">
        <v>43083</v>
      </c>
      <c r="E8894" t="s">
        <v>498</v>
      </c>
    </row>
    <row r="8895" spans="3:5">
      <c r="C8895">
        <v>527.91999999999996</v>
      </c>
      <c r="D8895" s="17">
        <v>42923</v>
      </c>
      <c r="E8895" t="s">
        <v>279</v>
      </c>
    </row>
    <row r="8896" spans="3:5">
      <c r="C8896">
        <v>528.42999999999995</v>
      </c>
      <c r="D8896" s="17">
        <v>42444</v>
      </c>
      <c r="E8896" t="s">
        <v>191</v>
      </c>
    </row>
    <row r="8897" spans="3:5">
      <c r="C8897">
        <v>528.42999999999995</v>
      </c>
      <c r="D8897" s="17">
        <v>42450</v>
      </c>
      <c r="E8897" t="s">
        <v>429</v>
      </c>
    </row>
    <row r="8898" spans="3:5">
      <c r="C8898">
        <v>528.42999999999995</v>
      </c>
      <c r="D8898" s="17">
        <v>42553</v>
      </c>
      <c r="E8898" t="s">
        <v>429</v>
      </c>
    </row>
    <row r="8899" spans="3:5">
      <c r="C8899">
        <v>529.9</v>
      </c>
      <c r="D8899" s="17">
        <v>42993</v>
      </c>
      <c r="E8899" t="s">
        <v>578</v>
      </c>
    </row>
    <row r="8900" spans="3:5">
      <c r="C8900">
        <v>530.34</v>
      </c>
      <c r="D8900" s="17">
        <v>42868</v>
      </c>
      <c r="E8900" t="s">
        <v>568</v>
      </c>
    </row>
    <row r="8901" spans="3:5">
      <c r="C8901">
        <v>532.39919999999995</v>
      </c>
      <c r="D8901" s="17">
        <v>42365</v>
      </c>
      <c r="E8901" t="s">
        <v>1198</v>
      </c>
    </row>
    <row r="8902" spans="3:5">
      <c r="C8902">
        <v>532.70400000000006</v>
      </c>
      <c r="D8902" s="17">
        <v>42605</v>
      </c>
      <c r="E8902" t="s">
        <v>1369</v>
      </c>
    </row>
    <row r="8903" spans="3:5">
      <c r="C8903">
        <v>532.70400000000006</v>
      </c>
      <c r="D8903" s="17">
        <v>42636</v>
      </c>
      <c r="E8903" t="s">
        <v>1521</v>
      </c>
    </row>
    <row r="8904" spans="3:5">
      <c r="C8904">
        <v>532.72</v>
      </c>
      <c r="D8904" s="17">
        <v>42822</v>
      </c>
      <c r="E8904" t="s">
        <v>460</v>
      </c>
    </row>
    <row r="8905" spans="3:5">
      <c r="C8905">
        <v>533.93999999999994</v>
      </c>
      <c r="D8905" s="17">
        <v>41944</v>
      </c>
      <c r="E8905" t="s">
        <v>259</v>
      </c>
    </row>
    <row r="8906" spans="3:5">
      <c r="C8906">
        <v>535.41</v>
      </c>
      <c r="D8906" s="17">
        <v>41840</v>
      </c>
      <c r="E8906" t="s">
        <v>207</v>
      </c>
    </row>
    <row r="8907" spans="3:5">
      <c r="C8907">
        <v>535.41</v>
      </c>
      <c r="D8907" s="17">
        <v>41953</v>
      </c>
      <c r="E8907" t="s">
        <v>207</v>
      </c>
    </row>
    <row r="8908" spans="3:5">
      <c r="C8908">
        <v>535.41</v>
      </c>
      <c r="D8908" s="17">
        <v>42152</v>
      </c>
      <c r="E8908" t="s">
        <v>207</v>
      </c>
    </row>
    <row r="8909" spans="3:5">
      <c r="C8909">
        <v>535.41</v>
      </c>
      <c r="D8909" s="17">
        <v>42617</v>
      </c>
      <c r="E8909" t="s">
        <v>207</v>
      </c>
    </row>
    <row r="8910" spans="3:5">
      <c r="C8910">
        <v>537.54399999999998</v>
      </c>
      <c r="D8910" s="17">
        <v>42197</v>
      </c>
      <c r="E8910" t="s">
        <v>255</v>
      </c>
    </row>
    <row r="8911" spans="3:5">
      <c r="C8911">
        <v>537.54399999999998</v>
      </c>
      <c r="D8911" s="17">
        <v>42812</v>
      </c>
      <c r="E8911" t="s">
        <v>393</v>
      </c>
    </row>
    <row r="8912" spans="3:5">
      <c r="C8912">
        <v>538.19400000000007</v>
      </c>
      <c r="D8912" s="17">
        <v>42994</v>
      </c>
      <c r="E8912" t="s">
        <v>502</v>
      </c>
    </row>
    <row r="8913" spans="3:5">
      <c r="C8913">
        <v>538.92000000000007</v>
      </c>
      <c r="D8913" s="17">
        <v>42062</v>
      </c>
      <c r="E8913" t="s">
        <v>273</v>
      </c>
    </row>
    <row r="8914" spans="3:5">
      <c r="C8914">
        <v>539.65800000000002</v>
      </c>
      <c r="D8914" s="17">
        <v>42548</v>
      </c>
      <c r="E8914" t="s">
        <v>256</v>
      </c>
    </row>
    <row r="8915" spans="3:5">
      <c r="C8915">
        <v>539.91</v>
      </c>
      <c r="D8915" s="17">
        <v>42442</v>
      </c>
      <c r="E8915" t="s">
        <v>1116</v>
      </c>
    </row>
    <row r="8916" spans="3:5">
      <c r="C8916">
        <v>539.91999999999996</v>
      </c>
      <c r="D8916" s="17">
        <v>41968</v>
      </c>
      <c r="E8916" t="s">
        <v>264</v>
      </c>
    </row>
    <row r="8917" spans="3:5">
      <c r="C8917">
        <v>539.96399999999994</v>
      </c>
      <c r="D8917" s="17">
        <v>41945</v>
      </c>
      <c r="E8917" t="s">
        <v>1688</v>
      </c>
    </row>
    <row r="8918" spans="3:5">
      <c r="C8918">
        <v>539.96399999999994</v>
      </c>
      <c r="D8918" s="17">
        <v>41961</v>
      </c>
      <c r="E8918" t="s">
        <v>1865</v>
      </c>
    </row>
    <row r="8919" spans="3:5">
      <c r="C8919">
        <v>539.97</v>
      </c>
      <c r="D8919" s="17">
        <v>42869</v>
      </c>
      <c r="E8919" t="s">
        <v>686</v>
      </c>
    </row>
    <row r="8920" spans="3:5">
      <c r="C8920">
        <v>539.97</v>
      </c>
      <c r="D8920" s="17">
        <v>42882</v>
      </c>
      <c r="E8920" t="s">
        <v>686</v>
      </c>
    </row>
    <row r="8921" spans="3:5">
      <c r="C8921">
        <v>540.048</v>
      </c>
      <c r="D8921" s="17">
        <v>42728</v>
      </c>
      <c r="E8921" t="s">
        <v>579</v>
      </c>
    </row>
    <row r="8922" spans="3:5">
      <c r="C8922">
        <v>540.048</v>
      </c>
      <c r="D8922" s="17">
        <v>43051</v>
      </c>
      <c r="E8922" t="s">
        <v>579</v>
      </c>
    </row>
    <row r="8923" spans="3:5">
      <c r="C8923">
        <v>540.56999999999994</v>
      </c>
      <c r="D8923" s="17">
        <v>42153</v>
      </c>
      <c r="E8923" t="s">
        <v>816</v>
      </c>
    </row>
    <row r="8924" spans="3:5">
      <c r="C8924">
        <v>540.56999999999994</v>
      </c>
      <c r="D8924" s="17">
        <v>42964</v>
      </c>
      <c r="E8924" t="s">
        <v>816</v>
      </c>
    </row>
    <row r="8925" spans="3:5">
      <c r="C8925">
        <v>541.24</v>
      </c>
      <c r="D8925" s="17">
        <v>42325</v>
      </c>
      <c r="E8925" t="s">
        <v>784</v>
      </c>
    </row>
    <row r="8926" spans="3:5">
      <c r="C8926">
        <v>541.24</v>
      </c>
      <c r="D8926" s="17">
        <v>43070</v>
      </c>
      <c r="E8926" t="s">
        <v>784</v>
      </c>
    </row>
    <row r="8927" spans="3:5">
      <c r="C8927">
        <v>541.43999999999994</v>
      </c>
      <c r="D8927" s="17">
        <v>42050</v>
      </c>
      <c r="E8927" t="s">
        <v>1857</v>
      </c>
    </row>
    <row r="8928" spans="3:5">
      <c r="C8928">
        <v>542.64599999999996</v>
      </c>
      <c r="D8928" s="17">
        <v>42707</v>
      </c>
      <c r="E8928" t="s">
        <v>1420</v>
      </c>
    </row>
    <row r="8929" spans="3:5">
      <c r="C8929">
        <v>542.93999999999994</v>
      </c>
      <c r="D8929" s="17">
        <v>42239</v>
      </c>
      <c r="E8929" t="s">
        <v>123</v>
      </c>
    </row>
    <row r="8930" spans="3:5">
      <c r="C8930">
        <v>542.93999999999994</v>
      </c>
      <c r="D8930" s="17">
        <v>42268</v>
      </c>
      <c r="E8930" t="s">
        <v>302</v>
      </c>
    </row>
    <row r="8931" spans="3:5">
      <c r="C8931">
        <v>542.93999999999994</v>
      </c>
      <c r="D8931" s="17">
        <v>42348</v>
      </c>
      <c r="E8931" t="s">
        <v>302</v>
      </c>
    </row>
    <row r="8932" spans="3:5">
      <c r="C8932">
        <v>542.93999999999994</v>
      </c>
      <c r="D8932" s="17">
        <v>42754</v>
      </c>
      <c r="E8932" t="s">
        <v>123</v>
      </c>
    </row>
    <row r="8933" spans="3:5">
      <c r="C8933">
        <v>542.93999999999994</v>
      </c>
      <c r="D8933" s="17">
        <v>42959</v>
      </c>
      <c r="E8933" t="s">
        <v>123</v>
      </c>
    </row>
    <row r="8934" spans="3:5">
      <c r="C8934">
        <v>543.91999999999996</v>
      </c>
      <c r="D8934" s="17">
        <v>42912</v>
      </c>
      <c r="E8934" t="s">
        <v>892</v>
      </c>
    </row>
    <row r="8935" spans="3:5">
      <c r="C8935">
        <v>543.91999999999996</v>
      </c>
      <c r="D8935" s="17">
        <v>42943</v>
      </c>
      <c r="E8935" t="s">
        <v>892</v>
      </c>
    </row>
    <row r="8936" spans="3:5">
      <c r="C8936">
        <v>544.00800000000004</v>
      </c>
      <c r="D8936" s="17">
        <v>42237</v>
      </c>
      <c r="E8936" t="s">
        <v>1486</v>
      </c>
    </row>
    <row r="8937" spans="3:5">
      <c r="C8937">
        <v>544.00800000000004</v>
      </c>
      <c r="D8937" s="17">
        <v>42569</v>
      </c>
      <c r="E8937" t="s">
        <v>1486</v>
      </c>
    </row>
    <row r="8938" spans="3:5">
      <c r="C8938">
        <v>544.38</v>
      </c>
      <c r="D8938" s="17">
        <v>43048</v>
      </c>
      <c r="E8938" t="s">
        <v>409</v>
      </c>
    </row>
    <row r="8939" spans="3:5">
      <c r="C8939">
        <v>544.38</v>
      </c>
      <c r="D8939" s="17">
        <v>43086</v>
      </c>
      <c r="E8939" t="s">
        <v>409</v>
      </c>
    </row>
    <row r="8940" spans="3:5">
      <c r="C8940">
        <v>545.85</v>
      </c>
      <c r="D8940" s="17">
        <v>42919</v>
      </c>
      <c r="E8940" t="s">
        <v>921</v>
      </c>
    </row>
    <row r="8941" spans="3:5">
      <c r="C8941">
        <v>545.88</v>
      </c>
      <c r="D8941" s="17">
        <v>41930</v>
      </c>
      <c r="E8941" t="s">
        <v>485</v>
      </c>
    </row>
    <row r="8942" spans="3:5">
      <c r="C8942">
        <v>545.91599999999994</v>
      </c>
      <c r="D8942" s="17">
        <v>42912</v>
      </c>
      <c r="E8942" t="s">
        <v>895</v>
      </c>
    </row>
    <row r="8943" spans="3:5">
      <c r="C8943">
        <v>545.93999999999994</v>
      </c>
      <c r="D8943" s="17">
        <v>41652</v>
      </c>
      <c r="E8943" t="s">
        <v>434</v>
      </c>
    </row>
    <row r="8944" spans="3:5">
      <c r="C8944">
        <v>546.06000000000006</v>
      </c>
      <c r="D8944" s="17">
        <v>43069</v>
      </c>
      <c r="E8944" t="s">
        <v>1469</v>
      </c>
    </row>
    <row r="8945" spans="3:5">
      <c r="C8945">
        <v>546.66</v>
      </c>
      <c r="D8945" s="17">
        <v>42355</v>
      </c>
      <c r="E8945" t="s">
        <v>1144</v>
      </c>
    </row>
    <row r="8946" spans="3:5">
      <c r="C8946">
        <v>547.13599999999997</v>
      </c>
      <c r="D8946" s="17">
        <v>42099</v>
      </c>
      <c r="E8946" t="s">
        <v>1399</v>
      </c>
    </row>
    <row r="8947" spans="3:5">
      <c r="C8947">
        <v>547.13599999999997</v>
      </c>
      <c r="D8947" s="17">
        <v>42363</v>
      </c>
      <c r="E8947" t="s">
        <v>1399</v>
      </c>
    </row>
    <row r="8948" spans="3:5">
      <c r="C8948">
        <v>547.30000000000007</v>
      </c>
      <c r="D8948" s="17">
        <v>43024</v>
      </c>
      <c r="E8948" t="s">
        <v>900</v>
      </c>
    </row>
    <row r="8949" spans="3:5">
      <c r="C8949">
        <v>549.98</v>
      </c>
      <c r="D8949" s="17">
        <v>42316</v>
      </c>
      <c r="E8949" t="s">
        <v>371</v>
      </c>
    </row>
    <row r="8950" spans="3:5">
      <c r="C8950">
        <v>549.99</v>
      </c>
      <c r="D8950" s="17">
        <v>41859</v>
      </c>
      <c r="E8950" t="s">
        <v>1097</v>
      </c>
    </row>
    <row r="8951" spans="3:5">
      <c r="C8951">
        <v>549.99</v>
      </c>
      <c r="D8951" s="17">
        <v>42318</v>
      </c>
      <c r="E8951" t="s">
        <v>1097</v>
      </c>
    </row>
    <row r="8952" spans="3:5">
      <c r="C8952">
        <v>550.43100000000004</v>
      </c>
      <c r="D8952" s="17">
        <v>42414</v>
      </c>
      <c r="E8952" t="s">
        <v>1088</v>
      </c>
    </row>
    <row r="8953" spans="3:5">
      <c r="C8953">
        <v>551.98500000000013</v>
      </c>
      <c r="D8953" s="17">
        <v>42003</v>
      </c>
      <c r="E8953" t="s">
        <v>987</v>
      </c>
    </row>
    <row r="8954" spans="3:5">
      <c r="C8954">
        <v>552</v>
      </c>
      <c r="D8954" s="17">
        <v>42849</v>
      </c>
      <c r="E8954" t="s">
        <v>184</v>
      </c>
    </row>
    <row r="8955" spans="3:5">
      <c r="C8955">
        <v>552.55999999999995</v>
      </c>
      <c r="D8955" s="17">
        <v>42442</v>
      </c>
      <c r="E8955" t="s">
        <v>704</v>
      </c>
    </row>
    <row r="8956" spans="3:5">
      <c r="C8956">
        <v>552.55999999999995</v>
      </c>
      <c r="D8956" s="17">
        <v>42506</v>
      </c>
      <c r="E8956" t="s">
        <v>704</v>
      </c>
    </row>
    <row r="8957" spans="3:5">
      <c r="C8957">
        <v>555.21</v>
      </c>
      <c r="D8957" s="17">
        <v>42337</v>
      </c>
      <c r="E8957" t="s">
        <v>1602</v>
      </c>
    </row>
    <row r="8958" spans="3:5">
      <c r="C8958">
        <v>555.96</v>
      </c>
      <c r="D8958" s="17">
        <v>42247</v>
      </c>
      <c r="E8958" t="s">
        <v>267</v>
      </c>
    </row>
    <row r="8959" spans="3:5">
      <c r="C8959">
        <v>556.66499999999996</v>
      </c>
      <c r="D8959" s="17">
        <v>42469</v>
      </c>
      <c r="E8959" t="s">
        <v>619</v>
      </c>
    </row>
    <row r="8960" spans="3:5">
      <c r="C8960">
        <v>556.66499999999996</v>
      </c>
      <c r="D8960" s="17">
        <v>43035</v>
      </c>
      <c r="E8960" t="s">
        <v>1031</v>
      </c>
    </row>
    <row r="8961" spans="3:5">
      <c r="C8961">
        <v>557.58500000000004</v>
      </c>
      <c r="D8961" s="17">
        <v>42442</v>
      </c>
      <c r="E8961" t="s">
        <v>1586</v>
      </c>
    </row>
    <row r="8962" spans="3:5">
      <c r="C8962">
        <v>557.72799999999995</v>
      </c>
      <c r="D8962" s="17">
        <v>42405</v>
      </c>
      <c r="E8962" t="s">
        <v>400</v>
      </c>
    </row>
    <row r="8963" spans="3:5">
      <c r="C8963">
        <v>558.4</v>
      </c>
      <c r="D8963" s="17">
        <v>42218</v>
      </c>
      <c r="E8963" t="s">
        <v>1672</v>
      </c>
    </row>
    <row r="8964" spans="3:5">
      <c r="C8964">
        <v>558.4</v>
      </c>
      <c r="D8964" s="17">
        <v>42518</v>
      </c>
      <c r="E8964" t="s">
        <v>1672</v>
      </c>
    </row>
    <row r="8965" spans="3:5">
      <c r="C8965">
        <v>559.62</v>
      </c>
      <c r="D8965" s="17">
        <v>43071</v>
      </c>
      <c r="E8965" t="s">
        <v>137</v>
      </c>
    </row>
    <row r="8966" spans="3:5">
      <c r="C8966">
        <v>559.71</v>
      </c>
      <c r="D8966" s="17">
        <v>41884</v>
      </c>
      <c r="E8966" t="s">
        <v>1414</v>
      </c>
    </row>
    <row r="8967" spans="3:5">
      <c r="C8967">
        <v>559.91999999999996</v>
      </c>
      <c r="D8967" s="17">
        <v>42698</v>
      </c>
      <c r="E8967" t="s">
        <v>1623</v>
      </c>
    </row>
    <row r="8968" spans="3:5">
      <c r="C8968">
        <v>559.92999999999995</v>
      </c>
      <c r="D8968" s="17">
        <v>42254</v>
      </c>
      <c r="E8968" t="s">
        <v>221</v>
      </c>
    </row>
    <row r="8969" spans="3:5">
      <c r="C8969">
        <v>559.98400000000004</v>
      </c>
      <c r="D8969" s="17">
        <v>41954</v>
      </c>
      <c r="E8969" t="s">
        <v>847</v>
      </c>
    </row>
    <row r="8970" spans="3:5">
      <c r="C8970">
        <v>559.99200000000008</v>
      </c>
      <c r="D8970" s="17">
        <v>41826</v>
      </c>
      <c r="E8970" t="s">
        <v>657</v>
      </c>
    </row>
    <row r="8971" spans="3:5">
      <c r="C8971">
        <v>561.5680000000001</v>
      </c>
      <c r="D8971" s="17">
        <v>42210</v>
      </c>
      <c r="E8971" t="s">
        <v>1462</v>
      </c>
    </row>
    <row r="8972" spans="3:5">
      <c r="C8972">
        <v>561.58400000000006</v>
      </c>
      <c r="D8972" s="17">
        <v>41758</v>
      </c>
      <c r="E8972" t="s">
        <v>826</v>
      </c>
    </row>
    <row r="8973" spans="3:5">
      <c r="C8973">
        <v>562.29250000000013</v>
      </c>
      <c r="D8973" s="17">
        <v>42594</v>
      </c>
      <c r="E8973" t="s">
        <v>452</v>
      </c>
    </row>
    <row r="8974" spans="3:5">
      <c r="C8974">
        <v>563.024</v>
      </c>
      <c r="D8974" s="17">
        <v>43052</v>
      </c>
      <c r="E8974" t="s">
        <v>1270</v>
      </c>
    </row>
    <row r="8975" spans="3:5">
      <c r="C8975">
        <v>563.24</v>
      </c>
      <c r="D8975" s="17">
        <v>42637</v>
      </c>
      <c r="E8975" t="s">
        <v>996</v>
      </c>
    </row>
    <row r="8976" spans="3:5">
      <c r="C8976">
        <v>563.4</v>
      </c>
      <c r="D8976" s="17">
        <v>42068</v>
      </c>
      <c r="E8976" t="s">
        <v>1618</v>
      </c>
    </row>
    <row r="8977" spans="3:5">
      <c r="C8977">
        <v>563.4</v>
      </c>
      <c r="D8977" s="17">
        <v>42699</v>
      </c>
      <c r="E8977" t="s">
        <v>1618</v>
      </c>
    </row>
    <row r="8978" spans="3:5">
      <c r="C8978">
        <v>563.42999999999984</v>
      </c>
      <c r="D8978" s="17">
        <v>42432</v>
      </c>
      <c r="E8978" t="s">
        <v>1483</v>
      </c>
    </row>
    <row r="8979" spans="3:5">
      <c r="C8979">
        <v>563.80799999999999</v>
      </c>
      <c r="D8979" s="17">
        <v>42099</v>
      </c>
      <c r="E8979" t="s">
        <v>733</v>
      </c>
    </row>
    <row r="8980" spans="3:5">
      <c r="C8980">
        <v>563.80799999999999</v>
      </c>
      <c r="D8980" s="17">
        <v>42166</v>
      </c>
      <c r="E8980" t="s">
        <v>733</v>
      </c>
    </row>
    <row r="8981" spans="3:5">
      <c r="C8981">
        <v>563.91999999999996</v>
      </c>
      <c r="D8981" s="17">
        <v>42720</v>
      </c>
      <c r="E8981" t="s">
        <v>1529</v>
      </c>
    </row>
    <row r="8982" spans="3:5">
      <c r="C8982">
        <v>563.93999999999994</v>
      </c>
      <c r="D8982" s="17">
        <v>41953</v>
      </c>
      <c r="E8982" t="s">
        <v>1001</v>
      </c>
    </row>
    <row r="8983" spans="3:5">
      <c r="C8983">
        <v>563.93999999999994</v>
      </c>
      <c r="D8983" s="17">
        <v>42722</v>
      </c>
      <c r="E8983" t="s">
        <v>1001</v>
      </c>
    </row>
    <row r="8984" spans="3:5">
      <c r="C8984">
        <v>564.19499999999994</v>
      </c>
      <c r="D8984" s="17">
        <v>42719</v>
      </c>
      <c r="E8984" t="s">
        <v>498</v>
      </c>
    </row>
    <row r="8985" spans="3:5">
      <c r="C8985">
        <v>566.97</v>
      </c>
      <c r="D8985" s="17">
        <v>42538</v>
      </c>
      <c r="E8985" t="s">
        <v>1571</v>
      </c>
    </row>
    <row r="8986" spans="3:5">
      <c r="C8986">
        <v>567.12</v>
      </c>
      <c r="D8986" s="17">
        <v>41786</v>
      </c>
      <c r="E8986" t="s">
        <v>1115</v>
      </c>
    </row>
    <row r="8987" spans="3:5">
      <c r="C8987">
        <v>568.72800000000007</v>
      </c>
      <c r="D8987" s="17">
        <v>42615</v>
      </c>
      <c r="E8987" t="s">
        <v>1079</v>
      </c>
    </row>
    <row r="8988" spans="3:5">
      <c r="C8988">
        <v>568.72800000000007</v>
      </c>
      <c r="D8988" s="17">
        <v>42968</v>
      </c>
      <c r="E8988" t="s">
        <v>1079</v>
      </c>
    </row>
    <row r="8989" spans="3:5">
      <c r="C8989">
        <v>569.05799999999999</v>
      </c>
      <c r="D8989" s="17">
        <v>42916</v>
      </c>
      <c r="E8989" t="s">
        <v>914</v>
      </c>
    </row>
    <row r="8990" spans="3:5">
      <c r="C8990">
        <v>569.53599999999994</v>
      </c>
      <c r="D8990" s="17">
        <v>42591</v>
      </c>
      <c r="E8990" t="s">
        <v>259</v>
      </c>
    </row>
    <row r="8991" spans="3:5">
      <c r="C8991">
        <v>569.5680000000001</v>
      </c>
      <c r="D8991" s="17">
        <v>42978</v>
      </c>
      <c r="E8991" t="s">
        <v>1049</v>
      </c>
    </row>
    <row r="8992" spans="3:5">
      <c r="C8992">
        <v>569.64</v>
      </c>
      <c r="D8992" s="17">
        <v>42110</v>
      </c>
      <c r="E8992" t="s">
        <v>1155</v>
      </c>
    </row>
    <row r="8993" spans="3:5">
      <c r="C8993">
        <v>569.99</v>
      </c>
      <c r="D8993" s="17">
        <v>43059</v>
      </c>
      <c r="E8993" t="s">
        <v>934</v>
      </c>
    </row>
    <row r="8994" spans="3:5">
      <c r="C8994">
        <v>571.44000000000005</v>
      </c>
      <c r="D8994" s="17">
        <v>42859</v>
      </c>
      <c r="E8994" t="s">
        <v>633</v>
      </c>
    </row>
    <row r="8995" spans="3:5">
      <c r="C8995">
        <v>572.16000000000008</v>
      </c>
      <c r="D8995" s="17">
        <v>41994</v>
      </c>
      <c r="E8995" t="s">
        <v>652</v>
      </c>
    </row>
    <row r="8996" spans="3:5">
      <c r="C8996">
        <v>572.16000000000008</v>
      </c>
      <c r="D8996" s="17">
        <v>42328</v>
      </c>
      <c r="E8996" t="s">
        <v>652</v>
      </c>
    </row>
    <row r="8997" spans="3:5">
      <c r="C8997">
        <v>572.58000000000004</v>
      </c>
      <c r="D8997" s="17">
        <v>41652</v>
      </c>
      <c r="E8997" t="s">
        <v>624</v>
      </c>
    </row>
    <row r="8998" spans="3:5">
      <c r="C8998">
        <v>572.58000000000004</v>
      </c>
      <c r="D8998" s="17">
        <v>42968</v>
      </c>
      <c r="E8998" t="s">
        <v>624</v>
      </c>
    </row>
    <row r="8999" spans="3:5">
      <c r="C8999">
        <v>572.76</v>
      </c>
      <c r="D8999" s="17">
        <v>42727</v>
      </c>
      <c r="E8999" t="s">
        <v>759</v>
      </c>
    </row>
    <row r="9000" spans="3:5">
      <c r="C9000">
        <v>572.80000000000007</v>
      </c>
      <c r="D9000" s="17">
        <v>42278</v>
      </c>
      <c r="E9000" t="s">
        <v>117</v>
      </c>
    </row>
    <row r="9001" spans="3:5">
      <c r="C9001">
        <v>573.17399999999998</v>
      </c>
      <c r="D9001" s="17">
        <v>42603</v>
      </c>
      <c r="E9001" t="s">
        <v>1201</v>
      </c>
    </row>
    <row r="9002" spans="3:5">
      <c r="C9002">
        <v>573.72799999999995</v>
      </c>
      <c r="D9002" s="17">
        <v>41947</v>
      </c>
      <c r="E9002" t="s">
        <v>923</v>
      </c>
    </row>
    <row r="9003" spans="3:5">
      <c r="C9003">
        <v>574.91</v>
      </c>
      <c r="D9003" s="17">
        <v>41712</v>
      </c>
      <c r="E9003" t="s">
        <v>1893</v>
      </c>
    </row>
    <row r="9004" spans="3:5">
      <c r="C9004">
        <v>575.91999999999996</v>
      </c>
      <c r="D9004" s="17">
        <v>41821</v>
      </c>
      <c r="E9004" t="s">
        <v>1192</v>
      </c>
    </row>
    <row r="9005" spans="3:5">
      <c r="C9005">
        <v>575.91999999999996</v>
      </c>
      <c r="D9005" s="17">
        <v>41972</v>
      </c>
      <c r="E9005" t="s">
        <v>1192</v>
      </c>
    </row>
    <row r="9006" spans="3:5">
      <c r="C9006">
        <v>575.928</v>
      </c>
      <c r="D9006" s="17">
        <v>41954</v>
      </c>
      <c r="E9006" t="s">
        <v>893</v>
      </c>
    </row>
    <row r="9007" spans="3:5">
      <c r="C9007">
        <v>575.96800000000007</v>
      </c>
      <c r="D9007" s="17">
        <v>41831</v>
      </c>
      <c r="E9007" t="s">
        <v>1337</v>
      </c>
    </row>
    <row r="9008" spans="3:5">
      <c r="C9008">
        <v>577.58400000000006</v>
      </c>
      <c r="D9008" s="17">
        <v>42318</v>
      </c>
      <c r="E9008" t="s">
        <v>1458</v>
      </c>
    </row>
    <row r="9009" spans="3:5">
      <c r="C9009">
        <v>577.76400000000001</v>
      </c>
      <c r="D9009" s="17">
        <v>42316</v>
      </c>
      <c r="E9009" t="s">
        <v>785</v>
      </c>
    </row>
    <row r="9010" spans="3:5">
      <c r="C9010">
        <v>579.13599999999997</v>
      </c>
      <c r="D9010" s="17">
        <v>42565</v>
      </c>
      <c r="E9010" t="s">
        <v>719</v>
      </c>
    </row>
    <row r="9011" spans="3:5">
      <c r="C9011">
        <v>579.13599999999997</v>
      </c>
      <c r="D9011" s="17">
        <v>43030</v>
      </c>
      <c r="E9011" t="s">
        <v>1341</v>
      </c>
    </row>
    <row r="9012" spans="3:5">
      <c r="C9012">
        <v>579.29999999999995</v>
      </c>
      <c r="D9012" s="17">
        <v>42722</v>
      </c>
      <c r="E9012" t="s">
        <v>420</v>
      </c>
    </row>
    <row r="9013" spans="3:5">
      <c r="C9013">
        <v>579.51</v>
      </c>
      <c r="D9013" s="17">
        <v>42470</v>
      </c>
      <c r="E9013" t="s">
        <v>239</v>
      </c>
    </row>
    <row r="9014" spans="3:5">
      <c r="C9014">
        <v>579.51</v>
      </c>
      <c r="D9014" s="17">
        <v>42782</v>
      </c>
      <c r="E9014" t="s">
        <v>239</v>
      </c>
    </row>
    <row r="9015" spans="3:5">
      <c r="C9015">
        <v>579.52800000000002</v>
      </c>
      <c r="D9015" s="17">
        <v>41904</v>
      </c>
      <c r="E9015" t="s">
        <v>1483</v>
      </c>
    </row>
    <row r="9016" spans="3:5">
      <c r="C9016">
        <v>579.94999999999993</v>
      </c>
      <c r="D9016" s="17">
        <v>41878</v>
      </c>
      <c r="E9016" t="s">
        <v>1095</v>
      </c>
    </row>
    <row r="9017" spans="3:5">
      <c r="C9017">
        <v>580.67200000000003</v>
      </c>
      <c r="D9017" s="17">
        <v>43015</v>
      </c>
      <c r="E9017" t="s">
        <v>409</v>
      </c>
    </row>
    <row r="9018" spans="3:5">
      <c r="C9018">
        <v>581.96</v>
      </c>
      <c r="D9018" s="17">
        <v>42707</v>
      </c>
      <c r="E9018" t="s">
        <v>969</v>
      </c>
    </row>
    <row r="9019" spans="3:5">
      <c r="C9019">
        <v>582.33600000000001</v>
      </c>
      <c r="D9019" s="17">
        <v>42302</v>
      </c>
      <c r="E9019" t="s">
        <v>434</v>
      </c>
    </row>
    <row r="9020" spans="3:5">
      <c r="C9020">
        <v>583.79999999999995</v>
      </c>
      <c r="D9020" s="17">
        <v>41992</v>
      </c>
      <c r="E9020" t="s">
        <v>1258</v>
      </c>
    </row>
    <row r="9021" spans="3:5">
      <c r="C9021">
        <v>584.82000000000005</v>
      </c>
      <c r="D9021" s="17">
        <v>42709</v>
      </c>
      <c r="E9021" t="s">
        <v>1008</v>
      </c>
    </row>
    <row r="9022" spans="3:5">
      <c r="C9022">
        <v>585.55200000000002</v>
      </c>
      <c r="D9022" s="17">
        <v>41798</v>
      </c>
      <c r="E9022" t="s">
        <v>1867</v>
      </c>
    </row>
    <row r="9023" spans="3:5">
      <c r="C9023">
        <v>585.55200000000002</v>
      </c>
      <c r="D9023" s="17">
        <v>41908</v>
      </c>
      <c r="E9023" t="s">
        <v>880</v>
      </c>
    </row>
    <row r="9024" spans="3:5">
      <c r="C9024">
        <v>586.39800000000002</v>
      </c>
      <c r="D9024" s="17">
        <v>42237</v>
      </c>
      <c r="E9024" t="s">
        <v>1607</v>
      </c>
    </row>
    <row r="9025" spans="3:5">
      <c r="C9025">
        <v>587.97</v>
      </c>
      <c r="D9025" s="17">
        <v>41709</v>
      </c>
      <c r="E9025" t="s">
        <v>431</v>
      </c>
    </row>
    <row r="9026" spans="3:5">
      <c r="C9026">
        <v>587.97</v>
      </c>
      <c r="D9026" s="17">
        <v>42070</v>
      </c>
      <c r="E9026" t="s">
        <v>776</v>
      </c>
    </row>
    <row r="9027" spans="3:5">
      <c r="C9027">
        <v>587.97</v>
      </c>
      <c r="D9027" s="17">
        <v>42240</v>
      </c>
      <c r="E9027" t="s">
        <v>776</v>
      </c>
    </row>
    <row r="9028" spans="3:5">
      <c r="C9028">
        <v>587.97</v>
      </c>
      <c r="D9028" s="17">
        <v>42868</v>
      </c>
      <c r="E9028" t="s">
        <v>681</v>
      </c>
    </row>
    <row r="9029" spans="3:5">
      <c r="C9029">
        <v>588.78399999999999</v>
      </c>
      <c r="D9029" s="17">
        <v>42464</v>
      </c>
      <c r="E9029" t="s">
        <v>987</v>
      </c>
    </row>
    <row r="9030" spans="3:5">
      <c r="C9030">
        <v>589.41</v>
      </c>
      <c r="D9030" s="17">
        <v>41916</v>
      </c>
      <c r="E9030" t="s">
        <v>695</v>
      </c>
    </row>
    <row r="9031" spans="3:5">
      <c r="C9031">
        <v>589.41</v>
      </c>
      <c r="D9031" s="17">
        <v>42992</v>
      </c>
      <c r="E9031" t="s">
        <v>695</v>
      </c>
    </row>
    <row r="9032" spans="3:5">
      <c r="C9032">
        <v>589.9</v>
      </c>
      <c r="D9032" s="17">
        <v>42268</v>
      </c>
      <c r="E9032" t="s">
        <v>1041</v>
      </c>
    </row>
    <row r="9033" spans="3:5">
      <c r="C9033">
        <v>590.05800000000011</v>
      </c>
      <c r="D9033" s="17">
        <v>42362</v>
      </c>
      <c r="E9033" t="s">
        <v>977</v>
      </c>
    </row>
    <row r="9034" spans="3:5">
      <c r="C9034">
        <v>590.35199999999998</v>
      </c>
      <c r="D9034" s="17">
        <v>42341</v>
      </c>
      <c r="E9034" t="s">
        <v>1365</v>
      </c>
    </row>
    <row r="9035" spans="3:5">
      <c r="C9035">
        <v>590.35199999999998</v>
      </c>
      <c r="D9035" s="17">
        <v>43041</v>
      </c>
      <c r="E9035" t="s">
        <v>1365</v>
      </c>
    </row>
    <row r="9036" spans="3:5">
      <c r="C9036">
        <v>591.32000000000005</v>
      </c>
      <c r="D9036" s="17">
        <v>41933</v>
      </c>
      <c r="E9036" t="s">
        <v>962</v>
      </c>
    </row>
    <row r="9037" spans="3:5">
      <c r="C9037">
        <v>592.74</v>
      </c>
      <c r="D9037" s="17">
        <v>43077</v>
      </c>
      <c r="E9037" t="s">
        <v>1085</v>
      </c>
    </row>
    <row r="9038" spans="3:5">
      <c r="C9038">
        <v>593.5680000000001</v>
      </c>
      <c r="D9038" s="17">
        <v>42569</v>
      </c>
      <c r="E9038" t="s">
        <v>1610</v>
      </c>
    </row>
    <row r="9039" spans="3:5">
      <c r="C9039">
        <v>594.81600000000003</v>
      </c>
      <c r="D9039" s="17">
        <v>43001</v>
      </c>
      <c r="E9039" t="s">
        <v>284</v>
      </c>
    </row>
    <row r="9040" spans="3:5">
      <c r="C9040">
        <v>595</v>
      </c>
      <c r="D9040" s="17">
        <v>42692</v>
      </c>
      <c r="E9040" t="s">
        <v>406</v>
      </c>
    </row>
    <row r="9041" spans="3:5">
      <c r="C9041">
        <v>595</v>
      </c>
      <c r="D9041" s="17">
        <v>43020</v>
      </c>
      <c r="E9041" t="s">
        <v>406</v>
      </c>
    </row>
    <row r="9042" spans="3:5">
      <c r="C9042">
        <v>595.38</v>
      </c>
      <c r="D9042" s="17">
        <v>42114</v>
      </c>
      <c r="E9042" t="s">
        <v>939</v>
      </c>
    </row>
    <row r="9043" spans="3:5">
      <c r="C9043">
        <v>595.38</v>
      </c>
      <c r="D9043" s="17">
        <v>42700</v>
      </c>
      <c r="E9043" t="s">
        <v>939</v>
      </c>
    </row>
    <row r="9044" spans="3:5">
      <c r="C9044">
        <v>597</v>
      </c>
      <c r="D9044" s="17">
        <v>42568</v>
      </c>
      <c r="E9044" t="s">
        <v>894</v>
      </c>
    </row>
    <row r="9045" spans="3:5">
      <c r="C9045">
        <v>597.13200000000006</v>
      </c>
      <c r="D9045" s="17">
        <v>42919</v>
      </c>
      <c r="E9045" t="s">
        <v>920</v>
      </c>
    </row>
    <row r="9046" spans="3:5">
      <c r="C9046">
        <v>598.45799999999997</v>
      </c>
      <c r="D9046" s="17">
        <v>42237</v>
      </c>
      <c r="E9046" t="s">
        <v>1122</v>
      </c>
    </row>
    <row r="9047" spans="3:5">
      <c r="C9047">
        <v>599.16499999999996</v>
      </c>
      <c r="D9047" s="17">
        <v>42535</v>
      </c>
      <c r="E9047" t="s">
        <v>1132</v>
      </c>
    </row>
    <row r="9048" spans="3:5">
      <c r="C9048">
        <v>599.29200000000003</v>
      </c>
      <c r="D9048" s="17">
        <v>42646</v>
      </c>
      <c r="E9048" t="s">
        <v>52</v>
      </c>
    </row>
    <row r="9049" spans="3:5">
      <c r="C9049">
        <v>599.9</v>
      </c>
      <c r="D9049" s="17">
        <v>42201</v>
      </c>
      <c r="E9049" t="s">
        <v>649</v>
      </c>
    </row>
    <row r="9050" spans="3:5">
      <c r="C9050">
        <v>599.97</v>
      </c>
      <c r="D9050" s="17">
        <v>42934</v>
      </c>
      <c r="E9050" t="s">
        <v>980</v>
      </c>
    </row>
    <row r="9051" spans="3:5">
      <c r="C9051">
        <v>599.97</v>
      </c>
      <c r="D9051" s="17">
        <v>43079</v>
      </c>
      <c r="E9051" t="s">
        <v>232</v>
      </c>
    </row>
    <row r="9052" spans="3:5">
      <c r="C9052">
        <v>599.98</v>
      </c>
      <c r="D9052" s="17">
        <v>42098</v>
      </c>
      <c r="E9052" t="s">
        <v>975</v>
      </c>
    </row>
    <row r="9053" spans="3:5">
      <c r="C9053">
        <v>599.98500000000013</v>
      </c>
      <c r="D9053" s="17">
        <v>43024</v>
      </c>
      <c r="E9053" t="s">
        <v>1323</v>
      </c>
    </row>
    <row r="9054" spans="3:5">
      <c r="C9054">
        <v>599.99</v>
      </c>
      <c r="D9054" s="17">
        <v>42334</v>
      </c>
      <c r="E9054" t="s">
        <v>443</v>
      </c>
    </row>
    <row r="9055" spans="3:5">
      <c r="C9055">
        <v>600.53</v>
      </c>
      <c r="D9055" s="17">
        <v>42359</v>
      </c>
      <c r="E9055" t="s">
        <v>1793</v>
      </c>
    </row>
    <row r="9056" spans="3:5">
      <c r="C9056">
        <v>600.55799999999999</v>
      </c>
      <c r="D9056" s="17">
        <v>41999</v>
      </c>
      <c r="E9056" t="s">
        <v>242</v>
      </c>
    </row>
    <row r="9057" spans="3:5">
      <c r="C9057">
        <v>600.55799999999999</v>
      </c>
      <c r="D9057" s="17">
        <v>42782</v>
      </c>
      <c r="E9057" t="s">
        <v>242</v>
      </c>
    </row>
    <row r="9058" spans="3:5">
      <c r="C9058">
        <v>600.55799999999999</v>
      </c>
      <c r="D9058" s="17">
        <v>42821</v>
      </c>
      <c r="E9058" t="s">
        <v>242</v>
      </c>
    </row>
    <row r="9059" spans="3:5">
      <c r="C9059">
        <v>601.29999999999995</v>
      </c>
      <c r="D9059" s="17">
        <v>41896</v>
      </c>
      <c r="E9059" t="s">
        <v>104</v>
      </c>
    </row>
    <row r="9060" spans="3:5">
      <c r="C9060">
        <v>601.47</v>
      </c>
      <c r="D9060" s="17">
        <v>42621</v>
      </c>
      <c r="E9060" t="s">
        <v>1697</v>
      </c>
    </row>
    <row r="9061" spans="3:5">
      <c r="C9061">
        <v>601.53599999999994</v>
      </c>
      <c r="D9061" s="17">
        <v>41953</v>
      </c>
      <c r="E9061" t="s">
        <v>1536</v>
      </c>
    </row>
    <row r="9062" spans="3:5">
      <c r="C9062">
        <v>601.53599999999994</v>
      </c>
      <c r="D9062" s="17">
        <v>42268</v>
      </c>
      <c r="E9062" t="s">
        <v>1001</v>
      </c>
    </row>
    <row r="9063" spans="3:5">
      <c r="C9063">
        <v>601.65</v>
      </c>
      <c r="D9063" s="17">
        <v>42191</v>
      </c>
      <c r="E9063" t="s">
        <v>1458</v>
      </c>
    </row>
    <row r="9064" spans="3:5">
      <c r="C9064">
        <v>602.65099999999995</v>
      </c>
      <c r="D9064" s="17">
        <v>42148</v>
      </c>
      <c r="E9064" t="s">
        <v>281</v>
      </c>
    </row>
    <row r="9065" spans="3:5">
      <c r="C9065">
        <v>603.91999999999996</v>
      </c>
      <c r="D9065" s="17">
        <v>41909</v>
      </c>
      <c r="E9065" t="s">
        <v>565</v>
      </c>
    </row>
    <row r="9066" spans="3:5">
      <c r="C9066">
        <v>603.91999999999996</v>
      </c>
      <c r="D9066" s="17">
        <v>41954</v>
      </c>
      <c r="E9066" t="s">
        <v>429</v>
      </c>
    </row>
    <row r="9067" spans="3:5">
      <c r="C9067">
        <v>603.91999999999996</v>
      </c>
      <c r="D9067" s="17">
        <v>41966</v>
      </c>
      <c r="E9067" t="s">
        <v>191</v>
      </c>
    </row>
    <row r="9068" spans="3:5">
      <c r="C9068">
        <v>603.91999999999996</v>
      </c>
      <c r="D9068" s="17">
        <v>41981</v>
      </c>
      <c r="E9068" t="s">
        <v>565</v>
      </c>
    </row>
    <row r="9069" spans="3:5">
      <c r="C9069">
        <v>603.91999999999996</v>
      </c>
      <c r="D9069" s="17">
        <v>43002</v>
      </c>
      <c r="E9069" t="s">
        <v>429</v>
      </c>
    </row>
    <row r="9070" spans="3:5">
      <c r="C9070">
        <v>604.65600000000006</v>
      </c>
      <c r="D9070" s="17">
        <v>41958</v>
      </c>
      <c r="E9070" t="s">
        <v>1459</v>
      </c>
    </row>
    <row r="9071" spans="3:5">
      <c r="C9071">
        <v>604.75199999999995</v>
      </c>
      <c r="D9071" s="17">
        <v>41721</v>
      </c>
      <c r="E9071" t="s">
        <v>1124</v>
      </c>
    </row>
    <row r="9072" spans="3:5">
      <c r="C9072">
        <v>604.75199999999995</v>
      </c>
      <c r="D9072" s="17">
        <v>41843</v>
      </c>
      <c r="E9072" t="s">
        <v>794</v>
      </c>
    </row>
    <row r="9073" spans="3:5">
      <c r="C9073">
        <v>604.76800000000003</v>
      </c>
      <c r="D9073" s="17">
        <v>42765</v>
      </c>
      <c r="E9073" t="s">
        <v>197</v>
      </c>
    </row>
    <row r="9074" spans="3:5">
      <c r="C9074">
        <v>605.34</v>
      </c>
      <c r="D9074" s="17">
        <v>41930</v>
      </c>
      <c r="E9074" t="s">
        <v>114</v>
      </c>
    </row>
    <row r="9075" spans="3:5">
      <c r="C9075">
        <v>605.88</v>
      </c>
      <c r="D9075" s="17">
        <v>42004</v>
      </c>
      <c r="E9075" t="s">
        <v>575</v>
      </c>
    </row>
    <row r="9076" spans="3:5">
      <c r="C9076">
        <v>607.52</v>
      </c>
      <c r="D9076" s="17">
        <v>43091</v>
      </c>
      <c r="E9076" t="s">
        <v>1094</v>
      </c>
    </row>
    <row r="9077" spans="3:5">
      <c r="C9077">
        <v>609.9799999999999</v>
      </c>
      <c r="D9077" s="17">
        <v>42107</v>
      </c>
      <c r="E9077" t="s">
        <v>814</v>
      </c>
    </row>
    <row r="9078" spans="3:5">
      <c r="C9078">
        <v>609.98</v>
      </c>
      <c r="D9078" s="17">
        <v>41645</v>
      </c>
      <c r="E9078" t="s">
        <v>76</v>
      </c>
    </row>
    <row r="9079" spans="3:5">
      <c r="C9079">
        <v>611.05799999999999</v>
      </c>
      <c r="D9079" s="17">
        <v>41967</v>
      </c>
      <c r="E9079" t="s">
        <v>849</v>
      </c>
    </row>
    <row r="9080" spans="3:5">
      <c r="C9080">
        <v>613.90800000000002</v>
      </c>
      <c r="D9080" s="17">
        <v>41715</v>
      </c>
      <c r="E9080" t="s">
        <v>1877</v>
      </c>
    </row>
    <row r="9081" spans="3:5">
      <c r="C9081">
        <v>613.99919999999997</v>
      </c>
      <c r="D9081" s="17">
        <v>42321</v>
      </c>
      <c r="E9081" t="s">
        <v>217</v>
      </c>
    </row>
    <row r="9082" spans="3:5">
      <c r="C9082">
        <v>614.27200000000005</v>
      </c>
      <c r="D9082" s="17">
        <v>43038</v>
      </c>
      <c r="E9082" t="s">
        <v>839</v>
      </c>
    </row>
    <row r="9083" spans="3:5">
      <c r="C9083">
        <v>616.99800000000005</v>
      </c>
      <c r="D9083" s="17">
        <v>41940</v>
      </c>
      <c r="E9083" t="s">
        <v>547</v>
      </c>
    </row>
    <row r="9084" spans="3:5">
      <c r="C9084">
        <v>617.70000000000005</v>
      </c>
      <c r="D9084" s="17">
        <v>41902</v>
      </c>
      <c r="E9084" t="s">
        <v>487</v>
      </c>
    </row>
    <row r="9085" spans="3:5">
      <c r="C9085">
        <v>617.97</v>
      </c>
      <c r="D9085" s="17">
        <v>41780</v>
      </c>
      <c r="E9085" t="s">
        <v>1718</v>
      </c>
    </row>
    <row r="9086" spans="3:5">
      <c r="C9086">
        <v>617.97</v>
      </c>
      <c r="D9086" s="17">
        <v>41811</v>
      </c>
      <c r="E9086" t="s">
        <v>1731</v>
      </c>
    </row>
    <row r="9087" spans="3:5">
      <c r="C9087">
        <v>617.97600000000011</v>
      </c>
      <c r="D9087" s="17">
        <v>42269</v>
      </c>
      <c r="E9087" t="s">
        <v>499</v>
      </c>
    </row>
    <row r="9088" spans="3:5">
      <c r="C9088">
        <v>617.97600000000011</v>
      </c>
      <c r="D9088" s="17">
        <v>42832</v>
      </c>
      <c r="E9088" t="s">
        <v>499</v>
      </c>
    </row>
    <row r="9089" spans="3:5">
      <c r="C9089">
        <v>619.15200000000004</v>
      </c>
      <c r="D9089" s="17">
        <v>42136</v>
      </c>
      <c r="E9089" t="s">
        <v>325</v>
      </c>
    </row>
    <row r="9090" spans="3:5">
      <c r="C9090">
        <v>619.94999999999993</v>
      </c>
      <c r="D9090" s="17">
        <v>42251</v>
      </c>
      <c r="E9090" t="s">
        <v>140</v>
      </c>
    </row>
    <row r="9091" spans="3:5">
      <c r="C9091">
        <v>619.94999999999993</v>
      </c>
      <c r="D9091" s="17">
        <v>42286</v>
      </c>
      <c r="E9091" t="s">
        <v>140</v>
      </c>
    </row>
    <row r="9092" spans="3:5">
      <c r="C9092">
        <v>619.94999999999993</v>
      </c>
      <c r="D9092" s="17">
        <v>42756</v>
      </c>
      <c r="E9092" t="s">
        <v>140</v>
      </c>
    </row>
    <row r="9093" spans="3:5">
      <c r="C9093">
        <v>620.61450000000013</v>
      </c>
      <c r="D9093" s="17">
        <v>42832</v>
      </c>
      <c r="E9093" t="s">
        <v>498</v>
      </c>
    </row>
    <row r="9094" spans="3:5">
      <c r="C9094">
        <v>621.7600000000001</v>
      </c>
      <c r="D9094" s="17">
        <v>42183</v>
      </c>
      <c r="E9094" t="s">
        <v>1518</v>
      </c>
    </row>
    <row r="9095" spans="3:5">
      <c r="C9095">
        <v>622.44999999999993</v>
      </c>
      <c r="D9095" s="17">
        <v>42225</v>
      </c>
      <c r="E9095" t="s">
        <v>627</v>
      </c>
    </row>
    <row r="9096" spans="3:5">
      <c r="C9096">
        <v>623.46479999999997</v>
      </c>
      <c r="D9096" s="17">
        <v>42861</v>
      </c>
      <c r="E9096" t="s">
        <v>250</v>
      </c>
    </row>
    <row r="9097" spans="3:5">
      <c r="C9097">
        <v>623.96</v>
      </c>
      <c r="D9097" s="17">
        <v>42210</v>
      </c>
      <c r="E9097" t="s">
        <v>740</v>
      </c>
    </row>
    <row r="9098" spans="3:5">
      <c r="C9098">
        <v>623.96</v>
      </c>
      <c r="D9098" s="17">
        <v>42407</v>
      </c>
      <c r="E9098" t="s">
        <v>740</v>
      </c>
    </row>
    <row r="9099" spans="3:5">
      <c r="C9099">
        <v>625.99</v>
      </c>
      <c r="D9099" s="17">
        <v>42049</v>
      </c>
      <c r="E9099" t="s">
        <v>195</v>
      </c>
    </row>
    <row r="9100" spans="3:5">
      <c r="C9100">
        <v>626.09999999999991</v>
      </c>
      <c r="D9100" s="17">
        <v>42399</v>
      </c>
      <c r="E9100" t="s">
        <v>1517</v>
      </c>
    </row>
    <row r="9101" spans="3:5">
      <c r="C9101">
        <v>626.35200000000009</v>
      </c>
      <c r="D9101" s="17">
        <v>41701</v>
      </c>
      <c r="E9101" t="s">
        <v>62</v>
      </c>
    </row>
    <row r="9102" spans="3:5">
      <c r="C9102">
        <v>626.35200000000009</v>
      </c>
      <c r="D9102" s="17">
        <v>42289</v>
      </c>
      <c r="E9102" t="s">
        <v>1198</v>
      </c>
    </row>
    <row r="9103" spans="3:5">
      <c r="C9103">
        <v>627.16800000000012</v>
      </c>
      <c r="D9103" s="17">
        <v>41989</v>
      </c>
      <c r="E9103" t="s">
        <v>647</v>
      </c>
    </row>
    <row r="9104" spans="3:5">
      <c r="C9104">
        <v>627.16800000000012</v>
      </c>
      <c r="D9104" s="17">
        <v>42861</v>
      </c>
      <c r="E9104" t="s">
        <v>647</v>
      </c>
    </row>
    <row r="9105" spans="3:5">
      <c r="C9105">
        <v>628.80999999999995</v>
      </c>
      <c r="D9105" s="17">
        <v>42987</v>
      </c>
      <c r="E9105" t="s">
        <v>417</v>
      </c>
    </row>
    <row r="9106" spans="3:5">
      <c r="C9106">
        <v>629.06400000000008</v>
      </c>
      <c r="D9106" s="17">
        <v>41955</v>
      </c>
      <c r="E9106" t="s">
        <v>1088</v>
      </c>
    </row>
    <row r="9107" spans="3:5">
      <c r="C9107">
        <v>629.09999999999991</v>
      </c>
      <c r="D9107" s="17">
        <v>41964</v>
      </c>
      <c r="E9107" t="s">
        <v>354</v>
      </c>
    </row>
    <row r="9108" spans="3:5">
      <c r="C9108">
        <v>629.09999999999991</v>
      </c>
      <c r="D9108" s="17">
        <v>42520</v>
      </c>
      <c r="E9108" t="s">
        <v>514</v>
      </c>
    </row>
    <row r="9109" spans="3:5">
      <c r="C9109">
        <v>629.09999999999991</v>
      </c>
      <c r="D9109" s="17">
        <v>43094</v>
      </c>
      <c r="E9109" t="s">
        <v>514</v>
      </c>
    </row>
    <row r="9110" spans="3:5">
      <c r="C9110">
        <v>629.18400000000008</v>
      </c>
      <c r="D9110" s="17">
        <v>42678</v>
      </c>
      <c r="E9110" t="s">
        <v>940</v>
      </c>
    </row>
    <row r="9111" spans="3:5">
      <c r="C9111">
        <v>629.64</v>
      </c>
      <c r="D9111" s="17">
        <v>43070</v>
      </c>
      <c r="E9111" t="s">
        <v>1425</v>
      </c>
    </row>
    <row r="9112" spans="3:5">
      <c r="C9112">
        <v>629.92999999999995</v>
      </c>
      <c r="D9112" s="17">
        <v>42273</v>
      </c>
      <c r="E9112" t="s">
        <v>1830</v>
      </c>
    </row>
    <row r="9113" spans="3:5">
      <c r="C9113">
        <v>629.94999999999993</v>
      </c>
      <c r="D9113" s="17">
        <v>41736</v>
      </c>
      <c r="E9113" t="s">
        <v>1584</v>
      </c>
    </row>
    <row r="9114" spans="3:5">
      <c r="C9114">
        <v>629.94999999999993</v>
      </c>
      <c r="D9114" s="17">
        <v>41902</v>
      </c>
      <c r="E9114" t="s">
        <v>1124</v>
      </c>
    </row>
    <row r="9115" spans="3:5">
      <c r="C9115">
        <v>629.94999999999993</v>
      </c>
      <c r="D9115" s="17">
        <v>42268</v>
      </c>
      <c r="E9115" t="s">
        <v>1715</v>
      </c>
    </row>
    <row r="9116" spans="3:5">
      <c r="C9116">
        <v>629.94999999999993</v>
      </c>
      <c r="D9116" s="17">
        <v>42706</v>
      </c>
      <c r="E9116" t="s">
        <v>794</v>
      </c>
    </row>
    <row r="9117" spans="3:5">
      <c r="C9117">
        <v>629.94999999999993</v>
      </c>
      <c r="D9117" s="17">
        <v>43052</v>
      </c>
      <c r="E9117" t="s">
        <v>718</v>
      </c>
    </row>
    <row r="9118" spans="3:5">
      <c r="C9118">
        <v>629.95799999999997</v>
      </c>
      <c r="D9118" s="17">
        <v>43091</v>
      </c>
      <c r="E9118" t="s">
        <v>128</v>
      </c>
    </row>
    <row r="9119" spans="3:5">
      <c r="C9119">
        <v>630.024</v>
      </c>
      <c r="D9119" s="17">
        <v>42689</v>
      </c>
      <c r="E9119" t="s">
        <v>1087</v>
      </c>
    </row>
    <row r="9120" spans="3:5">
      <c r="C9120">
        <v>631.17600000000016</v>
      </c>
      <c r="D9120" s="17">
        <v>43071</v>
      </c>
      <c r="E9120" t="s">
        <v>1100</v>
      </c>
    </row>
    <row r="9121" spans="3:5">
      <c r="C9121">
        <v>631.78200000000004</v>
      </c>
      <c r="D9121" s="17">
        <v>41902</v>
      </c>
      <c r="E9121" t="s">
        <v>826</v>
      </c>
    </row>
    <row r="9122" spans="3:5">
      <c r="C9122">
        <v>631.78200000000004</v>
      </c>
      <c r="D9122" s="17">
        <v>42631</v>
      </c>
      <c r="E9122" t="s">
        <v>826</v>
      </c>
    </row>
    <row r="9123" spans="3:5">
      <c r="C9123">
        <v>631.96</v>
      </c>
      <c r="D9123" s="17">
        <v>42286</v>
      </c>
      <c r="E9123" t="s">
        <v>1755</v>
      </c>
    </row>
    <row r="9124" spans="3:5">
      <c r="C9124">
        <v>631.96</v>
      </c>
      <c r="D9124" s="17">
        <v>42502</v>
      </c>
      <c r="E9124" t="s">
        <v>1755</v>
      </c>
    </row>
    <row r="9125" spans="3:5">
      <c r="C9125">
        <v>634.11599999999999</v>
      </c>
      <c r="D9125" s="17">
        <v>41699</v>
      </c>
      <c r="E9125" t="s">
        <v>191</v>
      </c>
    </row>
    <row r="9126" spans="3:5">
      <c r="C9126">
        <v>635.96</v>
      </c>
      <c r="D9126" s="17">
        <v>42582</v>
      </c>
      <c r="E9126" t="s">
        <v>807</v>
      </c>
    </row>
    <row r="9127" spans="3:5">
      <c r="C9127">
        <v>636.40800000000013</v>
      </c>
      <c r="D9127" s="17">
        <v>41708</v>
      </c>
      <c r="E9127" t="s">
        <v>568</v>
      </c>
    </row>
    <row r="9128" spans="3:5">
      <c r="C9128">
        <v>636.86</v>
      </c>
      <c r="D9128" s="17">
        <v>42265</v>
      </c>
      <c r="E9128" t="s">
        <v>596</v>
      </c>
    </row>
    <row r="9129" spans="3:5">
      <c r="C9129">
        <v>637.44000000000005</v>
      </c>
      <c r="D9129" s="17">
        <v>42359</v>
      </c>
      <c r="E9129" t="s">
        <v>1792</v>
      </c>
    </row>
    <row r="9130" spans="3:5">
      <c r="C9130">
        <v>637.89599999999996</v>
      </c>
      <c r="D9130" s="17">
        <v>42432</v>
      </c>
      <c r="E9130" t="s">
        <v>1094</v>
      </c>
    </row>
    <row r="9131" spans="3:5">
      <c r="C9131">
        <v>637.89599999999996</v>
      </c>
      <c r="D9131" s="17">
        <v>43031</v>
      </c>
      <c r="E9131" t="s">
        <v>1094</v>
      </c>
    </row>
    <row r="9132" spans="3:5">
      <c r="C9132">
        <v>638.28800000000012</v>
      </c>
      <c r="D9132" s="17">
        <v>42472</v>
      </c>
      <c r="E9132" t="s">
        <v>896</v>
      </c>
    </row>
    <row r="9133" spans="3:5">
      <c r="C9133">
        <v>638.73</v>
      </c>
      <c r="D9133" s="17">
        <v>42978</v>
      </c>
      <c r="E9133" t="s">
        <v>1111</v>
      </c>
    </row>
    <row r="9134" spans="3:5">
      <c r="C9134">
        <v>638.82000000000005</v>
      </c>
      <c r="D9134" s="17">
        <v>41870</v>
      </c>
      <c r="E9134" t="s">
        <v>1888</v>
      </c>
    </row>
    <row r="9135" spans="3:5">
      <c r="C9135">
        <v>638.82000000000005</v>
      </c>
      <c r="D9135" s="17">
        <v>42915</v>
      </c>
      <c r="E9135" t="s">
        <v>906</v>
      </c>
    </row>
    <row r="9136" spans="3:5">
      <c r="C9136">
        <v>639.96800000000007</v>
      </c>
      <c r="D9136" s="17">
        <v>42105</v>
      </c>
      <c r="E9136" t="s">
        <v>980</v>
      </c>
    </row>
    <row r="9137" spans="3:5">
      <c r="C9137">
        <v>641.96</v>
      </c>
      <c r="D9137" s="17">
        <v>42509</v>
      </c>
      <c r="E9137" t="s">
        <v>785</v>
      </c>
    </row>
    <row r="9138" spans="3:5">
      <c r="C9138">
        <v>643.13599999999997</v>
      </c>
      <c r="D9138" s="17">
        <v>42173</v>
      </c>
      <c r="E9138" t="s">
        <v>1420</v>
      </c>
    </row>
    <row r="9139" spans="3:5">
      <c r="C9139">
        <v>644.07600000000002</v>
      </c>
      <c r="D9139" s="17">
        <v>42098</v>
      </c>
      <c r="E9139" t="s">
        <v>1441</v>
      </c>
    </row>
    <row r="9140" spans="3:5">
      <c r="C9140">
        <v>646.20000000000005</v>
      </c>
      <c r="D9140" s="17">
        <v>41967</v>
      </c>
      <c r="E9140" t="s">
        <v>1068</v>
      </c>
    </row>
    <row r="9141" spans="3:5">
      <c r="C9141">
        <v>646.27200000000005</v>
      </c>
      <c r="D9141" s="17">
        <v>42971</v>
      </c>
      <c r="E9141" t="s">
        <v>712</v>
      </c>
    </row>
    <row r="9142" spans="3:5">
      <c r="C9142">
        <v>646.74</v>
      </c>
      <c r="D9142" s="17">
        <v>41652</v>
      </c>
      <c r="E9142" t="s">
        <v>1163</v>
      </c>
    </row>
    <row r="9143" spans="3:5">
      <c r="C9143">
        <v>646.77600000000007</v>
      </c>
      <c r="D9143" s="17">
        <v>42356</v>
      </c>
      <c r="E9143" t="s">
        <v>417</v>
      </c>
    </row>
    <row r="9144" spans="3:5">
      <c r="C9144">
        <v>647.84</v>
      </c>
      <c r="D9144" s="17">
        <v>41806</v>
      </c>
      <c r="E9144" t="s">
        <v>735</v>
      </c>
    </row>
    <row r="9145" spans="3:5">
      <c r="C9145">
        <v>647.84</v>
      </c>
      <c r="D9145" s="17">
        <v>42802</v>
      </c>
      <c r="E9145" t="s">
        <v>331</v>
      </c>
    </row>
    <row r="9146" spans="3:5">
      <c r="C9146">
        <v>647.904</v>
      </c>
      <c r="D9146" s="17">
        <v>42336</v>
      </c>
      <c r="E9146" t="s">
        <v>264</v>
      </c>
    </row>
    <row r="9147" spans="3:5">
      <c r="C9147">
        <v>649</v>
      </c>
      <c r="D9147" s="17">
        <v>43073</v>
      </c>
      <c r="E9147" t="s">
        <v>1498</v>
      </c>
    </row>
    <row r="9148" spans="3:5">
      <c r="C9148">
        <v>650.35200000000009</v>
      </c>
      <c r="D9148" s="17">
        <v>42678</v>
      </c>
      <c r="E9148" t="s">
        <v>914</v>
      </c>
    </row>
    <row r="9149" spans="3:5">
      <c r="C9149">
        <v>652.45000000000005</v>
      </c>
      <c r="D9149" s="17">
        <v>43017</v>
      </c>
      <c r="E9149" t="s">
        <v>62</v>
      </c>
    </row>
    <row r="9150" spans="3:5">
      <c r="C9150">
        <v>652.99500000000012</v>
      </c>
      <c r="D9150" s="17">
        <v>43052</v>
      </c>
      <c r="E9150" t="s">
        <v>1414</v>
      </c>
    </row>
    <row r="9151" spans="3:5">
      <c r="C9151">
        <v>653.54999999999995</v>
      </c>
      <c r="D9151" s="17">
        <v>41735</v>
      </c>
      <c r="E9151" t="s">
        <v>814</v>
      </c>
    </row>
    <row r="9152" spans="3:5">
      <c r="C9152">
        <v>653.54999999999995</v>
      </c>
      <c r="D9152" s="17">
        <v>42324</v>
      </c>
      <c r="E9152" t="s">
        <v>814</v>
      </c>
    </row>
    <row r="9153" spans="3:5">
      <c r="C9153">
        <v>655.90000000000009</v>
      </c>
      <c r="D9153" s="17">
        <v>43002</v>
      </c>
      <c r="E9153" t="s">
        <v>304</v>
      </c>
    </row>
    <row r="9154" spans="3:5">
      <c r="C9154">
        <v>657.50400000000002</v>
      </c>
      <c r="D9154" s="17">
        <v>42813</v>
      </c>
      <c r="E9154" t="s">
        <v>252</v>
      </c>
    </row>
    <row r="9155" spans="3:5">
      <c r="C9155">
        <v>657.55200000000013</v>
      </c>
      <c r="D9155" s="17">
        <v>42698</v>
      </c>
      <c r="E9155" t="s">
        <v>1622</v>
      </c>
    </row>
    <row r="9156" spans="3:5">
      <c r="C9156">
        <v>657.93</v>
      </c>
      <c r="D9156" s="17">
        <v>41841</v>
      </c>
      <c r="E9156" t="s">
        <v>1001</v>
      </c>
    </row>
    <row r="9157" spans="3:5">
      <c r="C9157">
        <v>657.93</v>
      </c>
      <c r="D9157" s="17">
        <v>41960</v>
      </c>
      <c r="E9157" t="s">
        <v>1001</v>
      </c>
    </row>
    <row r="9158" spans="3:5">
      <c r="C9158">
        <v>657.93</v>
      </c>
      <c r="D9158" s="17">
        <v>42716</v>
      </c>
      <c r="E9158" t="s">
        <v>1536</v>
      </c>
    </row>
    <row r="9159" spans="3:5">
      <c r="C9159">
        <v>658.74599999999998</v>
      </c>
      <c r="D9159" s="17">
        <v>42467</v>
      </c>
      <c r="E9159" t="s">
        <v>880</v>
      </c>
    </row>
    <row r="9160" spans="3:5">
      <c r="C9160">
        <v>659.16800000000012</v>
      </c>
      <c r="D9160" s="17">
        <v>42197</v>
      </c>
      <c r="E9160" t="s">
        <v>1731</v>
      </c>
    </row>
    <row r="9161" spans="3:5">
      <c r="C9161">
        <v>659.9</v>
      </c>
      <c r="D9161" s="17">
        <v>42264</v>
      </c>
      <c r="E9161" t="s">
        <v>279</v>
      </c>
    </row>
    <row r="9162" spans="3:5">
      <c r="C9162">
        <v>659.9</v>
      </c>
      <c r="D9162" s="17">
        <v>42698</v>
      </c>
      <c r="E9162" t="s">
        <v>279</v>
      </c>
    </row>
    <row r="9163" spans="3:5">
      <c r="C9163">
        <v>659.9</v>
      </c>
      <c r="D9163" s="17">
        <v>42978</v>
      </c>
      <c r="E9163" t="s">
        <v>279</v>
      </c>
    </row>
    <row r="9164" spans="3:5">
      <c r="C9164">
        <v>659.97</v>
      </c>
      <c r="D9164" s="17">
        <v>41790</v>
      </c>
      <c r="E9164" t="s">
        <v>1835</v>
      </c>
    </row>
    <row r="9165" spans="3:5">
      <c r="C9165">
        <v>659.97600000000011</v>
      </c>
      <c r="D9165" s="17">
        <v>42810</v>
      </c>
      <c r="E9165" t="s">
        <v>371</v>
      </c>
    </row>
    <row r="9166" spans="3:5">
      <c r="C9166">
        <v>659.97600000000011</v>
      </c>
      <c r="D9166" s="17">
        <v>43060</v>
      </c>
      <c r="E9166" t="s">
        <v>371</v>
      </c>
    </row>
    <row r="9167" spans="3:5">
      <c r="C9167">
        <v>659.98799999999994</v>
      </c>
      <c r="D9167" s="17">
        <v>41974</v>
      </c>
      <c r="E9167" t="s">
        <v>1097</v>
      </c>
    </row>
    <row r="9168" spans="3:5">
      <c r="C9168">
        <v>661.17600000000004</v>
      </c>
      <c r="D9168" s="17">
        <v>42664</v>
      </c>
      <c r="E9168" t="s">
        <v>1665</v>
      </c>
    </row>
    <row r="9169" spans="3:5">
      <c r="C9169">
        <v>662.84</v>
      </c>
      <c r="D9169" s="17">
        <v>42512</v>
      </c>
      <c r="E9169" t="s">
        <v>1525</v>
      </c>
    </row>
    <row r="9170" spans="3:5">
      <c r="C9170">
        <v>662.88</v>
      </c>
      <c r="D9170" s="17">
        <v>41993</v>
      </c>
      <c r="E9170" t="s">
        <v>701</v>
      </c>
    </row>
    <row r="9171" spans="3:5">
      <c r="C9171">
        <v>662.88</v>
      </c>
      <c r="D9171" s="17">
        <v>42559</v>
      </c>
      <c r="E9171" t="s">
        <v>701</v>
      </c>
    </row>
    <row r="9172" spans="3:5">
      <c r="C9172">
        <v>663.072</v>
      </c>
      <c r="D9172" s="17">
        <v>42237</v>
      </c>
      <c r="E9172" t="s">
        <v>704</v>
      </c>
    </row>
    <row r="9173" spans="3:5">
      <c r="C9173">
        <v>663.92</v>
      </c>
      <c r="D9173" s="17">
        <v>42880</v>
      </c>
      <c r="E9173" t="s">
        <v>750</v>
      </c>
    </row>
    <row r="9174" spans="3:5">
      <c r="C9174">
        <v>663.93600000000004</v>
      </c>
      <c r="D9174" s="17">
        <v>43069</v>
      </c>
      <c r="E9174" t="s">
        <v>1468</v>
      </c>
    </row>
    <row r="9175" spans="3:5">
      <c r="C9175">
        <v>664.14599999999996</v>
      </c>
      <c r="D9175" s="17">
        <v>42931</v>
      </c>
      <c r="E9175" t="s">
        <v>966</v>
      </c>
    </row>
    <row r="9176" spans="3:5">
      <c r="C9176">
        <v>665.40800000000002</v>
      </c>
      <c r="D9176" s="17">
        <v>43028</v>
      </c>
      <c r="E9176" t="s">
        <v>563</v>
      </c>
    </row>
    <row r="9177" spans="3:5">
      <c r="C9177">
        <v>665.88</v>
      </c>
      <c r="D9177" s="17">
        <v>41954</v>
      </c>
      <c r="E9177" t="s">
        <v>1693</v>
      </c>
    </row>
    <row r="9178" spans="3:5">
      <c r="C9178">
        <v>665.88</v>
      </c>
      <c r="D9178" s="17">
        <v>42127</v>
      </c>
      <c r="E9178" t="s">
        <v>1521</v>
      </c>
    </row>
    <row r="9179" spans="3:5">
      <c r="C9179">
        <v>666.24800000000005</v>
      </c>
      <c r="D9179" s="17">
        <v>42250</v>
      </c>
      <c r="E9179" t="s">
        <v>83</v>
      </c>
    </row>
    <row r="9180" spans="3:5">
      <c r="C9180">
        <v>666.34400000000005</v>
      </c>
      <c r="D9180" s="17">
        <v>41947</v>
      </c>
      <c r="E9180" t="s">
        <v>1027</v>
      </c>
    </row>
    <row r="9181" spans="3:5">
      <c r="C9181">
        <v>666.4</v>
      </c>
      <c r="D9181" s="17">
        <v>42605</v>
      </c>
      <c r="E9181" t="s">
        <v>406</v>
      </c>
    </row>
    <row r="9182" spans="3:5">
      <c r="C9182">
        <v>668.16</v>
      </c>
      <c r="D9182" s="17">
        <v>42365</v>
      </c>
      <c r="E9182" t="s">
        <v>215</v>
      </c>
    </row>
    <row r="9183" spans="3:5">
      <c r="C9183">
        <v>669.08</v>
      </c>
      <c r="D9183" s="17">
        <v>41969</v>
      </c>
      <c r="E9183" t="s">
        <v>512</v>
      </c>
    </row>
    <row r="9184" spans="3:5">
      <c r="C9184">
        <v>670.75200000000007</v>
      </c>
      <c r="D9184" s="17">
        <v>42041</v>
      </c>
      <c r="E9184" t="s">
        <v>1570</v>
      </c>
    </row>
    <row r="9185" spans="3:5">
      <c r="C9185">
        <v>671.5440000000001</v>
      </c>
      <c r="D9185" s="17">
        <v>42685</v>
      </c>
      <c r="E9185" t="s">
        <v>1062</v>
      </c>
    </row>
    <row r="9186" spans="3:5">
      <c r="C9186">
        <v>671.93</v>
      </c>
      <c r="D9186" s="17">
        <v>42254</v>
      </c>
      <c r="E9186" t="s">
        <v>867</v>
      </c>
    </row>
    <row r="9187" spans="3:5">
      <c r="C9187">
        <v>671.93</v>
      </c>
      <c r="D9187" s="17">
        <v>42825</v>
      </c>
      <c r="E9187" t="s">
        <v>255</v>
      </c>
    </row>
    <row r="9188" spans="3:5">
      <c r="C9188">
        <v>671.93999999999994</v>
      </c>
      <c r="D9188" s="17">
        <v>42077</v>
      </c>
      <c r="E9188" t="s">
        <v>346</v>
      </c>
    </row>
    <row r="9189" spans="3:5">
      <c r="C9189">
        <v>671.98400000000004</v>
      </c>
      <c r="D9189" s="17">
        <v>43051</v>
      </c>
      <c r="E9189" t="s">
        <v>166</v>
      </c>
    </row>
    <row r="9190" spans="3:5">
      <c r="C9190">
        <v>673.34399999999994</v>
      </c>
      <c r="D9190" s="17">
        <v>43020</v>
      </c>
      <c r="E9190" t="s">
        <v>245</v>
      </c>
    </row>
    <row r="9191" spans="3:5">
      <c r="C9191">
        <v>673.5680000000001</v>
      </c>
      <c r="D9191" s="17">
        <v>41729</v>
      </c>
      <c r="E9191" t="s">
        <v>1200</v>
      </c>
    </row>
    <row r="9192" spans="3:5">
      <c r="C9192">
        <v>673.5680000000001</v>
      </c>
      <c r="D9192" s="17">
        <v>42627</v>
      </c>
      <c r="E9192" t="s">
        <v>1200</v>
      </c>
    </row>
    <row r="9193" spans="3:5">
      <c r="C9193">
        <v>674.05799999999999</v>
      </c>
      <c r="D9193" s="17">
        <v>41974</v>
      </c>
      <c r="E9193" t="s">
        <v>785</v>
      </c>
    </row>
    <row r="9194" spans="3:5">
      <c r="C9194">
        <v>674.35200000000009</v>
      </c>
      <c r="D9194" s="17">
        <v>41846</v>
      </c>
      <c r="E9194" t="s">
        <v>1388</v>
      </c>
    </row>
    <row r="9195" spans="3:5">
      <c r="C9195">
        <v>674.35200000000009</v>
      </c>
      <c r="D9195" s="17">
        <v>42686</v>
      </c>
      <c r="E9195" t="s">
        <v>1641</v>
      </c>
    </row>
    <row r="9196" spans="3:5">
      <c r="C9196">
        <v>675.06000000000006</v>
      </c>
      <c r="D9196" s="17">
        <v>42847</v>
      </c>
      <c r="E9196" t="s">
        <v>579</v>
      </c>
    </row>
    <row r="9197" spans="3:5">
      <c r="C9197">
        <v>675.12</v>
      </c>
      <c r="D9197" s="17">
        <v>41965</v>
      </c>
      <c r="E9197" t="s">
        <v>1863</v>
      </c>
    </row>
    <row r="9198" spans="3:5">
      <c r="C9198">
        <v>675.96</v>
      </c>
      <c r="D9198" s="17">
        <v>42357</v>
      </c>
      <c r="E9198" t="s">
        <v>1795</v>
      </c>
    </row>
    <row r="9199" spans="3:5">
      <c r="C9199">
        <v>676.55</v>
      </c>
      <c r="D9199" s="17">
        <v>42441</v>
      </c>
      <c r="E9199" t="s">
        <v>784</v>
      </c>
    </row>
    <row r="9200" spans="3:5">
      <c r="C9200">
        <v>677.57999999999993</v>
      </c>
      <c r="D9200" s="17">
        <v>42855</v>
      </c>
      <c r="E9200" t="s">
        <v>469</v>
      </c>
    </row>
    <row r="9201" spans="3:5">
      <c r="C9201">
        <v>677.58</v>
      </c>
      <c r="D9201" s="17">
        <v>42825</v>
      </c>
      <c r="E9201" t="s">
        <v>469</v>
      </c>
    </row>
    <row r="9202" spans="3:5">
      <c r="C9202">
        <v>679.96</v>
      </c>
      <c r="D9202" s="17">
        <v>42714</v>
      </c>
      <c r="E9202" t="s">
        <v>917</v>
      </c>
    </row>
    <row r="9203" spans="3:5">
      <c r="C9203">
        <v>680.01</v>
      </c>
      <c r="D9203" s="17">
        <v>42712</v>
      </c>
      <c r="E9203" t="s">
        <v>1486</v>
      </c>
    </row>
    <row r="9204" spans="3:5">
      <c r="C9204">
        <v>681.40800000000013</v>
      </c>
      <c r="D9204" s="17">
        <v>42338</v>
      </c>
      <c r="E9204" t="s">
        <v>84</v>
      </c>
    </row>
    <row r="9205" spans="3:5">
      <c r="C9205">
        <v>681.40800000000013</v>
      </c>
      <c r="D9205" s="17">
        <v>42874</v>
      </c>
      <c r="E9205" t="s">
        <v>721</v>
      </c>
    </row>
    <row r="9206" spans="3:5">
      <c r="C9206">
        <v>683.14399999999989</v>
      </c>
      <c r="D9206" s="17">
        <v>41950</v>
      </c>
      <c r="E9206" t="s">
        <v>1867</v>
      </c>
    </row>
    <row r="9207" spans="3:5">
      <c r="C9207">
        <v>683.33199999999999</v>
      </c>
      <c r="D9207" s="17">
        <v>42321</v>
      </c>
      <c r="E9207" t="s">
        <v>1773</v>
      </c>
    </row>
    <row r="9208" spans="3:5">
      <c r="C9208">
        <v>683.95200000000011</v>
      </c>
      <c r="D9208" s="17">
        <v>43029</v>
      </c>
      <c r="E9208" t="s">
        <v>1122</v>
      </c>
    </row>
    <row r="9209" spans="3:5">
      <c r="C9209">
        <v>683.98799999999994</v>
      </c>
      <c r="D9209" s="17">
        <v>42923</v>
      </c>
      <c r="E9209" t="s">
        <v>934</v>
      </c>
    </row>
    <row r="9210" spans="3:5">
      <c r="C9210">
        <v>686.32</v>
      </c>
      <c r="D9210" s="17">
        <v>41911</v>
      </c>
      <c r="E9210" t="s">
        <v>1793</v>
      </c>
    </row>
    <row r="9211" spans="3:5">
      <c r="C9211">
        <v>686.40000000000009</v>
      </c>
      <c r="D9211" s="17">
        <v>42678</v>
      </c>
      <c r="E9211" t="s">
        <v>737</v>
      </c>
    </row>
    <row r="9212" spans="3:5">
      <c r="C9212">
        <v>687.4</v>
      </c>
      <c r="D9212" s="17">
        <v>42225</v>
      </c>
      <c r="E9212" t="s">
        <v>1841</v>
      </c>
    </row>
    <row r="9213" spans="3:5">
      <c r="C9213">
        <v>689.40800000000002</v>
      </c>
      <c r="D9213" s="17">
        <v>42978</v>
      </c>
      <c r="E9213" t="s">
        <v>711</v>
      </c>
    </row>
    <row r="9214" spans="3:5">
      <c r="C9214">
        <v>689.81999999999994</v>
      </c>
      <c r="D9214" s="17">
        <v>41734</v>
      </c>
      <c r="E9214" t="s">
        <v>1302</v>
      </c>
    </row>
    <row r="9215" spans="3:5">
      <c r="C9215">
        <v>691.96</v>
      </c>
      <c r="D9215" s="17">
        <v>43000</v>
      </c>
      <c r="E9215" t="s">
        <v>159</v>
      </c>
    </row>
    <row r="9216" spans="3:5">
      <c r="C9216">
        <v>692.47199999999998</v>
      </c>
      <c r="D9216" s="17">
        <v>42334</v>
      </c>
      <c r="E9216" t="s">
        <v>1811</v>
      </c>
    </row>
    <row r="9217" spans="3:5">
      <c r="C9217">
        <v>692.93999999999994</v>
      </c>
      <c r="D9217" s="17">
        <v>42530</v>
      </c>
      <c r="E9217" t="s">
        <v>1007</v>
      </c>
    </row>
    <row r="9218" spans="3:5">
      <c r="C9218">
        <v>695.16</v>
      </c>
      <c r="D9218" s="17">
        <v>43091</v>
      </c>
      <c r="E9218" t="s">
        <v>420</v>
      </c>
    </row>
    <row r="9219" spans="3:5">
      <c r="C9219">
        <v>695.7</v>
      </c>
      <c r="D9219" s="17">
        <v>42530</v>
      </c>
      <c r="E9219" t="s">
        <v>57</v>
      </c>
    </row>
    <row r="9220" spans="3:5">
      <c r="C9220">
        <v>695.7</v>
      </c>
      <c r="D9220" s="17">
        <v>42737</v>
      </c>
      <c r="E9220" t="s">
        <v>57</v>
      </c>
    </row>
    <row r="9221" spans="3:5">
      <c r="C9221">
        <v>696.42</v>
      </c>
      <c r="D9221" s="17">
        <v>42324</v>
      </c>
      <c r="E9221" t="s">
        <v>911</v>
      </c>
    </row>
    <row r="9222" spans="3:5">
      <c r="C9222">
        <v>697.16</v>
      </c>
      <c r="D9222" s="17">
        <v>42449</v>
      </c>
      <c r="E9222" t="s">
        <v>400</v>
      </c>
    </row>
    <row r="9223" spans="3:5">
      <c r="C9223">
        <v>697.16</v>
      </c>
      <c r="D9223" s="17">
        <v>42813</v>
      </c>
      <c r="E9223" t="s">
        <v>400</v>
      </c>
    </row>
    <row r="9224" spans="3:5">
      <c r="C9224">
        <v>698.35200000000009</v>
      </c>
      <c r="D9224" s="17">
        <v>41832</v>
      </c>
      <c r="E9224" t="s">
        <v>969</v>
      </c>
    </row>
    <row r="9225" spans="3:5">
      <c r="C9225">
        <v>698.35200000000009</v>
      </c>
      <c r="D9225" s="17">
        <v>42729</v>
      </c>
      <c r="E9225" t="s">
        <v>849</v>
      </c>
    </row>
    <row r="9226" spans="3:5">
      <c r="C9226">
        <v>698.35200000000009</v>
      </c>
      <c r="D9226" s="17">
        <v>42901</v>
      </c>
      <c r="E9226" t="s">
        <v>849</v>
      </c>
    </row>
    <row r="9227" spans="3:5">
      <c r="C9227">
        <v>699.93</v>
      </c>
      <c r="D9227" s="17">
        <v>41659</v>
      </c>
      <c r="E9227" t="s">
        <v>1660</v>
      </c>
    </row>
    <row r="9228" spans="3:5">
      <c r="C9228">
        <v>699.98</v>
      </c>
      <c r="D9228" s="17">
        <v>42050</v>
      </c>
      <c r="E9228" t="s">
        <v>847</v>
      </c>
    </row>
    <row r="9229" spans="3:5">
      <c r="C9229">
        <v>699.98</v>
      </c>
      <c r="D9229" s="17">
        <v>42709</v>
      </c>
      <c r="E9229" t="s">
        <v>847</v>
      </c>
    </row>
    <row r="9230" spans="3:5">
      <c r="C9230">
        <v>700.05600000000004</v>
      </c>
      <c r="D9230" s="17">
        <v>41771</v>
      </c>
      <c r="E9230" t="s">
        <v>345</v>
      </c>
    </row>
    <row r="9231" spans="3:5">
      <c r="C9231">
        <v>700.15200000000004</v>
      </c>
      <c r="D9231" s="17">
        <v>42201</v>
      </c>
      <c r="E9231" t="s">
        <v>650</v>
      </c>
    </row>
    <row r="9232" spans="3:5">
      <c r="C9232">
        <v>701.37199999999996</v>
      </c>
      <c r="D9232" s="17">
        <v>42632</v>
      </c>
      <c r="E9232" t="s">
        <v>1242</v>
      </c>
    </row>
    <row r="9233" spans="3:5">
      <c r="C9233">
        <v>701.96</v>
      </c>
      <c r="D9233" s="17">
        <v>43064</v>
      </c>
      <c r="E9233" t="s">
        <v>1462</v>
      </c>
    </row>
    <row r="9234" spans="3:5">
      <c r="C9234">
        <v>701.96</v>
      </c>
      <c r="D9234" s="17">
        <v>43071</v>
      </c>
      <c r="E9234" t="s">
        <v>1462</v>
      </c>
    </row>
    <row r="9235" spans="3:5">
      <c r="C9235">
        <v>703.71</v>
      </c>
      <c r="D9235" s="17">
        <v>42649</v>
      </c>
      <c r="E9235" t="s">
        <v>1674</v>
      </c>
    </row>
    <row r="9236" spans="3:5">
      <c r="C9236">
        <v>703.96800000000007</v>
      </c>
      <c r="D9236" s="17">
        <v>41952</v>
      </c>
      <c r="E9236" t="s">
        <v>1835</v>
      </c>
    </row>
    <row r="9237" spans="3:5">
      <c r="C9237">
        <v>704.25</v>
      </c>
      <c r="D9237" s="17">
        <v>42001</v>
      </c>
      <c r="E9237" t="s">
        <v>1618</v>
      </c>
    </row>
    <row r="9238" spans="3:5">
      <c r="C9238">
        <v>704.25</v>
      </c>
      <c r="D9238" s="17">
        <v>42547</v>
      </c>
      <c r="E9238" t="s">
        <v>1618</v>
      </c>
    </row>
    <row r="9239" spans="3:5">
      <c r="C9239">
        <v>704.76</v>
      </c>
      <c r="D9239" s="17">
        <v>42580</v>
      </c>
      <c r="E9239" t="s">
        <v>733</v>
      </c>
    </row>
    <row r="9240" spans="3:5">
      <c r="C9240">
        <v>704.76</v>
      </c>
      <c r="D9240" s="17">
        <v>42875</v>
      </c>
      <c r="E9240" t="s">
        <v>733</v>
      </c>
    </row>
    <row r="9241" spans="3:5">
      <c r="C9241">
        <v>704.9</v>
      </c>
      <c r="D9241" s="17">
        <v>42210</v>
      </c>
      <c r="E9241" t="s">
        <v>1460</v>
      </c>
    </row>
    <row r="9242" spans="3:5">
      <c r="C9242">
        <v>705.54399999999998</v>
      </c>
      <c r="D9242" s="17">
        <v>42597</v>
      </c>
      <c r="E9242" t="s">
        <v>1715</v>
      </c>
    </row>
    <row r="9243" spans="3:5">
      <c r="C9243">
        <v>706.86</v>
      </c>
      <c r="D9243" s="17">
        <v>42554</v>
      </c>
      <c r="E9243" t="s">
        <v>712</v>
      </c>
    </row>
    <row r="9244" spans="3:5">
      <c r="C9244">
        <v>706.86</v>
      </c>
      <c r="D9244" s="17">
        <v>42873</v>
      </c>
      <c r="E9244" t="s">
        <v>712</v>
      </c>
    </row>
    <row r="9245" spans="3:5">
      <c r="C9245">
        <v>707.88</v>
      </c>
      <c r="D9245" s="17">
        <v>42954</v>
      </c>
      <c r="E9245" t="s">
        <v>1041</v>
      </c>
    </row>
    <row r="9246" spans="3:5">
      <c r="C9246">
        <v>710.83200000000011</v>
      </c>
      <c r="D9246" s="17">
        <v>42107</v>
      </c>
      <c r="E9246" t="s">
        <v>1362</v>
      </c>
    </row>
    <row r="9247" spans="3:5">
      <c r="C9247">
        <v>713.88</v>
      </c>
      <c r="D9247" s="17">
        <v>42912</v>
      </c>
      <c r="E9247" t="s">
        <v>207</v>
      </c>
    </row>
    <row r="9248" spans="3:5">
      <c r="C9248">
        <v>714.30000000000007</v>
      </c>
      <c r="D9248" s="17">
        <v>42318</v>
      </c>
      <c r="E9248" t="s">
        <v>633</v>
      </c>
    </row>
    <row r="9249" spans="3:5">
      <c r="C9249">
        <v>714.30000000000007</v>
      </c>
      <c r="D9249" s="17">
        <v>42527</v>
      </c>
      <c r="E9249" t="s">
        <v>633</v>
      </c>
    </row>
    <row r="9250" spans="3:5">
      <c r="C9250">
        <v>715.2</v>
      </c>
      <c r="D9250" s="17">
        <v>42315</v>
      </c>
      <c r="E9250" t="s">
        <v>652</v>
      </c>
    </row>
    <row r="9251" spans="3:5">
      <c r="C9251">
        <v>715.64</v>
      </c>
      <c r="D9251" s="17">
        <v>42318</v>
      </c>
      <c r="E9251" t="s">
        <v>1441</v>
      </c>
    </row>
    <row r="9252" spans="3:5">
      <c r="C9252">
        <v>715.64</v>
      </c>
      <c r="D9252" s="17">
        <v>42581</v>
      </c>
      <c r="E9252" t="s">
        <v>1441</v>
      </c>
    </row>
    <row r="9253" spans="3:5">
      <c r="C9253">
        <v>716</v>
      </c>
      <c r="D9253" s="17">
        <v>42196</v>
      </c>
      <c r="E9253" t="s">
        <v>117</v>
      </c>
    </row>
    <row r="9254" spans="3:5">
      <c r="C9254">
        <v>717.12000000000012</v>
      </c>
      <c r="D9254" s="17">
        <v>42265</v>
      </c>
      <c r="E9254" t="s">
        <v>1792</v>
      </c>
    </row>
    <row r="9255" spans="3:5">
      <c r="C9255">
        <v>717.72</v>
      </c>
      <c r="D9255" s="17">
        <v>41842</v>
      </c>
      <c r="E9255" t="s">
        <v>930</v>
      </c>
    </row>
    <row r="9256" spans="3:5">
      <c r="C9256">
        <v>717.72</v>
      </c>
      <c r="D9256" s="17">
        <v>42260</v>
      </c>
      <c r="E9256" t="s">
        <v>930</v>
      </c>
    </row>
    <row r="9257" spans="3:5">
      <c r="C9257">
        <v>718.11599999999987</v>
      </c>
      <c r="D9257" s="17">
        <v>43058</v>
      </c>
      <c r="E9257" t="s">
        <v>1442</v>
      </c>
    </row>
    <row r="9258" spans="3:5">
      <c r="C9258">
        <v>718.6400000000001</v>
      </c>
      <c r="D9258" s="17">
        <v>42303</v>
      </c>
      <c r="E9258" t="s">
        <v>417</v>
      </c>
    </row>
    <row r="9259" spans="3:5">
      <c r="C9259">
        <v>719.95200000000011</v>
      </c>
      <c r="D9259" s="17">
        <v>41922</v>
      </c>
      <c r="E9259" t="s">
        <v>1865</v>
      </c>
    </row>
    <row r="9260" spans="3:5">
      <c r="C9260">
        <v>719.96</v>
      </c>
      <c r="D9260" s="17">
        <v>42623</v>
      </c>
      <c r="E9260" t="s">
        <v>1337</v>
      </c>
    </row>
    <row r="9261" spans="3:5">
      <c r="C9261">
        <v>719.97600000000011</v>
      </c>
      <c r="D9261" s="17">
        <v>41789</v>
      </c>
      <c r="E9261" t="s">
        <v>975</v>
      </c>
    </row>
    <row r="9262" spans="3:5">
      <c r="C9262">
        <v>720.06400000000008</v>
      </c>
      <c r="D9262" s="17">
        <v>42269</v>
      </c>
      <c r="E9262" t="s">
        <v>579</v>
      </c>
    </row>
    <row r="9263" spans="3:5">
      <c r="C9263">
        <v>720.06400000000008</v>
      </c>
      <c r="D9263" s="17">
        <v>43052</v>
      </c>
      <c r="E9263" t="s">
        <v>579</v>
      </c>
    </row>
    <row r="9264" spans="3:5">
      <c r="C9264">
        <v>720.76</v>
      </c>
      <c r="D9264" s="17">
        <v>42684</v>
      </c>
      <c r="E9264" t="s">
        <v>816</v>
      </c>
    </row>
    <row r="9265" spans="3:5">
      <c r="C9265">
        <v>720.7600000000001</v>
      </c>
      <c r="D9265" s="17">
        <v>42895</v>
      </c>
      <c r="E9265" t="s">
        <v>816</v>
      </c>
    </row>
    <row r="9266" spans="3:5">
      <c r="C9266">
        <v>721.87500000000011</v>
      </c>
      <c r="D9266" s="17">
        <v>43080</v>
      </c>
      <c r="E9266" t="s">
        <v>1157</v>
      </c>
    </row>
    <row r="9267" spans="3:5">
      <c r="C9267">
        <v>722.35200000000009</v>
      </c>
      <c r="D9267" s="17">
        <v>42138</v>
      </c>
      <c r="E9267" t="s">
        <v>228</v>
      </c>
    </row>
    <row r="9268" spans="3:5">
      <c r="C9268">
        <v>722.35200000000009</v>
      </c>
      <c r="D9268" s="17">
        <v>42619</v>
      </c>
      <c r="E9268" t="s">
        <v>217</v>
      </c>
    </row>
    <row r="9269" spans="3:5">
      <c r="C9269">
        <v>723.92</v>
      </c>
      <c r="D9269" s="17">
        <v>42995</v>
      </c>
      <c r="E9269" t="s">
        <v>302</v>
      </c>
    </row>
    <row r="9270" spans="3:5">
      <c r="C9270">
        <v>723.92</v>
      </c>
      <c r="D9270" s="17">
        <v>43064</v>
      </c>
      <c r="E9270" t="s">
        <v>1305</v>
      </c>
    </row>
    <row r="9271" spans="3:5">
      <c r="C9271">
        <v>724.08</v>
      </c>
      <c r="D9271" s="17">
        <v>42240</v>
      </c>
      <c r="E9271" t="s">
        <v>188</v>
      </c>
    </row>
    <row r="9272" spans="3:5">
      <c r="C9272">
        <v>725.34400000000005</v>
      </c>
      <c r="D9272" s="17">
        <v>41968</v>
      </c>
      <c r="E9272" t="s">
        <v>1486</v>
      </c>
    </row>
    <row r="9273" spans="3:5">
      <c r="C9273">
        <v>725.84</v>
      </c>
      <c r="D9273" s="17">
        <v>42815</v>
      </c>
      <c r="E9273" t="s">
        <v>409</v>
      </c>
    </row>
    <row r="9274" spans="3:5">
      <c r="C9274">
        <v>725.84</v>
      </c>
      <c r="D9274" s="17">
        <v>43097</v>
      </c>
      <c r="E9274" t="s">
        <v>409</v>
      </c>
    </row>
    <row r="9275" spans="3:5">
      <c r="C9275">
        <v>727.29600000000005</v>
      </c>
      <c r="D9275" s="17">
        <v>42605</v>
      </c>
      <c r="E9275" t="s">
        <v>50</v>
      </c>
    </row>
    <row r="9276" spans="3:5">
      <c r="C9276">
        <v>727.45</v>
      </c>
      <c r="D9276" s="17">
        <v>42656</v>
      </c>
      <c r="E9276" t="s">
        <v>969</v>
      </c>
    </row>
    <row r="9277" spans="3:5">
      <c r="C9277">
        <v>728.82</v>
      </c>
      <c r="D9277" s="17">
        <v>42244</v>
      </c>
      <c r="E9277" t="s">
        <v>131</v>
      </c>
    </row>
    <row r="9278" spans="3:5">
      <c r="C9278">
        <v>728.94600000000003</v>
      </c>
      <c r="D9278" s="17">
        <v>42624</v>
      </c>
      <c r="E9278" t="s">
        <v>1078</v>
      </c>
    </row>
    <row r="9279" spans="3:5">
      <c r="C9279">
        <v>730.2</v>
      </c>
      <c r="D9279" s="17">
        <v>41961</v>
      </c>
      <c r="E9279" t="s">
        <v>1330</v>
      </c>
    </row>
    <row r="9280" spans="3:5">
      <c r="C9280">
        <v>731.93999999999994</v>
      </c>
      <c r="D9280" s="17">
        <v>42682</v>
      </c>
      <c r="E9280" t="s">
        <v>880</v>
      </c>
    </row>
    <row r="9281" spans="3:5">
      <c r="C9281">
        <v>733.94999999999993</v>
      </c>
      <c r="D9281" s="17">
        <v>41960</v>
      </c>
      <c r="E9281" t="s">
        <v>1082</v>
      </c>
    </row>
    <row r="9282" spans="3:5">
      <c r="C9282">
        <v>735.98</v>
      </c>
      <c r="D9282" s="17">
        <v>42645</v>
      </c>
      <c r="E9282" t="s">
        <v>987</v>
      </c>
    </row>
    <row r="9283" spans="3:5">
      <c r="C9283">
        <v>735.98</v>
      </c>
      <c r="D9283" s="17">
        <v>42936</v>
      </c>
      <c r="E9283" t="s">
        <v>987</v>
      </c>
    </row>
    <row r="9284" spans="3:5">
      <c r="C9284">
        <v>735.98</v>
      </c>
      <c r="D9284" s="17">
        <v>43080</v>
      </c>
      <c r="E9284" t="s">
        <v>987</v>
      </c>
    </row>
    <row r="9285" spans="3:5">
      <c r="C9285">
        <v>742.33600000000001</v>
      </c>
      <c r="D9285" s="17">
        <v>41943</v>
      </c>
      <c r="E9285" t="s">
        <v>1791</v>
      </c>
    </row>
    <row r="9286" spans="3:5">
      <c r="C9286">
        <v>743.98799999999994</v>
      </c>
      <c r="D9286" s="17">
        <v>42500</v>
      </c>
      <c r="E9286" t="s">
        <v>1482</v>
      </c>
    </row>
    <row r="9287" spans="3:5">
      <c r="C9287">
        <v>744.09999999999991</v>
      </c>
      <c r="D9287" s="17">
        <v>41749</v>
      </c>
      <c r="E9287" t="s">
        <v>497</v>
      </c>
    </row>
    <row r="9288" spans="3:5">
      <c r="C9288">
        <v>747.55799999999999</v>
      </c>
      <c r="D9288" s="17">
        <v>42639</v>
      </c>
      <c r="E9288" t="s">
        <v>1049</v>
      </c>
    </row>
    <row r="9289" spans="3:5">
      <c r="C9289">
        <v>748.75200000000007</v>
      </c>
      <c r="D9289" s="17">
        <v>42335</v>
      </c>
      <c r="E9289" t="s">
        <v>246</v>
      </c>
    </row>
    <row r="9290" spans="3:5">
      <c r="C9290">
        <v>750.68</v>
      </c>
      <c r="D9290" s="17">
        <v>43095</v>
      </c>
      <c r="E9290" t="s">
        <v>148</v>
      </c>
    </row>
    <row r="9291" spans="3:5">
      <c r="C9291">
        <v>751.92</v>
      </c>
      <c r="D9291" s="17">
        <v>42705</v>
      </c>
      <c r="E9291" t="s">
        <v>1001</v>
      </c>
    </row>
    <row r="9292" spans="3:5">
      <c r="C9292">
        <v>751.98400000000004</v>
      </c>
      <c r="D9292" s="17">
        <v>42853</v>
      </c>
      <c r="E9292" t="s">
        <v>428</v>
      </c>
    </row>
    <row r="9293" spans="3:5">
      <c r="C9293">
        <v>754.44999999999993</v>
      </c>
      <c r="D9293" s="17">
        <v>42733</v>
      </c>
      <c r="E9293" t="s">
        <v>456</v>
      </c>
    </row>
    <row r="9294" spans="3:5">
      <c r="C9294">
        <v>755.94400000000019</v>
      </c>
      <c r="D9294" s="17">
        <v>41922</v>
      </c>
      <c r="E9294" t="s">
        <v>1078</v>
      </c>
    </row>
    <row r="9295" spans="3:5">
      <c r="C9295">
        <v>755.96</v>
      </c>
      <c r="D9295" s="17">
        <v>41645</v>
      </c>
      <c r="E9295" t="s">
        <v>1571</v>
      </c>
    </row>
    <row r="9296" spans="3:5">
      <c r="C9296">
        <v>756.80000000000007</v>
      </c>
      <c r="D9296" s="17">
        <v>42671</v>
      </c>
      <c r="E9296" t="s">
        <v>1611</v>
      </c>
    </row>
    <row r="9297" spans="3:5">
      <c r="C9297">
        <v>756.80000000000007</v>
      </c>
      <c r="D9297" s="17">
        <v>42679</v>
      </c>
      <c r="E9297" t="s">
        <v>1611</v>
      </c>
    </row>
    <row r="9298" spans="3:5">
      <c r="C9298">
        <v>758.35200000000009</v>
      </c>
      <c r="D9298" s="17">
        <v>41740</v>
      </c>
      <c r="E9298" t="s">
        <v>1755</v>
      </c>
    </row>
    <row r="9299" spans="3:5">
      <c r="C9299">
        <v>760.11599999999987</v>
      </c>
      <c r="D9299" s="17">
        <v>42905</v>
      </c>
      <c r="E9299" t="s">
        <v>302</v>
      </c>
    </row>
    <row r="9300" spans="3:5">
      <c r="C9300">
        <v>760.97999999999979</v>
      </c>
      <c r="D9300" s="17">
        <v>42747</v>
      </c>
      <c r="E9300" t="s">
        <v>80</v>
      </c>
    </row>
    <row r="9301" spans="3:5">
      <c r="C9301">
        <v>761.5440000000001</v>
      </c>
      <c r="D9301" s="17">
        <v>43046</v>
      </c>
      <c r="E9301" t="s">
        <v>1390</v>
      </c>
    </row>
    <row r="9302" spans="3:5">
      <c r="C9302">
        <v>762.59399999999982</v>
      </c>
      <c r="D9302" s="17">
        <v>42988</v>
      </c>
      <c r="E9302" t="s">
        <v>1173</v>
      </c>
    </row>
    <row r="9303" spans="3:5">
      <c r="C9303">
        <v>763.28</v>
      </c>
      <c r="D9303" s="17">
        <v>41988</v>
      </c>
      <c r="E9303" t="s">
        <v>435</v>
      </c>
    </row>
    <row r="9304" spans="3:5">
      <c r="C9304">
        <v>763.44</v>
      </c>
      <c r="D9304" s="17">
        <v>42858</v>
      </c>
      <c r="E9304" t="s">
        <v>624</v>
      </c>
    </row>
    <row r="9305" spans="3:5">
      <c r="C9305">
        <v>764.6880000000001</v>
      </c>
      <c r="D9305" s="17">
        <v>41985</v>
      </c>
      <c r="E9305" t="s">
        <v>1586</v>
      </c>
    </row>
    <row r="9306" spans="3:5">
      <c r="C9306">
        <v>765.625</v>
      </c>
      <c r="D9306" s="17">
        <v>42986</v>
      </c>
      <c r="E9306" t="s">
        <v>1157</v>
      </c>
    </row>
    <row r="9307" spans="3:5">
      <c r="C9307">
        <v>767.21400000000006</v>
      </c>
      <c r="D9307" s="17">
        <v>42000</v>
      </c>
      <c r="E9307" t="s">
        <v>1609</v>
      </c>
    </row>
    <row r="9308" spans="3:5">
      <c r="C9308">
        <v>767.95200000000011</v>
      </c>
      <c r="D9308" s="17">
        <v>42002</v>
      </c>
      <c r="E9308" t="s">
        <v>1396</v>
      </c>
    </row>
    <row r="9309" spans="3:5">
      <c r="C9309">
        <v>769.18400000000008</v>
      </c>
      <c r="D9309" s="17">
        <v>42465</v>
      </c>
      <c r="E9309" t="s">
        <v>494</v>
      </c>
    </row>
    <row r="9310" spans="3:5">
      <c r="C9310">
        <v>769.95</v>
      </c>
      <c r="D9310" s="17">
        <v>42071</v>
      </c>
      <c r="E9310" t="s">
        <v>716</v>
      </c>
    </row>
    <row r="9311" spans="3:5">
      <c r="C9311">
        <v>770.35200000000009</v>
      </c>
      <c r="D9311" s="17">
        <v>42441</v>
      </c>
      <c r="E9311" t="s">
        <v>785</v>
      </c>
    </row>
    <row r="9312" spans="3:5">
      <c r="C9312">
        <v>772.47</v>
      </c>
      <c r="D9312" s="17">
        <v>41958</v>
      </c>
      <c r="E9312" t="s">
        <v>499</v>
      </c>
    </row>
    <row r="9313" spans="3:5">
      <c r="C9313">
        <v>772.47</v>
      </c>
      <c r="D9313" s="17">
        <v>42722</v>
      </c>
      <c r="E9313" t="s">
        <v>499</v>
      </c>
    </row>
    <row r="9314" spans="3:5">
      <c r="C9314">
        <v>772.68</v>
      </c>
      <c r="D9314" s="17">
        <v>42258</v>
      </c>
      <c r="E9314" t="s">
        <v>239</v>
      </c>
    </row>
    <row r="9315" spans="3:5">
      <c r="C9315">
        <v>772.68</v>
      </c>
      <c r="D9315" s="17">
        <v>42707</v>
      </c>
      <c r="E9315" t="s">
        <v>239</v>
      </c>
    </row>
    <row r="9316" spans="3:5">
      <c r="C9316">
        <v>772.68000000000006</v>
      </c>
      <c r="D9316" s="17">
        <v>42861</v>
      </c>
      <c r="E9316" t="s">
        <v>239</v>
      </c>
    </row>
    <row r="9317" spans="3:5">
      <c r="C9317">
        <v>773.94</v>
      </c>
      <c r="D9317" s="17">
        <v>42345</v>
      </c>
      <c r="E9317" t="s">
        <v>325</v>
      </c>
    </row>
    <row r="9318" spans="3:5">
      <c r="C9318">
        <v>775.72800000000007</v>
      </c>
      <c r="D9318" s="17">
        <v>42146</v>
      </c>
      <c r="E9318" t="s">
        <v>289</v>
      </c>
    </row>
    <row r="9319" spans="3:5">
      <c r="C9319">
        <v>776.84999999999991</v>
      </c>
      <c r="D9319" s="17">
        <v>42805</v>
      </c>
      <c r="E9319" t="s">
        <v>347</v>
      </c>
    </row>
    <row r="9320" spans="3:5">
      <c r="C9320">
        <v>777.21</v>
      </c>
      <c r="D9320" s="17">
        <v>42325</v>
      </c>
      <c r="E9320" t="s">
        <v>1339</v>
      </c>
    </row>
    <row r="9321" spans="3:5">
      <c r="C9321">
        <v>779.79600000000005</v>
      </c>
      <c r="D9321" s="17">
        <v>41777</v>
      </c>
      <c r="E9321" t="s">
        <v>1241</v>
      </c>
    </row>
    <row r="9322" spans="3:5">
      <c r="C9322">
        <v>781.86399999999992</v>
      </c>
      <c r="D9322" s="17">
        <v>42706</v>
      </c>
      <c r="E9322" t="s">
        <v>1607</v>
      </c>
    </row>
    <row r="9323" spans="3:5">
      <c r="C9323">
        <v>782.94</v>
      </c>
      <c r="D9323" s="17">
        <v>42993</v>
      </c>
      <c r="E9323" t="s">
        <v>1198</v>
      </c>
    </row>
    <row r="9324" spans="3:5">
      <c r="C9324">
        <v>783.96</v>
      </c>
      <c r="D9324" s="17">
        <v>41946</v>
      </c>
      <c r="E9324" t="s">
        <v>431</v>
      </c>
    </row>
    <row r="9325" spans="3:5">
      <c r="C9325">
        <v>783.96000000000015</v>
      </c>
      <c r="D9325" s="17">
        <v>42111</v>
      </c>
      <c r="E9325" t="s">
        <v>681</v>
      </c>
    </row>
    <row r="9326" spans="3:5">
      <c r="C9326">
        <v>783.96000000000015</v>
      </c>
      <c r="D9326" s="17">
        <v>42668</v>
      </c>
      <c r="E9326" t="s">
        <v>431</v>
      </c>
    </row>
    <row r="9327" spans="3:5">
      <c r="C9327">
        <v>785.87999999999988</v>
      </c>
      <c r="D9327" s="17">
        <v>41891</v>
      </c>
      <c r="E9327" t="s">
        <v>1873</v>
      </c>
    </row>
    <row r="9328" spans="3:5">
      <c r="C9328">
        <v>786.48</v>
      </c>
      <c r="D9328" s="17">
        <v>42924</v>
      </c>
      <c r="E9328" t="s">
        <v>940</v>
      </c>
    </row>
    <row r="9329" spans="3:5">
      <c r="C9329">
        <v>786.74400000000003</v>
      </c>
      <c r="D9329" s="17">
        <v>42612</v>
      </c>
      <c r="E9329" t="s">
        <v>1388</v>
      </c>
    </row>
    <row r="9330" spans="3:5">
      <c r="C9330">
        <v>787.53</v>
      </c>
      <c r="D9330" s="17">
        <v>42065</v>
      </c>
      <c r="E9330" t="s">
        <v>1087</v>
      </c>
    </row>
    <row r="9331" spans="3:5">
      <c r="C9331">
        <v>791.87999999999988</v>
      </c>
      <c r="D9331" s="17">
        <v>43020</v>
      </c>
      <c r="E9331" t="s">
        <v>279</v>
      </c>
    </row>
    <row r="9332" spans="3:5">
      <c r="C9332">
        <v>791.96399999999994</v>
      </c>
      <c r="D9332" s="17">
        <v>42254</v>
      </c>
      <c r="E9332" t="s">
        <v>1835</v>
      </c>
    </row>
    <row r="9333" spans="3:5">
      <c r="C9333">
        <v>795.40800000000013</v>
      </c>
      <c r="D9333" s="17">
        <v>41912</v>
      </c>
      <c r="E9333" t="s">
        <v>1525</v>
      </c>
    </row>
    <row r="9334" spans="3:5">
      <c r="C9334">
        <v>795.48</v>
      </c>
      <c r="D9334" s="17">
        <v>42822</v>
      </c>
      <c r="E9334" t="s">
        <v>50</v>
      </c>
    </row>
    <row r="9335" spans="3:5">
      <c r="C9335">
        <v>795.51</v>
      </c>
      <c r="D9335" s="17">
        <v>42318</v>
      </c>
      <c r="E9335" t="s">
        <v>568</v>
      </c>
    </row>
    <row r="9336" spans="3:5">
      <c r="C9336">
        <v>796.42500000000007</v>
      </c>
      <c r="D9336" s="17">
        <v>42177</v>
      </c>
      <c r="E9336" t="s">
        <v>1546</v>
      </c>
    </row>
    <row r="9337" spans="3:5">
      <c r="C9337">
        <v>797.94399999999996</v>
      </c>
      <c r="D9337" s="17">
        <v>41805</v>
      </c>
      <c r="E9337" t="s">
        <v>1122</v>
      </c>
    </row>
    <row r="9338" spans="3:5">
      <c r="C9338">
        <v>797.94399999999996</v>
      </c>
      <c r="D9338" s="17">
        <v>41954</v>
      </c>
      <c r="E9338" t="s">
        <v>1122</v>
      </c>
    </row>
    <row r="9339" spans="3:5">
      <c r="C9339">
        <v>799.56000000000006</v>
      </c>
      <c r="D9339" s="17">
        <v>42728</v>
      </c>
      <c r="E9339" t="s">
        <v>1569</v>
      </c>
    </row>
    <row r="9340" spans="3:5">
      <c r="C9340">
        <v>799.92000000000007</v>
      </c>
      <c r="D9340" s="17">
        <v>41945</v>
      </c>
      <c r="E9340" t="s">
        <v>665</v>
      </c>
    </row>
    <row r="9341" spans="3:5">
      <c r="C9341">
        <v>799.96</v>
      </c>
      <c r="D9341" s="17">
        <v>42779</v>
      </c>
      <c r="E9341" t="s">
        <v>232</v>
      </c>
    </row>
    <row r="9342" spans="3:5">
      <c r="C9342">
        <v>799.98400000000004</v>
      </c>
      <c r="D9342" s="17">
        <v>42348</v>
      </c>
      <c r="E9342" t="s">
        <v>1427</v>
      </c>
    </row>
    <row r="9343" spans="3:5">
      <c r="C9343">
        <v>801.5680000000001</v>
      </c>
      <c r="D9343" s="17">
        <v>41841</v>
      </c>
      <c r="E9343" t="s">
        <v>1242</v>
      </c>
    </row>
    <row r="9344" spans="3:5">
      <c r="C9344">
        <v>801.5680000000001</v>
      </c>
      <c r="D9344" s="17">
        <v>41902</v>
      </c>
      <c r="E9344" t="s">
        <v>889</v>
      </c>
    </row>
    <row r="9345" spans="3:5">
      <c r="C9345">
        <v>801.5680000000001</v>
      </c>
      <c r="D9345" s="17">
        <v>42520</v>
      </c>
      <c r="E9345" t="s">
        <v>1242</v>
      </c>
    </row>
    <row r="9346" spans="3:5">
      <c r="C9346">
        <v>801.5680000000001</v>
      </c>
      <c r="D9346" s="17">
        <v>42631</v>
      </c>
      <c r="E9346" t="s">
        <v>1242</v>
      </c>
    </row>
    <row r="9347" spans="3:5">
      <c r="C9347">
        <v>801.59999999999991</v>
      </c>
      <c r="D9347" s="17">
        <v>42934</v>
      </c>
      <c r="E9347" t="s">
        <v>245</v>
      </c>
    </row>
    <row r="9348" spans="3:5">
      <c r="C9348">
        <v>801.96</v>
      </c>
      <c r="D9348" s="17">
        <v>42262</v>
      </c>
      <c r="E9348" t="s">
        <v>1697</v>
      </c>
    </row>
    <row r="9349" spans="3:5">
      <c r="C9349">
        <v>801.96</v>
      </c>
      <c r="D9349" s="17">
        <v>42348</v>
      </c>
      <c r="E9349" t="s">
        <v>1697</v>
      </c>
    </row>
    <row r="9350" spans="3:5">
      <c r="C9350">
        <v>806.33600000000001</v>
      </c>
      <c r="D9350" s="17">
        <v>41863</v>
      </c>
      <c r="E9350" t="s">
        <v>876</v>
      </c>
    </row>
    <row r="9351" spans="3:5">
      <c r="C9351">
        <v>807.75</v>
      </c>
      <c r="D9351" s="17">
        <v>41911</v>
      </c>
      <c r="E9351" t="s">
        <v>1068</v>
      </c>
    </row>
    <row r="9352" spans="3:5">
      <c r="C9352">
        <v>811.28</v>
      </c>
      <c r="D9352" s="17">
        <v>43055</v>
      </c>
      <c r="E9352" t="s">
        <v>1423</v>
      </c>
    </row>
    <row r="9353" spans="3:5">
      <c r="C9353">
        <v>812.73599999999999</v>
      </c>
      <c r="D9353" s="17">
        <v>42458</v>
      </c>
      <c r="E9353" t="s">
        <v>1475</v>
      </c>
    </row>
    <row r="9354" spans="3:5">
      <c r="C9354">
        <v>815.29199999999992</v>
      </c>
      <c r="D9354" s="17">
        <v>42603</v>
      </c>
      <c r="E9354" t="s">
        <v>832</v>
      </c>
    </row>
    <row r="9355" spans="3:5">
      <c r="C9355">
        <v>818.37600000000009</v>
      </c>
      <c r="D9355" s="17">
        <v>41997</v>
      </c>
      <c r="E9355" t="s">
        <v>1705</v>
      </c>
    </row>
    <row r="9356" spans="3:5">
      <c r="C9356">
        <v>821.3</v>
      </c>
      <c r="D9356" s="17">
        <v>41716</v>
      </c>
      <c r="E9356" t="s">
        <v>1893</v>
      </c>
    </row>
    <row r="9357" spans="3:5">
      <c r="C9357">
        <v>821.87999999999988</v>
      </c>
      <c r="D9357" s="17">
        <v>41889</v>
      </c>
      <c r="E9357" t="s">
        <v>507</v>
      </c>
    </row>
    <row r="9358" spans="3:5">
      <c r="C9358">
        <v>821.87999999999988</v>
      </c>
      <c r="D9358" s="17">
        <v>43058</v>
      </c>
      <c r="E9358" t="s">
        <v>507</v>
      </c>
    </row>
    <row r="9359" spans="3:5">
      <c r="C9359">
        <v>821.94</v>
      </c>
      <c r="D9359" s="17">
        <v>42271</v>
      </c>
      <c r="E9359" t="s">
        <v>1622</v>
      </c>
    </row>
    <row r="9360" spans="3:5">
      <c r="C9360">
        <v>823.96000000000015</v>
      </c>
      <c r="D9360" s="17">
        <v>42559</v>
      </c>
      <c r="E9360" t="s">
        <v>1345</v>
      </c>
    </row>
    <row r="9361" spans="3:5">
      <c r="C9361">
        <v>823.96000000000015</v>
      </c>
      <c r="D9361" s="17">
        <v>43031</v>
      </c>
      <c r="E9361" t="s">
        <v>1345</v>
      </c>
    </row>
    <row r="9362" spans="3:5">
      <c r="C9362">
        <v>824.95</v>
      </c>
      <c r="D9362" s="17">
        <v>42953</v>
      </c>
      <c r="E9362" t="s">
        <v>143</v>
      </c>
    </row>
    <row r="9363" spans="3:5">
      <c r="C9363">
        <v>824.97</v>
      </c>
      <c r="D9363" s="17">
        <v>42293</v>
      </c>
      <c r="E9363" t="s">
        <v>371</v>
      </c>
    </row>
    <row r="9364" spans="3:5">
      <c r="C9364">
        <v>825.17399999999998</v>
      </c>
      <c r="D9364" s="17">
        <v>42982</v>
      </c>
      <c r="E9364" t="s">
        <v>1138</v>
      </c>
    </row>
    <row r="9365" spans="3:5">
      <c r="C9365">
        <v>826</v>
      </c>
      <c r="D9365" s="17">
        <v>41759</v>
      </c>
      <c r="E9365" t="s">
        <v>1023</v>
      </c>
    </row>
    <row r="9366" spans="3:5">
      <c r="C9366">
        <v>826.11</v>
      </c>
      <c r="D9366" s="17">
        <v>42322</v>
      </c>
      <c r="E9366" t="s">
        <v>1653</v>
      </c>
    </row>
    <row r="9367" spans="3:5">
      <c r="C9367">
        <v>826.62000000000012</v>
      </c>
      <c r="D9367" s="17">
        <v>43048</v>
      </c>
      <c r="E9367" t="s">
        <v>1117</v>
      </c>
    </row>
    <row r="9368" spans="3:5">
      <c r="C9368">
        <v>828.59999999999991</v>
      </c>
      <c r="D9368" s="17">
        <v>43065</v>
      </c>
      <c r="E9368" t="s">
        <v>701</v>
      </c>
    </row>
    <row r="9369" spans="3:5">
      <c r="C9369">
        <v>828.83999999999992</v>
      </c>
      <c r="D9369" s="17">
        <v>41750</v>
      </c>
      <c r="E9369" t="s">
        <v>704</v>
      </c>
    </row>
    <row r="9370" spans="3:5">
      <c r="C9370">
        <v>831.2</v>
      </c>
      <c r="D9370" s="17">
        <v>42205</v>
      </c>
      <c r="E9370" t="s">
        <v>1069</v>
      </c>
    </row>
    <row r="9371" spans="3:5">
      <c r="C9371">
        <v>831.93600000000015</v>
      </c>
      <c r="D9371" s="17">
        <v>42120</v>
      </c>
      <c r="E9371" t="s">
        <v>743</v>
      </c>
    </row>
    <row r="9372" spans="3:5">
      <c r="C9372">
        <v>832.93</v>
      </c>
      <c r="D9372" s="17">
        <v>41957</v>
      </c>
      <c r="E9372" t="s">
        <v>1027</v>
      </c>
    </row>
    <row r="9373" spans="3:5">
      <c r="C9373">
        <v>833.94</v>
      </c>
      <c r="D9373" s="17">
        <v>41963</v>
      </c>
      <c r="E9373" t="s">
        <v>267</v>
      </c>
    </row>
    <row r="9374" spans="3:5">
      <c r="C9374">
        <v>835.17000000000007</v>
      </c>
      <c r="D9374" s="17">
        <v>42544</v>
      </c>
      <c r="E9374" t="s">
        <v>548</v>
      </c>
    </row>
    <row r="9375" spans="3:5">
      <c r="C9375">
        <v>836.59199999999998</v>
      </c>
      <c r="D9375" s="17">
        <v>42430</v>
      </c>
      <c r="E9375" t="s">
        <v>400</v>
      </c>
    </row>
    <row r="9376" spans="3:5">
      <c r="C9376">
        <v>837.59999999999991</v>
      </c>
      <c r="D9376" s="17">
        <v>42605</v>
      </c>
      <c r="E9376" t="s">
        <v>1672</v>
      </c>
    </row>
    <row r="9377" spans="3:5">
      <c r="C9377">
        <v>837.59999999999991</v>
      </c>
      <c r="D9377" s="17">
        <v>42650</v>
      </c>
      <c r="E9377" t="s">
        <v>1672</v>
      </c>
    </row>
    <row r="9378" spans="3:5">
      <c r="C9378">
        <v>838.38</v>
      </c>
      <c r="D9378" s="17">
        <v>41853</v>
      </c>
      <c r="E9378" t="s">
        <v>1758</v>
      </c>
    </row>
    <row r="9379" spans="3:5">
      <c r="C9379">
        <v>839.43000000000006</v>
      </c>
      <c r="D9379" s="17">
        <v>43091</v>
      </c>
      <c r="E9379" t="s">
        <v>1062</v>
      </c>
    </row>
    <row r="9380" spans="3:5">
      <c r="C9380">
        <v>839.98799999999994</v>
      </c>
      <c r="D9380" s="17">
        <v>42520</v>
      </c>
      <c r="E9380" t="s">
        <v>657</v>
      </c>
    </row>
    <row r="9381" spans="3:5">
      <c r="C9381">
        <v>841.5680000000001</v>
      </c>
      <c r="D9381" s="17">
        <v>42628</v>
      </c>
      <c r="E9381" t="s">
        <v>1100</v>
      </c>
    </row>
    <row r="9382" spans="3:5">
      <c r="C9382">
        <v>841.5680000000001</v>
      </c>
      <c r="D9382" s="17">
        <v>42974</v>
      </c>
      <c r="E9382" t="s">
        <v>1100</v>
      </c>
    </row>
    <row r="9383" spans="3:5">
      <c r="C9383">
        <v>842.35200000000009</v>
      </c>
      <c r="D9383" s="17">
        <v>42300</v>
      </c>
      <c r="E9383" t="s">
        <v>1462</v>
      </c>
    </row>
    <row r="9384" spans="3:5">
      <c r="C9384">
        <v>842.37600000000009</v>
      </c>
      <c r="D9384" s="17">
        <v>43093</v>
      </c>
      <c r="E9384" t="s">
        <v>826</v>
      </c>
    </row>
    <row r="9385" spans="3:5">
      <c r="C9385">
        <v>842.72</v>
      </c>
      <c r="D9385" s="17">
        <v>42726</v>
      </c>
      <c r="E9385" t="s">
        <v>1347</v>
      </c>
    </row>
    <row r="9386" spans="3:5">
      <c r="C9386">
        <v>842.94</v>
      </c>
      <c r="D9386" s="17">
        <v>42677</v>
      </c>
      <c r="E9386" t="s">
        <v>1641</v>
      </c>
    </row>
    <row r="9387" spans="3:5">
      <c r="C9387">
        <v>843.9</v>
      </c>
      <c r="D9387" s="17">
        <v>42363</v>
      </c>
      <c r="E9387" t="s">
        <v>926</v>
      </c>
    </row>
    <row r="9388" spans="3:5">
      <c r="C9388">
        <v>843.9</v>
      </c>
      <c r="D9388" s="17">
        <v>42965</v>
      </c>
      <c r="E9388" t="s">
        <v>926</v>
      </c>
    </row>
    <row r="9389" spans="3:5">
      <c r="C9389">
        <v>844.11599999999987</v>
      </c>
      <c r="D9389" s="17">
        <v>42127</v>
      </c>
      <c r="E9389" t="s">
        <v>1420</v>
      </c>
    </row>
    <row r="9390" spans="3:5">
      <c r="C9390">
        <v>844.11599999999987</v>
      </c>
      <c r="D9390" s="17">
        <v>42458</v>
      </c>
      <c r="E9390" t="s">
        <v>1420</v>
      </c>
    </row>
    <row r="9391" spans="3:5">
      <c r="C9391">
        <v>845.48799999999994</v>
      </c>
      <c r="D9391" s="17">
        <v>42731</v>
      </c>
      <c r="E9391" t="s">
        <v>1563</v>
      </c>
    </row>
    <row r="9392" spans="3:5">
      <c r="C9392">
        <v>845.72799999999995</v>
      </c>
      <c r="D9392" s="17">
        <v>42149</v>
      </c>
      <c r="E9392" t="s">
        <v>1182</v>
      </c>
    </row>
    <row r="9393" spans="3:5">
      <c r="C9393">
        <v>848.5440000000001</v>
      </c>
      <c r="D9393" s="17">
        <v>42845</v>
      </c>
      <c r="E9393" t="s">
        <v>568</v>
      </c>
    </row>
    <row r="9394" spans="3:5">
      <c r="C9394">
        <v>849.95</v>
      </c>
      <c r="D9394" s="17">
        <v>42947</v>
      </c>
      <c r="E9394" t="s">
        <v>917</v>
      </c>
    </row>
    <row r="9395" spans="3:5">
      <c r="C9395">
        <v>850.5</v>
      </c>
      <c r="D9395" s="17">
        <v>42147</v>
      </c>
      <c r="E9395" t="s">
        <v>1516</v>
      </c>
    </row>
    <row r="9396" spans="3:5">
      <c r="C9396">
        <v>853.09199999999987</v>
      </c>
      <c r="D9396" s="17">
        <v>41867</v>
      </c>
      <c r="E9396" t="s">
        <v>1079</v>
      </c>
    </row>
    <row r="9397" spans="3:5">
      <c r="C9397">
        <v>853.92999999999984</v>
      </c>
      <c r="D9397" s="17">
        <v>41812</v>
      </c>
      <c r="E9397" t="s">
        <v>880</v>
      </c>
    </row>
    <row r="9398" spans="3:5">
      <c r="C9398">
        <v>853.92999999999984</v>
      </c>
      <c r="D9398" s="17">
        <v>43064</v>
      </c>
      <c r="E9398" t="s">
        <v>1461</v>
      </c>
    </row>
    <row r="9399" spans="3:5">
      <c r="C9399">
        <v>854.35200000000009</v>
      </c>
      <c r="D9399" s="17">
        <v>42569</v>
      </c>
      <c r="E9399" t="s">
        <v>1049</v>
      </c>
    </row>
    <row r="9400" spans="3:5">
      <c r="C9400">
        <v>854.94</v>
      </c>
      <c r="D9400" s="17">
        <v>41831</v>
      </c>
      <c r="E9400" t="s">
        <v>1122</v>
      </c>
    </row>
    <row r="9401" spans="3:5">
      <c r="C9401">
        <v>856.65600000000006</v>
      </c>
      <c r="D9401" s="17">
        <v>42499</v>
      </c>
      <c r="E9401" t="s">
        <v>207</v>
      </c>
    </row>
    <row r="9402" spans="3:5">
      <c r="C9402">
        <v>858.24</v>
      </c>
      <c r="D9402" s="17">
        <v>42898</v>
      </c>
      <c r="E9402" t="s">
        <v>652</v>
      </c>
    </row>
    <row r="9403" spans="3:5">
      <c r="C9403">
        <v>859.19999999999993</v>
      </c>
      <c r="D9403" s="17">
        <v>43041</v>
      </c>
      <c r="E9403" t="s">
        <v>117</v>
      </c>
    </row>
    <row r="9404" spans="3:5">
      <c r="C9404">
        <v>859.2</v>
      </c>
      <c r="D9404" s="17">
        <v>42642</v>
      </c>
      <c r="E9404" t="s">
        <v>117</v>
      </c>
    </row>
    <row r="9405" spans="3:5">
      <c r="C9405">
        <v>859.2</v>
      </c>
      <c r="D9405" s="17">
        <v>43002</v>
      </c>
      <c r="E9405" t="s">
        <v>117</v>
      </c>
    </row>
    <row r="9406" spans="3:5">
      <c r="C9406">
        <v>860.93</v>
      </c>
      <c r="D9406" s="17">
        <v>42071</v>
      </c>
      <c r="E9406" t="s">
        <v>966</v>
      </c>
    </row>
    <row r="9407" spans="3:5">
      <c r="C9407">
        <v>861.76</v>
      </c>
      <c r="D9407" s="17">
        <v>42327</v>
      </c>
      <c r="E9407" t="s">
        <v>711</v>
      </c>
    </row>
    <row r="9408" spans="3:5">
      <c r="C9408">
        <v>862.34400000000005</v>
      </c>
      <c r="D9408" s="17">
        <v>42544</v>
      </c>
      <c r="E9408" t="s">
        <v>716</v>
      </c>
    </row>
    <row r="9409" spans="3:5">
      <c r="C9409">
        <v>863.12799999999993</v>
      </c>
      <c r="D9409" s="17">
        <v>42679</v>
      </c>
      <c r="E9409" t="s">
        <v>1648</v>
      </c>
    </row>
    <row r="9410" spans="3:5">
      <c r="C9410">
        <v>863.12800000000004</v>
      </c>
      <c r="D9410" s="17">
        <v>42582</v>
      </c>
      <c r="E9410" t="s">
        <v>1648</v>
      </c>
    </row>
    <row r="9411" spans="3:5">
      <c r="C9411">
        <v>863.6400000000001</v>
      </c>
      <c r="D9411" s="17">
        <v>42559</v>
      </c>
      <c r="E9411" t="s">
        <v>493</v>
      </c>
    </row>
    <row r="9412" spans="3:5">
      <c r="C9412">
        <v>863.87999999999988</v>
      </c>
      <c r="D9412" s="17">
        <v>43031</v>
      </c>
      <c r="E9412" t="s">
        <v>1192</v>
      </c>
    </row>
    <row r="9413" spans="3:5">
      <c r="C9413">
        <v>863.928</v>
      </c>
      <c r="D9413" s="17">
        <v>42705</v>
      </c>
      <c r="E9413" t="s">
        <v>727</v>
      </c>
    </row>
    <row r="9414" spans="3:5">
      <c r="C9414">
        <v>866.4</v>
      </c>
      <c r="D9414" s="17">
        <v>42403</v>
      </c>
      <c r="E9414" t="s">
        <v>853</v>
      </c>
    </row>
    <row r="9415" spans="3:5">
      <c r="C9415">
        <v>866.4</v>
      </c>
      <c r="D9415" s="17">
        <v>42968</v>
      </c>
      <c r="E9415" t="s">
        <v>853</v>
      </c>
    </row>
    <row r="9416" spans="3:5">
      <c r="C9416">
        <v>866.64599999999996</v>
      </c>
      <c r="D9416" s="17">
        <v>42729</v>
      </c>
      <c r="E9416" t="s">
        <v>785</v>
      </c>
    </row>
    <row r="9417" spans="3:5">
      <c r="C9417">
        <v>868.58999999999992</v>
      </c>
      <c r="D9417" s="17">
        <v>42658</v>
      </c>
      <c r="E9417" t="s">
        <v>1406</v>
      </c>
    </row>
    <row r="9418" spans="3:5">
      <c r="C9418">
        <v>871.4</v>
      </c>
      <c r="D9418" s="17">
        <v>42911</v>
      </c>
      <c r="E9418" t="s">
        <v>814</v>
      </c>
    </row>
    <row r="9419" spans="3:5">
      <c r="C9419">
        <v>871.80000000000007</v>
      </c>
      <c r="D9419" s="17">
        <v>42447</v>
      </c>
      <c r="E9419" t="s">
        <v>1512</v>
      </c>
    </row>
    <row r="9420" spans="3:5">
      <c r="C9420">
        <v>872.32</v>
      </c>
      <c r="D9420" s="17">
        <v>41766</v>
      </c>
      <c r="E9420" t="s">
        <v>435</v>
      </c>
    </row>
    <row r="9421" spans="3:5">
      <c r="C9421">
        <v>872.32</v>
      </c>
      <c r="D9421" s="17">
        <v>42632</v>
      </c>
      <c r="E9421" t="s">
        <v>435</v>
      </c>
    </row>
    <row r="9422" spans="3:5">
      <c r="C9422">
        <v>872.94</v>
      </c>
      <c r="D9422" s="17">
        <v>42931</v>
      </c>
      <c r="E9422" t="s">
        <v>969</v>
      </c>
    </row>
    <row r="9423" spans="3:5">
      <c r="C9423">
        <v>872.94</v>
      </c>
      <c r="D9423" s="17">
        <v>43078</v>
      </c>
      <c r="E9423" t="s">
        <v>849</v>
      </c>
    </row>
    <row r="9424" spans="3:5">
      <c r="C9424">
        <v>876.30000000000007</v>
      </c>
      <c r="D9424" s="17">
        <v>42678</v>
      </c>
      <c r="E9424" t="s">
        <v>452</v>
      </c>
    </row>
    <row r="9425" spans="3:5">
      <c r="C9425">
        <v>879.98400000000004</v>
      </c>
      <c r="D9425" s="17">
        <v>42261</v>
      </c>
      <c r="E9425" t="s">
        <v>1097</v>
      </c>
    </row>
    <row r="9426" spans="3:5">
      <c r="C9426">
        <v>879.98400000000004</v>
      </c>
      <c r="D9426" s="17">
        <v>42974</v>
      </c>
      <c r="E9426" t="s">
        <v>1097</v>
      </c>
    </row>
    <row r="9427" spans="3:5">
      <c r="C9427">
        <v>881.93</v>
      </c>
      <c r="D9427" s="17">
        <v>41791</v>
      </c>
      <c r="E9427" t="s">
        <v>1398</v>
      </c>
    </row>
    <row r="9428" spans="3:5">
      <c r="C9428">
        <v>881.93</v>
      </c>
      <c r="D9428" s="17">
        <v>42684</v>
      </c>
      <c r="E9428" t="s">
        <v>876</v>
      </c>
    </row>
    <row r="9429" spans="3:5">
      <c r="C9429">
        <v>883.84</v>
      </c>
      <c r="D9429" s="17">
        <v>42322</v>
      </c>
      <c r="E9429" t="s">
        <v>701</v>
      </c>
    </row>
    <row r="9430" spans="3:5">
      <c r="C9430">
        <v>883.84</v>
      </c>
      <c r="D9430" s="17">
        <v>42362</v>
      </c>
      <c r="E9430" t="s">
        <v>701</v>
      </c>
    </row>
    <row r="9431" spans="3:5">
      <c r="C9431">
        <v>883.92</v>
      </c>
      <c r="D9431" s="17">
        <v>41975</v>
      </c>
      <c r="E9431" t="s">
        <v>1741</v>
      </c>
    </row>
    <row r="9432" spans="3:5">
      <c r="C9432">
        <v>885.52800000000002</v>
      </c>
      <c r="D9432" s="17">
        <v>42631</v>
      </c>
      <c r="E9432" t="s">
        <v>281</v>
      </c>
    </row>
    <row r="9433" spans="3:5">
      <c r="C9433">
        <v>887.10299999999995</v>
      </c>
      <c r="D9433" s="17">
        <v>41901</v>
      </c>
      <c r="E9433" t="s">
        <v>996</v>
      </c>
    </row>
    <row r="9434" spans="3:5">
      <c r="C9434">
        <v>887.27099999999984</v>
      </c>
      <c r="D9434" s="17">
        <v>42618</v>
      </c>
      <c r="E9434" t="s">
        <v>119</v>
      </c>
    </row>
    <row r="9435" spans="3:5">
      <c r="C9435">
        <v>887.27099999999984</v>
      </c>
      <c r="D9435" s="17">
        <v>42754</v>
      </c>
      <c r="E9435" t="s">
        <v>119</v>
      </c>
    </row>
    <row r="9436" spans="3:5">
      <c r="C9436">
        <v>887.84</v>
      </c>
      <c r="D9436" s="17">
        <v>42268</v>
      </c>
      <c r="E9436" t="s">
        <v>1693</v>
      </c>
    </row>
    <row r="9437" spans="3:5">
      <c r="C9437">
        <v>889.53600000000006</v>
      </c>
      <c r="D9437" s="17">
        <v>42792</v>
      </c>
      <c r="E9437" t="s">
        <v>267</v>
      </c>
    </row>
    <row r="9438" spans="3:5">
      <c r="C9438">
        <v>890.84099999999989</v>
      </c>
      <c r="D9438" s="17">
        <v>41727</v>
      </c>
      <c r="E9438" t="s">
        <v>617</v>
      </c>
    </row>
    <row r="9439" spans="3:5">
      <c r="C9439">
        <v>892.13600000000008</v>
      </c>
      <c r="D9439" s="17">
        <v>42715</v>
      </c>
      <c r="E9439" t="s">
        <v>1586</v>
      </c>
    </row>
    <row r="9440" spans="3:5">
      <c r="C9440">
        <v>892.22400000000005</v>
      </c>
      <c r="D9440" s="17">
        <v>42099</v>
      </c>
      <c r="E9440" t="s">
        <v>284</v>
      </c>
    </row>
    <row r="9441" spans="3:5">
      <c r="C9441">
        <v>892.22400000000005</v>
      </c>
      <c r="D9441" s="17">
        <v>42792</v>
      </c>
      <c r="E9441" t="s">
        <v>284</v>
      </c>
    </row>
    <row r="9442" spans="3:5">
      <c r="C9442">
        <v>892.35</v>
      </c>
      <c r="D9442" s="17">
        <v>42244</v>
      </c>
      <c r="E9442" t="s">
        <v>207</v>
      </c>
    </row>
    <row r="9443" spans="3:5">
      <c r="C9443">
        <v>892.98</v>
      </c>
      <c r="D9443" s="17">
        <v>42743</v>
      </c>
      <c r="E9443" t="s">
        <v>75</v>
      </c>
    </row>
    <row r="9444" spans="3:5">
      <c r="C9444">
        <v>895.92</v>
      </c>
      <c r="D9444" s="17">
        <v>42805</v>
      </c>
      <c r="E9444" t="s">
        <v>346</v>
      </c>
    </row>
    <row r="9445" spans="3:5">
      <c r="C9445">
        <v>895.92</v>
      </c>
      <c r="D9445" s="17">
        <v>42838</v>
      </c>
      <c r="E9445" t="s">
        <v>346</v>
      </c>
    </row>
    <row r="9446" spans="3:5">
      <c r="C9446">
        <v>895.92</v>
      </c>
      <c r="D9446" s="17">
        <v>42915</v>
      </c>
      <c r="E9446" t="s">
        <v>346</v>
      </c>
    </row>
    <row r="9447" spans="3:5">
      <c r="C9447">
        <v>895.92</v>
      </c>
      <c r="D9447" s="17">
        <v>42964</v>
      </c>
      <c r="E9447" t="s">
        <v>346</v>
      </c>
    </row>
    <row r="9448" spans="3:5">
      <c r="C9448">
        <v>895.94400000000019</v>
      </c>
      <c r="D9448" s="17">
        <v>42992</v>
      </c>
      <c r="E9448" t="s">
        <v>1194</v>
      </c>
    </row>
    <row r="9449" spans="3:5">
      <c r="C9449">
        <v>896.32799999999997</v>
      </c>
      <c r="D9449" s="17">
        <v>43078</v>
      </c>
      <c r="E9449" t="s">
        <v>627</v>
      </c>
    </row>
    <row r="9450" spans="3:5">
      <c r="C9450">
        <v>896.98999999999978</v>
      </c>
      <c r="D9450" s="17">
        <v>41954</v>
      </c>
      <c r="E9450" t="s">
        <v>502</v>
      </c>
    </row>
    <row r="9451" spans="3:5">
      <c r="C9451">
        <v>896.99</v>
      </c>
      <c r="D9451" s="17">
        <v>41871</v>
      </c>
      <c r="E9451" t="s">
        <v>502</v>
      </c>
    </row>
    <row r="9452" spans="3:5">
      <c r="C9452">
        <v>897.15000000000009</v>
      </c>
      <c r="D9452" s="17">
        <v>43070</v>
      </c>
      <c r="E9452" t="s">
        <v>930</v>
      </c>
    </row>
    <row r="9453" spans="3:5">
      <c r="C9453">
        <v>899.13600000000008</v>
      </c>
      <c r="D9453" s="17">
        <v>42289</v>
      </c>
      <c r="E9453" t="s">
        <v>977</v>
      </c>
    </row>
    <row r="9454" spans="3:5">
      <c r="C9454">
        <v>899.13600000000008</v>
      </c>
      <c r="D9454" s="17">
        <v>43049</v>
      </c>
      <c r="E9454" t="s">
        <v>1388</v>
      </c>
    </row>
    <row r="9455" spans="3:5">
      <c r="C9455">
        <v>899.43</v>
      </c>
      <c r="D9455" s="17">
        <v>42783</v>
      </c>
      <c r="E9455" t="s">
        <v>256</v>
      </c>
    </row>
    <row r="9456" spans="3:5">
      <c r="C9456">
        <v>899.43</v>
      </c>
      <c r="D9456" s="17">
        <v>42869</v>
      </c>
      <c r="E9456" t="s">
        <v>256</v>
      </c>
    </row>
    <row r="9457" spans="3:5">
      <c r="C9457">
        <v>899.91</v>
      </c>
      <c r="D9457" s="17">
        <v>42272</v>
      </c>
      <c r="E9457" t="s">
        <v>665</v>
      </c>
    </row>
    <row r="9458" spans="3:5">
      <c r="C9458">
        <v>899.91</v>
      </c>
      <c r="D9458" s="17">
        <v>42353</v>
      </c>
      <c r="E9458" t="s">
        <v>317</v>
      </c>
    </row>
    <row r="9459" spans="3:5">
      <c r="C9459">
        <v>899.95</v>
      </c>
      <c r="D9459" s="17">
        <v>42317</v>
      </c>
      <c r="E9459" t="s">
        <v>1659</v>
      </c>
    </row>
    <row r="9460" spans="3:5">
      <c r="C9460">
        <v>899.97</v>
      </c>
      <c r="D9460" s="17">
        <v>42168</v>
      </c>
      <c r="E9460" t="s">
        <v>975</v>
      </c>
    </row>
    <row r="9461" spans="3:5">
      <c r="C9461">
        <v>899.98199999999997</v>
      </c>
      <c r="D9461" s="17">
        <v>43055</v>
      </c>
      <c r="E9461" t="s">
        <v>1427</v>
      </c>
    </row>
    <row r="9462" spans="3:5">
      <c r="C9462">
        <v>900.08</v>
      </c>
      <c r="D9462" s="17">
        <v>42631</v>
      </c>
      <c r="E9462" t="s">
        <v>579</v>
      </c>
    </row>
    <row r="9463" spans="3:5">
      <c r="C9463">
        <v>900.08</v>
      </c>
      <c r="D9463" s="17">
        <v>42722</v>
      </c>
      <c r="E9463" t="s">
        <v>579</v>
      </c>
    </row>
    <row r="9464" spans="3:5">
      <c r="C9464">
        <v>901.94999999999993</v>
      </c>
      <c r="D9464" s="17">
        <v>42446</v>
      </c>
      <c r="E9464" t="s">
        <v>104</v>
      </c>
    </row>
    <row r="9465" spans="3:5">
      <c r="C9465">
        <v>901.94999999999993</v>
      </c>
      <c r="D9465" s="17">
        <v>42705</v>
      </c>
      <c r="E9465" t="s">
        <v>104</v>
      </c>
    </row>
    <row r="9466" spans="3:5">
      <c r="C9466">
        <v>902.71199999999999</v>
      </c>
      <c r="D9466" s="17">
        <v>42532</v>
      </c>
      <c r="E9466" t="s">
        <v>498</v>
      </c>
    </row>
    <row r="9467" spans="3:5">
      <c r="C9467">
        <v>902.71199999999999</v>
      </c>
      <c r="D9467" s="17">
        <v>42730</v>
      </c>
      <c r="E9467" t="s">
        <v>498</v>
      </c>
    </row>
    <row r="9468" spans="3:5">
      <c r="C9468">
        <v>904.9</v>
      </c>
      <c r="D9468" s="17">
        <v>43021</v>
      </c>
      <c r="E9468" t="s">
        <v>123</v>
      </c>
    </row>
    <row r="9469" spans="3:5">
      <c r="C9469">
        <v>906.68000000000006</v>
      </c>
      <c r="D9469" s="17">
        <v>43071</v>
      </c>
      <c r="E9469" t="s">
        <v>1486</v>
      </c>
    </row>
    <row r="9470" spans="3:5">
      <c r="C9470">
        <v>907.15200000000004</v>
      </c>
      <c r="D9470" s="17">
        <v>41799</v>
      </c>
      <c r="E9470" t="s">
        <v>197</v>
      </c>
    </row>
    <row r="9471" spans="3:5">
      <c r="C9471">
        <v>908.82</v>
      </c>
      <c r="D9471" s="17">
        <v>42846</v>
      </c>
      <c r="E9471" t="s">
        <v>575</v>
      </c>
    </row>
    <row r="9472" spans="3:5">
      <c r="C9472">
        <v>909.12</v>
      </c>
      <c r="D9472" s="17">
        <v>43029</v>
      </c>
      <c r="E9472" t="s">
        <v>50</v>
      </c>
    </row>
    <row r="9473" spans="3:5">
      <c r="C9473">
        <v>909.7199999999998</v>
      </c>
      <c r="D9473" s="17">
        <v>41974</v>
      </c>
      <c r="E9473" t="s">
        <v>853</v>
      </c>
    </row>
    <row r="9474" spans="3:5">
      <c r="C9474">
        <v>911.42399999999998</v>
      </c>
      <c r="D9474" s="17">
        <v>41799</v>
      </c>
      <c r="E9474" t="s">
        <v>1155</v>
      </c>
    </row>
    <row r="9475" spans="3:5">
      <c r="C9475">
        <v>911.98400000000004</v>
      </c>
      <c r="D9475" s="17">
        <v>41846</v>
      </c>
      <c r="E9475" t="s">
        <v>934</v>
      </c>
    </row>
    <row r="9476" spans="3:5">
      <c r="C9476">
        <v>912.75</v>
      </c>
      <c r="D9476" s="17">
        <v>42261</v>
      </c>
      <c r="E9476" t="s">
        <v>1330</v>
      </c>
    </row>
    <row r="9477" spans="3:5">
      <c r="C9477">
        <v>913.43000000000006</v>
      </c>
      <c r="D9477" s="17">
        <v>42205</v>
      </c>
      <c r="E9477" t="s">
        <v>1198</v>
      </c>
    </row>
    <row r="9478" spans="3:5">
      <c r="C9478">
        <v>913.43000000000006</v>
      </c>
      <c r="D9478" s="17">
        <v>42737</v>
      </c>
      <c r="E9478" t="s">
        <v>62</v>
      </c>
    </row>
    <row r="9479" spans="3:5">
      <c r="C9479">
        <v>914.97</v>
      </c>
      <c r="D9479" s="17">
        <v>42868</v>
      </c>
      <c r="E9479" t="s">
        <v>76</v>
      </c>
    </row>
    <row r="9480" spans="3:5">
      <c r="C9480">
        <v>915.13600000000008</v>
      </c>
      <c r="D9480" s="17">
        <v>42076</v>
      </c>
      <c r="E9480" t="s">
        <v>242</v>
      </c>
    </row>
    <row r="9481" spans="3:5">
      <c r="C9481">
        <v>915.13600000000008</v>
      </c>
      <c r="D9481" s="17">
        <v>42646</v>
      </c>
      <c r="E9481" t="s">
        <v>242</v>
      </c>
    </row>
    <row r="9482" spans="3:5">
      <c r="C9482">
        <v>917.92349999999988</v>
      </c>
      <c r="D9482" s="17">
        <v>42904</v>
      </c>
      <c r="E9482" t="s">
        <v>216</v>
      </c>
    </row>
    <row r="9483" spans="3:5">
      <c r="C9483">
        <v>918.78499999999985</v>
      </c>
      <c r="D9483" s="17">
        <v>42240</v>
      </c>
      <c r="E9483" t="s">
        <v>1087</v>
      </c>
    </row>
    <row r="9484" spans="3:5">
      <c r="C9484">
        <v>931.17600000000016</v>
      </c>
      <c r="D9484" s="17">
        <v>43004</v>
      </c>
      <c r="E9484" t="s">
        <v>1070</v>
      </c>
    </row>
    <row r="9485" spans="3:5">
      <c r="C9485">
        <v>931.17600000000016</v>
      </c>
      <c r="D9485" s="17">
        <v>43049</v>
      </c>
      <c r="E9485" t="s">
        <v>1070</v>
      </c>
    </row>
    <row r="9486" spans="3:5">
      <c r="C9486">
        <v>933.26200000000006</v>
      </c>
      <c r="D9486" s="17">
        <v>42856</v>
      </c>
      <c r="E9486" t="s">
        <v>617</v>
      </c>
    </row>
    <row r="9487" spans="3:5">
      <c r="C9487">
        <v>933.40800000000002</v>
      </c>
      <c r="D9487" s="17">
        <v>42804</v>
      </c>
      <c r="E9487" t="s">
        <v>345</v>
      </c>
    </row>
    <row r="9488" spans="3:5">
      <c r="C9488">
        <v>933.53600000000006</v>
      </c>
      <c r="D9488" s="17">
        <v>42474</v>
      </c>
      <c r="E9488" t="s">
        <v>650</v>
      </c>
    </row>
    <row r="9489" spans="3:5">
      <c r="C9489">
        <v>934.9559999999999</v>
      </c>
      <c r="D9489" s="17">
        <v>43091</v>
      </c>
      <c r="E9489" t="s">
        <v>1538</v>
      </c>
    </row>
    <row r="9490" spans="3:5">
      <c r="C9490">
        <v>942.78400000000011</v>
      </c>
      <c r="D9490" s="17">
        <v>42992</v>
      </c>
      <c r="E9490" t="s">
        <v>1045</v>
      </c>
    </row>
    <row r="9491" spans="3:5">
      <c r="C9491">
        <v>944.93000000000006</v>
      </c>
      <c r="D9491" s="17">
        <v>42694</v>
      </c>
      <c r="E9491" t="s">
        <v>972</v>
      </c>
    </row>
    <row r="9492" spans="3:5">
      <c r="C9492">
        <v>945.03600000000006</v>
      </c>
      <c r="D9492" s="17">
        <v>41946</v>
      </c>
      <c r="E9492" t="s">
        <v>1087</v>
      </c>
    </row>
    <row r="9493" spans="3:5">
      <c r="C9493">
        <v>946.34400000000005</v>
      </c>
      <c r="D9493" s="17">
        <v>42128</v>
      </c>
      <c r="E9493" t="s">
        <v>1795</v>
      </c>
    </row>
    <row r="9494" spans="3:5">
      <c r="C9494">
        <v>946.34400000000005</v>
      </c>
      <c r="D9494" s="17">
        <v>42268</v>
      </c>
      <c r="E9494" t="s">
        <v>1795</v>
      </c>
    </row>
    <row r="9495" spans="3:5">
      <c r="C9495">
        <v>946.76400000000024</v>
      </c>
      <c r="D9495" s="17">
        <v>42000</v>
      </c>
      <c r="E9495" t="s">
        <v>1100</v>
      </c>
    </row>
    <row r="9496" spans="3:5">
      <c r="C9496">
        <v>947.17000000000007</v>
      </c>
      <c r="D9496" s="17">
        <v>42112</v>
      </c>
      <c r="E9496" t="s">
        <v>784</v>
      </c>
    </row>
    <row r="9497" spans="3:5">
      <c r="C9497">
        <v>956.6647999999999</v>
      </c>
      <c r="D9497" s="17">
        <v>42640</v>
      </c>
      <c r="E9497" t="s">
        <v>910</v>
      </c>
    </row>
    <row r="9498" spans="3:5">
      <c r="C9498">
        <v>956.6647999999999</v>
      </c>
      <c r="D9498" s="17">
        <v>42679</v>
      </c>
      <c r="E9498" t="s">
        <v>910</v>
      </c>
    </row>
    <row r="9499" spans="3:5">
      <c r="C9499">
        <v>957.57749999999999</v>
      </c>
      <c r="D9499" s="17">
        <v>42288</v>
      </c>
      <c r="E9499" t="s">
        <v>911</v>
      </c>
    </row>
    <row r="9500" spans="3:5">
      <c r="C9500">
        <v>959.96800000000007</v>
      </c>
      <c r="D9500" s="17">
        <v>42373</v>
      </c>
      <c r="E9500" t="s">
        <v>336</v>
      </c>
    </row>
    <row r="9501" spans="3:5">
      <c r="C9501">
        <v>959.98400000000004</v>
      </c>
      <c r="D9501" s="17">
        <v>42248</v>
      </c>
      <c r="E9501" t="s">
        <v>362</v>
      </c>
    </row>
    <row r="9502" spans="3:5">
      <c r="C9502">
        <v>959.98400000000004</v>
      </c>
      <c r="D9502" s="17">
        <v>42807</v>
      </c>
      <c r="E9502" t="s">
        <v>362</v>
      </c>
    </row>
    <row r="9503" spans="3:5">
      <c r="C9503">
        <v>959.98400000000004</v>
      </c>
      <c r="D9503" s="17">
        <v>43042</v>
      </c>
      <c r="E9503" t="s">
        <v>145</v>
      </c>
    </row>
    <row r="9504" spans="3:5">
      <c r="C9504">
        <v>961.48000000000013</v>
      </c>
      <c r="D9504" s="17">
        <v>42722</v>
      </c>
      <c r="E9504" t="s">
        <v>494</v>
      </c>
    </row>
    <row r="9505" spans="3:5">
      <c r="C9505">
        <v>962.07999999999993</v>
      </c>
      <c r="D9505" s="17">
        <v>42084</v>
      </c>
      <c r="E9505" t="s">
        <v>104</v>
      </c>
    </row>
    <row r="9506" spans="3:5">
      <c r="C9506">
        <v>963.13600000000008</v>
      </c>
      <c r="D9506" s="17">
        <v>42777</v>
      </c>
      <c r="E9506" t="s">
        <v>228</v>
      </c>
    </row>
    <row r="9507" spans="3:5">
      <c r="C9507">
        <v>965.84999999999991</v>
      </c>
      <c r="D9507" s="17">
        <v>42573</v>
      </c>
      <c r="E9507" t="s">
        <v>239</v>
      </c>
    </row>
    <row r="9508" spans="3:5">
      <c r="C9508">
        <v>966.69999999999982</v>
      </c>
      <c r="D9508" s="17">
        <v>41890</v>
      </c>
      <c r="E9508" t="s">
        <v>701</v>
      </c>
    </row>
    <row r="9509" spans="3:5">
      <c r="C9509">
        <v>968.74400000000014</v>
      </c>
      <c r="D9509" s="17">
        <v>42710</v>
      </c>
      <c r="E9509" t="s">
        <v>159</v>
      </c>
    </row>
    <row r="9510" spans="3:5">
      <c r="C9510">
        <v>971.5</v>
      </c>
      <c r="D9510" s="17">
        <v>42446</v>
      </c>
      <c r="E9510" t="s">
        <v>1518</v>
      </c>
    </row>
    <row r="9511" spans="3:5">
      <c r="C9511">
        <v>971.88000000000011</v>
      </c>
      <c r="D9511" s="17">
        <v>42181</v>
      </c>
      <c r="E9511" t="s">
        <v>1805</v>
      </c>
    </row>
    <row r="9512" spans="3:5">
      <c r="C9512">
        <v>974.98799999999983</v>
      </c>
      <c r="D9512" s="17">
        <v>43083</v>
      </c>
      <c r="E9512" t="s">
        <v>911</v>
      </c>
    </row>
    <row r="9513" spans="3:5">
      <c r="C9513">
        <v>975.92</v>
      </c>
      <c r="D9513" s="17">
        <v>41890</v>
      </c>
      <c r="E9513" t="s">
        <v>880</v>
      </c>
    </row>
    <row r="9514" spans="3:5">
      <c r="C9514">
        <v>975.92</v>
      </c>
      <c r="D9514" s="17">
        <v>43041</v>
      </c>
      <c r="E9514" t="s">
        <v>880</v>
      </c>
    </row>
    <row r="9515" spans="3:5">
      <c r="C9515">
        <v>977.29200000000003</v>
      </c>
      <c r="D9515" s="17">
        <v>43063</v>
      </c>
      <c r="E9515" t="s">
        <v>302</v>
      </c>
    </row>
    <row r="9516" spans="3:5">
      <c r="C9516">
        <v>978.83999999999992</v>
      </c>
      <c r="D9516" s="17">
        <v>41944</v>
      </c>
      <c r="E9516" t="s">
        <v>1738</v>
      </c>
    </row>
    <row r="9517" spans="3:5">
      <c r="C9517">
        <v>979.95</v>
      </c>
      <c r="D9517" s="17">
        <v>42225</v>
      </c>
      <c r="E9517" t="s">
        <v>431</v>
      </c>
    </row>
    <row r="9518" spans="3:5">
      <c r="C9518">
        <v>979.95</v>
      </c>
      <c r="D9518" s="17">
        <v>42519</v>
      </c>
      <c r="E9518" t="s">
        <v>431</v>
      </c>
    </row>
    <row r="9519" spans="3:5">
      <c r="C9519">
        <v>979.95</v>
      </c>
      <c r="D9519" s="17">
        <v>43065</v>
      </c>
      <c r="E9519" t="s">
        <v>681</v>
      </c>
    </row>
    <row r="9520" spans="3:5">
      <c r="C9520">
        <v>979.95</v>
      </c>
      <c r="D9520" s="17">
        <v>43071</v>
      </c>
      <c r="E9520" t="s">
        <v>647</v>
      </c>
    </row>
    <row r="9521" spans="3:5">
      <c r="C9521">
        <v>981.37199999999996</v>
      </c>
      <c r="D9521" s="17">
        <v>41840</v>
      </c>
      <c r="E9521" t="s">
        <v>618</v>
      </c>
    </row>
    <row r="9522" spans="3:5">
      <c r="C9522">
        <v>989.97</v>
      </c>
      <c r="D9522" s="17">
        <v>42159</v>
      </c>
      <c r="E9522" t="s">
        <v>1010</v>
      </c>
    </row>
    <row r="9523" spans="3:5">
      <c r="C9523">
        <v>991.19999999999993</v>
      </c>
      <c r="D9523" s="17">
        <v>42261</v>
      </c>
      <c r="E9523" t="s">
        <v>1023</v>
      </c>
    </row>
    <row r="9524" spans="3:5">
      <c r="C9524">
        <v>991.76400000000012</v>
      </c>
      <c r="D9524" s="17">
        <v>41796</v>
      </c>
      <c r="E9524" t="s">
        <v>1665</v>
      </c>
    </row>
    <row r="9525" spans="3:5">
      <c r="C9525">
        <v>998.82</v>
      </c>
      <c r="D9525" s="17">
        <v>42001</v>
      </c>
      <c r="E9525" t="s">
        <v>451</v>
      </c>
    </row>
    <row r="9526" spans="3:5">
      <c r="C9526">
        <v>998.84999999999991</v>
      </c>
      <c r="D9526" s="17">
        <v>41971</v>
      </c>
      <c r="E9526" t="s">
        <v>460</v>
      </c>
    </row>
    <row r="9527" spans="3:5">
      <c r="C9527">
        <v>999.43200000000002</v>
      </c>
      <c r="D9527" s="17">
        <v>42240</v>
      </c>
      <c r="E9527" t="s">
        <v>207</v>
      </c>
    </row>
    <row r="9528" spans="3:5">
      <c r="C9528">
        <v>999.96</v>
      </c>
      <c r="D9528" s="17">
        <v>42324</v>
      </c>
      <c r="E9528" t="s">
        <v>1367</v>
      </c>
    </row>
    <row r="9529" spans="3:5">
      <c r="C9529">
        <v>999.98</v>
      </c>
      <c r="D9529" s="17">
        <v>42344</v>
      </c>
      <c r="E9529" t="s">
        <v>1427</v>
      </c>
    </row>
    <row r="9530" spans="3:5">
      <c r="C9530">
        <v>999.98</v>
      </c>
      <c r="D9530" s="17">
        <v>42615</v>
      </c>
      <c r="E9530" t="s">
        <v>1427</v>
      </c>
    </row>
    <row r="9531" spans="3:5">
      <c r="C9531">
        <v>1000.0200000000001</v>
      </c>
      <c r="D9531" s="17">
        <v>42965</v>
      </c>
      <c r="E9531" t="s">
        <v>633</v>
      </c>
    </row>
    <row r="9532" spans="3:5">
      <c r="C9532">
        <v>1000.0200000000001</v>
      </c>
      <c r="D9532" s="17">
        <v>43090</v>
      </c>
      <c r="E9532" t="s">
        <v>633</v>
      </c>
    </row>
    <row r="9533" spans="3:5">
      <c r="C9533">
        <v>1001.5840000000001</v>
      </c>
      <c r="D9533" s="17">
        <v>42640</v>
      </c>
      <c r="E9533" t="s">
        <v>195</v>
      </c>
    </row>
    <row r="9534" spans="3:5">
      <c r="C9534">
        <v>1001.5840000000001</v>
      </c>
      <c r="D9534" s="17">
        <v>42916</v>
      </c>
      <c r="E9534" t="s">
        <v>195</v>
      </c>
    </row>
    <row r="9535" spans="3:5">
      <c r="C9535">
        <v>1003.6200000000001</v>
      </c>
      <c r="D9535" s="17">
        <v>43093</v>
      </c>
      <c r="E9535" t="s">
        <v>512</v>
      </c>
    </row>
    <row r="9536" spans="3:5">
      <c r="C9536">
        <v>1004.0239999999999</v>
      </c>
      <c r="D9536" s="17">
        <v>43077</v>
      </c>
      <c r="E9536" t="s">
        <v>923</v>
      </c>
    </row>
    <row r="9537" spans="3:5">
      <c r="C9537">
        <v>1004.9760000000001</v>
      </c>
      <c r="D9537" s="17">
        <v>42217</v>
      </c>
      <c r="E9537" t="s">
        <v>1745</v>
      </c>
    </row>
    <row r="9538" spans="3:5">
      <c r="C9538">
        <v>1006.056</v>
      </c>
      <c r="D9538" s="17">
        <v>42498</v>
      </c>
      <c r="E9538" t="s">
        <v>1758</v>
      </c>
    </row>
    <row r="9539" spans="3:5">
      <c r="C9539">
        <v>1007.2320000000001</v>
      </c>
      <c r="D9539" s="17">
        <v>43067</v>
      </c>
      <c r="E9539" t="s">
        <v>1463</v>
      </c>
    </row>
    <row r="9540" spans="3:5">
      <c r="C9540">
        <v>1007.9440000000002</v>
      </c>
      <c r="D9540" s="17">
        <v>41876</v>
      </c>
      <c r="E9540" t="s">
        <v>1337</v>
      </c>
    </row>
    <row r="9541" spans="3:5">
      <c r="C9541">
        <v>1007.979</v>
      </c>
      <c r="D9541" s="17">
        <v>42533</v>
      </c>
      <c r="E9541" t="s">
        <v>1747</v>
      </c>
    </row>
    <row r="9542" spans="3:5">
      <c r="C9542">
        <v>1012.6800000000001</v>
      </c>
      <c r="D9542" s="17">
        <v>42615</v>
      </c>
      <c r="E9542" t="s">
        <v>926</v>
      </c>
    </row>
    <row r="9543" spans="3:5">
      <c r="C9543">
        <v>1013.4879999999999</v>
      </c>
      <c r="D9543" s="17">
        <v>42390</v>
      </c>
      <c r="E9543" t="s">
        <v>302</v>
      </c>
    </row>
    <row r="9544" spans="3:5">
      <c r="C9544">
        <v>1013.8320000000001</v>
      </c>
      <c r="D9544" s="17">
        <v>41989</v>
      </c>
      <c r="E9544" t="s">
        <v>996</v>
      </c>
    </row>
    <row r="9545" spans="3:5">
      <c r="C9545">
        <v>1016.792</v>
      </c>
      <c r="D9545" s="17">
        <v>42689</v>
      </c>
      <c r="E9545" t="s">
        <v>1173</v>
      </c>
    </row>
    <row r="9546" spans="3:5">
      <c r="C9546">
        <v>1018.1039999999999</v>
      </c>
      <c r="D9546" s="17">
        <v>42014</v>
      </c>
      <c r="E9546" t="s">
        <v>617</v>
      </c>
    </row>
    <row r="9547" spans="3:5">
      <c r="C9547">
        <v>1022.97</v>
      </c>
      <c r="D9547" s="17">
        <v>42124</v>
      </c>
      <c r="E9547" t="s">
        <v>1705</v>
      </c>
    </row>
    <row r="9548" spans="3:5">
      <c r="C9548">
        <v>1023.3319999999999</v>
      </c>
      <c r="D9548" s="17">
        <v>42821</v>
      </c>
      <c r="E9548" t="s">
        <v>217</v>
      </c>
    </row>
    <row r="9549" spans="3:5">
      <c r="C9549">
        <v>1023.9360000000001</v>
      </c>
      <c r="D9549" s="17">
        <v>41843</v>
      </c>
      <c r="E9549" t="s">
        <v>1380</v>
      </c>
    </row>
    <row r="9550" spans="3:5">
      <c r="C9550">
        <v>1024.3800000000001</v>
      </c>
      <c r="D9550" s="17">
        <v>42317</v>
      </c>
      <c r="E9550" t="s">
        <v>909</v>
      </c>
    </row>
    <row r="9551" spans="3:5">
      <c r="C9551">
        <v>1024.7159999999999</v>
      </c>
      <c r="D9551" s="17">
        <v>42608</v>
      </c>
      <c r="E9551" t="s">
        <v>1461</v>
      </c>
    </row>
    <row r="9552" spans="3:5">
      <c r="C9552">
        <v>1025.8799999999999</v>
      </c>
      <c r="D9552" s="17">
        <v>41962</v>
      </c>
      <c r="E9552" t="s">
        <v>1752</v>
      </c>
    </row>
    <row r="9553" spans="3:5">
      <c r="C9553">
        <v>1029.95</v>
      </c>
      <c r="D9553" s="17">
        <v>42715</v>
      </c>
      <c r="E9553" t="s">
        <v>467</v>
      </c>
    </row>
    <row r="9554" spans="3:5">
      <c r="C9554">
        <v>1035.8</v>
      </c>
      <c r="D9554" s="17">
        <v>42307</v>
      </c>
      <c r="E9554" t="s">
        <v>1827</v>
      </c>
    </row>
    <row r="9555" spans="3:5">
      <c r="C9555">
        <v>1036.624</v>
      </c>
      <c r="D9555" s="17">
        <v>42166</v>
      </c>
      <c r="E9555" t="s">
        <v>503</v>
      </c>
    </row>
    <row r="9556" spans="3:5">
      <c r="C9556">
        <v>1036.624</v>
      </c>
      <c r="D9556" s="17">
        <v>42581</v>
      </c>
      <c r="E9556" t="s">
        <v>503</v>
      </c>
    </row>
    <row r="9557" spans="3:5">
      <c r="C9557">
        <v>1038.8399999999999</v>
      </c>
      <c r="D9557" s="17">
        <v>42310</v>
      </c>
      <c r="E9557" t="s">
        <v>1538</v>
      </c>
    </row>
    <row r="9558" spans="3:5">
      <c r="C9558">
        <v>1039.7280000000001</v>
      </c>
      <c r="D9558" s="17">
        <v>42583</v>
      </c>
      <c r="E9558" t="s">
        <v>1241</v>
      </c>
    </row>
    <row r="9559" spans="3:5">
      <c r="C9559">
        <v>1039.992</v>
      </c>
      <c r="D9559" s="17">
        <v>43060</v>
      </c>
      <c r="E9559" t="s">
        <v>1453</v>
      </c>
    </row>
    <row r="9560" spans="3:5">
      <c r="C9560">
        <v>1040.8</v>
      </c>
      <c r="D9560" s="17">
        <v>42605</v>
      </c>
      <c r="E9560" t="s">
        <v>983</v>
      </c>
    </row>
    <row r="9561" spans="3:5">
      <c r="C9561">
        <v>1043.92</v>
      </c>
      <c r="D9561" s="17">
        <v>42664</v>
      </c>
      <c r="E9561" t="s">
        <v>1198</v>
      </c>
    </row>
    <row r="9562" spans="3:5">
      <c r="C9562">
        <v>1044.6299999999999</v>
      </c>
      <c r="D9562" s="17">
        <v>42272</v>
      </c>
      <c r="E9562" t="s">
        <v>911</v>
      </c>
    </row>
    <row r="9563" spans="3:5">
      <c r="C9563">
        <v>1044.6299999999999</v>
      </c>
      <c r="D9563" s="17">
        <v>42916</v>
      </c>
      <c r="E9563" t="s">
        <v>911</v>
      </c>
    </row>
    <row r="9564" spans="3:5">
      <c r="C9564">
        <v>1048.3499999999999</v>
      </c>
      <c r="D9564" s="17">
        <v>42854</v>
      </c>
      <c r="E9564" t="s">
        <v>606</v>
      </c>
    </row>
    <row r="9565" spans="3:5">
      <c r="C9565">
        <v>1049.2</v>
      </c>
      <c r="D9565" s="17">
        <v>42510</v>
      </c>
      <c r="E9565" t="s">
        <v>1463</v>
      </c>
    </row>
    <row r="9566" spans="3:5">
      <c r="C9566">
        <v>1049.2</v>
      </c>
      <c r="D9566" s="17">
        <v>43067</v>
      </c>
      <c r="E9566" t="s">
        <v>1463</v>
      </c>
    </row>
    <row r="9567" spans="3:5">
      <c r="C9567">
        <v>1049.44</v>
      </c>
      <c r="D9567" s="17">
        <v>42797</v>
      </c>
      <c r="E9567" t="s">
        <v>304</v>
      </c>
    </row>
    <row r="9568" spans="3:5">
      <c r="C9568">
        <v>1049.93</v>
      </c>
      <c r="D9568" s="17">
        <v>41731</v>
      </c>
      <c r="E9568" t="s">
        <v>1865</v>
      </c>
    </row>
    <row r="9569" spans="3:5">
      <c r="C9569">
        <v>1049.97</v>
      </c>
      <c r="D9569" s="17">
        <v>41967</v>
      </c>
      <c r="E9569" t="s">
        <v>847</v>
      </c>
    </row>
    <row r="9570" spans="3:5">
      <c r="C9570">
        <v>1053.164</v>
      </c>
      <c r="D9570" s="17">
        <v>42357</v>
      </c>
      <c r="E9570" t="s">
        <v>498</v>
      </c>
    </row>
    <row r="9571" spans="3:5">
      <c r="C9571">
        <v>1056.8599999999999</v>
      </c>
      <c r="D9571" s="17">
        <v>42262</v>
      </c>
      <c r="E9571" t="s">
        <v>1563</v>
      </c>
    </row>
    <row r="9572" spans="3:5">
      <c r="C9572">
        <v>1056.8599999999999</v>
      </c>
      <c r="D9572" s="17">
        <v>42713</v>
      </c>
      <c r="E9572" t="s">
        <v>832</v>
      </c>
    </row>
    <row r="9573" spans="3:5">
      <c r="C9573">
        <v>1059.1199999999999</v>
      </c>
      <c r="D9573" s="17">
        <v>42625</v>
      </c>
      <c r="E9573" t="s">
        <v>1055</v>
      </c>
    </row>
    <row r="9574" spans="3:5">
      <c r="C9574">
        <v>1067.94</v>
      </c>
      <c r="D9574" s="17">
        <v>41659</v>
      </c>
      <c r="E9574" t="s">
        <v>1049</v>
      </c>
    </row>
    <row r="9575" spans="3:5">
      <c r="C9575">
        <v>1071</v>
      </c>
      <c r="D9575" s="17">
        <v>43000</v>
      </c>
      <c r="E9575" t="s">
        <v>406</v>
      </c>
    </row>
    <row r="9576" spans="3:5">
      <c r="C9576">
        <v>1071.576</v>
      </c>
      <c r="D9576" s="17">
        <v>41715</v>
      </c>
      <c r="E9576" t="s">
        <v>75</v>
      </c>
    </row>
    <row r="9577" spans="3:5">
      <c r="C9577">
        <v>1075.088</v>
      </c>
      <c r="D9577" s="17">
        <v>41741</v>
      </c>
      <c r="E9577" t="s">
        <v>393</v>
      </c>
    </row>
    <row r="9578" spans="3:5">
      <c r="C9578">
        <v>1079.316</v>
      </c>
      <c r="D9578" s="17">
        <v>43069</v>
      </c>
      <c r="E9578" t="s">
        <v>256</v>
      </c>
    </row>
    <row r="9579" spans="3:5">
      <c r="C9579">
        <v>1079.8499999999999</v>
      </c>
      <c r="D9579" s="17">
        <v>42992</v>
      </c>
      <c r="E9579" t="s">
        <v>1192</v>
      </c>
    </row>
    <row r="9580" spans="3:5">
      <c r="C9580">
        <v>1079.9759999999999</v>
      </c>
      <c r="D9580" s="17">
        <v>41982</v>
      </c>
      <c r="E9580" t="s">
        <v>1853</v>
      </c>
    </row>
    <row r="9581" spans="3:5">
      <c r="C9581">
        <v>1080.096</v>
      </c>
      <c r="D9581" s="17">
        <v>41948</v>
      </c>
      <c r="E9581" t="s">
        <v>579</v>
      </c>
    </row>
    <row r="9582" spans="3:5">
      <c r="C9582">
        <v>1082.48</v>
      </c>
      <c r="D9582" s="17">
        <v>42671</v>
      </c>
      <c r="E9582" t="s">
        <v>784</v>
      </c>
    </row>
    <row r="9583" spans="3:5">
      <c r="C9583">
        <v>1085.42</v>
      </c>
      <c r="D9583" s="17">
        <v>42089</v>
      </c>
      <c r="E9583" t="s">
        <v>63</v>
      </c>
    </row>
    <row r="9584" spans="3:5">
      <c r="C9584">
        <v>1085.42</v>
      </c>
      <c r="D9584" s="17">
        <v>42674</v>
      </c>
      <c r="E9584" t="s">
        <v>63</v>
      </c>
    </row>
    <row r="9585" spans="3:5">
      <c r="C9585">
        <v>1085.42</v>
      </c>
      <c r="D9585" s="17">
        <v>42916</v>
      </c>
      <c r="E9585" t="s">
        <v>63</v>
      </c>
    </row>
    <row r="9586" spans="3:5">
      <c r="C9586">
        <v>1087.9360000000001</v>
      </c>
      <c r="D9586" s="17">
        <v>42083</v>
      </c>
      <c r="E9586" t="s">
        <v>917</v>
      </c>
    </row>
    <row r="9587" spans="3:5">
      <c r="C9587">
        <v>1088.76</v>
      </c>
      <c r="D9587" s="17">
        <v>42248</v>
      </c>
      <c r="E9587" t="s">
        <v>409</v>
      </c>
    </row>
    <row r="9588" spans="3:5">
      <c r="C9588">
        <v>1088.7919999999997</v>
      </c>
      <c r="D9588" s="17">
        <v>42468</v>
      </c>
      <c r="E9588" t="s">
        <v>113</v>
      </c>
    </row>
    <row r="9589" spans="3:5">
      <c r="C9589">
        <v>1089.75</v>
      </c>
      <c r="D9589" s="17">
        <v>41855</v>
      </c>
      <c r="E9589" t="s">
        <v>1512</v>
      </c>
    </row>
    <row r="9590" spans="3:5">
      <c r="C9590">
        <v>1089.75</v>
      </c>
      <c r="D9590" s="17">
        <v>43077</v>
      </c>
      <c r="E9590" t="s">
        <v>1512</v>
      </c>
    </row>
    <row r="9591" spans="3:5">
      <c r="C9591">
        <v>1090.7819999999999</v>
      </c>
      <c r="D9591" s="17">
        <v>42216</v>
      </c>
      <c r="E9591" t="s">
        <v>1538</v>
      </c>
    </row>
    <row r="9592" spans="3:5">
      <c r="C9592">
        <v>1091.1680000000001</v>
      </c>
      <c r="D9592" s="17">
        <v>41860</v>
      </c>
      <c r="E9592" t="s">
        <v>1705</v>
      </c>
    </row>
    <row r="9593" spans="3:5">
      <c r="C9593">
        <v>1091.1680000000001</v>
      </c>
      <c r="D9593" s="17">
        <v>42615</v>
      </c>
      <c r="E9593" t="s">
        <v>1705</v>
      </c>
    </row>
    <row r="9594" spans="3:5">
      <c r="C9594">
        <v>1091.93</v>
      </c>
      <c r="D9594" s="17">
        <v>42657</v>
      </c>
      <c r="E9594" t="s">
        <v>740</v>
      </c>
    </row>
    <row r="9595" spans="3:5">
      <c r="C9595">
        <v>1097.5440000000003</v>
      </c>
      <c r="D9595" s="17">
        <v>42712</v>
      </c>
      <c r="E9595" t="s">
        <v>647</v>
      </c>
    </row>
    <row r="9596" spans="3:5">
      <c r="C9596">
        <v>1099.5</v>
      </c>
      <c r="D9596" s="17">
        <v>42889</v>
      </c>
      <c r="E9596" t="s">
        <v>790</v>
      </c>
    </row>
    <row r="9597" spans="3:5">
      <c r="C9597">
        <v>1099.96</v>
      </c>
      <c r="D9597" s="17">
        <v>42189</v>
      </c>
      <c r="E9597" t="s">
        <v>371</v>
      </c>
    </row>
    <row r="9598" spans="3:5">
      <c r="C9598">
        <v>1099.96</v>
      </c>
      <c r="D9598" s="17">
        <v>42244</v>
      </c>
      <c r="E9598" t="s">
        <v>371</v>
      </c>
    </row>
    <row r="9599" spans="3:5">
      <c r="C9599">
        <v>1101.48</v>
      </c>
      <c r="D9599" s="17">
        <v>42677</v>
      </c>
      <c r="E9599" t="s">
        <v>1653</v>
      </c>
    </row>
    <row r="9600" spans="3:5">
      <c r="C9600">
        <v>1103.97</v>
      </c>
      <c r="D9600" s="17">
        <v>41993</v>
      </c>
      <c r="E9600" t="s">
        <v>987</v>
      </c>
    </row>
    <row r="9601" spans="3:5">
      <c r="C9601">
        <v>1106.9099999999999</v>
      </c>
      <c r="D9601" s="17">
        <v>42337</v>
      </c>
      <c r="E9601" t="s">
        <v>281</v>
      </c>
    </row>
    <row r="9602" spans="3:5">
      <c r="C9602">
        <v>1112.94</v>
      </c>
      <c r="D9602" s="17">
        <v>42705</v>
      </c>
      <c r="E9602" t="s">
        <v>1610</v>
      </c>
    </row>
    <row r="9603" spans="3:5">
      <c r="C9603">
        <v>1113.0240000000001</v>
      </c>
      <c r="D9603" s="17">
        <v>41978</v>
      </c>
      <c r="E9603" t="s">
        <v>1861</v>
      </c>
    </row>
    <row r="9604" spans="3:5">
      <c r="C9604">
        <v>1113.5039999999999</v>
      </c>
      <c r="D9604" s="17">
        <v>41786</v>
      </c>
      <c r="E9604" t="s">
        <v>1791</v>
      </c>
    </row>
    <row r="9605" spans="3:5">
      <c r="C9605">
        <v>1114.2719999999999</v>
      </c>
      <c r="D9605" s="17">
        <v>42717</v>
      </c>
      <c r="E9605" t="s">
        <v>911</v>
      </c>
    </row>
    <row r="9606" spans="3:5">
      <c r="C9606">
        <v>1114.4000000000001</v>
      </c>
      <c r="D9606" s="17">
        <v>42273</v>
      </c>
      <c r="E9606" t="s">
        <v>894</v>
      </c>
    </row>
    <row r="9607" spans="3:5">
      <c r="C9607">
        <v>1115.17</v>
      </c>
      <c r="D9607" s="17">
        <v>42535</v>
      </c>
      <c r="E9607" t="s">
        <v>1586</v>
      </c>
    </row>
    <row r="9608" spans="3:5">
      <c r="C9608">
        <v>1115.9099999999999</v>
      </c>
      <c r="D9608" s="17">
        <v>43015</v>
      </c>
      <c r="E9608" t="s">
        <v>140</v>
      </c>
    </row>
    <row r="9609" spans="3:5">
      <c r="C9609">
        <v>1117.92</v>
      </c>
      <c r="D9609" s="17">
        <v>41968</v>
      </c>
      <c r="E9609" t="s">
        <v>1570</v>
      </c>
    </row>
    <row r="9610" spans="3:5">
      <c r="C9610">
        <v>1117.92</v>
      </c>
      <c r="D9610" s="17">
        <v>42138</v>
      </c>
      <c r="E9610" t="s">
        <v>1570</v>
      </c>
    </row>
    <row r="9611" spans="3:5">
      <c r="C9611">
        <v>1117.92</v>
      </c>
      <c r="D9611" s="17">
        <v>42692</v>
      </c>
      <c r="E9611" t="s">
        <v>1570</v>
      </c>
    </row>
    <row r="9612" spans="3:5">
      <c r="C9612">
        <v>1117.92</v>
      </c>
      <c r="D9612" s="17">
        <v>42727</v>
      </c>
      <c r="E9612" t="s">
        <v>1570</v>
      </c>
    </row>
    <row r="9613" spans="3:5">
      <c r="C9613">
        <v>1119.8880000000001</v>
      </c>
      <c r="D9613" s="17">
        <v>42974</v>
      </c>
      <c r="E9613" t="s">
        <v>335</v>
      </c>
    </row>
    <row r="9614" spans="3:5">
      <c r="C9614">
        <v>1119.9840000000002</v>
      </c>
      <c r="D9614" s="17">
        <v>42069</v>
      </c>
      <c r="E9614" t="s">
        <v>1703</v>
      </c>
    </row>
    <row r="9615" spans="3:5">
      <c r="C9615">
        <v>1121.568</v>
      </c>
      <c r="D9615" s="17">
        <v>42475</v>
      </c>
      <c r="E9615" t="s">
        <v>618</v>
      </c>
    </row>
    <row r="9616" spans="3:5">
      <c r="C9616">
        <v>1123.1280000000002</v>
      </c>
      <c r="D9616" s="17">
        <v>42875</v>
      </c>
      <c r="E9616" t="s">
        <v>740</v>
      </c>
    </row>
    <row r="9617" spans="3:5">
      <c r="C9617">
        <v>1123.92</v>
      </c>
      <c r="D9617" s="17">
        <v>42166</v>
      </c>
      <c r="E9617" t="s">
        <v>1388</v>
      </c>
    </row>
    <row r="9618" spans="3:5">
      <c r="C9618">
        <v>1125.4879999999998</v>
      </c>
      <c r="D9618" s="17">
        <v>41729</v>
      </c>
      <c r="E9618" t="s">
        <v>1420</v>
      </c>
    </row>
    <row r="9619" spans="3:5">
      <c r="C9619">
        <v>1126.02</v>
      </c>
      <c r="D9619" s="17">
        <v>42702</v>
      </c>
      <c r="E9619" t="s">
        <v>148</v>
      </c>
    </row>
    <row r="9620" spans="3:5">
      <c r="C9620">
        <v>1126.02</v>
      </c>
      <c r="D9620" s="17">
        <v>42757</v>
      </c>
      <c r="E9620" t="s">
        <v>148</v>
      </c>
    </row>
    <row r="9621" spans="3:5">
      <c r="C9621">
        <v>1127.9760000000001</v>
      </c>
      <c r="D9621" s="17">
        <v>42408</v>
      </c>
      <c r="E9621" t="s">
        <v>428</v>
      </c>
    </row>
    <row r="9622" spans="3:5">
      <c r="C9622">
        <v>1128.3899999999999</v>
      </c>
      <c r="D9622" s="17">
        <v>42628</v>
      </c>
      <c r="E9622" t="s">
        <v>498</v>
      </c>
    </row>
    <row r="9623" spans="3:5">
      <c r="C9623">
        <v>1133.3499999999999</v>
      </c>
      <c r="D9623" s="17">
        <v>41856</v>
      </c>
      <c r="E9623" t="s">
        <v>1486</v>
      </c>
    </row>
    <row r="9624" spans="3:5">
      <c r="C9624">
        <v>1137.75</v>
      </c>
      <c r="D9624" s="17">
        <v>42975</v>
      </c>
      <c r="E9624" t="s">
        <v>1104</v>
      </c>
    </row>
    <row r="9625" spans="3:5">
      <c r="C9625">
        <v>1139.92</v>
      </c>
      <c r="D9625" s="17">
        <v>41712</v>
      </c>
      <c r="E9625" t="s">
        <v>1122</v>
      </c>
    </row>
    <row r="9626" spans="3:5">
      <c r="C9626">
        <v>1141.4700000000003</v>
      </c>
      <c r="D9626" s="17">
        <v>42616</v>
      </c>
      <c r="E9626" t="s">
        <v>80</v>
      </c>
    </row>
    <row r="9627" spans="3:5">
      <c r="C9627">
        <v>1141.9379999999999</v>
      </c>
      <c r="D9627" s="17">
        <v>43087</v>
      </c>
      <c r="E9627" t="s">
        <v>1529</v>
      </c>
    </row>
    <row r="9628" spans="3:5">
      <c r="C9628">
        <v>1145.6000000000001</v>
      </c>
      <c r="D9628" s="17">
        <v>42944</v>
      </c>
      <c r="E9628" t="s">
        <v>117</v>
      </c>
    </row>
    <row r="9629" spans="3:5">
      <c r="C9629">
        <v>1158.1199999999999</v>
      </c>
      <c r="D9629" s="17">
        <v>42271</v>
      </c>
      <c r="E9629" t="s">
        <v>1406</v>
      </c>
    </row>
    <row r="9630" spans="3:5">
      <c r="C9630">
        <v>1158.1199999999999</v>
      </c>
      <c r="D9630" s="17">
        <v>43050</v>
      </c>
      <c r="E9630" t="s">
        <v>1406</v>
      </c>
    </row>
    <row r="9631" spans="3:5">
      <c r="C9631">
        <v>1159.056</v>
      </c>
      <c r="D9631" s="17">
        <v>43071</v>
      </c>
      <c r="E9631" t="s">
        <v>1483</v>
      </c>
    </row>
    <row r="9632" spans="3:5">
      <c r="C9632">
        <v>1166.92</v>
      </c>
      <c r="D9632" s="17">
        <v>42092</v>
      </c>
      <c r="E9632" t="s">
        <v>650</v>
      </c>
    </row>
    <row r="9633" spans="3:5">
      <c r="C9633">
        <v>1169.694</v>
      </c>
      <c r="D9633" s="17">
        <v>43002</v>
      </c>
      <c r="E9633" t="s">
        <v>1241</v>
      </c>
    </row>
    <row r="9634" spans="3:5">
      <c r="C9634">
        <v>1184.72</v>
      </c>
      <c r="D9634" s="17">
        <v>41726</v>
      </c>
      <c r="E9634" t="s">
        <v>1362</v>
      </c>
    </row>
    <row r="9635" spans="3:5">
      <c r="C9635">
        <v>1188.0000000000002</v>
      </c>
      <c r="D9635" s="17">
        <v>42006</v>
      </c>
      <c r="E9635" t="s">
        <v>1838</v>
      </c>
    </row>
    <row r="9636" spans="3:5">
      <c r="C9636">
        <v>1194.165</v>
      </c>
      <c r="D9636" s="17">
        <v>42933</v>
      </c>
      <c r="E9636" t="s">
        <v>977</v>
      </c>
    </row>
    <row r="9637" spans="3:5">
      <c r="C9637">
        <v>1196.8599999999999</v>
      </c>
      <c r="D9637" s="17">
        <v>42110</v>
      </c>
      <c r="E9637" t="s">
        <v>1399</v>
      </c>
    </row>
    <row r="9638" spans="3:5">
      <c r="C9638">
        <v>1198.33</v>
      </c>
      <c r="D9638" s="17">
        <v>41716</v>
      </c>
      <c r="E9638" t="s">
        <v>1132</v>
      </c>
    </row>
    <row r="9639" spans="3:5">
      <c r="C9639">
        <v>1199.8</v>
      </c>
      <c r="D9639" s="17">
        <v>42980</v>
      </c>
      <c r="E9639" t="s">
        <v>1116</v>
      </c>
    </row>
    <row r="9640" spans="3:5">
      <c r="C9640">
        <v>1199.96</v>
      </c>
      <c r="D9640" s="17">
        <v>42363</v>
      </c>
      <c r="E9640" t="s">
        <v>975</v>
      </c>
    </row>
    <row r="9641" spans="3:5">
      <c r="C9641">
        <v>1199.9759999999999</v>
      </c>
      <c r="D9641" s="17">
        <v>42688</v>
      </c>
      <c r="E9641" t="s">
        <v>1506</v>
      </c>
    </row>
    <row r="9642" spans="3:5">
      <c r="C9642">
        <v>1199.9760000000001</v>
      </c>
      <c r="D9642" s="17">
        <v>41859</v>
      </c>
      <c r="E9642" t="s">
        <v>1506</v>
      </c>
    </row>
    <row r="9643" spans="3:5">
      <c r="C9643">
        <v>1199.9760000000001</v>
      </c>
      <c r="D9643" s="17">
        <v>42467</v>
      </c>
      <c r="E9643" t="s">
        <v>1427</v>
      </c>
    </row>
    <row r="9644" spans="3:5">
      <c r="C9644">
        <v>1199.9760000000001</v>
      </c>
      <c r="D9644" s="17">
        <v>43077</v>
      </c>
      <c r="E9644" t="s">
        <v>1506</v>
      </c>
    </row>
    <row r="9645" spans="3:5">
      <c r="C9645">
        <v>1199.98</v>
      </c>
      <c r="D9645" s="17">
        <v>43083</v>
      </c>
      <c r="E9645" t="s">
        <v>443</v>
      </c>
    </row>
    <row r="9646" spans="3:5">
      <c r="C9646">
        <v>1202.94</v>
      </c>
      <c r="D9646" s="17">
        <v>41878</v>
      </c>
      <c r="E9646" t="s">
        <v>1697</v>
      </c>
    </row>
    <row r="9647" spans="3:5">
      <c r="C9647">
        <v>1207.8399999999999</v>
      </c>
      <c r="D9647" s="17">
        <v>43098</v>
      </c>
      <c r="E9647" t="s">
        <v>565</v>
      </c>
    </row>
    <row r="9648" spans="3:5">
      <c r="C9648">
        <v>1212.848</v>
      </c>
      <c r="D9648" s="17">
        <v>42311</v>
      </c>
      <c r="E9648" t="s">
        <v>1176</v>
      </c>
    </row>
    <row r="9649" spans="3:5">
      <c r="C9649">
        <v>1212.9599999999998</v>
      </c>
      <c r="D9649" s="17">
        <v>41770</v>
      </c>
      <c r="E9649" t="s">
        <v>853</v>
      </c>
    </row>
    <row r="9650" spans="3:5">
      <c r="C9650">
        <v>1212.96</v>
      </c>
      <c r="D9650" s="17">
        <v>42902</v>
      </c>
      <c r="E9650" t="s">
        <v>853</v>
      </c>
    </row>
    <row r="9651" spans="3:5">
      <c r="C9651">
        <v>1214.8499999999999</v>
      </c>
      <c r="D9651" s="17">
        <v>41811</v>
      </c>
      <c r="E9651" t="s">
        <v>1805</v>
      </c>
    </row>
    <row r="9652" spans="3:5">
      <c r="C9652">
        <v>1215.92</v>
      </c>
      <c r="D9652" s="17">
        <v>41737</v>
      </c>
      <c r="E9652" t="s">
        <v>253</v>
      </c>
    </row>
    <row r="9653" spans="3:5">
      <c r="C9653">
        <v>1217.568</v>
      </c>
      <c r="D9653" s="17">
        <v>42177</v>
      </c>
      <c r="E9653" t="s">
        <v>80</v>
      </c>
    </row>
    <row r="9654" spans="3:5">
      <c r="C9654">
        <v>1217.568</v>
      </c>
      <c r="D9654" s="17">
        <v>42225</v>
      </c>
      <c r="E9654" t="s">
        <v>80</v>
      </c>
    </row>
    <row r="9655" spans="3:5">
      <c r="C9655">
        <v>1218.7349999999997</v>
      </c>
      <c r="D9655" s="17">
        <v>41968</v>
      </c>
      <c r="E9655" t="s">
        <v>911</v>
      </c>
    </row>
    <row r="9656" spans="3:5">
      <c r="C9656">
        <v>1219.96</v>
      </c>
      <c r="D9656" s="17">
        <v>42698</v>
      </c>
      <c r="E9656" t="s">
        <v>76</v>
      </c>
    </row>
    <row r="9657" spans="3:5">
      <c r="C9657">
        <v>1227.9983999999999</v>
      </c>
      <c r="D9657" s="17">
        <v>42064</v>
      </c>
      <c r="E9657" t="s">
        <v>217</v>
      </c>
    </row>
    <row r="9658" spans="3:5">
      <c r="C9658">
        <v>1228.4649999999999</v>
      </c>
      <c r="D9658" s="17">
        <v>41818</v>
      </c>
      <c r="E9658" t="s">
        <v>826</v>
      </c>
    </row>
    <row r="9659" spans="3:5">
      <c r="C9659">
        <v>1242.8999999999999</v>
      </c>
      <c r="D9659" s="17">
        <v>43069</v>
      </c>
      <c r="E9659" t="s">
        <v>701</v>
      </c>
    </row>
    <row r="9660" spans="3:5">
      <c r="C9660">
        <v>1245.8599999999999</v>
      </c>
      <c r="D9660" s="17">
        <v>42785</v>
      </c>
      <c r="E9660" t="s">
        <v>259</v>
      </c>
    </row>
    <row r="9661" spans="3:5">
      <c r="C9661">
        <v>1247.6399999999999</v>
      </c>
      <c r="D9661" s="17">
        <v>42082</v>
      </c>
      <c r="E9661" t="s">
        <v>563</v>
      </c>
    </row>
    <row r="9662" spans="3:5">
      <c r="C9662">
        <v>1247.6399999999999</v>
      </c>
      <c r="D9662" s="17">
        <v>43056</v>
      </c>
      <c r="E9662" t="s">
        <v>563</v>
      </c>
    </row>
    <row r="9663" spans="3:5">
      <c r="C9663">
        <v>1252.704</v>
      </c>
      <c r="D9663" s="17">
        <v>42329</v>
      </c>
      <c r="E9663" t="s">
        <v>62</v>
      </c>
    </row>
    <row r="9664" spans="3:5">
      <c r="C9664">
        <v>1256.22</v>
      </c>
      <c r="D9664" s="17">
        <v>41681</v>
      </c>
      <c r="E9664" t="s">
        <v>1745</v>
      </c>
    </row>
    <row r="9665" spans="3:5">
      <c r="C9665">
        <v>1259.93</v>
      </c>
      <c r="D9665" s="17">
        <v>42265</v>
      </c>
      <c r="E9665" t="s">
        <v>1337</v>
      </c>
    </row>
    <row r="9666" spans="3:5">
      <c r="C9666">
        <v>1259.97</v>
      </c>
      <c r="D9666" s="17">
        <v>43059</v>
      </c>
      <c r="E9666" t="s">
        <v>166</v>
      </c>
    </row>
    <row r="9667" spans="3:5">
      <c r="C9667">
        <v>1261.33</v>
      </c>
      <c r="D9667" s="17">
        <v>41979</v>
      </c>
      <c r="E9667" t="s">
        <v>816</v>
      </c>
    </row>
    <row r="9668" spans="3:5">
      <c r="C9668">
        <v>1263.3000000000002</v>
      </c>
      <c r="D9668" s="17">
        <v>42702</v>
      </c>
      <c r="E9668" t="s">
        <v>820</v>
      </c>
    </row>
    <row r="9669" spans="3:5">
      <c r="C9669">
        <v>1265.8499999999999</v>
      </c>
      <c r="D9669" s="17">
        <v>42357</v>
      </c>
      <c r="E9669" t="s">
        <v>926</v>
      </c>
    </row>
    <row r="9670" spans="3:5">
      <c r="C9670">
        <v>1266.8599999999999</v>
      </c>
      <c r="D9670" s="17">
        <v>42551</v>
      </c>
      <c r="E9670" t="s">
        <v>719</v>
      </c>
    </row>
    <row r="9671" spans="3:5">
      <c r="C9671">
        <v>1267.53</v>
      </c>
      <c r="D9671" s="17">
        <v>42121</v>
      </c>
      <c r="E9671" t="s">
        <v>119</v>
      </c>
    </row>
    <row r="9672" spans="3:5">
      <c r="C9672">
        <v>1267.6499999999999</v>
      </c>
      <c r="D9672" s="17">
        <v>42515</v>
      </c>
      <c r="E9672" t="s">
        <v>1618</v>
      </c>
    </row>
    <row r="9673" spans="3:5">
      <c r="C9673">
        <v>1268.82</v>
      </c>
      <c r="D9673" s="17">
        <v>42041</v>
      </c>
      <c r="E9673" t="s">
        <v>1529</v>
      </c>
    </row>
    <row r="9674" spans="3:5">
      <c r="C9674">
        <v>1270.99</v>
      </c>
      <c r="D9674" s="17">
        <v>42400</v>
      </c>
      <c r="E9674" t="s">
        <v>1173</v>
      </c>
    </row>
    <row r="9675" spans="3:5">
      <c r="C9675">
        <v>1272.6299999999999</v>
      </c>
      <c r="D9675" s="17">
        <v>42482</v>
      </c>
      <c r="E9675" t="s">
        <v>617</v>
      </c>
    </row>
    <row r="9676" spans="3:5">
      <c r="C9676">
        <v>1279.165</v>
      </c>
      <c r="D9676" s="17">
        <v>42555</v>
      </c>
      <c r="E9676" t="s">
        <v>217</v>
      </c>
    </row>
    <row r="9677" spans="3:5">
      <c r="C9677">
        <v>1279.9680000000001</v>
      </c>
      <c r="D9677" s="17">
        <v>41716</v>
      </c>
      <c r="E9677" t="s">
        <v>1323</v>
      </c>
    </row>
    <row r="9678" spans="3:5">
      <c r="C9678">
        <v>1282.4100000000001</v>
      </c>
      <c r="D9678" s="17">
        <v>42980</v>
      </c>
      <c r="E9678" t="s">
        <v>1122</v>
      </c>
    </row>
    <row r="9679" spans="3:5">
      <c r="C9679">
        <v>1287.45</v>
      </c>
      <c r="D9679" s="17">
        <v>42454</v>
      </c>
      <c r="E9679" t="s">
        <v>499</v>
      </c>
    </row>
    <row r="9680" spans="3:5">
      <c r="C9680">
        <v>1287.45</v>
      </c>
      <c r="D9680" s="17">
        <v>42913</v>
      </c>
      <c r="E9680" t="s">
        <v>499</v>
      </c>
    </row>
    <row r="9681" spans="3:5">
      <c r="C9681">
        <v>1287.45</v>
      </c>
      <c r="D9681" s="17">
        <v>42927</v>
      </c>
      <c r="E9681" t="s">
        <v>499</v>
      </c>
    </row>
    <row r="9682" spans="3:5">
      <c r="C9682">
        <v>1292.94</v>
      </c>
      <c r="D9682" s="17">
        <v>42995</v>
      </c>
      <c r="E9682" t="s">
        <v>1215</v>
      </c>
    </row>
    <row r="9683" spans="3:5">
      <c r="C9683">
        <v>1293.4879999999998</v>
      </c>
      <c r="D9683" s="17">
        <v>42535</v>
      </c>
      <c r="E9683" t="s">
        <v>1007</v>
      </c>
    </row>
    <row r="9684" spans="3:5">
      <c r="C9684">
        <v>1294.75</v>
      </c>
      <c r="D9684" s="17">
        <v>42466</v>
      </c>
      <c r="E9684" t="s">
        <v>347</v>
      </c>
    </row>
    <row r="9685" spans="3:5">
      <c r="C9685">
        <v>1295.78</v>
      </c>
      <c r="D9685" s="17">
        <v>42915</v>
      </c>
      <c r="E9685" t="s">
        <v>503</v>
      </c>
    </row>
    <row r="9686" spans="3:5">
      <c r="C9686">
        <v>1295.8400000000001</v>
      </c>
      <c r="D9686" s="17">
        <v>42308</v>
      </c>
      <c r="E9686" t="s">
        <v>1805</v>
      </c>
    </row>
    <row r="9687" spans="3:5">
      <c r="C9687">
        <v>1297.3680000000002</v>
      </c>
      <c r="D9687" s="17">
        <v>42517</v>
      </c>
      <c r="E9687" t="s">
        <v>816</v>
      </c>
    </row>
    <row r="9688" spans="3:5">
      <c r="C9688">
        <v>1298.55</v>
      </c>
      <c r="D9688" s="17">
        <v>41925</v>
      </c>
      <c r="E9688" t="s">
        <v>1538</v>
      </c>
    </row>
    <row r="9689" spans="3:5">
      <c r="C9689">
        <v>1299.6600000000001</v>
      </c>
      <c r="D9689" s="17">
        <v>42998</v>
      </c>
      <c r="E9689" t="s">
        <v>1241</v>
      </c>
    </row>
    <row r="9690" spans="3:5">
      <c r="C9690">
        <v>1299.99</v>
      </c>
      <c r="D9690" s="17">
        <v>41891</v>
      </c>
      <c r="E9690" t="s">
        <v>1453</v>
      </c>
    </row>
    <row r="9691" spans="3:5">
      <c r="C9691">
        <v>1317.492</v>
      </c>
      <c r="D9691" s="17">
        <v>42461</v>
      </c>
      <c r="E9691" t="s">
        <v>880</v>
      </c>
    </row>
    <row r="9692" spans="3:5">
      <c r="C9692">
        <v>1319.8</v>
      </c>
      <c r="D9692" s="17">
        <v>42790</v>
      </c>
      <c r="E9692" t="s">
        <v>279</v>
      </c>
    </row>
    <row r="9693" spans="3:5">
      <c r="C9693">
        <v>1319.96</v>
      </c>
      <c r="D9693" s="17">
        <v>42692</v>
      </c>
      <c r="E9693" t="s">
        <v>1010</v>
      </c>
    </row>
    <row r="9694" spans="3:5">
      <c r="C9694">
        <v>1322.3520000000001</v>
      </c>
      <c r="D9694" s="17">
        <v>42982</v>
      </c>
      <c r="E9694" t="s">
        <v>1136</v>
      </c>
    </row>
    <row r="9695" spans="3:5">
      <c r="C9695">
        <v>1322.93</v>
      </c>
      <c r="D9695" s="17">
        <v>41811</v>
      </c>
      <c r="E9695" t="s">
        <v>1571</v>
      </c>
    </row>
    <row r="9696" spans="3:5">
      <c r="C9696">
        <v>1323.8999999999999</v>
      </c>
      <c r="D9696" s="17">
        <v>42325</v>
      </c>
      <c r="E9696" t="s">
        <v>1055</v>
      </c>
    </row>
    <row r="9697" spans="3:5">
      <c r="C9697">
        <v>1325.76</v>
      </c>
      <c r="D9697" s="17">
        <v>41994</v>
      </c>
      <c r="E9697" t="s">
        <v>701</v>
      </c>
    </row>
    <row r="9698" spans="3:5">
      <c r="C9698">
        <v>1325.76</v>
      </c>
      <c r="D9698" s="17">
        <v>42484</v>
      </c>
      <c r="E9698" t="s">
        <v>701</v>
      </c>
    </row>
    <row r="9699" spans="3:5">
      <c r="C9699">
        <v>1325.8500000000001</v>
      </c>
      <c r="D9699" s="17">
        <v>41652</v>
      </c>
      <c r="E9699" t="s">
        <v>568</v>
      </c>
    </row>
    <row r="9700" spans="3:5">
      <c r="C9700">
        <v>1325.8500000000001</v>
      </c>
      <c r="D9700" s="17">
        <v>41891</v>
      </c>
      <c r="E9700" t="s">
        <v>568</v>
      </c>
    </row>
    <row r="9701" spans="3:5">
      <c r="C9701">
        <v>1325.8500000000001</v>
      </c>
      <c r="D9701" s="17">
        <v>42344</v>
      </c>
      <c r="E9701" t="s">
        <v>568</v>
      </c>
    </row>
    <row r="9702" spans="3:5">
      <c r="C9702">
        <v>1332.4960000000001</v>
      </c>
      <c r="D9702" s="17">
        <v>42807</v>
      </c>
      <c r="E9702" t="s">
        <v>83</v>
      </c>
    </row>
    <row r="9703" spans="3:5">
      <c r="C9703">
        <v>1335.68</v>
      </c>
      <c r="D9703" s="17">
        <v>42531</v>
      </c>
      <c r="E9703" t="s">
        <v>1517</v>
      </c>
    </row>
    <row r="9704" spans="3:5">
      <c r="C9704">
        <v>1336.4399999999998</v>
      </c>
      <c r="D9704" s="17">
        <v>42626</v>
      </c>
      <c r="E9704" t="s">
        <v>759</v>
      </c>
    </row>
    <row r="9705" spans="3:5">
      <c r="C9705">
        <v>1336.829</v>
      </c>
      <c r="D9705" s="17">
        <v>43077</v>
      </c>
      <c r="E9705" t="s">
        <v>586</v>
      </c>
    </row>
    <row r="9706" spans="3:5">
      <c r="C9706">
        <v>1345.4850000000001</v>
      </c>
      <c r="D9706" s="17">
        <v>42315</v>
      </c>
      <c r="E9706" t="s">
        <v>502</v>
      </c>
    </row>
    <row r="9707" spans="3:5">
      <c r="C9707">
        <v>1347.5200000000002</v>
      </c>
      <c r="D9707" s="17">
        <v>42896</v>
      </c>
      <c r="E9707" t="s">
        <v>820</v>
      </c>
    </row>
    <row r="9708" spans="3:5">
      <c r="C9708">
        <v>1348.7040000000002</v>
      </c>
      <c r="D9708" s="17">
        <v>42201</v>
      </c>
      <c r="E9708" t="s">
        <v>1388</v>
      </c>
    </row>
    <row r="9709" spans="3:5">
      <c r="C9709">
        <v>1349.85</v>
      </c>
      <c r="D9709" s="17">
        <v>42525</v>
      </c>
      <c r="E9709" t="s">
        <v>1567</v>
      </c>
    </row>
    <row r="9710" spans="3:5">
      <c r="C9710">
        <v>1349.91</v>
      </c>
      <c r="D9710" s="17">
        <v>41902</v>
      </c>
      <c r="E9710" t="s">
        <v>128</v>
      </c>
    </row>
    <row r="9711" spans="3:5">
      <c r="C9711">
        <v>1350.1200000000001</v>
      </c>
      <c r="D9711" s="17">
        <v>42412</v>
      </c>
      <c r="E9711" t="s">
        <v>579</v>
      </c>
    </row>
    <row r="9712" spans="3:5">
      <c r="C9712">
        <v>1352.0320000000002</v>
      </c>
      <c r="D9712" s="17">
        <v>42444</v>
      </c>
      <c r="E9712" t="s">
        <v>119</v>
      </c>
    </row>
    <row r="9713" spans="3:5">
      <c r="C9713">
        <v>1352.3975999999998</v>
      </c>
      <c r="D9713" s="17">
        <v>42007</v>
      </c>
      <c r="E9713" t="s">
        <v>1741</v>
      </c>
    </row>
    <row r="9714" spans="3:5">
      <c r="C9714">
        <v>1359.96</v>
      </c>
      <c r="D9714" s="17">
        <v>43043</v>
      </c>
      <c r="E9714" t="s">
        <v>1378</v>
      </c>
    </row>
    <row r="9715" spans="3:5">
      <c r="C9715">
        <v>1362.8999999999999</v>
      </c>
      <c r="D9715" s="17">
        <v>42615</v>
      </c>
      <c r="E9715" t="s">
        <v>1498</v>
      </c>
    </row>
    <row r="9716" spans="3:5">
      <c r="C9716">
        <v>1363.96</v>
      </c>
      <c r="D9716" s="17">
        <v>42437</v>
      </c>
      <c r="E9716" t="s">
        <v>1705</v>
      </c>
    </row>
    <row r="9717" spans="3:5">
      <c r="C9717">
        <v>1363.96</v>
      </c>
      <c r="D9717" s="17">
        <v>42510</v>
      </c>
      <c r="E9717" t="s">
        <v>1705</v>
      </c>
    </row>
    <row r="9718" spans="3:5">
      <c r="C9718">
        <v>1367.84</v>
      </c>
      <c r="D9718" s="17">
        <v>41850</v>
      </c>
      <c r="E9718" t="s">
        <v>1809</v>
      </c>
    </row>
    <row r="9719" spans="3:5">
      <c r="C9719">
        <v>1369.7640000000001</v>
      </c>
      <c r="D9719" s="17">
        <v>42267</v>
      </c>
      <c r="E9719" t="s">
        <v>80</v>
      </c>
    </row>
    <row r="9720" spans="3:5">
      <c r="C9720">
        <v>1369.7640000000001</v>
      </c>
      <c r="D9720" s="17">
        <v>42579</v>
      </c>
      <c r="E9720" t="s">
        <v>80</v>
      </c>
    </row>
    <row r="9721" spans="3:5">
      <c r="C9721">
        <v>1379.92</v>
      </c>
      <c r="D9721" s="17">
        <v>42121</v>
      </c>
      <c r="E9721" t="s">
        <v>1852</v>
      </c>
    </row>
    <row r="9722" spans="3:5">
      <c r="C9722">
        <v>1394.95</v>
      </c>
      <c r="D9722" s="17">
        <v>41930</v>
      </c>
      <c r="E9722" t="s">
        <v>1871</v>
      </c>
    </row>
    <row r="9723" spans="3:5">
      <c r="C9723">
        <v>1395.54</v>
      </c>
      <c r="D9723" s="17">
        <v>41911</v>
      </c>
      <c r="E9723" t="s">
        <v>63</v>
      </c>
    </row>
    <row r="9724" spans="3:5">
      <c r="C9724">
        <v>1399.93</v>
      </c>
      <c r="D9724" s="17">
        <v>42309</v>
      </c>
      <c r="E9724" t="s">
        <v>232</v>
      </c>
    </row>
    <row r="9725" spans="3:5">
      <c r="C9725">
        <v>1399.93</v>
      </c>
      <c r="D9725" s="17">
        <v>42869</v>
      </c>
      <c r="E9725" t="s">
        <v>232</v>
      </c>
    </row>
    <row r="9726" spans="3:5">
      <c r="C9726">
        <v>1399.9440000000002</v>
      </c>
      <c r="D9726" s="17">
        <v>42594</v>
      </c>
      <c r="E9726" t="s">
        <v>1367</v>
      </c>
    </row>
    <row r="9727" spans="3:5">
      <c r="C9727">
        <v>1399.98</v>
      </c>
      <c r="D9727" s="17">
        <v>43078</v>
      </c>
      <c r="E9727" t="s">
        <v>657</v>
      </c>
    </row>
    <row r="9728" spans="3:5">
      <c r="C9728">
        <v>1403.9200000000003</v>
      </c>
      <c r="D9728" s="17">
        <v>41989</v>
      </c>
      <c r="E9728" t="s">
        <v>1462</v>
      </c>
    </row>
    <row r="9729" spans="3:5">
      <c r="C9729">
        <v>1403.9200000000003</v>
      </c>
      <c r="D9729" s="17">
        <v>42674</v>
      </c>
      <c r="E9729" t="s">
        <v>1462</v>
      </c>
    </row>
    <row r="9730" spans="3:5">
      <c r="C9730">
        <v>1406.86</v>
      </c>
      <c r="D9730" s="17">
        <v>42155</v>
      </c>
      <c r="E9730" t="s">
        <v>1773</v>
      </c>
    </row>
    <row r="9731" spans="3:5">
      <c r="C9731">
        <v>1408.1</v>
      </c>
      <c r="D9731" s="17">
        <v>42271</v>
      </c>
      <c r="E9731" t="s">
        <v>996</v>
      </c>
    </row>
    <row r="9732" spans="3:5">
      <c r="C9732">
        <v>1415.76</v>
      </c>
      <c r="D9732" s="17">
        <v>42995</v>
      </c>
      <c r="E9732" t="s">
        <v>1041</v>
      </c>
    </row>
    <row r="9733" spans="3:5">
      <c r="C9733">
        <v>1421.664</v>
      </c>
      <c r="D9733" s="17">
        <v>41943</v>
      </c>
      <c r="E9733" t="s">
        <v>1362</v>
      </c>
    </row>
    <row r="9734" spans="3:5">
      <c r="C9734">
        <v>1421.6640000000002</v>
      </c>
      <c r="D9734" s="17">
        <v>42712</v>
      </c>
      <c r="E9734" t="s">
        <v>1362</v>
      </c>
    </row>
    <row r="9735" spans="3:5">
      <c r="C9735">
        <v>1424.9</v>
      </c>
      <c r="D9735" s="17">
        <v>42714</v>
      </c>
      <c r="E9735" t="s">
        <v>1122</v>
      </c>
    </row>
    <row r="9736" spans="3:5">
      <c r="C9736">
        <v>1432.0000000000002</v>
      </c>
      <c r="D9736" s="17">
        <v>41769</v>
      </c>
      <c r="E9736" t="s">
        <v>117</v>
      </c>
    </row>
    <row r="9737" spans="3:5">
      <c r="C9737">
        <v>1439.92</v>
      </c>
      <c r="D9737" s="17">
        <v>43029</v>
      </c>
      <c r="E9737" t="s">
        <v>1337</v>
      </c>
    </row>
    <row r="9738" spans="3:5">
      <c r="C9738">
        <v>1439.9680000000001</v>
      </c>
      <c r="D9738" s="17">
        <v>42110</v>
      </c>
      <c r="E9738" t="s">
        <v>1853</v>
      </c>
    </row>
    <row r="9739" spans="3:5">
      <c r="C9739">
        <v>1439.9680000000001</v>
      </c>
      <c r="D9739" s="17">
        <v>42399</v>
      </c>
      <c r="E9739" t="s">
        <v>1787</v>
      </c>
    </row>
    <row r="9740" spans="3:5">
      <c r="C9740">
        <v>1439.9759999999999</v>
      </c>
      <c r="D9740" s="17">
        <v>42576</v>
      </c>
      <c r="E9740" t="s">
        <v>362</v>
      </c>
    </row>
    <row r="9741" spans="3:5">
      <c r="C9741">
        <v>1439.982</v>
      </c>
      <c r="D9741" s="17">
        <v>42948</v>
      </c>
      <c r="E9741" t="s">
        <v>1029</v>
      </c>
    </row>
    <row r="9742" spans="3:5">
      <c r="C9742">
        <v>1441.3</v>
      </c>
      <c r="D9742" s="17">
        <v>41799</v>
      </c>
      <c r="E9742" t="s">
        <v>487</v>
      </c>
    </row>
    <row r="9743" spans="3:5">
      <c r="C9743">
        <v>1443.96</v>
      </c>
      <c r="D9743" s="17">
        <v>43063</v>
      </c>
      <c r="E9743" t="s">
        <v>1458</v>
      </c>
    </row>
    <row r="9744" spans="3:5">
      <c r="C9744">
        <v>1447.6499999999999</v>
      </c>
      <c r="D9744" s="17">
        <v>42111</v>
      </c>
      <c r="E9744" t="s">
        <v>1406</v>
      </c>
    </row>
    <row r="9745" spans="3:5">
      <c r="C9745">
        <v>1448.8200000000002</v>
      </c>
      <c r="D9745" s="17">
        <v>42311</v>
      </c>
      <c r="E9745" t="s">
        <v>1483</v>
      </c>
    </row>
    <row r="9746" spans="3:5">
      <c r="C9746">
        <v>1454.4900000000002</v>
      </c>
      <c r="D9746" s="17">
        <v>42957</v>
      </c>
      <c r="E9746" t="s">
        <v>289</v>
      </c>
    </row>
    <row r="9747" spans="3:5">
      <c r="C9747">
        <v>1454.9</v>
      </c>
      <c r="D9747" s="17">
        <v>42462</v>
      </c>
      <c r="E9747" t="s">
        <v>849</v>
      </c>
    </row>
    <row r="9748" spans="3:5">
      <c r="C9748">
        <v>1458.65</v>
      </c>
      <c r="D9748" s="17">
        <v>42862</v>
      </c>
      <c r="E9748" t="s">
        <v>650</v>
      </c>
    </row>
    <row r="9749" spans="3:5">
      <c r="C9749">
        <v>1471.96</v>
      </c>
      <c r="D9749" s="17">
        <v>42989</v>
      </c>
      <c r="E9749" t="s">
        <v>987</v>
      </c>
    </row>
    <row r="9750" spans="3:5">
      <c r="C9750">
        <v>1473.1</v>
      </c>
      <c r="D9750" s="17">
        <v>42954</v>
      </c>
      <c r="E9750" t="s">
        <v>1045</v>
      </c>
    </row>
    <row r="9751" spans="3:5">
      <c r="C9751">
        <v>1474.8020000000001</v>
      </c>
      <c r="D9751" s="17">
        <v>42686</v>
      </c>
      <c r="E9751" t="s">
        <v>228</v>
      </c>
    </row>
    <row r="9752" spans="3:5">
      <c r="C9752">
        <v>1478.2719999999999</v>
      </c>
      <c r="D9752" s="17">
        <v>42982</v>
      </c>
      <c r="E9752" t="s">
        <v>1007</v>
      </c>
    </row>
    <row r="9753" spans="3:5">
      <c r="C9753">
        <v>1487.04</v>
      </c>
      <c r="D9753" s="17">
        <v>41754</v>
      </c>
      <c r="E9753" t="s">
        <v>284</v>
      </c>
    </row>
    <row r="9754" spans="3:5">
      <c r="C9754">
        <v>1487.04</v>
      </c>
      <c r="D9754" s="17">
        <v>41892</v>
      </c>
      <c r="E9754" t="s">
        <v>284</v>
      </c>
    </row>
    <row r="9755" spans="3:5">
      <c r="C9755">
        <v>1487.9760000000001</v>
      </c>
      <c r="D9755" s="17">
        <v>42085</v>
      </c>
      <c r="E9755" t="s">
        <v>1482</v>
      </c>
    </row>
    <row r="9756" spans="3:5">
      <c r="C9756">
        <v>1488.4239999999998</v>
      </c>
      <c r="D9756" s="17">
        <v>42974</v>
      </c>
      <c r="E9756" t="s">
        <v>1094</v>
      </c>
    </row>
    <row r="9757" spans="3:5">
      <c r="C9757">
        <v>1496.16</v>
      </c>
      <c r="D9757" s="17">
        <v>42965</v>
      </c>
      <c r="E9757" t="s">
        <v>1069</v>
      </c>
    </row>
    <row r="9758" spans="3:5">
      <c r="C9758">
        <v>1497.6659999999999</v>
      </c>
      <c r="D9758" s="17">
        <v>42894</v>
      </c>
      <c r="E9758" t="s">
        <v>809</v>
      </c>
    </row>
    <row r="9759" spans="3:5">
      <c r="C9759">
        <v>1499.95</v>
      </c>
      <c r="D9759" s="17">
        <v>42552</v>
      </c>
      <c r="E9759" t="s">
        <v>336</v>
      </c>
    </row>
    <row r="9760" spans="3:5">
      <c r="C9760">
        <v>1499.9699999999998</v>
      </c>
      <c r="D9760" s="17">
        <v>42727</v>
      </c>
      <c r="E9760" t="s">
        <v>1573</v>
      </c>
    </row>
    <row r="9761" spans="3:5">
      <c r="C9761">
        <v>1502.376</v>
      </c>
      <c r="D9761" s="17">
        <v>41967</v>
      </c>
      <c r="E9761" t="s">
        <v>195</v>
      </c>
    </row>
    <row r="9762" spans="3:5">
      <c r="C9762">
        <v>1503.25</v>
      </c>
      <c r="D9762" s="17">
        <v>41791</v>
      </c>
      <c r="E9762" t="s">
        <v>104</v>
      </c>
    </row>
    <row r="9763" spans="3:5">
      <c r="C9763">
        <v>1504.52</v>
      </c>
      <c r="D9763" s="17">
        <v>43021</v>
      </c>
      <c r="E9763" t="s">
        <v>498</v>
      </c>
    </row>
    <row r="9764" spans="3:5">
      <c r="C9764">
        <v>1516.2</v>
      </c>
      <c r="D9764" s="17">
        <v>42260</v>
      </c>
      <c r="E9764" t="s">
        <v>853</v>
      </c>
    </row>
    <row r="9765" spans="3:5">
      <c r="C9765">
        <v>1522.6379999999999</v>
      </c>
      <c r="D9765" s="17">
        <v>42160</v>
      </c>
      <c r="E9765" t="s">
        <v>1001</v>
      </c>
    </row>
    <row r="9766" spans="3:5">
      <c r="C9766">
        <v>1525.1879999999996</v>
      </c>
      <c r="D9766" s="17">
        <v>43058</v>
      </c>
      <c r="E9766" t="s">
        <v>1173</v>
      </c>
    </row>
    <row r="9767" spans="3:5">
      <c r="C9767">
        <v>1526.5600000000002</v>
      </c>
      <c r="D9767" s="17">
        <v>42819</v>
      </c>
      <c r="E9767" t="s">
        <v>435</v>
      </c>
    </row>
    <row r="9768" spans="3:5">
      <c r="C9768">
        <v>1537.0739999999998</v>
      </c>
      <c r="D9768" s="17">
        <v>42686</v>
      </c>
      <c r="E9768" t="s">
        <v>880</v>
      </c>
    </row>
    <row r="9769" spans="3:5">
      <c r="C9769">
        <v>1548.9900000000002</v>
      </c>
      <c r="D9769" s="17">
        <v>42365</v>
      </c>
      <c r="E9769" t="s">
        <v>663</v>
      </c>
    </row>
    <row r="9770" spans="3:5">
      <c r="C9770">
        <v>1552.8309999999999</v>
      </c>
      <c r="D9770" s="17">
        <v>42247</v>
      </c>
      <c r="E9770" t="s">
        <v>1198</v>
      </c>
    </row>
    <row r="9771" spans="3:5">
      <c r="C9771">
        <v>1554.9360000000001</v>
      </c>
      <c r="D9771" s="17">
        <v>42478</v>
      </c>
      <c r="E9771" t="s">
        <v>503</v>
      </c>
    </row>
    <row r="9772" spans="3:5">
      <c r="C9772">
        <v>1564.29</v>
      </c>
      <c r="D9772" s="17">
        <v>42392</v>
      </c>
      <c r="E9772" t="s">
        <v>1458</v>
      </c>
    </row>
    <row r="9773" spans="3:5">
      <c r="C9773">
        <v>1565.88</v>
      </c>
      <c r="D9773" s="17">
        <v>42377</v>
      </c>
      <c r="E9773" t="s">
        <v>1198</v>
      </c>
    </row>
    <row r="9774" spans="3:5">
      <c r="C9774">
        <v>1568.61</v>
      </c>
      <c r="D9774" s="17">
        <v>42699</v>
      </c>
      <c r="E9774" t="s">
        <v>400</v>
      </c>
    </row>
    <row r="9775" spans="3:5">
      <c r="C9775">
        <v>1573.4880000000001</v>
      </c>
      <c r="D9775" s="17">
        <v>42004</v>
      </c>
      <c r="E9775" t="s">
        <v>977</v>
      </c>
    </row>
    <row r="9776" spans="3:5">
      <c r="C9776">
        <v>1575.14</v>
      </c>
      <c r="D9776" s="17">
        <v>43010</v>
      </c>
      <c r="E9776" t="s">
        <v>579</v>
      </c>
    </row>
    <row r="9777" spans="3:5">
      <c r="C9777">
        <v>1577.94</v>
      </c>
      <c r="D9777" s="17">
        <v>42980</v>
      </c>
      <c r="E9777" t="s">
        <v>1100</v>
      </c>
    </row>
    <row r="9778" spans="3:5">
      <c r="C9778">
        <v>1577.94</v>
      </c>
      <c r="D9778" s="17">
        <v>42985</v>
      </c>
      <c r="E9778" t="s">
        <v>1100</v>
      </c>
    </row>
    <row r="9779" spans="3:5">
      <c r="C9779">
        <v>1579.7460000000001</v>
      </c>
      <c r="D9779" s="17">
        <v>41715</v>
      </c>
      <c r="E9779" t="s">
        <v>498</v>
      </c>
    </row>
    <row r="9780" spans="3:5">
      <c r="C9780">
        <v>1586.6899999999998</v>
      </c>
      <c r="D9780" s="17">
        <v>43091</v>
      </c>
      <c r="E9780" t="s">
        <v>1486</v>
      </c>
    </row>
    <row r="9781" spans="3:5">
      <c r="C9781">
        <v>1591.02</v>
      </c>
      <c r="D9781" s="17">
        <v>42594</v>
      </c>
      <c r="E9781" t="s">
        <v>568</v>
      </c>
    </row>
    <row r="9782" spans="3:5">
      <c r="C9782">
        <v>1592.8500000000001</v>
      </c>
      <c r="D9782" s="17">
        <v>42372</v>
      </c>
      <c r="E9782" t="s">
        <v>1104</v>
      </c>
    </row>
    <row r="9783" spans="3:5">
      <c r="C9783">
        <v>1598.0580000000002</v>
      </c>
      <c r="D9783" s="17">
        <v>42342</v>
      </c>
      <c r="E9783" t="s">
        <v>80</v>
      </c>
    </row>
    <row r="9784" spans="3:5">
      <c r="C9784">
        <v>1599.92</v>
      </c>
      <c r="D9784" s="17">
        <v>42624</v>
      </c>
      <c r="E9784" t="s">
        <v>980</v>
      </c>
    </row>
    <row r="9785" spans="3:5">
      <c r="C9785">
        <v>1603.1360000000002</v>
      </c>
      <c r="D9785" s="17">
        <v>42608</v>
      </c>
      <c r="E9785" t="s">
        <v>1242</v>
      </c>
    </row>
    <row r="9786" spans="3:5">
      <c r="C9786">
        <v>1603.1360000000002</v>
      </c>
      <c r="D9786" s="17">
        <v>42681</v>
      </c>
      <c r="E9786" t="s">
        <v>1242</v>
      </c>
    </row>
    <row r="9787" spans="3:5">
      <c r="C9787">
        <v>1604.9</v>
      </c>
      <c r="D9787" s="17">
        <v>41943</v>
      </c>
      <c r="E9787" t="s">
        <v>1180</v>
      </c>
    </row>
    <row r="9788" spans="3:5">
      <c r="C9788">
        <v>1606.23</v>
      </c>
      <c r="D9788" s="17">
        <v>42632</v>
      </c>
      <c r="E9788" t="s">
        <v>207</v>
      </c>
    </row>
    <row r="9789" spans="3:5">
      <c r="C9789">
        <v>1614.5820000000003</v>
      </c>
      <c r="D9789" s="17">
        <v>42960</v>
      </c>
      <c r="E9789" t="s">
        <v>502</v>
      </c>
    </row>
    <row r="9790" spans="3:5">
      <c r="C9790">
        <v>1618.37</v>
      </c>
      <c r="D9790" s="17">
        <v>42359</v>
      </c>
      <c r="E9790" t="s">
        <v>627</v>
      </c>
    </row>
    <row r="9791" spans="3:5">
      <c r="C9791">
        <v>1619.91</v>
      </c>
      <c r="D9791" s="17">
        <v>42344</v>
      </c>
      <c r="E9791" t="s">
        <v>1659</v>
      </c>
    </row>
    <row r="9792" spans="3:5">
      <c r="C9792">
        <v>1626.1920000000002</v>
      </c>
      <c r="D9792" s="17">
        <v>42937</v>
      </c>
      <c r="E9792" t="s">
        <v>469</v>
      </c>
    </row>
    <row r="9793" spans="3:5">
      <c r="C9793">
        <v>1628.82</v>
      </c>
      <c r="D9793" s="17">
        <v>41926</v>
      </c>
      <c r="E9793" t="s">
        <v>1341</v>
      </c>
    </row>
    <row r="9794" spans="3:5">
      <c r="C9794">
        <v>1628.82</v>
      </c>
      <c r="D9794" s="17">
        <v>42874</v>
      </c>
      <c r="E9794" t="s">
        <v>719</v>
      </c>
    </row>
    <row r="9795" spans="3:5">
      <c r="C9795">
        <v>1633.14</v>
      </c>
      <c r="D9795" s="17">
        <v>43048</v>
      </c>
      <c r="E9795" t="s">
        <v>409</v>
      </c>
    </row>
    <row r="9796" spans="3:5">
      <c r="C9796">
        <v>1633.1880000000003</v>
      </c>
      <c r="D9796" s="17">
        <v>43027</v>
      </c>
      <c r="E9796" t="s">
        <v>113</v>
      </c>
    </row>
    <row r="9797" spans="3:5">
      <c r="C9797">
        <v>1640.6999999999998</v>
      </c>
      <c r="D9797" s="17">
        <v>42296</v>
      </c>
      <c r="E9797" t="s">
        <v>214</v>
      </c>
    </row>
    <row r="9798" spans="3:5">
      <c r="C9798">
        <v>1640.6999999999998</v>
      </c>
      <c r="D9798" s="17">
        <v>42771</v>
      </c>
      <c r="E9798" t="s">
        <v>214</v>
      </c>
    </row>
    <row r="9799" spans="3:5">
      <c r="C9799">
        <v>1649.75</v>
      </c>
      <c r="D9799" s="17">
        <v>42657</v>
      </c>
      <c r="E9799" t="s">
        <v>279</v>
      </c>
    </row>
    <row r="9800" spans="3:5">
      <c r="C9800">
        <v>1649.95</v>
      </c>
      <c r="D9800" s="17">
        <v>42707</v>
      </c>
      <c r="E9800" t="s">
        <v>1010</v>
      </c>
    </row>
    <row r="9801" spans="3:5">
      <c r="C9801">
        <v>1649.95</v>
      </c>
      <c r="D9801" s="17">
        <v>42942</v>
      </c>
      <c r="E9801" t="s">
        <v>1010</v>
      </c>
    </row>
    <row r="9802" spans="3:5">
      <c r="C9802">
        <v>1652.94</v>
      </c>
      <c r="D9802" s="17">
        <v>42618</v>
      </c>
      <c r="E9802" t="s">
        <v>1665</v>
      </c>
    </row>
    <row r="9803" spans="3:5">
      <c r="C9803">
        <v>1652.94</v>
      </c>
      <c r="D9803" s="17">
        <v>42719</v>
      </c>
      <c r="E9803" t="s">
        <v>1136</v>
      </c>
    </row>
    <row r="9804" spans="3:5">
      <c r="C9804">
        <v>1665.62</v>
      </c>
      <c r="D9804" s="17">
        <v>43088</v>
      </c>
      <c r="E9804" t="s">
        <v>83</v>
      </c>
    </row>
    <row r="9805" spans="3:5">
      <c r="C9805">
        <v>1669.6</v>
      </c>
      <c r="D9805" s="17">
        <v>43079</v>
      </c>
      <c r="E9805" t="s">
        <v>1517</v>
      </c>
    </row>
    <row r="9806" spans="3:5">
      <c r="C9806">
        <v>1673.1839999999997</v>
      </c>
      <c r="D9806" s="17">
        <v>43042</v>
      </c>
      <c r="E9806" t="s">
        <v>400</v>
      </c>
    </row>
    <row r="9807" spans="3:5">
      <c r="C9807">
        <v>1676.88</v>
      </c>
      <c r="D9807" s="17">
        <v>41798</v>
      </c>
      <c r="E9807" t="s">
        <v>1570</v>
      </c>
    </row>
    <row r="9808" spans="3:5">
      <c r="C9808">
        <v>1679.96</v>
      </c>
      <c r="D9808" s="17">
        <v>41757</v>
      </c>
      <c r="E9808" t="s">
        <v>166</v>
      </c>
    </row>
    <row r="9809" spans="3:5">
      <c r="C9809">
        <v>1684.7520000000002</v>
      </c>
      <c r="D9809" s="17">
        <v>42698</v>
      </c>
      <c r="E9809" t="s">
        <v>826</v>
      </c>
    </row>
    <row r="9810" spans="3:5">
      <c r="C9810">
        <v>1685.88</v>
      </c>
      <c r="D9810" s="17">
        <v>42495</v>
      </c>
      <c r="E9810" t="s">
        <v>1641</v>
      </c>
    </row>
    <row r="9811" spans="3:5">
      <c r="C9811">
        <v>1687.8</v>
      </c>
      <c r="D9811" s="17">
        <v>42004</v>
      </c>
      <c r="E9811" t="s">
        <v>926</v>
      </c>
    </row>
    <row r="9812" spans="3:5">
      <c r="C9812">
        <v>1687.8</v>
      </c>
      <c r="D9812" s="17">
        <v>42919</v>
      </c>
      <c r="E9812" t="s">
        <v>926</v>
      </c>
    </row>
    <row r="9813" spans="3:5">
      <c r="C9813">
        <v>1690.04</v>
      </c>
      <c r="D9813" s="17">
        <v>42268</v>
      </c>
      <c r="E9813" t="s">
        <v>119</v>
      </c>
    </row>
    <row r="9814" spans="3:5">
      <c r="C9814">
        <v>1702.12</v>
      </c>
      <c r="D9814" s="17">
        <v>43038</v>
      </c>
      <c r="E9814" t="s">
        <v>571</v>
      </c>
    </row>
    <row r="9815" spans="3:5">
      <c r="C9815">
        <v>1704.56</v>
      </c>
      <c r="D9815" s="17">
        <v>43087</v>
      </c>
      <c r="E9815" t="s">
        <v>318</v>
      </c>
    </row>
    <row r="9816" spans="3:5">
      <c r="C9816">
        <v>1704.89</v>
      </c>
      <c r="D9816" s="17">
        <v>43009</v>
      </c>
      <c r="E9816" t="s">
        <v>1283</v>
      </c>
    </row>
    <row r="9817" spans="3:5">
      <c r="C9817">
        <v>1706.1840000000002</v>
      </c>
      <c r="D9817" s="17">
        <v>41799</v>
      </c>
      <c r="E9817" t="s">
        <v>1079</v>
      </c>
    </row>
    <row r="9818" spans="3:5">
      <c r="C9818">
        <v>1718.4</v>
      </c>
      <c r="D9818" s="17">
        <v>42346</v>
      </c>
      <c r="E9818" t="s">
        <v>117</v>
      </c>
    </row>
    <row r="9819" spans="3:5">
      <c r="C9819">
        <v>1737.1799999999998</v>
      </c>
      <c r="D9819" s="17">
        <v>42001</v>
      </c>
      <c r="E9819" t="s">
        <v>1406</v>
      </c>
    </row>
    <row r="9820" spans="3:5">
      <c r="C9820">
        <v>1740.0599999999997</v>
      </c>
      <c r="D9820" s="17">
        <v>41890</v>
      </c>
      <c r="E9820" t="s">
        <v>701</v>
      </c>
    </row>
    <row r="9821" spans="3:5">
      <c r="C9821">
        <v>1747.25</v>
      </c>
      <c r="D9821" s="17">
        <v>42729</v>
      </c>
      <c r="E9821" t="s">
        <v>606</v>
      </c>
    </row>
    <row r="9822" spans="3:5">
      <c r="C9822">
        <v>1779.9</v>
      </c>
      <c r="D9822" s="17">
        <v>42959</v>
      </c>
      <c r="E9822" t="s">
        <v>1049</v>
      </c>
    </row>
    <row r="9823" spans="3:5">
      <c r="C9823">
        <v>1781.6819999999998</v>
      </c>
      <c r="D9823" s="17">
        <v>43069</v>
      </c>
      <c r="E9823" t="s">
        <v>617</v>
      </c>
    </row>
    <row r="9824" spans="3:5">
      <c r="C9824">
        <v>1793.98</v>
      </c>
      <c r="D9824" s="17">
        <v>41884</v>
      </c>
      <c r="E9824" t="s">
        <v>502</v>
      </c>
    </row>
    <row r="9825" spans="3:5">
      <c r="C9825">
        <v>1793.98</v>
      </c>
      <c r="D9825" s="17">
        <v>42722</v>
      </c>
      <c r="E9825" t="s">
        <v>502</v>
      </c>
    </row>
    <row r="9826" spans="3:5">
      <c r="C9826">
        <v>1793.98</v>
      </c>
      <c r="D9826" s="17">
        <v>43011</v>
      </c>
      <c r="E9826" t="s">
        <v>502</v>
      </c>
    </row>
    <row r="9827" spans="3:5">
      <c r="C9827">
        <v>1799.75</v>
      </c>
      <c r="D9827" s="17">
        <v>42342</v>
      </c>
      <c r="E9827" t="s">
        <v>1192</v>
      </c>
    </row>
    <row r="9828" spans="3:5">
      <c r="C9828">
        <v>1799.9699999999998</v>
      </c>
      <c r="D9828" s="17">
        <v>41767</v>
      </c>
      <c r="E9828" t="s">
        <v>362</v>
      </c>
    </row>
    <row r="9829" spans="3:5">
      <c r="C9829">
        <v>1799.97</v>
      </c>
      <c r="D9829" s="17">
        <v>41903</v>
      </c>
      <c r="E9829" t="s">
        <v>443</v>
      </c>
    </row>
    <row r="9830" spans="3:5">
      <c r="C9830">
        <v>1799.9940000000001</v>
      </c>
      <c r="D9830" s="17">
        <v>42353</v>
      </c>
      <c r="E9830" t="s">
        <v>480</v>
      </c>
    </row>
    <row r="9831" spans="3:5">
      <c r="C9831">
        <v>1801.6320000000001</v>
      </c>
      <c r="D9831" s="17">
        <v>41911</v>
      </c>
      <c r="E9831" t="s">
        <v>148</v>
      </c>
    </row>
    <row r="9832" spans="3:5">
      <c r="C9832">
        <v>1801.6320000000001</v>
      </c>
      <c r="D9832" s="17">
        <v>42287</v>
      </c>
      <c r="E9832" t="s">
        <v>148</v>
      </c>
    </row>
    <row r="9833" spans="3:5">
      <c r="C9833">
        <v>1801.6320000000001</v>
      </c>
      <c r="D9833" s="17">
        <v>42962</v>
      </c>
      <c r="E9833" t="s">
        <v>148</v>
      </c>
    </row>
    <row r="9834" spans="3:5">
      <c r="C9834">
        <v>1805.88</v>
      </c>
      <c r="D9834" s="17">
        <v>42815</v>
      </c>
      <c r="E9834" t="s">
        <v>228</v>
      </c>
    </row>
    <row r="9835" spans="3:5">
      <c r="C9835">
        <v>1819.8600000000001</v>
      </c>
      <c r="D9835" s="17">
        <v>41992</v>
      </c>
      <c r="E9835" t="s">
        <v>743</v>
      </c>
    </row>
    <row r="9836" spans="3:5">
      <c r="C9836">
        <v>1856.19</v>
      </c>
      <c r="D9836" s="17">
        <v>41716</v>
      </c>
      <c r="E9836" t="s">
        <v>568</v>
      </c>
    </row>
    <row r="9837" spans="3:5">
      <c r="C9837">
        <v>1871.88</v>
      </c>
      <c r="D9837" s="17">
        <v>42274</v>
      </c>
      <c r="E9837" t="s">
        <v>1019</v>
      </c>
    </row>
    <row r="9838" spans="3:5">
      <c r="C9838">
        <v>1875.258</v>
      </c>
      <c r="D9838" s="17">
        <v>43024</v>
      </c>
      <c r="E9838" t="s">
        <v>75</v>
      </c>
    </row>
    <row r="9839" spans="3:5">
      <c r="C9839">
        <v>1879.96</v>
      </c>
      <c r="D9839" s="17">
        <v>42232</v>
      </c>
      <c r="E9839" t="s">
        <v>428</v>
      </c>
    </row>
    <row r="9840" spans="3:5">
      <c r="C9840">
        <v>1879.96</v>
      </c>
      <c r="D9840" s="17">
        <v>43065</v>
      </c>
      <c r="E9840" t="s">
        <v>428</v>
      </c>
    </row>
    <row r="9841" spans="3:5">
      <c r="C9841">
        <v>1889.9459999999999</v>
      </c>
      <c r="D9841" s="17">
        <v>42930</v>
      </c>
      <c r="E9841" t="s">
        <v>847</v>
      </c>
    </row>
    <row r="9842" spans="3:5">
      <c r="C9842">
        <v>1889.9899999999998</v>
      </c>
      <c r="D9842" s="17">
        <v>43076</v>
      </c>
      <c r="E9842" t="s">
        <v>1505</v>
      </c>
    </row>
    <row r="9843" spans="3:5">
      <c r="C9843">
        <v>1913.3999999999999</v>
      </c>
      <c r="D9843" s="17">
        <v>42339</v>
      </c>
      <c r="E9843" t="s">
        <v>497</v>
      </c>
    </row>
    <row r="9844" spans="3:5">
      <c r="C9844">
        <v>1919.9760000000001</v>
      </c>
      <c r="D9844" s="17">
        <v>42034</v>
      </c>
      <c r="E9844" t="s">
        <v>1029</v>
      </c>
    </row>
    <row r="9845" spans="3:5">
      <c r="C9845">
        <v>1919.9760000000001</v>
      </c>
      <c r="D9845" s="17">
        <v>43055</v>
      </c>
      <c r="E9845" t="s">
        <v>1029</v>
      </c>
    </row>
    <row r="9846" spans="3:5">
      <c r="C9846">
        <v>1924.1599999999999</v>
      </c>
      <c r="D9846" s="17">
        <v>42750</v>
      </c>
      <c r="E9846" t="s">
        <v>104</v>
      </c>
    </row>
    <row r="9847" spans="3:5">
      <c r="C9847">
        <v>1925.88</v>
      </c>
      <c r="D9847" s="17">
        <v>42887</v>
      </c>
      <c r="E9847" t="s">
        <v>785</v>
      </c>
    </row>
    <row r="9848" spans="3:5">
      <c r="C9848">
        <v>1927.5900000000001</v>
      </c>
      <c r="D9848" s="17">
        <v>42660</v>
      </c>
      <c r="E9848" t="s">
        <v>1653</v>
      </c>
    </row>
    <row r="9849" spans="3:5">
      <c r="C9849">
        <v>1928.7800000000002</v>
      </c>
      <c r="D9849" s="17">
        <v>42980</v>
      </c>
      <c r="E9849" t="s">
        <v>1117</v>
      </c>
    </row>
    <row r="9850" spans="3:5">
      <c r="C9850">
        <v>1931.04</v>
      </c>
      <c r="D9850" s="17">
        <v>42198</v>
      </c>
      <c r="E9850" t="s">
        <v>652</v>
      </c>
    </row>
    <row r="9851" spans="3:5">
      <c r="C9851">
        <v>1931.9579999999999</v>
      </c>
      <c r="D9851" s="17">
        <v>42987</v>
      </c>
      <c r="E9851" t="s">
        <v>1164</v>
      </c>
    </row>
    <row r="9852" spans="3:5">
      <c r="C9852">
        <v>1951.84</v>
      </c>
      <c r="D9852" s="17">
        <v>42709</v>
      </c>
      <c r="E9852" t="s">
        <v>880</v>
      </c>
    </row>
    <row r="9853" spans="3:5">
      <c r="C9853">
        <v>1979.6999999999998</v>
      </c>
      <c r="D9853" s="17">
        <v>42520</v>
      </c>
      <c r="E9853" t="s">
        <v>279</v>
      </c>
    </row>
    <row r="9854" spans="3:5">
      <c r="C9854">
        <v>1979.89</v>
      </c>
      <c r="D9854" s="17">
        <v>43067</v>
      </c>
      <c r="E9854" t="s">
        <v>686</v>
      </c>
    </row>
    <row r="9855" spans="3:5">
      <c r="C9855">
        <v>1979.9280000000001</v>
      </c>
      <c r="D9855" s="17">
        <v>42513</v>
      </c>
      <c r="E9855" t="s">
        <v>371</v>
      </c>
    </row>
    <row r="9856" spans="3:5">
      <c r="C9856">
        <v>1983.9680000000001</v>
      </c>
      <c r="D9856" s="17">
        <v>41944</v>
      </c>
      <c r="E9856" t="s">
        <v>1482</v>
      </c>
    </row>
    <row r="9857" spans="3:5">
      <c r="C9857">
        <v>1999.96</v>
      </c>
      <c r="D9857" s="17">
        <v>41926</v>
      </c>
      <c r="E9857" t="s">
        <v>1427</v>
      </c>
    </row>
    <row r="9858" spans="3:5">
      <c r="C9858">
        <v>1999.96</v>
      </c>
      <c r="D9858" s="17">
        <v>42727</v>
      </c>
      <c r="E9858" t="s">
        <v>1427</v>
      </c>
    </row>
    <row r="9859" spans="3:5">
      <c r="C9859">
        <v>2001.8600000000001</v>
      </c>
      <c r="D9859" s="17">
        <v>41791</v>
      </c>
      <c r="E9859" t="s">
        <v>242</v>
      </c>
    </row>
    <row r="9860" spans="3:5">
      <c r="C9860">
        <v>2003.1680000000001</v>
      </c>
      <c r="D9860" s="17">
        <v>42765</v>
      </c>
      <c r="E9860" t="s">
        <v>195</v>
      </c>
    </row>
    <row r="9861" spans="3:5">
      <c r="C9861">
        <v>2003.52</v>
      </c>
      <c r="D9861" s="17">
        <v>42721</v>
      </c>
      <c r="E9861" t="s">
        <v>1517</v>
      </c>
    </row>
    <row r="9862" spans="3:5">
      <c r="C9862">
        <v>2003.9200000000003</v>
      </c>
      <c r="D9862" s="17">
        <v>42264</v>
      </c>
      <c r="E9862" t="s">
        <v>889</v>
      </c>
    </row>
    <row r="9863" spans="3:5">
      <c r="C9863">
        <v>2003.9200000000003</v>
      </c>
      <c r="D9863" s="17">
        <v>42339</v>
      </c>
      <c r="E9863" t="s">
        <v>1242</v>
      </c>
    </row>
    <row r="9864" spans="3:5">
      <c r="C9864">
        <v>2022.2720000000002</v>
      </c>
      <c r="D9864" s="17">
        <v>42738</v>
      </c>
      <c r="E9864" t="s">
        <v>66</v>
      </c>
    </row>
    <row r="9865" spans="3:5">
      <c r="C9865">
        <v>2025.3600000000001</v>
      </c>
      <c r="D9865" s="17">
        <v>42353</v>
      </c>
      <c r="E9865" t="s">
        <v>926</v>
      </c>
    </row>
    <row r="9866" spans="3:5">
      <c r="C9866">
        <v>2033.5840000000001</v>
      </c>
      <c r="D9866" s="17">
        <v>41954</v>
      </c>
      <c r="E9866" t="s">
        <v>1173</v>
      </c>
    </row>
    <row r="9867" spans="3:5">
      <c r="C9867">
        <v>2036.8600000000001</v>
      </c>
      <c r="D9867" s="17">
        <v>43045</v>
      </c>
      <c r="E9867" t="s">
        <v>969</v>
      </c>
    </row>
    <row r="9868" spans="3:5">
      <c r="C9868">
        <v>2054.2720000000004</v>
      </c>
      <c r="D9868" s="17">
        <v>42989</v>
      </c>
      <c r="E9868" t="s">
        <v>1180</v>
      </c>
    </row>
    <row r="9869" spans="3:5">
      <c r="C9869">
        <v>2060.7440000000001</v>
      </c>
      <c r="D9869" s="17">
        <v>41860</v>
      </c>
      <c r="E9869" t="s">
        <v>987</v>
      </c>
    </row>
    <row r="9870" spans="3:5">
      <c r="C9870">
        <v>2065.3200000000002</v>
      </c>
      <c r="D9870" s="17">
        <v>43067</v>
      </c>
      <c r="E9870" t="s">
        <v>663</v>
      </c>
    </row>
    <row r="9871" spans="3:5">
      <c r="C9871">
        <v>2079.4</v>
      </c>
      <c r="D9871" s="17">
        <v>42706</v>
      </c>
      <c r="E9871" t="s">
        <v>563</v>
      </c>
    </row>
    <row r="9872" spans="3:5">
      <c r="C9872">
        <v>2104.5499999999997</v>
      </c>
      <c r="D9872" s="17">
        <v>42705</v>
      </c>
      <c r="E9872" t="s">
        <v>104</v>
      </c>
    </row>
    <row r="9873" spans="3:5">
      <c r="C9873">
        <v>2152.7760000000003</v>
      </c>
      <c r="D9873" s="17">
        <v>41960</v>
      </c>
      <c r="E9873" t="s">
        <v>502</v>
      </c>
    </row>
    <row r="9874" spans="3:5">
      <c r="C9874">
        <v>2154.9</v>
      </c>
      <c r="D9874" s="17">
        <v>43020</v>
      </c>
      <c r="E9874" t="s">
        <v>1215</v>
      </c>
    </row>
    <row r="9875" spans="3:5">
      <c r="C9875">
        <v>2177.5839999999994</v>
      </c>
      <c r="D9875" s="17">
        <v>41846</v>
      </c>
      <c r="E9875" t="s">
        <v>113</v>
      </c>
    </row>
    <row r="9876" spans="3:5">
      <c r="C9876">
        <v>2239.9360000000001</v>
      </c>
      <c r="D9876" s="17">
        <v>42901</v>
      </c>
      <c r="E9876" t="s">
        <v>847</v>
      </c>
    </row>
    <row r="9877" spans="3:5">
      <c r="C9877">
        <v>2244.48</v>
      </c>
      <c r="D9877" s="17">
        <v>41993</v>
      </c>
      <c r="E9877" t="s">
        <v>245</v>
      </c>
    </row>
    <row r="9878" spans="3:5">
      <c r="C9878">
        <v>2249.91</v>
      </c>
      <c r="D9878" s="17">
        <v>42357</v>
      </c>
      <c r="E9878" t="s">
        <v>1367</v>
      </c>
    </row>
    <row r="9879" spans="3:5">
      <c r="C9879">
        <v>2249.91</v>
      </c>
      <c r="D9879" s="17">
        <v>43041</v>
      </c>
      <c r="E9879" t="s">
        <v>1367</v>
      </c>
    </row>
    <row r="9880" spans="3:5">
      <c r="C9880">
        <v>2254.41</v>
      </c>
      <c r="D9880" s="17">
        <v>42998</v>
      </c>
      <c r="E9880" t="s">
        <v>1242</v>
      </c>
    </row>
    <row r="9881" spans="3:5">
      <c r="C9881">
        <v>2275.5</v>
      </c>
      <c r="D9881" s="17">
        <v>42520</v>
      </c>
      <c r="E9881" t="s">
        <v>1546</v>
      </c>
    </row>
    <row r="9882" spans="3:5">
      <c r="C9882">
        <v>2279.96</v>
      </c>
      <c r="D9882" s="17">
        <v>42687</v>
      </c>
      <c r="E9882" t="s">
        <v>1639</v>
      </c>
    </row>
    <row r="9883" spans="3:5">
      <c r="C9883">
        <v>2309.65</v>
      </c>
      <c r="D9883" s="17">
        <v>42216</v>
      </c>
      <c r="E9883" t="s">
        <v>279</v>
      </c>
    </row>
    <row r="9884" spans="3:5">
      <c r="C9884">
        <v>2314.116</v>
      </c>
      <c r="D9884" s="17">
        <v>43010</v>
      </c>
      <c r="E9884" t="s">
        <v>1136</v>
      </c>
    </row>
    <row r="9885" spans="3:5">
      <c r="C9885">
        <v>2321.9</v>
      </c>
      <c r="D9885" s="17">
        <v>42317</v>
      </c>
      <c r="E9885" t="s">
        <v>1820</v>
      </c>
    </row>
    <row r="9886" spans="3:5">
      <c r="C9886">
        <v>2348.8200000000002</v>
      </c>
      <c r="D9886" s="17">
        <v>41911</v>
      </c>
      <c r="E9886" t="s">
        <v>62</v>
      </c>
    </row>
    <row r="9887" spans="3:5">
      <c r="C9887">
        <v>2357.4880000000003</v>
      </c>
      <c r="D9887" s="17">
        <v>42993</v>
      </c>
      <c r="E9887" t="s">
        <v>1200</v>
      </c>
    </row>
    <row r="9888" spans="3:5">
      <c r="C9888">
        <v>2395.2000000000003</v>
      </c>
      <c r="D9888" s="17">
        <v>42919</v>
      </c>
      <c r="E9888" t="s">
        <v>925</v>
      </c>
    </row>
    <row r="9889" spans="3:5">
      <c r="C9889">
        <v>2396.2655999999997</v>
      </c>
      <c r="D9889" s="17">
        <v>42621</v>
      </c>
      <c r="E9889" t="s">
        <v>809</v>
      </c>
    </row>
    <row r="9890" spans="3:5">
      <c r="C9890">
        <v>2396.4</v>
      </c>
      <c r="D9890" s="17">
        <v>42511</v>
      </c>
      <c r="E9890" t="s">
        <v>1753</v>
      </c>
    </row>
    <row r="9891" spans="3:5">
      <c r="C9891">
        <v>2399.6</v>
      </c>
      <c r="D9891" s="17">
        <v>43030</v>
      </c>
      <c r="E9891" t="s">
        <v>1116</v>
      </c>
    </row>
    <row r="9892" spans="3:5">
      <c r="C9892">
        <v>2399.96</v>
      </c>
      <c r="D9892" s="17">
        <v>42820</v>
      </c>
      <c r="E9892" t="s">
        <v>443</v>
      </c>
    </row>
    <row r="9893" spans="3:5">
      <c r="C9893">
        <v>2399.96</v>
      </c>
      <c r="D9893" s="17">
        <v>42940</v>
      </c>
      <c r="E9893" t="s">
        <v>362</v>
      </c>
    </row>
    <row r="9894" spans="3:5">
      <c r="C9894">
        <v>2404.7040000000002</v>
      </c>
      <c r="D9894" s="17">
        <v>43052</v>
      </c>
      <c r="E9894" t="s">
        <v>1242</v>
      </c>
    </row>
    <row r="9895" spans="3:5">
      <c r="C9895">
        <v>2405.1999999999998</v>
      </c>
      <c r="D9895" s="17">
        <v>42887</v>
      </c>
      <c r="E9895" t="s">
        <v>104</v>
      </c>
    </row>
    <row r="9896" spans="3:5">
      <c r="C9896">
        <v>2430.08</v>
      </c>
      <c r="D9896" s="17">
        <v>42576</v>
      </c>
      <c r="E9896" t="s">
        <v>1094</v>
      </c>
    </row>
    <row r="9897" spans="3:5">
      <c r="C9897">
        <v>2453.4299999999998</v>
      </c>
      <c r="D9897" s="17">
        <v>42292</v>
      </c>
      <c r="E9897" t="s">
        <v>618</v>
      </c>
    </row>
    <row r="9898" spans="3:5">
      <c r="C9898">
        <v>2479.96</v>
      </c>
      <c r="D9898" s="17">
        <v>43071</v>
      </c>
      <c r="E9898" t="s">
        <v>1482</v>
      </c>
    </row>
    <row r="9899" spans="3:5">
      <c r="C9899">
        <v>2504.7399999999998</v>
      </c>
      <c r="D9899" s="17">
        <v>43058</v>
      </c>
      <c r="E9899" t="s">
        <v>1441</v>
      </c>
    </row>
    <row r="9900" spans="3:5">
      <c r="C9900">
        <v>2518.29</v>
      </c>
      <c r="D9900" s="17">
        <v>42964</v>
      </c>
      <c r="E9900" t="s">
        <v>1062</v>
      </c>
    </row>
    <row r="9901" spans="3:5">
      <c r="C9901">
        <v>2519.9579999999996</v>
      </c>
      <c r="D9901" s="17">
        <v>41901</v>
      </c>
      <c r="E9901" t="s">
        <v>1879</v>
      </c>
    </row>
    <row r="9902" spans="3:5">
      <c r="C9902">
        <v>2541.98</v>
      </c>
      <c r="D9902" s="17">
        <v>42056</v>
      </c>
      <c r="E9902" t="s">
        <v>1173</v>
      </c>
    </row>
    <row r="9903" spans="3:5">
      <c r="C9903">
        <v>2548.5600000000004</v>
      </c>
      <c r="D9903" s="17">
        <v>42368</v>
      </c>
      <c r="E9903" t="s">
        <v>1727</v>
      </c>
    </row>
    <row r="9904" spans="3:5">
      <c r="C9904">
        <v>2549.9850000000006</v>
      </c>
      <c r="D9904" s="17">
        <v>42842</v>
      </c>
      <c r="E9904" t="s">
        <v>69</v>
      </c>
    </row>
    <row r="9905" spans="3:5">
      <c r="C9905">
        <v>2563.056</v>
      </c>
      <c r="D9905" s="17">
        <v>42729</v>
      </c>
      <c r="E9905" t="s">
        <v>1049</v>
      </c>
    </row>
    <row r="9906" spans="3:5">
      <c r="C9906">
        <v>2567.84</v>
      </c>
      <c r="D9906" s="17">
        <v>42155</v>
      </c>
      <c r="E9906" t="s">
        <v>1180</v>
      </c>
    </row>
    <row r="9907" spans="3:5">
      <c r="C9907">
        <v>2573.8200000000002</v>
      </c>
      <c r="D9907" s="17">
        <v>41645</v>
      </c>
      <c r="E9907" t="s">
        <v>242</v>
      </c>
    </row>
    <row r="9908" spans="3:5">
      <c r="C9908">
        <v>2575.944</v>
      </c>
      <c r="D9908" s="17">
        <v>42729</v>
      </c>
      <c r="E9908" t="s">
        <v>1164</v>
      </c>
    </row>
    <row r="9909" spans="3:5">
      <c r="C9909">
        <v>2591.56</v>
      </c>
      <c r="D9909" s="17">
        <v>42833</v>
      </c>
      <c r="E9909" t="s">
        <v>503</v>
      </c>
    </row>
    <row r="9910" spans="3:5">
      <c r="C9910">
        <v>2621.3220000000001</v>
      </c>
      <c r="D9910" s="17">
        <v>42310</v>
      </c>
      <c r="E9910" t="s">
        <v>1055</v>
      </c>
    </row>
    <row r="9911" spans="3:5">
      <c r="C9911">
        <v>2624.9850000000001</v>
      </c>
      <c r="D9911" s="17">
        <v>41901</v>
      </c>
      <c r="E9911" t="s">
        <v>1786</v>
      </c>
    </row>
    <row r="9912" spans="3:5">
      <c r="C9912">
        <v>2625.12</v>
      </c>
      <c r="D9912" s="17">
        <v>42331</v>
      </c>
      <c r="E9912" t="s">
        <v>214</v>
      </c>
    </row>
    <row r="9913" spans="3:5">
      <c r="C9913">
        <v>2665.62</v>
      </c>
      <c r="D9913" s="17">
        <v>43040</v>
      </c>
      <c r="E9913" t="s">
        <v>1362</v>
      </c>
    </row>
    <row r="9914" spans="3:5">
      <c r="C9914">
        <v>2676.672</v>
      </c>
      <c r="D9914" s="17">
        <v>42339</v>
      </c>
      <c r="E9914" t="s">
        <v>284</v>
      </c>
    </row>
    <row r="9915" spans="3:5">
      <c r="C9915">
        <v>2678.94</v>
      </c>
      <c r="D9915" s="17">
        <v>42685</v>
      </c>
      <c r="E9915" t="s">
        <v>75</v>
      </c>
    </row>
    <row r="9916" spans="3:5">
      <c r="C9916">
        <v>2690.9700000000003</v>
      </c>
      <c r="D9916" s="17">
        <v>42833</v>
      </c>
      <c r="E9916" t="s">
        <v>502</v>
      </c>
    </row>
    <row r="9917" spans="3:5">
      <c r="C9917">
        <v>2715.9300000000003</v>
      </c>
      <c r="D9917" s="17">
        <v>41780</v>
      </c>
      <c r="E9917" t="s">
        <v>1070</v>
      </c>
    </row>
    <row r="9918" spans="3:5">
      <c r="C9918">
        <v>2735.9520000000002</v>
      </c>
      <c r="D9918" s="17">
        <v>41941</v>
      </c>
      <c r="E9918" t="s">
        <v>934</v>
      </c>
    </row>
    <row r="9919" spans="3:5">
      <c r="C9919">
        <v>2793.5280000000002</v>
      </c>
      <c r="D9919" s="17">
        <v>42965</v>
      </c>
      <c r="E9919" t="s">
        <v>1070</v>
      </c>
    </row>
    <row r="9920" spans="3:5">
      <c r="C9920">
        <v>2799.944</v>
      </c>
      <c r="D9920" s="17">
        <v>42132</v>
      </c>
      <c r="E9920" t="s">
        <v>1506</v>
      </c>
    </row>
    <row r="9921" spans="3:5">
      <c r="C9921">
        <v>2799.96</v>
      </c>
      <c r="D9921" s="17">
        <v>41896</v>
      </c>
      <c r="E9921" t="s">
        <v>1781</v>
      </c>
    </row>
    <row r="9922" spans="3:5">
      <c r="C9922">
        <v>2799.9600000000005</v>
      </c>
      <c r="D9922" s="17">
        <v>42244</v>
      </c>
      <c r="E9922" t="s">
        <v>657</v>
      </c>
    </row>
    <row r="9923" spans="3:5">
      <c r="C9923">
        <v>2799.9600000000005</v>
      </c>
      <c r="D9923" s="17">
        <v>42558</v>
      </c>
      <c r="E9923" t="s">
        <v>1703</v>
      </c>
    </row>
    <row r="9924" spans="3:5">
      <c r="C9924">
        <v>2799.9600000000005</v>
      </c>
      <c r="D9924" s="17">
        <v>42617</v>
      </c>
      <c r="E9924" t="s">
        <v>1703</v>
      </c>
    </row>
    <row r="9925" spans="3:5">
      <c r="C9925">
        <v>2803.92</v>
      </c>
      <c r="D9925" s="17">
        <v>42031</v>
      </c>
      <c r="E9925" t="s">
        <v>618</v>
      </c>
    </row>
    <row r="9926" spans="3:5">
      <c r="C9926">
        <v>2803.92</v>
      </c>
      <c r="D9926" s="17">
        <v>42856</v>
      </c>
      <c r="E9926" t="s">
        <v>618</v>
      </c>
    </row>
    <row r="9927" spans="3:5">
      <c r="C9927">
        <v>2807.84</v>
      </c>
      <c r="D9927" s="17">
        <v>41974</v>
      </c>
      <c r="E9927" t="s">
        <v>1462</v>
      </c>
    </row>
    <row r="9928" spans="3:5">
      <c r="C9928">
        <v>2879.9520000000002</v>
      </c>
      <c r="D9928" s="17">
        <v>43093</v>
      </c>
      <c r="E9928" t="s">
        <v>362</v>
      </c>
    </row>
    <row r="9929" spans="3:5">
      <c r="C9929">
        <v>2887.0560000000005</v>
      </c>
      <c r="D9929" s="17">
        <v>42603</v>
      </c>
      <c r="E9929" t="s">
        <v>1697</v>
      </c>
    </row>
    <row r="9930" spans="3:5">
      <c r="C9930">
        <v>2888.1270000000004</v>
      </c>
      <c r="D9930" s="17">
        <v>42998</v>
      </c>
      <c r="E9930" t="s">
        <v>650</v>
      </c>
    </row>
    <row r="9931" spans="3:5">
      <c r="C9931">
        <v>2934.33</v>
      </c>
      <c r="D9931" s="17">
        <v>41960</v>
      </c>
      <c r="E9931" t="s">
        <v>1758</v>
      </c>
    </row>
    <row r="9932" spans="3:5">
      <c r="C9932">
        <v>2939.9300000000003</v>
      </c>
      <c r="D9932" s="17">
        <v>42761</v>
      </c>
      <c r="E9932" t="s">
        <v>166</v>
      </c>
    </row>
    <row r="9933" spans="3:5">
      <c r="C9933">
        <v>2973.32</v>
      </c>
      <c r="D9933" s="17">
        <v>42146</v>
      </c>
      <c r="E9933" t="s">
        <v>1727</v>
      </c>
    </row>
    <row r="9934" spans="3:5">
      <c r="C9934">
        <v>2999.95</v>
      </c>
      <c r="D9934" s="17">
        <v>42757</v>
      </c>
      <c r="E9934" t="s">
        <v>145</v>
      </c>
    </row>
    <row r="9935" spans="3:5">
      <c r="C9935">
        <v>2999.95</v>
      </c>
      <c r="D9935" s="17">
        <v>42825</v>
      </c>
      <c r="E9935" t="s">
        <v>362</v>
      </c>
    </row>
    <row r="9936" spans="3:5">
      <c r="C9936">
        <v>3023.9280000000003</v>
      </c>
      <c r="D9936" s="17">
        <v>42527</v>
      </c>
      <c r="E9936" t="s">
        <v>166</v>
      </c>
    </row>
    <row r="9937" spans="3:5">
      <c r="C9937">
        <v>3040</v>
      </c>
      <c r="D9937" s="17">
        <v>42700</v>
      </c>
      <c r="E9937" t="s">
        <v>1616</v>
      </c>
    </row>
    <row r="9938" spans="3:5">
      <c r="C9938">
        <v>3050.3760000000002</v>
      </c>
      <c r="D9938" s="17">
        <v>42171</v>
      </c>
      <c r="E9938" t="s">
        <v>1173</v>
      </c>
    </row>
    <row r="9939" spans="3:5">
      <c r="C9939">
        <v>3059.982</v>
      </c>
      <c r="D9939" s="17">
        <v>41901</v>
      </c>
      <c r="E9939" t="s">
        <v>69</v>
      </c>
    </row>
    <row r="9940" spans="3:5">
      <c r="C9940">
        <v>3059.982</v>
      </c>
      <c r="D9940" s="17">
        <v>42742</v>
      </c>
      <c r="E9940" t="s">
        <v>69</v>
      </c>
    </row>
    <row r="9941" spans="3:5">
      <c r="C9941">
        <v>3080</v>
      </c>
      <c r="D9941" s="17">
        <v>42240</v>
      </c>
      <c r="E9941" t="s">
        <v>1838</v>
      </c>
    </row>
    <row r="9942" spans="3:5">
      <c r="C9942">
        <v>3083.4300000000003</v>
      </c>
      <c r="D9942" s="17">
        <v>42264</v>
      </c>
      <c r="E9942" t="s">
        <v>809</v>
      </c>
    </row>
    <row r="9943" spans="3:5">
      <c r="C9943">
        <v>3149.9300000000003</v>
      </c>
      <c r="D9943" s="17">
        <v>42082</v>
      </c>
      <c r="E9943" t="s">
        <v>1853</v>
      </c>
    </row>
    <row r="9944" spans="3:5">
      <c r="C9944">
        <v>3266.3760000000002</v>
      </c>
      <c r="D9944" s="17">
        <v>41807</v>
      </c>
      <c r="E9944" t="s">
        <v>113</v>
      </c>
    </row>
    <row r="9945" spans="3:5">
      <c r="C9945">
        <v>3347.37</v>
      </c>
      <c r="D9945" s="17">
        <v>42624</v>
      </c>
      <c r="E9945" t="s">
        <v>499</v>
      </c>
    </row>
    <row r="9946" spans="3:5">
      <c r="C9946">
        <v>3357.6000000000004</v>
      </c>
      <c r="D9946" s="17">
        <v>42439</v>
      </c>
      <c r="E9946" t="s">
        <v>1739</v>
      </c>
    </row>
    <row r="9947" spans="3:5">
      <c r="C9947">
        <v>3359.9520000000002</v>
      </c>
      <c r="D9947" s="17">
        <v>42863</v>
      </c>
      <c r="E9947" t="s">
        <v>657</v>
      </c>
    </row>
    <row r="9948" spans="3:5">
      <c r="C9948">
        <v>3393.68</v>
      </c>
      <c r="D9948" s="17">
        <v>42089</v>
      </c>
      <c r="E9948" t="s">
        <v>617</v>
      </c>
    </row>
    <row r="9949" spans="3:5">
      <c r="C9949">
        <v>3404.5</v>
      </c>
      <c r="D9949" s="17">
        <v>42903</v>
      </c>
      <c r="E9949" t="s">
        <v>861</v>
      </c>
    </row>
    <row r="9950" spans="3:5">
      <c r="C9950">
        <v>3406.6640000000002</v>
      </c>
      <c r="D9950" s="17">
        <v>42700</v>
      </c>
      <c r="E9950" t="s">
        <v>889</v>
      </c>
    </row>
    <row r="9951" spans="3:5">
      <c r="C9951">
        <v>3499.9300000000003</v>
      </c>
      <c r="D9951" s="17">
        <v>41719</v>
      </c>
      <c r="E9951" t="s">
        <v>1833</v>
      </c>
    </row>
    <row r="9952" spans="3:5">
      <c r="C9952">
        <v>3504.9</v>
      </c>
      <c r="D9952" s="17">
        <v>42517</v>
      </c>
      <c r="E9952" t="s">
        <v>618</v>
      </c>
    </row>
    <row r="9953" spans="3:5">
      <c r="C9953">
        <v>3610.848</v>
      </c>
      <c r="D9953" s="17">
        <v>41985</v>
      </c>
      <c r="E9953" t="s">
        <v>498</v>
      </c>
    </row>
    <row r="9954" spans="3:5">
      <c r="C9954">
        <v>3785.2920000000004</v>
      </c>
      <c r="D9954" s="17">
        <v>41894</v>
      </c>
      <c r="E9954" t="s">
        <v>618</v>
      </c>
    </row>
    <row r="9955" spans="3:5">
      <c r="C9955">
        <v>3812.9700000000003</v>
      </c>
      <c r="D9955" s="17">
        <v>42122</v>
      </c>
      <c r="E9955" t="s">
        <v>1173</v>
      </c>
    </row>
    <row r="9956" spans="3:5">
      <c r="C9956">
        <v>3930.0720000000001</v>
      </c>
      <c r="D9956" s="17">
        <v>42432</v>
      </c>
      <c r="E9956" t="s">
        <v>1776</v>
      </c>
    </row>
    <row r="9957" spans="3:5">
      <c r="C9957">
        <v>3991.98</v>
      </c>
      <c r="D9957" s="17">
        <v>41947</v>
      </c>
      <c r="E9957" t="s">
        <v>1868</v>
      </c>
    </row>
    <row r="9958" spans="3:5">
      <c r="C9958">
        <v>3999.95</v>
      </c>
      <c r="D9958" s="17">
        <v>42497</v>
      </c>
      <c r="E9958" t="s">
        <v>1029</v>
      </c>
    </row>
    <row r="9959" spans="3:5">
      <c r="C9959">
        <v>4007.8400000000006</v>
      </c>
      <c r="D9959" s="17">
        <v>41960</v>
      </c>
      <c r="E9959" t="s">
        <v>889</v>
      </c>
    </row>
    <row r="9960" spans="3:5">
      <c r="C9960">
        <v>4158.9120000000003</v>
      </c>
      <c r="D9960" s="17">
        <v>42439</v>
      </c>
      <c r="E9960" t="s">
        <v>1241</v>
      </c>
    </row>
    <row r="9961" spans="3:5">
      <c r="C9961">
        <v>4164.0499999999993</v>
      </c>
      <c r="D9961" s="17">
        <v>41734</v>
      </c>
      <c r="E9961" t="s">
        <v>83</v>
      </c>
    </row>
    <row r="9962" spans="3:5">
      <c r="C9962">
        <v>4164.0499999999993</v>
      </c>
      <c r="D9962" s="17">
        <v>42748</v>
      </c>
      <c r="E9962" t="s">
        <v>83</v>
      </c>
    </row>
    <row r="9963" spans="3:5">
      <c r="C9963">
        <v>4228.7040000000006</v>
      </c>
      <c r="D9963" s="17">
        <v>42264</v>
      </c>
      <c r="E9963" t="s">
        <v>809</v>
      </c>
    </row>
    <row r="9964" spans="3:5">
      <c r="C9964">
        <v>4297.6440000000002</v>
      </c>
      <c r="D9964" s="17">
        <v>42032</v>
      </c>
      <c r="E9964" t="s">
        <v>1136</v>
      </c>
    </row>
    <row r="9965" spans="3:5">
      <c r="C9965">
        <v>4305.5520000000006</v>
      </c>
      <c r="D9965" s="17">
        <v>42968</v>
      </c>
      <c r="E9965" t="s">
        <v>502</v>
      </c>
    </row>
    <row r="9966" spans="3:5">
      <c r="C9966">
        <v>4355.1680000000006</v>
      </c>
      <c r="D9966" s="17">
        <v>42614</v>
      </c>
      <c r="E9966" t="s">
        <v>113</v>
      </c>
    </row>
    <row r="9967" spans="3:5">
      <c r="C9967">
        <v>4367.8960000000006</v>
      </c>
      <c r="D9967" s="17">
        <v>42970</v>
      </c>
      <c r="E9967" t="s">
        <v>166</v>
      </c>
    </row>
    <row r="9968" spans="3:5">
      <c r="C9968">
        <v>4404.8999999999996</v>
      </c>
      <c r="D9968" s="17">
        <v>42316</v>
      </c>
      <c r="E9968" t="s">
        <v>809</v>
      </c>
    </row>
    <row r="9969" spans="3:5">
      <c r="C9969">
        <v>4416.174</v>
      </c>
      <c r="D9969" s="17">
        <v>42964</v>
      </c>
      <c r="E9969" t="s">
        <v>618</v>
      </c>
    </row>
    <row r="9970" spans="3:5">
      <c r="C9970">
        <v>4476.8</v>
      </c>
      <c r="D9970" s="17">
        <v>42545</v>
      </c>
      <c r="E9970" t="s">
        <v>1739</v>
      </c>
    </row>
    <row r="9971" spans="3:5">
      <c r="C9971">
        <v>4499.9850000000006</v>
      </c>
      <c r="D9971" s="17">
        <v>42699</v>
      </c>
      <c r="E9971" t="s">
        <v>480</v>
      </c>
    </row>
    <row r="9972" spans="3:5">
      <c r="C9972">
        <v>4535.9760000000006</v>
      </c>
      <c r="D9972" s="17">
        <v>42664</v>
      </c>
      <c r="E9972" t="s">
        <v>1505</v>
      </c>
    </row>
    <row r="9973" spans="3:5">
      <c r="C9973">
        <v>4548.8100000000004</v>
      </c>
      <c r="D9973" s="17">
        <v>41962</v>
      </c>
      <c r="E9973" t="s">
        <v>1241</v>
      </c>
    </row>
    <row r="9974" spans="3:5">
      <c r="C9974">
        <v>4643.8</v>
      </c>
      <c r="D9974" s="17">
        <v>42316</v>
      </c>
      <c r="E9974" t="s">
        <v>1820</v>
      </c>
    </row>
    <row r="9975" spans="3:5">
      <c r="C9975">
        <v>4663.7360000000008</v>
      </c>
      <c r="D9975" s="17">
        <v>43000</v>
      </c>
      <c r="E9975" t="s">
        <v>83</v>
      </c>
    </row>
    <row r="9976" spans="3:5">
      <c r="C9976">
        <v>4799.9839999999995</v>
      </c>
      <c r="D9976" s="17">
        <v>42826</v>
      </c>
      <c r="E9976" t="s">
        <v>480</v>
      </c>
    </row>
    <row r="9977" spans="3:5">
      <c r="C9977">
        <v>4899.93</v>
      </c>
      <c r="D9977" s="17">
        <v>42362</v>
      </c>
      <c r="E9977" t="s">
        <v>1703</v>
      </c>
    </row>
    <row r="9978" spans="3:5">
      <c r="C9978">
        <v>4899.93</v>
      </c>
      <c r="D9978" s="17">
        <v>42430</v>
      </c>
      <c r="E9978" t="s">
        <v>1781</v>
      </c>
    </row>
    <row r="9979" spans="3:5">
      <c r="C9979">
        <v>4912.59</v>
      </c>
      <c r="D9979" s="17">
        <v>42442</v>
      </c>
      <c r="E9979" t="s">
        <v>1776</v>
      </c>
    </row>
    <row r="9980" spans="3:5">
      <c r="C9980">
        <v>5083.96</v>
      </c>
      <c r="D9980" s="17">
        <v>43021</v>
      </c>
      <c r="E9980" t="s">
        <v>1173</v>
      </c>
    </row>
    <row r="9981" spans="3:5">
      <c r="C9981">
        <v>5199.96</v>
      </c>
      <c r="D9981" s="17">
        <v>43013</v>
      </c>
      <c r="E9981" t="s">
        <v>1295</v>
      </c>
    </row>
    <row r="9982" spans="3:5">
      <c r="C9982">
        <v>5399.91</v>
      </c>
      <c r="D9982" s="17">
        <v>42647</v>
      </c>
      <c r="E9982" t="s">
        <v>362</v>
      </c>
    </row>
    <row r="9983" spans="3:5">
      <c r="C9983">
        <v>5443.96</v>
      </c>
      <c r="D9983" s="17">
        <v>42751</v>
      </c>
      <c r="E9983" t="s">
        <v>113</v>
      </c>
    </row>
    <row r="9984" spans="3:5">
      <c r="C9984">
        <v>6354.95</v>
      </c>
      <c r="D9984" s="17">
        <v>42079</v>
      </c>
      <c r="E9984" t="s">
        <v>1173</v>
      </c>
    </row>
    <row r="9985" spans="3:5">
      <c r="C9985">
        <v>6999.96</v>
      </c>
      <c r="D9985" s="17">
        <v>41987</v>
      </c>
      <c r="E9985" t="s">
        <v>1786</v>
      </c>
    </row>
    <row r="9986" spans="3:5">
      <c r="C9986">
        <v>7999.98</v>
      </c>
      <c r="D9986" s="17">
        <v>43043</v>
      </c>
      <c r="E9986" t="s">
        <v>1375</v>
      </c>
    </row>
    <row r="9987" spans="3:5">
      <c r="C9987">
        <v>8159.9519999999993</v>
      </c>
      <c r="D9987" s="17">
        <v>41890</v>
      </c>
      <c r="E9987" t="s">
        <v>69</v>
      </c>
    </row>
    <row r="9988" spans="3:5">
      <c r="C9988">
        <v>8187.65</v>
      </c>
      <c r="D9988" s="17">
        <v>41845</v>
      </c>
      <c r="E9988" t="s">
        <v>1776</v>
      </c>
    </row>
    <row r="9989" spans="3:5">
      <c r="C9989">
        <v>8399.9759999999987</v>
      </c>
      <c r="D9989" s="17">
        <v>42513</v>
      </c>
      <c r="E9989" t="s">
        <v>424</v>
      </c>
    </row>
    <row r="9990" spans="3:5">
      <c r="C9990">
        <v>8749.9500000000007</v>
      </c>
      <c r="D9990" s="17">
        <v>42402</v>
      </c>
      <c r="E9990" t="s">
        <v>1786</v>
      </c>
    </row>
    <row r="9991" spans="3:5">
      <c r="C9991">
        <v>9099.93</v>
      </c>
      <c r="D9991" s="17">
        <v>42476</v>
      </c>
      <c r="E9991" t="s">
        <v>1295</v>
      </c>
    </row>
    <row r="9992" spans="3:5">
      <c r="C9992">
        <v>9449.9500000000007</v>
      </c>
      <c r="D9992" s="17">
        <v>41905</v>
      </c>
      <c r="E9992" t="s">
        <v>1505</v>
      </c>
    </row>
    <row r="9993" spans="3:5">
      <c r="C9993">
        <v>9892.74</v>
      </c>
      <c r="D9993" s="17">
        <v>42721</v>
      </c>
      <c r="E9993" t="s">
        <v>80</v>
      </c>
    </row>
    <row r="9994" spans="3:5">
      <c r="C9994">
        <v>10499.97</v>
      </c>
      <c r="D9994" s="17">
        <v>43056</v>
      </c>
      <c r="E9994" t="s">
        <v>424</v>
      </c>
    </row>
    <row r="9995" spans="3:5">
      <c r="C9995">
        <v>11199.968000000001</v>
      </c>
      <c r="D9995" s="17">
        <v>43030</v>
      </c>
      <c r="E9995" t="s">
        <v>424</v>
      </c>
    </row>
    <row r="9996" spans="3:5">
      <c r="C9996">
        <v>13999.96</v>
      </c>
      <c r="D9996" s="17">
        <v>42817</v>
      </c>
      <c r="E9996" t="s">
        <v>424</v>
      </c>
    </row>
    <row r="9997" spans="3:5">
      <c r="C9997">
        <v>17499.949999999997</v>
      </c>
      <c r="D9997" s="17">
        <v>42645</v>
      </c>
      <c r="E9997" t="s">
        <v>424</v>
      </c>
    </row>
    <row r="9998" spans="3:5">
      <c r="C9998">
        <v>22638.48</v>
      </c>
      <c r="D9998" s="17">
        <v>41716</v>
      </c>
      <c r="E9998" t="s">
        <v>1894</v>
      </c>
    </row>
  </sheetData>
  <sortState xmlns:xlrd2="http://schemas.microsoft.com/office/spreadsheetml/2017/richdata2" ref="C5:E9998">
    <sortCondition ref="C5:C9998"/>
    <sortCondition ref="D5:D999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509A-DA16-4562-BA21-7B624D6CCFE4}">
  <dimension ref="A2:H7"/>
  <sheetViews>
    <sheetView zoomScaleNormal="100" workbookViewId="0">
      <selection activeCell="E10" sqref="E10"/>
    </sheetView>
  </sheetViews>
  <sheetFormatPr defaultRowHeight="14.4"/>
  <cols>
    <col min="1" max="2" width="10.33203125" bestFit="1" customWidth="1"/>
    <col min="3" max="3" width="13.6640625" bestFit="1" customWidth="1"/>
    <col min="5" max="5" width="11.77734375" bestFit="1" customWidth="1"/>
  </cols>
  <sheetData>
    <row r="2" spans="1:8">
      <c r="A2" s="1" t="s">
        <v>1899</v>
      </c>
      <c r="B2" s="1" t="s">
        <v>1900</v>
      </c>
      <c r="C2" s="1" t="s">
        <v>1901</v>
      </c>
      <c r="D2" s="1" t="s">
        <v>1902</v>
      </c>
      <c r="E2" s="1" t="s">
        <v>1903</v>
      </c>
      <c r="F2" s="1" t="s">
        <v>27</v>
      </c>
      <c r="G2" s="1" t="s">
        <v>0</v>
      </c>
      <c r="H2" s="1" t="s">
        <v>1904</v>
      </c>
    </row>
    <row r="3" spans="1:8">
      <c r="A3" t="s">
        <v>1905</v>
      </c>
      <c r="B3" t="s">
        <v>1906</v>
      </c>
      <c r="C3">
        <f>B3-A3</f>
        <v>55</v>
      </c>
      <c r="D3">
        <f ca="1">TODAY()</f>
        <v>46203</v>
      </c>
      <c r="E3">
        <f>DATE(2025,12,31)</f>
        <v>46022</v>
      </c>
      <c r="F3">
        <f>YEAR(E3)</f>
        <v>2025</v>
      </c>
      <c r="G3">
        <f>MONTH(E3)</f>
        <v>12</v>
      </c>
      <c r="H3">
        <f>DAY(E3)</f>
        <v>31</v>
      </c>
    </row>
    <row r="4" spans="1:8">
      <c r="A4" s="17">
        <v>42565</v>
      </c>
      <c r="B4" s="17">
        <v>42570</v>
      </c>
      <c r="C4">
        <f>B4-A4</f>
        <v>5</v>
      </c>
      <c r="D4">
        <f ca="1">TODAY()</f>
        <v>46203</v>
      </c>
      <c r="E4">
        <f>DATE(2025,12,31)</f>
        <v>46022</v>
      </c>
    </row>
    <row r="7" spans="1:8">
      <c r="A7" t="s">
        <v>1907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62CC-E595-4BFB-90C7-C268F716DAA3}">
  <dimension ref="B2:F3"/>
  <sheetViews>
    <sheetView workbookViewId="0">
      <selection activeCell="B3" sqref="B3"/>
    </sheetView>
  </sheetViews>
  <sheetFormatPr defaultRowHeight="14.4"/>
  <sheetData>
    <row r="2" spans="2:6">
      <c r="B2" s="1" t="s">
        <v>1</v>
      </c>
      <c r="C2" s="1" t="s">
        <v>1908</v>
      </c>
      <c r="D2" s="1" t="s">
        <v>1909</v>
      </c>
      <c r="E2" s="1" t="s">
        <v>1910</v>
      </c>
      <c r="F2" s="1" t="s">
        <v>1911</v>
      </c>
    </row>
    <row r="3" spans="2:6">
      <c r="B3">
        <v>6000</v>
      </c>
      <c r="C3" t="str">
        <f>IF(B3&gt;=5000,"High","Low")</f>
        <v>High</v>
      </c>
      <c r="D3" t="b">
        <f>AND(B3&gt;=5000,B3&lt;=10000)</f>
        <v>1</v>
      </c>
      <c r="E3" t="b">
        <f>OR(B3&gt;=5000,B3&lt;1000)</f>
        <v>1</v>
      </c>
      <c r="F3" t="str">
        <f>IFERROR(B3/0,"Error Handled")</f>
        <v>Error Handled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9C2A-B376-4722-B688-F9D1FF25B424}">
  <dimension ref="B2:U35"/>
  <sheetViews>
    <sheetView topLeftCell="A11" workbookViewId="0">
      <selection activeCell="R32" sqref="R32"/>
    </sheetView>
  </sheetViews>
  <sheetFormatPr defaultRowHeight="14.4"/>
  <sheetData>
    <row r="2" spans="2:13">
      <c r="B2" s="1" t="s">
        <v>1912</v>
      </c>
      <c r="C2" s="1" t="s">
        <v>1913</v>
      </c>
      <c r="D2" s="1" t="s">
        <v>1914</v>
      </c>
      <c r="E2" s="1" t="s">
        <v>1915</v>
      </c>
      <c r="F2" s="1" t="s">
        <v>1916</v>
      </c>
      <c r="G2" s="1" t="s">
        <v>1917</v>
      </c>
      <c r="H2" s="1" t="s">
        <v>1918</v>
      </c>
      <c r="I2" s="1" t="s">
        <v>1919</v>
      </c>
      <c r="J2" s="1" t="s">
        <v>1920</v>
      </c>
      <c r="K2" s="1" t="s">
        <v>1921</v>
      </c>
      <c r="L2" s="1" t="s">
        <v>1922</v>
      </c>
      <c r="M2" s="1" t="s">
        <v>1923</v>
      </c>
    </row>
    <row r="3" spans="2:13">
      <c r="B3" t="s">
        <v>1924</v>
      </c>
      <c r="C3" t="str">
        <f>UPPER(B3)</f>
        <v xml:space="preserve">  JOHN DOE  </v>
      </c>
      <c r="D3" t="str">
        <f>LOWER(B3)</f>
        <v xml:space="preserve">  john doe  </v>
      </c>
      <c r="E3" t="str">
        <f>PROPER(B3)</f>
        <v xml:space="preserve">  John Doe  </v>
      </c>
      <c r="F3" t="str">
        <f>TRIM(B3)</f>
        <v>john doe</v>
      </c>
      <c r="G3">
        <f>LEN(F3)</f>
        <v>8</v>
      </c>
      <c r="H3" t="str">
        <f>LEFT(F3,4)</f>
        <v>john</v>
      </c>
      <c r="I3" t="str">
        <f>RIGHT(F3,3)</f>
        <v>doe</v>
      </c>
      <c r="J3" t="str">
        <f>MID(F3,6,3)</f>
        <v>doe</v>
      </c>
      <c r="K3">
        <f>SEARCH("doe",F3)</f>
        <v>6</v>
      </c>
      <c r="L3">
        <f>FIND("doe",F3)</f>
        <v>6</v>
      </c>
      <c r="M3" t="str">
        <f>CONCATENATE(H3," ",I3)</f>
        <v>john doe</v>
      </c>
    </row>
    <row r="6" spans="2:13">
      <c r="B6" t="s">
        <v>1</v>
      </c>
      <c r="D6" t="s">
        <v>1</v>
      </c>
    </row>
    <row r="7" spans="2:13">
      <c r="B7">
        <v>1000</v>
      </c>
      <c r="D7">
        <v>1000</v>
      </c>
    </row>
    <row r="8" spans="2:13">
      <c r="B8">
        <v>2000</v>
      </c>
      <c r="D8">
        <v>2000</v>
      </c>
    </row>
    <row r="9" spans="2:13">
      <c r="B9">
        <v>1000</v>
      </c>
      <c r="D9">
        <v>2420</v>
      </c>
    </row>
    <row r="10" spans="2:13">
      <c r="B10">
        <v>2420</v>
      </c>
      <c r="D10">
        <v>3000</v>
      </c>
    </row>
    <row r="11" spans="2:13">
      <c r="B11">
        <v>1000</v>
      </c>
    </row>
    <row r="12" spans="2:13">
      <c r="B12">
        <v>3000</v>
      </c>
    </row>
    <row r="15" spans="2:13">
      <c r="C15" s="14" t="s">
        <v>1925</v>
      </c>
    </row>
    <row r="16" spans="2:13">
      <c r="C16" s="13"/>
    </row>
    <row r="17" spans="3:21">
      <c r="C17" s="15" t="s">
        <v>1926</v>
      </c>
    </row>
    <row r="18" spans="3:21">
      <c r="C18" s="15" t="s">
        <v>1927</v>
      </c>
    </row>
    <row r="19" spans="3:21">
      <c r="C19" s="15" t="s">
        <v>1928</v>
      </c>
    </row>
    <row r="20" spans="3:21">
      <c r="C20" s="15" t="s">
        <v>1929</v>
      </c>
    </row>
    <row r="21" spans="3:21">
      <c r="C21" s="15" t="s">
        <v>1930</v>
      </c>
    </row>
    <row r="22" spans="3:21">
      <c r="C22" s="15" t="s">
        <v>1931</v>
      </c>
    </row>
    <row r="24" spans="3:21"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4"/>
    </row>
    <row r="25" spans="3:21">
      <c r="C25" s="21">
        <v>1</v>
      </c>
      <c r="D25" s="22" t="s">
        <v>1932</v>
      </c>
      <c r="E25" s="22" t="s">
        <v>1933</v>
      </c>
      <c r="F25" s="22" t="s">
        <v>1934</v>
      </c>
      <c r="G25" s="22" t="s">
        <v>1935</v>
      </c>
      <c r="H25" s="22" t="s">
        <v>1936</v>
      </c>
      <c r="I25" s="22" t="s">
        <v>1937</v>
      </c>
      <c r="J25" s="22" t="s">
        <v>1938</v>
      </c>
      <c r="K25" s="22" t="s">
        <v>1945</v>
      </c>
      <c r="L25" s="22" t="s">
        <v>1946</v>
      </c>
      <c r="M25" s="22" t="s">
        <v>1947</v>
      </c>
      <c r="N25" s="22" t="s">
        <v>1948</v>
      </c>
      <c r="O25" s="22" t="s">
        <v>1949</v>
      </c>
      <c r="P25" s="22" t="s">
        <v>1939</v>
      </c>
      <c r="Q25" s="22" t="s">
        <v>1940</v>
      </c>
      <c r="R25" s="22" t="s">
        <v>1941</v>
      </c>
      <c r="S25" s="22" t="s">
        <v>1942</v>
      </c>
      <c r="T25" s="22" t="s">
        <v>1943</v>
      </c>
      <c r="U25" s="23" t="s">
        <v>1944</v>
      </c>
    </row>
    <row r="26" spans="3:21"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/>
    </row>
    <row r="27" spans="3:21"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</row>
    <row r="28" spans="3:21">
      <c r="C28" s="14" t="s">
        <v>1950</v>
      </c>
    </row>
    <row r="29" spans="3:21">
      <c r="C29" s="13"/>
      <c r="O29" s="27"/>
    </row>
    <row r="30" spans="3:21">
      <c r="C30" s="15" t="s">
        <v>1951</v>
      </c>
    </row>
    <row r="31" spans="3:21">
      <c r="C31" s="15" t="s">
        <v>1952</v>
      </c>
    </row>
    <row r="32" spans="3:21">
      <c r="C32" s="15" t="s">
        <v>1953</v>
      </c>
    </row>
    <row r="33" spans="3:3">
      <c r="C33" s="15" t="s">
        <v>1954</v>
      </c>
    </row>
    <row r="34" spans="3:3">
      <c r="C34" s="15" t="s">
        <v>1955</v>
      </c>
    </row>
    <row r="35" spans="3:3">
      <c r="C35" s="15" t="s">
        <v>1956</v>
      </c>
    </row>
  </sheetData>
  <conditionalFormatting sqref="B7:B12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D3EE-C212-4B80-B8C9-2225629A7C75}">
  <dimension ref="B1:K27"/>
  <sheetViews>
    <sheetView tabSelected="1" topLeftCell="A5" workbookViewId="0">
      <selection activeCell="K4" sqref="K4:K11"/>
    </sheetView>
  </sheetViews>
  <sheetFormatPr defaultRowHeight="14.4"/>
  <cols>
    <col min="2" max="2" width="16.33203125" bestFit="1" customWidth="1"/>
    <col min="3" max="3" width="16.21875" bestFit="1" customWidth="1"/>
    <col min="5" max="5" width="28.33203125" bestFit="1" customWidth="1"/>
    <col min="7" max="7" width="28.33203125" bestFit="1" customWidth="1"/>
    <col min="9" max="9" width="16.21875" bestFit="1" customWidth="1"/>
  </cols>
  <sheetData>
    <row r="1" spans="2:11">
      <c r="I1" t="s">
        <v>2023</v>
      </c>
    </row>
    <row r="2" spans="2:11" ht="15.6">
      <c r="B2" s="16" t="s">
        <v>1957</v>
      </c>
      <c r="E2" s="14" t="s">
        <v>1997</v>
      </c>
      <c r="G2" s="14" t="s">
        <v>1998</v>
      </c>
      <c r="I2" s="28" t="s">
        <v>1999</v>
      </c>
    </row>
    <row r="3" spans="2:11">
      <c r="B3" t="s">
        <v>1958</v>
      </c>
      <c r="C3" t="s">
        <v>1983</v>
      </c>
      <c r="E3" t="str">
        <f>CONCATENATE(B3,C3)</f>
        <v>Ted TrevinoJulia Barnett</v>
      </c>
      <c r="G3" t="str">
        <f>B3&amp;C3</f>
        <v>Ted TrevinoJulia Barnett</v>
      </c>
      <c r="I3" t="s">
        <v>2000</v>
      </c>
    </row>
    <row r="4" spans="2:11">
      <c r="B4" t="s">
        <v>1959</v>
      </c>
      <c r="C4" t="s">
        <v>1984</v>
      </c>
      <c r="E4" t="str">
        <f t="shared" ref="E4:E27" si="0">CONCATENATE(B4,C4)</f>
        <v>Sonia SunleyZuschuss Donatelli</v>
      </c>
      <c r="G4" t="str">
        <f>B4&amp;C4</f>
        <v>Sonia SunleyZuschuss Donatelli</v>
      </c>
      <c r="I4" t="s">
        <v>2001</v>
      </c>
      <c r="K4" s="14" t="s">
        <v>2024</v>
      </c>
    </row>
    <row r="5" spans="2:11">
      <c r="B5" t="s">
        <v>1960</v>
      </c>
      <c r="C5" t="s">
        <v>1985</v>
      </c>
      <c r="E5" t="str">
        <f t="shared" si="0"/>
        <v>Maribeth YedwabKimberly Carter</v>
      </c>
      <c r="G5" t="str">
        <f>B5&amp;C5</f>
        <v>Maribeth YedwabKimberly Carter</v>
      </c>
      <c r="I5" t="s">
        <v>2002</v>
      </c>
      <c r="K5" s="13"/>
    </row>
    <row r="6" spans="2:11">
      <c r="B6" t="s">
        <v>1961</v>
      </c>
      <c r="C6" t="s">
        <v>1985</v>
      </c>
      <c r="E6" t="str">
        <f t="shared" si="0"/>
        <v>Logan HaushalterKimberly Carter</v>
      </c>
      <c r="G6" t="str">
        <f>B6&amp;C6</f>
        <v>Logan HaushalterKimberly Carter</v>
      </c>
      <c r="I6" t="s">
        <v>2003</v>
      </c>
      <c r="K6" s="15" t="s">
        <v>2025</v>
      </c>
    </row>
    <row r="7" spans="2:11">
      <c r="B7" t="s">
        <v>1962</v>
      </c>
      <c r="C7" t="s">
        <v>1986</v>
      </c>
      <c r="E7" t="str">
        <f t="shared" si="0"/>
        <v>Rob LucasTiffany House</v>
      </c>
      <c r="G7" t="str">
        <f>B7&amp;C7</f>
        <v>Rob LucasTiffany House</v>
      </c>
      <c r="I7" t="s">
        <v>2004</v>
      </c>
      <c r="K7" s="15" t="s">
        <v>2026</v>
      </c>
    </row>
    <row r="8" spans="2:11">
      <c r="B8" t="s">
        <v>1963</v>
      </c>
      <c r="C8" t="s">
        <v>1986</v>
      </c>
      <c r="E8" t="str">
        <f t="shared" si="0"/>
        <v>Rick BensleyTiffany House</v>
      </c>
      <c r="G8" t="str">
        <f>B8&amp;C8</f>
        <v>Rick BensleyTiffany House</v>
      </c>
      <c r="I8" t="s">
        <v>2005</v>
      </c>
      <c r="K8" s="15" t="s">
        <v>2027</v>
      </c>
    </row>
    <row r="9" spans="2:11">
      <c r="B9" t="s">
        <v>1964</v>
      </c>
      <c r="C9" t="s">
        <v>1987</v>
      </c>
      <c r="E9" t="str">
        <f t="shared" si="0"/>
        <v>Laurel EllistonCindy Chapman</v>
      </c>
      <c r="G9" t="str">
        <f>B9&amp;C9</f>
        <v>Laurel EllistonCindy Chapman</v>
      </c>
      <c r="I9" t="s">
        <v>2006</v>
      </c>
      <c r="K9" s="15" t="s">
        <v>2028</v>
      </c>
    </row>
    <row r="10" spans="2:11">
      <c r="B10" t="s">
        <v>1965</v>
      </c>
      <c r="C10" t="s">
        <v>1987</v>
      </c>
      <c r="E10" t="str">
        <f t="shared" si="0"/>
        <v>Joe KamberovaCindy Chapman</v>
      </c>
      <c r="G10" t="str">
        <f>B10&amp;C10</f>
        <v>Joe KamberovaCindy Chapman</v>
      </c>
      <c r="I10" t="s">
        <v>2007</v>
      </c>
      <c r="K10" s="15" t="s">
        <v>2029</v>
      </c>
    </row>
    <row r="11" spans="2:11">
      <c r="B11" t="s">
        <v>1966</v>
      </c>
      <c r="C11" t="s">
        <v>1988</v>
      </c>
      <c r="E11" t="str">
        <f t="shared" si="0"/>
        <v>Valerie DominguezArt Ferguson</v>
      </c>
      <c r="G11" t="str">
        <f>B11&amp;C11</f>
        <v>Valerie DominguezArt Ferguson</v>
      </c>
      <c r="I11" t="s">
        <v>2008</v>
      </c>
      <c r="K11" s="15" t="s">
        <v>2030</v>
      </c>
    </row>
    <row r="12" spans="2:11">
      <c r="B12" t="s">
        <v>1967</v>
      </c>
      <c r="C12" t="s">
        <v>1988</v>
      </c>
      <c r="E12" t="str">
        <f t="shared" si="0"/>
        <v>Robert WaldorfArt Ferguson</v>
      </c>
      <c r="G12" t="str">
        <f>B12&amp;C12</f>
        <v>Robert WaldorfArt Ferguson</v>
      </c>
      <c r="I12" t="s">
        <v>2009</v>
      </c>
    </row>
    <row r="13" spans="2:11">
      <c r="B13" t="s">
        <v>1968</v>
      </c>
      <c r="C13" t="s">
        <v>1979</v>
      </c>
      <c r="E13" t="str">
        <f t="shared" si="0"/>
        <v>Brooke GillinghamClay Ludtke</v>
      </c>
      <c r="G13" t="str">
        <f>B13&amp;C13</f>
        <v>Brooke GillinghamClay Ludtke</v>
      </c>
      <c r="I13" t="s">
        <v>2010</v>
      </c>
    </row>
    <row r="14" spans="2:11">
      <c r="B14" t="s">
        <v>1969</v>
      </c>
      <c r="C14" t="s">
        <v>1979</v>
      </c>
      <c r="E14" t="str">
        <f t="shared" si="0"/>
        <v>Maurice SattyClay Ludtke</v>
      </c>
      <c r="G14" t="str">
        <f>B14&amp;C14</f>
        <v>Maurice SattyClay Ludtke</v>
      </c>
      <c r="I14" t="s">
        <v>2011</v>
      </c>
    </row>
    <row r="15" spans="2:11">
      <c r="B15" t="s">
        <v>1970</v>
      </c>
      <c r="C15" t="s">
        <v>1979</v>
      </c>
      <c r="E15" t="str">
        <f t="shared" si="0"/>
        <v>Bryan DavisClay Ludtke</v>
      </c>
      <c r="G15" t="str">
        <f>B15&amp;C15</f>
        <v>Bryan DavisClay Ludtke</v>
      </c>
      <c r="I15" t="s">
        <v>2012</v>
      </c>
    </row>
    <row r="16" spans="2:11">
      <c r="B16" t="s">
        <v>1971</v>
      </c>
      <c r="C16" t="s">
        <v>1979</v>
      </c>
      <c r="E16" t="str">
        <f t="shared" si="0"/>
        <v>Lisa DeCherneyClay Ludtke</v>
      </c>
      <c r="G16" t="str">
        <f>B16&amp;C16</f>
        <v>Lisa DeCherneyClay Ludtke</v>
      </c>
      <c r="I16" t="s">
        <v>2013</v>
      </c>
    </row>
    <row r="17" spans="2:9">
      <c r="B17" t="s">
        <v>1972</v>
      </c>
      <c r="C17" t="s">
        <v>1979</v>
      </c>
      <c r="E17" t="str">
        <f t="shared" si="0"/>
        <v>Jim RadfordClay Ludtke</v>
      </c>
      <c r="G17" t="str">
        <f>B17&amp;C17</f>
        <v>Jim RadfordClay Ludtke</v>
      </c>
      <c r="I17" t="s">
        <v>2014</v>
      </c>
    </row>
    <row r="18" spans="2:9">
      <c r="B18" t="s">
        <v>1973</v>
      </c>
      <c r="C18" t="s">
        <v>1989</v>
      </c>
      <c r="E18" t="str">
        <f t="shared" si="0"/>
        <v>Natalie DeCherneyRoy Phan</v>
      </c>
      <c r="G18" t="str">
        <f>B18&amp;C18</f>
        <v>Natalie DeCherneyRoy Phan</v>
      </c>
      <c r="I18" t="s">
        <v>2015</v>
      </c>
    </row>
    <row r="19" spans="2:9">
      <c r="B19" t="s">
        <v>1974</v>
      </c>
      <c r="C19" t="s">
        <v>1990</v>
      </c>
      <c r="E19" t="str">
        <f t="shared" si="0"/>
        <v>Ken LonsdaleEdward Hooks</v>
      </c>
      <c r="G19" t="str">
        <f>B19&amp;C19</f>
        <v>Ken LonsdaleEdward Hooks</v>
      </c>
      <c r="I19" t="s">
        <v>2016</v>
      </c>
    </row>
    <row r="20" spans="2:9">
      <c r="B20" t="s">
        <v>1975</v>
      </c>
      <c r="C20" t="s">
        <v>1991</v>
      </c>
      <c r="E20" t="str">
        <f t="shared" si="0"/>
        <v>Julia WestDean Braden</v>
      </c>
      <c r="G20" t="str">
        <f>B20&amp;C20</f>
        <v>Julia WestDean Braden</v>
      </c>
      <c r="I20" t="s">
        <v>2017</v>
      </c>
    </row>
    <row r="21" spans="2:9">
      <c r="B21" t="s">
        <v>1976</v>
      </c>
      <c r="C21" t="s">
        <v>1992</v>
      </c>
      <c r="E21" t="str">
        <f t="shared" si="0"/>
        <v>Anne PryorFilia McAdams</v>
      </c>
      <c r="G21" t="str">
        <f>B21&amp;C21</f>
        <v>Anne PryorFilia McAdams</v>
      </c>
      <c r="I21" t="s">
        <v>2018</v>
      </c>
    </row>
    <row r="22" spans="2:9">
      <c r="B22" t="s">
        <v>1977</v>
      </c>
      <c r="C22" t="s">
        <v>1993</v>
      </c>
      <c r="E22" t="str">
        <f t="shared" si="0"/>
        <v>Vivek GradyDenny Ordway</v>
      </c>
      <c r="G22" t="str">
        <f>B22&amp;C22</f>
        <v>Vivek GradyDenny Ordway</v>
      </c>
      <c r="I22" t="s">
        <v>2019</v>
      </c>
    </row>
    <row r="23" spans="2:9">
      <c r="B23" t="s">
        <v>1978</v>
      </c>
      <c r="C23" t="s">
        <v>1994</v>
      </c>
      <c r="E23" t="str">
        <f t="shared" si="0"/>
        <v>George BellRaymond Buch</v>
      </c>
      <c r="G23" t="str">
        <f>B23&amp;C23</f>
        <v>George BellRaymond Buch</v>
      </c>
      <c r="I23" t="s">
        <v>2020</v>
      </c>
    </row>
    <row r="24" spans="2:9">
      <c r="B24" t="s">
        <v>1979</v>
      </c>
      <c r="C24" t="s">
        <v>1994</v>
      </c>
      <c r="E24" t="str">
        <f t="shared" si="0"/>
        <v>Clay LudtkeRaymond Buch</v>
      </c>
      <c r="G24" t="str">
        <f>B24&amp;C24</f>
        <v>Clay LudtkeRaymond Buch</v>
      </c>
      <c r="I24" t="s">
        <v>2021</v>
      </c>
    </row>
    <row r="25" spans="2:9">
      <c r="B25" t="s">
        <v>1980</v>
      </c>
      <c r="C25" t="s">
        <v>1994</v>
      </c>
      <c r="E25" t="str">
        <f t="shared" si="0"/>
        <v>Toby BraunhardtRaymond Buch</v>
      </c>
      <c r="G25" t="str">
        <f>B25&amp;C25</f>
        <v>Toby BraunhardtRaymond Buch</v>
      </c>
      <c r="I25" t="s">
        <v>2022</v>
      </c>
    </row>
    <row r="26" spans="2:9">
      <c r="B26" t="s">
        <v>1981</v>
      </c>
      <c r="C26" t="s">
        <v>1995</v>
      </c>
      <c r="E26" t="str">
        <f t="shared" si="0"/>
        <v>Eric BarretoEugene Hildebrand</v>
      </c>
      <c r="G26" t="str">
        <f>B26&amp;C26</f>
        <v>Eric BarretoEugene Hildebrand</v>
      </c>
    </row>
    <row r="27" spans="2:9">
      <c r="B27" t="s">
        <v>1982</v>
      </c>
      <c r="C27" t="s">
        <v>1996</v>
      </c>
      <c r="E27" t="str">
        <f t="shared" si="0"/>
        <v>Bradley NguyenChristine Phan</v>
      </c>
      <c r="G27" t="str">
        <f>B27&amp;C27</f>
        <v>Bradley NguyenChristine Phan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Section1_Basics</vt:lpstr>
      <vt:lpstr>Transpose</vt:lpstr>
      <vt:lpstr>Count</vt:lpstr>
      <vt:lpstr>Growth</vt:lpstr>
      <vt:lpstr>Formatting</vt:lpstr>
      <vt:lpstr>Sorting</vt:lpstr>
      <vt:lpstr>2 level sorting</vt:lpstr>
      <vt:lpstr>Date</vt:lpstr>
      <vt:lpstr>Logical Functions</vt:lpstr>
      <vt:lpstr>Data cleaning</vt:lpstr>
      <vt:lpstr>CONCATENATE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onkar kadam</cp:lastModifiedBy>
  <dcterms:created xsi:type="dcterms:W3CDTF">2026-06-28T14:05:42Z</dcterms:created>
  <dcterms:modified xsi:type="dcterms:W3CDTF">2026-06-30T14:59:40Z</dcterms:modified>
</cp:coreProperties>
</file>